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<sst xmlns="http://schemas.openxmlformats.org/spreadsheetml/2006/main" count="1236" uniqueCount="677">
  <si>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</si>
  <si>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</si>
  <si>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</si>
  <si>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</si>
  <si>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</si>
  <si>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</si>
  <si>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</si>
  <si>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</si>
  <si>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</si>
  <si>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</si>
  <si>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</si>
  <si>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</si>
  <si>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</si>
  <si>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</si>
  <si>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</si>
  <si>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</si>
  <si>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</si>
  <si>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</si>
  <si>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</si>
  <si>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</si>
  <si>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</si>
  <si>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</si>
  <si>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</si>
  <si>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</si>
  <si>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</si>
  <si>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</si>
  <si>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</si>
  <si>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</si>
  <si>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</si>
  <si>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</si>
  <si>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</si>
  <si>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</si>
  <si>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</si>
  <si>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</si>
  <si>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</si>
  <si>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</si>
  <si>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</si>
  <si>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</si>
  <si>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</si>
  <si>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</si>
  <si>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</si>
  <si>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</si>
  <si>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</si>
  <si>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</si>
  <si>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</si>
  <si>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</si>
  <si>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</si>
  <si>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</si>
  <si>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</si>
  <si>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</si>
  <si>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</si>
  <si>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</si>
  <si>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</si>
  <si>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</si>
  <si>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</si>
  <si>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</si>
  <si>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</si>
  <si>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</si>
  <si>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</si>
  <si>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</si>
  <si>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</si>
  <si>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</si>
  <si>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</si>
  <si>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</si>
  <si>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</si>
  <si>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</si>
  <si>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</si>
  <si>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</si>
  <si>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</si>
  <si>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</si>
  <si>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</si>
  <si>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</si>
  <si>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</si>
  <si>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</si>
  <si>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</si>
  <si>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</si>
  <si>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</si>
  <si>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</si>
  <si>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</si>
  <si>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</si>
  <si>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</si>
  <si>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</si>
  <si>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</si>
  <si>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</si>
  <si>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</si>
  <si>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</si>
  <si>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</si>
  <si>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</si>
  <si>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</si>
  <si>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</si>
  <si>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</si>
  <si>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</si>
  <si>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</si>
  <si>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</si>
  <si>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</si>
  <si>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</si>
  <si>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</si>
  <si>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</si>
  <si>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</si>
  <si>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</si>
  <si>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</si>
  <si>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</si>
  <si>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</si>
  <si>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</si>
  <si>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</si>
  <si>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</si>
  <si>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</si>
  <si>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</si>
  <si>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</si>
  <si>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</si>
  <si>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</si>
  <si>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</si>
  <si>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</si>
  <si>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</si>
  <si>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</si>
  <si>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</si>
  <si>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</si>
  <si>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</si>
  <si>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</si>
  <si>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</si>
  <si>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</si>
  <si>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</si>
  <si>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</si>
  <si>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</si>
  <si>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</si>
  <si>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</si>
  <si>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</si>
  <si>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</si>
  <si>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</si>
  <si>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</si>
  <si>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</si>
  <si>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</si>
  <si>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</si>
  <si>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</si>
  <si>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</si>
  <si>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</si>
  <si>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</si>
  <si>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</si>
  <si>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</si>
  <si>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</si>
  <si>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</si>
  <si>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</si>
  <si>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</si>
  <si>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</si>
  <si>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</si>
  <si>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</si>
  <si>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</si>
  <si>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</si>
  <si>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</si>
  <si>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</si>
  <si>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</si>
  <si>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</si>
  <si>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</si>
  <si>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</si>
  <si>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</si>
  <si>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</si>
  <si>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</si>
  <si>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</si>
  <si>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</si>
  <si>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</si>
  <si>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</si>
  <si>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</si>
  <si>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</si>
  <si>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</si>
  <si>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</si>
  <si>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</si>
  <si>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</si>
  <si>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</si>
  <si>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</si>
  <si>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</si>
  <si>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</si>
  <si>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</si>
  <si>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</si>
  <si>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</si>
  <si>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</si>
  <si>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</si>
  <si>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</si>
  <si>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</si>
  <si>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</si>
  <si>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</si>
  <si>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</si>
  <si>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</si>
  <si>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</si>
  <si>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</si>
  <si>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</si>
  <si>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</si>
  <si>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</si>
  <si>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</si>
  <si>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</si>
  <si>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</si>
  <si>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</si>
  <si>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</si>
  <si>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</si>
  <si>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</si>
  <si>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</si>
  <si>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</si>
  <si>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</si>
  <si>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</si>
  <si>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</si>
  <si>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</si>
  <si>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</si>
  <si>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</si>
  <si>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</si>
  <si>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</si>
  <si>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</si>
  <si>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</si>
  <si>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</si>
  <si>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</si>
  <si>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</si>
  <si>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</si>
  <si>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</si>
  <si>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</si>
  <si>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</si>
  <si>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</si>
  <si>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</si>
  <si>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</si>
  <si>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</si>
  <si>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</si>
  <si>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</si>
  <si>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</si>
  <si>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</si>
  <si>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</si>
  <si>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</si>
  <si>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</si>
  <si>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</si>
  <si>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</si>
  <si>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</si>
  <si>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</si>
  <si>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</si>
  <si>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</si>
  <si>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</si>
  <si>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</si>
  <si>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</si>
  <si>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</si>
  <si>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</si>
  <si>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</si>
  <si>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</si>
  <si>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</si>
  <si>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</si>
  <si>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</si>
  <si>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</si>
  <si>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</si>
  <si>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</si>
  <si>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</si>
  <si>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</si>
  <si>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</si>
  <si>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</si>
  <si>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</si>
  <si>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</si>
  <si>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</si>
  <si>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</si>
  <si>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</si>
  <si>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</si>
  <si>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</si>
  <si>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</si>
  <si>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</si>
  <si>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</si>
  <si>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</si>
  <si>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</si>
  <si>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</si>
  <si>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</si>
  <si>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</si>
  <si>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</si>
  <si>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</si>
  <si>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</si>
  <si>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</si>
  <si>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</si>
  <si>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</si>
  <si>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</si>
  <si>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</si>
  <si>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</si>
  <si>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</si>
  <si>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</si>
  <si>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</si>
  <si>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</si>
  <si>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</si>
  <si>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</si>
  <si>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</si>
  <si>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</si>
  <si>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</si>
  <si>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</si>
  <si>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</si>
  <si>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</si>
  <si>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</si>
  <si>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</si>
  <si>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</si>
  <si>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</si>
  <si>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</si>
  <si>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</si>
  <si>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</si>
  <si>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</si>
  <si>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</si>
  <si>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</si>
  <si>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</si>
  <si>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</si>
  <si>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</si>
  <si>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</si>
  <si>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</si>
  <si>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</si>
  <si>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</si>
  <si>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</si>
  <si>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</si>
  <si>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</si>
  <si>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</si>
  <si>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</si>
  <si>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</si>
  <si>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</si>
  <si>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</si>
  <si>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</si>
  <si>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</si>
  <si>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</si>
  <si>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</si>
  <si>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</si>
  <si>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</si>
  <si>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</si>
  <si>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</si>
  <si>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</si>
  <si>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</si>
  <si>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</si>
  <si>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</si>
  <si>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</si>
  <si>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</si>
  <si>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</si>
  <si>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</si>
  <si>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</si>
  <si>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</si>
  <si>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</si>
  <si>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</si>
  <si>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</si>
  <si>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</si>
  <si>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</si>
  <si>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</si>
  <si>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</si>
  <si>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</si>
  <si>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</si>
  <si>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</si>
  <si>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</si>
  <si>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</si>
  <si>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</si>
  <si>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</si>
  <si>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</si>
  <si>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</si>
  <si>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</si>
  <si>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</si>
  <si>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</si>
  <si>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</si>
  <si>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</si>
  <si>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</si>
  <si>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</si>
  <si>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</si>
  <si>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</si>
  <si>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</si>
  <si>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</si>
  <si>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</si>
  <si>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</si>
  <si>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</si>
  <si>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</si>
  <si>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</si>
  <si>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</si>
  <si>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</si>
  <si>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</si>
  <si>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</si>
  <si>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</si>
  <si>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</si>
  <si>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</si>
  <si>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</si>
  <si>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</si>
  <si>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</si>
  <si>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</si>
  <si>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</si>
  <si>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</si>
  <si>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</si>
  <si>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</si>
  <si>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</si>
  <si>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</si>
  <si>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</si>
  <si>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</si>
  <si>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</si>
  <si>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</si>
  <si>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</si>
  <si>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</si>
  <si>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</si>
  <si>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</si>
  <si>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</si>
  <si>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</si>
  <si>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</si>
  <si>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</si>
  <si>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</si>
  <si>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</si>
  <si>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</si>
  <si>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</si>
  <si>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</si>
  <si>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</si>
  <si>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</si>
  <si>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</si>
  <si>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</si>
  <si>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</si>
  <si>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</si>
  <si>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</si>
  <si>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</si>
  <si>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</si>
  <si>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</si>
  <si>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</si>
  <si>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</si>
  <si>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</si>
  <si>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</si>
  <si>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</si>
  <si>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</si>
  <si>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</si>
  <si>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</si>
  <si>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</si>
  <si>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</si>
  <si>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</si>
  <si>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</si>
  <si>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</si>
  <si>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</si>
  <si>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</si>
  <si>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</si>
  <si>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</si>
  <si>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</si>
  <si>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</si>
  <si>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</si>
  <si>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</si>
  <si>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</si>
  <si>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</si>
  <si>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</si>
  <si>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</si>
  <si>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</si>
  <si>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</si>
  <si>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</si>
  <si>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</si>
  <si>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</si>
  <si>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</si>
  <si>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</si>
  <si>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</si>
  <si>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</si>
  <si>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</si>
  <si>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</si>
  <si>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</si>
  <si>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</si>
  <si>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</si>
  <si>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</si>
  <si>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</si>
  <si>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</si>
  <si>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</si>
  <si>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</si>
  <si>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</si>
  <si>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</si>
  <si>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</si>
  <si>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</si>
  <si>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</si>
  <si>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</si>
  <si>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</si>
  <si>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</si>
  <si>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</si>
  <si>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</si>
  <si>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</si>
  <si>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</si>
  <si>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</si>
  <si>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</si>
  <si>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</si>
  <si>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</si>
  <si>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</si>
  <si>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</si>
  <si>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</si>
  <si>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</si>
  <si>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</si>
  <si>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</si>
  <si>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</si>
  <si>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</si>
  <si>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</si>
  <si>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</si>
  <si>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</si>
  <si>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</si>
  <si>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</si>
  <si>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</si>
  <si>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</si>
  <si>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</si>
  <si>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</si>
  <si>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</si>
  <si>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</si>
  <si>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</si>
  <si>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</si>
  <si>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</si>
  <si>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</si>
  <si>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</si>
  <si>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</si>
  <si>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</si>
  <si>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</si>
  <si>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</si>
  <si>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</si>
  <si>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</si>
  <si>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</si>
  <si>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</si>
  <si>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</si>
  <si>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</si>
  <si>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</si>
  <si>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</si>
  <si>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</si>
  <si>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</si>
  <si>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</si>
  <si>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</si>
  <si>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</si>
  <si>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</si>
  <si>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</si>
  <si>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</si>
  <si>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</si>
  <si>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</si>
  <si>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</si>
  <si>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</si>
  <si>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</si>
  <si>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</si>
  <si>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</si>
  <si>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</si>
  <si>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</si>
  <si>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</si>
  <si>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</si>
  <si>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</si>
  <si>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</si>
  <si>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</si>
  <si>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</si>
  <si>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</si>
  <si>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</si>
  <si>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</si>
  <si>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</si>
  <si>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</si>
  <si>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</si>
  <si>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</si>
  <si>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</si>
  <si>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</si>
  <si>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</si>
  <si>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</si>
  <si>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</si>
  <si>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</si>
  <si>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</si>
  <si>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</si>
  <si>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</si>
  <si>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</si>
  <si>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</si>
  <si>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</si>
  <si>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</si>
  <si>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</si>
  <si>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</si>
  <si>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</si>
  <si>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</si>
  <si>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</si>
  <si>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</si>
  <si>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</si>
  <si>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</si>
  <si>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</si>
  <si>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</si>
  <si>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</si>
  <si>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</si>
  <si>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</si>
  <si>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</si>
  <si>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</si>
  <si>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</si>
  <si>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</si>
  <si>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</si>
  <si>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</si>
  <si>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</si>
  <si>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</si>
  <si>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</si>
  <si>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</si>
  <si>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</si>
  <si>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</si>
  <si>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</si>
  <si>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</si>
  <si>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</si>
  <si>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</si>
  <si>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</si>
  <si>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</si>
  <si>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</si>
  <si>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</si>
  <si>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</si>
  <si>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</si>
  <si>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</si>
  <si>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</si>
  <si>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</si>
  <si>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</si>
  <si>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</si>
  <si>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</si>
  <si>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</si>
  <si>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</si>
  <si>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</si>
  <si>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</si>
  <si>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</si>
  <si>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</si>
  <si>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</si>
  <si>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</si>
  <si>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</si>
  <si>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</si>
  <si>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</si>
  <si>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</si>
  <si>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</si>
  <si>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</si>
  <si>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</si>
  <si>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</si>
  <si>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</si>
  <si>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</si>
  <si>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</si>
  <si>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</si>
  <si>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</si>
  <si>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</si>
  <si>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</si>
  <si>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</si>
  <si>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</si>
  <si>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</si>
  <si>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</si>
  <si>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</si>
  <si>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</si>
  <si>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</si>
  <si>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</si>
  <si>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</si>
  <si>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</si>
  <si>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</si>
  <si>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</si>
  <si>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</si>
  <si>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</si>
  <si>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</si>
  <si>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</si>
  <si>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</si>
  <si>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</si>
  <si>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</si>
  <si>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</si>
  <si>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</si>
  <si>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</si>
  <si>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</si>
  <si>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</si>
  <si>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</si>
  <si>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</si>
  <si>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</si>
  <si>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</si>
  <si>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</si>
  <si>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</si>
  <si>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</si>
  <si>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</si>
  <si>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</si>
  <si>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</si>
  <si>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</si>
  <si>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</si>
  <si>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</si>
  <si>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</si>
  <si>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</si>
  <si>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</si>
  <si>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</si>
  <si>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</si>
  <si>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</si>
  <si>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</si>
  <si>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</si>
  <si>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</si>
  <si>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</si>
  <si>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</si>
  <si>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</si>
  <si>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</si>
  <si>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</si>
  <si>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</si>
  <si>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</si>
  <si>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</si>
  <si>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</si>
  <si>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</si>
  <si>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</si>
  <si>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</si>
  <si>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</si>
  <si>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</si>
  <si>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KAPUAS HULU|KAPUAS</t>
  </si>
  <si>
    <t>LAMANDAU|LAMANDAU</t>
  </si>
  <si>
    <t>MURUK RIAN|TANA TIDUNG</t>
  </si>
  <si>
    <t>SEBATIK TENGAH|NUNUKAN</t>
  </si>
  <si>
    <t>TANJUNG PALAS BARAT|BULUNGAN</t>
  </si>
  <si>
    <t>Total</t>
  </si>
  <si>
    <t>AIR BESAR|LANDAK</t>
  </si>
  <si>
    <t>BIDUK BIDUK|BERAU</t>
  </si>
  <si>
    <t>BUKIT SANTUAI|KOTAWARINGIN TIMUR</t>
  </si>
  <si>
    <t>DAHA BARAT|HULU SUNGAI SELATAN</t>
  </si>
  <si>
    <t>SEBANGAU KUALA|PULANG PISAU</t>
  </si>
  <si>
    <t>SIMPANG DUA|KETAPANG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</si>
</sst>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C1" sqref="C1:W104857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107807192.61836827</v>
      </c>
      <c r="D6" s="4">
        <f>IFERROR(VLOOKUP($A:$A,MASTER!$A:$T,4,0),0)</f>
        <v>100255253.64976333</v>
      </c>
      <c r="E6" s="9">
        <f>IFERROR(C6/D6-1,0)</f>
        <v>7.5327114477085289E-2</v>
      </c>
      <c r="F6" s="4">
        <f>IFERROR(VLOOKUP(A:A,MASTER!A:E,5,0),0)</f>
        <v>225675.67567567801</v>
      </c>
      <c r="G6" s="4">
        <f>IFERROR(VLOOKUP(A:A,MASTER!A:F,6,0),0)</f>
        <v>943243.24324324599</v>
      </c>
      <c r="H6" s="9">
        <f>IFERROR(F6/G6-1,0)</f>
        <v>-0.76074498567335069</v>
      </c>
      <c r="I6" s="4">
        <f>IFERROR(VLOOKUP(A:A,MASTER!A:M,13,0),0)</f>
        <v>11197747.747747747</v>
      </c>
      <c r="J6" s="4">
        <f>IFERROR(VLOOKUP($A:$A,MASTER!$A:$T,14,0),0)</f>
        <v>18985495.495495494</v>
      </c>
      <c r="K6" s="9">
        <f>IFERROR(I6/J6-1,0)</f>
        <v>-0.41019460090443627</v>
      </c>
      <c r="L6" s="4">
        <f>IFERROR(VLOOKUP($A:$A,MASTER!$A:$T,15,0),0)</f>
        <v>48384324.324324325</v>
      </c>
      <c r="M6" s="4">
        <f>IFERROR(VLOOKUP($A:$A,MASTER!$A:$T,16,0),0)</f>
        <v>48063054.054054059</v>
      </c>
      <c r="N6" s="9">
        <f>IFERROR(L6/M6-1,0)</f>
        <v>6.6843498939737067E-3</v>
      </c>
      <c r="O6" s="4">
        <f>IFERROR(VLOOKUP($A:$A,MASTER!$A:$T,17,0),0)</f>
        <v>10790900.900900899</v>
      </c>
      <c r="P6" s="4">
        <f>IFERROR(VLOOKUP($A:$A,MASTER!$A:$T,18,0),0)</f>
        <v>13839909.909909911</v>
      </c>
      <c r="Q6" s="9">
        <f>IFERROR(O6/P6-1,0)</f>
        <v>-0.22030555320492395</v>
      </c>
      <c r="R6" s="4">
        <f>IFERROR(VLOOKUP($A:$A,MASTER!$A:$T,19,0),0)</f>
        <v>8229</v>
      </c>
      <c r="S6" s="4">
        <f>IFERROR(VLOOKUP($A:$A,MASTER!$A:$T,20,0),0)</f>
        <v>8286</v>
      </c>
      <c r="T6" s="9">
        <f>IFERROR(R6/S6-1,0)</f>
        <v>-6.8790731354091417E-3</v>
      </c>
      <c r="U6" s="13">
        <f>IFERROR(VLOOKUP(A:A,MASTER!A:K,11,0),0)</f>
        <v>17</v>
      </c>
      <c r="V6" s="13">
        <f>IFERROR(VLOOKUP(A:A,MASTER!A:L,12,0),0)</f>
        <v>127</v>
      </c>
      <c r="W6" s="9">
        <f>IFERROR(U6/V6-1,0)</f>
        <v>-0.86614173228346458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12901781.185136851</v>
      </c>
      <c r="D7" s="4">
        <f>IFERROR(VLOOKUP($A:$A,MASTER!$A:$T,4,0),0)</f>
        <v>6356004.4309599204</v>
      </c>
      <c r="E7" s="9">
        <f t="shared" ref="E7:E22" si="0">IFERROR(C7/D7-1,0)</f>
        <v>1.0298571728950714</v>
      </c>
      <c r="F7" s="4">
        <f>IFERROR(VLOOKUP(A:A,MASTER!A:E,5,0),0)</f>
        <v>67921160.360360354</v>
      </c>
      <c r="G7" s="4">
        <f>IFERROR(VLOOKUP(A:A,MASTER!A:F,6,0),0)</f>
        <v>227999804.5045045</v>
      </c>
      <c r="H7" s="9">
        <f t="shared" ref="H7:H22" si="1">IFERROR(F7/G7-1,0)</f>
        <v>-0.70209991842769992</v>
      </c>
      <c r="I7" s="4">
        <f>IFERROR(VLOOKUP(A:A,MASTER!A:M,13,0),0)</f>
        <v>8108.1081081089997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6079099.0990990987</v>
      </c>
      <c r="M7" s="4">
        <f>IFERROR(VLOOKUP($A:$A,MASTER!$A:$T,16,0),0)</f>
        <v>3515324.3243243238</v>
      </c>
      <c r="N7" s="9">
        <f t="shared" ref="N7:N22" si="3">IFERROR(L7/M7-1,0)</f>
        <v>0.72931386644319218</v>
      </c>
      <c r="O7" s="4">
        <f>IFERROR(VLOOKUP($A:$A,MASTER!$A:$T,17,0),0)</f>
        <v>0</v>
      </c>
      <c r="P7" s="4">
        <f>IFERROR(VLOOKUP($A:$A,MASTER!$A:$T,18,0),0)</f>
        <v>157657.65765765801</v>
      </c>
      <c r="Q7" s="9">
        <f t="shared" ref="Q7:Q22" si="4">IFERROR(O7/P7-1,0)</f>
        <v>-1</v>
      </c>
      <c r="R7" s="4">
        <f>IFERROR(VLOOKUP($A:$A,MASTER!$A:$T,19,0),0)</f>
        <v>1234</v>
      </c>
      <c r="S7" s="4">
        <f>IFERROR(VLOOKUP($A:$A,MASTER!$A:$T,20,0),0)</f>
        <v>821</v>
      </c>
      <c r="T7" s="9">
        <f t="shared" ref="T7:T22" si="5">IFERROR(R7/S7-1,0)</f>
        <v>0.50304506699147389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76937721.515163898</v>
      </c>
      <c r="D8" s="4">
        <f>IFERROR(VLOOKUP($A:$A,MASTER!$A:$T,4,0),0)</f>
        <v>73777774.248070002</v>
      </c>
      <c r="E8" s="9">
        <f t="shared" si="0"/>
        <v>4.2830612597079876E-2</v>
      </c>
      <c r="F8" s="4">
        <f>IFERROR(VLOOKUP(A:A,MASTER!A:E,5,0),0)</f>
        <v>897747.74774774897</v>
      </c>
      <c r="G8" s="4">
        <f>IFERROR(VLOOKUP(A:A,MASTER!A:F,6,0),0)</f>
        <v>967567.56756757002</v>
      </c>
      <c r="H8" s="9">
        <f t="shared" si="1"/>
        <v>-7.2160148975792482E-2</v>
      </c>
      <c r="I8" s="4">
        <f>IFERROR(VLOOKUP(A:A,MASTER!A:M,13,0),0)</f>
        <v>18888738.738738745</v>
      </c>
      <c r="J8" s="4">
        <f>IFERROR(VLOOKUP($A:$A,MASTER!$A:$T,14,0),0)</f>
        <v>15759459.459459459</v>
      </c>
      <c r="K8" s="9">
        <f t="shared" si="2"/>
        <v>0.19856514034185135</v>
      </c>
      <c r="L8" s="4">
        <f>IFERROR(VLOOKUP($A:$A,MASTER!$A:$T,15,0),0)</f>
        <v>19828558.558558561</v>
      </c>
      <c r="M8" s="4">
        <f>IFERROR(VLOOKUP($A:$A,MASTER!$A:$T,16,0),0)</f>
        <v>21139981.981981985</v>
      </c>
      <c r="N8" s="9">
        <f t="shared" si="3"/>
        <v>-6.2035219544708031E-2</v>
      </c>
      <c r="O8" s="4">
        <f>IFERROR(VLOOKUP($A:$A,MASTER!$A:$T,17,0),0)</f>
        <v>18805585.585585587</v>
      </c>
      <c r="P8" s="4">
        <f>IFERROR(VLOOKUP($A:$A,MASTER!$A:$T,18,0),0)</f>
        <v>13185675.675675672</v>
      </c>
      <c r="Q8" s="9">
        <f t="shared" si="4"/>
        <v>0.42621326719549657</v>
      </c>
      <c r="R8" s="4">
        <f>IFERROR(VLOOKUP($A:$A,MASTER!$A:$T,19,0),0)</f>
        <v>3767</v>
      </c>
      <c r="S8" s="4">
        <f>IFERROR(VLOOKUP($A:$A,MASTER!$A:$T,20,0),0)</f>
        <v>3728</v>
      </c>
      <c r="T8" s="9">
        <f t="shared" si="5"/>
        <v>1.046137339055786E-2</v>
      </c>
      <c r="U8" s="13">
        <f>IFERROR(VLOOKUP(A:A,MASTER!A:K,11,0),0)</f>
        <v>11</v>
      </c>
      <c r="V8" s="13">
        <f>IFERROR(VLOOKUP(A:A,MASTER!A:L,12,0),0)</f>
        <v>6</v>
      </c>
      <c r="W8" s="9">
        <f t="shared" si="6"/>
        <v>0.83333333333333326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46549064.433617026</v>
      </c>
      <c r="D9" s="4">
        <f>IFERROR(VLOOKUP($A:$A,MASTER!$A:$T,4,0),0)</f>
        <v>46957007.804145023</v>
      </c>
      <c r="E9" s="9">
        <f t="shared" si="0"/>
        <v>-8.6875929622582948E-3</v>
      </c>
      <c r="F9" s="4">
        <f>IFERROR(VLOOKUP(A:A,MASTER!A:E,5,0),0)</f>
        <v>595495.49549549597</v>
      </c>
      <c r="G9" s="4">
        <f>IFERROR(VLOOKUP(A:A,MASTER!A:F,6,0),0)</f>
        <v>567567.56756757002</v>
      </c>
      <c r="H9" s="9">
        <f t="shared" si="1"/>
        <v>4.9206349206345479E-2</v>
      </c>
      <c r="I9" s="4">
        <f>IFERROR(VLOOKUP(A:A,MASTER!A:M,13,0),0)</f>
        <v>8607657.6576576568</v>
      </c>
      <c r="J9" s="4">
        <f>IFERROR(VLOOKUP($A:$A,MASTER!$A:$T,14,0),0)</f>
        <v>17417117.117117122</v>
      </c>
      <c r="K9" s="9">
        <f t="shared" si="2"/>
        <v>-0.50579320333109212</v>
      </c>
      <c r="L9" s="4">
        <f>IFERROR(VLOOKUP($A:$A,MASTER!$A:$T,15,0),0)</f>
        <v>16460135.135135137</v>
      </c>
      <c r="M9" s="4">
        <f>IFERROR(VLOOKUP($A:$A,MASTER!$A:$T,16,0),0)</f>
        <v>15924270.270270269</v>
      </c>
      <c r="N9" s="9">
        <f t="shared" si="3"/>
        <v>3.3650827056439514E-2</v>
      </c>
      <c r="O9" s="4">
        <f>IFERROR(VLOOKUP($A:$A,MASTER!$A:$T,17,0),0)</f>
        <v>7181081.0810810812</v>
      </c>
      <c r="P9" s="4">
        <f>IFERROR(VLOOKUP($A:$A,MASTER!$A:$T,18,0),0)</f>
        <v>16894144.144144144</v>
      </c>
      <c r="Q9" s="9">
        <f t="shared" si="4"/>
        <v>-0.57493667510998536</v>
      </c>
      <c r="R9" s="4">
        <f>IFERROR(VLOOKUP($A:$A,MASTER!$A:$T,19,0),0)</f>
        <v>3617</v>
      </c>
      <c r="S9" s="4">
        <f>IFERROR(VLOOKUP($A:$A,MASTER!$A:$T,20,0),0)</f>
        <v>3633</v>
      </c>
      <c r="T9" s="9">
        <f t="shared" si="5"/>
        <v>-4.4040737682355946E-3</v>
      </c>
      <c r="U9" s="13">
        <f>IFERROR(VLOOKUP(A:A,MASTER!A:K,11,0),0)</f>
        <v>5</v>
      </c>
      <c r="V9" s="13">
        <f>IFERROR(VLOOKUP(A:A,MASTER!A:L,12,0),0)</f>
        <v>5</v>
      </c>
      <c r="W9" s="9">
        <f t="shared" si="6"/>
        <v>0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6756756.7567567574</v>
      </c>
      <c r="G10" s="4">
        <f>IFERROR(VLOOKUP(A:A,MASTER!A:F,6,0),0)</f>
        <v>3378378.3783783782</v>
      </c>
      <c r="H10" s="9">
        <f t="shared" si="1"/>
        <v>1.0000000000000004</v>
      </c>
      <c r="I10" s="4">
        <f>IFERROR(VLOOKUP(A:A,MASTER!A:M,13,0),0)</f>
        <v>100900.900900901</v>
      </c>
      <c r="J10" s="4">
        <f>IFERROR(VLOOKUP($A:$A,MASTER!$A:$T,14,0),0)</f>
        <v>236261.26126126101</v>
      </c>
      <c r="K10" s="9">
        <f t="shared" si="2"/>
        <v>-0.57292659675881707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39938239.488166079</v>
      </c>
      <c r="D11" s="4">
        <f>IFERROR(VLOOKUP($A:$A,MASTER!$A:$T,4,0),0)</f>
        <v>50457997.317875817</v>
      </c>
      <c r="E11" s="9">
        <f t="shared" si="0"/>
        <v>-0.20848544113705625</v>
      </c>
      <c r="F11" s="4">
        <f>IFERROR(VLOOKUP(A:A,MASTER!A:E,5,0),0)</f>
        <v>543693.69369369396</v>
      </c>
      <c r="G11" s="4">
        <f>IFERROR(VLOOKUP(A:A,MASTER!A:F,6,0),0)</f>
        <v>111711.711711713</v>
      </c>
      <c r="H11" s="9">
        <f t="shared" si="1"/>
        <v>3.8669354838709138</v>
      </c>
      <c r="I11" s="4">
        <f>IFERROR(VLOOKUP(A:A,MASTER!A:M,13,0),0)</f>
        <v>2174324.3243243229</v>
      </c>
      <c r="J11" s="4">
        <f>IFERROR(VLOOKUP($A:$A,MASTER!$A:$T,14,0),0)</f>
        <v>5398198.1981981983</v>
      </c>
      <c r="K11" s="9">
        <f t="shared" si="2"/>
        <v>-0.59721295060080137</v>
      </c>
      <c r="L11" s="4">
        <f>IFERROR(VLOOKUP($A:$A,MASTER!$A:$T,15,0),0)</f>
        <v>17949144.144144144</v>
      </c>
      <c r="M11" s="4">
        <f>IFERROR(VLOOKUP($A:$A,MASTER!$A:$T,16,0),0)</f>
        <v>20544450.450450446</v>
      </c>
      <c r="N11" s="9">
        <f t="shared" si="3"/>
        <v>-0.12632639225691233</v>
      </c>
      <c r="O11" s="4">
        <f>IFERROR(VLOOKUP($A:$A,MASTER!$A:$T,17,0),0)</f>
        <v>1693963.9639639631</v>
      </c>
      <c r="P11" s="4">
        <f>IFERROR(VLOOKUP($A:$A,MASTER!$A:$T,18,0),0)</f>
        <v>4505135.1351351338</v>
      </c>
      <c r="Q11" s="9">
        <f t="shared" si="4"/>
        <v>-0.62399264103025587</v>
      </c>
      <c r="R11" s="4">
        <f>IFERROR(VLOOKUP($A:$A,MASTER!$A:$T,19,0),0)</f>
        <v>3137</v>
      </c>
      <c r="S11" s="4">
        <f>IFERROR(VLOOKUP($A:$A,MASTER!$A:$T,20,0),0)</f>
        <v>5247</v>
      </c>
      <c r="T11" s="9">
        <f t="shared" si="5"/>
        <v>-0.40213455307794932</v>
      </c>
      <c r="U11" s="13">
        <f>IFERROR(VLOOKUP(A:A,MASTER!A:K,11,0),0)</f>
        <v>7</v>
      </c>
      <c r="V11" s="13">
        <f>IFERROR(VLOOKUP(A:A,MASTER!A:L,12,0),0)</f>
        <v>4</v>
      </c>
      <c r="W11" s="9">
        <f t="shared" si="6"/>
        <v>0.75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193019114.70373076</v>
      </c>
      <c r="D12" s="4">
        <f>IFERROR(VLOOKUP($A:$A,MASTER!$A:$T,4,0),0)</f>
        <v>171481691.78931433</v>
      </c>
      <c r="E12" s="9">
        <f t="shared" si="0"/>
        <v>0.12559604870750696</v>
      </c>
      <c r="F12" s="4">
        <f>IFERROR(VLOOKUP(A:A,MASTER!A:E,5,0),0)</f>
        <v>6128378.3783783726</v>
      </c>
      <c r="G12" s="4">
        <f>IFERROR(VLOOKUP(A:A,MASTER!A:F,6,0),0)</f>
        <v>2786486.486486489</v>
      </c>
      <c r="H12" s="9">
        <f t="shared" si="1"/>
        <v>1.1993210475266691</v>
      </c>
      <c r="I12" s="4">
        <f>IFERROR(VLOOKUP(A:A,MASTER!A:M,13,0),0)</f>
        <v>132884684.68468469</v>
      </c>
      <c r="J12" s="4">
        <f>IFERROR(VLOOKUP($A:$A,MASTER!$A:$T,14,0),0)</f>
        <v>59472522.522522517</v>
      </c>
      <c r="K12" s="9">
        <f t="shared" si="2"/>
        <v>1.2343878996281124</v>
      </c>
      <c r="L12" s="4">
        <f>IFERROR(VLOOKUP($A:$A,MASTER!$A:$T,15,0),0)</f>
        <v>124378648.64864863</v>
      </c>
      <c r="M12" s="4">
        <f>IFERROR(VLOOKUP($A:$A,MASTER!$A:$T,16,0),0)</f>
        <v>115169072.07207206</v>
      </c>
      <c r="N12" s="9">
        <f t="shared" si="3"/>
        <v>7.9965709637855653E-2</v>
      </c>
      <c r="O12" s="4">
        <f>IFERROR(VLOOKUP($A:$A,MASTER!$A:$T,17,0),0)</f>
        <v>115797567.56756757</v>
      </c>
      <c r="P12" s="4">
        <f>IFERROR(VLOOKUP($A:$A,MASTER!$A:$T,18,0),0)</f>
        <v>50020450.45045045</v>
      </c>
      <c r="Q12" s="9">
        <f t="shared" si="4"/>
        <v>1.3150044936575491</v>
      </c>
      <c r="R12" s="4">
        <f>IFERROR(VLOOKUP($A:$A,MASTER!$A:$T,19,0),0)</f>
        <v>13498</v>
      </c>
      <c r="S12" s="4">
        <f>IFERROR(VLOOKUP($A:$A,MASTER!$A:$T,20,0),0)</f>
        <v>12935</v>
      </c>
      <c r="T12" s="9">
        <f t="shared" si="5"/>
        <v>4.3525318902203347E-2</v>
      </c>
      <c r="U12" s="13">
        <f>IFERROR(VLOOKUP(A:A,MASTER!A:K,11,0),0)</f>
        <v>276</v>
      </c>
      <c r="V12" s="13">
        <f>IFERROR(VLOOKUP(A:A,MASTER!A:L,12,0),0)</f>
        <v>281</v>
      </c>
      <c r="W12" s="9">
        <f t="shared" si="6"/>
        <v>-1.7793594306049876E-2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43167740.726685569</v>
      </c>
      <c r="D13" s="4">
        <f>IFERROR(VLOOKUP($A:$A,MASTER!$A:$T,4,0),0)</f>
        <v>42952870.440332823</v>
      </c>
      <c r="E13" s="9">
        <f t="shared" si="0"/>
        <v>5.0024662880501225E-3</v>
      </c>
      <c r="F13" s="4">
        <f>IFERROR(VLOOKUP(A:A,MASTER!A:E,5,0),0)</f>
        <v>10360.360360361001</v>
      </c>
      <c r="G13" s="4">
        <f>IFERROR(VLOOKUP(A:A,MASTER!A:F,6,0),0)</f>
        <v>123423.423423424</v>
      </c>
      <c r="H13" s="9">
        <f t="shared" si="1"/>
        <v>-0.9160583941605791</v>
      </c>
      <c r="I13" s="4">
        <f>IFERROR(VLOOKUP(A:A,MASTER!A:M,13,0),0)</f>
        <v>9260810.8108108118</v>
      </c>
      <c r="J13" s="4">
        <f>IFERROR(VLOOKUP($A:$A,MASTER!$A:$T,14,0),0)</f>
        <v>6983783.7837837832</v>
      </c>
      <c r="K13" s="9">
        <f t="shared" si="2"/>
        <v>0.32604489164086714</v>
      </c>
      <c r="L13" s="4">
        <f>IFERROR(VLOOKUP($A:$A,MASTER!$A:$T,15,0),0)</f>
        <v>28170945.945945945</v>
      </c>
      <c r="M13" s="4">
        <f>IFERROR(VLOOKUP($A:$A,MASTER!$A:$T,16,0),0)</f>
        <v>29941981.981981985</v>
      </c>
      <c r="N13" s="9">
        <f t="shared" si="3"/>
        <v>-5.9148924647065337E-2</v>
      </c>
      <c r="O13" s="4">
        <f>IFERROR(VLOOKUP($A:$A,MASTER!$A:$T,17,0),0)</f>
        <v>10140900.900900904</v>
      </c>
      <c r="P13" s="4">
        <f>IFERROR(VLOOKUP($A:$A,MASTER!$A:$T,18,0),0)</f>
        <v>8318288.2882882869</v>
      </c>
      <c r="Q13" s="9">
        <f t="shared" si="4"/>
        <v>0.21910909425665848</v>
      </c>
      <c r="R13" s="4">
        <f>IFERROR(VLOOKUP($A:$A,MASTER!$A:$T,19,0),0)</f>
        <v>5167</v>
      </c>
      <c r="S13" s="4">
        <f>IFERROR(VLOOKUP($A:$A,MASTER!$A:$T,20,0),0)</f>
        <v>4870</v>
      </c>
      <c r="T13" s="9">
        <f t="shared" si="5"/>
        <v>6.0985626283367456E-2</v>
      </c>
      <c r="U13" s="13">
        <f>IFERROR(VLOOKUP(A:A,MASTER!A:K,11,0),0)</f>
        <v>13</v>
      </c>
      <c r="V13" s="13">
        <f>IFERROR(VLOOKUP(A:A,MASTER!A:L,12,0),0)</f>
        <v>21</v>
      </c>
      <c r="W13" s="9">
        <f t="shared" si="6"/>
        <v>-0.38095238095238093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59618226.144052625</v>
      </c>
      <c r="D14" s="4">
        <f>IFERROR(VLOOKUP($A:$A,MASTER!$A:$T,4,0),0)</f>
        <v>55892036.824187882</v>
      </c>
      <c r="E14" s="9">
        <f t="shared" si="0"/>
        <v>6.6667624434330719E-2</v>
      </c>
      <c r="F14" s="4">
        <f>IFERROR(VLOOKUP(A:A,MASTER!A:E,5,0),0)</f>
        <v>662162.16216216201</v>
      </c>
      <c r="G14" s="4">
        <f>IFERROR(VLOOKUP(A:A,MASTER!A:F,6,0),0)</f>
        <v>971171.17117117299</v>
      </c>
      <c r="H14" s="9">
        <f t="shared" si="1"/>
        <v>-0.31818181818181956</v>
      </c>
      <c r="I14" s="4">
        <f>IFERROR(VLOOKUP(A:A,MASTER!A:M,13,0),0)</f>
        <v>8993693.6936936956</v>
      </c>
      <c r="J14" s="4">
        <f>IFERROR(VLOOKUP($A:$A,MASTER!$A:$T,14,0),0)</f>
        <v>5594594.594594596</v>
      </c>
      <c r="K14" s="9">
        <f t="shared" si="2"/>
        <v>0.60756843800322047</v>
      </c>
      <c r="L14" s="4">
        <f>IFERROR(VLOOKUP($A:$A,MASTER!$A:$T,15,0),0)</f>
        <v>17120270.270270269</v>
      </c>
      <c r="M14" s="4">
        <f>IFERROR(VLOOKUP($A:$A,MASTER!$A:$T,16,0),0)</f>
        <v>15729738.738738738</v>
      </c>
      <c r="N14" s="9">
        <f t="shared" si="3"/>
        <v>8.8401438487148543E-2</v>
      </c>
      <c r="O14" s="4">
        <f>IFERROR(VLOOKUP($A:$A,MASTER!$A:$T,17,0),0)</f>
        <v>8072072.072072072</v>
      </c>
      <c r="P14" s="4">
        <f>IFERROR(VLOOKUP($A:$A,MASTER!$A:$T,18,0),0)</f>
        <v>4174504.5045045051</v>
      </c>
      <c r="Q14" s="9">
        <f t="shared" si="4"/>
        <v>0.93365992619289084</v>
      </c>
      <c r="R14" s="4">
        <f>IFERROR(VLOOKUP($A:$A,MASTER!$A:$T,19,0),0)</f>
        <v>3373</v>
      </c>
      <c r="S14" s="4">
        <f>IFERROR(VLOOKUP($A:$A,MASTER!$A:$T,20,0),0)</f>
        <v>3438</v>
      </c>
      <c r="T14" s="9">
        <f t="shared" si="5"/>
        <v>-1.8906340895869733E-2</v>
      </c>
      <c r="U14" s="13">
        <f>IFERROR(VLOOKUP(A:A,MASTER!A:K,11,0),0)</f>
        <v>4</v>
      </c>
      <c r="V14" s="13">
        <f>IFERROR(VLOOKUP(A:A,MASTER!A:L,12,0),0)</f>
        <v>1</v>
      </c>
      <c r="W14" s="9">
        <f t="shared" si="6"/>
        <v>3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117172651.08835383</v>
      </c>
      <c r="D15" s="4">
        <f>IFERROR(VLOOKUP($A:$A,MASTER!$A:$T,4,0),0)</f>
        <v>108195759.29336098</v>
      </c>
      <c r="E15" s="9">
        <f t="shared" si="0"/>
        <v>8.2968980056353114E-2</v>
      </c>
      <c r="F15" s="4">
        <f>IFERROR(VLOOKUP(A:A,MASTER!A:E,5,0),0)</f>
        <v>983243.24324324296</v>
      </c>
      <c r="G15" s="4">
        <f>IFERROR(VLOOKUP(A:A,MASTER!A:F,6,0),0)</f>
        <v>934234.23423423804</v>
      </c>
      <c r="H15" s="9">
        <f t="shared" si="1"/>
        <v>5.2459016393437974E-2</v>
      </c>
      <c r="I15" s="4">
        <f>IFERROR(VLOOKUP(A:A,MASTER!A:M,13,0),0)</f>
        <v>223554414.41441441</v>
      </c>
      <c r="J15" s="4">
        <f>IFERROR(VLOOKUP($A:$A,MASTER!$A:$T,14,0),0)</f>
        <v>105250450.45045045</v>
      </c>
      <c r="K15" s="9">
        <f t="shared" si="2"/>
        <v>1.1240233505666448</v>
      </c>
      <c r="L15" s="4">
        <f>IFERROR(VLOOKUP($A:$A,MASTER!$A:$T,15,0),0)</f>
        <v>42264324.324324325</v>
      </c>
      <c r="M15" s="4">
        <f>IFERROR(VLOOKUP($A:$A,MASTER!$A:$T,16,0),0)</f>
        <v>39648270.270270273</v>
      </c>
      <c r="N15" s="9">
        <f t="shared" si="3"/>
        <v>6.5981543109477458E-2</v>
      </c>
      <c r="O15" s="4">
        <f>IFERROR(VLOOKUP($A:$A,MASTER!$A:$T,17,0),0)</f>
        <v>185402072.07207206</v>
      </c>
      <c r="P15" s="4">
        <f>IFERROR(VLOOKUP($A:$A,MASTER!$A:$T,18,0),0)</f>
        <v>93002342.342342332</v>
      </c>
      <c r="Q15" s="9">
        <f t="shared" si="4"/>
        <v>0.99352045768487862</v>
      </c>
      <c r="R15" s="4">
        <f>IFERROR(VLOOKUP($A:$A,MASTER!$A:$T,19,0),0)</f>
        <v>7442</v>
      </c>
      <c r="S15" s="4">
        <f>IFERROR(VLOOKUP($A:$A,MASTER!$A:$T,20,0),0)</f>
        <v>7197</v>
      </c>
      <c r="T15" s="9">
        <f t="shared" si="5"/>
        <v>3.4041961928581443E-2</v>
      </c>
      <c r="U15" s="13">
        <f>IFERROR(VLOOKUP(A:A,MASTER!A:K,11,0),0)</f>
        <v>22</v>
      </c>
      <c r="V15" s="13">
        <f>IFERROR(VLOOKUP(A:A,MASTER!A:L,12,0),0)</f>
        <v>17</v>
      </c>
      <c r="W15" s="9">
        <f t="shared" si="6"/>
        <v>0.29411764705882359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48811237.855691999</v>
      </c>
      <c r="D17" s="4">
        <f>IFERROR(VLOOKUP($A:$A,MASTER!$A:$T,4,0),0)</f>
        <v>44727071.32411135</v>
      </c>
      <c r="E17" s="9">
        <f t="shared" si="0"/>
        <v>9.1313077531614883E-2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28146126.126126129</v>
      </c>
      <c r="M17" s="4">
        <f>IFERROR(VLOOKUP($A:$A,MASTER!$A:$T,16,0),0)</f>
        <v>26406846.846846849</v>
      </c>
      <c r="N17" s="9">
        <f t="shared" si="3"/>
        <v>6.5864708852467979E-2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3884</v>
      </c>
      <c r="S17" s="4">
        <f>IFERROR(VLOOKUP($A:$A,MASTER!$A:$T,20,0),0)</f>
        <v>3665</v>
      </c>
      <c r="T17" s="9">
        <f t="shared" si="5"/>
        <v>5.9754433833560716E-2</v>
      </c>
      <c r="U17" s="13">
        <f>IFERROR(VLOOKUP(A:A,MASTER!A:K,11,0),0)</f>
        <v>6</v>
      </c>
      <c r="V17" s="13">
        <f>IFERROR(VLOOKUP(A:A,MASTER!A:L,12,0),0)</f>
        <v>9</v>
      </c>
      <c r="W17" s="9">
        <f t="shared" si="6"/>
        <v>-0.33333333333333337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39596435.758008368</v>
      </c>
      <c r="D18" s="4">
        <f>IFERROR(VLOOKUP($A:$A,MASTER!$A:$T,4,0),0)</f>
        <v>38920642.690310091</v>
      </c>
      <c r="E18" s="9">
        <f t="shared" si="0"/>
        <v>1.7363358387361139E-2</v>
      </c>
      <c r="F18" s="4">
        <f>IFERROR(VLOOKUP(A:A,MASTER!A:E,5,0),0)</f>
        <v>209009.00900901001</v>
      </c>
      <c r="G18" s="4">
        <f>IFERROR(VLOOKUP(A:A,MASTER!A:F,6,0),0)</f>
        <v>18018.018018018</v>
      </c>
      <c r="H18" s="9">
        <f t="shared" si="1"/>
        <v>10.600000000000067</v>
      </c>
      <c r="I18" s="4">
        <f>IFERROR(VLOOKUP(A:A,MASTER!A:M,13,0),0)</f>
        <v>209009.00900901001</v>
      </c>
      <c r="J18" s="4">
        <f>IFERROR(VLOOKUP($A:$A,MASTER!$A:$T,14,0),0)</f>
        <v>1819819.8198198189</v>
      </c>
      <c r="K18" s="9">
        <f t="shared" si="2"/>
        <v>-0.8851485148514846</v>
      </c>
      <c r="L18" s="4">
        <f>IFERROR(VLOOKUP($A:$A,MASTER!$A:$T,15,0),0)</f>
        <v>11967702.702702705</v>
      </c>
      <c r="M18" s="4">
        <f>IFERROR(VLOOKUP($A:$A,MASTER!$A:$T,16,0),0)</f>
        <v>13707468.468468469</v>
      </c>
      <c r="N18" s="9">
        <f t="shared" si="3"/>
        <v>-0.12692101169284309</v>
      </c>
      <c r="O18" s="4">
        <f>IFERROR(VLOOKUP($A:$A,MASTER!$A:$T,17,0),0)</f>
        <v>1017117.117117118</v>
      </c>
      <c r="P18" s="4">
        <f>IFERROR(VLOOKUP($A:$A,MASTER!$A:$T,18,0),0)</f>
        <v>1335585.585585586</v>
      </c>
      <c r="Q18" s="9">
        <f t="shared" si="4"/>
        <v>-0.23844856661045488</v>
      </c>
      <c r="R18" s="4">
        <f>IFERROR(VLOOKUP($A:$A,MASTER!$A:$T,19,0),0)</f>
        <v>3753</v>
      </c>
      <c r="S18" s="4">
        <f>IFERROR(VLOOKUP($A:$A,MASTER!$A:$T,20,0),0)</f>
        <v>3864</v>
      </c>
      <c r="T18" s="9">
        <f t="shared" si="5"/>
        <v>-2.8726708074534146E-2</v>
      </c>
      <c r="U18" s="13">
        <f>IFERROR(VLOOKUP(A:A,MASTER!A:K,11,0),0)</f>
        <v>10</v>
      </c>
      <c r="V18" s="13">
        <f>IFERROR(VLOOKUP(A:A,MASTER!A:L,12,0),0)</f>
        <v>11</v>
      </c>
      <c r="W18" s="9">
        <f t="shared" si="6"/>
        <v>-9.0909090909090939E-2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28494737.389041428</v>
      </c>
      <c r="D19" s="4">
        <f>IFERROR(VLOOKUP($A:$A,MASTER!$A:$T,4,0),0)</f>
        <v>24805636.493053444</v>
      </c>
      <c r="E19" s="9">
        <f t="shared" si="0"/>
        <v>0.14872026754971901</v>
      </c>
      <c r="F19" s="4">
        <f>IFERROR(VLOOKUP(A:A,MASTER!A:E,5,0),0)</f>
        <v>26126.126126128998</v>
      </c>
      <c r="G19" s="4">
        <f>IFERROR(VLOOKUP(A:A,MASTER!A:F,6,0),0)</f>
        <v>51351.351351352001</v>
      </c>
      <c r="H19" s="9">
        <f t="shared" si="1"/>
        <v>-0.49122807017538905</v>
      </c>
      <c r="I19" s="4">
        <f>IFERROR(VLOOKUP(A:A,MASTER!A:M,13,0),0)</f>
        <v>3629729.729729732</v>
      </c>
      <c r="J19" s="4">
        <f>IFERROR(VLOOKUP($A:$A,MASTER!$A:$T,14,0),0)</f>
        <v>51351.351351352001</v>
      </c>
      <c r="K19" s="9">
        <f t="shared" si="2"/>
        <v>69.684210526314942</v>
      </c>
      <c r="L19" s="4">
        <f>IFERROR(VLOOKUP($A:$A,MASTER!$A:$T,15,0),0)</f>
        <v>10424954.954954956</v>
      </c>
      <c r="M19" s="4">
        <f>IFERROR(VLOOKUP($A:$A,MASTER!$A:$T,16,0),0)</f>
        <v>10537819.819819819</v>
      </c>
      <c r="N19" s="9">
        <f t="shared" si="3"/>
        <v>-1.0710456887162212E-2</v>
      </c>
      <c r="O19" s="4">
        <f>IFERROR(VLOOKUP($A:$A,MASTER!$A:$T,17,0),0)</f>
        <v>513513.51351351303</v>
      </c>
      <c r="P19" s="4">
        <f>IFERROR(VLOOKUP($A:$A,MASTER!$A:$T,18,0),0)</f>
        <v>1210270.270270271</v>
      </c>
      <c r="Q19" s="9">
        <f t="shared" si="4"/>
        <v>-0.5757034390352842</v>
      </c>
      <c r="R19" s="4">
        <f>IFERROR(VLOOKUP($A:$A,MASTER!$A:$T,19,0),0)</f>
        <v>2815</v>
      </c>
      <c r="S19" s="4">
        <f>IFERROR(VLOOKUP($A:$A,MASTER!$A:$T,20,0),0)</f>
        <v>2860</v>
      </c>
      <c r="T19" s="9">
        <f t="shared" si="5"/>
        <v>-1.5734265734265729E-2</v>
      </c>
      <c r="U19" s="13">
        <f>IFERROR(VLOOKUP(A:A,MASTER!A:K,11,0),0)</f>
        <v>7</v>
      </c>
      <c r="V19" s="13">
        <f>IFERROR(VLOOKUP(A:A,MASTER!A:L,12,0),0)</f>
        <v>2</v>
      </c>
      <c r="W19" s="9">
        <f t="shared" si="6"/>
        <v>2.5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274014475.67567569</v>
      </c>
      <c r="G20" s="4">
        <f>IFERROR(VLOOKUP(A:A,MASTER!A:F,6,0),0)</f>
        <v>275724536.93693691</v>
      </c>
      <c r="H20" s="9">
        <f t="shared" si="1"/>
        <v>-6.2020641334954441E-3</v>
      </c>
      <c r="I20" s="4">
        <f>IFERROR(VLOOKUP(A:A,MASTER!A:M,13,0),0)</f>
        <v>24447522.52252252</v>
      </c>
      <c r="J20" s="4">
        <f>IFERROR(VLOOKUP($A:$A,MASTER!$A:$T,14,0),0)</f>
        <v>16150900.9009009</v>
      </c>
      <c r="K20" s="9">
        <f t="shared" si="2"/>
        <v>0.51369404546088404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99354642.705789655</v>
      </c>
      <c r="D21" s="4">
        <f>IFERROR(VLOOKUP($A:$A,MASTER!$A:$T,4,0),0)</f>
        <v>90968257.56948407</v>
      </c>
      <c r="E21" s="9">
        <f t="shared" si="0"/>
        <v>9.2190236027108963E-2</v>
      </c>
      <c r="F21" s="4">
        <f>IFERROR(VLOOKUP(A:A,MASTER!A:E,5,0),0)</f>
        <v>84234.234234236006</v>
      </c>
      <c r="G21" s="4">
        <f>IFERROR(VLOOKUP(A:A,MASTER!A:F,6,0),0)</f>
        <v>545945.94594594801</v>
      </c>
      <c r="H21" s="9">
        <f t="shared" si="1"/>
        <v>-0.84570957095709298</v>
      </c>
      <c r="I21" s="4">
        <f>IFERROR(VLOOKUP(A:A,MASTER!A:M,13,0),0)</f>
        <v>14050360.360360356</v>
      </c>
      <c r="J21" s="4">
        <f>IFERROR(VLOOKUP($A:$A,MASTER!$A:$T,14,0),0)</f>
        <v>17542612.612612616</v>
      </c>
      <c r="K21" s="9">
        <f t="shared" si="2"/>
        <v>-0.1990725286689301</v>
      </c>
      <c r="L21" s="4">
        <f>IFERROR(VLOOKUP($A:$A,MASTER!$A:$T,15,0),0)</f>
        <v>54021986.486486487</v>
      </c>
      <c r="M21" s="4">
        <f>IFERROR(VLOOKUP($A:$A,MASTER!$A:$T,16,0),0)</f>
        <v>50373441.441441439</v>
      </c>
      <c r="N21" s="9">
        <f t="shared" si="3"/>
        <v>7.2429934120868955E-2</v>
      </c>
      <c r="O21" s="4">
        <f>IFERROR(VLOOKUP($A:$A,MASTER!$A:$T,17,0),0)</f>
        <v>20518738.738738734</v>
      </c>
      <c r="P21" s="4">
        <f>IFERROR(VLOOKUP($A:$A,MASTER!$A:$T,18,0),0)</f>
        <v>19841621.621621624</v>
      </c>
      <c r="Q21" s="9">
        <f t="shared" si="4"/>
        <v>3.4126097656214105E-2</v>
      </c>
      <c r="R21" s="4">
        <f>IFERROR(VLOOKUP($A:$A,MASTER!$A:$T,19,0),0)</f>
        <v>7475</v>
      </c>
      <c r="S21" s="4">
        <f>IFERROR(VLOOKUP($A:$A,MASTER!$A:$T,20,0),0)</f>
        <v>6889</v>
      </c>
      <c r="T21" s="9">
        <f t="shared" si="5"/>
        <v>8.5063144142836444E-2</v>
      </c>
      <c r="U21" s="13">
        <f>IFERROR(VLOOKUP(A:A,MASTER!A:K,11,0),0)</f>
        <v>10</v>
      </c>
      <c r="V21" s="13">
        <f>IFERROR(VLOOKUP(A:A,MASTER!A:L,12,0),0)</f>
        <v>91</v>
      </c>
      <c r="W21" s="9">
        <f t="shared" si="6"/>
        <v>-0.89010989010989006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51666955.131289423</v>
      </c>
      <c r="D22" s="4">
        <f>IFERROR(VLOOKUP($A:$A,MASTER!$A:$T,4,0),0)</f>
        <v>46412928.868075781</v>
      </c>
      <c r="E22" s="9">
        <f t="shared" si="0"/>
        <v>0.11320178216177013</v>
      </c>
      <c r="F22" s="4">
        <f>IFERROR(VLOOKUP(A:A,MASTER!A:E,5,0),0)</f>
        <v>34234.234234235999</v>
      </c>
      <c r="G22" s="4">
        <f>IFERROR(VLOOKUP(A:A,MASTER!A:F,6,0),0)</f>
        <v>657657.65765765903</v>
      </c>
      <c r="H22" s="9">
        <f t="shared" si="1"/>
        <v>-0.94794520547944949</v>
      </c>
      <c r="I22" s="4">
        <f>IFERROR(VLOOKUP(A:A,MASTER!A:M,13,0),0)</f>
        <v>3277477.4774774788</v>
      </c>
      <c r="J22" s="4">
        <f>IFERROR(VLOOKUP($A:$A,MASTER!$A:$T,14,0),0)</f>
        <v>22231531.531531531</v>
      </c>
      <c r="K22" s="9">
        <f t="shared" si="2"/>
        <v>-0.85257527252097087</v>
      </c>
      <c r="L22" s="4">
        <f>IFERROR(VLOOKUP($A:$A,MASTER!$A:$T,15,0),0)</f>
        <v>16815936.936936937</v>
      </c>
      <c r="M22" s="4">
        <f>IFERROR(VLOOKUP($A:$A,MASTER!$A:$T,16,0),0)</f>
        <v>16307189.189189188</v>
      </c>
      <c r="N22" s="9">
        <f t="shared" si="3"/>
        <v>3.1197758353415095E-2</v>
      </c>
      <c r="O22" s="4">
        <f>IFERROR(VLOOKUP($A:$A,MASTER!$A:$T,17,0),0)</f>
        <v>3117117.1171171172</v>
      </c>
      <c r="P22" s="4">
        <f>IFERROR(VLOOKUP($A:$A,MASTER!$A:$T,18,0),0)</f>
        <v>23780450.45045045</v>
      </c>
      <c r="Q22" s="9">
        <f t="shared" si="4"/>
        <v>-0.86892102302216601</v>
      </c>
      <c r="R22" s="4">
        <f>IFERROR(VLOOKUP($A:$A,MASTER!$A:$T,19,0),0)</f>
        <v>4068</v>
      </c>
      <c r="S22" s="4">
        <f>IFERROR(VLOOKUP($A:$A,MASTER!$A:$T,20,0),0)</f>
        <v>3992</v>
      </c>
      <c r="T22" s="9">
        <f t="shared" si="5"/>
        <v>1.9038076152304573E-2</v>
      </c>
      <c r="U22" s="13">
        <f>IFERROR(VLOOKUP(A:A,MASTER!A:K,11,0),0)</f>
        <v>5</v>
      </c>
      <c r="V22" s="13">
        <f>IFERROR(VLOOKUP(A:A,MASTER!A:L,12,0),0)</f>
        <v>8</v>
      </c>
      <c r="W22" s="9">
        <f t="shared" si="6"/>
        <v>-0.375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2" topLeftCell="B558" activePane="bottomRight" state="frozen"/>
      <selection pane="topRight" activeCell="B1" sqref="B1"/>
      <selection pane="bottomLeft" activeCell="A3" sqref="A3"/>
      <selection pane="bottomRight" activeCell="A4" sqref="A4:A574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671</v>
      </c>
      <c r="B4" s="12" t="s">
        <v>117</v>
      </c>
      <c r="E4">
        <v>1013513.513513514</v>
      </c>
      <c r="M4">
        <v>2009684.684684685</v>
      </c>
      <c r="N4">
        <v>279729.72972973</v>
      </c>
    </row>
    <row r="5" spans="1:20" x14ac:dyDescent="0.35">
      <c r="A5" s="7" t="s">
        <v>47</v>
      </c>
      <c r="B5" s="12" t="s">
        <v>48</v>
      </c>
      <c r="C5">
        <v>137960581.74681371</v>
      </c>
      <c r="D5">
        <v>148305104.44605517</v>
      </c>
      <c r="E5">
        <v>297297.29729729798</v>
      </c>
      <c r="F5">
        <v>340315.31531531602</v>
      </c>
      <c r="G5">
        <v>9</v>
      </c>
      <c r="H5">
        <v>19</v>
      </c>
      <c r="K5">
        <v>10</v>
      </c>
      <c r="L5">
        <v>22</v>
      </c>
      <c r="M5">
        <v>2340540.5405405411</v>
      </c>
      <c r="N5">
        <v>8781981.9819819853</v>
      </c>
      <c r="O5">
        <v>17145045.045045044</v>
      </c>
      <c r="P5">
        <v>18980351.351351351</v>
      </c>
      <c r="Q5">
        <v>4105945.9459459451</v>
      </c>
      <c r="R5">
        <v>4553063.0630630646</v>
      </c>
      <c r="S5">
        <v>7634</v>
      </c>
      <c r="T5">
        <v>8312</v>
      </c>
    </row>
    <row r="6" spans="1:20" x14ac:dyDescent="0.35">
      <c r="A6" s="7" t="s">
        <v>49</v>
      </c>
      <c r="B6" s="12" t="s">
        <v>50</v>
      </c>
      <c r="C6">
        <v>242890771.54612228</v>
      </c>
      <c r="D6">
        <v>235145569.30396661</v>
      </c>
      <c r="E6">
        <v>1539819.819819822</v>
      </c>
      <c r="F6">
        <v>1614414.4144144219</v>
      </c>
      <c r="G6">
        <v>46</v>
      </c>
      <c r="H6">
        <v>69</v>
      </c>
      <c r="I6">
        <v>1</v>
      </c>
      <c r="K6">
        <v>57</v>
      </c>
      <c r="L6">
        <v>176</v>
      </c>
      <c r="M6">
        <v>55554774.774774775</v>
      </c>
      <c r="N6">
        <v>34187927.927927934</v>
      </c>
      <c r="O6">
        <v>70458247.747747749</v>
      </c>
      <c r="P6">
        <v>71651873.873873875</v>
      </c>
      <c r="Q6">
        <v>51510180.180180185</v>
      </c>
      <c r="R6">
        <v>30925315.315315321</v>
      </c>
      <c r="S6">
        <v>20322</v>
      </c>
      <c r="T6">
        <v>21724</v>
      </c>
    </row>
    <row r="7" spans="1:20" x14ac:dyDescent="0.35">
      <c r="A7" s="7" t="s">
        <v>51</v>
      </c>
      <c r="B7" s="12" t="s">
        <v>52</v>
      </c>
      <c r="C7">
        <v>57850365.716777749</v>
      </c>
      <c r="D7">
        <v>57094841.074203789</v>
      </c>
      <c r="E7">
        <v>41441.441441442003</v>
      </c>
      <c r="F7">
        <v>344144.14414414502</v>
      </c>
      <c r="G7">
        <v>8</v>
      </c>
      <c r="H7">
        <v>13</v>
      </c>
      <c r="K7">
        <v>10</v>
      </c>
      <c r="L7">
        <v>15</v>
      </c>
      <c r="M7">
        <v>3598198.1981981979</v>
      </c>
      <c r="N7">
        <v>4245045.0450450471</v>
      </c>
      <c r="O7">
        <v>18922369.369369369</v>
      </c>
      <c r="P7">
        <v>18424756.756756756</v>
      </c>
      <c r="Q7">
        <v>4347297.297297297</v>
      </c>
      <c r="R7">
        <v>4588468.4684684696</v>
      </c>
      <c r="S7">
        <v>4532</v>
      </c>
      <c r="T7">
        <v>4473</v>
      </c>
    </row>
    <row r="8" spans="1:20" x14ac:dyDescent="0.35">
      <c r="A8" s="7" t="s">
        <v>53</v>
      </c>
      <c r="B8" s="12" t="s">
        <v>54</v>
      </c>
      <c r="C8">
        <v>32083939.39739617</v>
      </c>
      <c r="D8">
        <v>31626332.191717301</v>
      </c>
      <c r="E8">
        <v>261711.71171171399</v>
      </c>
      <c r="F8">
        <v>198198.19819820099</v>
      </c>
      <c r="G8">
        <v>3</v>
      </c>
      <c r="H8">
        <v>7</v>
      </c>
      <c r="K8">
        <v>7</v>
      </c>
      <c r="L8">
        <v>8</v>
      </c>
      <c r="M8">
        <v>3009459.4594594589</v>
      </c>
      <c r="N8">
        <v>3239279.2792792809</v>
      </c>
      <c r="O8">
        <v>10489963.963963963</v>
      </c>
      <c r="P8">
        <v>10154378.37837838</v>
      </c>
      <c r="Q8">
        <v>3317297.297297297</v>
      </c>
      <c r="R8">
        <v>3261621.6216216232</v>
      </c>
      <c r="S8">
        <v>3630</v>
      </c>
      <c r="T8">
        <v>3660</v>
      </c>
    </row>
    <row r="9" spans="1:20" x14ac:dyDescent="0.35">
      <c r="A9" s="7" t="s">
        <v>55</v>
      </c>
      <c r="B9" s="12" t="s">
        <v>54</v>
      </c>
      <c r="C9">
        <v>53147061.667987719</v>
      </c>
      <c r="D9">
        <v>50672763.20265761</v>
      </c>
      <c r="E9">
        <v>368918.91891891998</v>
      </c>
      <c r="F9">
        <v>973873.87387387897</v>
      </c>
      <c r="G9">
        <v>17</v>
      </c>
      <c r="H9">
        <v>10</v>
      </c>
      <c r="K9">
        <v>32</v>
      </c>
      <c r="L9">
        <v>29</v>
      </c>
      <c r="M9">
        <v>9377927.927927928</v>
      </c>
      <c r="N9">
        <v>7220720.7207207251</v>
      </c>
      <c r="O9">
        <v>13028765.765765764</v>
      </c>
      <c r="P9">
        <v>14410486.486486483</v>
      </c>
      <c r="Q9">
        <v>9667477.477477476</v>
      </c>
      <c r="R9">
        <v>20703513.513513513</v>
      </c>
      <c r="S9">
        <v>4490</v>
      </c>
      <c r="T9">
        <v>4250</v>
      </c>
    </row>
    <row r="10" spans="1:20" x14ac:dyDescent="0.35">
      <c r="A10" s="7" t="s">
        <v>56</v>
      </c>
      <c r="B10" s="12" t="s">
        <v>54</v>
      </c>
      <c r="C10">
        <v>26658321.673367113</v>
      </c>
      <c r="D10">
        <v>25366459.819375776</v>
      </c>
      <c r="E10">
        <v>275855.85585585597</v>
      </c>
      <c r="F10">
        <v>463063.06306306401</v>
      </c>
      <c r="G10">
        <v>1</v>
      </c>
      <c r="H10">
        <v>6</v>
      </c>
      <c r="K10">
        <v>2</v>
      </c>
      <c r="L10">
        <v>8</v>
      </c>
      <c r="M10">
        <v>1574054.054054053</v>
      </c>
      <c r="N10">
        <v>3840000.0000000009</v>
      </c>
      <c r="O10">
        <v>7923918.9189189188</v>
      </c>
      <c r="P10">
        <v>7883063.0630630637</v>
      </c>
      <c r="Q10">
        <v>1425585.5855855851</v>
      </c>
      <c r="R10">
        <v>3306306.3063063091</v>
      </c>
      <c r="S10">
        <v>2056</v>
      </c>
      <c r="T10">
        <v>2007</v>
      </c>
    </row>
    <row r="11" spans="1:20" x14ac:dyDescent="0.35">
      <c r="A11" s="7" t="s">
        <v>57</v>
      </c>
      <c r="B11" s="12" t="s">
        <v>58</v>
      </c>
      <c r="C11">
        <v>66990813.287240349</v>
      </c>
      <c r="D11">
        <v>68932016.5142304</v>
      </c>
      <c r="E11">
        <v>903603.60360360402</v>
      </c>
      <c r="F11">
        <v>54054.054054056003</v>
      </c>
      <c r="G11">
        <v>12</v>
      </c>
      <c r="H11">
        <v>18</v>
      </c>
      <c r="K11">
        <v>19</v>
      </c>
      <c r="L11">
        <v>26</v>
      </c>
      <c r="M11">
        <v>3155855.8558558561</v>
      </c>
      <c r="N11">
        <v>1945945.945945946</v>
      </c>
      <c r="O11">
        <v>11590405.405405404</v>
      </c>
      <c r="P11">
        <v>12644180.180180181</v>
      </c>
      <c r="Q11">
        <v>1676756.7567567569</v>
      </c>
      <c r="R11">
        <v>1269009.009009009</v>
      </c>
      <c r="S11">
        <v>6333</v>
      </c>
      <c r="T11">
        <v>5562</v>
      </c>
    </row>
    <row r="12" spans="1:20" x14ac:dyDescent="0.35">
      <c r="A12" s="7" t="s">
        <v>59</v>
      </c>
      <c r="B12" s="12" t="s">
        <v>60</v>
      </c>
      <c r="C12">
        <v>30343369.177748073</v>
      </c>
      <c r="D12">
        <v>28207826.131738566</v>
      </c>
      <c r="E12">
        <v>8648.6486486489994</v>
      </c>
      <c r="F12">
        <v>155855.85585585801</v>
      </c>
      <c r="G12">
        <v>3</v>
      </c>
      <c r="H12">
        <v>13</v>
      </c>
      <c r="K12">
        <v>4</v>
      </c>
      <c r="L12">
        <v>24</v>
      </c>
      <c r="M12">
        <v>1450090.090090089</v>
      </c>
      <c r="N12">
        <v>4146846.8468468459</v>
      </c>
      <c r="O12">
        <v>14111117.117117116</v>
      </c>
      <c r="P12">
        <v>12030378.37837838</v>
      </c>
      <c r="Q12">
        <v>2836846.8468468459</v>
      </c>
      <c r="R12">
        <v>2620810.8108108109</v>
      </c>
      <c r="S12">
        <v>2819</v>
      </c>
      <c r="T12">
        <v>2914</v>
      </c>
    </row>
    <row r="13" spans="1:20" x14ac:dyDescent="0.35">
      <c r="A13" s="7" t="s">
        <v>61</v>
      </c>
      <c r="B13" s="12" t="s">
        <v>62</v>
      </c>
      <c r="C13">
        <v>139930311.1928218</v>
      </c>
      <c r="D13">
        <v>131537865.55547215</v>
      </c>
      <c r="E13">
        <v>30630.630630632</v>
      </c>
      <c r="F13">
        <v>825675.675675684</v>
      </c>
      <c r="G13">
        <v>26</v>
      </c>
      <c r="H13">
        <v>13</v>
      </c>
      <c r="K13">
        <v>28</v>
      </c>
      <c r="L13">
        <v>15</v>
      </c>
      <c r="M13">
        <v>2881441.441441447</v>
      </c>
      <c r="N13">
        <v>5637297.297297298</v>
      </c>
      <c r="O13">
        <v>14717477.477477478</v>
      </c>
      <c r="P13">
        <v>12984648.648648648</v>
      </c>
      <c r="Q13">
        <v>2099189.1891891928</v>
      </c>
      <c r="R13">
        <v>4809459.4594594557</v>
      </c>
      <c r="S13">
        <v>8639</v>
      </c>
      <c r="T13">
        <v>8713</v>
      </c>
    </row>
    <row r="14" spans="1:20" x14ac:dyDescent="0.35">
      <c r="A14" s="7" t="s">
        <v>63</v>
      </c>
      <c r="B14" s="12" t="s">
        <v>50</v>
      </c>
      <c r="C14">
        <v>74951608.102485403</v>
      </c>
      <c r="D14">
        <v>69829483.679261684</v>
      </c>
      <c r="E14">
        <v>59718761.261261262</v>
      </c>
      <c r="F14">
        <v>143641234.23423424</v>
      </c>
      <c r="G14">
        <v>10</v>
      </c>
      <c r="H14">
        <v>10</v>
      </c>
      <c r="K14">
        <v>10</v>
      </c>
      <c r="L14">
        <v>27</v>
      </c>
      <c r="M14">
        <v>98509914.414414421</v>
      </c>
      <c r="N14">
        <v>14517657.657657661</v>
      </c>
      <c r="O14">
        <v>26496612.612612613</v>
      </c>
      <c r="P14">
        <v>25550171.17117117</v>
      </c>
      <c r="Q14">
        <v>21841531.531531528</v>
      </c>
      <c r="R14">
        <v>13145225.225225229</v>
      </c>
      <c r="S14">
        <v>5708</v>
      </c>
      <c r="T14">
        <v>5555</v>
      </c>
    </row>
    <row r="15" spans="1:20" x14ac:dyDescent="0.35">
      <c r="A15" s="7" t="s">
        <v>64</v>
      </c>
      <c r="B15" s="12" t="s">
        <v>50</v>
      </c>
      <c r="C15">
        <v>76121148.345224306</v>
      </c>
      <c r="D15">
        <v>71645122.175893053</v>
      </c>
      <c r="E15">
        <v>817567.56756756804</v>
      </c>
      <c r="F15">
        <v>1302702.7027027039</v>
      </c>
      <c r="G15">
        <v>10</v>
      </c>
      <c r="H15">
        <v>24</v>
      </c>
      <c r="K15">
        <v>11</v>
      </c>
      <c r="L15">
        <v>34</v>
      </c>
      <c r="M15">
        <v>10791801.801801803</v>
      </c>
      <c r="N15">
        <v>7224864.8648648653</v>
      </c>
      <c r="O15">
        <v>27948270.270270273</v>
      </c>
      <c r="P15">
        <v>26425288.288288288</v>
      </c>
      <c r="Q15">
        <v>10870180.180180181</v>
      </c>
      <c r="R15">
        <v>7323243.2432432435</v>
      </c>
      <c r="S15">
        <v>5644</v>
      </c>
      <c r="T15">
        <v>5446</v>
      </c>
    </row>
    <row r="16" spans="1:20" x14ac:dyDescent="0.35">
      <c r="A16" s="7" t="s">
        <v>65</v>
      </c>
      <c r="B16" s="12" t="s">
        <v>66</v>
      </c>
      <c r="C16">
        <v>73575068.88624385</v>
      </c>
      <c r="D16">
        <v>73203692.64183262</v>
      </c>
      <c r="E16">
        <v>1399189.18918919</v>
      </c>
      <c r="F16">
        <v>1039639.639639643</v>
      </c>
      <c r="G16">
        <v>14</v>
      </c>
      <c r="H16">
        <v>11</v>
      </c>
      <c r="K16">
        <v>17</v>
      </c>
      <c r="L16">
        <v>40</v>
      </c>
      <c r="M16">
        <v>27610540.540540542</v>
      </c>
      <c r="N16">
        <v>23329729.729729727</v>
      </c>
      <c r="O16">
        <v>35910171.171171166</v>
      </c>
      <c r="P16">
        <v>38288288.288288288</v>
      </c>
      <c r="Q16">
        <v>17588648.648648653</v>
      </c>
      <c r="R16">
        <v>18248828.82882883</v>
      </c>
      <c r="S16">
        <v>5681</v>
      </c>
      <c r="T16">
        <v>6316</v>
      </c>
    </row>
    <row r="17" spans="1:20" x14ac:dyDescent="0.35">
      <c r="A17" s="7" t="s">
        <v>67</v>
      </c>
      <c r="B17" s="12" t="s">
        <v>68</v>
      </c>
      <c r="C17">
        <v>38607696.939658158</v>
      </c>
      <c r="D17">
        <v>41351645.419982269</v>
      </c>
      <c r="E17">
        <v>280630.630630631</v>
      </c>
      <c r="F17">
        <v>619819.81981982</v>
      </c>
      <c r="G17">
        <v>9</v>
      </c>
      <c r="H17">
        <v>8</v>
      </c>
      <c r="K17">
        <v>10</v>
      </c>
      <c r="L17">
        <v>9</v>
      </c>
      <c r="M17">
        <v>6454324.3243243229</v>
      </c>
      <c r="N17">
        <v>9332432.4324324317</v>
      </c>
      <c r="O17">
        <v>10004234.234234234</v>
      </c>
      <c r="P17">
        <v>12349828.828828828</v>
      </c>
      <c r="Q17">
        <v>5566846.8468468469</v>
      </c>
      <c r="R17">
        <v>5876576.5765765738</v>
      </c>
      <c r="S17">
        <v>3418</v>
      </c>
      <c r="T17">
        <v>3108</v>
      </c>
    </row>
    <row r="18" spans="1:20" x14ac:dyDescent="0.35">
      <c r="A18" s="7" t="s">
        <v>69</v>
      </c>
      <c r="B18" s="12" t="s">
        <v>70</v>
      </c>
      <c r="C18">
        <v>3263463.3233572999</v>
      </c>
      <c r="D18">
        <v>3422472.3328123288</v>
      </c>
      <c r="E18">
        <v>13094784.684684685</v>
      </c>
      <c r="F18">
        <v>82203787.387387395</v>
      </c>
      <c r="G18">
        <v>1</v>
      </c>
      <c r="H18">
        <v>1</v>
      </c>
      <c r="K18">
        <v>1</v>
      </c>
      <c r="L18">
        <v>1</v>
      </c>
      <c r="M18">
        <v>41024590.090090089</v>
      </c>
      <c r="N18">
        <v>43548883.783783786</v>
      </c>
      <c r="O18">
        <v>744324.32432432403</v>
      </c>
      <c r="P18">
        <v>1200765.7657657659</v>
      </c>
      <c r="R18">
        <v>124324.324324324</v>
      </c>
      <c r="S18">
        <v>444</v>
      </c>
      <c r="T18">
        <v>268</v>
      </c>
    </row>
    <row r="19" spans="1:20" x14ac:dyDescent="0.35">
      <c r="A19" s="7" t="s">
        <v>71</v>
      </c>
      <c r="B19" s="12" t="s">
        <v>72</v>
      </c>
      <c r="C19">
        <v>598852990.5080353</v>
      </c>
      <c r="D19">
        <v>562460830.63765275</v>
      </c>
      <c r="E19">
        <v>262896870.27027026</v>
      </c>
      <c r="F19">
        <v>108610008.10810813</v>
      </c>
      <c r="G19">
        <v>133</v>
      </c>
      <c r="H19">
        <v>122</v>
      </c>
      <c r="I19">
        <v>6</v>
      </c>
      <c r="K19">
        <v>176</v>
      </c>
      <c r="L19">
        <v>207</v>
      </c>
      <c r="M19">
        <v>62684954.954954952</v>
      </c>
      <c r="N19">
        <v>59522529.729729727</v>
      </c>
      <c r="O19">
        <v>114777214.41441442</v>
      </c>
      <c r="P19">
        <v>118051164.86486487</v>
      </c>
      <c r="Q19">
        <v>60137117.117117122</v>
      </c>
      <c r="R19">
        <v>56202792.79279279</v>
      </c>
      <c r="S19">
        <v>45697</v>
      </c>
      <c r="T19">
        <v>45659</v>
      </c>
    </row>
    <row r="20" spans="1:20" x14ac:dyDescent="0.35">
      <c r="A20" s="7" t="s">
        <v>73</v>
      </c>
      <c r="B20" s="12" t="s">
        <v>72</v>
      </c>
      <c r="C20">
        <v>59103756.318952054</v>
      </c>
      <c r="D20">
        <v>58797150.520847388</v>
      </c>
      <c r="E20">
        <v>3603.603603604</v>
      </c>
      <c r="F20">
        <v>40540.540540540998</v>
      </c>
      <c r="G20">
        <v>10</v>
      </c>
      <c r="H20">
        <v>6</v>
      </c>
      <c r="K20">
        <v>10</v>
      </c>
      <c r="L20">
        <v>10</v>
      </c>
      <c r="M20">
        <v>454054.05405405402</v>
      </c>
      <c r="N20">
        <v>2427927.9279279271</v>
      </c>
      <c r="O20">
        <v>8004279.2792792805</v>
      </c>
      <c r="P20">
        <v>8982153.1531531531</v>
      </c>
      <c r="Q20">
        <v>591261.261261262</v>
      </c>
      <c r="R20">
        <v>1870630.630630631</v>
      </c>
      <c r="S20">
        <v>3481</v>
      </c>
      <c r="T20">
        <v>3598</v>
      </c>
    </row>
    <row r="21" spans="1:20" x14ac:dyDescent="0.35">
      <c r="A21" s="7" t="s">
        <v>74</v>
      </c>
      <c r="B21" s="12" t="s">
        <v>70</v>
      </c>
      <c r="C21">
        <v>60366127.56730786</v>
      </c>
      <c r="D21">
        <v>57939213.044661589</v>
      </c>
      <c r="E21">
        <v>131171.171171172</v>
      </c>
      <c r="F21">
        <v>1681081.081081084</v>
      </c>
      <c r="G21">
        <v>9</v>
      </c>
      <c r="H21">
        <v>11</v>
      </c>
      <c r="K21">
        <v>15</v>
      </c>
      <c r="L21">
        <v>18</v>
      </c>
      <c r="M21">
        <v>9850090.0900900923</v>
      </c>
      <c r="N21">
        <v>11756756.756756762</v>
      </c>
      <c r="O21">
        <v>20436441.441441439</v>
      </c>
      <c r="P21">
        <v>20668594.59459459</v>
      </c>
      <c r="Q21">
        <v>22589909.909909915</v>
      </c>
      <c r="R21">
        <v>9336216.2162162196</v>
      </c>
      <c r="S21">
        <v>4450</v>
      </c>
      <c r="T21">
        <v>4327</v>
      </c>
    </row>
    <row r="22" spans="1:20" x14ac:dyDescent="0.35">
      <c r="A22" s="7" t="s">
        <v>75</v>
      </c>
      <c r="B22" s="12" t="s">
        <v>76</v>
      </c>
      <c r="C22">
        <v>18343439.775455114</v>
      </c>
      <c r="D22">
        <v>16649536.138139248</v>
      </c>
      <c r="E22">
        <v>13513.513513514001</v>
      </c>
      <c r="F22">
        <v>16216.216216216</v>
      </c>
      <c r="G22">
        <v>6</v>
      </c>
      <c r="H22">
        <v>1</v>
      </c>
      <c r="K22">
        <v>8</v>
      </c>
      <c r="L22">
        <v>2</v>
      </c>
      <c r="M22">
        <v>1454954.9549549541</v>
      </c>
      <c r="N22">
        <v>1457657.6576576571</v>
      </c>
      <c r="O22">
        <v>4562252.2522522528</v>
      </c>
      <c r="P22">
        <v>3749288.2882882878</v>
      </c>
      <c r="Q22">
        <v>1667117.1171171169</v>
      </c>
      <c r="R22">
        <v>707567.56756756804</v>
      </c>
      <c r="S22">
        <v>1466</v>
      </c>
      <c r="T22">
        <v>1467</v>
      </c>
    </row>
    <row r="23" spans="1:20" x14ac:dyDescent="0.35">
      <c r="A23" s="7" t="s">
        <v>77</v>
      </c>
      <c r="B23" s="12" t="s">
        <v>78</v>
      </c>
      <c r="C23">
        <v>39440667.421007857</v>
      </c>
      <c r="D23">
        <v>36144400.12794777</v>
      </c>
      <c r="E23">
        <v>97387.387387387993</v>
      </c>
      <c r="F23">
        <v>566666.66666666802</v>
      </c>
      <c r="G23">
        <v>10</v>
      </c>
      <c r="H23">
        <v>7</v>
      </c>
      <c r="K23">
        <v>11</v>
      </c>
      <c r="L23">
        <v>8</v>
      </c>
      <c r="M23">
        <v>4664954.9549549539</v>
      </c>
      <c r="N23">
        <v>3359459.4594594599</v>
      </c>
      <c r="O23">
        <v>11726216.216216216</v>
      </c>
      <c r="P23">
        <v>11600306.306306304</v>
      </c>
      <c r="Q23">
        <v>3577117.1171171172</v>
      </c>
      <c r="R23">
        <v>4277567.5675675664</v>
      </c>
      <c r="S23">
        <v>2546</v>
      </c>
      <c r="T23">
        <v>2444</v>
      </c>
    </row>
    <row r="24" spans="1:20" x14ac:dyDescent="0.35">
      <c r="A24" s="7" t="s">
        <v>79</v>
      </c>
      <c r="B24" s="12" t="s">
        <v>80</v>
      </c>
      <c r="C24">
        <v>356663269.02085352</v>
      </c>
      <c r="D24">
        <v>322720150.0333069</v>
      </c>
      <c r="E24">
        <v>584234.23423423897</v>
      </c>
      <c r="F24">
        <v>1863963.9639639731</v>
      </c>
      <c r="G24">
        <v>85</v>
      </c>
      <c r="H24">
        <v>70</v>
      </c>
      <c r="I24">
        <v>2</v>
      </c>
      <c r="K24">
        <v>126</v>
      </c>
      <c r="L24">
        <v>101</v>
      </c>
      <c r="M24">
        <v>168324594.5945946</v>
      </c>
      <c r="N24">
        <v>37466666.666666664</v>
      </c>
      <c r="O24">
        <v>88898869.369369373</v>
      </c>
      <c r="P24">
        <v>84795045.045045033</v>
      </c>
      <c r="Q24">
        <v>27631171.171171173</v>
      </c>
      <c r="R24">
        <v>30349909.909909911</v>
      </c>
      <c r="S24">
        <v>26816</v>
      </c>
      <c r="T24">
        <v>25961</v>
      </c>
    </row>
    <row r="25" spans="1:20" x14ac:dyDescent="0.35">
      <c r="A25" s="7" t="s">
        <v>81</v>
      </c>
      <c r="B25" s="12" t="s">
        <v>54</v>
      </c>
      <c r="C25">
        <v>10212995.1222429</v>
      </c>
      <c r="D25">
        <v>10277286.431052079</v>
      </c>
      <c r="E25">
        <v>3603.603603604</v>
      </c>
      <c r="F25">
        <v>63963.963963964998</v>
      </c>
      <c r="G25">
        <v>3</v>
      </c>
      <c r="H25">
        <v>3</v>
      </c>
      <c r="K25">
        <v>4</v>
      </c>
      <c r="L25">
        <v>3</v>
      </c>
      <c r="M25">
        <v>589639.63963963895</v>
      </c>
      <c r="N25">
        <v>897297.29729729705</v>
      </c>
      <c r="O25">
        <v>2290630.630630631</v>
      </c>
      <c r="P25">
        <v>2469504.5045045032</v>
      </c>
      <c r="Q25">
        <v>706846.84684684698</v>
      </c>
      <c r="R25">
        <v>614234.23423423397</v>
      </c>
      <c r="S25">
        <v>1364</v>
      </c>
      <c r="T25">
        <v>1275</v>
      </c>
    </row>
    <row r="26" spans="1:20" x14ac:dyDescent="0.35">
      <c r="A26" s="7" t="s">
        <v>82</v>
      </c>
      <c r="B26" s="12" t="s">
        <v>83</v>
      </c>
      <c r="C26">
        <v>253951878.19184583</v>
      </c>
      <c r="D26">
        <v>245946654.23593843</v>
      </c>
      <c r="E26">
        <v>1820810.8108108109</v>
      </c>
      <c r="F26">
        <v>1965990.9909909959</v>
      </c>
      <c r="G26">
        <v>40</v>
      </c>
      <c r="H26">
        <v>38</v>
      </c>
      <c r="K26">
        <v>45</v>
      </c>
      <c r="L26">
        <v>50</v>
      </c>
      <c r="M26">
        <v>38721711.711711712</v>
      </c>
      <c r="N26">
        <v>70840990.990990996</v>
      </c>
      <c r="O26">
        <v>69116070.270270273</v>
      </c>
      <c r="P26">
        <v>65457869.369369365</v>
      </c>
      <c r="Q26">
        <v>33205405.405405402</v>
      </c>
      <c r="R26">
        <v>28515315.315315314</v>
      </c>
      <c r="S26">
        <v>15349</v>
      </c>
      <c r="T26">
        <v>15018</v>
      </c>
    </row>
    <row r="27" spans="1:20" x14ac:dyDescent="0.35">
      <c r="A27" s="7" t="s">
        <v>84</v>
      </c>
      <c r="B27" s="12" t="s">
        <v>85</v>
      </c>
      <c r="C27">
        <v>24351076.094585866</v>
      </c>
      <c r="D27">
        <v>25736601.413836773</v>
      </c>
      <c r="E27">
        <v>94795710.810810819</v>
      </c>
      <c r="F27">
        <v>60193867.567567565</v>
      </c>
      <c r="G27">
        <v>7</v>
      </c>
      <c r="H27">
        <v>17</v>
      </c>
      <c r="K27">
        <v>9</v>
      </c>
      <c r="L27">
        <v>19</v>
      </c>
      <c r="M27">
        <v>24169819.819819819</v>
      </c>
      <c r="N27">
        <v>39158558.558558561</v>
      </c>
      <c r="O27">
        <v>7961216.2162162159</v>
      </c>
      <c r="P27">
        <v>8692990.9909909908</v>
      </c>
      <c r="Q27">
        <v>18730810.810810812</v>
      </c>
      <c r="R27">
        <v>37273063.063063063</v>
      </c>
      <c r="S27">
        <v>2351</v>
      </c>
      <c r="T27">
        <v>2238</v>
      </c>
    </row>
    <row r="28" spans="1:20" x14ac:dyDescent="0.35">
      <c r="A28" s="7" t="s">
        <v>86</v>
      </c>
      <c r="B28" s="12" t="s">
        <v>87</v>
      </c>
      <c r="C28">
        <v>1023126.844149876</v>
      </c>
      <c r="D28">
        <v>840364.60242092295</v>
      </c>
      <c r="G28">
        <v>2</v>
      </c>
      <c r="K28">
        <v>2</v>
      </c>
      <c r="O28">
        <v>327882.88288288302</v>
      </c>
      <c r="P28">
        <v>533702.70270270295</v>
      </c>
      <c r="S28">
        <v>173</v>
      </c>
      <c r="T28">
        <v>161</v>
      </c>
    </row>
    <row r="29" spans="1:20" x14ac:dyDescent="0.35">
      <c r="A29" s="7" t="s">
        <v>88</v>
      </c>
      <c r="B29" s="12" t="s">
        <v>89</v>
      </c>
      <c r="C29">
        <v>52924668.718524218</v>
      </c>
      <c r="D29">
        <v>48740312.656829648</v>
      </c>
      <c r="E29">
        <v>2702.7027027029999</v>
      </c>
      <c r="F29">
        <v>180180.18018018099</v>
      </c>
      <c r="G29">
        <v>6</v>
      </c>
      <c r="H29">
        <v>7</v>
      </c>
      <c r="K29">
        <v>7</v>
      </c>
      <c r="L29">
        <v>7</v>
      </c>
      <c r="M29">
        <v>4294234.2342342343</v>
      </c>
      <c r="N29">
        <v>2506666.6666666651</v>
      </c>
      <c r="O29">
        <v>16957792.792792793</v>
      </c>
      <c r="P29">
        <v>16020450.45045045</v>
      </c>
      <c r="Q29">
        <v>2899549.5495495512</v>
      </c>
      <c r="R29">
        <v>3334414.4144144119</v>
      </c>
      <c r="S29">
        <v>3435</v>
      </c>
      <c r="T29">
        <v>3224</v>
      </c>
    </row>
    <row r="30" spans="1:20" x14ac:dyDescent="0.35">
      <c r="A30" s="7" t="s">
        <v>90</v>
      </c>
      <c r="B30" s="12" t="s">
        <v>60</v>
      </c>
      <c r="C30">
        <v>16700405.373875579</v>
      </c>
      <c r="D30">
        <v>18549775.362067077</v>
      </c>
      <c r="E30">
        <v>7207.2072072069996</v>
      </c>
      <c r="F30">
        <v>17117.117117119</v>
      </c>
      <c r="G30">
        <v>4</v>
      </c>
      <c r="H30">
        <v>3</v>
      </c>
      <c r="K30">
        <v>5</v>
      </c>
      <c r="L30">
        <v>37</v>
      </c>
      <c r="M30">
        <v>908108.108108107</v>
      </c>
      <c r="N30">
        <v>1836936.936936938</v>
      </c>
      <c r="O30">
        <v>9027882.8828828838</v>
      </c>
      <c r="P30">
        <v>10601261.261261262</v>
      </c>
      <c r="Q30">
        <v>1110360.3603603591</v>
      </c>
      <c r="R30">
        <v>1667117.117117116</v>
      </c>
      <c r="S30">
        <v>1595</v>
      </c>
      <c r="T30">
        <v>2106</v>
      </c>
    </row>
    <row r="31" spans="1:20" x14ac:dyDescent="0.35">
      <c r="A31" s="7" t="s">
        <v>91</v>
      </c>
      <c r="B31" s="12" t="s">
        <v>92</v>
      </c>
      <c r="C31">
        <v>14776131.93535744</v>
      </c>
      <c r="D31">
        <v>14865122.876229679</v>
      </c>
      <c r="F31">
        <v>617117.11711711797</v>
      </c>
      <c r="G31">
        <v>3</v>
      </c>
      <c r="H31">
        <v>2</v>
      </c>
      <c r="K31">
        <v>4</v>
      </c>
      <c r="L31">
        <v>4</v>
      </c>
      <c r="M31">
        <v>60540.540540540998</v>
      </c>
      <c r="N31">
        <v>4094594.594594596</v>
      </c>
      <c r="O31">
        <v>5271801.8018018017</v>
      </c>
      <c r="P31">
        <v>4518621.6216216218</v>
      </c>
      <c r="Q31">
        <v>60540.540540540998</v>
      </c>
      <c r="R31">
        <v>4305855.8558558561</v>
      </c>
      <c r="S31">
        <v>1135</v>
      </c>
      <c r="T31">
        <v>1095</v>
      </c>
    </row>
    <row r="32" spans="1:20" x14ac:dyDescent="0.35">
      <c r="A32" s="7" t="s">
        <v>93</v>
      </c>
      <c r="B32" s="12" t="s">
        <v>94</v>
      </c>
      <c r="C32">
        <v>66237500.175764598</v>
      </c>
      <c r="D32">
        <v>60164256.486088865</v>
      </c>
      <c r="E32">
        <v>4504.5045045050001</v>
      </c>
      <c r="F32">
        <v>81081.081081083001</v>
      </c>
      <c r="G32">
        <v>11</v>
      </c>
      <c r="H32">
        <v>9</v>
      </c>
      <c r="K32">
        <v>16</v>
      </c>
      <c r="L32">
        <v>13</v>
      </c>
      <c r="M32">
        <v>4689189.18918919</v>
      </c>
      <c r="N32">
        <v>7518018.0180180194</v>
      </c>
      <c r="O32">
        <v>9542477.477477476</v>
      </c>
      <c r="P32">
        <v>10196899.0990991</v>
      </c>
      <c r="Q32">
        <v>6328918.9189189188</v>
      </c>
      <c r="R32">
        <v>6966756.7567567574</v>
      </c>
      <c r="S32">
        <v>4410</v>
      </c>
      <c r="T32">
        <v>4524</v>
      </c>
    </row>
    <row r="33" spans="1:20" x14ac:dyDescent="0.35">
      <c r="A33" s="7" t="s">
        <v>95</v>
      </c>
      <c r="B33" s="12" t="s">
        <v>96</v>
      </c>
      <c r="C33">
        <v>67123458.982315451</v>
      </c>
      <c r="D33">
        <v>63488445.778005257</v>
      </c>
      <c r="E33">
        <v>15839639.63963964</v>
      </c>
      <c r="F33">
        <v>39647747.747747742</v>
      </c>
      <c r="G33">
        <v>15</v>
      </c>
      <c r="H33">
        <v>13</v>
      </c>
      <c r="K33">
        <v>17</v>
      </c>
      <c r="L33">
        <v>15</v>
      </c>
      <c r="M33">
        <v>9290540.5405405406</v>
      </c>
      <c r="N33">
        <v>18019369.369369369</v>
      </c>
      <c r="O33">
        <v>29613594.594594598</v>
      </c>
      <c r="P33">
        <v>30686405.405405402</v>
      </c>
      <c r="Q33">
        <v>8208468.4684684686</v>
      </c>
      <c r="R33">
        <v>8494414.4144144151</v>
      </c>
      <c r="S33">
        <v>6060</v>
      </c>
      <c r="T33">
        <v>6023</v>
      </c>
    </row>
    <row r="34" spans="1:20" x14ac:dyDescent="0.35">
      <c r="A34" s="7" t="s">
        <v>97</v>
      </c>
      <c r="B34" s="12" t="s">
        <v>98</v>
      </c>
      <c r="C34">
        <v>241104157.13979414</v>
      </c>
      <c r="D34">
        <v>242851740.54260749</v>
      </c>
      <c r="E34">
        <v>962252.25225225498</v>
      </c>
      <c r="F34">
        <v>874774.77477477898</v>
      </c>
      <c r="G34">
        <v>95</v>
      </c>
      <c r="H34">
        <v>83</v>
      </c>
      <c r="K34">
        <v>118</v>
      </c>
      <c r="L34">
        <v>106</v>
      </c>
      <c r="M34">
        <v>28810900.9009009</v>
      </c>
      <c r="N34">
        <v>29667837.837837838</v>
      </c>
      <c r="O34">
        <v>60775693.693693697</v>
      </c>
      <c r="P34">
        <v>61759666.666666664</v>
      </c>
      <c r="Q34">
        <v>27245765.765765764</v>
      </c>
      <c r="R34">
        <v>28727027.027027026</v>
      </c>
      <c r="S34">
        <v>22715</v>
      </c>
      <c r="T34">
        <v>22480</v>
      </c>
    </row>
    <row r="35" spans="1:20" x14ac:dyDescent="0.35">
      <c r="A35" s="7" t="s">
        <v>99</v>
      </c>
      <c r="B35" s="12" t="s">
        <v>98</v>
      </c>
      <c r="C35">
        <v>399083156.12347054</v>
      </c>
      <c r="D35">
        <v>391474399.28525656</v>
      </c>
      <c r="E35">
        <v>42847230.630630642</v>
      </c>
      <c r="F35">
        <v>1233403.603603608</v>
      </c>
      <c r="G35">
        <v>108</v>
      </c>
      <c r="H35">
        <v>97</v>
      </c>
      <c r="K35">
        <v>150</v>
      </c>
      <c r="L35">
        <v>137</v>
      </c>
      <c r="M35">
        <v>32756756.756756753</v>
      </c>
      <c r="N35">
        <v>23241441.441441439</v>
      </c>
      <c r="O35">
        <v>74795229.729729727</v>
      </c>
      <c r="P35">
        <v>76298085.585585579</v>
      </c>
      <c r="Q35">
        <v>29979234.234234232</v>
      </c>
      <c r="R35">
        <v>20099369.369369369</v>
      </c>
      <c r="S35">
        <v>27932</v>
      </c>
      <c r="T35">
        <v>28745</v>
      </c>
    </row>
    <row r="36" spans="1:20" x14ac:dyDescent="0.35">
      <c r="A36" s="7" t="s">
        <v>100</v>
      </c>
      <c r="B36" s="12" t="s">
        <v>98</v>
      </c>
      <c r="C36">
        <v>383070577.17919481</v>
      </c>
      <c r="D36">
        <v>382364786.71053356</v>
      </c>
      <c r="E36">
        <v>1136036.0360360411</v>
      </c>
      <c r="F36">
        <v>3928828.8288288368</v>
      </c>
      <c r="G36">
        <v>70</v>
      </c>
      <c r="H36">
        <v>88</v>
      </c>
      <c r="K36">
        <v>166</v>
      </c>
      <c r="L36">
        <v>142</v>
      </c>
      <c r="M36">
        <v>471494009.009009</v>
      </c>
      <c r="N36">
        <v>40955630.630630635</v>
      </c>
      <c r="O36">
        <v>78083565.765765756</v>
      </c>
      <c r="P36">
        <v>83342909.909909919</v>
      </c>
      <c r="Q36">
        <v>467455493.6936937</v>
      </c>
      <c r="R36">
        <v>37564549.54954955</v>
      </c>
      <c r="S36">
        <v>33128</v>
      </c>
      <c r="T36">
        <v>33062</v>
      </c>
    </row>
    <row r="37" spans="1:20" x14ac:dyDescent="0.35">
      <c r="A37" s="7" t="s">
        <v>101</v>
      </c>
      <c r="B37" s="12" t="s">
        <v>98</v>
      </c>
      <c r="C37">
        <v>228036332.70231462</v>
      </c>
      <c r="D37">
        <v>225646369.60108179</v>
      </c>
      <c r="E37">
        <v>351351.35135135101</v>
      </c>
      <c r="F37">
        <v>878378.37837838102</v>
      </c>
      <c r="G37">
        <v>70</v>
      </c>
      <c r="H37">
        <v>51</v>
      </c>
      <c r="I37">
        <v>1</v>
      </c>
      <c r="K37">
        <v>92</v>
      </c>
      <c r="L37">
        <v>73</v>
      </c>
      <c r="M37">
        <v>14617117.117117114</v>
      </c>
      <c r="N37">
        <v>17266666.666666664</v>
      </c>
      <c r="O37">
        <v>47715387.387387395</v>
      </c>
      <c r="P37">
        <v>50538729.729729727</v>
      </c>
      <c r="Q37">
        <v>19851441.441441439</v>
      </c>
      <c r="R37">
        <v>18118648.648648649</v>
      </c>
      <c r="S37">
        <v>21379</v>
      </c>
      <c r="T37">
        <v>21411</v>
      </c>
    </row>
    <row r="38" spans="1:20" x14ac:dyDescent="0.35">
      <c r="A38" s="7" t="s">
        <v>102</v>
      </c>
      <c r="B38" s="12" t="s">
        <v>98</v>
      </c>
      <c r="C38">
        <v>255387113.76751956</v>
      </c>
      <c r="D38">
        <v>253347202.8383787</v>
      </c>
      <c r="E38">
        <v>1059054.0540540579</v>
      </c>
      <c r="F38">
        <v>2935135.1351351398</v>
      </c>
      <c r="G38">
        <v>35</v>
      </c>
      <c r="H38">
        <v>55</v>
      </c>
      <c r="K38">
        <v>49</v>
      </c>
      <c r="L38">
        <v>75</v>
      </c>
      <c r="M38">
        <v>50487837.83783783</v>
      </c>
      <c r="N38">
        <v>31781981.981981985</v>
      </c>
      <c r="O38">
        <v>71401935.135135129</v>
      </c>
      <c r="P38">
        <v>73657954.954954967</v>
      </c>
      <c r="Q38">
        <v>42441441.441441439</v>
      </c>
      <c r="R38">
        <v>46688018.018018015</v>
      </c>
      <c r="S38">
        <v>25865</v>
      </c>
      <c r="T38">
        <v>24940</v>
      </c>
    </row>
    <row r="39" spans="1:20" x14ac:dyDescent="0.35">
      <c r="A39" s="7" t="s">
        <v>103</v>
      </c>
      <c r="B39" s="12" t="s">
        <v>98</v>
      </c>
      <c r="C39">
        <v>655072065.30167413</v>
      </c>
      <c r="D39">
        <v>657156104.87423182</v>
      </c>
      <c r="E39">
        <v>444817500.9009009</v>
      </c>
      <c r="F39">
        <v>182289099.0990991</v>
      </c>
      <c r="G39">
        <v>148</v>
      </c>
      <c r="H39">
        <v>147</v>
      </c>
      <c r="I39">
        <v>5</v>
      </c>
      <c r="K39">
        <v>203</v>
      </c>
      <c r="L39">
        <v>207</v>
      </c>
      <c r="M39">
        <v>53140000</v>
      </c>
      <c r="N39">
        <v>59445945.945945941</v>
      </c>
      <c r="O39">
        <v>130083196.3963964</v>
      </c>
      <c r="P39">
        <v>140115666.66666666</v>
      </c>
      <c r="Q39">
        <v>56084457.657657653</v>
      </c>
      <c r="R39">
        <v>62326396.396396399</v>
      </c>
      <c r="S39">
        <v>55256</v>
      </c>
      <c r="T39">
        <v>55691</v>
      </c>
    </row>
    <row r="40" spans="1:20" x14ac:dyDescent="0.35">
      <c r="A40" s="7" t="s">
        <v>104</v>
      </c>
      <c r="B40" s="12" t="s">
        <v>105</v>
      </c>
      <c r="C40">
        <v>49623594.297284082</v>
      </c>
      <c r="D40">
        <v>42145804.724142738</v>
      </c>
      <c r="E40">
        <v>186486.48648648601</v>
      </c>
      <c r="F40">
        <v>364864.86486486503</v>
      </c>
      <c r="G40">
        <v>6</v>
      </c>
      <c r="H40">
        <v>10</v>
      </c>
      <c r="K40">
        <v>7</v>
      </c>
      <c r="L40">
        <v>11</v>
      </c>
      <c r="M40">
        <v>1028828.8288288279</v>
      </c>
      <c r="N40">
        <v>364864.86486486503</v>
      </c>
      <c r="O40">
        <v>8905810.81081081</v>
      </c>
      <c r="P40">
        <v>9163198.1981981993</v>
      </c>
      <c r="Q40">
        <v>870180.18018018105</v>
      </c>
      <c r="R40">
        <v>400000</v>
      </c>
      <c r="S40">
        <v>2504</v>
      </c>
      <c r="T40">
        <v>2441</v>
      </c>
    </row>
    <row r="41" spans="1:20" x14ac:dyDescent="0.35">
      <c r="A41" s="7" t="s">
        <v>106</v>
      </c>
      <c r="B41" s="12" t="s">
        <v>54</v>
      </c>
      <c r="C41">
        <v>15625048.035058612</v>
      </c>
      <c r="D41">
        <v>14756989.684942445</v>
      </c>
      <c r="E41">
        <v>2702.7027027029999</v>
      </c>
      <c r="F41">
        <v>2702.7027027029999</v>
      </c>
      <c r="G41">
        <v>1</v>
      </c>
      <c r="H41">
        <v>4</v>
      </c>
      <c r="K41">
        <v>4</v>
      </c>
      <c r="L41">
        <v>4</v>
      </c>
      <c r="M41">
        <v>408108.10810810799</v>
      </c>
      <c r="N41">
        <v>566306.30630630697</v>
      </c>
      <c r="O41">
        <v>3373378.3783783792</v>
      </c>
      <c r="P41">
        <v>3913459.4594594589</v>
      </c>
      <c r="Q41">
        <v>782792.79279279301</v>
      </c>
      <c r="R41">
        <v>631981.98198198294</v>
      </c>
      <c r="S41">
        <v>1407</v>
      </c>
      <c r="T41">
        <v>1341</v>
      </c>
    </row>
    <row r="42" spans="1:20" x14ac:dyDescent="0.35">
      <c r="A42" s="7" t="s">
        <v>107</v>
      </c>
      <c r="B42" s="12" t="s">
        <v>108</v>
      </c>
      <c r="C42">
        <v>128197895.49819231</v>
      </c>
      <c r="D42">
        <v>124720448.19935076</v>
      </c>
      <c r="E42">
        <v>42227207.20720721</v>
      </c>
      <c r="F42">
        <v>1841441.441441441</v>
      </c>
      <c r="G42">
        <v>31</v>
      </c>
      <c r="H42">
        <v>34</v>
      </c>
      <c r="K42">
        <v>47</v>
      </c>
      <c r="L42">
        <v>46</v>
      </c>
      <c r="M42">
        <v>14020000</v>
      </c>
      <c r="N42">
        <v>16959279.279279277</v>
      </c>
      <c r="O42">
        <v>27813918.918918915</v>
      </c>
      <c r="P42">
        <v>28831126.126126129</v>
      </c>
      <c r="Q42">
        <v>10422432.432432432</v>
      </c>
      <c r="R42">
        <v>14076126.126126124</v>
      </c>
      <c r="S42">
        <v>10106</v>
      </c>
      <c r="T42">
        <v>9635</v>
      </c>
    </row>
    <row r="43" spans="1:20" x14ac:dyDescent="0.35">
      <c r="A43" s="7" t="s">
        <v>109</v>
      </c>
      <c r="B43" s="12" t="s">
        <v>108</v>
      </c>
      <c r="C43">
        <v>172508549.3114571</v>
      </c>
      <c r="D43">
        <v>178775201.02427563</v>
      </c>
      <c r="E43">
        <v>2942792.7927927938</v>
      </c>
      <c r="F43">
        <v>1312612.612612616</v>
      </c>
      <c r="G43">
        <v>27</v>
      </c>
      <c r="H43">
        <v>55</v>
      </c>
      <c r="K43">
        <v>41</v>
      </c>
      <c r="L43">
        <v>92</v>
      </c>
      <c r="M43">
        <v>192058108.1081081</v>
      </c>
      <c r="N43">
        <v>12389909.909909911</v>
      </c>
      <c r="O43">
        <v>42789301.801801801</v>
      </c>
      <c r="P43">
        <v>48376747.747747742</v>
      </c>
      <c r="Q43">
        <v>176553243.24324322</v>
      </c>
      <c r="R43">
        <v>22522072.072072066</v>
      </c>
      <c r="S43">
        <v>13667</v>
      </c>
      <c r="T43">
        <v>13748</v>
      </c>
    </row>
    <row r="44" spans="1:20" x14ac:dyDescent="0.35">
      <c r="A44" s="7" t="s">
        <v>110</v>
      </c>
      <c r="B44" s="12" t="s">
        <v>111</v>
      </c>
      <c r="C44">
        <v>214021337.26680577</v>
      </c>
      <c r="D44">
        <v>202282329.14359173</v>
      </c>
      <c r="E44">
        <v>986576.57657657994</v>
      </c>
      <c r="F44">
        <v>2679279.2792792851</v>
      </c>
      <c r="G44">
        <v>27</v>
      </c>
      <c r="H44">
        <v>45</v>
      </c>
      <c r="K44">
        <v>42</v>
      </c>
      <c r="L44">
        <v>137</v>
      </c>
      <c r="M44">
        <v>14840900.9009009</v>
      </c>
      <c r="N44">
        <v>18985429.729729727</v>
      </c>
      <c r="O44">
        <v>65278819.819819823</v>
      </c>
      <c r="P44">
        <v>69440459.459459469</v>
      </c>
      <c r="Q44">
        <v>14602702.702702699</v>
      </c>
      <c r="R44">
        <v>20122972.97297297</v>
      </c>
      <c r="S44">
        <v>19557</v>
      </c>
      <c r="T44">
        <v>19312</v>
      </c>
    </row>
    <row r="45" spans="1:20" x14ac:dyDescent="0.35">
      <c r="A45" s="7" t="s">
        <v>112</v>
      </c>
      <c r="B45" s="12" t="s">
        <v>111</v>
      </c>
      <c r="C45">
        <v>263210608.58947912</v>
      </c>
      <c r="D45">
        <v>265006562.54144752</v>
      </c>
      <c r="E45">
        <v>7040000.0000000037</v>
      </c>
      <c r="F45">
        <v>4535135.1351351477</v>
      </c>
      <c r="G45">
        <v>55</v>
      </c>
      <c r="H45">
        <v>114</v>
      </c>
      <c r="K45">
        <v>73</v>
      </c>
      <c r="L45">
        <v>165</v>
      </c>
      <c r="M45">
        <v>22199459.459459458</v>
      </c>
      <c r="N45">
        <v>26594697.297297303</v>
      </c>
      <c r="O45">
        <v>86838297.297297299</v>
      </c>
      <c r="P45">
        <v>96789198.198198214</v>
      </c>
      <c r="Q45">
        <v>16434504.504504504</v>
      </c>
      <c r="R45">
        <v>26256846.846846849</v>
      </c>
      <c r="S45">
        <v>27035</v>
      </c>
      <c r="T45">
        <v>27428</v>
      </c>
    </row>
    <row r="46" spans="1:20" x14ac:dyDescent="0.35">
      <c r="A46" s="7" t="s">
        <v>113</v>
      </c>
      <c r="B46" s="12" t="s">
        <v>111</v>
      </c>
      <c r="C46">
        <v>183584498.51075634</v>
      </c>
      <c r="D46">
        <v>183141496.92211401</v>
      </c>
      <c r="E46">
        <v>6915315.3153153202</v>
      </c>
      <c r="F46">
        <v>1581756.756756766</v>
      </c>
      <c r="G46">
        <v>47</v>
      </c>
      <c r="H46">
        <v>54</v>
      </c>
      <c r="I46">
        <v>1</v>
      </c>
      <c r="K46">
        <v>54</v>
      </c>
      <c r="L46">
        <v>143</v>
      </c>
      <c r="M46">
        <v>16190180.180180181</v>
      </c>
      <c r="N46">
        <v>15160287.387387389</v>
      </c>
      <c r="O46">
        <v>55126612.612612613</v>
      </c>
      <c r="P46">
        <v>59178313.513513513</v>
      </c>
      <c r="Q46">
        <v>13651351.351351349</v>
      </c>
      <c r="R46">
        <v>16214144.144144144</v>
      </c>
      <c r="S46">
        <v>13794</v>
      </c>
      <c r="T46">
        <v>14123</v>
      </c>
    </row>
    <row r="47" spans="1:20" x14ac:dyDescent="0.35">
      <c r="A47" s="7" t="s">
        <v>114</v>
      </c>
      <c r="B47" s="12" t="s">
        <v>111</v>
      </c>
      <c r="C47">
        <v>211038504.17474049</v>
      </c>
      <c r="D47">
        <v>212537225.75522539</v>
      </c>
      <c r="E47">
        <v>552702.70270270598</v>
      </c>
      <c r="F47">
        <v>3083558.5585585688</v>
      </c>
      <c r="G47">
        <v>51</v>
      </c>
      <c r="H47">
        <v>82</v>
      </c>
      <c r="I47">
        <v>1</v>
      </c>
      <c r="K47">
        <v>72</v>
      </c>
      <c r="L47">
        <v>191</v>
      </c>
      <c r="M47">
        <v>15267117.117117116</v>
      </c>
      <c r="N47">
        <v>20599459.459459465</v>
      </c>
      <c r="O47">
        <v>57554126.126126125</v>
      </c>
      <c r="P47">
        <v>58032135.135135137</v>
      </c>
      <c r="Q47">
        <v>14699009.009009007</v>
      </c>
      <c r="R47">
        <v>19071171.171171173</v>
      </c>
      <c r="S47">
        <v>19791</v>
      </c>
      <c r="T47">
        <v>19637</v>
      </c>
    </row>
    <row r="48" spans="1:20" x14ac:dyDescent="0.35">
      <c r="A48" s="7" t="s">
        <v>115</v>
      </c>
      <c r="B48" s="12" t="s">
        <v>111</v>
      </c>
      <c r="C48">
        <v>270028171.59746784</v>
      </c>
      <c r="D48">
        <v>247843084.67971492</v>
      </c>
      <c r="E48">
        <v>26635916.216216221</v>
      </c>
      <c r="F48">
        <v>68292827.927927941</v>
      </c>
      <c r="G48">
        <v>100</v>
      </c>
      <c r="H48">
        <v>119</v>
      </c>
      <c r="K48">
        <v>128</v>
      </c>
      <c r="L48">
        <v>218</v>
      </c>
      <c r="M48">
        <v>22954774.77477476</v>
      </c>
      <c r="N48">
        <v>43860510.810810804</v>
      </c>
      <c r="O48">
        <v>64153504.504504502</v>
      </c>
      <c r="P48">
        <v>68642108.108108103</v>
      </c>
      <c r="Q48">
        <v>36395945.945945933</v>
      </c>
      <c r="R48">
        <v>54230360.360360354</v>
      </c>
      <c r="S48">
        <v>24604</v>
      </c>
      <c r="T48">
        <v>23839</v>
      </c>
    </row>
    <row r="49" spans="1:20" x14ac:dyDescent="0.35">
      <c r="A49" s="7" t="s">
        <v>116</v>
      </c>
      <c r="B49" s="12" t="s">
        <v>54</v>
      </c>
      <c r="C49">
        <v>14463425.18084516</v>
      </c>
      <c r="D49">
        <v>13857494.325775612</v>
      </c>
      <c r="E49">
        <v>25225.225225226</v>
      </c>
      <c r="F49">
        <v>107882.882882883</v>
      </c>
      <c r="H49">
        <v>2</v>
      </c>
      <c r="L49">
        <v>2</v>
      </c>
      <c r="M49">
        <v>1295495.4954954949</v>
      </c>
      <c r="N49">
        <v>828828.82882882899</v>
      </c>
      <c r="O49">
        <v>3385630.6306306301</v>
      </c>
      <c r="P49">
        <v>3388900.9009008999</v>
      </c>
      <c r="Q49">
        <v>1097657.6576576571</v>
      </c>
      <c r="R49">
        <v>743963.96396396402</v>
      </c>
      <c r="S49">
        <v>1044</v>
      </c>
      <c r="T49">
        <v>1652</v>
      </c>
    </row>
    <row r="50" spans="1:20" x14ac:dyDescent="0.35">
      <c r="A50" s="7" t="s">
        <v>118</v>
      </c>
      <c r="B50" s="12" t="s">
        <v>78</v>
      </c>
      <c r="C50">
        <v>123919120.67368275</v>
      </c>
      <c r="D50">
        <v>119988660.50239863</v>
      </c>
      <c r="E50">
        <v>29517761.261261266</v>
      </c>
      <c r="F50">
        <v>92510768.468468457</v>
      </c>
      <c r="G50">
        <v>32</v>
      </c>
      <c r="H50">
        <v>30</v>
      </c>
      <c r="I50">
        <v>1</v>
      </c>
      <c r="K50">
        <v>41</v>
      </c>
      <c r="L50">
        <v>44</v>
      </c>
      <c r="M50">
        <v>18421351.351351351</v>
      </c>
      <c r="N50">
        <v>32960810.810810812</v>
      </c>
      <c r="O50">
        <v>44527243.243243247</v>
      </c>
      <c r="P50">
        <v>48751720.720720723</v>
      </c>
      <c r="Q50">
        <v>18638468.468468469</v>
      </c>
      <c r="R50">
        <v>33407747.747747749</v>
      </c>
      <c r="S50">
        <v>11424</v>
      </c>
      <c r="T50">
        <v>11199</v>
      </c>
    </row>
    <row r="51" spans="1:20" x14ac:dyDescent="0.35">
      <c r="A51" s="7" t="s">
        <v>119</v>
      </c>
      <c r="B51" s="12" t="s">
        <v>50</v>
      </c>
      <c r="C51">
        <v>39152674.837636068</v>
      </c>
      <c r="D51">
        <v>37621291.709967613</v>
      </c>
      <c r="E51">
        <v>12612.612612613</v>
      </c>
      <c r="F51">
        <v>536936.93693693797</v>
      </c>
      <c r="G51">
        <v>8</v>
      </c>
      <c r="H51">
        <v>11</v>
      </c>
      <c r="K51">
        <v>9</v>
      </c>
      <c r="L51">
        <v>15</v>
      </c>
      <c r="M51">
        <v>8843513.5135135166</v>
      </c>
      <c r="N51">
        <v>7137387.3873873884</v>
      </c>
      <c r="O51">
        <v>12849729.729729729</v>
      </c>
      <c r="P51">
        <v>13360531.531531531</v>
      </c>
      <c r="Q51">
        <v>9393603.6036036033</v>
      </c>
      <c r="R51">
        <v>5469279.2792792786</v>
      </c>
      <c r="S51">
        <v>2528</v>
      </c>
      <c r="T51">
        <v>2434</v>
      </c>
    </row>
    <row r="52" spans="1:20" x14ac:dyDescent="0.35">
      <c r="A52" s="7" t="s">
        <v>120</v>
      </c>
      <c r="B52" s="12" t="s">
        <v>121</v>
      </c>
      <c r="C52">
        <v>143395757.03482169</v>
      </c>
      <c r="D52">
        <v>124276360.38090663</v>
      </c>
      <c r="E52">
        <v>202702.70270270601</v>
      </c>
      <c r="F52">
        <v>1066891.891891897</v>
      </c>
      <c r="G52">
        <v>47</v>
      </c>
      <c r="H52">
        <v>39</v>
      </c>
      <c r="K52">
        <v>57</v>
      </c>
      <c r="L52">
        <v>55</v>
      </c>
      <c r="M52">
        <v>3157657.657657661</v>
      </c>
      <c r="N52">
        <v>5426126.1261261301</v>
      </c>
      <c r="O52">
        <v>9462324.3243243247</v>
      </c>
      <c r="P52">
        <v>9537828.8288288284</v>
      </c>
      <c r="Q52">
        <v>3861801.8018017998</v>
      </c>
      <c r="R52">
        <v>3881711.7117117131</v>
      </c>
      <c r="S52">
        <v>8072</v>
      </c>
      <c r="T52">
        <v>7942</v>
      </c>
    </row>
    <row r="53" spans="1:20" x14ac:dyDescent="0.35">
      <c r="A53" s="7" t="s">
        <v>122</v>
      </c>
      <c r="B53" s="12" t="s">
        <v>123</v>
      </c>
      <c r="C53">
        <v>62406296.787425071</v>
      </c>
      <c r="D53">
        <v>62665703.432832196</v>
      </c>
      <c r="E53">
        <v>173423.423423423</v>
      </c>
      <c r="F53">
        <v>367342.34234234202</v>
      </c>
      <c r="G53">
        <v>5</v>
      </c>
      <c r="H53">
        <v>8</v>
      </c>
      <c r="K53">
        <v>7</v>
      </c>
      <c r="L53">
        <v>10</v>
      </c>
      <c r="M53">
        <v>18702072.072072074</v>
      </c>
      <c r="N53">
        <v>10909909.909909911</v>
      </c>
      <c r="O53">
        <v>27560000</v>
      </c>
      <c r="P53">
        <v>27615540.540540539</v>
      </c>
      <c r="Q53">
        <v>21710360.360360362</v>
      </c>
      <c r="R53">
        <v>12255855.855855856</v>
      </c>
      <c r="S53">
        <v>4496</v>
      </c>
      <c r="T53">
        <v>4394</v>
      </c>
    </row>
    <row r="54" spans="1:20" x14ac:dyDescent="0.35">
      <c r="A54" s="7" t="s">
        <v>124</v>
      </c>
      <c r="B54" s="12" t="s">
        <v>125</v>
      </c>
      <c r="C54">
        <v>91263708.763097584</v>
      </c>
      <c r="D54">
        <v>82130772.928868607</v>
      </c>
      <c r="E54">
        <v>187927.92792792799</v>
      </c>
      <c r="F54">
        <v>1202252.252252256</v>
      </c>
      <c r="G54">
        <v>11</v>
      </c>
      <c r="H54">
        <v>16</v>
      </c>
      <c r="K54">
        <v>13</v>
      </c>
      <c r="L54">
        <v>17</v>
      </c>
      <c r="M54">
        <v>34947657.657657661</v>
      </c>
      <c r="N54">
        <v>16554054.054054055</v>
      </c>
      <c r="O54">
        <v>25949729.729729727</v>
      </c>
      <c r="P54">
        <v>25556493.693693694</v>
      </c>
      <c r="Q54">
        <v>34552612.612612613</v>
      </c>
      <c r="R54">
        <v>20182926.126126125</v>
      </c>
      <c r="S54">
        <v>6593</v>
      </c>
      <c r="T54">
        <v>6270</v>
      </c>
    </row>
    <row r="55" spans="1:20" x14ac:dyDescent="0.35">
      <c r="A55" s="7" t="s">
        <v>126</v>
      </c>
      <c r="B55" s="12" t="s">
        <v>78</v>
      </c>
      <c r="C55">
        <v>60019850.68989379</v>
      </c>
      <c r="D55">
        <v>54041790.48941049</v>
      </c>
      <c r="E55">
        <v>569099.09909910103</v>
      </c>
      <c r="F55">
        <v>1030630.630630631</v>
      </c>
      <c r="G55">
        <v>7</v>
      </c>
      <c r="H55">
        <v>17</v>
      </c>
      <c r="K55">
        <v>9</v>
      </c>
      <c r="L55">
        <v>21</v>
      </c>
      <c r="M55">
        <v>7830360.3603603588</v>
      </c>
      <c r="N55">
        <v>9643243.2432432435</v>
      </c>
      <c r="O55">
        <v>21990189.189189192</v>
      </c>
      <c r="P55">
        <v>21608765.765765768</v>
      </c>
      <c r="Q55">
        <v>9944144.1441441439</v>
      </c>
      <c r="R55">
        <v>7875585.5855855849</v>
      </c>
      <c r="S55">
        <v>5083</v>
      </c>
      <c r="T55">
        <v>4904</v>
      </c>
    </row>
    <row r="56" spans="1:20" x14ac:dyDescent="0.35">
      <c r="A56" s="7" t="s">
        <v>127</v>
      </c>
      <c r="B56" s="12" t="s">
        <v>78</v>
      </c>
      <c r="C56">
        <v>10984797.602426091</v>
      </c>
      <c r="D56">
        <v>8859082.2452346813</v>
      </c>
      <c r="E56">
        <v>8558.5585585589997</v>
      </c>
      <c r="F56">
        <v>192792.79279279499</v>
      </c>
      <c r="G56">
        <v>2</v>
      </c>
      <c r="H56">
        <v>1</v>
      </c>
      <c r="I56">
        <v>1</v>
      </c>
      <c r="K56">
        <v>2</v>
      </c>
      <c r="L56">
        <v>2</v>
      </c>
      <c r="M56">
        <v>1900450.450450449</v>
      </c>
      <c r="N56">
        <v>4454054.0540540526</v>
      </c>
      <c r="O56">
        <v>5360810.8108108109</v>
      </c>
      <c r="P56">
        <v>4634729.7297297288</v>
      </c>
      <c r="Q56">
        <v>1573423.423423423</v>
      </c>
      <c r="R56">
        <v>5006486.4864864862</v>
      </c>
      <c r="S56">
        <v>1252</v>
      </c>
      <c r="T56">
        <v>1061</v>
      </c>
    </row>
    <row r="57" spans="1:20" x14ac:dyDescent="0.35">
      <c r="A57" s="7" t="s">
        <v>128</v>
      </c>
      <c r="B57" s="12" t="s">
        <v>78</v>
      </c>
      <c r="C57">
        <v>57562034.597275734</v>
      </c>
      <c r="D57">
        <v>54099147.735776566</v>
      </c>
      <c r="E57">
        <v>15368468.468468469</v>
      </c>
      <c r="F57">
        <v>23446846.846846852</v>
      </c>
      <c r="G57">
        <v>19</v>
      </c>
      <c r="H57">
        <v>22</v>
      </c>
      <c r="I57">
        <v>1</v>
      </c>
      <c r="K57">
        <v>20</v>
      </c>
      <c r="L57">
        <v>27</v>
      </c>
      <c r="M57">
        <v>6845945.9459459437</v>
      </c>
      <c r="N57">
        <v>6194594.594594595</v>
      </c>
      <c r="O57">
        <v>20451495.495495494</v>
      </c>
      <c r="P57">
        <v>21856945.945945945</v>
      </c>
      <c r="Q57">
        <v>5361711.711711714</v>
      </c>
      <c r="R57">
        <v>6387927.927927928</v>
      </c>
      <c r="S57">
        <v>5880</v>
      </c>
      <c r="T57">
        <v>5842</v>
      </c>
    </row>
    <row r="58" spans="1:20" x14ac:dyDescent="0.35">
      <c r="A58" s="7" t="s">
        <v>129</v>
      </c>
      <c r="B58" s="12" t="s">
        <v>85</v>
      </c>
      <c r="C58">
        <v>17883074.980539724</v>
      </c>
      <c r="D58">
        <v>17640881.144135691</v>
      </c>
      <c r="E58">
        <v>6306.3063063070003</v>
      </c>
      <c r="F58">
        <v>69369.369369370004</v>
      </c>
      <c r="G58">
        <v>3</v>
      </c>
      <c r="H58">
        <v>4</v>
      </c>
      <c r="K58">
        <v>3</v>
      </c>
      <c r="L58">
        <v>5</v>
      </c>
      <c r="M58">
        <v>7114414.4144144151</v>
      </c>
      <c r="N58">
        <v>15668468.468468469</v>
      </c>
      <c r="O58">
        <v>7724639.6396396402</v>
      </c>
      <c r="P58">
        <v>8499639.6396396402</v>
      </c>
      <c r="Q58">
        <v>2557477.4774774769</v>
      </c>
      <c r="R58">
        <v>12512072.072072072</v>
      </c>
      <c r="S58">
        <v>1324</v>
      </c>
      <c r="T58">
        <v>1208</v>
      </c>
    </row>
    <row r="59" spans="1:20" x14ac:dyDescent="0.35">
      <c r="A59" s="7" t="s">
        <v>130</v>
      </c>
      <c r="B59" s="12" t="s">
        <v>89</v>
      </c>
      <c r="C59">
        <v>159704460.67598689</v>
      </c>
      <c r="D59">
        <v>148796394.17309809</v>
      </c>
      <c r="E59">
        <v>540540.54054054199</v>
      </c>
      <c r="F59">
        <v>708558.558558563</v>
      </c>
      <c r="G59">
        <v>18</v>
      </c>
      <c r="H59">
        <v>20</v>
      </c>
      <c r="K59">
        <v>21</v>
      </c>
      <c r="L59">
        <v>26</v>
      </c>
      <c r="M59">
        <v>6748648.6486486457</v>
      </c>
      <c r="N59">
        <v>11944774.774774777</v>
      </c>
      <c r="O59">
        <v>44949540.540540546</v>
      </c>
      <c r="P59">
        <v>46038954.954954959</v>
      </c>
      <c r="Q59">
        <v>8456216.2162162159</v>
      </c>
      <c r="R59">
        <v>10542612.612612614</v>
      </c>
      <c r="S59">
        <v>10514</v>
      </c>
      <c r="T59">
        <v>12086</v>
      </c>
    </row>
    <row r="60" spans="1:20" x14ac:dyDescent="0.35">
      <c r="A60" s="7" t="s">
        <v>131</v>
      </c>
      <c r="B60" s="12" t="s">
        <v>132</v>
      </c>
      <c r="C60">
        <v>80075140.290366068</v>
      </c>
      <c r="D60">
        <v>71990904.272852853</v>
      </c>
      <c r="E60">
        <v>14341294.594594596</v>
      </c>
      <c r="F60">
        <v>15077944.144144144</v>
      </c>
      <c r="G60">
        <v>27</v>
      </c>
      <c r="H60">
        <v>34</v>
      </c>
      <c r="K60">
        <v>29</v>
      </c>
      <c r="L60">
        <v>40</v>
      </c>
      <c r="M60">
        <v>6935135.1351351356</v>
      </c>
      <c r="N60">
        <v>3849549.5495495489</v>
      </c>
      <c r="O60">
        <v>25435036.036036037</v>
      </c>
      <c r="P60">
        <v>23485527.02702703</v>
      </c>
      <c r="Q60">
        <v>5266846.8468468469</v>
      </c>
      <c r="R60">
        <v>6816306.3063063063</v>
      </c>
      <c r="S60">
        <v>6110</v>
      </c>
      <c r="T60">
        <v>7097</v>
      </c>
    </row>
    <row r="61" spans="1:20" x14ac:dyDescent="0.35">
      <c r="A61" s="7" t="s">
        <v>133</v>
      </c>
      <c r="B61" s="12" t="s">
        <v>134</v>
      </c>
      <c r="C61">
        <v>13661310.714390149</v>
      </c>
      <c r="D61">
        <v>5038667.3776509147</v>
      </c>
      <c r="O61">
        <v>1759459.4594594589</v>
      </c>
      <c r="P61">
        <v>1040054.054054054</v>
      </c>
      <c r="S61">
        <v>2238</v>
      </c>
      <c r="T61">
        <v>2187</v>
      </c>
    </row>
    <row r="62" spans="1:20" x14ac:dyDescent="0.35">
      <c r="A62" s="7" t="s">
        <v>135</v>
      </c>
      <c r="B62" s="12" t="s">
        <v>136</v>
      </c>
      <c r="C62">
        <v>69035491.907415092</v>
      </c>
      <c r="D62">
        <v>68101300.873313293</v>
      </c>
      <c r="E62">
        <v>8110810.8108108109</v>
      </c>
      <c r="F62">
        <v>9369369.3693693709</v>
      </c>
      <c r="G62">
        <v>10</v>
      </c>
      <c r="H62">
        <v>23</v>
      </c>
      <c r="K62">
        <v>13</v>
      </c>
      <c r="L62">
        <v>26</v>
      </c>
      <c r="M62">
        <v>3876576.5765765761</v>
      </c>
      <c r="N62">
        <v>5905405.405405404</v>
      </c>
      <c r="O62">
        <v>11524099.0990991</v>
      </c>
      <c r="P62">
        <v>11074027.027027028</v>
      </c>
      <c r="Q62">
        <v>5905315.3153153164</v>
      </c>
      <c r="R62">
        <v>4714864.8648648653</v>
      </c>
      <c r="S62">
        <v>3476</v>
      </c>
      <c r="T62">
        <v>3506</v>
      </c>
    </row>
    <row r="63" spans="1:20" x14ac:dyDescent="0.35">
      <c r="A63" s="7" t="s">
        <v>137</v>
      </c>
      <c r="B63" s="12" t="s">
        <v>89</v>
      </c>
      <c r="C63">
        <v>82019301.794712678</v>
      </c>
      <c r="D63">
        <v>70378981.355221599</v>
      </c>
      <c r="E63">
        <v>50900.900900900997</v>
      </c>
      <c r="F63">
        <v>388963.963963966</v>
      </c>
      <c r="G63">
        <v>8</v>
      </c>
      <c r="H63">
        <v>16</v>
      </c>
      <c r="I63">
        <v>1</v>
      </c>
      <c r="K63">
        <v>9</v>
      </c>
      <c r="L63">
        <v>22</v>
      </c>
      <c r="M63">
        <v>6715045.0450450433</v>
      </c>
      <c r="N63">
        <v>8933513.5135135148</v>
      </c>
      <c r="O63">
        <v>26391081.081081081</v>
      </c>
      <c r="P63">
        <v>24060297.297297295</v>
      </c>
      <c r="Q63">
        <v>7238288.288288286</v>
      </c>
      <c r="R63">
        <v>7861261.2612612667</v>
      </c>
      <c r="S63">
        <v>4978</v>
      </c>
      <c r="T63">
        <v>4631</v>
      </c>
    </row>
    <row r="64" spans="1:20" x14ac:dyDescent="0.35">
      <c r="A64" s="7" t="s">
        <v>138</v>
      </c>
      <c r="B64" s="12" t="s">
        <v>78</v>
      </c>
      <c r="C64">
        <v>54695681.398471154</v>
      </c>
      <c r="D64">
        <v>54129344.514126301</v>
      </c>
      <c r="E64">
        <v>497027.02702702797</v>
      </c>
      <c r="F64">
        <v>1771171.1711711721</v>
      </c>
      <c r="G64">
        <v>18</v>
      </c>
      <c r="H64">
        <v>17</v>
      </c>
      <c r="I64">
        <v>1</v>
      </c>
      <c r="K64">
        <v>20</v>
      </c>
      <c r="L64">
        <v>26</v>
      </c>
      <c r="M64">
        <v>5127657.6576576559</v>
      </c>
      <c r="N64">
        <v>7942342.3423423441</v>
      </c>
      <c r="O64">
        <v>21726216.216216218</v>
      </c>
      <c r="P64">
        <v>22508486.486486487</v>
      </c>
      <c r="Q64">
        <v>7013153.1531531531</v>
      </c>
      <c r="R64">
        <v>5874054.0540540554</v>
      </c>
      <c r="S64">
        <v>5396</v>
      </c>
      <c r="T64">
        <v>5102</v>
      </c>
    </row>
    <row r="65" spans="1:20" x14ac:dyDescent="0.35">
      <c r="A65" s="7" t="s">
        <v>139</v>
      </c>
      <c r="B65" s="12" t="s">
        <v>140</v>
      </c>
      <c r="C65">
        <v>75387563.574433103</v>
      </c>
      <c r="D65">
        <v>80458018.336420909</v>
      </c>
      <c r="E65">
        <v>9287387.3873873875</v>
      </c>
      <c r="F65">
        <v>612612.61261261301</v>
      </c>
      <c r="G65">
        <v>7</v>
      </c>
      <c r="H65">
        <v>4</v>
      </c>
      <c r="K65">
        <v>9</v>
      </c>
      <c r="L65">
        <v>5</v>
      </c>
      <c r="M65">
        <v>3788738.7387387389</v>
      </c>
      <c r="N65">
        <v>7187837.8378378358</v>
      </c>
      <c r="O65">
        <v>11746261.26126126</v>
      </c>
      <c r="P65">
        <v>13816198.198198199</v>
      </c>
      <c r="Q65">
        <v>4293603.6036036042</v>
      </c>
      <c r="R65">
        <v>6226846.8468468469</v>
      </c>
      <c r="S65">
        <v>4300</v>
      </c>
      <c r="T65">
        <v>5765</v>
      </c>
    </row>
    <row r="66" spans="1:20" x14ac:dyDescent="0.35">
      <c r="A66" s="7" t="s">
        <v>141</v>
      </c>
      <c r="B66" s="12" t="s">
        <v>62</v>
      </c>
      <c r="C66">
        <v>50632306.402189314</v>
      </c>
      <c r="D66">
        <v>50118805.888985611</v>
      </c>
      <c r="E66">
        <v>918918.91891891998</v>
      </c>
      <c r="F66">
        <v>207207.207207208</v>
      </c>
      <c r="G66">
        <v>17</v>
      </c>
      <c r="H66">
        <v>13</v>
      </c>
      <c r="K66">
        <v>22</v>
      </c>
      <c r="L66">
        <v>13</v>
      </c>
      <c r="M66">
        <v>23945495.495495494</v>
      </c>
      <c r="N66">
        <v>32407387.387387387</v>
      </c>
      <c r="O66">
        <v>11099369.369369367</v>
      </c>
      <c r="P66">
        <v>10724171.171171172</v>
      </c>
      <c r="Q66">
        <v>22572342.342342339</v>
      </c>
      <c r="R66">
        <v>32638108.108108107</v>
      </c>
      <c r="S66">
        <v>3860</v>
      </c>
      <c r="T66">
        <v>3828</v>
      </c>
    </row>
    <row r="67" spans="1:20" x14ac:dyDescent="0.35">
      <c r="A67" s="7" t="s">
        <v>142</v>
      </c>
      <c r="B67" s="12" t="s">
        <v>143</v>
      </c>
      <c r="C67">
        <v>685964.46369259199</v>
      </c>
      <c r="D67">
        <v>512348.77902627998</v>
      </c>
      <c r="H67">
        <v>1</v>
      </c>
      <c r="L67">
        <v>1</v>
      </c>
      <c r="O67">
        <v>6081.0810810809999</v>
      </c>
      <c r="P67">
        <v>70270.270270270004</v>
      </c>
      <c r="S67">
        <v>132</v>
      </c>
      <c r="T67">
        <v>122</v>
      </c>
    </row>
    <row r="68" spans="1:20" x14ac:dyDescent="0.35">
      <c r="A68" s="7" t="s">
        <v>144</v>
      </c>
      <c r="B68" s="12" t="s">
        <v>140</v>
      </c>
      <c r="C68">
        <v>107797344.46734188</v>
      </c>
      <c r="D68">
        <v>111137566.89191316</v>
      </c>
      <c r="E68">
        <v>69189.189189191005</v>
      </c>
      <c r="F68">
        <v>639189.18918919202</v>
      </c>
      <c r="G68">
        <v>18</v>
      </c>
      <c r="H68">
        <v>17</v>
      </c>
      <c r="K68">
        <v>26</v>
      </c>
      <c r="L68">
        <v>23</v>
      </c>
      <c r="M68">
        <v>9474144.144144142</v>
      </c>
      <c r="N68">
        <v>11768288.288288286</v>
      </c>
      <c r="O68">
        <v>17597387.387387387</v>
      </c>
      <c r="P68">
        <v>18836009.009009007</v>
      </c>
      <c r="Q68">
        <v>8961801.8018018026</v>
      </c>
      <c r="R68">
        <v>10202252.252252253</v>
      </c>
      <c r="S68">
        <v>7478</v>
      </c>
      <c r="T68">
        <v>7767</v>
      </c>
    </row>
    <row r="69" spans="1:20" x14ac:dyDescent="0.35">
      <c r="A69" s="7" t="s">
        <v>145</v>
      </c>
      <c r="B69" s="12" t="s">
        <v>78</v>
      </c>
      <c r="C69">
        <v>75503976.749115542</v>
      </c>
      <c r="D69">
        <v>73849554.020370886</v>
      </c>
      <c r="E69">
        <v>380000</v>
      </c>
      <c r="F69">
        <v>1136936.9369369401</v>
      </c>
      <c r="G69">
        <v>10</v>
      </c>
      <c r="H69">
        <v>26</v>
      </c>
      <c r="K69">
        <v>16</v>
      </c>
      <c r="L69">
        <v>33</v>
      </c>
      <c r="M69">
        <v>9042162.1621621605</v>
      </c>
      <c r="N69">
        <v>6281081.081081083</v>
      </c>
      <c r="O69">
        <v>18727288.288288288</v>
      </c>
      <c r="P69">
        <v>20462675.675675679</v>
      </c>
      <c r="Q69">
        <v>11380180.180180181</v>
      </c>
      <c r="R69">
        <v>8534774.7747747749</v>
      </c>
      <c r="S69">
        <v>6540</v>
      </c>
      <c r="T69">
        <v>6390</v>
      </c>
    </row>
    <row r="70" spans="1:20" x14ac:dyDescent="0.35">
      <c r="A70" s="7" t="s">
        <v>146</v>
      </c>
      <c r="B70" s="12" t="s">
        <v>147</v>
      </c>
      <c r="C70">
        <v>52108546.592192471</v>
      </c>
      <c r="D70">
        <v>47035429.090438753</v>
      </c>
      <c r="E70">
        <v>48648.648648649003</v>
      </c>
      <c r="F70">
        <v>921621.62162162398</v>
      </c>
      <c r="G70">
        <v>9</v>
      </c>
      <c r="H70">
        <v>10</v>
      </c>
      <c r="K70">
        <v>10</v>
      </c>
      <c r="L70">
        <v>12</v>
      </c>
      <c r="M70">
        <v>5046126.1261261264</v>
      </c>
      <c r="N70">
        <v>10466666.666666664</v>
      </c>
      <c r="O70">
        <v>14089630.630630629</v>
      </c>
      <c r="P70">
        <v>14976225.225225223</v>
      </c>
      <c r="Q70">
        <v>5165855.8558558552</v>
      </c>
      <c r="R70">
        <v>9943243.2432432435</v>
      </c>
      <c r="S70">
        <v>3736</v>
      </c>
      <c r="T70">
        <v>3694</v>
      </c>
    </row>
    <row r="71" spans="1:20" x14ac:dyDescent="0.35">
      <c r="A71" s="7" t="s">
        <v>148</v>
      </c>
      <c r="B71" s="12" t="s">
        <v>94</v>
      </c>
      <c r="D71">
        <v>15.878689374</v>
      </c>
      <c r="E71">
        <v>8108108.1081081079</v>
      </c>
      <c r="F71">
        <v>24662162.162162159</v>
      </c>
      <c r="M71">
        <v>2686036.036036036</v>
      </c>
      <c r="N71">
        <v>1590540.5405405411</v>
      </c>
      <c r="S71">
        <v>1</v>
      </c>
      <c r="T71">
        <v>24</v>
      </c>
    </row>
    <row r="72" spans="1:20" x14ac:dyDescent="0.35">
      <c r="A72" s="7" t="s">
        <v>149</v>
      </c>
      <c r="B72" s="12" t="s">
        <v>50</v>
      </c>
      <c r="C72">
        <v>44251471.917437419</v>
      </c>
      <c r="D72">
        <v>43609725.289382569</v>
      </c>
      <c r="E72">
        <v>31531.531531532</v>
      </c>
      <c r="F72">
        <v>17117.117117116999</v>
      </c>
      <c r="G72">
        <v>1</v>
      </c>
      <c r="H72">
        <v>8</v>
      </c>
      <c r="K72">
        <v>2</v>
      </c>
      <c r="L72">
        <v>9</v>
      </c>
      <c r="M72">
        <v>6104954.9549549576</v>
      </c>
      <c r="N72">
        <v>2029279.2792792791</v>
      </c>
      <c r="O72">
        <v>18092072.072072074</v>
      </c>
      <c r="P72">
        <v>18794981.981981985</v>
      </c>
      <c r="Q72">
        <v>6394414.4144144151</v>
      </c>
      <c r="R72">
        <v>2276756.7567567569</v>
      </c>
      <c r="S72">
        <v>3764</v>
      </c>
      <c r="T72">
        <v>3467</v>
      </c>
    </row>
    <row r="73" spans="1:20" x14ac:dyDescent="0.35">
      <c r="A73" s="7" t="s">
        <v>150</v>
      </c>
      <c r="B73" s="12" t="s">
        <v>151</v>
      </c>
      <c r="C73">
        <v>14097559.886006624</v>
      </c>
      <c r="D73">
        <v>14235698.935864702</v>
      </c>
      <c r="E73">
        <v>56470767.567567565</v>
      </c>
      <c r="F73">
        <v>128249370.27027027</v>
      </c>
      <c r="G73">
        <v>2</v>
      </c>
      <c r="H73">
        <v>2</v>
      </c>
      <c r="K73">
        <v>2</v>
      </c>
      <c r="L73">
        <v>4</v>
      </c>
      <c r="M73">
        <v>37589864.864864863</v>
      </c>
      <c r="N73">
        <v>18254054.054054055</v>
      </c>
      <c r="O73">
        <v>3179054.054054054</v>
      </c>
      <c r="P73">
        <v>3900891.8918918921</v>
      </c>
      <c r="Q73">
        <v>3186216.2162162168</v>
      </c>
      <c r="R73">
        <v>4162072.072072072</v>
      </c>
      <c r="S73">
        <v>691</v>
      </c>
      <c r="T73">
        <v>679</v>
      </c>
    </row>
    <row r="74" spans="1:20" x14ac:dyDescent="0.35">
      <c r="A74" s="7" t="s">
        <v>152</v>
      </c>
      <c r="B74" s="12" t="s">
        <v>151</v>
      </c>
      <c r="C74">
        <v>130953511.86112109</v>
      </c>
      <c r="D74">
        <v>124968425.95354258</v>
      </c>
      <c r="E74">
        <v>299099.099099099</v>
      </c>
      <c r="F74">
        <v>5439864.864864869</v>
      </c>
      <c r="G74">
        <v>29</v>
      </c>
      <c r="H74">
        <v>61</v>
      </c>
      <c r="K74">
        <v>38</v>
      </c>
      <c r="L74">
        <v>76</v>
      </c>
      <c r="M74">
        <v>100236036.03603603</v>
      </c>
      <c r="N74">
        <v>69561261.261261269</v>
      </c>
      <c r="O74">
        <v>43019538.738738745</v>
      </c>
      <c r="P74">
        <v>42563351.351351351</v>
      </c>
      <c r="Q74">
        <v>90147383.783783793</v>
      </c>
      <c r="R74">
        <v>53961574.774774775</v>
      </c>
      <c r="S74">
        <v>8112</v>
      </c>
      <c r="T74">
        <v>7842</v>
      </c>
    </row>
    <row r="75" spans="1:20" x14ac:dyDescent="0.35">
      <c r="A75" s="7" t="s">
        <v>153</v>
      </c>
      <c r="B75" s="12" t="s">
        <v>154</v>
      </c>
      <c r="C75">
        <v>114289208.56432994</v>
      </c>
      <c r="D75">
        <v>112448588.41997567</v>
      </c>
      <c r="E75">
        <v>936936.93693693704</v>
      </c>
      <c r="F75">
        <v>252927.92792793</v>
      </c>
      <c r="G75">
        <v>2</v>
      </c>
      <c r="H75">
        <v>12</v>
      </c>
      <c r="K75">
        <v>3</v>
      </c>
      <c r="L75">
        <v>14</v>
      </c>
      <c r="M75">
        <v>16581981.981981983</v>
      </c>
      <c r="N75">
        <v>15047747.747747747</v>
      </c>
      <c r="O75">
        <v>49747252.252252258</v>
      </c>
      <c r="P75">
        <v>44665225.225225225</v>
      </c>
      <c r="Q75">
        <v>15553153.153153153</v>
      </c>
      <c r="R75">
        <v>13948648.648648648</v>
      </c>
      <c r="S75">
        <v>7035</v>
      </c>
      <c r="T75">
        <v>7046</v>
      </c>
    </row>
    <row r="76" spans="1:20" x14ac:dyDescent="0.35">
      <c r="A76" s="7" t="s">
        <v>155</v>
      </c>
      <c r="B76" s="12" t="s">
        <v>154</v>
      </c>
      <c r="C76">
        <v>14168302.507564619</v>
      </c>
      <c r="D76">
        <v>9797030.5626008119</v>
      </c>
      <c r="E76">
        <v>86338155.855855852</v>
      </c>
      <c r="F76">
        <v>91891463.06306307</v>
      </c>
      <c r="G76">
        <v>4</v>
      </c>
      <c r="H76">
        <v>2</v>
      </c>
      <c r="K76">
        <v>5</v>
      </c>
      <c r="L76">
        <v>2</v>
      </c>
      <c r="M76">
        <v>2465990.9909909908</v>
      </c>
      <c r="N76">
        <v>3337837.8378378372</v>
      </c>
      <c r="O76">
        <v>4118243.243243244</v>
      </c>
      <c r="P76">
        <v>2348297.297297297</v>
      </c>
      <c r="Q76">
        <v>61261.261261261003</v>
      </c>
      <c r="R76">
        <v>2065765.7657657659</v>
      </c>
      <c r="S76">
        <v>1947</v>
      </c>
      <c r="T76">
        <v>1195</v>
      </c>
    </row>
    <row r="77" spans="1:20" x14ac:dyDescent="0.35">
      <c r="A77" s="7" t="s">
        <v>156</v>
      </c>
      <c r="B77" s="12" t="s">
        <v>154</v>
      </c>
      <c r="C77">
        <v>145073867.86482519</v>
      </c>
      <c r="D77">
        <v>120094746.31931099</v>
      </c>
      <c r="E77">
        <v>1861261.261261262</v>
      </c>
      <c r="F77">
        <v>511936.93693694001</v>
      </c>
      <c r="G77">
        <v>9</v>
      </c>
      <c r="H77">
        <v>5</v>
      </c>
      <c r="K77">
        <v>12</v>
      </c>
      <c r="L77">
        <v>5</v>
      </c>
      <c r="M77">
        <v>33077477.47747748</v>
      </c>
      <c r="N77">
        <v>22001351.351351351</v>
      </c>
      <c r="O77">
        <v>54538333.333333336</v>
      </c>
      <c r="P77">
        <v>45031621.621621624</v>
      </c>
      <c r="Q77">
        <v>29638108.108108111</v>
      </c>
      <c r="R77">
        <v>23672072.072072074</v>
      </c>
      <c r="S77">
        <v>8046</v>
      </c>
      <c r="T77">
        <v>8092</v>
      </c>
    </row>
    <row r="78" spans="1:20" x14ac:dyDescent="0.35">
      <c r="A78" s="7" t="s">
        <v>157</v>
      </c>
      <c r="B78" s="12" t="s">
        <v>134</v>
      </c>
      <c r="C78">
        <v>58523997.318378158</v>
      </c>
      <c r="D78">
        <v>56324206.048106067</v>
      </c>
      <c r="E78">
        <v>21621.621621621998</v>
      </c>
      <c r="F78">
        <v>94594.594594595997</v>
      </c>
      <c r="G78">
        <v>10</v>
      </c>
      <c r="H78">
        <v>9</v>
      </c>
      <c r="K78">
        <v>12</v>
      </c>
      <c r="L78">
        <v>10</v>
      </c>
      <c r="M78">
        <v>6791891.8918918921</v>
      </c>
      <c r="N78">
        <v>7076576.5765765766</v>
      </c>
      <c r="O78">
        <v>5243693.6936936937</v>
      </c>
      <c r="P78">
        <v>6070765.7657657657</v>
      </c>
      <c r="Q78">
        <v>1941441.44144144</v>
      </c>
      <c r="R78">
        <v>1471171.1711711721</v>
      </c>
      <c r="S78">
        <v>4429</v>
      </c>
      <c r="T78">
        <v>4509</v>
      </c>
    </row>
    <row r="79" spans="1:20" x14ac:dyDescent="0.35">
      <c r="A79" s="7" t="s">
        <v>1</v>
      </c>
      <c r="B79" s="12" t="s">
        <v>158</v>
      </c>
      <c r="C79">
        <v>107807192.61836827</v>
      </c>
      <c r="D79">
        <v>100255253.64976333</v>
      </c>
      <c r="E79">
        <v>225675.67567567801</v>
      </c>
      <c r="F79">
        <v>943243.24324324599</v>
      </c>
      <c r="G79">
        <v>11</v>
      </c>
      <c r="H79">
        <v>7</v>
      </c>
      <c r="I79">
        <v>1</v>
      </c>
      <c r="K79">
        <v>17</v>
      </c>
      <c r="L79">
        <v>127</v>
      </c>
      <c r="M79">
        <v>11197747.747747747</v>
      </c>
      <c r="N79">
        <v>18985495.495495494</v>
      </c>
      <c r="O79">
        <v>48384324.324324325</v>
      </c>
      <c r="P79">
        <v>48063054.054054059</v>
      </c>
      <c r="Q79">
        <v>10790900.900900899</v>
      </c>
      <c r="R79">
        <v>13839909.909909911</v>
      </c>
      <c r="S79">
        <v>8229</v>
      </c>
      <c r="T79">
        <v>8286</v>
      </c>
    </row>
    <row r="80" spans="1:20" x14ac:dyDescent="0.35">
      <c r="A80" s="7" t="s">
        <v>159</v>
      </c>
      <c r="B80" s="12" t="s">
        <v>121</v>
      </c>
      <c r="C80">
        <v>4540886.4613914853</v>
      </c>
      <c r="D80">
        <v>3905778.823848018</v>
      </c>
      <c r="E80">
        <v>516658.55855855899</v>
      </c>
      <c r="F80">
        <v>18366027.927927926</v>
      </c>
      <c r="G80">
        <v>1</v>
      </c>
      <c r="H80">
        <v>1</v>
      </c>
      <c r="K80">
        <v>1</v>
      </c>
      <c r="L80">
        <v>3</v>
      </c>
      <c r="M80">
        <v>900900.90090090095</v>
      </c>
      <c r="N80">
        <v>652437.83783783799</v>
      </c>
      <c r="O80">
        <v>506846.84684684698</v>
      </c>
      <c r="P80">
        <v>455855.85585585597</v>
      </c>
      <c r="Q80">
        <v>133603.60360360399</v>
      </c>
      <c r="S80">
        <v>545</v>
      </c>
      <c r="T80">
        <v>521</v>
      </c>
    </row>
    <row r="81" spans="1:20" x14ac:dyDescent="0.35">
      <c r="A81" s="7" t="s">
        <v>160</v>
      </c>
      <c r="B81" s="12" t="s">
        <v>161</v>
      </c>
      <c r="C81">
        <v>51922086.084740885</v>
      </c>
      <c r="D81">
        <v>54698457.412132233</v>
      </c>
      <c r="E81">
        <v>258378.37837838</v>
      </c>
      <c r="F81">
        <v>718018.01801801904</v>
      </c>
      <c r="G81">
        <v>12</v>
      </c>
      <c r="H81">
        <v>12</v>
      </c>
      <c r="K81">
        <v>18</v>
      </c>
      <c r="L81">
        <v>119</v>
      </c>
      <c r="M81">
        <v>13934954.954954963</v>
      </c>
      <c r="N81">
        <v>10287027.027027035</v>
      </c>
      <c r="O81">
        <v>22041477.477477472</v>
      </c>
      <c r="P81">
        <v>22819369.369369373</v>
      </c>
      <c r="Q81">
        <v>20324864.864864867</v>
      </c>
      <c r="R81">
        <v>8207027.0270270351</v>
      </c>
      <c r="S81">
        <v>6073</v>
      </c>
      <c r="T81">
        <v>5960</v>
      </c>
    </row>
    <row r="82" spans="1:20" x14ac:dyDescent="0.35">
      <c r="A82" s="7" t="s">
        <v>162</v>
      </c>
      <c r="B82" s="12" t="s">
        <v>76</v>
      </c>
      <c r="C82">
        <v>24385409.73935822</v>
      </c>
      <c r="D82">
        <v>25796991.808226012</v>
      </c>
      <c r="E82">
        <v>900.900900901</v>
      </c>
      <c r="F82">
        <v>180180.18018018</v>
      </c>
      <c r="G82">
        <v>7</v>
      </c>
      <c r="H82">
        <v>7</v>
      </c>
      <c r="K82">
        <v>8</v>
      </c>
      <c r="L82">
        <v>9</v>
      </c>
      <c r="M82">
        <v>271171.17117117101</v>
      </c>
      <c r="N82">
        <v>360360.36036036001</v>
      </c>
      <c r="O82">
        <v>1575135.1351351349</v>
      </c>
      <c r="P82">
        <v>1334639.6396396391</v>
      </c>
      <c r="Q82">
        <v>284144.14414414403</v>
      </c>
      <c r="R82">
        <v>281621.62162162201</v>
      </c>
      <c r="S82">
        <v>978</v>
      </c>
      <c r="T82">
        <v>953</v>
      </c>
    </row>
    <row r="83" spans="1:20" x14ac:dyDescent="0.35">
      <c r="A83" s="7" t="s">
        <v>163</v>
      </c>
      <c r="B83" s="12" t="s">
        <v>52</v>
      </c>
      <c r="C83">
        <v>20135800.532853439</v>
      </c>
      <c r="D83">
        <v>18646514.587360047</v>
      </c>
      <c r="E83">
        <v>272972.97297297302</v>
      </c>
      <c r="F83">
        <v>317117.11711711698</v>
      </c>
      <c r="G83">
        <v>2</v>
      </c>
      <c r="H83">
        <v>8</v>
      </c>
      <c r="K83">
        <v>3</v>
      </c>
      <c r="L83">
        <v>8</v>
      </c>
      <c r="M83">
        <v>498198.19819819799</v>
      </c>
      <c r="N83">
        <v>393693.69369369402</v>
      </c>
      <c r="O83">
        <v>9213288.2882882878</v>
      </c>
      <c r="P83">
        <v>9126792.7927927915</v>
      </c>
      <c r="Q83">
        <v>440900.90090090001</v>
      </c>
      <c r="R83">
        <v>402432.43243243301</v>
      </c>
      <c r="S83">
        <v>1574</v>
      </c>
      <c r="T83">
        <v>1590</v>
      </c>
    </row>
    <row r="84" spans="1:20" x14ac:dyDescent="0.35">
      <c r="A84" s="7" t="s">
        <v>164</v>
      </c>
      <c r="B84" s="12" t="s">
        <v>87</v>
      </c>
      <c r="C84">
        <v>17104421.054860614</v>
      </c>
      <c r="D84">
        <v>13272161.858907595</v>
      </c>
      <c r="E84">
        <v>28191148.648648649</v>
      </c>
      <c r="F84">
        <v>465782.88288288302</v>
      </c>
      <c r="G84">
        <v>3</v>
      </c>
      <c r="H84">
        <v>5</v>
      </c>
      <c r="K84">
        <v>5</v>
      </c>
      <c r="L84">
        <v>5</v>
      </c>
      <c r="M84">
        <v>283333.33333333401</v>
      </c>
      <c r="N84">
        <v>589189.18918918795</v>
      </c>
      <c r="O84">
        <v>1631621.621621622</v>
      </c>
      <c r="P84">
        <v>1026801.801801802</v>
      </c>
      <c r="Q84">
        <v>193153.15315315299</v>
      </c>
      <c r="R84">
        <v>235135.13513513401</v>
      </c>
      <c r="S84">
        <v>1193</v>
      </c>
      <c r="T84">
        <v>1183</v>
      </c>
    </row>
    <row r="85" spans="1:20" x14ac:dyDescent="0.35">
      <c r="A85" s="7" t="s">
        <v>165</v>
      </c>
      <c r="B85" s="12" t="s">
        <v>143</v>
      </c>
      <c r="C85">
        <v>3504048.4102807329</v>
      </c>
      <c r="D85">
        <v>3535358.622503492</v>
      </c>
      <c r="E85">
        <v>1801.801801802</v>
      </c>
      <c r="G85">
        <v>4</v>
      </c>
      <c r="H85">
        <v>1</v>
      </c>
      <c r="K85">
        <v>5</v>
      </c>
      <c r="L85">
        <v>2</v>
      </c>
      <c r="M85">
        <v>875675.67567567504</v>
      </c>
      <c r="O85">
        <v>452522.52252252301</v>
      </c>
      <c r="P85">
        <v>283198.19819819799</v>
      </c>
      <c r="Q85">
        <v>820720.72072072094</v>
      </c>
      <c r="S85">
        <v>333</v>
      </c>
      <c r="T85">
        <v>356</v>
      </c>
    </row>
    <row r="86" spans="1:20" x14ac:dyDescent="0.35">
      <c r="A86" s="7" t="s">
        <v>672</v>
      </c>
      <c r="B86" s="12" t="s">
        <v>143</v>
      </c>
      <c r="E86">
        <v>47849283.783783786</v>
      </c>
      <c r="F86">
        <v>67026403.603603601</v>
      </c>
      <c r="M86">
        <v>4504504.5045045046</v>
      </c>
      <c r="N86">
        <v>7207207.2072072066</v>
      </c>
    </row>
    <row r="87" spans="1:20" x14ac:dyDescent="0.35">
      <c r="A87" s="7" t="s">
        <v>166</v>
      </c>
      <c r="B87" s="12" t="s">
        <v>167</v>
      </c>
      <c r="C87">
        <v>11152061.396855945</v>
      </c>
      <c r="D87">
        <v>14847507.857468026</v>
      </c>
      <c r="E87">
        <v>8108.1081081080001</v>
      </c>
      <c r="F87">
        <v>391891.89189189201</v>
      </c>
      <c r="G87">
        <v>3</v>
      </c>
      <c r="H87">
        <v>2</v>
      </c>
      <c r="K87">
        <v>5</v>
      </c>
      <c r="L87">
        <v>3</v>
      </c>
      <c r="M87">
        <v>946126.12612612895</v>
      </c>
      <c r="N87">
        <v>1866666.666666666</v>
      </c>
      <c r="O87">
        <v>6279414.4144144151</v>
      </c>
      <c r="P87">
        <v>6859601.8018018007</v>
      </c>
      <c r="Q87">
        <v>1587837.83783784</v>
      </c>
      <c r="R87">
        <v>885765.76576576603</v>
      </c>
      <c r="S87">
        <v>1417</v>
      </c>
      <c r="T87">
        <v>1350</v>
      </c>
    </row>
    <row r="88" spans="1:20" x14ac:dyDescent="0.35">
      <c r="A88" s="7" t="s">
        <v>168</v>
      </c>
      <c r="B88" s="12" t="s">
        <v>169</v>
      </c>
      <c r="C88">
        <v>59890965.505351596</v>
      </c>
      <c r="D88">
        <v>57762611.712818429</v>
      </c>
      <c r="E88">
        <v>321171.17117117101</v>
      </c>
      <c r="F88">
        <v>770270.27027026995</v>
      </c>
      <c r="G88">
        <v>5</v>
      </c>
      <c r="H88">
        <v>9</v>
      </c>
      <c r="I88">
        <v>1</v>
      </c>
      <c r="K88">
        <v>7</v>
      </c>
      <c r="L88">
        <v>20</v>
      </c>
      <c r="M88">
        <v>8618468.4684684686</v>
      </c>
      <c r="N88">
        <v>8211711.7117117113</v>
      </c>
      <c r="O88">
        <v>15885396.396396397</v>
      </c>
      <c r="P88">
        <v>18803171.171171173</v>
      </c>
      <c r="Q88">
        <v>9287657.6576576605</v>
      </c>
      <c r="R88">
        <v>10669189.189189188</v>
      </c>
      <c r="S88">
        <v>6316</v>
      </c>
      <c r="T88">
        <v>6904</v>
      </c>
    </row>
    <row r="89" spans="1:20" x14ac:dyDescent="0.35">
      <c r="A89" s="7" t="s">
        <v>170</v>
      </c>
      <c r="B89" s="12" t="s">
        <v>54</v>
      </c>
      <c r="C89">
        <v>9406331.2166382782</v>
      </c>
      <c r="D89">
        <v>9538514.3069475759</v>
      </c>
      <c r="E89">
        <v>3603.603603604</v>
      </c>
      <c r="F89">
        <v>14414.414414415</v>
      </c>
      <c r="K89">
        <v>1</v>
      </c>
      <c r="M89">
        <v>1985585.585585586</v>
      </c>
      <c r="N89">
        <v>464864.86486486503</v>
      </c>
      <c r="O89">
        <v>1397972.9729729739</v>
      </c>
      <c r="P89">
        <v>1623513.5135135141</v>
      </c>
      <c r="Q89">
        <v>811351.35135135194</v>
      </c>
      <c r="R89">
        <v>1058108.1081081079</v>
      </c>
      <c r="S89">
        <v>713</v>
      </c>
      <c r="T89">
        <v>692</v>
      </c>
    </row>
    <row r="90" spans="1:20" x14ac:dyDescent="0.35">
      <c r="A90" s="7" t="s">
        <v>171</v>
      </c>
      <c r="B90" s="12" t="s">
        <v>60</v>
      </c>
      <c r="C90">
        <v>207113613.58474588</v>
      </c>
      <c r="D90">
        <v>195770373.04622602</v>
      </c>
      <c r="E90">
        <v>1084684.6846846859</v>
      </c>
      <c r="F90">
        <v>1932432.4324324341</v>
      </c>
      <c r="G90">
        <v>34</v>
      </c>
      <c r="H90">
        <v>36</v>
      </c>
      <c r="K90">
        <v>40</v>
      </c>
      <c r="L90">
        <v>44</v>
      </c>
      <c r="M90">
        <v>8379279.2792792777</v>
      </c>
      <c r="N90">
        <v>8397297.297297297</v>
      </c>
      <c r="O90">
        <v>66979887.387387387</v>
      </c>
      <c r="P90">
        <v>71829792.792792797</v>
      </c>
      <c r="Q90">
        <v>7889639.6396396393</v>
      </c>
      <c r="R90">
        <v>9113963.9639639612</v>
      </c>
      <c r="S90">
        <v>12007</v>
      </c>
      <c r="T90">
        <v>12028</v>
      </c>
    </row>
    <row r="91" spans="1:20" x14ac:dyDescent="0.35">
      <c r="A91" s="7" t="s">
        <v>172</v>
      </c>
      <c r="B91" s="12" t="s">
        <v>121</v>
      </c>
      <c r="C91">
        <v>87427258.440058306</v>
      </c>
      <c r="D91">
        <v>84520767.542969957</v>
      </c>
      <c r="E91">
        <v>928828.82882883202</v>
      </c>
      <c r="F91">
        <v>809009.00900900795</v>
      </c>
      <c r="G91">
        <v>35</v>
      </c>
      <c r="H91">
        <v>24</v>
      </c>
      <c r="K91">
        <v>43</v>
      </c>
      <c r="L91">
        <v>29</v>
      </c>
      <c r="M91">
        <v>3676576.576576578</v>
      </c>
      <c r="N91">
        <v>3572072.072072072</v>
      </c>
      <c r="O91">
        <v>10814414.414414415</v>
      </c>
      <c r="P91">
        <v>9351243.2432432435</v>
      </c>
      <c r="Q91">
        <v>3245315.315315315</v>
      </c>
      <c r="R91">
        <v>2398198.1981981979</v>
      </c>
      <c r="S91">
        <v>5856</v>
      </c>
      <c r="T91">
        <v>5713</v>
      </c>
    </row>
    <row r="92" spans="1:20" x14ac:dyDescent="0.35">
      <c r="A92" s="7" t="s">
        <v>173</v>
      </c>
      <c r="B92" s="12" t="s">
        <v>174</v>
      </c>
      <c r="C92">
        <v>62147624.461235844</v>
      </c>
      <c r="D92">
        <v>57952392.305667385</v>
      </c>
      <c r="E92">
        <v>20277370.270270273</v>
      </c>
      <c r="F92">
        <v>56841855.855855852</v>
      </c>
      <c r="G92">
        <v>8</v>
      </c>
      <c r="H92">
        <v>7</v>
      </c>
      <c r="K92">
        <v>11</v>
      </c>
      <c r="L92">
        <v>10</v>
      </c>
      <c r="M92">
        <v>7712162.1621621624</v>
      </c>
      <c r="N92">
        <v>8541441.4414414391</v>
      </c>
      <c r="O92">
        <v>6336522.5225225203</v>
      </c>
      <c r="P92">
        <v>6084315.3153153164</v>
      </c>
      <c r="Q92">
        <v>4640270.2702702731</v>
      </c>
      <c r="R92">
        <v>4898018.0180180185</v>
      </c>
      <c r="S92">
        <v>4529</v>
      </c>
      <c r="T92">
        <v>4633</v>
      </c>
    </row>
    <row r="93" spans="1:20" x14ac:dyDescent="0.35">
      <c r="A93" s="7" t="s">
        <v>175</v>
      </c>
      <c r="B93" s="12" t="s">
        <v>174</v>
      </c>
      <c r="C93">
        <v>93102049.149129897</v>
      </c>
      <c r="D93">
        <v>92008488.640277177</v>
      </c>
      <c r="E93">
        <v>365765.76576576801</v>
      </c>
      <c r="F93">
        <v>414189.18918919301</v>
      </c>
      <c r="G93">
        <v>33</v>
      </c>
      <c r="H93">
        <v>29</v>
      </c>
      <c r="K93">
        <v>41</v>
      </c>
      <c r="L93">
        <v>52</v>
      </c>
      <c r="M93">
        <v>9614414.4144144133</v>
      </c>
      <c r="N93">
        <v>10084684.684684685</v>
      </c>
      <c r="O93">
        <v>17042790.990990993</v>
      </c>
      <c r="P93">
        <v>16059225.225225225</v>
      </c>
      <c r="Q93">
        <v>10044007.207207216</v>
      </c>
      <c r="R93">
        <v>5724684.6846846836</v>
      </c>
      <c r="S93">
        <v>8561</v>
      </c>
      <c r="T93">
        <v>8541</v>
      </c>
    </row>
    <row r="94" spans="1:20" x14ac:dyDescent="0.35">
      <c r="A94" s="7" t="s">
        <v>176</v>
      </c>
      <c r="B94" s="12" t="s">
        <v>174</v>
      </c>
      <c r="C94">
        <v>128047137.86207424</v>
      </c>
      <c r="D94">
        <v>123386063.24179922</v>
      </c>
      <c r="E94">
        <v>177477.47747747999</v>
      </c>
      <c r="F94">
        <v>438063.06306306698</v>
      </c>
      <c r="G94">
        <v>46</v>
      </c>
      <c r="H94">
        <v>26</v>
      </c>
      <c r="I94">
        <v>1</v>
      </c>
      <c r="K94">
        <v>61</v>
      </c>
      <c r="L94">
        <v>45</v>
      </c>
      <c r="M94">
        <v>13245045.045045044</v>
      </c>
      <c r="N94">
        <v>12445945.945945948</v>
      </c>
      <c r="O94">
        <v>19718481.981981982</v>
      </c>
      <c r="P94">
        <v>19053495.495495494</v>
      </c>
      <c r="Q94">
        <v>9572702.7027027085</v>
      </c>
      <c r="R94">
        <v>8340450.450450452</v>
      </c>
      <c r="S94">
        <v>11746</v>
      </c>
      <c r="T94">
        <v>12091</v>
      </c>
    </row>
    <row r="95" spans="1:20" x14ac:dyDescent="0.35">
      <c r="A95" s="7" t="s">
        <v>177</v>
      </c>
      <c r="B95" s="12" t="s">
        <v>178</v>
      </c>
      <c r="C95">
        <v>41753463.635556526</v>
      </c>
      <c r="D95">
        <v>38256218.531777158</v>
      </c>
      <c r="E95">
        <v>270270.27027027</v>
      </c>
      <c r="G95">
        <v>4</v>
      </c>
      <c r="H95">
        <v>2</v>
      </c>
      <c r="K95">
        <v>4</v>
      </c>
      <c r="L95">
        <v>2</v>
      </c>
      <c r="M95">
        <v>1580900.900900902</v>
      </c>
      <c r="N95">
        <v>7740090.0900900876</v>
      </c>
      <c r="O95">
        <v>13476081.081081079</v>
      </c>
      <c r="P95">
        <v>15064890.09009009</v>
      </c>
      <c r="Q95">
        <v>1178738.7387387401</v>
      </c>
      <c r="R95">
        <v>7944594.5945945932</v>
      </c>
      <c r="S95">
        <v>3712</v>
      </c>
      <c r="T95">
        <v>3441</v>
      </c>
    </row>
    <row r="96" spans="1:20" x14ac:dyDescent="0.35">
      <c r="A96" s="7" t="s">
        <v>179</v>
      </c>
      <c r="B96" s="12" t="s">
        <v>167</v>
      </c>
      <c r="C96">
        <v>55273469.050545685</v>
      </c>
      <c r="D96">
        <v>41905208.787457943</v>
      </c>
      <c r="E96">
        <v>2070270.270270271</v>
      </c>
      <c r="F96">
        <v>544819.81981982</v>
      </c>
      <c r="G96">
        <v>23</v>
      </c>
      <c r="H96">
        <v>2</v>
      </c>
      <c r="K96">
        <v>29</v>
      </c>
      <c r="L96">
        <v>18</v>
      </c>
      <c r="M96">
        <v>355675.675675679</v>
      </c>
      <c r="N96">
        <v>617117.11711711797</v>
      </c>
      <c r="O96">
        <v>14113207.207207208</v>
      </c>
      <c r="P96">
        <v>11918648.648648648</v>
      </c>
      <c r="Q96">
        <v>2150720.7207207228</v>
      </c>
      <c r="R96">
        <v>472972.97297297302</v>
      </c>
      <c r="S96">
        <v>4779</v>
      </c>
      <c r="T96">
        <v>4482</v>
      </c>
    </row>
    <row r="97" spans="1:20" x14ac:dyDescent="0.35">
      <c r="A97" s="7" t="s">
        <v>180</v>
      </c>
      <c r="B97" s="12" t="s">
        <v>181</v>
      </c>
      <c r="C97">
        <v>40146519.412469104</v>
      </c>
      <c r="D97">
        <v>37303844.238580741</v>
      </c>
      <c r="E97">
        <v>900.900900901</v>
      </c>
      <c r="F97">
        <v>38738.738738738997</v>
      </c>
      <c r="G97">
        <v>6</v>
      </c>
      <c r="H97">
        <v>10</v>
      </c>
      <c r="K97">
        <v>8</v>
      </c>
      <c r="L97">
        <v>12</v>
      </c>
      <c r="M97">
        <v>3186486.4864864829</v>
      </c>
      <c r="N97">
        <v>3750450.4504504502</v>
      </c>
      <c r="O97">
        <v>9228873.8738738764</v>
      </c>
      <c r="P97">
        <v>9837513.5135135129</v>
      </c>
      <c r="Q97">
        <v>3839639.639639637</v>
      </c>
      <c r="R97">
        <v>3228738.738738738</v>
      </c>
      <c r="S97">
        <v>3015</v>
      </c>
      <c r="T97">
        <v>3155</v>
      </c>
    </row>
    <row r="98" spans="1:20" x14ac:dyDescent="0.35">
      <c r="A98" s="7" t="s">
        <v>673</v>
      </c>
      <c r="B98" s="12" t="s">
        <v>68</v>
      </c>
      <c r="T98">
        <v>1</v>
      </c>
    </row>
    <row r="99" spans="1:20" x14ac:dyDescent="0.35">
      <c r="A99" s="7" t="s">
        <v>182</v>
      </c>
      <c r="B99" s="12" t="s">
        <v>94</v>
      </c>
      <c r="C99">
        <v>31217181.955750369</v>
      </c>
      <c r="D99">
        <v>43277127.252608821</v>
      </c>
      <c r="E99">
        <v>135135.135135135</v>
      </c>
      <c r="G99">
        <v>2</v>
      </c>
      <c r="H99">
        <v>11</v>
      </c>
      <c r="K99">
        <v>3</v>
      </c>
      <c r="L99">
        <v>14</v>
      </c>
      <c r="M99">
        <v>135135.135135135</v>
      </c>
      <c r="N99">
        <v>4423423.4234234234</v>
      </c>
      <c r="O99">
        <v>2488108.1081081079</v>
      </c>
      <c r="P99">
        <v>4088126.1261261269</v>
      </c>
      <c r="Q99">
        <v>269639.63963963999</v>
      </c>
      <c r="R99">
        <v>760360.36036036001</v>
      </c>
      <c r="S99">
        <v>3730</v>
      </c>
      <c r="T99">
        <v>3692</v>
      </c>
    </row>
    <row r="100" spans="1:20" x14ac:dyDescent="0.35">
      <c r="A100" s="7" t="s">
        <v>183</v>
      </c>
      <c r="B100" s="12" t="s">
        <v>94</v>
      </c>
      <c r="C100">
        <v>244687128.26188624</v>
      </c>
      <c r="D100">
        <v>229565107.3834576</v>
      </c>
      <c r="E100">
        <v>158804706.3063063</v>
      </c>
      <c r="F100">
        <v>592655570.27027035</v>
      </c>
      <c r="G100">
        <v>42</v>
      </c>
      <c r="H100">
        <v>41</v>
      </c>
      <c r="K100">
        <v>56</v>
      </c>
      <c r="L100">
        <v>57</v>
      </c>
      <c r="M100">
        <v>11328378.37837838</v>
      </c>
      <c r="N100">
        <v>16055405.40540541</v>
      </c>
      <c r="O100">
        <v>29287995.495495494</v>
      </c>
      <c r="P100">
        <v>28675810.810810812</v>
      </c>
      <c r="Q100">
        <v>11617117.11711712</v>
      </c>
      <c r="R100">
        <v>18593603.603603605</v>
      </c>
      <c r="S100">
        <v>16209</v>
      </c>
      <c r="T100">
        <v>15841</v>
      </c>
    </row>
    <row r="101" spans="1:20" x14ac:dyDescent="0.35">
      <c r="A101" s="7" t="s">
        <v>184</v>
      </c>
      <c r="B101" s="12" t="s">
        <v>89</v>
      </c>
      <c r="C101">
        <v>23173912.088468712</v>
      </c>
      <c r="D101">
        <v>20567440.096976787</v>
      </c>
      <c r="E101">
        <v>24461711.711711712</v>
      </c>
      <c r="F101">
        <v>123775450.45045045</v>
      </c>
      <c r="G101">
        <v>2</v>
      </c>
      <c r="H101">
        <v>6</v>
      </c>
      <c r="K101">
        <v>2</v>
      </c>
      <c r="L101">
        <v>6</v>
      </c>
      <c r="M101">
        <v>344594.59459459397</v>
      </c>
      <c r="N101">
        <v>1232432.432432431</v>
      </c>
      <c r="O101">
        <v>6383648.6486486495</v>
      </c>
      <c r="P101">
        <v>7020126.1261261264</v>
      </c>
      <c r="Q101">
        <v>346126.12612612703</v>
      </c>
      <c r="R101">
        <v>888648.64864864806</v>
      </c>
      <c r="S101">
        <v>1668</v>
      </c>
      <c r="T101">
        <v>1584</v>
      </c>
    </row>
    <row r="102" spans="1:20" x14ac:dyDescent="0.35">
      <c r="A102" s="7" t="s">
        <v>185</v>
      </c>
      <c r="B102" s="12" t="s">
        <v>60</v>
      </c>
      <c r="C102">
        <v>14022966.315752249</v>
      </c>
      <c r="D102">
        <v>12945314.830431484</v>
      </c>
      <c r="E102">
        <v>270270.27027027</v>
      </c>
      <c r="F102">
        <v>221621.621621623</v>
      </c>
      <c r="G102">
        <v>1</v>
      </c>
      <c r="H102">
        <v>5</v>
      </c>
      <c r="K102">
        <v>1</v>
      </c>
      <c r="L102">
        <v>6</v>
      </c>
      <c r="M102">
        <v>630630.63063062995</v>
      </c>
      <c r="N102">
        <v>221621.621621623</v>
      </c>
      <c r="O102">
        <v>4428738.7387387389</v>
      </c>
      <c r="P102">
        <v>4569423.4234234234</v>
      </c>
      <c r="Q102">
        <v>237387.38738738699</v>
      </c>
      <c r="R102">
        <v>423423.42342342401</v>
      </c>
      <c r="S102">
        <v>858</v>
      </c>
      <c r="T102">
        <v>842</v>
      </c>
    </row>
    <row r="103" spans="1:20" x14ac:dyDescent="0.35">
      <c r="A103" s="7" t="s">
        <v>186</v>
      </c>
      <c r="B103" s="12" t="s">
        <v>167</v>
      </c>
      <c r="C103">
        <v>24031758.508163527</v>
      </c>
      <c r="D103">
        <v>30251000.047324196</v>
      </c>
      <c r="E103">
        <v>900.900900901</v>
      </c>
      <c r="F103">
        <v>85360.360360360006</v>
      </c>
      <c r="G103">
        <v>3</v>
      </c>
      <c r="H103">
        <v>1</v>
      </c>
      <c r="K103">
        <v>4</v>
      </c>
      <c r="L103">
        <v>2</v>
      </c>
      <c r="M103">
        <v>900.900900901</v>
      </c>
      <c r="N103">
        <v>85585.585585585999</v>
      </c>
      <c r="O103">
        <v>5685135.1351351347</v>
      </c>
      <c r="P103">
        <v>7649540.5405405406</v>
      </c>
      <c r="S103">
        <v>2753</v>
      </c>
      <c r="T103">
        <v>2885</v>
      </c>
    </row>
    <row r="104" spans="1:20" x14ac:dyDescent="0.35">
      <c r="A104" s="7" t="s">
        <v>187</v>
      </c>
      <c r="B104" s="12" t="s">
        <v>167</v>
      </c>
      <c r="C104">
        <v>85982439.819103479</v>
      </c>
      <c r="D104">
        <v>85478489.583724871</v>
      </c>
      <c r="E104">
        <v>6306.3063063070003</v>
      </c>
      <c r="F104">
        <v>13513.513513514001</v>
      </c>
      <c r="G104">
        <v>16</v>
      </c>
      <c r="H104">
        <v>5</v>
      </c>
      <c r="K104">
        <v>17</v>
      </c>
      <c r="L104">
        <v>6</v>
      </c>
      <c r="M104">
        <v>1808108.1081081091</v>
      </c>
      <c r="N104">
        <v>3802702.7027027062</v>
      </c>
      <c r="O104">
        <v>16295054.054054054</v>
      </c>
      <c r="P104">
        <v>17401279.27927928</v>
      </c>
      <c r="Q104">
        <v>1283333.333333334</v>
      </c>
      <c r="R104">
        <v>2137837.8378378409</v>
      </c>
      <c r="S104">
        <v>6023</v>
      </c>
      <c r="T104">
        <v>5496</v>
      </c>
    </row>
    <row r="105" spans="1:20" x14ac:dyDescent="0.35">
      <c r="A105" s="7" t="s">
        <v>188</v>
      </c>
      <c r="B105" s="12" t="s">
        <v>189</v>
      </c>
      <c r="C105">
        <v>38833156.039823823</v>
      </c>
      <c r="D105">
        <v>37556923.779552594</v>
      </c>
      <c r="E105">
        <v>270270.27027027</v>
      </c>
      <c r="F105">
        <v>270270.27027027</v>
      </c>
      <c r="G105">
        <v>6</v>
      </c>
      <c r="H105">
        <v>10</v>
      </c>
      <c r="K105">
        <v>6</v>
      </c>
      <c r="L105">
        <v>14</v>
      </c>
      <c r="M105">
        <v>1171171.1711711709</v>
      </c>
      <c r="N105">
        <v>720720.72072072094</v>
      </c>
      <c r="O105">
        <v>3937657.6576576582</v>
      </c>
      <c r="P105">
        <v>3213108.1081081079</v>
      </c>
      <c r="Q105">
        <v>1020720.7207207209</v>
      </c>
      <c r="R105">
        <v>647297.29729729705</v>
      </c>
      <c r="S105">
        <v>1682</v>
      </c>
      <c r="T105">
        <v>1648</v>
      </c>
    </row>
    <row r="106" spans="1:20" x14ac:dyDescent="0.35">
      <c r="A106" s="7" t="s">
        <v>190</v>
      </c>
      <c r="B106" s="12" t="s">
        <v>134</v>
      </c>
      <c r="C106">
        <v>8424959.3762309998</v>
      </c>
      <c r="D106">
        <v>8729484.9265772738</v>
      </c>
      <c r="G106">
        <v>4</v>
      </c>
      <c r="H106">
        <v>2</v>
      </c>
      <c r="K106">
        <v>4</v>
      </c>
      <c r="L106">
        <v>2</v>
      </c>
      <c r="O106">
        <v>470585.58558558498</v>
      </c>
      <c r="P106">
        <v>753738.73873873905</v>
      </c>
      <c r="S106">
        <v>1041</v>
      </c>
      <c r="T106">
        <v>995</v>
      </c>
    </row>
    <row r="107" spans="1:20" x14ac:dyDescent="0.35">
      <c r="A107" s="7" t="s">
        <v>191</v>
      </c>
      <c r="B107" s="12" t="s">
        <v>60</v>
      </c>
      <c r="C107">
        <v>57256808.454083696</v>
      </c>
      <c r="D107">
        <v>54903502.769689716</v>
      </c>
      <c r="E107">
        <v>421621.62162162102</v>
      </c>
      <c r="F107">
        <v>277252.25225225498</v>
      </c>
      <c r="G107">
        <v>5</v>
      </c>
      <c r="H107">
        <v>2</v>
      </c>
      <c r="K107">
        <v>9</v>
      </c>
      <c r="L107">
        <v>2</v>
      </c>
      <c r="M107">
        <v>3980180.180180179</v>
      </c>
      <c r="N107">
        <v>4682882.8828828856</v>
      </c>
      <c r="O107">
        <v>17654639.639639638</v>
      </c>
      <c r="P107">
        <v>15850135.135135137</v>
      </c>
      <c r="Q107">
        <v>4862342.3423423395</v>
      </c>
      <c r="R107">
        <v>4624684.6846846864</v>
      </c>
      <c r="S107">
        <v>4013</v>
      </c>
      <c r="T107">
        <v>4245</v>
      </c>
    </row>
    <row r="108" spans="1:20" x14ac:dyDescent="0.35">
      <c r="A108" s="7" t="s">
        <v>192</v>
      </c>
      <c r="B108" s="12" t="s">
        <v>60</v>
      </c>
      <c r="C108">
        <v>97151404.144865572</v>
      </c>
      <c r="D108">
        <v>93915401.966354132</v>
      </c>
      <c r="E108">
        <v>874774.77477477503</v>
      </c>
      <c r="F108">
        <v>455855.85585585702</v>
      </c>
      <c r="G108">
        <v>5</v>
      </c>
      <c r="H108">
        <v>4</v>
      </c>
      <c r="K108">
        <v>6</v>
      </c>
      <c r="L108">
        <v>4</v>
      </c>
      <c r="M108">
        <v>5018918.9189189197</v>
      </c>
      <c r="N108">
        <v>6545945.9459459456</v>
      </c>
      <c r="O108">
        <v>22565630.630630631</v>
      </c>
      <c r="P108">
        <v>22175576.576576576</v>
      </c>
      <c r="Q108">
        <v>4771621.6216216208</v>
      </c>
      <c r="R108">
        <v>4409009.0090090092</v>
      </c>
      <c r="S108">
        <v>6570</v>
      </c>
      <c r="T108">
        <v>6581</v>
      </c>
    </row>
    <row r="109" spans="1:20" x14ac:dyDescent="0.35">
      <c r="A109" s="7" t="s">
        <v>2</v>
      </c>
      <c r="B109" s="12" t="s">
        <v>193</v>
      </c>
      <c r="C109">
        <v>12901781.185136851</v>
      </c>
      <c r="D109">
        <v>6356004.4309599204</v>
      </c>
      <c r="E109">
        <v>67921160.360360354</v>
      </c>
      <c r="F109">
        <v>227999804.5045045</v>
      </c>
      <c r="G109">
        <v>1</v>
      </c>
      <c r="H109">
        <v>2</v>
      </c>
      <c r="K109">
        <v>1</v>
      </c>
      <c r="L109">
        <v>2</v>
      </c>
      <c r="M109">
        <v>8108.1081081089997</v>
      </c>
      <c r="O109">
        <v>6079099.0990990987</v>
      </c>
      <c r="P109">
        <v>3515324.3243243238</v>
      </c>
      <c r="R109">
        <v>157657.65765765801</v>
      </c>
      <c r="S109">
        <v>1234</v>
      </c>
      <c r="T109">
        <v>821</v>
      </c>
    </row>
    <row r="110" spans="1:20" x14ac:dyDescent="0.35">
      <c r="A110" s="7" t="s">
        <v>194</v>
      </c>
      <c r="B110" s="12" t="s">
        <v>195</v>
      </c>
      <c r="C110">
        <v>327560290.41947901</v>
      </c>
      <c r="D110">
        <v>320927636.42606515</v>
      </c>
      <c r="E110">
        <v>7048198.1981981983</v>
      </c>
      <c r="F110">
        <v>1784459.459459461</v>
      </c>
      <c r="G110">
        <v>61</v>
      </c>
      <c r="H110">
        <v>63</v>
      </c>
      <c r="K110">
        <v>77</v>
      </c>
      <c r="L110">
        <v>69</v>
      </c>
      <c r="M110">
        <v>9443873.8738738745</v>
      </c>
      <c r="N110">
        <v>14696216.216216214</v>
      </c>
      <c r="O110">
        <v>61212783.783783786</v>
      </c>
      <c r="P110">
        <v>62867369.369369373</v>
      </c>
      <c r="Q110">
        <v>14670270.270270269</v>
      </c>
      <c r="R110">
        <v>11525135.135135137</v>
      </c>
      <c r="S110">
        <v>18313</v>
      </c>
      <c r="T110">
        <v>18277</v>
      </c>
    </row>
    <row r="111" spans="1:20" x14ac:dyDescent="0.35">
      <c r="A111" s="7" t="s">
        <v>196</v>
      </c>
      <c r="B111" s="12" t="s">
        <v>80</v>
      </c>
      <c r="C111">
        <v>104092055.2633426</v>
      </c>
      <c r="D111">
        <v>97028000.240028054</v>
      </c>
      <c r="E111">
        <v>37837.837837838997</v>
      </c>
      <c r="F111">
        <v>466666.66666666698</v>
      </c>
      <c r="G111">
        <v>19</v>
      </c>
      <c r="H111">
        <v>10</v>
      </c>
      <c r="K111">
        <v>21</v>
      </c>
      <c r="L111">
        <v>11</v>
      </c>
      <c r="M111">
        <v>11365765.765765762</v>
      </c>
      <c r="N111">
        <v>16498198.198198197</v>
      </c>
      <c r="O111">
        <v>26679540.540540539</v>
      </c>
      <c r="P111">
        <v>26839423.423423424</v>
      </c>
      <c r="Q111">
        <v>11488198.198198196</v>
      </c>
      <c r="R111">
        <v>14778828.828828832</v>
      </c>
      <c r="S111">
        <v>6792</v>
      </c>
      <c r="T111">
        <v>6649</v>
      </c>
    </row>
    <row r="112" spans="1:20" x14ac:dyDescent="0.35">
      <c r="A112" s="7" t="s">
        <v>197</v>
      </c>
      <c r="B112" s="12" t="s">
        <v>108</v>
      </c>
      <c r="C112">
        <v>77809711.372502357</v>
      </c>
      <c r="D112">
        <v>82556088.284906745</v>
      </c>
      <c r="E112">
        <v>38558.558558561002</v>
      </c>
      <c r="F112">
        <v>311711.71171171399</v>
      </c>
      <c r="G112">
        <v>13</v>
      </c>
      <c r="H112">
        <v>25</v>
      </c>
      <c r="K112">
        <v>16</v>
      </c>
      <c r="L112">
        <v>29</v>
      </c>
      <c r="M112">
        <v>3249369.369369369</v>
      </c>
      <c r="N112">
        <v>4672972.9729729742</v>
      </c>
      <c r="O112">
        <v>21387117.117117114</v>
      </c>
      <c r="P112">
        <v>24427144.144144144</v>
      </c>
      <c r="Q112">
        <v>3603873.8738738731</v>
      </c>
      <c r="R112">
        <v>3381711.7117117099</v>
      </c>
      <c r="S112">
        <v>7083</v>
      </c>
      <c r="T112">
        <v>7359</v>
      </c>
    </row>
    <row r="113" spans="1:20" x14ac:dyDescent="0.35">
      <c r="A113" s="7" t="s">
        <v>198</v>
      </c>
      <c r="B113" s="12" t="s">
        <v>92</v>
      </c>
      <c r="C113">
        <v>44500067.441460177</v>
      </c>
      <c r="D113">
        <v>43776340.42136395</v>
      </c>
      <c r="E113">
        <v>10589369.369369367</v>
      </c>
      <c r="F113">
        <v>1200000</v>
      </c>
      <c r="G113">
        <v>6</v>
      </c>
      <c r="H113">
        <v>24</v>
      </c>
      <c r="K113">
        <v>6</v>
      </c>
      <c r="L113">
        <v>61</v>
      </c>
      <c r="M113">
        <v>17407972.972972974</v>
      </c>
      <c r="N113">
        <v>12569369.369369367</v>
      </c>
      <c r="O113">
        <v>10261801.801801803</v>
      </c>
      <c r="P113">
        <v>11454216.216216216</v>
      </c>
      <c r="Q113">
        <v>12311261.261261262</v>
      </c>
      <c r="R113">
        <v>11585135.135135137</v>
      </c>
      <c r="S113">
        <v>2802</v>
      </c>
      <c r="T113">
        <v>2757</v>
      </c>
    </row>
    <row r="114" spans="1:20" x14ac:dyDescent="0.35">
      <c r="A114" s="7" t="s">
        <v>199</v>
      </c>
      <c r="B114" s="12" t="s">
        <v>123</v>
      </c>
      <c r="C114">
        <v>47563740.568461969</v>
      </c>
      <c r="D114">
        <v>37272095.292337865</v>
      </c>
      <c r="E114">
        <v>483783.78378378402</v>
      </c>
      <c r="F114">
        <v>27027.027027027001</v>
      </c>
      <c r="G114">
        <v>23</v>
      </c>
      <c r="H114">
        <v>2</v>
      </c>
      <c r="K114">
        <v>24</v>
      </c>
      <c r="L114">
        <v>3</v>
      </c>
      <c r="M114">
        <v>3907207.2072072071</v>
      </c>
      <c r="N114">
        <v>929729.72972972901</v>
      </c>
      <c r="O114">
        <v>9666126.1261261255</v>
      </c>
      <c r="P114">
        <v>5827180.1801801799</v>
      </c>
      <c r="Q114">
        <v>1496216.2162162161</v>
      </c>
      <c r="R114">
        <v>1443153.1531531529</v>
      </c>
      <c r="S114">
        <v>2639</v>
      </c>
      <c r="T114">
        <v>2456</v>
      </c>
    </row>
    <row r="115" spans="1:20" x14ac:dyDescent="0.35">
      <c r="A115" s="7" t="s">
        <v>674</v>
      </c>
      <c r="B115" s="12" t="s">
        <v>60</v>
      </c>
      <c r="S115">
        <v>1</v>
      </c>
    </row>
    <row r="116" spans="1:20" x14ac:dyDescent="0.35">
      <c r="A116" s="7" t="s">
        <v>200</v>
      </c>
      <c r="B116" s="12" t="s">
        <v>60</v>
      </c>
      <c r="C116">
        <v>28910261.775829196</v>
      </c>
      <c r="D116">
        <v>27332809.542492844</v>
      </c>
      <c r="E116">
        <v>28401801.801801801</v>
      </c>
      <c r="F116">
        <v>20641441.441441439</v>
      </c>
      <c r="G116">
        <v>5</v>
      </c>
      <c r="H116">
        <v>7</v>
      </c>
      <c r="K116">
        <v>8</v>
      </c>
      <c r="L116">
        <v>8</v>
      </c>
      <c r="M116">
        <v>1971171.1711711709</v>
      </c>
      <c r="N116">
        <v>4362162.1621621614</v>
      </c>
      <c r="O116">
        <v>3957063.0630630641</v>
      </c>
      <c r="P116">
        <v>4777369.369369369</v>
      </c>
      <c r="Q116">
        <v>1659099.0990990989</v>
      </c>
      <c r="R116">
        <v>2540450.4504504502</v>
      </c>
      <c r="S116">
        <v>3408</v>
      </c>
      <c r="T116">
        <v>3521</v>
      </c>
    </row>
    <row r="117" spans="1:20" x14ac:dyDescent="0.35">
      <c r="A117" s="7" t="s">
        <v>201</v>
      </c>
      <c r="B117" s="12" t="s">
        <v>60</v>
      </c>
      <c r="C117">
        <v>10062375.945020908</v>
      </c>
      <c r="D117">
        <v>9660976.9844087679</v>
      </c>
      <c r="E117">
        <v>33513.513513514001</v>
      </c>
      <c r="G117">
        <v>3</v>
      </c>
      <c r="H117">
        <v>3</v>
      </c>
      <c r="K117">
        <v>4</v>
      </c>
      <c r="L117">
        <v>3</v>
      </c>
      <c r="M117">
        <v>78558.558558559002</v>
      </c>
      <c r="N117">
        <v>1009009.009009009</v>
      </c>
      <c r="O117">
        <v>2446396.3963963962</v>
      </c>
      <c r="P117">
        <v>2179765.7657657661</v>
      </c>
      <c r="Q117">
        <v>293243.24324324302</v>
      </c>
      <c r="R117">
        <v>283783.78378378402</v>
      </c>
      <c r="S117">
        <v>1029</v>
      </c>
      <c r="T117">
        <v>1097</v>
      </c>
    </row>
    <row r="118" spans="1:20" x14ac:dyDescent="0.35">
      <c r="A118" s="7" t="s">
        <v>202</v>
      </c>
      <c r="B118" s="12" t="s">
        <v>121</v>
      </c>
      <c r="C118">
        <v>21303155.281380422</v>
      </c>
      <c r="D118">
        <v>17908723.003493719</v>
      </c>
      <c r="E118">
        <v>39639.639639642002</v>
      </c>
      <c r="F118">
        <v>112612.61261261201</v>
      </c>
      <c r="G118">
        <v>17</v>
      </c>
      <c r="H118">
        <v>10</v>
      </c>
      <c r="K118">
        <v>18</v>
      </c>
      <c r="L118">
        <v>12</v>
      </c>
      <c r="M118">
        <v>39639.639639642002</v>
      </c>
      <c r="N118">
        <v>117117.117117117</v>
      </c>
      <c r="O118">
        <v>2254909.9099099101</v>
      </c>
      <c r="P118">
        <v>1600927.9279279271</v>
      </c>
      <c r="S118">
        <v>1508</v>
      </c>
      <c r="T118">
        <v>1402</v>
      </c>
    </row>
    <row r="119" spans="1:20" x14ac:dyDescent="0.35">
      <c r="A119" s="7" t="s">
        <v>203</v>
      </c>
      <c r="B119" s="12" t="s">
        <v>54</v>
      </c>
      <c r="C119">
        <v>30728181.264513984</v>
      </c>
      <c r="D119">
        <v>28777949.203256737</v>
      </c>
      <c r="E119">
        <v>1801.801801802</v>
      </c>
      <c r="F119">
        <v>79279.279279280003</v>
      </c>
      <c r="G119">
        <v>7</v>
      </c>
      <c r="H119">
        <v>4</v>
      </c>
      <c r="K119">
        <v>8</v>
      </c>
      <c r="L119">
        <v>4</v>
      </c>
      <c r="M119">
        <v>1218018.0180180171</v>
      </c>
      <c r="N119">
        <v>1300000</v>
      </c>
      <c r="O119">
        <v>7808378.3783783792</v>
      </c>
      <c r="P119">
        <v>7365954.9549549548</v>
      </c>
      <c r="Q119">
        <v>1575855.8558558561</v>
      </c>
      <c r="R119">
        <v>1290900.9009009011</v>
      </c>
      <c r="S119">
        <v>3948</v>
      </c>
      <c r="T119">
        <v>3805</v>
      </c>
    </row>
    <row r="120" spans="1:20" x14ac:dyDescent="0.35">
      <c r="A120" s="7" t="s">
        <v>204</v>
      </c>
      <c r="B120" s="12" t="s">
        <v>136</v>
      </c>
      <c r="C120">
        <v>119333482.8731076</v>
      </c>
      <c r="D120">
        <v>100339837.20530814</v>
      </c>
      <c r="E120">
        <v>217567.56756756699</v>
      </c>
      <c r="F120">
        <v>84684.684684685999</v>
      </c>
      <c r="G120">
        <v>29</v>
      </c>
      <c r="H120">
        <v>8</v>
      </c>
      <c r="K120">
        <v>30</v>
      </c>
      <c r="L120">
        <v>10</v>
      </c>
      <c r="M120">
        <v>8821171.1711711697</v>
      </c>
      <c r="N120">
        <v>9904504.5045045018</v>
      </c>
      <c r="O120">
        <v>19496936.936936937</v>
      </c>
      <c r="P120">
        <v>18609234.234234232</v>
      </c>
      <c r="Q120">
        <v>6980090.0900900885</v>
      </c>
      <c r="R120">
        <v>7397297.2972972989</v>
      </c>
      <c r="S120">
        <v>5870</v>
      </c>
      <c r="T120">
        <v>5565</v>
      </c>
    </row>
    <row r="121" spans="1:20" x14ac:dyDescent="0.35">
      <c r="A121" s="7" t="s">
        <v>205</v>
      </c>
      <c r="B121" s="12" t="s">
        <v>136</v>
      </c>
      <c r="C121">
        <v>58152200.504756235</v>
      </c>
      <c r="D121">
        <v>54429341.659836054</v>
      </c>
      <c r="E121">
        <v>3603.603603604</v>
      </c>
      <c r="F121">
        <v>298198.19819819799</v>
      </c>
      <c r="G121">
        <v>16</v>
      </c>
      <c r="H121">
        <v>8</v>
      </c>
      <c r="K121">
        <v>18</v>
      </c>
      <c r="L121">
        <v>11</v>
      </c>
      <c r="M121">
        <v>454054.05405405402</v>
      </c>
      <c r="N121">
        <v>1316216.2162162149</v>
      </c>
      <c r="O121">
        <v>10457387.387387387</v>
      </c>
      <c r="P121">
        <v>10728304.504504504</v>
      </c>
      <c r="Q121">
        <v>553513.51351351303</v>
      </c>
      <c r="R121">
        <v>1167657.6576576571</v>
      </c>
      <c r="S121">
        <v>3223</v>
      </c>
      <c r="T121">
        <v>3121</v>
      </c>
    </row>
    <row r="122" spans="1:20" x14ac:dyDescent="0.35">
      <c r="A122" s="7" t="s">
        <v>206</v>
      </c>
      <c r="B122" s="12" t="s">
        <v>169</v>
      </c>
      <c r="C122">
        <v>119733822.30891307</v>
      </c>
      <c r="D122">
        <v>122066512.36771804</v>
      </c>
      <c r="E122">
        <v>312612.61261261301</v>
      </c>
      <c r="F122">
        <v>340540.540540541</v>
      </c>
      <c r="G122">
        <v>4</v>
      </c>
      <c r="H122">
        <v>5</v>
      </c>
      <c r="K122">
        <v>4</v>
      </c>
      <c r="L122">
        <v>7</v>
      </c>
      <c r="M122">
        <v>430952252.25225222</v>
      </c>
      <c r="N122">
        <v>6475675.6756756753</v>
      </c>
      <c r="O122">
        <v>58429405.40540541</v>
      </c>
      <c r="P122">
        <v>56917990.990990989</v>
      </c>
      <c r="Q122">
        <v>435867412.61261261</v>
      </c>
      <c r="R122">
        <v>6509819.8198198201</v>
      </c>
      <c r="S122">
        <v>7595</v>
      </c>
      <c r="T122">
        <v>8167</v>
      </c>
    </row>
    <row r="123" spans="1:20" x14ac:dyDescent="0.35">
      <c r="A123" s="7" t="s">
        <v>207</v>
      </c>
      <c r="B123" s="12" t="s">
        <v>161</v>
      </c>
      <c r="C123">
        <v>133828392.11290991</v>
      </c>
      <c r="D123">
        <v>140645974.27812806</v>
      </c>
      <c r="E123">
        <v>19850949.54954955</v>
      </c>
      <c r="F123">
        <v>20959220.72072072</v>
      </c>
      <c r="G123">
        <v>27</v>
      </c>
      <c r="H123">
        <v>26</v>
      </c>
      <c r="K123">
        <v>36</v>
      </c>
      <c r="L123">
        <v>130</v>
      </c>
      <c r="M123">
        <v>16354864.86486485</v>
      </c>
      <c r="N123">
        <v>21174765.765765768</v>
      </c>
      <c r="O123">
        <v>37789360.360360362</v>
      </c>
      <c r="P123">
        <v>39525171.171171166</v>
      </c>
      <c r="Q123">
        <v>15191711.711711699</v>
      </c>
      <c r="R123">
        <v>12478558.558558557</v>
      </c>
      <c r="S123">
        <v>12191</v>
      </c>
      <c r="T123">
        <v>12209</v>
      </c>
    </row>
    <row r="124" spans="1:20" x14ac:dyDescent="0.35">
      <c r="A124" s="7" t="s">
        <v>208</v>
      </c>
      <c r="B124" s="12" t="s">
        <v>76</v>
      </c>
      <c r="C124">
        <v>5089780.2536436459</v>
      </c>
      <c r="D124">
        <v>4426811.8403660469</v>
      </c>
      <c r="O124">
        <v>311036.03603603598</v>
      </c>
      <c r="P124">
        <v>334099.099099099</v>
      </c>
      <c r="S124">
        <v>499</v>
      </c>
      <c r="T124">
        <v>476</v>
      </c>
    </row>
    <row r="125" spans="1:20" x14ac:dyDescent="0.35">
      <c r="A125" s="7" t="s">
        <v>209</v>
      </c>
      <c r="B125" s="12" t="s">
        <v>76</v>
      </c>
      <c r="C125">
        <v>65203466.5590332</v>
      </c>
      <c r="D125">
        <v>61123611.60477221</v>
      </c>
      <c r="E125">
        <v>1009732.432432433</v>
      </c>
      <c r="F125">
        <v>1194540.5405405429</v>
      </c>
      <c r="G125">
        <v>18</v>
      </c>
      <c r="H125">
        <v>21</v>
      </c>
      <c r="I125">
        <v>1</v>
      </c>
      <c r="K125">
        <v>24</v>
      </c>
      <c r="L125">
        <v>27</v>
      </c>
      <c r="M125">
        <v>4875135.1351351393</v>
      </c>
      <c r="N125">
        <v>7835675.6756756781</v>
      </c>
      <c r="O125">
        <v>8246036.0360360369</v>
      </c>
      <c r="P125">
        <v>8471549.5495495498</v>
      </c>
      <c r="Q125">
        <v>4947027.0270270333</v>
      </c>
      <c r="R125">
        <v>6950180.1801801817</v>
      </c>
      <c r="S125">
        <v>4391</v>
      </c>
      <c r="T125">
        <v>4395</v>
      </c>
    </row>
    <row r="126" spans="1:20" x14ac:dyDescent="0.35">
      <c r="A126" s="7" t="s">
        <v>210</v>
      </c>
      <c r="B126" s="12" t="s">
        <v>76</v>
      </c>
      <c r="C126">
        <v>81773431.103427023</v>
      </c>
      <c r="D126">
        <v>78502799.973385885</v>
      </c>
      <c r="E126">
        <v>370270.27027027198</v>
      </c>
      <c r="F126">
        <v>914414.41441441898</v>
      </c>
      <c r="G126">
        <v>38</v>
      </c>
      <c r="H126">
        <v>33</v>
      </c>
      <c r="I126">
        <v>2</v>
      </c>
      <c r="K126">
        <v>48</v>
      </c>
      <c r="L126">
        <v>42</v>
      </c>
      <c r="M126">
        <v>18348648.648648646</v>
      </c>
      <c r="N126">
        <v>23037297.297297295</v>
      </c>
      <c r="O126">
        <v>23639036.036036037</v>
      </c>
      <c r="P126">
        <v>23536666.666666668</v>
      </c>
      <c r="Q126">
        <v>15679189.189189188</v>
      </c>
      <c r="R126">
        <v>20765675.675675675</v>
      </c>
      <c r="S126">
        <v>6876</v>
      </c>
      <c r="T126">
        <v>7765</v>
      </c>
    </row>
    <row r="127" spans="1:20" x14ac:dyDescent="0.35">
      <c r="A127" s="7" t="s">
        <v>211</v>
      </c>
      <c r="B127" s="12" t="s">
        <v>76</v>
      </c>
      <c r="C127">
        <v>54498745.014645025</v>
      </c>
      <c r="D127">
        <v>56060295.321706302</v>
      </c>
      <c r="E127">
        <v>477927.92792792898</v>
      </c>
      <c r="F127">
        <v>725000.00000000605</v>
      </c>
      <c r="G127">
        <v>17</v>
      </c>
      <c r="H127">
        <v>21</v>
      </c>
      <c r="K127">
        <v>22</v>
      </c>
      <c r="L127">
        <v>26</v>
      </c>
      <c r="M127">
        <v>2423873.8738738731</v>
      </c>
      <c r="N127">
        <v>3384684.6846846882</v>
      </c>
      <c r="O127">
        <v>7421216.2162162159</v>
      </c>
      <c r="P127">
        <v>7698153.1531531531</v>
      </c>
      <c r="Q127">
        <v>4359999.9999999991</v>
      </c>
      <c r="R127">
        <v>3516756.756756756</v>
      </c>
      <c r="S127">
        <v>3963</v>
      </c>
      <c r="T127">
        <v>3995</v>
      </c>
    </row>
    <row r="128" spans="1:20" x14ac:dyDescent="0.35">
      <c r="A128" s="7" t="s">
        <v>212</v>
      </c>
      <c r="B128" s="12" t="s">
        <v>76</v>
      </c>
      <c r="C128">
        <v>21544733.059105795</v>
      </c>
      <c r="D128">
        <v>20929070.460430089</v>
      </c>
      <c r="E128">
        <v>21627477.47747748</v>
      </c>
      <c r="G128">
        <v>3</v>
      </c>
      <c r="K128">
        <v>4</v>
      </c>
      <c r="M128">
        <v>276126.12612612703</v>
      </c>
      <c r="N128">
        <v>351351.35135135101</v>
      </c>
      <c r="O128">
        <v>2920180.180180179</v>
      </c>
      <c r="P128">
        <v>3166198.1981981979</v>
      </c>
      <c r="Q128">
        <v>139639.63963963999</v>
      </c>
      <c r="R128">
        <v>136036.03603603601</v>
      </c>
      <c r="S128">
        <v>1795</v>
      </c>
      <c r="T128">
        <v>2114</v>
      </c>
    </row>
    <row r="129" spans="1:20" x14ac:dyDescent="0.35">
      <c r="A129" s="7" t="s">
        <v>213</v>
      </c>
      <c r="B129" s="12" t="s">
        <v>214</v>
      </c>
      <c r="C129">
        <v>23818488.086934444</v>
      </c>
      <c r="D129">
        <v>29047373.022922672</v>
      </c>
      <c r="E129">
        <v>73423.423423423999</v>
      </c>
      <c r="F129">
        <v>191891.89189189201</v>
      </c>
      <c r="G129">
        <v>5</v>
      </c>
      <c r="H129">
        <v>17</v>
      </c>
      <c r="K129">
        <v>5</v>
      </c>
      <c r="L129">
        <v>18</v>
      </c>
      <c r="M129">
        <v>4622252.2522522537</v>
      </c>
      <c r="N129">
        <v>8037387.3873873875</v>
      </c>
      <c r="O129">
        <v>11635900.9009009</v>
      </c>
      <c r="P129">
        <v>13424297.297297295</v>
      </c>
      <c r="Q129">
        <v>3618108.1081081098</v>
      </c>
      <c r="R129">
        <v>4048828.8288288289</v>
      </c>
      <c r="S129">
        <v>2347</v>
      </c>
      <c r="T129">
        <v>2323</v>
      </c>
    </row>
    <row r="130" spans="1:20" x14ac:dyDescent="0.35">
      <c r="A130" s="7" t="s">
        <v>215</v>
      </c>
      <c r="B130" s="12" t="s">
        <v>167</v>
      </c>
      <c r="C130">
        <v>21069005.253584608</v>
      </c>
      <c r="D130">
        <v>30722148.89292533</v>
      </c>
      <c r="E130">
        <v>900.900900901</v>
      </c>
      <c r="G130">
        <v>2</v>
      </c>
      <c r="H130">
        <v>1</v>
      </c>
      <c r="K130">
        <v>2</v>
      </c>
      <c r="L130">
        <v>2</v>
      </c>
      <c r="M130">
        <v>900.900900901</v>
      </c>
      <c r="O130">
        <v>4066216.2162162159</v>
      </c>
      <c r="P130">
        <v>5853702.702702703</v>
      </c>
      <c r="S130">
        <v>1798</v>
      </c>
      <c r="T130">
        <v>1811</v>
      </c>
    </row>
    <row r="131" spans="1:20" x14ac:dyDescent="0.35">
      <c r="A131" s="7" t="s">
        <v>216</v>
      </c>
      <c r="B131" s="12" t="s">
        <v>85</v>
      </c>
      <c r="C131">
        <v>5478627.7711489787</v>
      </c>
      <c r="D131">
        <v>7216049.72222168</v>
      </c>
      <c r="E131">
        <v>9909.9099099110008</v>
      </c>
      <c r="H131">
        <v>4</v>
      </c>
      <c r="L131">
        <v>4</v>
      </c>
      <c r="M131">
        <v>11109009.009009009</v>
      </c>
      <c r="N131">
        <v>10000000</v>
      </c>
      <c r="O131">
        <v>1495486.4864864871</v>
      </c>
      <c r="P131">
        <v>2048252.2522522521</v>
      </c>
      <c r="Q131">
        <v>8673153.1531531531</v>
      </c>
      <c r="R131">
        <v>2040810.8108108109</v>
      </c>
      <c r="S131">
        <v>627</v>
      </c>
      <c r="T131">
        <v>656</v>
      </c>
    </row>
    <row r="132" spans="1:20" x14ac:dyDescent="0.35">
      <c r="A132" s="7" t="s">
        <v>217</v>
      </c>
      <c r="B132" s="12" t="s">
        <v>85</v>
      </c>
      <c r="C132">
        <v>30280030.713384539</v>
      </c>
      <c r="D132">
        <v>28070942.870426711</v>
      </c>
      <c r="E132">
        <v>4504.5045045050001</v>
      </c>
      <c r="F132">
        <v>94594.594594594993</v>
      </c>
      <c r="G132">
        <v>12</v>
      </c>
      <c r="H132">
        <v>7</v>
      </c>
      <c r="K132">
        <v>15</v>
      </c>
      <c r="L132">
        <v>10</v>
      </c>
      <c r="M132">
        <v>5986486.4864864871</v>
      </c>
      <c r="N132">
        <v>9792792.7927927915</v>
      </c>
      <c r="O132">
        <v>5439324.3243243238</v>
      </c>
      <c r="P132">
        <v>5472027.0270270268</v>
      </c>
      <c r="Q132">
        <v>2683693.6936936928</v>
      </c>
      <c r="R132">
        <v>9511711.7117117122</v>
      </c>
      <c r="S132">
        <v>2476</v>
      </c>
      <c r="T132">
        <v>2382</v>
      </c>
    </row>
    <row r="133" spans="1:20" x14ac:dyDescent="0.35">
      <c r="A133" s="7" t="s">
        <v>218</v>
      </c>
      <c r="B133" s="12" t="s">
        <v>147</v>
      </c>
      <c r="C133">
        <v>28970475.963528741</v>
      </c>
      <c r="D133">
        <v>26688420.799689189</v>
      </c>
      <c r="E133">
        <v>1801.801801802</v>
      </c>
      <c r="F133">
        <v>1886486.486486488</v>
      </c>
      <c r="G133">
        <v>7</v>
      </c>
      <c r="H133">
        <v>13</v>
      </c>
      <c r="K133">
        <v>7</v>
      </c>
      <c r="L133">
        <v>64</v>
      </c>
      <c r="M133">
        <v>452252.25225225202</v>
      </c>
      <c r="N133">
        <v>11141441.441441437</v>
      </c>
      <c r="O133">
        <v>7596063.0630630627</v>
      </c>
      <c r="P133">
        <v>10525108.108108109</v>
      </c>
      <c r="Q133">
        <v>1024144.144144144</v>
      </c>
      <c r="R133">
        <v>12419459.459459456</v>
      </c>
      <c r="S133">
        <v>2517</v>
      </c>
      <c r="T133">
        <v>2486</v>
      </c>
    </row>
    <row r="134" spans="1:20" x14ac:dyDescent="0.35">
      <c r="A134" s="7" t="s">
        <v>219</v>
      </c>
      <c r="B134" s="12" t="s">
        <v>220</v>
      </c>
      <c r="C134">
        <v>57699853.99011372</v>
      </c>
      <c r="D134">
        <v>54171273.804212578</v>
      </c>
      <c r="E134">
        <v>400180.18018018</v>
      </c>
      <c r="F134">
        <v>568468.46846847003</v>
      </c>
      <c r="G134">
        <v>13</v>
      </c>
      <c r="H134">
        <v>10</v>
      </c>
      <c r="K134">
        <v>16</v>
      </c>
      <c r="L134">
        <v>13</v>
      </c>
      <c r="M134">
        <v>34350540.540540531</v>
      </c>
      <c r="N134">
        <v>40076666.666666672</v>
      </c>
      <c r="O134">
        <v>14055243.243243244</v>
      </c>
      <c r="P134">
        <v>13496927.927927928</v>
      </c>
      <c r="Q134">
        <v>107232612.61261261</v>
      </c>
      <c r="R134">
        <v>54250000</v>
      </c>
      <c r="S134">
        <v>6402</v>
      </c>
      <c r="T134">
        <v>6245</v>
      </c>
    </row>
    <row r="135" spans="1:20" x14ac:dyDescent="0.35">
      <c r="A135" s="7" t="s">
        <v>221</v>
      </c>
      <c r="B135" s="12" t="s">
        <v>52</v>
      </c>
      <c r="C135">
        <v>135341267.50674698</v>
      </c>
      <c r="D135">
        <v>131607386.43920265</v>
      </c>
      <c r="E135">
        <v>756756.75675675902</v>
      </c>
      <c r="F135">
        <v>765765.76576576696</v>
      </c>
      <c r="G135">
        <v>33</v>
      </c>
      <c r="H135">
        <v>40</v>
      </c>
      <c r="K135">
        <v>39</v>
      </c>
      <c r="L135">
        <v>46</v>
      </c>
      <c r="M135">
        <v>4018738.7387387371</v>
      </c>
      <c r="N135">
        <v>4490990.9909909917</v>
      </c>
      <c r="O135">
        <v>42114009.009009011</v>
      </c>
      <c r="P135">
        <v>44109774.774774775</v>
      </c>
      <c r="Q135">
        <v>5100810.81081081</v>
      </c>
      <c r="R135">
        <v>14365945.945945948</v>
      </c>
      <c r="S135">
        <v>10806</v>
      </c>
      <c r="T135">
        <v>10474</v>
      </c>
    </row>
    <row r="136" spans="1:20" x14ac:dyDescent="0.35">
      <c r="A136" s="7" t="s">
        <v>222</v>
      </c>
      <c r="B136" s="12" t="s">
        <v>76</v>
      </c>
      <c r="C136">
        <v>103899700.75332098</v>
      </c>
      <c r="D136">
        <v>100284578.12468928</v>
      </c>
      <c r="E136">
        <v>44684.684684685002</v>
      </c>
      <c r="F136">
        <v>217117.11711711899</v>
      </c>
      <c r="G136">
        <v>25</v>
      </c>
      <c r="H136">
        <v>21</v>
      </c>
      <c r="K136">
        <v>30</v>
      </c>
      <c r="L136">
        <v>23</v>
      </c>
      <c r="M136">
        <v>5769909.9099099087</v>
      </c>
      <c r="N136">
        <v>7950270.2702702694</v>
      </c>
      <c r="O136">
        <v>18362241.441441439</v>
      </c>
      <c r="P136">
        <v>19295310.810810808</v>
      </c>
      <c r="Q136">
        <v>6373783.7837837851</v>
      </c>
      <c r="R136">
        <v>6367927.9279279299</v>
      </c>
      <c r="S136">
        <v>7129</v>
      </c>
      <c r="T136">
        <v>7002</v>
      </c>
    </row>
    <row r="137" spans="1:20" x14ac:dyDescent="0.35">
      <c r="A137" s="7" t="s">
        <v>223</v>
      </c>
      <c r="B137" s="12" t="s">
        <v>224</v>
      </c>
      <c r="C137">
        <v>9548079.9737712406</v>
      </c>
      <c r="D137">
        <v>8857996.3235015292</v>
      </c>
      <c r="G137">
        <v>2</v>
      </c>
      <c r="K137">
        <v>2</v>
      </c>
      <c r="O137">
        <v>1966801.8018018019</v>
      </c>
      <c r="P137">
        <v>2057477.4774774769</v>
      </c>
      <c r="Q137">
        <v>145945.945945946</v>
      </c>
      <c r="R137">
        <v>159279.279279279</v>
      </c>
      <c r="S137">
        <v>817</v>
      </c>
      <c r="T137">
        <v>830</v>
      </c>
    </row>
    <row r="138" spans="1:20" x14ac:dyDescent="0.35">
      <c r="A138" s="7" t="s">
        <v>225</v>
      </c>
      <c r="B138" s="12" t="s">
        <v>143</v>
      </c>
      <c r="C138">
        <v>93046745.819660112</v>
      </c>
      <c r="D138">
        <v>80365323.060808614</v>
      </c>
      <c r="E138">
        <v>29729.729729731</v>
      </c>
      <c r="F138">
        <v>1843243.243243248</v>
      </c>
      <c r="G138">
        <v>13</v>
      </c>
      <c r="H138">
        <v>21</v>
      </c>
      <c r="K138">
        <v>18</v>
      </c>
      <c r="L138">
        <v>28</v>
      </c>
      <c r="M138">
        <v>3354054.054054054</v>
      </c>
      <c r="N138">
        <v>6090090.0900900932</v>
      </c>
      <c r="O138">
        <v>9639855.8558558561</v>
      </c>
      <c r="P138">
        <v>10832639.63963964</v>
      </c>
      <c r="Q138">
        <v>2488378.3783783768</v>
      </c>
      <c r="R138">
        <v>2840270.2702702712</v>
      </c>
      <c r="S138">
        <v>6309</v>
      </c>
      <c r="T138">
        <v>5872</v>
      </c>
    </row>
    <row r="139" spans="1:20" x14ac:dyDescent="0.35">
      <c r="A139" s="7" t="s">
        <v>226</v>
      </c>
      <c r="B139" s="12" t="s">
        <v>224</v>
      </c>
      <c r="C139">
        <v>9951903.1380286608</v>
      </c>
      <c r="D139">
        <v>8764505.9560448434</v>
      </c>
      <c r="F139">
        <v>40540.540540542002</v>
      </c>
      <c r="G139">
        <v>2</v>
      </c>
      <c r="H139">
        <v>4</v>
      </c>
      <c r="K139">
        <v>2</v>
      </c>
      <c r="L139">
        <v>4</v>
      </c>
      <c r="M139">
        <v>889009.00900900795</v>
      </c>
      <c r="N139">
        <v>1035135.135135135</v>
      </c>
      <c r="O139">
        <v>2085855.8558558561</v>
      </c>
      <c r="P139">
        <v>2256882.8828828828</v>
      </c>
      <c r="Q139">
        <v>892432.43243243103</v>
      </c>
      <c r="R139">
        <v>1015765.765765765</v>
      </c>
      <c r="S139">
        <v>772</v>
      </c>
      <c r="T139">
        <v>752</v>
      </c>
    </row>
    <row r="140" spans="1:20" x14ac:dyDescent="0.35">
      <c r="A140" s="7" t="s">
        <v>227</v>
      </c>
      <c r="B140" s="12" t="s">
        <v>78</v>
      </c>
      <c r="C140">
        <v>82621740.420469686</v>
      </c>
      <c r="D140">
        <v>76026644.891683802</v>
      </c>
      <c r="E140">
        <v>330630.63063063298</v>
      </c>
      <c r="F140">
        <v>1199099.099099101</v>
      </c>
      <c r="G140">
        <v>14</v>
      </c>
      <c r="H140">
        <v>11</v>
      </c>
      <c r="K140">
        <v>16</v>
      </c>
      <c r="L140">
        <v>13</v>
      </c>
      <c r="M140">
        <v>4817117.1171171172</v>
      </c>
      <c r="N140">
        <v>8181081.0810810803</v>
      </c>
      <c r="O140">
        <v>31135763.963963963</v>
      </c>
      <c r="P140">
        <v>28370054.054054052</v>
      </c>
      <c r="Q140">
        <v>4505178.3783783773</v>
      </c>
      <c r="R140">
        <v>9234684.6846846826</v>
      </c>
      <c r="S140">
        <v>4954</v>
      </c>
      <c r="T140">
        <v>4839</v>
      </c>
    </row>
    <row r="141" spans="1:20" x14ac:dyDescent="0.35">
      <c r="A141" s="7" t="s">
        <v>228</v>
      </c>
      <c r="B141" s="12" t="s">
        <v>136</v>
      </c>
      <c r="C141">
        <v>111712180.98795411</v>
      </c>
      <c r="D141">
        <v>102461103.20472248</v>
      </c>
      <c r="E141">
        <v>375225.22522522602</v>
      </c>
      <c r="F141">
        <v>344594.59459459799</v>
      </c>
      <c r="G141">
        <v>14</v>
      </c>
      <c r="H141">
        <v>13</v>
      </c>
      <c r="K141">
        <v>19</v>
      </c>
      <c r="L141">
        <v>20</v>
      </c>
      <c r="M141">
        <v>18023873.873873871</v>
      </c>
      <c r="N141">
        <v>12967567.567567566</v>
      </c>
      <c r="O141">
        <v>20524583.783783782</v>
      </c>
      <c r="P141">
        <v>22012819.819819819</v>
      </c>
      <c r="Q141">
        <v>15607477.477477474</v>
      </c>
      <c r="R141">
        <v>7716756.7567567565</v>
      </c>
      <c r="S141">
        <v>7609</v>
      </c>
      <c r="T141">
        <v>7539</v>
      </c>
    </row>
    <row r="142" spans="1:20" x14ac:dyDescent="0.35">
      <c r="A142" s="7" t="s">
        <v>229</v>
      </c>
      <c r="B142" s="12" t="s">
        <v>78</v>
      </c>
      <c r="C142">
        <v>28755870.844322126</v>
      </c>
      <c r="D142">
        <v>30039697.295559313</v>
      </c>
      <c r="E142">
        <v>304054.05405405402</v>
      </c>
      <c r="F142">
        <v>584684.68468468601</v>
      </c>
      <c r="G142">
        <v>3</v>
      </c>
      <c r="H142">
        <v>10</v>
      </c>
      <c r="K142">
        <v>3</v>
      </c>
      <c r="L142">
        <v>12</v>
      </c>
      <c r="M142">
        <v>5619369.369369369</v>
      </c>
      <c r="N142">
        <v>7200450.4504504493</v>
      </c>
      <c r="O142">
        <v>12409234.234234234</v>
      </c>
      <c r="P142">
        <v>13209819.819819819</v>
      </c>
      <c r="Q142">
        <v>4788738.7387387389</v>
      </c>
      <c r="R142">
        <v>4198558.5585585609</v>
      </c>
      <c r="S142">
        <v>2539</v>
      </c>
      <c r="T142">
        <v>2646</v>
      </c>
    </row>
    <row r="143" spans="1:20" x14ac:dyDescent="0.35">
      <c r="A143" s="7" t="s">
        <v>230</v>
      </c>
      <c r="B143" s="12" t="s">
        <v>54</v>
      </c>
      <c r="C143">
        <v>87794258.271726713</v>
      </c>
      <c r="D143">
        <v>82898979.912033021</v>
      </c>
      <c r="E143">
        <v>900.900900901</v>
      </c>
      <c r="F143">
        <v>95495.495495495998</v>
      </c>
      <c r="G143">
        <v>4</v>
      </c>
      <c r="H143">
        <v>9</v>
      </c>
      <c r="K143">
        <v>7</v>
      </c>
      <c r="L143">
        <v>9</v>
      </c>
      <c r="M143">
        <v>919819.81981981895</v>
      </c>
      <c r="N143">
        <v>14784684.684684686</v>
      </c>
      <c r="O143">
        <v>20074864.864864863</v>
      </c>
      <c r="P143">
        <v>20743360.360360362</v>
      </c>
      <c r="Q143">
        <v>2384054.054054053</v>
      </c>
      <c r="R143">
        <v>18356396.396396399</v>
      </c>
      <c r="S143">
        <v>6878</v>
      </c>
      <c r="T143">
        <v>6720</v>
      </c>
    </row>
    <row r="144" spans="1:20" x14ac:dyDescent="0.35">
      <c r="A144" s="7" t="s">
        <v>231</v>
      </c>
      <c r="B144" s="12" t="s">
        <v>78</v>
      </c>
      <c r="C144">
        <v>33677712.461416788</v>
      </c>
      <c r="D144">
        <v>30732882.267613299</v>
      </c>
      <c r="E144">
        <v>90990.990990991995</v>
      </c>
      <c r="F144">
        <v>770270.27027027204</v>
      </c>
      <c r="G144">
        <v>13</v>
      </c>
      <c r="H144">
        <v>10</v>
      </c>
      <c r="K144">
        <v>14</v>
      </c>
      <c r="L144">
        <v>24</v>
      </c>
      <c r="M144">
        <v>7883783.7837837832</v>
      </c>
      <c r="N144">
        <v>7977477.4774774779</v>
      </c>
      <c r="O144">
        <v>14207027.027027028</v>
      </c>
      <c r="P144">
        <v>14373738.73873874</v>
      </c>
      <c r="Q144">
        <v>8985315.3153153118</v>
      </c>
      <c r="R144">
        <v>7348648.6486486467</v>
      </c>
      <c r="S144">
        <v>4039</v>
      </c>
      <c r="T144">
        <v>3997</v>
      </c>
    </row>
    <row r="145" spans="1:20" x14ac:dyDescent="0.35">
      <c r="A145" s="7" t="s">
        <v>232</v>
      </c>
      <c r="B145" s="12" t="s">
        <v>60</v>
      </c>
      <c r="C145">
        <v>29980222.801788252</v>
      </c>
      <c r="D145">
        <v>29608791.054459888</v>
      </c>
      <c r="G145">
        <v>6</v>
      </c>
      <c r="H145">
        <v>4</v>
      </c>
      <c r="K145">
        <v>7</v>
      </c>
      <c r="L145">
        <v>4</v>
      </c>
      <c r="O145">
        <v>11238198.198198197</v>
      </c>
      <c r="P145">
        <v>12029513.513513515</v>
      </c>
      <c r="S145">
        <v>1963</v>
      </c>
      <c r="T145">
        <v>1922</v>
      </c>
    </row>
    <row r="146" spans="1:20" x14ac:dyDescent="0.35">
      <c r="A146" s="7" t="s">
        <v>233</v>
      </c>
      <c r="B146" s="12" t="s">
        <v>54</v>
      </c>
      <c r="C146">
        <v>14894515.517665857</v>
      </c>
      <c r="D146">
        <v>13712693.873924976</v>
      </c>
      <c r="E146">
        <v>9909.9099099100004</v>
      </c>
      <c r="F146">
        <v>15315.315315316</v>
      </c>
      <c r="G146">
        <v>2</v>
      </c>
      <c r="H146">
        <v>4</v>
      </c>
      <c r="K146">
        <v>14</v>
      </c>
      <c r="L146">
        <v>4</v>
      </c>
      <c r="M146">
        <v>145045.045045045</v>
      </c>
      <c r="N146">
        <v>648468.46846846805</v>
      </c>
      <c r="O146">
        <v>2758423.423423423</v>
      </c>
      <c r="P146">
        <v>2800369.369369369</v>
      </c>
      <c r="Q146">
        <v>1216936.936936937</v>
      </c>
      <c r="R146">
        <v>596036.03603603598</v>
      </c>
      <c r="S146">
        <v>1102</v>
      </c>
      <c r="T146">
        <v>1047</v>
      </c>
    </row>
    <row r="147" spans="1:20" x14ac:dyDescent="0.35">
      <c r="A147" s="7" t="s">
        <v>234</v>
      </c>
      <c r="B147" s="12" t="s">
        <v>167</v>
      </c>
      <c r="C147">
        <v>66318449.79346361</v>
      </c>
      <c r="D147">
        <v>60894630.07030084</v>
      </c>
      <c r="E147">
        <v>2702.7027027029999</v>
      </c>
      <c r="F147">
        <v>270270.27027027</v>
      </c>
      <c r="G147">
        <v>3</v>
      </c>
      <c r="H147">
        <v>2</v>
      </c>
      <c r="K147">
        <v>3</v>
      </c>
      <c r="L147">
        <v>7</v>
      </c>
      <c r="M147">
        <v>4525585.5855855877</v>
      </c>
      <c r="N147">
        <v>2126126.1261261278</v>
      </c>
      <c r="O147">
        <v>17916810.810810812</v>
      </c>
      <c r="P147">
        <v>16260135.135135135</v>
      </c>
      <c r="Q147">
        <v>3368061.261261262</v>
      </c>
      <c r="R147">
        <v>2678558.5585585581</v>
      </c>
      <c r="S147">
        <v>4811</v>
      </c>
      <c r="T147">
        <v>5090</v>
      </c>
    </row>
    <row r="148" spans="1:20" x14ac:dyDescent="0.35">
      <c r="A148" s="7" t="s">
        <v>235</v>
      </c>
      <c r="B148" s="12" t="s">
        <v>236</v>
      </c>
      <c r="C148">
        <v>6185.8395973879997</v>
      </c>
      <c r="D148">
        <v>40.760776305999997</v>
      </c>
      <c r="S148">
        <v>50</v>
      </c>
      <c r="T148">
        <v>4</v>
      </c>
    </row>
    <row r="149" spans="1:20" x14ac:dyDescent="0.35">
      <c r="A149" s="7" t="s">
        <v>237</v>
      </c>
      <c r="B149" s="12" t="s">
        <v>105</v>
      </c>
      <c r="C149">
        <v>37960704.849203907</v>
      </c>
      <c r="D149">
        <v>36246625.37327788</v>
      </c>
      <c r="E149">
        <v>106216.216216217</v>
      </c>
      <c r="F149">
        <v>54054.054054054002</v>
      </c>
      <c r="G149">
        <v>5</v>
      </c>
      <c r="H149">
        <v>7</v>
      </c>
      <c r="K149">
        <v>5</v>
      </c>
      <c r="L149">
        <v>7</v>
      </c>
      <c r="M149">
        <v>3890720.72072072</v>
      </c>
      <c r="N149">
        <v>4108108.1081081079</v>
      </c>
      <c r="O149">
        <v>10702603.603603603</v>
      </c>
      <c r="P149">
        <v>9070675.6756756753</v>
      </c>
      <c r="Q149">
        <v>3617837.8378378381</v>
      </c>
      <c r="R149">
        <v>2489909.9099099101</v>
      </c>
      <c r="S149">
        <v>2037</v>
      </c>
      <c r="T149">
        <v>1984</v>
      </c>
    </row>
    <row r="150" spans="1:20" x14ac:dyDescent="0.35">
      <c r="A150" s="7" t="s">
        <v>3</v>
      </c>
      <c r="B150" s="12" t="s">
        <v>158</v>
      </c>
      <c r="C150">
        <v>76937721.515163898</v>
      </c>
      <c r="D150">
        <v>73777774.248070002</v>
      </c>
      <c r="E150">
        <v>897747.74774774897</v>
      </c>
      <c r="F150">
        <v>967567.56756757002</v>
      </c>
      <c r="G150">
        <v>7</v>
      </c>
      <c r="H150">
        <v>4</v>
      </c>
      <c r="K150">
        <v>11</v>
      </c>
      <c r="L150">
        <v>6</v>
      </c>
      <c r="M150">
        <v>18888738.738738745</v>
      </c>
      <c r="N150">
        <v>15759459.459459459</v>
      </c>
      <c r="O150">
        <v>19828558.558558561</v>
      </c>
      <c r="P150">
        <v>21139981.981981985</v>
      </c>
      <c r="Q150">
        <v>18805585.585585587</v>
      </c>
      <c r="R150">
        <v>13185675.675675672</v>
      </c>
      <c r="S150">
        <v>3767</v>
      </c>
      <c r="T150">
        <v>3728</v>
      </c>
    </row>
    <row r="151" spans="1:20" x14ac:dyDescent="0.35">
      <c r="A151" s="7" t="s">
        <v>238</v>
      </c>
      <c r="B151" s="12" t="s">
        <v>178</v>
      </c>
      <c r="C151">
        <v>61445066.854823343</v>
      </c>
      <c r="D151">
        <v>60383261.204191878</v>
      </c>
      <c r="E151">
        <v>21621.621621621001</v>
      </c>
      <c r="F151">
        <v>233333.333333335</v>
      </c>
      <c r="G151">
        <v>11</v>
      </c>
      <c r="H151">
        <v>18</v>
      </c>
      <c r="K151">
        <v>17</v>
      </c>
      <c r="L151">
        <v>19</v>
      </c>
      <c r="M151">
        <v>5179279.2792792786</v>
      </c>
      <c r="N151">
        <v>8656756.7567567583</v>
      </c>
      <c r="O151">
        <v>20357612.612612613</v>
      </c>
      <c r="P151">
        <v>18582612.612612613</v>
      </c>
      <c r="Q151">
        <v>4709639.6396396393</v>
      </c>
      <c r="R151">
        <v>6072252.2522522509</v>
      </c>
      <c r="S151">
        <v>5403</v>
      </c>
      <c r="T151">
        <v>5344</v>
      </c>
    </row>
    <row r="152" spans="1:20" x14ac:dyDescent="0.35">
      <c r="A152" s="7" t="s">
        <v>239</v>
      </c>
      <c r="B152" s="12" t="s">
        <v>54</v>
      </c>
      <c r="C152">
        <v>45678642.439002246</v>
      </c>
      <c r="D152">
        <v>41502361.629754879</v>
      </c>
      <c r="E152">
        <v>477117.11711711698</v>
      </c>
      <c r="F152">
        <v>1022522.522522524</v>
      </c>
      <c r="G152">
        <v>3</v>
      </c>
      <c r="H152">
        <v>4</v>
      </c>
      <c r="K152">
        <v>7</v>
      </c>
      <c r="L152">
        <v>5</v>
      </c>
      <c r="M152">
        <v>3045585.5855855849</v>
      </c>
      <c r="N152">
        <v>5437297.2972972989</v>
      </c>
      <c r="O152">
        <v>11905088.288288288</v>
      </c>
      <c r="P152">
        <v>10666153.153153151</v>
      </c>
      <c r="Q152">
        <v>4599502.7027027039</v>
      </c>
      <c r="R152">
        <v>4644144.1441441439</v>
      </c>
      <c r="S152">
        <v>3656</v>
      </c>
      <c r="T152">
        <v>3384</v>
      </c>
    </row>
    <row r="153" spans="1:20" x14ac:dyDescent="0.35">
      <c r="A153" s="7" t="s">
        <v>240</v>
      </c>
      <c r="B153" s="12" t="s">
        <v>241</v>
      </c>
      <c r="C153">
        <v>38750199.239482351</v>
      </c>
      <c r="D153">
        <v>36208730.694668047</v>
      </c>
      <c r="E153">
        <v>90990.990990991006</v>
      </c>
      <c r="F153">
        <v>208108.10810811</v>
      </c>
      <c r="G153">
        <v>22</v>
      </c>
      <c r="H153">
        <v>14</v>
      </c>
      <c r="K153">
        <v>26</v>
      </c>
      <c r="L153">
        <v>16</v>
      </c>
      <c r="M153">
        <v>36771531.531531535</v>
      </c>
      <c r="N153">
        <v>3879459.4594594608</v>
      </c>
      <c r="O153">
        <v>9548423.4234234244</v>
      </c>
      <c r="P153">
        <v>8135592.7927927924</v>
      </c>
      <c r="Q153">
        <v>48134144.144144148</v>
      </c>
      <c r="R153">
        <v>2622522.5225225231</v>
      </c>
      <c r="S153">
        <v>2772</v>
      </c>
      <c r="T153">
        <v>3004</v>
      </c>
    </row>
    <row r="154" spans="1:20" x14ac:dyDescent="0.35">
      <c r="A154" s="7" t="s">
        <v>242</v>
      </c>
      <c r="B154" s="12" t="s">
        <v>241</v>
      </c>
      <c r="C154">
        <v>99079650.321176186</v>
      </c>
      <c r="D154">
        <v>95545345.395971999</v>
      </c>
      <c r="E154">
        <v>110810.81081081201</v>
      </c>
      <c r="F154">
        <v>654054.05405405501</v>
      </c>
      <c r="G154">
        <v>37</v>
      </c>
      <c r="H154">
        <v>34</v>
      </c>
      <c r="K154">
        <v>45</v>
      </c>
      <c r="L154">
        <v>42</v>
      </c>
      <c r="M154">
        <v>15269369.369369367</v>
      </c>
      <c r="N154">
        <v>16142792.792792795</v>
      </c>
      <c r="O154">
        <v>29427153.153153151</v>
      </c>
      <c r="P154">
        <v>28110351.351351351</v>
      </c>
      <c r="Q154">
        <v>15590720.72072072</v>
      </c>
      <c r="R154">
        <v>14449819.819819819</v>
      </c>
      <c r="S154">
        <v>6879</v>
      </c>
      <c r="T154">
        <v>6792</v>
      </c>
    </row>
    <row r="155" spans="1:20" x14ac:dyDescent="0.35">
      <c r="A155" s="7" t="s">
        <v>243</v>
      </c>
      <c r="B155" s="12" t="s">
        <v>50</v>
      </c>
      <c r="C155">
        <v>19483244.920458604</v>
      </c>
      <c r="D155">
        <v>16442393.17379624</v>
      </c>
      <c r="E155">
        <v>968018.01801801904</v>
      </c>
      <c r="F155">
        <v>307207.20720720798</v>
      </c>
      <c r="G155">
        <v>4</v>
      </c>
      <c r="H155">
        <v>1</v>
      </c>
      <c r="K155">
        <v>4</v>
      </c>
      <c r="L155">
        <v>1</v>
      </c>
      <c r="M155">
        <v>2031081.0810810809</v>
      </c>
      <c r="N155">
        <v>1063963.963963964</v>
      </c>
      <c r="O155">
        <v>6372072.072072072</v>
      </c>
      <c r="P155">
        <v>4692963.963963964</v>
      </c>
      <c r="Q155">
        <v>1723603.603603604</v>
      </c>
      <c r="R155">
        <v>1035405.405405404</v>
      </c>
      <c r="S155">
        <v>1183</v>
      </c>
      <c r="T155">
        <v>1168</v>
      </c>
    </row>
    <row r="156" spans="1:20" x14ac:dyDescent="0.35">
      <c r="A156" s="7" t="s">
        <v>244</v>
      </c>
      <c r="B156" s="12" t="s">
        <v>181</v>
      </c>
      <c r="C156">
        <v>542376311.16684484</v>
      </c>
      <c r="D156">
        <v>492176386.04723597</v>
      </c>
      <c r="E156">
        <v>98587153.153153151</v>
      </c>
      <c r="F156">
        <v>75787308.108108133</v>
      </c>
      <c r="G156">
        <v>168</v>
      </c>
      <c r="H156">
        <v>149</v>
      </c>
      <c r="I156">
        <v>5</v>
      </c>
      <c r="K156">
        <v>221</v>
      </c>
      <c r="L156">
        <v>218</v>
      </c>
      <c r="M156">
        <v>51652702.702702686</v>
      </c>
      <c r="N156">
        <v>54286576.576576568</v>
      </c>
      <c r="O156">
        <v>106597513.51351352</v>
      </c>
      <c r="P156">
        <v>112366619.81981981</v>
      </c>
      <c r="Q156">
        <v>54433333.333333328</v>
      </c>
      <c r="R156">
        <v>55557477.477477469</v>
      </c>
      <c r="S156">
        <v>43337</v>
      </c>
      <c r="T156">
        <v>41093</v>
      </c>
    </row>
    <row r="157" spans="1:20" x14ac:dyDescent="0.35">
      <c r="A157" s="7" t="s">
        <v>245</v>
      </c>
      <c r="B157" s="12" t="s">
        <v>48</v>
      </c>
      <c r="C157">
        <v>25557880.826218173</v>
      </c>
      <c r="D157">
        <v>23168806.825381324</v>
      </c>
      <c r="F157">
        <v>18243.243243243</v>
      </c>
      <c r="G157">
        <v>3</v>
      </c>
      <c r="K157">
        <v>3</v>
      </c>
      <c r="L157">
        <v>1</v>
      </c>
      <c r="M157">
        <v>3375855.855855858</v>
      </c>
      <c r="N157">
        <v>726126.12612612499</v>
      </c>
      <c r="O157">
        <v>6218063.0630630627</v>
      </c>
      <c r="P157">
        <v>5078675.6756756762</v>
      </c>
      <c r="Q157">
        <v>2976126.1261261269</v>
      </c>
      <c r="R157">
        <v>1313783.783783783</v>
      </c>
      <c r="S157">
        <v>1814</v>
      </c>
      <c r="T157">
        <v>1754</v>
      </c>
    </row>
    <row r="158" spans="1:20" x14ac:dyDescent="0.35">
      <c r="A158" s="7" t="s">
        <v>246</v>
      </c>
      <c r="B158" s="12" t="s">
        <v>94</v>
      </c>
      <c r="C158">
        <v>9856450.7656452879</v>
      </c>
      <c r="D158">
        <v>5666563.7994260769</v>
      </c>
      <c r="G158">
        <v>1</v>
      </c>
      <c r="K158">
        <v>1</v>
      </c>
      <c r="O158">
        <v>1618432.432432432</v>
      </c>
      <c r="P158">
        <v>1022018.018018018</v>
      </c>
      <c r="S158">
        <v>685</v>
      </c>
      <c r="T158">
        <v>643</v>
      </c>
    </row>
    <row r="159" spans="1:20" x14ac:dyDescent="0.35">
      <c r="A159" s="7" t="s">
        <v>247</v>
      </c>
      <c r="B159" s="12" t="s">
        <v>117</v>
      </c>
      <c r="C159">
        <v>20473394.327099402</v>
      </c>
      <c r="D159">
        <v>20042363.801839337</v>
      </c>
      <c r="E159">
        <v>234511.711711713</v>
      </c>
      <c r="F159">
        <v>422718.91891891998</v>
      </c>
      <c r="G159">
        <v>2</v>
      </c>
      <c r="H159">
        <v>2</v>
      </c>
      <c r="K159">
        <v>12</v>
      </c>
      <c r="L159">
        <v>3</v>
      </c>
      <c r="M159">
        <v>3714414.4144144109</v>
      </c>
      <c r="N159">
        <v>472634.23423423502</v>
      </c>
      <c r="O159">
        <v>9509414.4144144133</v>
      </c>
      <c r="P159">
        <v>10841738.73873874</v>
      </c>
      <c r="Q159">
        <v>4561351.3513513487</v>
      </c>
      <c r="R159">
        <v>2476756.756756756</v>
      </c>
      <c r="S159">
        <v>1783</v>
      </c>
      <c r="T159">
        <v>1788</v>
      </c>
    </row>
    <row r="160" spans="1:20" x14ac:dyDescent="0.35">
      <c r="A160" s="7" t="s">
        <v>248</v>
      </c>
      <c r="B160" s="12" t="s">
        <v>121</v>
      </c>
      <c r="C160">
        <v>37306716.781461142</v>
      </c>
      <c r="D160">
        <v>36503788.950892881</v>
      </c>
      <c r="E160">
        <v>14414.414414415</v>
      </c>
      <c r="F160">
        <v>499099.09909909999</v>
      </c>
      <c r="G160">
        <v>12</v>
      </c>
      <c r="H160">
        <v>26</v>
      </c>
      <c r="K160">
        <v>17</v>
      </c>
      <c r="L160">
        <v>30</v>
      </c>
      <c r="M160">
        <v>14414.414414415</v>
      </c>
      <c r="N160">
        <v>3229729.7297297302</v>
      </c>
      <c r="O160">
        <v>3670936.9369369368</v>
      </c>
      <c r="P160">
        <v>4314234.2342342352</v>
      </c>
      <c r="Q160">
        <v>892792.79279279301</v>
      </c>
      <c r="R160">
        <v>931621.62162162096</v>
      </c>
      <c r="S160">
        <v>2345</v>
      </c>
      <c r="T160">
        <v>2337</v>
      </c>
    </row>
    <row r="161" spans="1:20" x14ac:dyDescent="0.35">
      <c r="A161" s="7" t="s">
        <v>249</v>
      </c>
      <c r="B161" s="12" t="s">
        <v>76</v>
      </c>
      <c r="C161">
        <v>16177072.968650974</v>
      </c>
      <c r="D161">
        <v>15187077.948123273</v>
      </c>
      <c r="G161">
        <v>2</v>
      </c>
      <c r="H161">
        <v>1</v>
      </c>
      <c r="K161">
        <v>2</v>
      </c>
      <c r="L161">
        <v>3</v>
      </c>
      <c r="O161">
        <v>1878450.4504504499</v>
      </c>
      <c r="P161">
        <v>1449279.27927928</v>
      </c>
      <c r="S161">
        <v>1668</v>
      </c>
      <c r="T161">
        <v>1648</v>
      </c>
    </row>
    <row r="162" spans="1:20" x14ac:dyDescent="0.35">
      <c r="A162" s="7" t="s">
        <v>250</v>
      </c>
      <c r="B162" s="12" t="s">
        <v>167</v>
      </c>
      <c r="C162">
        <v>49179194.16311501</v>
      </c>
      <c r="D162">
        <v>47965114.717593513</v>
      </c>
      <c r="G162">
        <v>1</v>
      </c>
      <c r="H162">
        <v>5</v>
      </c>
      <c r="K162">
        <v>1</v>
      </c>
      <c r="L162">
        <v>33</v>
      </c>
      <c r="M162">
        <v>688288.28828829003</v>
      </c>
      <c r="N162">
        <v>27027.027027028002</v>
      </c>
      <c r="O162">
        <v>8237162.1621621624</v>
      </c>
      <c r="P162">
        <v>10009387.387387387</v>
      </c>
      <c r="Q162">
        <v>446666.66666666802</v>
      </c>
      <c r="R162">
        <v>346936.93693693797</v>
      </c>
      <c r="S162">
        <v>3755</v>
      </c>
      <c r="T162">
        <v>3600</v>
      </c>
    </row>
    <row r="163" spans="1:20" x14ac:dyDescent="0.35">
      <c r="A163" s="7" t="s">
        <v>251</v>
      </c>
      <c r="B163" s="12" t="s">
        <v>89</v>
      </c>
      <c r="C163">
        <v>152823469.65326765</v>
      </c>
      <c r="D163">
        <v>152069971.9218429</v>
      </c>
      <c r="E163">
        <v>1393603.6036036049</v>
      </c>
      <c r="F163">
        <v>631531.53153153404</v>
      </c>
      <c r="G163">
        <v>18</v>
      </c>
      <c r="H163">
        <v>21</v>
      </c>
      <c r="K163">
        <v>25</v>
      </c>
      <c r="L163">
        <v>25</v>
      </c>
      <c r="M163">
        <v>10049819.819819819</v>
      </c>
      <c r="N163">
        <v>14111891.891891897</v>
      </c>
      <c r="O163">
        <v>35466931.531531528</v>
      </c>
      <c r="P163">
        <v>36947108.108108111</v>
      </c>
      <c r="Q163">
        <v>12765855.855855856</v>
      </c>
      <c r="R163">
        <v>12117837.837837839</v>
      </c>
      <c r="S163">
        <v>10349</v>
      </c>
      <c r="T163">
        <v>10497</v>
      </c>
    </row>
    <row r="164" spans="1:20" x14ac:dyDescent="0.35">
      <c r="A164" s="7" t="s">
        <v>252</v>
      </c>
      <c r="B164" s="12" t="s">
        <v>78</v>
      </c>
      <c r="C164">
        <v>45155257.96745079</v>
      </c>
      <c r="D164">
        <v>42645755.946961612</v>
      </c>
      <c r="E164">
        <v>259459.45945945999</v>
      </c>
      <c r="F164">
        <v>391891.89189189102</v>
      </c>
      <c r="G164">
        <v>7</v>
      </c>
      <c r="H164">
        <v>4</v>
      </c>
      <c r="K164">
        <v>9</v>
      </c>
      <c r="L164">
        <v>4</v>
      </c>
      <c r="M164">
        <v>6124324.3243243229</v>
      </c>
      <c r="N164">
        <v>7644144.144144143</v>
      </c>
      <c r="O164">
        <v>12446891.891891891</v>
      </c>
      <c r="P164">
        <v>12711576.576576576</v>
      </c>
      <c r="Q164">
        <v>6436036.0360360369</v>
      </c>
      <c r="R164">
        <v>8315585.5855855839</v>
      </c>
      <c r="S164">
        <v>2950</v>
      </c>
      <c r="T164">
        <v>3124</v>
      </c>
    </row>
    <row r="165" spans="1:20" x14ac:dyDescent="0.35">
      <c r="A165" s="7" t="s">
        <v>253</v>
      </c>
      <c r="B165" s="12" t="s">
        <v>105</v>
      </c>
      <c r="C165">
        <v>83205421.419723853</v>
      </c>
      <c r="D165">
        <v>82916110.494299591</v>
      </c>
      <c r="E165">
        <v>766927.02702702896</v>
      </c>
      <c r="F165">
        <v>908621.62162162503</v>
      </c>
      <c r="G165">
        <v>16</v>
      </c>
      <c r="H165">
        <v>18</v>
      </c>
      <c r="I165">
        <v>1</v>
      </c>
      <c r="K165">
        <v>19</v>
      </c>
      <c r="L165">
        <v>22</v>
      </c>
      <c r="M165">
        <v>12817117.117117116</v>
      </c>
      <c r="N165">
        <v>10674054.054054054</v>
      </c>
      <c r="O165">
        <v>24837054.054054055</v>
      </c>
      <c r="P165">
        <v>23639117.117117114</v>
      </c>
      <c r="Q165">
        <v>10141351.351351352</v>
      </c>
      <c r="R165">
        <v>10124684.684684685</v>
      </c>
      <c r="S165">
        <v>5325</v>
      </c>
      <c r="T165">
        <v>5278</v>
      </c>
    </row>
    <row r="166" spans="1:20" x14ac:dyDescent="0.35">
      <c r="A166" s="7" t="s">
        <v>254</v>
      </c>
      <c r="B166" s="12" t="s">
        <v>105</v>
      </c>
      <c r="C166">
        <v>53399908.611628383</v>
      </c>
      <c r="D166">
        <v>48291127.263093069</v>
      </c>
      <c r="E166">
        <v>518018.01801801799</v>
      </c>
      <c r="F166">
        <v>650450.450450451</v>
      </c>
      <c r="G166">
        <v>6</v>
      </c>
      <c r="H166">
        <v>6</v>
      </c>
      <c r="K166">
        <v>7</v>
      </c>
      <c r="L166">
        <v>7</v>
      </c>
      <c r="M166">
        <v>3423423.423423422</v>
      </c>
      <c r="N166">
        <v>4547747.7477477472</v>
      </c>
      <c r="O166">
        <v>16669819.819819819</v>
      </c>
      <c r="P166">
        <v>14372882.882882884</v>
      </c>
      <c r="Q166">
        <v>3838198.1981981969</v>
      </c>
      <c r="R166">
        <v>2564144.144144142</v>
      </c>
      <c r="S166">
        <v>3810</v>
      </c>
      <c r="T166">
        <v>3666</v>
      </c>
    </row>
    <row r="167" spans="1:20" x14ac:dyDescent="0.35">
      <c r="A167" s="7" t="s">
        <v>255</v>
      </c>
      <c r="B167" s="12" t="s">
        <v>105</v>
      </c>
      <c r="C167">
        <v>44970724.979097866</v>
      </c>
      <c r="D167">
        <v>45081891.200035796</v>
      </c>
      <c r="E167">
        <v>57657.657657657997</v>
      </c>
      <c r="G167">
        <v>4</v>
      </c>
      <c r="H167">
        <v>5</v>
      </c>
      <c r="K167">
        <v>4</v>
      </c>
      <c r="L167">
        <v>5</v>
      </c>
      <c r="M167">
        <v>57657.657657657997</v>
      </c>
      <c r="N167">
        <v>900900.90090090095</v>
      </c>
      <c r="O167">
        <v>9026081.0810810793</v>
      </c>
      <c r="P167">
        <v>10845945.945945946</v>
      </c>
      <c r="Q167">
        <v>742162.16216216201</v>
      </c>
      <c r="R167">
        <v>663963.96396396402</v>
      </c>
      <c r="S167">
        <v>2201</v>
      </c>
      <c r="T167">
        <v>2204</v>
      </c>
    </row>
    <row r="168" spans="1:20" x14ac:dyDescent="0.35">
      <c r="A168" s="7" t="s">
        <v>256</v>
      </c>
      <c r="B168" s="12" t="s">
        <v>134</v>
      </c>
      <c r="C168">
        <v>79836029.784304261</v>
      </c>
      <c r="D168">
        <v>70825406.744571835</v>
      </c>
      <c r="F168">
        <v>337837.83783783799</v>
      </c>
      <c r="G168">
        <v>14</v>
      </c>
      <c r="H168">
        <v>6</v>
      </c>
      <c r="K168">
        <v>14</v>
      </c>
      <c r="L168">
        <v>8</v>
      </c>
      <c r="M168">
        <v>1801801.8018018019</v>
      </c>
      <c r="N168">
        <v>337837.83783783799</v>
      </c>
      <c r="O168">
        <v>5597981.9819819815</v>
      </c>
      <c r="P168">
        <v>5108045.0450450443</v>
      </c>
      <c r="Q168">
        <v>227027.02702702701</v>
      </c>
      <c r="R168">
        <v>520270.27027027</v>
      </c>
      <c r="S168">
        <v>4192</v>
      </c>
      <c r="T168">
        <v>4170</v>
      </c>
    </row>
    <row r="169" spans="1:20" x14ac:dyDescent="0.35">
      <c r="A169" s="7" t="s">
        <v>257</v>
      </c>
      <c r="B169" s="12" t="s">
        <v>167</v>
      </c>
      <c r="C169">
        <v>25336101.596991666</v>
      </c>
      <c r="D169">
        <v>22616893.453882009</v>
      </c>
      <c r="F169">
        <v>900900.90090090095</v>
      </c>
      <c r="G169">
        <v>10</v>
      </c>
      <c r="H169">
        <v>3</v>
      </c>
      <c r="K169">
        <v>11</v>
      </c>
      <c r="L169">
        <v>4</v>
      </c>
      <c r="M169">
        <v>1376576.5765765789</v>
      </c>
      <c r="N169">
        <v>1801801.8018018019</v>
      </c>
      <c r="O169">
        <v>9456666.6666666679</v>
      </c>
      <c r="P169">
        <v>7153639.6396396393</v>
      </c>
      <c r="Q169">
        <v>1957927.9279279299</v>
      </c>
      <c r="R169">
        <v>729729.72972973005</v>
      </c>
      <c r="S169">
        <v>2545</v>
      </c>
      <c r="T169">
        <v>2606</v>
      </c>
    </row>
    <row r="170" spans="1:20" x14ac:dyDescent="0.35">
      <c r="A170" s="7" t="s">
        <v>258</v>
      </c>
      <c r="B170" s="12" t="s">
        <v>60</v>
      </c>
      <c r="C170">
        <v>11352955.826536009</v>
      </c>
      <c r="D170">
        <v>9780087.3675941043</v>
      </c>
      <c r="E170">
        <v>4954.9549549550002</v>
      </c>
      <c r="F170">
        <v>6306.3063063059999</v>
      </c>
      <c r="G170">
        <v>4</v>
      </c>
      <c r="H170">
        <v>3</v>
      </c>
      <c r="I170">
        <v>1</v>
      </c>
      <c r="K170">
        <v>5</v>
      </c>
      <c r="L170">
        <v>5</v>
      </c>
      <c r="M170">
        <v>2392342.3423423409</v>
      </c>
      <c r="N170">
        <v>2465765.7657657652</v>
      </c>
      <c r="O170">
        <v>4115540.5405405401</v>
      </c>
      <c r="P170">
        <v>3438378.3783783782</v>
      </c>
      <c r="Q170">
        <v>1593153.1531531529</v>
      </c>
      <c r="R170">
        <v>1885675.675675675</v>
      </c>
      <c r="S170">
        <v>647</v>
      </c>
      <c r="T170">
        <v>632</v>
      </c>
    </row>
    <row r="171" spans="1:20" x14ac:dyDescent="0.35">
      <c r="A171" s="7" t="s">
        <v>259</v>
      </c>
      <c r="B171" s="12" t="s">
        <v>260</v>
      </c>
      <c r="C171">
        <v>4703982.6244320786</v>
      </c>
      <c r="D171">
        <v>5730909.5538595784</v>
      </c>
      <c r="E171">
        <v>1801801.8018018019</v>
      </c>
      <c r="F171">
        <v>2702.7027027029999</v>
      </c>
      <c r="G171">
        <v>2</v>
      </c>
      <c r="K171">
        <v>2</v>
      </c>
      <c r="L171">
        <v>1</v>
      </c>
      <c r="M171">
        <v>1801801.8018018019</v>
      </c>
      <c r="N171">
        <v>2702.7027027029999</v>
      </c>
      <c r="O171">
        <v>1044369.36936937</v>
      </c>
      <c r="P171">
        <v>797153.15315315395</v>
      </c>
      <c r="Q171">
        <v>2068198.1981981981</v>
      </c>
      <c r="R171">
        <v>384144.14414414403</v>
      </c>
      <c r="S171">
        <v>552</v>
      </c>
      <c r="T171">
        <v>542</v>
      </c>
    </row>
    <row r="172" spans="1:20" x14ac:dyDescent="0.35">
      <c r="A172" s="7" t="s">
        <v>261</v>
      </c>
      <c r="B172" s="12" t="s">
        <v>60</v>
      </c>
      <c r="C172">
        <v>93926512.040924385</v>
      </c>
      <c r="D172">
        <v>94402695.557684749</v>
      </c>
      <c r="E172">
        <v>62455070.270270273</v>
      </c>
      <c r="F172">
        <v>79663875.675675675</v>
      </c>
      <c r="G172">
        <v>27</v>
      </c>
      <c r="H172">
        <v>64</v>
      </c>
      <c r="I172">
        <v>6</v>
      </c>
      <c r="K172">
        <v>41</v>
      </c>
      <c r="L172">
        <v>189</v>
      </c>
      <c r="M172">
        <v>15820360.36036036</v>
      </c>
      <c r="N172">
        <v>27652252.252252255</v>
      </c>
      <c r="O172">
        <v>31625792.792792793</v>
      </c>
      <c r="P172">
        <v>33735306.306306303</v>
      </c>
      <c r="Q172">
        <v>16322792.792792792</v>
      </c>
      <c r="R172">
        <v>36562252.252252251</v>
      </c>
      <c r="S172">
        <v>6163</v>
      </c>
      <c r="T172">
        <v>6147</v>
      </c>
    </row>
    <row r="173" spans="1:20" x14ac:dyDescent="0.35">
      <c r="A173" s="7" t="s">
        <v>262</v>
      </c>
      <c r="B173" s="12" t="s">
        <v>123</v>
      </c>
      <c r="C173">
        <v>75743069.211128265</v>
      </c>
      <c r="D173">
        <v>68439982.424741849</v>
      </c>
      <c r="E173">
        <v>284234.23423423502</v>
      </c>
      <c r="F173">
        <v>153153.15315315401</v>
      </c>
      <c r="G173">
        <v>11</v>
      </c>
      <c r="H173">
        <v>10</v>
      </c>
      <c r="I173">
        <v>1</v>
      </c>
      <c r="K173">
        <v>14</v>
      </c>
      <c r="L173">
        <v>13</v>
      </c>
      <c r="M173">
        <v>3532522.5225225221</v>
      </c>
      <c r="N173">
        <v>3882882.8828828838</v>
      </c>
      <c r="O173">
        <v>29318639.639639638</v>
      </c>
      <c r="P173">
        <v>27133153.153153151</v>
      </c>
      <c r="Q173">
        <v>4323423.4234234253</v>
      </c>
      <c r="R173">
        <v>3257027.0270270281</v>
      </c>
      <c r="S173">
        <v>5853</v>
      </c>
      <c r="T173">
        <v>5522</v>
      </c>
    </row>
    <row r="174" spans="1:20" x14ac:dyDescent="0.35">
      <c r="A174" s="7" t="s">
        <v>263</v>
      </c>
      <c r="B174" s="12" t="s">
        <v>123</v>
      </c>
      <c r="C174">
        <v>31481859.594133813</v>
      </c>
      <c r="D174">
        <v>29855822.760904573</v>
      </c>
      <c r="E174">
        <v>154054.054054054</v>
      </c>
      <c r="F174">
        <v>277702.70270270301</v>
      </c>
      <c r="G174">
        <v>9</v>
      </c>
      <c r="H174">
        <v>13</v>
      </c>
      <c r="K174">
        <v>11</v>
      </c>
      <c r="L174">
        <v>13</v>
      </c>
      <c r="M174">
        <v>5798288.2882882887</v>
      </c>
      <c r="N174">
        <v>8304774.7747747749</v>
      </c>
      <c r="O174">
        <v>12598729.729729729</v>
      </c>
      <c r="P174">
        <v>12552918.918918921</v>
      </c>
      <c r="Q174">
        <v>6629459.4594594622</v>
      </c>
      <c r="R174">
        <v>7609279.2792792814</v>
      </c>
      <c r="S174">
        <v>2438</v>
      </c>
      <c r="T174">
        <v>2390</v>
      </c>
    </row>
    <row r="175" spans="1:20" x14ac:dyDescent="0.35">
      <c r="A175" s="7" t="s">
        <v>665</v>
      </c>
      <c r="B175" s="12" t="s">
        <v>123</v>
      </c>
      <c r="E175">
        <v>21621621.621621624</v>
      </c>
      <c r="M175">
        <v>178603.60360360399</v>
      </c>
      <c r="N175">
        <v>163513.51351351399</v>
      </c>
    </row>
    <row r="176" spans="1:20" x14ac:dyDescent="0.35">
      <c r="A176" s="7" t="s">
        <v>264</v>
      </c>
      <c r="B176" s="12" t="s">
        <v>125</v>
      </c>
      <c r="C176">
        <v>78888339.073821604</v>
      </c>
      <c r="D176">
        <v>73121135.128685519</v>
      </c>
      <c r="E176">
        <v>6756.7567567570004</v>
      </c>
      <c r="F176">
        <v>445045.04504504701</v>
      </c>
      <c r="G176">
        <v>4</v>
      </c>
      <c r="H176">
        <v>15</v>
      </c>
      <c r="K176">
        <v>4</v>
      </c>
      <c r="L176">
        <v>17</v>
      </c>
      <c r="M176">
        <v>11817567.567567568</v>
      </c>
      <c r="N176">
        <v>4410810.8108108109</v>
      </c>
      <c r="O176">
        <v>24636261.261261258</v>
      </c>
      <c r="P176">
        <v>24783052.252252251</v>
      </c>
      <c r="Q176">
        <v>10110360.36036036</v>
      </c>
      <c r="R176">
        <v>4650090.0900900923</v>
      </c>
      <c r="S176">
        <v>4433</v>
      </c>
      <c r="T176">
        <v>4366</v>
      </c>
    </row>
    <row r="177" spans="1:20" x14ac:dyDescent="0.35">
      <c r="A177" s="7" t="s">
        <v>265</v>
      </c>
      <c r="B177" s="12" t="s">
        <v>123</v>
      </c>
      <c r="C177">
        <v>76854181.207291454</v>
      </c>
      <c r="D177">
        <v>70977607.919683829</v>
      </c>
      <c r="E177">
        <v>18018.018018019</v>
      </c>
      <c r="F177">
        <v>317117.11711711797</v>
      </c>
      <c r="G177">
        <v>17</v>
      </c>
      <c r="H177">
        <v>6</v>
      </c>
      <c r="K177">
        <v>20</v>
      </c>
      <c r="L177">
        <v>7</v>
      </c>
      <c r="M177">
        <v>7733153.1531531531</v>
      </c>
      <c r="N177">
        <v>9119819.8198198192</v>
      </c>
      <c r="O177">
        <v>26793108.108108107</v>
      </c>
      <c r="P177">
        <v>25375873.873873871</v>
      </c>
      <c r="Q177">
        <v>5716666.666666667</v>
      </c>
      <c r="R177">
        <v>6702342.3423423423</v>
      </c>
      <c r="S177">
        <v>4802</v>
      </c>
      <c r="T177">
        <v>4716</v>
      </c>
    </row>
    <row r="178" spans="1:20" x14ac:dyDescent="0.35">
      <c r="A178" s="7" t="s">
        <v>266</v>
      </c>
      <c r="B178" s="12" t="s">
        <v>123</v>
      </c>
      <c r="C178">
        <v>73863695.389528885</v>
      </c>
      <c r="D178">
        <v>75959112.260876596</v>
      </c>
      <c r="E178">
        <v>700900.90090090095</v>
      </c>
      <c r="F178">
        <v>1236486.486486489</v>
      </c>
      <c r="G178">
        <v>5</v>
      </c>
      <c r="H178">
        <v>15</v>
      </c>
      <c r="K178">
        <v>11</v>
      </c>
      <c r="L178">
        <v>17</v>
      </c>
      <c r="M178">
        <v>7554054.0540540498</v>
      </c>
      <c r="N178">
        <v>10931351.351351356</v>
      </c>
      <c r="O178">
        <v>31329774.774774775</v>
      </c>
      <c r="P178">
        <v>30815603.603603605</v>
      </c>
      <c r="Q178">
        <v>8234054.0540540563</v>
      </c>
      <c r="R178">
        <v>9116936.9369369354</v>
      </c>
      <c r="S178">
        <v>5552</v>
      </c>
      <c r="T178">
        <v>5407</v>
      </c>
    </row>
    <row r="179" spans="1:20" x14ac:dyDescent="0.35">
      <c r="A179" s="7" t="s">
        <v>267</v>
      </c>
      <c r="B179" s="12" t="s">
        <v>178</v>
      </c>
      <c r="C179">
        <v>395678843.09656864</v>
      </c>
      <c r="D179">
        <v>369744785.01854372</v>
      </c>
      <c r="E179">
        <v>30247709.909909915</v>
      </c>
      <c r="F179">
        <v>5331118.0180180343</v>
      </c>
      <c r="G179">
        <v>143</v>
      </c>
      <c r="H179">
        <v>91</v>
      </c>
      <c r="K179">
        <v>339</v>
      </c>
      <c r="L179">
        <v>273</v>
      </c>
      <c r="M179">
        <v>57639009.009009011</v>
      </c>
      <c r="N179">
        <v>55183536.936936945</v>
      </c>
      <c r="O179">
        <v>115809405.4054054</v>
      </c>
      <c r="P179">
        <v>109923981.98198198</v>
      </c>
      <c r="Q179">
        <v>57581891.891891897</v>
      </c>
      <c r="R179">
        <v>47027387.387387387</v>
      </c>
      <c r="S179">
        <v>32545</v>
      </c>
      <c r="T179">
        <v>32247</v>
      </c>
    </row>
    <row r="180" spans="1:20" x14ac:dyDescent="0.35">
      <c r="A180" s="7" t="s">
        <v>268</v>
      </c>
      <c r="B180" s="12" t="s">
        <v>62</v>
      </c>
      <c r="C180">
        <v>62247535.195769936</v>
      </c>
      <c r="D180">
        <v>65713161.286105931</v>
      </c>
      <c r="E180">
        <v>638828.82882883004</v>
      </c>
      <c r="F180">
        <v>952252.25225225405</v>
      </c>
      <c r="G180">
        <v>9</v>
      </c>
      <c r="H180">
        <v>14</v>
      </c>
      <c r="K180">
        <v>10</v>
      </c>
      <c r="L180">
        <v>18</v>
      </c>
      <c r="M180">
        <v>4155225.2252252242</v>
      </c>
      <c r="N180">
        <v>6425135.1351351356</v>
      </c>
      <c r="O180">
        <v>19426441.441441439</v>
      </c>
      <c r="P180">
        <v>19232657.657657657</v>
      </c>
      <c r="Q180">
        <v>5172792.7927927952</v>
      </c>
      <c r="R180">
        <v>10901351.351351352</v>
      </c>
      <c r="S180">
        <v>4746</v>
      </c>
      <c r="T180">
        <v>4753</v>
      </c>
    </row>
    <row r="181" spans="1:20" x14ac:dyDescent="0.35">
      <c r="A181" s="7" t="s">
        <v>269</v>
      </c>
      <c r="B181" s="12" t="s">
        <v>70</v>
      </c>
      <c r="C181">
        <v>83624411.194801569</v>
      </c>
      <c r="D181">
        <v>83795614.290605545</v>
      </c>
      <c r="E181">
        <v>1881981.9819819829</v>
      </c>
      <c r="F181">
        <v>350450.45045045298</v>
      </c>
      <c r="G181">
        <v>21</v>
      </c>
      <c r="H181">
        <v>23</v>
      </c>
      <c r="K181">
        <v>21</v>
      </c>
      <c r="L181">
        <v>31</v>
      </c>
      <c r="M181">
        <v>9575900.9009008966</v>
      </c>
      <c r="N181">
        <v>6763963.9639639724</v>
      </c>
      <c r="O181">
        <v>35956117.117117122</v>
      </c>
      <c r="P181">
        <v>35832882.882882878</v>
      </c>
      <c r="Q181">
        <v>8132117.1171171144</v>
      </c>
      <c r="R181">
        <v>6269189.1891891947</v>
      </c>
      <c r="S181">
        <v>6944</v>
      </c>
      <c r="T181">
        <v>6937</v>
      </c>
    </row>
    <row r="182" spans="1:20" x14ac:dyDescent="0.35">
      <c r="A182" s="7" t="s">
        <v>270</v>
      </c>
      <c r="B182" s="12" t="s">
        <v>134</v>
      </c>
      <c r="C182">
        <v>678480.57379746495</v>
      </c>
      <c r="D182">
        <v>640345.90510764602</v>
      </c>
      <c r="O182">
        <v>89189.189189188997</v>
      </c>
      <c r="P182">
        <v>86126.126126125993</v>
      </c>
      <c r="S182">
        <v>194</v>
      </c>
      <c r="T182">
        <v>223</v>
      </c>
    </row>
    <row r="183" spans="1:20" x14ac:dyDescent="0.35">
      <c r="A183" s="7" t="s">
        <v>271</v>
      </c>
      <c r="B183" s="12" t="s">
        <v>76</v>
      </c>
      <c r="C183">
        <v>37653088.584398568</v>
      </c>
      <c r="D183">
        <v>39282753.295458034</v>
      </c>
      <c r="F183">
        <v>27027.027027027001</v>
      </c>
      <c r="G183">
        <v>10</v>
      </c>
      <c r="H183">
        <v>8</v>
      </c>
      <c r="K183">
        <v>16</v>
      </c>
      <c r="L183">
        <v>8</v>
      </c>
      <c r="N183">
        <v>27027.027027027001</v>
      </c>
      <c r="O183">
        <v>2346036.036036036</v>
      </c>
      <c r="P183">
        <v>2915873.8738738741</v>
      </c>
      <c r="Q183">
        <v>54054.054054054002</v>
      </c>
      <c r="R183">
        <v>81531.531531532004</v>
      </c>
      <c r="S183">
        <v>2425</v>
      </c>
      <c r="T183">
        <v>2427</v>
      </c>
    </row>
    <row r="184" spans="1:20" x14ac:dyDescent="0.35">
      <c r="A184" s="7" t="s">
        <v>272</v>
      </c>
      <c r="B184" s="12" t="s">
        <v>76</v>
      </c>
      <c r="C184">
        <v>14076972.81453494</v>
      </c>
      <c r="D184">
        <v>13291610.92692766</v>
      </c>
      <c r="E184">
        <v>52702.702702702998</v>
      </c>
      <c r="F184">
        <v>36036.036036035999</v>
      </c>
      <c r="G184">
        <v>10</v>
      </c>
      <c r="K184">
        <v>12</v>
      </c>
      <c r="L184">
        <v>1</v>
      </c>
      <c r="M184">
        <v>3111261.2612612611</v>
      </c>
      <c r="N184">
        <v>4648648.6486486476</v>
      </c>
      <c r="O184">
        <v>5296486.4864864862</v>
      </c>
      <c r="P184">
        <v>4572756.7567567574</v>
      </c>
      <c r="Q184">
        <v>3352252.2522522542</v>
      </c>
      <c r="R184">
        <v>2882972.9729729742</v>
      </c>
      <c r="S184">
        <v>820</v>
      </c>
      <c r="T184">
        <v>801</v>
      </c>
    </row>
    <row r="185" spans="1:20" x14ac:dyDescent="0.35">
      <c r="A185" s="7" t="s">
        <v>273</v>
      </c>
      <c r="B185" s="12" t="s">
        <v>260</v>
      </c>
      <c r="C185">
        <v>295361194.87213022</v>
      </c>
      <c r="D185">
        <v>265103590.40721494</v>
      </c>
      <c r="E185">
        <v>2379729.729729733</v>
      </c>
      <c r="F185">
        <v>3930630.630630631</v>
      </c>
      <c r="G185">
        <v>46</v>
      </c>
      <c r="H185">
        <v>68</v>
      </c>
      <c r="K185">
        <v>59</v>
      </c>
      <c r="L185">
        <v>99</v>
      </c>
      <c r="M185">
        <v>61046396.396396391</v>
      </c>
      <c r="N185">
        <v>60478378.378378376</v>
      </c>
      <c r="O185">
        <v>80350702.702702701</v>
      </c>
      <c r="P185">
        <v>81836441.441441447</v>
      </c>
      <c r="Q185">
        <v>55034684.684684686</v>
      </c>
      <c r="R185">
        <v>40662702.702702701</v>
      </c>
      <c r="S185">
        <v>19139</v>
      </c>
      <c r="T185">
        <v>18784</v>
      </c>
    </row>
    <row r="186" spans="1:20" x14ac:dyDescent="0.35">
      <c r="A186" s="7" t="s">
        <v>274</v>
      </c>
      <c r="B186" s="12" t="s">
        <v>260</v>
      </c>
      <c r="C186">
        <v>68546266.088126227</v>
      </c>
      <c r="D186">
        <v>58590422.867863648</v>
      </c>
      <c r="E186">
        <v>17804504.504504506</v>
      </c>
      <c r="F186">
        <v>1031981.981981984</v>
      </c>
      <c r="G186">
        <v>3</v>
      </c>
      <c r="H186">
        <v>5</v>
      </c>
      <c r="K186">
        <v>3</v>
      </c>
      <c r="L186">
        <v>5</v>
      </c>
      <c r="M186">
        <v>6066441.44144144</v>
      </c>
      <c r="N186">
        <v>4872972.9729729751</v>
      </c>
      <c r="O186">
        <v>12000801.801801801</v>
      </c>
      <c r="P186">
        <v>11905342.342342341</v>
      </c>
      <c r="Q186">
        <v>3622072.0720720729</v>
      </c>
      <c r="R186">
        <v>4182792.7927927929</v>
      </c>
      <c r="S186">
        <v>3798</v>
      </c>
      <c r="T186">
        <v>3807</v>
      </c>
    </row>
    <row r="187" spans="1:20" x14ac:dyDescent="0.35">
      <c r="A187" s="7" t="s">
        <v>275</v>
      </c>
      <c r="B187" s="12" t="s">
        <v>260</v>
      </c>
      <c r="C187">
        <v>73832232.022232026</v>
      </c>
      <c r="D187">
        <v>58795886.739337005</v>
      </c>
      <c r="E187">
        <v>116440698.19819821</v>
      </c>
      <c r="F187">
        <v>109046509.009009</v>
      </c>
      <c r="G187">
        <v>7</v>
      </c>
      <c r="H187">
        <v>5</v>
      </c>
      <c r="K187">
        <v>9</v>
      </c>
      <c r="L187">
        <v>5</v>
      </c>
      <c r="M187">
        <v>18032432.432432432</v>
      </c>
      <c r="N187">
        <v>23218918.918918919</v>
      </c>
      <c r="O187">
        <v>16425180.180180181</v>
      </c>
      <c r="P187">
        <v>13194171.171171172</v>
      </c>
      <c r="Q187">
        <v>19126846.846846849</v>
      </c>
      <c r="R187">
        <v>12622882.882882884</v>
      </c>
      <c r="S187">
        <v>5978</v>
      </c>
      <c r="T187">
        <v>8820</v>
      </c>
    </row>
    <row r="188" spans="1:20" x14ac:dyDescent="0.35">
      <c r="A188" s="7" t="s">
        <v>276</v>
      </c>
      <c r="B188" s="12" t="s">
        <v>134</v>
      </c>
      <c r="C188">
        <v>89402022.61962837</v>
      </c>
      <c r="D188">
        <v>86078905.571892247</v>
      </c>
      <c r="E188">
        <v>9009.0090090100002</v>
      </c>
      <c r="F188">
        <v>130630.630630631</v>
      </c>
      <c r="G188">
        <v>14</v>
      </c>
      <c r="H188">
        <v>16</v>
      </c>
      <c r="K188">
        <v>14</v>
      </c>
      <c r="L188">
        <v>18</v>
      </c>
      <c r="M188">
        <v>9009.0090090100002</v>
      </c>
      <c r="N188">
        <v>5085585.5855855849</v>
      </c>
      <c r="O188">
        <v>7299099.0990990996</v>
      </c>
      <c r="P188">
        <v>6886265.7657657657</v>
      </c>
      <c r="Q188">
        <v>2132162.1621621628</v>
      </c>
      <c r="R188">
        <v>1891891.8918918909</v>
      </c>
      <c r="S188">
        <v>6014</v>
      </c>
      <c r="T188">
        <v>5420</v>
      </c>
    </row>
    <row r="189" spans="1:20" x14ac:dyDescent="0.35">
      <c r="A189" s="7" t="s">
        <v>277</v>
      </c>
      <c r="B189" s="12" t="s">
        <v>169</v>
      </c>
      <c r="C189">
        <v>61229288.275415018</v>
      </c>
      <c r="D189">
        <v>47654650.837647341</v>
      </c>
      <c r="E189">
        <v>36036.036036035999</v>
      </c>
      <c r="F189">
        <v>41441.441441442003</v>
      </c>
      <c r="G189">
        <v>10</v>
      </c>
      <c r="H189">
        <v>4</v>
      </c>
      <c r="K189">
        <v>10</v>
      </c>
      <c r="L189">
        <v>4</v>
      </c>
      <c r="M189">
        <v>4540540.5405405406</v>
      </c>
      <c r="N189">
        <v>3663063.0630630632</v>
      </c>
      <c r="O189">
        <v>24586783.783783782</v>
      </c>
      <c r="P189">
        <v>21584630.630630631</v>
      </c>
      <c r="Q189">
        <v>3154144.1441441439</v>
      </c>
      <c r="R189">
        <v>2158198.1981981979</v>
      </c>
      <c r="S189">
        <v>3280</v>
      </c>
      <c r="T189">
        <v>3208</v>
      </c>
    </row>
    <row r="190" spans="1:20" x14ac:dyDescent="0.35">
      <c r="A190" s="7" t="s">
        <v>278</v>
      </c>
      <c r="B190" s="12" t="s">
        <v>169</v>
      </c>
      <c r="C190">
        <v>28223476.868780054</v>
      </c>
      <c r="D190">
        <v>25400708.058547746</v>
      </c>
      <c r="E190">
        <v>900.900900901</v>
      </c>
      <c r="F190">
        <v>2702.7027027029999</v>
      </c>
      <c r="G190">
        <v>1</v>
      </c>
      <c r="H190">
        <v>4</v>
      </c>
      <c r="K190">
        <v>1</v>
      </c>
      <c r="L190">
        <v>4</v>
      </c>
      <c r="M190">
        <v>901801.80180180201</v>
      </c>
      <c r="N190">
        <v>903603.60360360402</v>
      </c>
      <c r="O190">
        <v>10364495.495495496</v>
      </c>
      <c r="P190">
        <v>11482238.73873874</v>
      </c>
      <c r="Q190">
        <v>1283783.7837837839</v>
      </c>
      <c r="R190">
        <v>1209099.0990990989</v>
      </c>
      <c r="S190">
        <v>2055</v>
      </c>
      <c r="T190">
        <v>1936</v>
      </c>
    </row>
    <row r="191" spans="1:20" x14ac:dyDescent="0.35">
      <c r="A191" s="7" t="s">
        <v>279</v>
      </c>
      <c r="B191" s="12" t="s">
        <v>87</v>
      </c>
      <c r="C191">
        <v>801258.82972317794</v>
      </c>
      <c r="D191">
        <v>757433.666111773</v>
      </c>
      <c r="G191">
        <v>1</v>
      </c>
      <c r="K191">
        <v>1</v>
      </c>
      <c r="O191">
        <v>522745.94594594598</v>
      </c>
      <c r="P191">
        <v>355099.099099099</v>
      </c>
      <c r="S191">
        <v>195</v>
      </c>
      <c r="T191">
        <v>177</v>
      </c>
    </row>
    <row r="192" spans="1:20" x14ac:dyDescent="0.35">
      <c r="A192" s="7" t="s">
        <v>280</v>
      </c>
      <c r="B192" s="12" t="s">
        <v>169</v>
      </c>
      <c r="C192">
        <v>47791827.570070982</v>
      </c>
      <c r="D192">
        <v>50519056.805828646</v>
      </c>
      <c r="E192">
        <v>69275225.225225225</v>
      </c>
      <c r="F192">
        <v>247747.74774774801</v>
      </c>
      <c r="G192">
        <v>3</v>
      </c>
      <c r="H192">
        <v>11</v>
      </c>
      <c r="K192">
        <v>4</v>
      </c>
      <c r="L192">
        <v>13</v>
      </c>
      <c r="M192">
        <v>5167567.5675675673</v>
      </c>
      <c r="N192">
        <v>13845405.405405404</v>
      </c>
      <c r="O192">
        <v>17353513.513513513</v>
      </c>
      <c r="P192">
        <v>22122675.675675675</v>
      </c>
      <c r="Q192">
        <v>5678558.558558559</v>
      </c>
      <c r="R192">
        <v>10959639.639639638</v>
      </c>
      <c r="S192">
        <v>4158</v>
      </c>
      <c r="T192">
        <v>4241</v>
      </c>
    </row>
    <row r="193" spans="1:20" x14ac:dyDescent="0.35">
      <c r="A193" s="7" t="s">
        <v>281</v>
      </c>
      <c r="B193" s="12" t="s">
        <v>54</v>
      </c>
      <c r="C193">
        <v>38780266.376686364</v>
      </c>
      <c r="D193">
        <v>37897253.791632466</v>
      </c>
      <c r="E193">
        <v>29279.279279279999</v>
      </c>
      <c r="F193">
        <v>238738.738738741</v>
      </c>
      <c r="G193">
        <v>9</v>
      </c>
      <c r="H193">
        <v>11</v>
      </c>
      <c r="K193">
        <v>16</v>
      </c>
      <c r="L193">
        <v>15</v>
      </c>
      <c r="M193">
        <v>2337387.3873873861</v>
      </c>
      <c r="N193">
        <v>3881081.0810810812</v>
      </c>
      <c r="O193">
        <v>8465216.2162162159</v>
      </c>
      <c r="P193">
        <v>8343144.1441441448</v>
      </c>
      <c r="Q193">
        <v>3160810.8108108109</v>
      </c>
      <c r="R193">
        <v>3688198.1981981979</v>
      </c>
      <c r="S193">
        <v>3707</v>
      </c>
      <c r="T193">
        <v>3668</v>
      </c>
    </row>
    <row r="194" spans="1:20" x14ac:dyDescent="0.35">
      <c r="A194" s="7" t="s">
        <v>282</v>
      </c>
      <c r="B194" s="12" t="s">
        <v>283</v>
      </c>
      <c r="C194">
        <v>62700649.89777308</v>
      </c>
      <c r="D194">
        <v>49254864.75426057</v>
      </c>
      <c r="E194">
        <v>6756.7567567570004</v>
      </c>
      <c r="F194">
        <v>56756.756756757</v>
      </c>
      <c r="G194">
        <v>23</v>
      </c>
      <c r="H194">
        <v>2</v>
      </c>
      <c r="K194">
        <v>23</v>
      </c>
      <c r="L194">
        <v>4</v>
      </c>
      <c r="M194">
        <v>772522.52252252295</v>
      </c>
      <c r="N194">
        <v>822522.52252252202</v>
      </c>
      <c r="O194">
        <v>7644414.4144144142</v>
      </c>
      <c r="P194">
        <v>7971306.3063063063</v>
      </c>
      <c r="Q194">
        <v>1258468.4684684679</v>
      </c>
      <c r="R194">
        <v>1687207.2072072059</v>
      </c>
      <c r="S194">
        <v>3214</v>
      </c>
      <c r="T194">
        <v>2993</v>
      </c>
    </row>
    <row r="195" spans="1:20" x14ac:dyDescent="0.35">
      <c r="A195" s="7" t="s">
        <v>284</v>
      </c>
      <c r="B195" s="12" t="s">
        <v>283</v>
      </c>
      <c r="C195">
        <v>105495497.56137787</v>
      </c>
      <c r="D195">
        <v>107929526.95972282</v>
      </c>
      <c r="E195">
        <v>477927.92792792799</v>
      </c>
      <c r="F195">
        <v>611261.261261262</v>
      </c>
      <c r="G195">
        <v>14</v>
      </c>
      <c r="H195">
        <v>9</v>
      </c>
      <c r="K195">
        <v>19</v>
      </c>
      <c r="L195">
        <v>16</v>
      </c>
      <c r="M195">
        <v>11265315.315315314</v>
      </c>
      <c r="N195">
        <v>9946846.8468468469</v>
      </c>
      <c r="O195">
        <v>21407333.333333332</v>
      </c>
      <c r="P195">
        <v>21124036.036036037</v>
      </c>
      <c r="Q195">
        <v>9609639.6396396402</v>
      </c>
      <c r="R195">
        <v>9442432.4324324317</v>
      </c>
      <c r="S195">
        <v>8101</v>
      </c>
      <c r="T195">
        <v>9025</v>
      </c>
    </row>
    <row r="196" spans="1:20" x14ac:dyDescent="0.35">
      <c r="A196" s="7" t="s">
        <v>285</v>
      </c>
      <c r="B196" s="12" t="s">
        <v>283</v>
      </c>
      <c r="C196">
        <v>56685306.159061089</v>
      </c>
      <c r="D196">
        <v>57226743.293197721</v>
      </c>
      <c r="E196">
        <v>400000.00000000198</v>
      </c>
      <c r="F196">
        <v>154054.054054056</v>
      </c>
      <c r="G196">
        <v>21</v>
      </c>
      <c r="H196">
        <v>6</v>
      </c>
      <c r="K196">
        <v>22</v>
      </c>
      <c r="L196">
        <v>14</v>
      </c>
      <c r="M196">
        <v>13247747.747747747</v>
      </c>
      <c r="N196">
        <v>15721621.621621622</v>
      </c>
      <c r="O196">
        <v>17217729.729729731</v>
      </c>
      <c r="P196">
        <v>17865720.72072072</v>
      </c>
      <c r="Q196">
        <v>11896756.756756756</v>
      </c>
      <c r="R196">
        <v>12228828.828828832</v>
      </c>
      <c r="S196">
        <v>4942</v>
      </c>
      <c r="T196">
        <v>4723</v>
      </c>
    </row>
    <row r="197" spans="1:20" x14ac:dyDescent="0.35">
      <c r="A197" s="7" t="s">
        <v>286</v>
      </c>
      <c r="B197" s="12" t="s">
        <v>283</v>
      </c>
      <c r="C197">
        <v>43595470.880210489</v>
      </c>
      <c r="D197">
        <v>41960858.871271394</v>
      </c>
      <c r="E197">
        <v>8108.1081081089997</v>
      </c>
      <c r="F197">
        <v>14414.414414415</v>
      </c>
      <c r="G197">
        <v>3</v>
      </c>
      <c r="H197">
        <v>2</v>
      </c>
      <c r="K197">
        <v>5</v>
      </c>
      <c r="L197">
        <v>2</v>
      </c>
      <c r="M197">
        <v>8108.1081081089997</v>
      </c>
      <c r="N197">
        <v>14414.414414415</v>
      </c>
      <c r="O197">
        <v>6539324.3243243247</v>
      </c>
      <c r="P197">
        <v>8464414.4144144151</v>
      </c>
      <c r="Q197">
        <v>951351.35135135194</v>
      </c>
      <c r="R197">
        <v>875225.22522522497</v>
      </c>
      <c r="S197">
        <v>2510</v>
      </c>
      <c r="T197">
        <v>2484</v>
      </c>
    </row>
    <row r="198" spans="1:20" x14ac:dyDescent="0.35">
      <c r="A198" s="7" t="s">
        <v>287</v>
      </c>
      <c r="B198" s="12" t="s">
        <v>283</v>
      </c>
      <c r="C198">
        <v>20672214.029803246</v>
      </c>
      <c r="D198">
        <v>21521099.984325763</v>
      </c>
      <c r="E198">
        <v>1801.801801802</v>
      </c>
      <c r="F198">
        <v>41441.441441442003</v>
      </c>
      <c r="G198">
        <v>3</v>
      </c>
      <c r="K198">
        <v>3</v>
      </c>
      <c r="M198">
        <v>1801.801801802</v>
      </c>
      <c r="N198">
        <v>464864.86486486602</v>
      </c>
      <c r="O198">
        <v>3895405.405405405</v>
      </c>
      <c r="P198">
        <v>3690090.0900900909</v>
      </c>
      <c r="R198">
        <v>576576.57657657703</v>
      </c>
      <c r="S198">
        <v>1340</v>
      </c>
      <c r="T198">
        <v>1404</v>
      </c>
    </row>
    <row r="199" spans="1:20" x14ac:dyDescent="0.35">
      <c r="A199" s="7" t="s">
        <v>288</v>
      </c>
      <c r="B199" s="12" t="s">
        <v>283</v>
      </c>
      <c r="C199">
        <v>3811377.3166108509</v>
      </c>
      <c r="D199">
        <v>3514053.309131573</v>
      </c>
      <c r="G199">
        <v>1</v>
      </c>
      <c r="K199">
        <v>1</v>
      </c>
      <c r="O199">
        <v>467567.56756756798</v>
      </c>
      <c r="P199">
        <v>587261.26126126095</v>
      </c>
      <c r="S199">
        <v>339</v>
      </c>
      <c r="T199">
        <v>287</v>
      </c>
    </row>
    <row r="200" spans="1:20" x14ac:dyDescent="0.35">
      <c r="A200" s="7" t="s">
        <v>289</v>
      </c>
      <c r="B200" s="12" t="s">
        <v>290</v>
      </c>
      <c r="C200">
        <v>45075653.999363288</v>
      </c>
      <c r="D200">
        <v>45209574.588253647</v>
      </c>
      <c r="E200">
        <v>8108.1081081080001</v>
      </c>
      <c r="F200">
        <v>88288.288288288997</v>
      </c>
      <c r="G200">
        <v>18</v>
      </c>
      <c r="H200">
        <v>8</v>
      </c>
      <c r="K200">
        <v>21</v>
      </c>
      <c r="L200">
        <v>9</v>
      </c>
      <c r="M200">
        <v>909009.00900900899</v>
      </c>
      <c r="N200">
        <v>99099.0990991</v>
      </c>
      <c r="O200">
        <v>4848198.1981981993</v>
      </c>
      <c r="P200">
        <v>3514583.7837837841</v>
      </c>
      <c r="Q200">
        <v>495315.31531531602</v>
      </c>
      <c r="R200">
        <v>127477.477477477</v>
      </c>
      <c r="S200">
        <v>4105</v>
      </c>
      <c r="T200">
        <v>4495</v>
      </c>
    </row>
    <row r="201" spans="1:20" x14ac:dyDescent="0.35">
      <c r="A201" s="7" t="s">
        <v>291</v>
      </c>
      <c r="B201" s="12" t="s">
        <v>147</v>
      </c>
      <c r="C201">
        <v>98380984.78871873</v>
      </c>
      <c r="D201">
        <v>95300815.589772001</v>
      </c>
      <c r="E201">
        <v>299099.09909909999</v>
      </c>
      <c r="F201">
        <v>1269369.3693693711</v>
      </c>
      <c r="G201">
        <v>16</v>
      </c>
      <c r="H201">
        <v>22</v>
      </c>
      <c r="K201">
        <v>18</v>
      </c>
      <c r="L201">
        <v>36</v>
      </c>
      <c r="M201">
        <v>16130450.450450448</v>
      </c>
      <c r="N201">
        <v>42117117.117117122</v>
      </c>
      <c r="O201">
        <v>32829054.054054055</v>
      </c>
      <c r="P201">
        <v>34943630.630630635</v>
      </c>
      <c r="Q201">
        <v>14073603.6036036</v>
      </c>
      <c r="R201">
        <v>41151261.261261262</v>
      </c>
      <c r="S201">
        <v>7487</v>
      </c>
      <c r="T201">
        <v>8382</v>
      </c>
    </row>
    <row r="202" spans="1:20" x14ac:dyDescent="0.35">
      <c r="A202" s="7" t="s">
        <v>292</v>
      </c>
      <c r="B202" s="12" t="s">
        <v>293</v>
      </c>
      <c r="C202">
        <v>51046368.593948454</v>
      </c>
      <c r="D202">
        <v>48130100.412598029</v>
      </c>
      <c r="E202">
        <v>7207.2072072069996</v>
      </c>
      <c r="F202">
        <v>922522.52252252295</v>
      </c>
      <c r="G202">
        <v>3</v>
      </c>
      <c r="H202">
        <v>2</v>
      </c>
      <c r="K202">
        <v>4</v>
      </c>
      <c r="L202">
        <v>3</v>
      </c>
      <c r="M202">
        <v>10964324.324324328</v>
      </c>
      <c r="N202">
        <v>7708288.288288285</v>
      </c>
      <c r="O202">
        <v>6040225.225225227</v>
      </c>
      <c r="P202">
        <v>6579504.5045045046</v>
      </c>
      <c r="Q202">
        <v>11090360.360360363</v>
      </c>
      <c r="R202">
        <v>8029279.2792792739</v>
      </c>
      <c r="S202">
        <v>3661</v>
      </c>
      <c r="T202">
        <v>3501</v>
      </c>
    </row>
    <row r="203" spans="1:20" x14ac:dyDescent="0.35">
      <c r="A203" s="7" t="s">
        <v>294</v>
      </c>
      <c r="B203" s="12" t="s">
        <v>290</v>
      </c>
      <c r="C203">
        <v>14848807.672618756</v>
      </c>
      <c r="D203">
        <v>12491564.025279099</v>
      </c>
      <c r="E203">
        <v>273873.87387387402</v>
      </c>
      <c r="F203">
        <v>296396.39639639697</v>
      </c>
      <c r="G203">
        <v>1</v>
      </c>
      <c r="H203">
        <v>2</v>
      </c>
      <c r="K203">
        <v>3</v>
      </c>
      <c r="L203">
        <v>3</v>
      </c>
      <c r="M203">
        <v>273873.87387387402</v>
      </c>
      <c r="N203">
        <v>297297.29729729798</v>
      </c>
      <c r="O203">
        <v>1866756.7567567569</v>
      </c>
      <c r="P203">
        <v>1627927.927927928</v>
      </c>
      <c r="Q203">
        <v>791081.081081082</v>
      </c>
      <c r="R203">
        <v>561711.71171171102</v>
      </c>
      <c r="S203">
        <v>1226</v>
      </c>
      <c r="T203">
        <v>1252</v>
      </c>
    </row>
    <row r="204" spans="1:20" x14ac:dyDescent="0.35">
      <c r="A204" s="7" t="s">
        <v>295</v>
      </c>
      <c r="B204" s="12" t="s">
        <v>52</v>
      </c>
      <c r="C204">
        <v>144376445.42872691</v>
      </c>
      <c r="D204">
        <v>142428613.22847638</v>
      </c>
      <c r="E204">
        <v>855855.85585585597</v>
      </c>
      <c r="F204">
        <v>1584684.6846846859</v>
      </c>
      <c r="G204">
        <v>29</v>
      </c>
      <c r="H204">
        <v>35</v>
      </c>
      <c r="K204">
        <v>38</v>
      </c>
      <c r="L204">
        <v>43</v>
      </c>
      <c r="M204">
        <v>31308108.108108103</v>
      </c>
      <c r="N204">
        <v>19871891.891891893</v>
      </c>
      <c r="O204">
        <v>35796684.684684686</v>
      </c>
      <c r="P204">
        <v>37455495.495495498</v>
      </c>
      <c r="Q204">
        <v>37214684.684684686</v>
      </c>
      <c r="R204">
        <v>29305315.315315314</v>
      </c>
      <c r="S204">
        <v>11925</v>
      </c>
      <c r="T204">
        <v>11617</v>
      </c>
    </row>
    <row r="205" spans="1:20" x14ac:dyDescent="0.35">
      <c r="A205" s="7" t="s">
        <v>296</v>
      </c>
      <c r="B205" s="12" t="s">
        <v>169</v>
      </c>
      <c r="C205">
        <v>50203919.858489878</v>
      </c>
      <c r="D205">
        <v>37313725.228040487</v>
      </c>
      <c r="E205">
        <v>900.900900901</v>
      </c>
      <c r="G205">
        <v>6</v>
      </c>
      <c r="H205">
        <v>4</v>
      </c>
      <c r="K205">
        <v>6</v>
      </c>
      <c r="L205">
        <v>7</v>
      </c>
      <c r="M205">
        <v>1802702.702702703</v>
      </c>
      <c r="N205">
        <v>900900.90090090095</v>
      </c>
      <c r="O205">
        <v>10442765.765765766</v>
      </c>
      <c r="P205">
        <v>7057567.5675675683</v>
      </c>
      <c r="Q205">
        <v>1414774.774774774</v>
      </c>
      <c r="R205">
        <v>1472702.702702703</v>
      </c>
      <c r="S205">
        <v>4600</v>
      </c>
      <c r="T205">
        <v>3188</v>
      </c>
    </row>
    <row r="206" spans="1:20" x14ac:dyDescent="0.35">
      <c r="A206" s="7" t="s">
        <v>297</v>
      </c>
      <c r="B206" s="12" t="s">
        <v>169</v>
      </c>
      <c r="C206">
        <v>24564398.864929467</v>
      </c>
      <c r="D206">
        <v>52816450.374099001</v>
      </c>
      <c r="E206">
        <v>900.900900901</v>
      </c>
      <c r="G206">
        <v>2</v>
      </c>
      <c r="H206">
        <v>12</v>
      </c>
      <c r="K206">
        <v>2</v>
      </c>
      <c r="L206">
        <v>12</v>
      </c>
      <c r="M206">
        <v>427937837.83783782</v>
      </c>
      <c r="N206">
        <v>1090099099.0990992</v>
      </c>
      <c r="O206">
        <v>10685360.36036036</v>
      </c>
      <c r="P206">
        <v>19436360.360360362</v>
      </c>
      <c r="Q206">
        <v>434313920.72072071</v>
      </c>
      <c r="R206">
        <v>975981163.96396387</v>
      </c>
      <c r="S206">
        <v>2571</v>
      </c>
      <c r="T206">
        <v>2787</v>
      </c>
    </row>
    <row r="207" spans="1:20" x14ac:dyDescent="0.35">
      <c r="A207" s="7" t="s">
        <v>298</v>
      </c>
      <c r="B207" s="12" t="s">
        <v>89</v>
      </c>
      <c r="C207">
        <v>173045172.02446762</v>
      </c>
      <c r="D207">
        <v>158895384.99198163</v>
      </c>
      <c r="E207">
        <v>78018.018018022995</v>
      </c>
      <c r="F207">
        <v>251351.35135135599</v>
      </c>
      <c r="G207">
        <v>24</v>
      </c>
      <c r="H207">
        <v>26</v>
      </c>
      <c r="K207">
        <v>29</v>
      </c>
      <c r="L207">
        <v>33</v>
      </c>
      <c r="M207">
        <v>9736936.9369369354</v>
      </c>
      <c r="N207">
        <v>7466486.4864864834</v>
      </c>
      <c r="O207">
        <v>30729324.324324325</v>
      </c>
      <c r="P207">
        <v>30000418.918918919</v>
      </c>
      <c r="Q207">
        <v>8777747.7477477435</v>
      </c>
      <c r="R207">
        <v>13975585.585585585</v>
      </c>
      <c r="S207">
        <v>10888</v>
      </c>
      <c r="T207">
        <v>11008</v>
      </c>
    </row>
    <row r="208" spans="1:20" x14ac:dyDescent="0.35">
      <c r="A208" s="7" t="s">
        <v>299</v>
      </c>
      <c r="B208" s="12" t="s">
        <v>134</v>
      </c>
      <c r="C208">
        <v>79944052.161383376</v>
      </c>
      <c r="D208">
        <v>85676332.357176811</v>
      </c>
      <c r="E208">
        <v>554054.05405405397</v>
      </c>
      <c r="F208">
        <v>397297.29729730001</v>
      </c>
      <c r="G208">
        <v>11</v>
      </c>
      <c r="H208">
        <v>11</v>
      </c>
      <c r="K208">
        <v>13</v>
      </c>
      <c r="L208">
        <v>16</v>
      </c>
      <c r="M208">
        <v>6081981.9819819806</v>
      </c>
      <c r="N208">
        <v>4850450.4504504511</v>
      </c>
      <c r="O208">
        <v>8589637.8378378376</v>
      </c>
      <c r="P208">
        <v>10706153.153153153</v>
      </c>
      <c r="Q208">
        <v>5328061.2612612611</v>
      </c>
      <c r="R208">
        <v>5039369.369369369</v>
      </c>
      <c r="S208">
        <v>6938</v>
      </c>
      <c r="T208">
        <v>6943</v>
      </c>
    </row>
    <row r="209" spans="1:20" x14ac:dyDescent="0.35">
      <c r="A209" s="7" t="s">
        <v>300</v>
      </c>
      <c r="B209" s="12" t="s">
        <v>290</v>
      </c>
      <c r="C209">
        <v>67370108.221225083</v>
      </c>
      <c r="D209">
        <v>60851720.914004914</v>
      </c>
      <c r="E209">
        <v>305855.85585585801</v>
      </c>
      <c r="F209">
        <v>1261261.2612612629</v>
      </c>
      <c r="G209">
        <v>38</v>
      </c>
      <c r="H209">
        <v>23</v>
      </c>
      <c r="K209">
        <v>42</v>
      </c>
      <c r="L209">
        <v>27</v>
      </c>
      <c r="M209">
        <v>7247297.297297298</v>
      </c>
      <c r="N209">
        <v>6434234.2342342352</v>
      </c>
      <c r="O209">
        <v>9183063.0630630627</v>
      </c>
      <c r="P209">
        <v>8786324.3243243247</v>
      </c>
      <c r="Q209">
        <v>6084594.5945945969</v>
      </c>
      <c r="R209">
        <v>4992342.3423423413</v>
      </c>
      <c r="S209">
        <v>4409</v>
      </c>
      <c r="T209">
        <v>5206</v>
      </c>
    </row>
    <row r="210" spans="1:20" x14ac:dyDescent="0.35">
      <c r="A210" s="7" t="s">
        <v>301</v>
      </c>
      <c r="B210" s="12" t="s">
        <v>80</v>
      </c>
      <c r="C210">
        <v>93946309.336221233</v>
      </c>
      <c r="D210">
        <v>82787476.797390446</v>
      </c>
      <c r="E210">
        <v>25274324.324324325</v>
      </c>
      <c r="F210">
        <v>17709684.684684686</v>
      </c>
      <c r="G210">
        <v>17</v>
      </c>
      <c r="H210">
        <v>12</v>
      </c>
      <c r="K210">
        <v>18</v>
      </c>
      <c r="L210">
        <v>12</v>
      </c>
      <c r="M210">
        <v>9583513.5135135129</v>
      </c>
      <c r="N210">
        <v>8533333.3333333321</v>
      </c>
      <c r="O210">
        <v>20795914.414414417</v>
      </c>
      <c r="P210">
        <v>17568207.207207207</v>
      </c>
      <c r="Q210">
        <v>8555855.8558558561</v>
      </c>
      <c r="R210">
        <v>7098108.1081081089</v>
      </c>
      <c r="S210">
        <v>5765</v>
      </c>
      <c r="T210">
        <v>6355</v>
      </c>
    </row>
    <row r="211" spans="1:20" x14ac:dyDescent="0.35">
      <c r="A211" s="7" t="s">
        <v>302</v>
      </c>
      <c r="B211" s="12" t="s">
        <v>72</v>
      </c>
      <c r="C211">
        <v>140421921.26334319</v>
      </c>
      <c r="D211">
        <v>134574775.31446266</v>
      </c>
      <c r="E211">
        <v>25015315.315315317</v>
      </c>
      <c r="F211">
        <v>17144144.144144148</v>
      </c>
      <c r="G211">
        <v>35</v>
      </c>
      <c r="H211">
        <v>23</v>
      </c>
      <c r="K211">
        <v>41</v>
      </c>
      <c r="L211">
        <v>34</v>
      </c>
      <c r="M211">
        <v>13135585.585585585</v>
      </c>
      <c r="N211">
        <v>10701351.351351354</v>
      </c>
      <c r="O211">
        <v>21601432.432432432</v>
      </c>
      <c r="P211">
        <v>20372396.396396395</v>
      </c>
      <c r="Q211">
        <v>9857927.927927928</v>
      </c>
      <c r="R211">
        <v>6633513.5135135129</v>
      </c>
      <c r="S211">
        <v>9059</v>
      </c>
      <c r="T211">
        <v>9073</v>
      </c>
    </row>
    <row r="212" spans="1:20" x14ac:dyDescent="0.35">
      <c r="A212" s="7" t="s">
        <v>303</v>
      </c>
      <c r="B212" s="12" t="s">
        <v>304</v>
      </c>
      <c r="C212">
        <v>464750.69795674202</v>
      </c>
      <c r="D212">
        <v>470075.339965739</v>
      </c>
      <c r="O212">
        <v>252027.02702702701</v>
      </c>
      <c r="P212">
        <v>205945.945945946</v>
      </c>
      <c r="S212">
        <v>69</v>
      </c>
      <c r="T212">
        <v>64</v>
      </c>
    </row>
    <row r="213" spans="1:20" x14ac:dyDescent="0.35">
      <c r="A213" s="7" t="s">
        <v>305</v>
      </c>
      <c r="B213" s="12" t="s">
        <v>117</v>
      </c>
      <c r="C213">
        <v>19435950.279758435</v>
      </c>
      <c r="D213">
        <v>17250355.361392051</v>
      </c>
      <c r="E213">
        <v>16216.216216217999</v>
      </c>
      <c r="F213">
        <v>86486.486486487003</v>
      </c>
      <c r="G213">
        <v>1</v>
      </c>
      <c r="K213">
        <v>1</v>
      </c>
      <c r="M213">
        <v>917117.11711711902</v>
      </c>
      <c r="N213">
        <v>1827747.7477477479</v>
      </c>
      <c r="O213">
        <v>8030090.0900900904</v>
      </c>
      <c r="P213">
        <v>7915945.9459459446</v>
      </c>
      <c r="Q213">
        <v>574774.77477477503</v>
      </c>
      <c r="R213">
        <v>1605675.675675675</v>
      </c>
      <c r="S213">
        <v>1783</v>
      </c>
      <c r="T213">
        <v>1729</v>
      </c>
    </row>
    <row r="214" spans="1:20" x14ac:dyDescent="0.35">
      <c r="A214" s="7" t="s">
        <v>306</v>
      </c>
      <c r="B214" s="12" t="s">
        <v>307</v>
      </c>
      <c r="C214">
        <v>22572961.473630711</v>
      </c>
      <c r="D214">
        <v>20845558.750606366</v>
      </c>
      <c r="E214">
        <v>7207.207207208</v>
      </c>
      <c r="G214">
        <v>8</v>
      </c>
      <c r="H214">
        <v>9</v>
      </c>
      <c r="K214">
        <v>9</v>
      </c>
      <c r="L214">
        <v>12</v>
      </c>
      <c r="M214">
        <v>7207.207207208</v>
      </c>
      <c r="N214">
        <v>211711.71171171201</v>
      </c>
      <c r="O214">
        <v>11374324.324324325</v>
      </c>
      <c r="P214">
        <v>11437567.567567568</v>
      </c>
      <c r="Q214">
        <v>97297.297297297002</v>
      </c>
      <c r="R214">
        <v>241441.441441442</v>
      </c>
      <c r="S214">
        <v>4725</v>
      </c>
      <c r="T214">
        <v>4240</v>
      </c>
    </row>
    <row r="215" spans="1:20" x14ac:dyDescent="0.35">
      <c r="A215" s="7" t="s">
        <v>308</v>
      </c>
      <c r="B215" s="12" t="s">
        <v>140</v>
      </c>
      <c r="C215">
        <v>148917741.09182781</v>
      </c>
      <c r="D215">
        <v>151409621.83629015</v>
      </c>
      <c r="E215">
        <v>83918.918918918993</v>
      </c>
      <c r="F215">
        <v>480180.18018018699</v>
      </c>
      <c r="G215">
        <v>11</v>
      </c>
      <c r="H215">
        <v>23</v>
      </c>
      <c r="K215">
        <v>24</v>
      </c>
      <c r="L215">
        <v>31</v>
      </c>
      <c r="M215">
        <v>25434684.684684683</v>
      </c>
      <c r="N215">
        <v>22641621.621621624</v>
      </c>
      <c r="O215">
        <v>28296619.819819819</v>
      </c>
      <c r="P215">
        <v>32911468.468468469</v>
      </c>
      <c r="Q215">
        <v>10886126.126126127</v>
      </c>
      <c r="R215">
        <v>13465495.495495498</v>
      </c>
      <c r="S215">
        <v>8067</v>
      </c>
      <c r="T215">
        <v>8233</v>
      </c>
    </row>
    <row r="216" spans="1:20" x14ac:dyDescent="0.35">
      <c r="A216" s="7" t="s">
        <v>309</v>
      </c>
      <c r="B216" s="12" t="s">
        <v>132</v>
      </c>
      <c r="C216">
        <v>165164046.68975121</v>
      </c>
      <c r="D216">
        <v>127120985.10999556</v>
      </c>
      <c r="E216">
        <v>863963.96396396402</v>
      </c>
      <c r="F216">
        <v>1356756.756756756</v>
      </c>
      <c r="G216">
        <v>32</v>
      </c>
      <c r="H216">
        <v>33</v>
      </c>
      <c r="K216">
        <v>44</v>
      </c>
      <c r="L216">
        <v>41</v>
      </c>
      <c r="M216">
        <v>7350450.4504504511</v>
      </c>
      <c r="N216">
        <v>3050450.4504504502</v>
      </c>
      <c r="O216">
        <v>41497909.909909911</v>
      </c>
      <c r="P216">
        <v>35133423.423423424</v>
      </c>
      <c r="Q216">
        <v>5209189.1891891919</v>
      </c>
      <c r="R216">
        <v>5459009.0090090083</v>
      </c>
      <c r="S216">
        <v>12077</v>
      </c>
      <c r="T216">
        <v>11486</v>
      </c>
    </row>
    <row r="217" spans="1:20" x14ac:dyDescent="0.35">
      <c r="A217" s="7" t="s">
        <v>310</v>
      </c>
      <c r="B217" s="12" t="s">
        <v>72</v>
      </c>
      <c r="C217">
        <v>247321320.34205464</v>
      </c>
      <c r="D217">
        <v>217513488.92074478</v>
      </c>
      <c r="E217">
        <v>563603.60360360495</v>
      </c>
      <c r="F217">
        <v>874099.09909910499</v>
      </c>
      <c r="G217">
        <v>51</v>
      </c>
      <c r="H217">
        <v>36</v>
      </c>
      <c r="K217">
        <v>66</v>
      </c>
      <c r="L217">
        <v>50</v>
      </c>
      <c r="M217">
        <v>35708648.648648642</v>
      </c>
      <c r="N217">
        <v>31109909.909909904</v>
      </c>
      <c r="O217">
        <v>58486576.576576576</v>
      </c>
      <c r="P217">
        <v>53364945.945945948</v>
      </c>
      <c r="Q217">
        <v>28965855.855855856</v>
      </c>
      <c r="R217">
        <v>29307027.027027033</v>
      </c>
      <c r="S217">
        <v>16936</v>
      </c>
      <c r="T217">
        <v>16936</v>
      </c>
    </row>
    <row r="218" spans="1:20" x14ac:dyDescent="0.35">
      <c r="A218" s="7" t="s">
        <v>311</v>
      </c>
      <c r="B218" s="12" t="s">
        <v>62</v>
      </c>
      <c r="C218">
        <v>42896836.524302527</v>
      </c>
      <c r="D218">
        <v>39761042.294663191</v>
      </c>
      <c r="E218">
        <v>14414.414414415</v>
      </c>
      <c r="F218">
        <v>186486.48648648799</v>
      </c>
      <c r="G218">
        <v>2</v>
      </c>
      <c r="H218">
        <v>4</v>
      </c>
      <c r="K218">
        <v>2</v>
      </c>
      <c r="L218">
        <v>4</v>
      </c>
      <c r="M218">
        <v>4834954.9549549529</v>
      </c>
      <c r="N218">
        <v>3925225.225225226</v>
      </c>
      <c r="O218">
        <v>10681342.342342343</v>
      </c>
      <c r="P218">
        <v>10327747.747747747</v>
      </c>
      <c r="Q218">
        <v>5142882.8828828828</v>
      </c>
      <c r="R218">
        <v>5808648.6486486495</v>
      </c>
      <c r="S218">
        <v>2256</v>
      </c>
      <c r="T218">
        <v>2313</v>
      </c>
    </row>
    <row r="219" spans="1:20" x14ac:dyDescent="0.35">
      <c r="A219" s="7" t="s">
        <v>312</v>
      </c>
      <c r="B219" s="12" t="s">
        <v>89</v>
      </c>
      <c r="C219">
        <v>14813034.638477778</v>
      </c>
      <c r="D219">
        <v>13869163.132672353</v>
      </c>
      <c r="E219">
        <v>10810.810810810999</v>
      </c>
      <c r="F219">
        <v>63963.963963964001</v>
      </c>
      <c r="G219">
        <v>2</v>
      </c>
      <c r="H219">
        <v>3</v>
      </c>
      <c r="K219">
        <v>2</v>
      </c>
      <c r="L219">
        <v>3</v>
      </c>
      <c r="M219">
        <v>686486.48648648604</v>
      </c>
      <c r="N219">
        <v>1864144.1441441451</v>
      </c>
      <c r="O219">
        <v>4057792.7927927929</v>
      </c>
      <c r="P219">
        <v>4181027.0270270272</v>
      </c>
      <c r="Q219">
        <v>247297.29729729699</v>
      </c>
      <c r="R219">
        <v>2143513.513513512</v>
      </c>
      <c r="S219">
        <v>1174</v>
      </c>
      <c r="T219">
        <v>1182</v>
      </c>
    </row>
    <row r="220" spans="1:20" x14ac:dyDescent="0.35">
      <c r="A220" s="7" t="s">
        <v>313</v>
      </c>
      <c r="B220" s="12" t="s">
        <v>92</v>
      </c>
      <c r="C220">
        <v>6413872.4530582139</v>
      </c>
      <c r="D220">
        <v>6100290.0825209012</v>
      </c>
      <c r="F220">
        <v>54054.054054054002</v>
      </c>
      <c r="N220">
        <v>54054.054054054002</v>
      </c>
      <c r="O220">
        <v>467342.34234234202</v>
      </c>
      <c r="P220">
        <v>396801.80180180201</v>
      </c>
      <c r="R220">
        <v>145045.045045045</v>
      </c>
      <c r="S220">
        <v>468</v>
      </c>
      <c r="T220">
        <v>886</v>
      </c>
    </row>
    <row r="221" spans="1:20" x14ac:dyDescent="0.35">
      <c r="A221" s="7" t="s">
        <v>314</v>
      </c>
      <c r="B221" s="12" t="s">
        <v>315</v>
      </c>
      <c r="C221">
        <v>48003050.843280263</v>
      </c>
      <c r="D221">
        <v>45249616.063533939</v>
      </c>
      <c r="E221">
        <v>54054.054054054002</v>
      </c>
      <c r="F221">
        <v>454504.50450450298</v>
      </c>
      <c r="G221">
        <v>10</v>
      </c>
      <c r="H221">
        <v>10</v>
      </c>
      <c r="K221">
        <v>13</v>
      </c>
      <c r="L221">
        <v>11</v>
      </c>
      <c r="M221">
        <v>2684684.6846846822</v>
      </c>
      <c r="N221">
        <v>5754954.954954952</v>
      </c>
      <c r="O221">
        <v>8042207.2072072066</v>
      </c>
      <c r="P221">
        <v>6922045.0450450461</v>
      </c>
      <c r="Q221">
        <v>3402522.5225225198</v>
      </c>
      <c r="R221">
        <v>3660810.8108108081</v>
      </c>
      <c r="S221">
        <v>3473</v>
      </c>
      <c r="T221">
        <v>3582</v>
      </c>
    </row>
    <row r="222" spans="1:20" x14ac:dyDescent="0.35">
      <c r="A222" s="7" t="s">
        <v>316</v>
      </c>
      <c r="B222" s="12" t="s">
        <v>62</v>
      </c>
      <c r="C222">
        <v>79206413.432127744</v>
      </c>
      <c r="D222">
        <v>81993834.366008371</v>
      </c>
      <c r="E222">
        <v>231981.98198198501</v>
      </c>
      <c r="F222">
        <v>1520720.7207207279</v>
      </c>
      <c r="G222">
        <v>19</v>
      </c>
      <c r="H222">
        <v>13</v>
      </c>
      <c r="K222">
        <v>30</v>
      </c>
      <c r="L222">
        <v>19</v>
      </c>
      <c r="M222">
        <v>5051531.5315315304</v>
      </c>
      <c r="N222">
        <v>6012252.2522522546</v>
      </c>
      <c r="O222">
        <v>27634639.639639638</v>
      </c>
      <c r="P222">
        <v>27388927.927927926</v>
      </c>
      <c r="Q222">
        <v>5015315.3153153146</v>
      </c>
      <c r="R222">
        <v>6680810.8108108081</v>
      </c>
      <c r="S222">
        <v>8764</v>
      </c>
      <c r="T222">
        <v>8797</v>
      </c>
    </row>
    <row r="223" spans="1:20" x14ac:dyDescent="0.35">
      <c r="A223" s="7" t="s">
        <v>317</v>
      </c>
      <c r="B223" s="12" t="s">
        <v>62</v>
      </c>
      <c r="C223">
        <v>80270478.818096161</v>
      </c>
      <c r="D223">
        <v>74259047.169161588</v>
      </c>
      <c r="E223">
        <v>38738.738738740001</v>
      </c>
      <c r="F223">
        <v>374774.774774777</v>
      </c>
      <c r="G223">
        <v>34</v>
      </c>
      <c r="H223">
        <v>2</v>
      </c>
      <c r="K223">
        <v>39</v>
      </c>
      <c r="L223">
        <v>4</v>
      </c>
      <c r="M223">
        <v>5926666.666666666</v>
      </c>
      <c r="N223">
        <v>9307027.027027024</v>
      </c>
      <c r="O223">
        <v>26403783.783783782</v>
      </c>
      <c r="P223">
        <v>24761864.864864863</v>
      </c>
      <c r="Q223">
        <v>6746036.036036035</v>
      </c>
      <c r="R223">
        <v>9075315.3153153136</v>
      </c>
      <c r="S223">
        <v>5679</v>
      </c>
      <c r="T223">
        <v>5500</v>
      </c>
    </row>
    <row r="224" spans="1:20" x14ac:dyDescent="0.35">
      <c r="A224" s="7" t="s">
        <v>318</v>
      </c>
      <c r="B224" s="12" t="s">
        <v>78</v>
      </c>
      <c r="C224">
        <v>81081773.35807243</v>
      </c>
      <c r="D224">
        <v>77101027.990099087</v>
      </c>
      <c r="E224">
        <v>890630.63063063298</v>
      </c>
      <c r="F224">
        <v>952252.25225225498</v>
      </c>
      <c r="G224">
        <v>12</v>
      </c>
      <c r="H224">
        <v>22</v>
      </c>
      <c r="K224">
        <v>15</v>
      </c>
      <c r="L224">
        <v>36</v>
      </c>
      <c r="M224">
        <v>12863603.6036036</v>
      </c>
      <c r="N224">
        <v>17848648.648648649</v>
      </c>
      <c r="O224">
        <v>31884333.333333336</v>
      </c>
      <c r="P224">
        <v>31695166.666666668</v>
      </c>
      <c r="Q224">
        <v>15918738.73873874</v>
      </c>
      <c r="R224">
        <v>18865855.855855856</v>
      </c>
      <c r="S224">
        <v>8811</v>
      </c>
      <c r="T224">
        <v>8536</v>
      </c>
    </row>
    <row r="225" spans="1:20" x14ac:dyDescent="0.35">
      <c r="A225" s="7" t="s">
        <v>319</v>
      </c>
      <c r="B225" s="12" t="s">
        <v>78</v>
      </c>
      <c r="C225">
        <v>49523054.680863522</v>
      </c>
      <c r="D225">
        <v>45855896.729137488</v>
      </c>
      <c r="E225">
        <v>323603.60360360402</v>
      </c>
      <c r="F225">
        <v>561261.26126126305</v>
      </c>
      <c r="G225">
        <v>10</v>
      </c>
      <c r="H225">
        <v>11</v>
      </c>
      <c r="K225">
        <v>17</v>
      </c>
      <c r="L225">
        <v>23</v>
      </c>
      <c r="M225">
        <v>5512792.7927927906</v>
      </c>
      <c r="N225">
        <v>3263963.963963964</v>
      </c>
      <c r="O225">
        <v>17121279.27927928</v>
      </c>
      <c r="P225">
        <v>15753117.117117116</v>
      </c>
      <c r="Q225">
        <v>3923243.2432432421</v>
      </c>
      <c r="R225">
        <v>2980630.6306306329</v>
      </c>
      <c r="S225">
        <v>5826</v>
      </c>
      <c r="T225">
        <v>6617</v>
      </c>
    </row>
    <row r="226" spans="1:20" x14ac:dyDescent="0.35">
      <c r="A226" s="7" t="s">
        <v>320</v>
      </c>
      <c r="B226" s="12" t="s">
        <v>121</v>
      </c>
      <c r="C226">
        <v>390243.89412428503</v>
      </c>
      <c r="D226">
        <v>344116.45287071902</v>
      </c>
      <c r="K226">
        <v>2</v>
      </c>
      <c r="O226">
        <v>152252.25225225199</v>
      </c>
      <c r="P226">
        <v>24639.639639640001</v>
      </c>
      <c r="S226">
        <v>66</v>
      </c>
      <c r="T226">
        <v>55</v>
      </c>
    </row>
    <row r="227" spans="1:20" x14ac:dyDescent="0.35">
      <c r="A227" s="7" t="s">
        <v>321</v>
      </c>
      <c r="B227" s="12" t="s">
        <v>224</v>
      </c>
      <c r="C227">
        <v>61107907.172080301</v>
      </c>
      <c r="D227">
        <v>51098840.271981187</v>
      </c>
      <c r="F227">
        <v>18018.018018018</v>
      </c>
      <c r="G227">
        <v>15</v>
      </c>
      <c r="H227">
        <v>14</v>
      </c>
      <c r="K227">
        <v>17</v>
      </c>
      <c r="L227">
        <v>15</v>
      </c>
      <c r="M227">
        <v>1499099.0990990989</v>
      </c>
      <c r="N227">
        <v>1190630.6306306289</v>
      </c>
      <c r="O227">
        <v>22182117.117117122</v>
      </c>
      <c r="P227">
        <v>21199151.351351351</v>
      </c>
      <c r="Q227">
        <v>1286756.7567567569</v>
      </c>
      <c r="R227">
        <v>1234684.6846846831</v>
      </c>
      <c r="S227">
        <v>4051</v>
      </c>
      <c r="T227">
        <v>3951</v>
      </c>
    </row>
    <row r="228" spans="1:20" x14ac:dyDescent="0.35">
      <c r="A228" s="7" t="s">
        <v>322</v>
      </c>
      <c r="B228" s="12" t="s">
        <v>224</v>
      </c>
      <c r="C228">
        <v>43637344.352641985</v>
      </c>
      <c r="D228">
        <v>36651212.523293987</v>
      </c>
      <c r="E228">
        <v>16216.216216217001</v>
      </c>
      <c r="F228">
        <v>900.900900901</v>
      </c>
      <c r="G228">
        <v>4</v>
      </c>
      <c r="H228">
        <v>1</v>
      </c>
      <c r="K228">
        <v>4</v>
      </c>
      <c r="L228">
        <v>1</v>
      </c>
      <c r="M228">
        <v>1727927.9279279271</v>
      </c>
      <c r="N228">
        <v>5000900.9009009004</v>
      </c>
      <c r="O228">
        <v>11234549.54954955</v>
      </c>
      <c r="P228">
        <v>10791995.495495496</v>
      </c>
      <c r="Q228">
        <v>2620450.4504504511</v>
      </c>
      <c r="R228">
        <v>2913243.2432432431</v>
      </c>
      <c r="S228">
        <v>2203</v>
      </c>
      <c r="T228">
        <v>2208</v>
      </c>
    </row>
    <row r="229" spans="1:20" x14ac:dyDescent="0.35">
      <c r="A229" s="7" t="s">
        <v>666</v>
      </c>
      <c r="B229" s="12" t="s">
        <v>94</v>
      </c>
      <c r="T229">
        <v>1</v>
      </c>
    </row>
    <row r="230" spans="1:20" x14ac:dyDescent="0.35">
      <c r="A230" s="7" t="s">
        <v>323</v>
      </c>
      <c r="B230" s="12" t="s">
        <v>78</v>
      </c>
      <c r="C230">
        <v>59999110.680766702</v>
      </c>
      <c r="D230">
        <v>58487918.80724287</v>
      </c>
      <c r="E230">
        <v>422972.97297297401</v>
      </c>
      <c r="F230">
        <v>221621.62162162201</v>
      </c>
      <c r="G230">
        <v>11</v>
      </c>
      <c r="H230">
        <v>23</v>
      </c>
      <c r="K230">
        <v>14</v>
      </c>
      <c r="L230">
        <v>57</v>
      </c>
      <c r="M230">
        <v>9409459.4594594594</v>
      </c>
      <c r="N230">
        <v>6527927.927927928</v>
      </c>
      <c r="O230">
        <v>16891734.234234232</v>
      </c>
      <c r="P230">
        <v>18851378.378378376</v>
      </c>
      <c r="Q230">
        <v>6532342.3423423432</v>
      </c>
      <c r="R230">
        <v>7637207.2072072057</v>
      </c>
      <c r="S230">
        <v>4590</v>
      </c>
      <c r="T230">
        <v>4588</v>
      </c>
    </row>
    <row r="231" spans="1:20" x14ac:dyDescent="0.35">
      <c r="A231" s="7" t="s">
        <v>324</v>
      </c>
      <c r="B231" s="12" t="s">
        <v>108</v>
      </c>
      <c r="C231">
        <v>277065421.03941989</v>
      </c>
      <c r="D231">
        <v>271899527.26177973</v>
      </c>
      <c r="E231">
        <v>64120179.279279277</v>
      </c>
      <c r="F231">
        <v>3074153.1531531601</v>
      </c>
      <c r="G231">
        <v>53</v>
      </c>
      <c r="H231">
        <v>49</v>
      </c>
      <c r="K231">
        <v>106</v>
      </c>
      <c r="L231">
        <v>61</v>
      </c>
      <c r="M231">
        <v>20393783.783783775</v>
      </c>
      <c r="N231">
        <v>21310450.450450446</v>
      </c>
      <c r="O231">
        <v>66467860.360360362</v>
      </c>
      <c r="P231">
        <v>68823405.405405402</v>
      </c>
      <c r="Q231">
        <v>23432882.882882878</v>
      </c>
      <c r="R231">
        <v>25017837.83783783</v>
      </c>
      <c r="S231">
        <v>22261</v>
      </c>
      <c r="T231">
        <v>21506</v>
      </c>
    </row>
    <row r="232" spans="1:20" x14ac:dyDescent="0.35">
      <c r="A232" s="7" t="s">
        <v>325</v>
      </c>
      <c r="B232" s="12" t="s">
        <v>224</v>
      </c>
      <c r="C232">
        <v>67499427.160141245</v>
      </c>
      <c r="D232">
        <v>53350572.959471174</v>
      </c>
      <c r="E232">
        <v>327567.56756756699</v>
      </c>
      <c r="F232">
        <v>119819.81981982</v>
      </c>
      <c r="G232">
        <v>23</v>
      </c>
      <c r="H232">
        <v>3</v>
      </c>
      <c r="K232">
        <v>30</v>
      </c>
      <c r="L232">
        <v>4</v>
      </c>
      <c r="M232">
        <v>7534774.7747747749</v>
      </c>
      <c r="N232">
        <v>5074774.7747747749</v>
      </c>
      <c r="O232">
        <v>12295648.648648648</v>
      </c>
      <c r="P232">
        <v>11162909.90990991</v>
      </c>
      <c r="Q232">
        <v>5695045.0450450452</v>
      </c>
      <c r="R232">
        <v>4428018.0180180185</v>
      </c>
      <c r="S232">
        <v>4279</v>
      </c>
      <c r="T232">
        <v>5045</v>
      </c>
    </row>
    <row r="233" spans="1:20" x14ac:dyDescent="0.35">
      <c r="A233" s="7" t="s">
        <v>4</v>
      </c>
      <c r="B233" s="12" t="s">
        <v>158</v>
      </c>
      <c r="C233">
        <v>46549064.433617026</v>
      </c>
      <c r="D233">
        <v>46957007.804145023</v>
      </c>
      <c r="E233">
        <v>595495.49549549597</v>
      </c>
      <c r="F233">
        <v>567567.56756757002</v>
      </c>
      <c r="G233">
        <v>5</v>
      </c>
      <c r="H233">
        <v>3</v>
      </c>
      <c r="K233">
        <v>5</v>
      </c>
      <c r="L233">
        <v>5</v>
      </c>
      <c r="M233">
        <v>8607657.6576576568</v>
      </c>
      <c r="N233">
        <v>17417117.117117122</v>
      </c>
      <c r="O233">
        <v>16460135.135135137</v>
      </c>
      <c r="P233">
        <v>15924270.270270269</v>
      </c>
      <c r="Q233">
        <v>7181081.0810810812</v>
      </c>
      <c r="R233">
        <v>16894144.144144144</v>
      </c>
      <c r="S233">
        <v>3617</v>
      </c>
      <c r="T233">
        <v>3633</v>
      </c>
    </row>
    <row r="234" spans="1:20" x14ac:dyDescent="0.35">
      <c r="A234" s="7" t="s">
        <v>34</v>
      </c>
      <c r="B234" s="12" t="s">
        <v>193</v>
      </c>
      <c r="E234">
        <v>6756756.7567567574</v>
      </c>
      <c r="F234">
        <v>3378378.3783783782</v>
      </c>
      <c r="M234">
        <v>100900.900900901</v>
      </c>
      <c r="N234">
        <v>236261.26126126101</v>
      </c>
    </row>
    <row r="235" spans="1:20" x14ac:dyDescent="0.35">
      <c r="A235" s="7" t="s">
        <v>326</v>
      </c>
      <c r="B235" s="12" t="s">
        <v>108</v>
      </c>
      <c r="C235">
        <v>221324403.92858931</v>
      </c>
      <c r="D235">
        <v>218599236.2171818</v>
      </c>
      <c r="E235">
        <v>2157837.8378378432</v>
      </c>
      <c r="F235">
        <v>2228153.1531531601</v>
      </c>
      <c r="G235">
        <v>60</v>
      </c>
      <c r="H235">
        <v>59</v>
      </c>
      <c r="K235">
        <v>99</v>
      </c>
      <c r="L235">
        <v>78</v>
      </c>
      <c r="M235">
        <v>28313243.24324324</v>
      </c>
      <c r="N235">
        <v>28530630.630630631</v>
      </c>
      <c r="O235">
        <v>61886486.486486487</v>
      </c>
      <c r="P235">
        <v>66429909.909909911</v>
      </c>
      <c r="Q235">
        <v>29287477.47747748</v>
      </c>
      <c r="R235">
        <v>26327837.837837838</v>
      </c>
      <c r="S235">
        <v>20155</v>
      </c>
      <c r="T235">
        <v>19694</v>
      </c>
    </row>
    <row r="236" spans="1:20" x14ac:dyDescent="0.35">
      <c r="A236" s="7" t="s">
        <v>327</v>
      </c>
      <c r="B236" s="12" t="s">
        <v>78</v>
      </c>
      <c r="C236">
        <v>23198482.672825359</v>
      </c>
      <c r="D236">
        <v>22465323.500640396</v>
      </c>
      <c r="E236">
        <v>142342.34234234301</v>
      </c>
      <c r="F236">
        <v>81081.081081081997</v>
      </c>
      <c r="G236">
        <v>9</v>
      </c>
      <c r="H236">
        <v>7</v>
      </c>
      <c r="K236">
        <v>10</v>
      </c>
      <c r="L236">
        <v>10</v>
      </c>
      <c r="M236">
        <v>232432.43243243301</v>
      </c>
      <c r="N236">
        <v>1972972.972972973</v>
      </c>
      <c r="O236">
        <v>6549324.3243243247</v>
      </c>
      <c r="P236">
        <v>7579351.3513513524</v>
      </c>
      <c r="Q236">
        <v>1259819.8198198201</v>
      </c>
      <c r="R236">
        <v>2176396.3963963971</v>
      </c>
      <c r="S236">
        <v>2068</v>
      </c>
      <c r="T236">
        <v>1826</v>
      </c>
    </row>
    <row r="237" spans="1:20" x14ac:dyDescent="0.35">
      <c r="A237" s="7" t="s">
        <v>328</v>
      </c>
      <c r="B237" s="12" t="s">
        <v>121</v>
      </c>
      <c r="C237">
        <v>66316246.424200691</v>
      </c>
      <c r="D237">
        <v>57693216.261430547</v>
      </c>
      <c r="E237">
        <v>37837.837837840001</v>
      </c>
      <c r="F237">
        <v>475450.45045044902</v>
      </c>
      <c r="G237">
        <v>23</v>
      </c>
      <c r="H237">
        <v>18</v>
      </c>
      <c r="K237">
        <v>26</v>
      </c>
      <c r="L237">
        <v>21</v>
      </c>
      <c r="M237">
        <v>2344144.1441441458</v>
      </c>
      <c r="N237">
        <v>4166666.666666666</v>
      </c>
      <c r="O237">
        <v>8831117.1171171162</v>
      </c>
      <c r="P237">
        <v>7360144.1441441439</v>
      </c>
      <c r="Q237">
        <v>2881441.4414414419</v>
      </c>
      <c r="R237">
        <v>2885225.225225226</v>
      </c>
      <c r="S237">
        <v>4148</v>
      </c>
      <c r="T237">
        <v>3616</v>
      </c>
    </row>
    <row r="238" spans="1:20" x14ac:dyDescent="0.35">
      <c r="A238" s="7" t="s">
        <v>329</v>
      </c>
      <c r="B238" s="12" t="s">
        <v>330</v>
      </c>
      <c r="C238">
        <v>149727316.02369374</v>
      </c>
      <c r="D238">
        <v>139740314.20333138</v>
      </c>
      <c r="E238">
        <v>605855.85585585795</v>
      </c>
      <c r="F238">
        <v>1465990.9909909919</v>
      </c>
      <c r="G238">
        <v>41</v>
      </c>
      <c r="H238">
        <v>46</v>
      </c>
      <c r="I238">
        <v>2</v>
      </c>
      <c r="K238">
        <v>55</v>
      </c>
      <c r="L238">
        <v>59</v>
      </c>
      <c r="M238">
        <v>8581711.7117117122</v>
      </c>
      <c r="N238">
        <v>9190990.9909909926</v>
      </c>
      <c r="O238">
        <v>28971603.603603605</v>
      </c>
      <c r="P238">
        <v>29426225.225225225</v>
      </c>
      <c r="Q238">
        <v>9492522.5225225203</v>
      </c>
      <c r="R238">
        <v>7860900.9009009013</v>
      </c>
      <c r="S238">
        <v>14447</v>
      </c>
      <c r="T238">
        <v>13717</v>
      </c>
    </row>
    <row r="239" spans="1:20" x14ac:dyDescent="0.35">
      <c r="A239" s="7" t="s">
        <v>331</v>
      </c>
      <c r="B239" s="12" t="s">
        <v>290</v>
      </c>
      <c r="C239">
        <v>220150941.42864504</v>
      </c>
      <c r="D239">
        <v>213005796.50653097</v>
      </c>
      <c r="E239">
        <v>388288.28828828898</v>
      </c>
      <c r="F239">
        <v>1168918.9189189251</v>
      </c>
      <c r="G239">
        <v>54</v>
      </c>
      <c r="H239">
        <v>58</v>
      </c>
      <c r="K239">
        <v>69</v>
      </c>
      <c r="L239">
        <v>76</v>
      </c>
      <c r="M239">
        <v>21581981.981981989</v>
      </c>
      <c r="N239">
        <v>17622522.52252252</v>
      </c>
      <c r="O239">
        <v>36200855.855855852</v>
      </c>
      <c r="P239">
        <v>37105944.144144148</v>
      </c>
      <c r="Q239">
        <v>20521981.981981989</v>
      </c>
      <c r="R239">
        <v>18083063.063063063</v>
      </c>
      <c r="S239">
        <v>17129</v>
      </c>
      <c r="T239">
        <v>16879</v>
      </c>
    </row>
    <row r="240" spans="1:20" x14ac:dyDescent="0.35">
      <c r="A240" s="7" t="s">
        <v>332</v>
      </c>
      <c r="B240" s="12" t="s">
        <v>290</v>
      </c>
      <c r="C240">
        <v>162809678.19130665</v>
      </c>
      <c r="D240">
        <v>159026460.31752557</v>
      </c>
      <c r="E240">
        <v>1247297.297297298</v>
      </c>
      <c r="F240">
        <v>1495495.4954954991</v>
      </c>
      <c r="G240">
        <v>36</v>
      </c>
      <c r="H240">
        <v>29</v>
      </c>
      <c r="I240">
        <v>1</v>
      </c>
      <c r="K240">
        <v>52</v>
      </c>
      <c r="L240">
        <v>36</v>
      </c>
      <c r="M240">
        <v>14391441.441441448</v>
      </c>
      <c r="N240">
        <v>23298198.198198199</v>
      </c>
      <c r="O240">
        <v>39079675.675675683</v>
      </c>
      <c r="P240">
        <v>42100864.864864863</v>
      </c>
      <c r="Q240">
        <v>18213693.693693701</v>
      </c>
      <c r="R240">
        <v>21257657.657657664</v>
      </c>
      <c r="S240">
        <v>14851</v>
      </c>
      <c r="T240">
        <v>14797</v>
      </c>
    </row>
    <row r="241" spans="1:20" x14ac:dyDescent="0.35">
      <c r="A241" s="7" t="s">
        <v>333</v>
      </c>
      <c r="B241" s="12" t="s">
        <v>60</v>
      </c>
      <c r="C241">
        <v>22152494.739535265</v>
      </c>
      <c r="D241">
        <v>22243195.927698009</v>
      </c>
      <c r="E241">
        <v>306306.30630630598</v>
      </c>
      <c r="F241">
        <v>572072.072072073</v>
      </c>
      <c r="G241">
        <v>6</v>
      </c>
      <c r="H241">
        <v>24</v>
      </c>
      <c r="K241">
        <v>11</v>
      </c>
      <c r="L241">
        <v>38</v>
      </c>
      <c r="M241">
        <v>4450450.4504504502</v>
      </c>
      <c r="N241">
        <v>4672612.6126126107</v>
      </c>
      <c r="O241">
        <v>7547117.1171171172</v>
      </c>
      <c r="P241">
        <v>7634054.0540540544</v>
      </c>
      <c r="Q241">
        <v>4302252.2522522518</v>
      </c>
      <c r="R241">
        <v>2647657.6576576582</v>
      </c>
      <c r="S241">
        <v>1983</v>
      </c>
      <c r="T241">
        <v>2004</v>
      </c>
    </row>
    <row r="242" spans="1:20" x14ac:dyDescent="0.35">
      <c r="A242" s="7" t="s">
        <v>334</v>
      </c>
      <c r="B242" s="12" t="s">
        <v>60</v>
      </c>
      <c r="C242">
        <v>3659987.9008853212</v>
      </c>
      <c r="D242">
        <v>3609292.601145009</v>
      </c>
      <c r="E242">
        <v>110810.810810811</v>
      </c>
      <c r="F242">
        <v>215315.31531531599</v>
      </c>
      <c r="G242">
        <v>1</v>
      </c>
      <c r="H242">
        <v>3</v>
      </c>
      <c r="K242">
        <v>1</v>
      </c>
      <c r="L242">
        <v>5</v>
      </c>
      <c r="M242">
        <v>156756.75675675701</v>
      </c>
      <c r="N242">
        <v>457207.20720720798</v>
      </c>
      <c r="O242">
        <v>1915720.72072072</v>
      </c>
      <c r="P242">
        <v>2353882.8828828828</v>
      </c>
      <c r="Q242">
        <v>43243.243243243</v>
      </c>
      <c r="R242">
        <v>399909.90990991</v>
      </c>
      <c r="S242">
        <v>949</v>
      </c>
      <c r="T242">
        <v>827</v>
      </c>
    </row>
    <row r="243" spans="1:20" x14ac:dyDescent="0.35">
      <c r="A243" s="7" t="s">
        <v>335</v>
      </c>
      <c r="B243" s="12" t="s">
        <v>121</v>
      </c>
      <c r="C243">
        <v>38664.125150647997</v>
      </c>
      <c r="D243">
        <v>513916.80393279903</v>
      </c>
      <c r="O243">
        <v>34234.234234233998</v>
      </c>
      <c r="P243">
        <v>46396.396396395998</v>
      </c>
      <c r="T243">
        <v>155</v>
      </c>
    </row>
    <row r="244" spans="1:20" x14ac:dyDescent="0.35">
      <c r="A244" s="7" t="s">
        <v>336</v>
      </c>
      <c r="B244" s="12" t="s">
        <v>121</v>
      </c>
      <c r="C244">
        <v>815849.45478928497</v>
      </c>
      <c r="D244">
        <v>835647.38097458601</v>
      </c>
      <c r="G244">
        <v>1</v>
      </c>
      <c r="K244">
        <v>2</v>
      </c>
      <c r="O244">
        <v>330000</v>
      </c>
      <c r="P244">
        <v>186576.576576577</v>
      </c>
      <c r="S244">
        <v>112</v>
      </c>
      <c r="T244">
        <v>102</v>
      </c>
    </row>
    <row r="245" spans="1:20" x14ac:dyDescent="0.35">
      <c r="A245" s="7" t="s">
        <v>337</v>
      </c>
      <c r="B245" s="12" t="s">
        <v>121</v>
      </c>
      <c r="C245">
        <v>679593.40878063499</v>
      </c>
      <c r="D245">
        <v>564129.08949346899</v>
      </c>
      <c r="G245">
        <v>1</v>
      </c>
      <c r="K245">
        <v>1</v>
      </c>
      <c r="O245">
        <v>15090.09009009</v>
      </c>
      <c r="P245">
        <v>14414.414414413999</v>
      </c>
      <c r="S245">
        <v>155</v>
      </c>
      <c r="T245">
        <v>136</v>
      </c>
    </row>
    <row r="246" spans="1:20" x14ac:dyDescent="0.35">
      <c r="A246" s="7" t="s">
        <v>338</v>
      </c>
      <c r="B246" s="12" t="s">
        <v>140</v>
      </c>
      <c r="C246">
        <v>251912193.57344645</v>
      </c>
      <c r="D246">
        <v>246223851.63695377</v>
      </c>
      <c r="E246">
        <v>210720.72072072301</v>
      </c>
      <c r="F246">
        <v>757657.65765765996</v>
      </c>
      <c r="G246">
        <v>59</v>
      </c>
      <c r="H246">
        <v>34</v>
      </c>
      <c r="K246">
        <v>71</v>
      </c>
      <c r="L246">
        <v>53</v>
      </c>
      <c r="M246">
        <v>21580098.198198196</v>
      </c>
      <c r="N246">
        <v>20588648.648648649</v>
      </c>
      <c r="O246">
        <v>48348648.648648649</v>
      </c>
      <c r="P246">
        <v>47137144.144144148</v>
      </c>
      <c r="Q246">
        <v>21460000</v>
      </c>
      <c r="R246">
        <v>21077027.027027026</v>
      </c>
      <c r="S246">
        <v>16112</v>
      </c>
      <c r="T246">
        <v>16441</v>
      </c>
    </row>
    <row r="247" spans="1:20" x14ac:dyDescent="0.35">
      <c r="A247" s="7" t="s">
        <v>339</v>
      </c>
      <c r="B247" s="12" t="s">
        <v>121</v>
      </c>
      <c r="C247">
        <v>40820468.690609403</v>
      </c>
      <c r="D247">
        <v>36128972.416999914</v>
      </c>
      <c r="E247">
        <v>3603.603603604</v>
      </c>
      <c r="G247">
        <v>22</v>
      </c>
      <c r="H247">
        <v>11</v>
      </c>
      <c r="K247">
        <v>25</v>
      </c>
      <c r="L247">
        <v>12</v>
      </c>
      <c r="M247">
        <v>3603.603603604</v>
      </c>
      <c r="O247">
        <v>3026702.702702703</v>
      </c>
      <c r="P247">
        <v>2473297.297297298</v>
      </c>
      <c r="S247">
        <v>2426</v>
      </c>
      <c r="T247">
        <v>3680</v>
      </c>
    </row>
    <row r="248" spans="1:20" x14ac:dyDescent="0.35">
      <c r="A248" s="7" t="s">
        <v>340</v>
      </c>
      <c r="B248" s="12" t="s">
        <v>140</v>
      </c>
      <c r="C248">
        <v>126400261.80539839</v>
      </c>
      <c r="D248">
        <v>134062524.72607847</v>
      </c>
      <c r="E248">
        <v>127477.477477477</v>
      </c>
      <c r="F248">
        <v>276126.12612612901</v>
      </c>
      <c r="G248">
        <v>12</v>
      </c>
      <c r="H248">
        <v>12</v>
      </c>
      <c r="K248">
        <v>42</v>
      </c>
      <c r="L248">
        <v>21</v>
      </c>
      <c r="M248">
        <v>15258108.108108109</v>
      </c>
      <c r="N248">
        <v>24770630.630630627</v>
      </c>
      <c r="O248">
        <v>31871702.702702705</v>
      </c>
      <c r="P248">
        <v>38009881.081081077</v>
      </c>
      <c r="Q248">
        <v>19537657.657657657</v>
      </c>
      <c r="R248">
        <v>18557387.387387384</v>
      </c>
      <c r="S248">
        <v>8726</v>
      </c>
      <c r="T248">
        <v>8933</v>
      </c>
    </row>
    <row r="249" spans="1:20" x14ac:dyDescent="0.35">
      <c r="A249" s="7" t="s">
        <v>341</v>
      </c>
      <c r="B249" s="12" t="s">
        <v>134</v>
      </c>
      <c r="C249">
        <v>15357329.273677597</v>
      </c>
      <c r="D249">
        <v>12671034.292320188</v>
      </c>
      <c r="E249">
        <v>900.900900901</v>
      </c>
      <c r="F249">
        <v>40540.540540540998</v>
      </c>
      <c r="G249">
        <v>2</v>
      </c>
      <c r="H249">
        <v>4</v>
      </c>
      <c r="K249">
        <v>2</v>
      </c>
      <c r="L249">
        <v>4</v>
      </c>
      <c r="M249">
        <v>90990.990990991006</v>
      </c>
      <c r="N249">
        <v>581081.081081082</v>
      </c>
      <c r="O249">
        <v>948333.33333333395</v>
      </c>
      <c r="P249">
        <v>1243513.5135135129</v>
      </c>
      <c r="Q249">
        <v>410270.27027027099</v>
      </c>
      <c r="R249">
        <v>403603.60360360303</v>
      </c>
      <c r="S249">
        <v>1298</v>
      </c>
      <c r="T249">
        <v>1335</v>
      </c>
    </row>
    <row r="250" spans="1:20" x14ac:dyDescent="0.35">
      <c r="A250" s="7" t="s">
        <v>342</v>
      </c>
      <c r="B250" s="12" t="s">
        <v>121</v>
      </c>
      <c r="C250">
        <v>780019.76678863901</v>
      </c>
      <c r="D250">
        <v>224329.29962230899</v>
      </c>
      <c r="G250">
        <v>2</v>
      </c>
      <c r="K250">
        <v>3</v>
      </c>
      <c r="O250">
        <v>409459.459459459</v>
      </c>
      <c r="P250">
        <v>40990.990990990998</v>
      </c>
      <c r="S250">
        <v>407</v>
      </c>
    </row>
    <row r="251" spans="1:20" x14ac:dyDescent="0.35">
      <c r="A251" s="7" t="s">
        <v>5</v>
      </c>
      <c r="B251" s="12" t="s">
        <v>158</v>
      </c>
      <c r="C251">
        <v>39938239.488166079</v>
      </c>
      <c r="D251">
        <v>50457997.317875817</v>
      </c>
      <c r="E251">
        <v>543693.69369369396</v>
      </c>
      <c r="F251">
        <v>111711.711711713</v>
      </c>
      <c r="G251">
        <v>5</v>
      </c>
      <c r="H251">
        <v>4</v>
      </c>
      <c r="K251">
        <v>7</v>
      </c>
      <c r="L251">
        <v>4</v>
      </c>
      <c r="M251">
        <v>2174324.3243243229</v>
      </c>
      <c r="N251">
        <v>5398198.1981981983</v>
      </c>
      <c r="O251">
        <v>17949144.144144144</v>
      </c>
      <c r="P251">
        <v>20544450.450450446</v>
      </c>
      <c r="Q251">
        <v>1693963.9639639631</v>
      </c>
      <c r="R251">
        <v>4505135.1351351338</v>
      </c>
      <c r="S251">
        <v>3137</v>
      </c>
      <c r="T251">
        <v>5247</v>
      </c>
    </row>
    <row r="252" spans="1:20" x14ac:dyDescent="0.35">
      <c r="A252" s="7" t="s">
        <v>343</v>
      </c>
      <c r="B252" s="12" t="s">
        <v>304</v>
      </c>
      <c r="C252">
        <v>5340635.8367789527</v>
      </c>
      <c r="D252">
        <v>7882930.2418409809</v>
      </c>
      <c r="E252">
        <v>2164437.8378378381</v>
      </c>
      <c r="F252">
        <v>39330587.387387387</v>
      </c>
      <c r="G252">
        <v>10</v>
      </c>
      <c r="H252">
        <v>5</v>
      </c>
      <c r="K252">
        <v>11</v>
      </c>
      <c r="L252">
        <v>7</v>
      </c>
      <c r="M252">
        <v>31486486.486486487</v>
      </c>
      <c r="O252">
        <v>1182162.1621621619</v>
      </c>
      <c r="P252">
        <v>1547963.963963964</v>
      </c>
      <c r="Q252">
        <v>157207.20720720699</v>
      </c>
      <c r="R252">
        <v>48648.648648649003</v>
      </c>
      <c r="S252">
        <v>566</v>
      </c>
      <c r="T252">
        <v>554</v>
      </c>
    </row>
    <row r="253" spans="1:20" x14ac:dyDescent="0.35">
      <c r="A253" s="7" t="s">
        <v>344</v>
      </c>
      <c r="B253" s="12" t="s">
        <v>105</v>
      </c>
      <c r="C253">
        <v>96012847.62819232</v>
      </c>
      <c r="D253">
        <v>96880567.253538892</v>
      </c>
      <c r="E253">
        <v>66666.666666666002</v>
      </c>
      <c r="F253">
        <v>673423.42342342401</v>
      </c>
      <c r="G253">
        <v>16</v>
      </c>
      <c r="H253">
        <v>12</v>
      </c>
      <c r="K253">
        <v>20</v>
      </c>
      <c r="L253">
        <v>14</v>
      </c>
      <c r="M253">
        <v>7009009.0090090092</v>
      </c>
      <c r="N253">
        <v>13030180.180180181</v>
      </c>
      <c r="O253">
        <v>24660666.666666668</v>
      </c>
      <c r="P253">
        <v>21694585.585585583</v>
      </c>
      <c r="Q253">
        <v>9321801.8018018026</v>
      </c>
      <c r="R253">
        <v>10430810.810810812</v>
      </c>
      <c r="S253">
        <v>5747</v>
      </c>
      <c r="T253">
        <v>5753</v>
      </c>
    </row>
    <row r="254" spans="1:20" x14ac:dyDescent="0.35">
      <c r="A254" s="7" t="s">
        <v>345</v>
      </c>
      <c r="B254" s="12" t="s">
        <v>87</v>
      </c>
      <c r="C254">
        <v>32471992.745524663</v>
      </c>
      <c r="D254">
        <v>30837909.912682574</v>
      </c>
      <c r="E254">
        <v>288288.28828828898</v>
      </c>
      <c r="F254">
        <v>40540.540540540998</v>
      </c>
      <c r="G254">
        <v>17</v>
      </c>
      <c r="H254">
        <v>11</v>
      </c>
      <c r="K254">
        <v>19</v>
      </c>
      <c r="L254">
        <v>12</v>
      </c>
      <c r="M254">
        <v>7180180.1801801799</v>
      </c>
      <c r="N254">
        <v>9608108.1081081089</v>
      </c>
      <c r="O254">
        <v>6740202.702702702</v>
      </c>
      <c r="P254">
        <v>7998414.4144144151</v>
      </c>
      <c r="Q254">
        <v>4246756.7567567574</v>
      </c>
      <c r="R254">
        <v>6042972.9729729732</v>
      </c>
      <c r="S254">
        <v>2200</v>
      </c>
      <c r="T254">
        <v>2421</v>
      </c>
    </row>
    <row r="255" spans="1:20" x14ac:dyDescent="0.35">
      <c r="A255" s="7" t="s">
        <v>346</v>
      </c>
      <c r="B255" s="12" t="s">
        <v>87</v>
      </c>
      <c r="C255">
        <v>98310993.99512811</v>
      </c>
      <c r="D255">
        <v>84783566.130760506</v>
      </c>
      <c r="E255">
        <v>100900.90090090199</v>
      </c>
      <c r="F255">
        <v>596396.39639640006</v>
      </c>
      <c r="G255">
        <v>60</v>
      </c>
      <c r="H255">
        <v>57</v>
      </c>
      <c r="I255">
        <v>1</v>
      </c>
      <c r="K255">
        <v>75</v>
      </c>
      <c r="L255">
        <v>75</v>
      </c>
      <c r="M255">
        <v>8846846.8468468506</v>
      </c>
      <c r="N255">
        <v>9165765.7657657638</v>
      </c>
      <c r="O255">
        <v>14387572.072072072</v>
      </c>
      <c r="P255">
        <v>14996936.936936935</v>
      </c>
      <c r="Q255">
        <v>8008828.8288288312</v>
      </c>
      <c r="R255">
        <v>6300270.2702702712</v>
      </c>
      <c r="S255">
        <v>6695</v>
      </c>
      <c r="T255">
        <v>6466</v>
      </c>
    </row>
    <row r="256" spans="1:20" x14ac:dyDescent="0.35">
      <c r="A256" s="7" t="s">
        <v>347</v>
      </c>
      <c r="B256" s="12" t="s">
        <v>87</v>
      </c>
      <c r="C256">
        <v>2304999.941256179</v>
      </c>
      <c r="D256">
        <v>2673656.817852187</v>
      </c>
      <c r="G256">
        <v>1</v>
      </c>
      <c r="H256">
        <v>4</v>
      </c>
      <c r="K256">
        <v>1</v>
      </c>
      <c r="L256">
        <v>7</v>
      </c>
      <c r="O256">
        <v>1545900.9009009011</v>
      </c>
      <c r="P256">
        <v>1037423.423423423</v>
      </c>
      <c r="S256">
        <v>756</v>
      </c>
      <c r="T256">
        <v>770</v>
      </c>
    </row>
    <row r="257" spans="1:20" x14ac:dyDescent="0.35">
      <c r="A257" s="7" t="s">
        <v>348</v>
      </c>
      <c r="B257" s="12" t="s">
        <v>87</v>
      </c>
      <c r="C257">
        <v>852141.75590732205</v>
      </c>
      <c r="D257">
        <v>1239362.2009702569</v>
      </c>
      <c r="H257">
        <v>1</v>
      </c>
      <c r="L257">
        <v>1</v>
      </c>
      <c r="O257">
        <v>119369.369369369</v>
      </c>
      <c r="P257">
        <v>539279.27927927906</v>
      </c>
      <c r="S257">
        <v>170</v>
      </c>
      <c r="T257">
        <v>183</v>
      </c>
    </row>
    <row r="258" spans="1:20" x14ac:dyDescent="0.35">
      <c r="A258" s="7" t="s">
        <v>349</v>
      </c>
      <c r="B258" s="12" t="s">
        <v>87</v>
      </c>
      <c r="C258">
        <v>991612.08566951996</v>
      </c>
      <c r="D258">
        <v>1004666.847201701</v>
      </c>
      <c r="H258">
        <v>1</v>
      </c>
      <c r="K258">
        <v>1</v>
      </c>
      <c r="L258">
        <v>2</v>
      </c>
      <c r="O258">
        <v>298963.96396396402</v>
      </c>
      <c r="P258">
        <v>560504.50450450403</v>
      </c>
      <c r="S258">
        <v>624</v>
      </c>
      <c r="T258">
        <v>588</v>
      </c>
    </row>
    <row r="259" spans="1:20" x14ac:dyDescent="0.35">
      <c r="A259" s="7" t="s">
        <v>350</v>
      </c>
      <c r="B259" s="12" t="s">
        <v>87</v>
      </c>
      <c r="C259">
        <v>29299247.177311823</v>
      </c>
      <c r="D259">
        <v>25741631.110372607</v>
      </c>
      <c r="E259">
        <v>4504.5045045050001</v>
      </c>
      <c r="F259">
        <v>14414.414414415</v>
      </c>
      <c r="G259">
        <v>14</v>
      </c>
      <c r="H259">
        <v>8</v>
      </c>
      <c r="K259">
        <v>18</v>
      </c>
      <c r="L259">
        <v>10</v>
      </c>
      <c r="M259">
        <v>2887387.3873873879</v>
      </c>
      <c r="N259">
        <v>1664864.8648648639</v>
      </c>
      <c r="O259">
        <v>5423558.5585585581</v>
      </c>
      <c r="P259">
        <v>5165702.702702703</v>
      </c>
      <c r="Q259">
        <v>1996936.936936937</v>
      </c>
      <c r="R259">
        <v>1816216.2162162161</v>
      </c>
      <c r="S259">
        <v>2090</v>
      </c>
      <c r="T259">
        <v>1951</v>
      </c>
    </row>
    <row r="260" spans="1:20" x14ac:dyDescent="0.35">
      <c r="A260" s="7" t="s">
        <v>351</v>
      </c>
      <c r="B260" s="12" t="s">
        <v>50</v>
      </c>
      <c r="C260">
        <v>64997186.122343779</v>
      </c>
      <c r="D260">
        <v>71170564.189763367</v>
      </c>
      <c r="E260">
        <v>141441.441441442</v>
      </c>
      <c r="F260">
        <v>390090.09009009198</v>
      </c>
      <c r="G260">
        <v>8</v>
      </c>
      <c r="H260">
        <v>21</v>
      </c>
      <c r="K260">
        <v>8</v>
      </c>
      <c r="L260">
        <v>27</v>
      </c>
      <c r="M260">
        <v>9196396.3963963967</v>
      </c>
      <c r="N260">
        <v>6779279.2792792805</v>
      </c>
      <c r="O260">
        <v>24939459.459459461</v>
      </c>
      <c r="P260">
        <v>25972815.315315317</v>
      </c>
      <c r="Q260">
        <v>9439099.0990990996</v>
      </c>
      <c r="R260">
        <v>8551891.8918918911</v>
      </c>
      <c r="S260">
        <v>5028</v>
      </c>
      <c r="T260">
        <v>5352</v>
      </c>
    </row>
    <row r="261" spans="1:20" x14ac:dyDescent="0.35">
      <c r="A261" s="7" t="s">
        <v>352</v>
      </c>
      <c r="B261" s="12" t="s">
        <v>123</v>
      </c>
      <c r="C261">
        <v>403314.56236588297</v>
      </c>
      <c r="D261">
        <v>422042.00703594001</v>
      </c>
      <c r="H261">
        <v>1</v>
      </c>
      <c r="L261">
        <v>1</v>
      </c>
      <c r="O261">
        <v>73738.738738739004</v>
      </c>
      <c r="P261">
        <v>224369.369369369</v>
      </c>
      <c r="S261">
        <v>104</v>
      </c>
      <c r="T261">
        <v>111</v>
      </c>
    </row>
    <row r="262" spans="1:20" x14ac:dyDescent="0.35">
      <c r="A262" s="7" t="s">
        <v>353</v>
      </c>
      <c r="B262" s="12" t="s">
        <v>354</v>
      </c>
      <c r="C262">
        <v>124333709.9341729</v>
      </c>
      <c r="D262">
        <v>115568852.81610976</v>
      </c>
      <c r="E262">
        <v>1930630.6306306301</v>
      </c>
      <c r="F262">
        <v>3118918.9189189188</v>
      </c>
      <c r="G262">
        <v>32</v>
      </c>
      <c r="H262">
        <v>70</v>
      </c>
      <c r="K262">
        <v>133</v>
      </c>
      <c r="L262">
        <v>283</v>
      </c>
      <c r="M262">
        <v>67388648.648648649</v>
      </c>
      <c r="N262">
        <v>110109909.9099099</v>
      </c>
      <c r="O262">
        <v>72155045.045045033</v>
      </c>
      <c r="P262">
        <v>71457900.9009009</v>
      </c>
      <c r="Q262">
        <v>58504054.054054059</v>
      </c>
      <c r="R262">
        <v>107118018.01801802</v>
      </c>
      <c r="S262">
        <v>9772</v>
      </c>
      <c r="T262">
        <v>8903</v>
      </c>
    </row>
    <row r="263" spans="1:20" x14ac:dyDescent="0.35">
      <c r="A263" s="7" t="s">
        <v>355</v>
      </c>
      <c r="B263" s="12" t="s">
        <v>48</v>
      </c>
      <c r="C263">
        <v>89199466.201499641</v>
      </c>
      <c r="D263">
        <v>78775503.593950555</v>
      </c>
      <c r="E263">
        <v>23423.423423423999</v>
      </c>
      <c r="F263">
        <v>202702.70270270301</v>
      </c>
      <c r="G263">
        <v>17</v>
      </c>
      <c r="H263">
        <v>6</v>
      </c>
      <c r="K263">
        <v>23</v>
      </c>
      <c r="L263">
        <v>9</v>
      </c>
      <c r="M263">
        <v>282882.88288288302</v>
      </c>
      <c r="N263">
        <v>202702.70270270301</v>
      </c>
      <c r="O263">
        <v>5964441.441441441</v>
      </c>
      <c r="P263">
        <v>6305819.8198198201</v>
      </c>
      <c r="Q263">
        <v>319549.54954954999</v>
      </c>
      <c r="R263">
        <v>150900.900900901</v>
      </c>
      <c r="S263">
        <v>5770</v>
      </c>
      <c r="T263">
        <v>5612</v>
      </c>
    </row>
    <row r="264" spans="1:20" x14ac:dyDescent="0.35">
      <c r="A264" s="7" t="s">
        <v>356</v>
      </c>
      <c r="B264" s="12" t="s">
        <v>123</v>
      </c>
      <c r="C264">
        <v>95250305.524654716</v>
      </c>
      <c r="D264">
        <v>87353452.390614882</v>
      </c>
      <c r="E264">
        <v>31531.531531532</v>
      </c>
      <c r="F264">
        <v>42342.342342342999</v>
      </c>
      <c r="G264">
        <v>25</v>
      </c>
      <c r="H264">
        <v>13</v>
      </c>
      <c r="K264">
        <v>26</v>
      </c>
      <c r="L264">
        <v>17</v>
      </c>
      <c r="M264">
        <v>2510450.4504504488</v>
      </c>
      <c r="N264">
        <v>6401351.3513513505</v>
      </c>
      <c r="O264">
        <v>20874540.540540539</v>
      </c>
      <c r="P264">
        <v>19522666.666666664</v>
      </c>
      <c r="Q264">
        <v>2705135.1351351342</v>
      </c>
      <c r="R264">
        <v>5746396.3963963967</v>
      </c>
      <c r="S264">
        <v>5565</v>
      </c>
      <c r="T264">
        <v>5878</v>
      </c>
    </row>
    <row r="265" spans="1:20" x14ac:dyDescent="0.35">
      <c r="A265" s="7" t="s">
        <v>357</v>
      </c>
      <c r="B265" s="12" t="s">
        <v>62</v>
      </c>
      <c r="C265">
        <v>53902813.891511023</v>
      </c>
      <c r="D265">
        <v>50904810.413741142</v>
      </c>
      <c r="E265">
        <v>87060072.972972974</v>
      </c>
      <c r="F265">
        <v>220648500</v>
      </c>
      <c r="G265">
        <v>3</v>
      </c>
      <c r="H265">
        <v>4</v>
      </c>
      <c r="K265">
        <v>4</v>
      </c>
      <c r="L265">
        <v>4</v>
      </c>
      <c r="M265">
        <v>25216067.567567568</v>
      </c>
      <c r="N265">
        <v>15337770.270270268</v>
      </c>
      <c r="O265">
        <v>14213738.738738736</v>
      </c>
      <c r="P265">
        <v>13166036.036036037</v>
      </c>
      <c r="Q265">
        <v>6187027.0270270286</v>
      </c>
      <c r="R265">
        <v>5515315.3153153136</v>
      </c>
      <c r="S265">
        <v>3975</v>
      </c>
      <c r="T265">
        <v>3695</v>
      </c>
    </row>
    <row r="266" spans="1:20" x14ac:dyDescent="0.35">
      <c r="A266" s="7" t="s">
        <v>358</v>
      </c>
      <c r="B266" s="12" t="s">
        <v>315</v>
      </c>
      <c r="C266">
        <v>2294168.8997011059</v>
      </c>
      <c r="D266">
        <v>34597.190736728</v>
      </c>
      <c r="G266">
        <v>3</v>
      </c>
      <c r="K266">
        <v>4</v>
      </c>
      <c r="O266">
        <v>1378558.5585585581</v>
      </c>
      <c r="P266">
        <v>6306.3063063059999</v>
      </c>
      <c r="S266">
        <v>564</v>
      </c>
      <c r="T266">
        <v>4</v>
      </c>
    </row>
    <row r="267" spans="1:20" x14ac:dyDescent="0.35">
      <c r="A267" s="7" t="s">
        <v>359</v>
      </c>
      <c r="B267" s="12" t="s">
        <v>315</v>
      </c>
      <c r="C267">
        <v>59818578.275132962</v>
      </c>
      <c r="D267">
        <v>48362913.023452349</v>
      </c>
      <c r="E267">
        <v>54954.954954954999</v>
      </c>
      <c r="F267">
        <v>181981.98198198201</v>
      </c>
      <c r="G267">
        <v>6</v>
      </c>
      <c r="H267">
        <v>14</v>
      </c>
      <c r="K267">
        <v>7</v>
      </c>
      <c r="L267">
        <v>20</v>
      </c>
      <c r="M267">
        <v>5535315.3153153174</v>
      </c>
      <c r="N267">
        <v>2569369.369369369</v>
      </c>
      <c r="O267">
        <v>21070765.765765768</v>
      </c>
      <c r="P267">
        <v>19343468.468468469</v>
      </c>
      <c r="Q267">
        <v>12691171.171171168</v>
      </c>
      <c r="R267">
        <v>8012522.5225225203</v>
      </c>
      <c r="S267">
        <v>3179</v>
      </c>
      <c r="T267">
        <v>3482</v>
      </c>
    </row>
    <row r="268" spans="1:20" x14ac:dyDescent="0.35">
      <c r="A268" s="7" t="s">
        <v>360</v>
      </c>
      <c r="B268" s="12" t="s">
        <v>92</v>
      </c>
      <c r="C268">
        <v>97072889.153733954</v>
      </c>
      <c r="D268">
        <v>94937959.736673355</v>
      </c>
      <c r="E268">
        <v>1132702.702702702</v>
      </c>
      <c r="F268">
        <v>2228828.8288288289</v>
      </c>
      <c r="G268">
        <v>25</v>
      </c>
      <c r="H268">
        <v>33</v>
      </c>
      <c r="K268">
        <v>30</v>
      </c>
      <c r="L268">
        <v>127</v>
      </c>
      <c r="M268">
        <v>15858108.108108113</v>
      </c>
      <c r="N268">
        <v>20499099.099099096</v>
      </c>
      <c r="O268">
        <v>27300945.945945945</v>
      </c>
      <c r="P268">
        <v>27503531.531531531</v>
      </c>
      <c r="Q268">
        <v>16758108.108108113</v>
      </c>
      <c r="R268">
        <v>19947117.117117122</v>
      </c>
      <c r="S268">
        <v>6657</v>
      </c>
      <c r="T268">
        <v>6668</v>
      </c>
    </row>
    <row r="269" spans="1:20" x14ac:dyDescent="0.35">
      <c r="A269" s="7" t="s">
        <v>361</v>
      </c>
      <c r="B269" s="12" t="s">
        <v>58</v>
      </c>
      <c r="C269">
        <v>204919069.80662477</v>
      </c>
      <c r="D269">
        <v>187741345.97957271</v>
      </c>
      <c r="E269">
        <v>1822522.5225225219</v>
      </c>
      <c r="F269">
        <v>512612.61261261097</v>
      </c>
      <c r="G269">
        <v>13</v>
      </c>
      <c r="H269">
        <v>25</v>
      </c>
      <c r="K269">
        <v>15</v>
      </c>
      <c r="L269">
        <v>35</v>
      </c>
      <c r="M269">
        <v>10831531.531531531</v>
      </c>
      <c r="N269">
        <v>9319819.8198198173</v>
      </c>
      <c r="O269">
        <v>30077792.792792793</v>
      </c>
      <c r="P269">
        <v>28417869.369369369</v>
      </c>
      <c r="Q269">
        <v>6422972.9729729732</v>
      </c>
      <c r="R269">
        <v>6120630.6306306291</v>
      </c>
      <c r="S269">
        <v>12743</v>
      </c>
      <c r="T269">
        <v>12750</v>
      </c>
    </row>
    <row r="270" spans="1:20" x14ac:dyDescent="0.35">
      <c r="A270" s="7" t="s">
        <v>362</v>
      </c>
      <c r="B270" s="12" t="s">
        <v>48</v>
      </c>
      <c r="C270">
        <v>69389232.297761038</v>
      </c>
      <c r="D270">
        <v>66911109.538614586</v>
      </c>
      <c r="E270">
        <v>10810.810810810999</v>
      </c>
      <c r="F270">
        <v>47747.747747747999</v>
      </c>
      <c r="G270">
        <v>2</v>
      </c>
      <c r="H270">
        <v>1</v>
      </c>
      <c r="K270">
        <v>2</v>
      </c>
      <c r="L270">
        <v>2</v>
      </c>
      <c r="M270">
        <v>1251171.1711711721</v>
      </c>
      <c r="N270">
        <v>7505765.7657657601</v>
      </c>
      <c r="O270">
        <v>11817522.522522522</v>
      </c>
      <c r="P270">
        <v>9897513.5135135148</v>
      </c>
      <c r="Q270">
        <v>3470990.990990994</v>
      </c>
      <c r="R270">
        <v>4135495.4954954898</v>
      </c>
      <c r="S270">
        <v>3723</v>
      </c>
      <c r="T270">
        <v>3873</v>
      </c>
    </row>
    <row r="271" spans="1:20" x14ac:dyDescent="0.35">
      <c r="A271" s="7" t="s">
        <v>363</v>
      </c>
      <c r="B271" s="12" t="s">
        <v>52</v>
      </c>
      <c r="C271">
        <v>27981406.690941397</v>
      </c>
      <c r="D271">
        <v>28468431.633182831</v>
      </c>
      <c r="E271">
        <v>165855.855855856</v>
      </c>
      <c r="F271">
        <v>56756.756756757</v>
      </c>
      <c r="G271">
        <v>2</v>
      </c>
      <c r="H271">
        <v>8</v>
      </c>
      <c r="K271">
        <v>3</v>
      </c>
      <c r="L271">
        <v>11</v>
      </c>
      <c r="M271">
        <v>787477.47747747705</v>
      </c>
      <c r="N271">
        <v>552252.25225225196</v>
      </c>
      <c r="O271">
        <v>13129549.54954955</v>
      </c>
      <c r="P271">
        <v>13927918.918918921</v>
      </c>
      <c r="Q271">
        <v>803603.60360360297</v>
      </c>
      <c r="R271">
        <v>606936.93693693599</v>
      </c>
      <c r="S271">
        <v>2348</v>
      </c>
      <c r="T271">
        <v>2389</v>
      </c>
    </row>
    <row r="272" spans="1:20" x14ac:dyDescent="0.35">
      <c r="A272" s="7" t="s">
        <v>364</v>
      </c>
      <c r="B272" s="12" t="s">
        <v>52</v>
      </c>
      <c r="C272">
        <v>21900946.448671322</v>
      </c>
      <c r="D272">
        <v>21949507.107153568</v>
      </c>
      <c r="E272">
        <v>29221171.171171173</v>
      </c>
      <c r="F272">
        <v>103617117.11711712</v>
      </c>
      <c r="G272">
        <v>1</v>
      </c>
      <c r="H272">
        <v>7</v>
      </c>
      <c r="K272">
        <v>3</v>
      </c>
      <c r="L272">
        <v>36</v>
      </c>
      <c r="M272">
        <v>2077027.0270270261</v>
      </c>
      <c r="N272">
        <v>2409909.9099099091</v>
      </c>
      <c r="O272">
        <v>11355720.72072072</v>
      </c>
      <c r="P272">
        <v>11597099.0990991</v>
      </c>
      <c r="Q272">
        <v>1661261.2612612599</v>
      </c>
      <c r="R272">
        <v>7039549.5495495498</v>
      </c>
      <c r="S272">
        <v>2371</v>
      </c>
      <c r="T272">
        <v>2387</v>
      </c>
    </row>
    <row r="273" spans="1:20" x14ac:dyDescent="0.35">
      <c r="A273" s="7" t="s">
        <v>365</v>
      </c>
      <c r="B273" s="12" t="s">
        <v>52</v>
      </c>
      <c r="C273">
        <v>238041116.77697581</v>
      </c>
      <c r="D273">
        <v>252535947.29947278</v>
      </c>
      <c r="E273">
        <v>619419.81981982198</v>
      </c>
      <c r="F273">
        <v>159588793.6936937</v>
      </c>
      <c r="G273">
        <v>44</v>
      </c>
      <c r="H273">
        <v>94</v>
      </c>
      <c r="K273">
        <v>60</v>
      </c>
      <c r="L273">
        <v>145</v>
      </c>
      <c r="M273">
        <v>8893873.8738738652</v>
      </c>
      <c r="N273">
        <v>10317117.11711712</v>
      </c>
      <c r="O273">
        <v>79368986.486486495</v>
      </c>
      <c r="P273">
        <v>90613223.423423424</v>
      </c>
      <c r="Q273">
        <v>10252342.342342332</v>
      </c>
      <c r="R273">
        <v>34153873.873873882</v>
      </c>
      <c r="S273">
        <v>19990</v>
      </c>
      <c r="T273">
        <v>21882</v>
      </c>
    </row>
    <row r="274" spans="1:20" x14ac:dyDescent="0.35">
      <c r="A274" s="7" t="s">
        <v>366</v>
      </c>
      <c r="B274" s="12" t="s">
        <v>293</v>
      </c>
      <c r="C274">
        <v>147934094.91367337</v>
      </c>
      <c r="D274">
        <v>136755863.71016595</v>
      </c>
      <c r="E274">
        <v>19605800.900900904</v>
      </c>
      <c r="F274">
        <v>4664174.7747747749</v>
      </c>
      <c r="G274">
        <v>24</v>
      </c>
      <c r="H274">
        <v>31</v>
      </c>
      <c r="K274">
        <v>31</v>
      </c>
      <c r="L274">
        <v>69</v>
      </c>
      <c r="M274">
        <v>14959279.279279284</v>
      </c>
      <c r="N274">
        <v>13970450.450450445</v>
      </c>
      <c r="O274">
        <v>44695090.090090089</v>
      </c>
      <c r="P274">
        <v>43415436.936936937</v>
      </c>
      <c r="Q274">
        <v>14203603.603603609</v>
      </c>
      <c r="R274">
        <v>13057747.747747742</v>
      </c>
      <c r="S274">
        <v>11299</v>
      </c>
      <c r="T274">
        <v>12178</v>
      </c>
    </row>
    <row r="275" spans="1:20" x14ac:dyDescent="0.35">
      <c r="A275" s="7" t="s">
        <v>367</v>
      </c>
      <c r="B275" s="12" t="s">
        <v>368</v>
      </c>
      <c r="C275">
        <v>65352127.458842367</v>
      </c>
      <c r="D275">
        <v>57177516.55036296</v>
      </c>
      <c r="E275">
        <v>144324.32432432601</v>
      </c>
      <c r="F275">
        <v>107207.20720720899</v>
      </c>
      <c r="G275">
        <v>11</v>
      </c>
      <c r="H275">
        <v>11</v>
      </c>
      <c r="K275">
        <v>12</v>
      </c>
      <c r="L275">
        <v>11</v>
      </c>
      <c r="M275">
        <v>10518198.198198199</v>
      </c>
      <c r="N275">
        <v>8278558.5585585544</v>
      </c>
      <c r="O275">
        <v>26281484.684684683</v>
      </c>
      <c r="P275">
        <v>22557963.963963963</v>
      </c>
      <c r="Q275">
        <v>10539279.27927928</v>
      </c>
      <c r="R275">
        <v>9952072.0720720682</v>
      </c>
      <c r="S275">
        <v>3995</v>
      </c>
      <c r="T275">
        <v>3863</v>
      </c>
    </row>
    <row r="276" spans="1:20" x14ac:dyDescent="0.35">
      <c r="A276" s="7" t="s">
        <v>369</v>
      </c>
      <c r="B276" s="12" t="s">
        <v>70</v>
      </c>
      <c r="C276">
        <v>18026881.977564313</v>
      </c>
      <c r="D276">
        <v>17523354.532509234</v>
      </c>
      <c r="E276">
        <v>16216.216216216</v>
      </c>
      <c r="F276">
        <v>1435135.1351351361</v>
      </c>
      <c r="G276">
        <v>4</v>
      </c>
      <c r="H276">
        <v>10</v>
      </c>
      <c r="K276">
        <v>5</v>
      </c>
      <c r="L276">
        <v>11</v>
      </c>
      <c r="M276">
        <v>2436036.036036036</v>
      </c>
      <c r="N276">
        <v>4000900.9009009032</v>
      </c>
      <c r="O276">
        <v>6251981.9819819815</v>
      </c>
      <c r="P276">
        <v>5713063.0630630627</v>
      </c>
      <c r="Q276">
        <v>3721441.441441441</v>
      </c>
      <c r="R276">
        <v>3236036.0360360369</v>
      </c>
      <c r="S276">
        <v>1206</v>
      </c>
      <c r="T276">
        <v>1167</v>
      </c>
    </row>
    <row r="277" spans="1:20" x14ac:dyDescent="0.35">
      <c r="A277" s="7" t="s">
        <v>370</v>
      </c>
      <c r="B277" s="12" t="s">
        <v>50</v>
      </c>
      <c r="C277">
        <v>37120144.481525078</v>
      </c>
      <c r="D277">
        <v>36674919.963477999</v>
      </c>
      <c r="E277">
        <v>18018.018018018</v>
      </c>
      <c r="F277">
        <v>465765.76576576801</v>
      </c>
      <c r="G277">
        <v>2</v>
      </c>
      <c r="H277">
        <v>5</v>
      </c>
      <c r="K277">
        <v>3</v>
      </c>
      <c r="L277">
        <v>12</v>
      </c>
      <c r="M277">
        <v>2771981.981981982</v>
      </c>
      <c r="N277">
        <v>2855855.8558558561</v>
      </c>
      <c r="O277">
        <v>15717657.657657657</v>
      </c>
      <c r="P277">
        <v>15513963.963963963</v>
      </c>
      <c r="Q277">
        <v>3001801.8018018031</v>
      </c>
      <c r="R277">
        <v>2198378.3783783801</v>
      </c>
      <c r="S277">
        <v>2796</v>
      </c>
      <c r="T277">
        <v>2688</v>
      </c>
    </row>
    <row r="278" spans="1:20" x14ac:dyDescent="0.35">
      <c r="A278" s="7" t="s">
        <v>371</v>
      </c>
      <c r="B278" s="12" t="s">
        <v>121</v>
      </c>
      <c r="C278">
        <v>38640810.007518061</v>
      </c>
      <c r="D278">
        <v>36380347.228889421</v>
      </c>
      <c r="E278">
        <v>26126.126126127001</v>
      </c>
      <c r="F278">
        <v>278378.37837837898</v>
      </c>
      <c r="G278">
        <v>6</v>
      </c>
      <c r="H278">
        <v>11</v>
      </c>
      <c r="K278">
        <v>10</v>
      </c>
      <c r="L278">
        <v>12</v>
      </c>
      <c r="M278">
        <v>233333.33333333401</v>
      </c>
      <c r="N278">
        <v>1463963.963963964</v>
      </c>
      <c r="O278">
        <v>3658063.0630630632</v>
      </c>
      <c r="P278">
        <v>4080855.8558558561</v>
      </c>
      <c r="Q278">
        <v>374234.23423423403</v>
      </c>
      <c r="R278">
        <v>787837.83783783705</v>
      </c>
      <c r="S278">
        <v>2779</v>
      </c>
      <c r="T278">
        <v>2802</v>
      </c>
    </row>
    <row r="279" spans="1:20" x14ac:dyDescent="0.35">
      <c r="A279" s="7" t="s">
        <v>372</v>
      </c>
      <c r="B279" s="12" t="s">
        <v>373</v>
      </c>
      <c r="C279">
        <v>93902810.966104135</v>
      </c>
      <c r="D279">
        <v>77508477.983501732</v>
      </c>
      <c r="E279">
        <v>1048959.4594594589</v>
      </c>
      <c r="F279">
        <v>1261366.6666666679</v>
      </c>
      <c r="G279">
        <v>164</v>
      </c>
      <c r="H279">
        <v>12</v>
      </c>
      <c r="I279">
        <v>1</v>
      </c>
      <c r="K279">
        <v>173</v>
      </c>
      <c r="L279">
        <v>17</v>
      </c>
      <c r="M279">
        <v>10384234.234234236</v>
      </c>
      <c r="N279">
        <v>8105315.3153153136</v>
      </c>
      <c r="O279">
        <v>35963182.882882886</v>
      </c>
      <c r="P279">
        <v>29216198.198198199</v>
      </c>
      <c r="Q279">
        <v>12882565.765765764</v>
      </c>
      <c r="R279">
        <v>7821801.8018017998</v>
      </c>
      <c r="S279">
        <v>9989</v>
      </c>
      <c r="T279">
        <v>11128</v>
      </c>
    </row>
    <row r="280" spans="1:20" x14ac:dyDescent="0.35">
      <c r="A280" s="7" t="s">
        <v>374</v>
      </c>
      <c r="B280" s="12" t="s">
        <v>66</v>
      </c>
      <c r="C280">
        <v>56379597.182710186</v>
      </c>
      <c r="D280">
        <v>58721775.929493695</v>
      </c>
      <c r="E280">
        <v>42342.342342342999</v>
      </c>
      <c r="F280">
        <v>1342342.342342345</v>
      </c>
      <c r="G280">
        <v>17</v>
      </c>
      <c r="H280">
        <v>16</v>
      </c>
      <c r="K280">
        <v>21</v>
      </c>
      <c r="L280">
        <v>24</v>
      </c>
      <c r="M280">
        <v>11085585.585585587</v>
      </c>
      <c r="N280">
        <v>15054954.954954959</v>
      </c>
      <c r="O280">
        <v>20098306.306306303</v>
      </c>
      <c r="P280">
        <v>21311297.297297295</v>
      </c>
      <c r="Q280">
        <v>7014684.6846846854</v>
      </c>
      <c r="R280">
        <v>15993783.783783784</v>
      </c>
      <c r="S280">
        <v>7040</v>
      </c>
      <c r="T280">
        <v>7199</v>
      </c>
    </row>
    <row r="281" spans="1:20" x14ac:dyDescent="0.35">
      <c r="A281" s="7" t="s">
        <v>375</v>
      </c>
      <c r="B281" s="12" t="s">
        <v>354</v>
      </c>
      <c r="C281">
        <v>93008281.901040986</v>
      </c>
      <c r="D281">
        <v>88711117.092274547</v>
      </c>
      <c r="E281">
        <v>81288755.855855852</v>
      </c>
      <c r="F281">
        <v>169601817.11711711</v>
      </c>
      <c r="G281">
        <v>173</v>
      </c>
      <c r="H281">
        <v>192</v>
      </c>
      <c r="K281">
        <v>177</v>
      </c>
      <c r="L281">
        <v>194</v>
      </c>
      <c r="M281">
        <v>17470495.495495494</v>
      </c>
      <c r="N281">
        <v>23870630.630630631</v>
      </c>
      <c r="O281">
        <v>56719360.360360362</v>
      </c>
      <c r="P281">
        <v>55771450.45045045</v>
      </c>
      <c r="Q281">
        <v>17225045.045045048</v>
      </c>
      <c r="R281">
        <v>19736486.486486487</v>
      </c>
      <c r="S281">
        <v>7894</v>
      </c>
      <c r="T281">
        <v>6655</v>
      </c>
    </row>
    <row r="282" spans="1:20" x14ac:dyDescent="0.35">
      <c r="A282" s="7" t="s">
        <v>376</v>
      </c>
      <c r="B282" s="12" t="s">
        <v>66</v>
      </c>
      <c r="C282">
        <v>32626173.711423542</v>
      </c>
      <c r="D282">
        <v>34425509.249153249</v>
      </c>
      <c r="E282">
        <v>14414.414414415</v>
      </c>
      <c r="F282">
        <v>223423.423423425</v>
      </c>
      <c r="G282">
        <v>8</v>
      </c>
      <c r="H282">
        <v>16</v>
      </c>
      <c r="K282">
        <v>15</v>
      </c>
      <c r="L282">
        <v>21</v>
      </c>
      <c r="M282">
        <v>1439999.999999996</v>
      </c>
      <c r="N282">
        <v>1428828.82882883</v>
      </c>
      <c r="O282">
        <v>14717837.837837838</v>
      </c>
      <c r="P282">
        <v>16675914.414414415</v>
      </c>
      <c r="Q282">
        <v>3665495.4954954931</v>
      </c>
      <c r="R282">
        <v>2555675.6756756781</v>
      </c>
      <c r="S282">
        <v>4947</v>
      </c>
      <c r="T282">
        <v>5029</v>
      </c>
    </row>
    <row r="283" spans="1:20" x14ac:dyDescent="0.35">
      <c r="A283" s="7" t="s">
        <v>377</v>
      </c>
      <c r="B283" s="12" t="s">
        <v>260</v>
      </c>
      <c r="C283">
        <v>31270177.158989806</v>
      </c>
      <c r="D283">
        <v>27890205.30342859</v>
      </c>
      <c r="F283">
        <v>13513.513513514001</v>
      </c>
      <c r="H283">
        <v>1</v>
      </c>
      <c r="L283">
        <v>1</v>
      </c>
      <c r="M283">
        <v>90090.090090090001</v>
      </c>
      <c r="N283">
        <v>554054.05405405397</v>
      </c>
      <c r="O283">
        <v>4757072.072072072</v>
      </c>
      <c r="P283">
        <v>4846882.8828828819</v>
      </c>
      <c r="Q283">
        <v>366216.21621621598</v>
      </c>
      <c r="R283">
        <v>282882.88288288302</v>
      </c>
      <c r="S283">
        <v>1727</v>
      </c>
      <c r="T283">
        <v>1597</v>
      </c>
    </row>
    <row r="284" spans="1:20" x14ac:dyDescent="0.35">
      <c r="A284" s="7" t="s">
        <v>378</v>
      </c>
      <c r="B284" s="12" t="s">
        <v>354</v>
      </c>
      <c r="C284">
        <v>75834193.413694561</v>
      </c>
      <c r="D284">
        <v>72151334.863505647</v>
      </c>
      <c r="E284">
        <v>168918.91891892001</v>
      </c>
      <c r="F284">
        <v>1637837.837837839</v>
      </c>
      <c r="G284">
        <v>11</v>
      </c>
      <c r="H284">
        <v>14</v>
      </c>
      <c r="K284">
        <v>13</v>
      </c>
      <c r="L284">
        <v>22</v>
      </c>
      <c r="M284">
        <v>16680630.630630627</v>
      </c>
      <c r="N284">
        <v>14495405.405405404</v>
      </c>
      <c r="O284">
        <v>40030810.810810804</v>
      </c>
      <c r="P284">
        <v>41169691.891891889</v>
      </c>
      <c r="Q284">
        <v>16850990.990990993</v>
      </c>
      <c r="R284">
        <v>14560450.450450448</v>
      </c>
      <c r="S284">
        <v>3916</v>
      </c>
      <c r="T284">
        <v>4811</v>
      </c>
    </row>
    <row r="285" spans="1:20" x14ac:dyDescent="0.35">
      <c r="A285" s="7" t="s">
        <v>379</v>
      </c>
      <c r="B285" s="12" t="s">
        <v>87</v>
      </c>
      <c r="C285">
        <v>1578191.112868763</v>
      </c>
      <c r="D285">
        <v>2168514.5735799088</v>
      </c>
      <c r="H285">
        <v>1</v>
      </c>
      <c r="L285">
        <v>1</v>
      </c>
      <c r="O285">
        <v>42567.567567566999</v>
      </c>
      <c r="P285">
        <v>52477.477477478002</v>
      </c>
      <c r="S285">
        <v>152</v>
      </c>
      <c r="T285">
        <v>202</v>
      </c>
    </row>
    <row r="286" spans="1:20" x14ac:dyDescent="0.35">
      <c r="A286" s="7" t="s">
        <v>380</v>
      </c>
      <c r="B286" s="12" t="s">
        <v>87</v>
      </c>
      <c r="C286">
        <v>5708662.8150809146</v>
      </c>
      <c r="D286">
        <v>3153051.1062328261</v>
      </c>
      <c r="E286">
        <v>3603.603603604</v>
      </c>
      <c r="G286">
        <v>107</v>
      </c>
      <c r="H286">
        <v>2</v>
      </c>
      <c r="K286">
        <v>107</v>
      </c>
      <c r="L286">
        <v>8</v>
      </c>
      <c r="M286">
        <v>71171.171171170994</v>
      </c>
      <c r="O286">
        <v>1716441.441441441</v>
      </c>
      <c r="P286">
        <v>414603.60360360402</v>
      </c>
      <c r="Q286">
        <v>67567.567567567996</v>
      </c>
      <c r="S286">
        <v>487</v>
      </c>
      <c r="T286">
        <v>312</v>
      </c>
    </row>
    <row r="287" spans="1:20" x14ac:dyDescent="0.35">
      <c r="A287" s="7" t="s">
        <v>381</v>
      </c>
      <c r="B287" s="12" t="s">
        <v>80</v>
      </c>
      <c r="C287">
        <v>525937628.08729023</v>
      </c>
      <c r="D287">
        <v>498881222.63887781</v>
      </c>
      <c r="E287">
        <v>290530336.03603601</v>
      </c>
      <c r="F287">
        <v>134449636.93693694</v>
      </c>
      <c r="G287">
        <v>129</v>
      </c>
      <c r="H287">
        <v>93</v>
      </c>
      <c r="I287">
        <v>1</v>
      </c>
      <c r="K287">
        <v>163</v>
      </c>
      <c r="L287">
        <v>196</v>
      </c>
      <c r="M287">
        <v>64131711.711711705</v>
      </c>
      <c r="N287">
        <v>57303603.603603601</v>
      </c>
      <c r="O287">
        <v>128288800</v>
      </c>
      <c r="P287">
        <v>137503220.72072071</v>
      </c>
      <c r="Q287">
        <v>54418558.558558561</v>
      </c>
      <c r="R287">
        <v>52857567.567567565</v>
      </c>
      <c r="S287">
        <v>36742</v>
      </c>
      <c r="T287">
        <v>36719</v>
      </c>
    </row>
    <row r="288" spans="1:20" x14ac:dyDescent="0.35">
      <c r="A288" s="7" t="s">
        <v>382</v>
      </c>
      <c r="B288" s="12" t="s">
        <v>80</v>
      </c>
      <c r="C288">
        <v>144856857.23658368</v>
      </c>
      <c r="D288">
        <v>138019008.07224092</v>
      </c>
      <c r="E288">
        <v>583783.78378378495</v>
      </c>
      <c r="F288">
        <v>1216441.441441444</v>
      </c>
      <c r="G288">
        <v>17</v>
      </c>
      <c r="H288">
        <v>12</v>
      </c>
      <c r="K288">
        <v>21</v>
      </c>
      <c r="L288">
        <v>15</v>
      </c>
      <c r="M288">
        <v>27627027.027027026</v>
      </c>
      <c r="N288">
        <v>26354054.054054055</v>
      </c>
      <c r="O288">
        <v>57253266.666666672</v>
      </c>
      <c r="P288">
        <v>54802583.783783786</v>
      </c>
      <c r="Q288">
        <v>23900450.45045045</v>
      </c>
      <c r="R288">
        <v>20969682.882882878</v>
      </c>
      <c r="S288">
        <v>9899</v>
      </c>
      <c r="T288">
        <v>9711</v>
      </c>
    </row>
    <row r="289" spans="1:20" x14ac:dyDescent="0.35">
      <c r="A289" s="7" t="s">
        <v>383</v>
      </c>
      <c r="B289" s="12" t="s">
        <v>80</v>
      </c>
      <c r="C289">
        <v>195113461.04973021</v>
      </c>
      <c r="D289">
        <v>177784486.8578895</v>
      </c>
      <c r="E289">
        <v>21621.621621621998</v>
      </c>
      <c r="F289">
        <v>199099.09909909801</v>
      </c>
      <c r="G289">
        <v>30</v>
      </c>
      <c r="H289">
        <v>22</v>
      </c>
      <c r="K289">
        <v>40</v>
      </c>
      <c r="L289">
        <v>25</v>
      </c>
      <c r="M289">
        <v>4410630.6306306319</v>
      </c>
      <c r="N289">
        <v>3379729.7297297302</v>
      </c>
      <c r="O289">
        <v>34496351.351351351</v>
      </c>
      <c r="P289">
        <v>34220090.090090089</v>
      </c>
      <c r="Q289">
        <v>6480990.9909909917</v>
      </c>
      <c r="R289">
        <v>8969819.819819821</v>
      </c>
      <c r="S289">
        <v>9797</v>
      </c>
      <c r="T289">
        <v>11543</v>
      </c>
    </row>
    <row r="290" spans="1:20" x14ac:dyDescent="0.35">
      <c r="A290" s="7" t="s">
        <v>384</v>
      </c>
      <c r="B290" s="12" t="s">
        <v>68</v>
      </c>
      <c r="C290">
        <v>78206768.654896438</v>
      </c>
      <c r="D290">
        <v>76639275.844784066</v>
      </c>
      <c r="E290">
        <v>24806151.351351351</v>
      </c>
      <c r="F290">
        <v>3972669.369369369</v>
      </c>
      <c r="G290">
        <v>14</v>
      </c>
      <c r="H290">
        <v>22</v>
      </c>
      <c r="K290">
        <v>19</v>
      </c>
      <c r="L290">
        <v>23</v>
      </c>
      <c r="M290">
        <v>4171621.621621618</v>
      </c>
      <c r="N290">
        <v>2492342.3423423432</v>
      </c>
      <c r="O290">
        <v>9867153.1531531531</v>
      </c>
      <c r="P290">
        <v>12209891.891891891</v>
      </c>
      <c r="Q290">
        <v>2922972.9729729719</v>
      </c>
      <c r="R290">
        <v>2590900.9009008999</v>
      </c>
      <c r="S290">
        <v>4982</v>
      </c>
      <c r="T290">
        <v>4915</v>
      </c>
    </row>
    <row r="291" spans="1:20" x14ac:dyDescent="0.35">
      <c r="A291" s="7" t="s">
        <v>385</v>
      </c>
      <c r="B291" s="12" t="s">
        <v>167</v>
      </c>
      <c r="C291">
        <v>27012985.442017671</v>
      </c>
      <c r="D291">
        <v>28311464.503102399</v>
      </c>
      <c r="E291">
        <v>4504.5045045050001</v>
      </c>
      <c r="F291">
        <v>283783.78378378402</v>
      </c>
      <c r="G291">
        <v>5</v>
      </c>
      <c r="H291">
        <v>5</v>
      </c>
      <c r="K291">
        <v>8</v>
      </c>
      <c r="L291">
        <v>6</v>
      </c>
      <c r="M291">
        <v>4504.5045045050001</v>
      </c>
      <c r="N291">
        <v>12481081.081081081</v>
      </c>
      <c r="O291">
        <v>11271529.729729729</v>
      </c>
      <c r="P291">
        <v>11849531.531531531</v>
      </c>
      <c r="Q291">
        <v>3675765.7657657661</v>
      </c>
      <c r="R291">
        <v>5471081.0810810812</v>
      </c>
      <c r="S291">
        <v>2447</v>
      </c>
      <c r="T291">
        <v>2459</v>
      </c>
    </row>
    <row r="292" spans="1:20" x14ac:dyDescent="0.35">
      <c r="A292" s="7" t="s">
        <v>386</v>
      </c>
      <c r="B292" s="12" t="s">
        <v>94</v>
      </c>
      <c r="C292">
        <v>145749482.99666324</v>
      </c>
      <c r="D292">
        <v>161483009.96826142</v>
      </c>
      <c r="E292">
        <v>909009.00900901004</v>
      </c>
      <c r="F292">
        <v>378378.37837837997</v>
      </c>
      <c r="G292">
        <v>22</v>
      </c>
      <c r="H292">
        <v>37</v>
      </c>
      <c r="I292">
        <v>1</v>
      </c>
      <c r="K292">
        <v>27</v>
      </c>
      <c r="L292">
        <v>40</v>
      </c>
      <c r="M292">
        <v>6485585.5855855849</v>
      </c>
      <c r="N292">
        <v>9504504.5045045037</v>
      </c>
      <c r="O292">
        <v>15916441.441441439</v>
      </c>
      <c r="P292">
        <v>21252918.918918919</v>
      </c>
      <c r="Q292">
        <v>4438558.5585585581</v>
      </c>
      <c r="R292">
        <v>8392072.0720720701</v>
      </c>
      <c r="S292">
        <v>8245</v>
      </c>
      <c r="T292">
        <v>9074</v>
      </c>
    </row>
    <row r="293" spans="1:20" x14ac:dyDescent="0.35">
      <c r="A293" s="7" t="s">
        <v>387</v>
      </c>
      <c r="B293" s="12" t="s">
        <v>214</v>
      </c>
      <c r="C293">
        <v>21405728.615738321</v>
      </c>
      <c r="D293">
        <v>27473358.440690901</v>
      </c>
      <c r="E293">
        <v>11711.711711712</v>
      </c>
      <c r="F293">
        <v>54054.054054054999</v>
      </c>
      <c r="G293">
        <v>8</v>
      </c>
      <c r="H293">
        <v>13</v>
      </c>
      <c r="K293">
        <v>9</v>
      </c>
      <c r="L293">
        <v>16</v>
      </c>
      <c r="M293">
        <v>11711.711711712</v>
      </c>
      <c r="N293">
        <v>1405405.4054054059</v>
      </c>
      <c r="O293">
        <v>11245270.270270269</v>
      </c>
      <c r="P293">
        <v>12841351.351351352</v>
      </c>
      <c r="S293">
        <v>2207</v>
      </c>
      <c r="T293">
        <v>2454</v>
      </c>
    </row>
    <row r="294" spans="1:20" x14ac:dyDescent="0.35">
      <c r="A294" s="7" t="s">
        <v>388</v>
      </c>
      <c r="B294" s="12" t="s">
        <v>117</v>
      </c>
      <c r="C294">
        <v>11863194.828649061</v>
      </c>
      <c r="D294">
        <v>10912449.957270425</v>
      </c>
      <c r="E294">
        <v>6306.3063063059999</v>
      </c>
      <c r="F294">
        <v>196396.39639639799</v>
      </c>
      <c r="G294">
        <v>5</v>
      </c>
      <c r="H294">
        <v>4</v>
      </c>
      <c r="K294">
        <v>7</v>
      </c>
      <c r="L294">
        <v>7</v>
      </c>
      <c r="M294">
        <v>276576.57657657599</v>
      </c>
      <c r="N294">
        <v>5827142.3423423413</v>
      </c>
      <c r="O294">
        <v>5155675.6756756762</v>
      </c>
      <c r="P294">
        <v>4598657.6576576568</v>
      </c>
      <c r="Q294">
        <v>309009.00900900899</v>
      </c>
      <c r="R294">
        <v>2183513.5135135129</v>
      </c>
      <c r="S294">
        <v>1995</v>
      </c>
      <c r="T294">
        <v>1699</v>
      </c>
    </row>
    <row r="295" spans="1:20" x14ac:dyDescent="0.35">
      <c r="A295" s="7" t="s">
        <v>389</v>
      </c>
      <c r="B295" s="12" t="s">
        <v>315</v>
      </c>
      <c r="C295">
        <v>50414807.841829605</v>
      </c>
      <c r="D295">
        <v>47536376.986161366</v>
      </c>
      <c r="E295">
        <v>1989639.63963964</v>
      </c>
      <c r="F295">
        <v>48648.648648649003</v>
      </c>
      <c r="G295">
        <v>8</v>
      </c>
      <c r="H295">
        <v>4</v>
      </c>
      <c r="K295">
        <v>8</v>
      </c>
      <c r="L295">
        <v>4</v>
      </c>
      <c r="M295">
        <v>2530180.1801801799</v>
      </c>
      <c r="N295">
        <v>589189.189189189</v>
      </c>
      <c r="O295">
        <v>10352342.342342341</v>
      </c>
      <c r="P295">
        <v>9819360.3603603598</v>
      </c>
      <c r="Q295">
        <v>1675765.7657657659</v>
      </c>
      <c r="R295">
        <v>1389189.1891891891</v>
      </c>
      <c r="S295">
        <v>2648</v>
      </c>
      <c r="T295">
        <v>2745</v>
      </c>
    </row>
    <row r="296" spans="1:20" x14ac:dyDescent="0.35">
      <c r="A296" s="7" t="s">
        <v>390</v>
      </c>
      <c r="B296" s="12" t="s">
        <v>224</v>
      </c>
      <c r="C296">
        <v>25074169.158306256</v>
      </c>
      <c r="D296">
        <v>21012917.272199672</v>
      </c>
      <c r="G296">
        <v>12</v>
      </c>
      <c r="H296">
        <v>4</v>
      </c>
      <c r="K296">
        <v>13</v>
      </c>
      <c r="L296">
        <v>4</v>
      </c>
      <c r="O296">
        <v>4728369.369369369</v>
      </c>
      <c r="P296">
        <v>3579594.5945945941</v>
      </c>
      <c r="S296">
        <v>1520</v>
      </c>
      <c r="T296">
        <v>1462</v>
      </c>
    </row>
    <row r="297" spans="1:20" x14ac:dyDescent="0.35">
      <c r="A297" s="7" t="s">
        <v>6</v>
      </c>
      <c r="B297" s="12" t="s">
        <v>193</v>
      </c>
      <c r="C297">
        <v>193019114.70373076</v>
      </c>
      <c r="D297">
        <v>171481691.78931433</v>
      </c>
      <c r="E297">
        <v>6128378.3783783726</v>
      </c>
      <c r="F297">
        <v>2786486.486486489</v>
      </c>
      <c r="G297">
        <v>44</v>
      </c>
      <c r="H297">
        <v>32</v>
      </c>
      <c r="I297">
        <v>1</v>
      </c>
      <c r="K297">
        <v>276</v>
      </c>
      <c r="L297">
        <v>281</v>
      </c>
      <c r="M297">
        <v>132884684.68468469</v>
      </c>
      <c r="N297">
        <v>59472522.522522517</v>
      </c>
      <c r="O297">
        <v>124378648.64864863</v>
      </c>
      <c r="P297">
        <v>115169072.07207206</v>
      </c>
      <c r="Q297">
        <v>115797567.56756757</v>
      </c>
      <c r="R297">
        <v>50020450.45045045</v>
      </c>
      <c r="S297">
        <v>13498</v>
      </c>
      <c r="T297">
        <v>12935</v>
      </c>
    </row>
    <row r="298" spans="1:20" x14ac:dyDescent="0.35">
      <c r="A298" s="7" t="s">
        <v>391</v>
      </c>
      <c r="B298" s="12" t="s">
        <v>121</v>
      </c>
      <c r="C298">
        <v>6100340.5305479616</v>
      </c>
      <c r="D298">
        <v>8292640.1679140311</v>
      </c>
      <c r="E298">
        <v>3603.603603604</v>
      </c>
      <c r="G298">
        <v>4</v>
      </c>
      <c r="H298">
        <v>3</v>
      </c>
      <c r="K298">
        <v>4</v>
      </c>
      <c r="L298">
        <v>3</v>
      </c>
      <c r="M298">
        <v>3603.603603604</v>
      </c>
      <c r="O298">
        <v>348108.10810810799</v>
      </c>
      <c r="P298">
        <v>284099.099099099</v>
      </c>
      <c r="S298">
        <v>550</v>
      </c>
      <c r="T298">
        <v>522</v>
      </c>
    </row>
    <row r="299" spans="1:20" x14ac:dyDescent="0.35">
      <c r="A299" s="7" t="s">
        <v>392</v>
      </c>
      <c r="B299" s="12" t="s">
        <v>134</v>
      </c>
      <c r="C299">
        <v>22366265.21378728</v>
      </c>
      <c r="D299">
        <v>23239372.968490887</v>
      </c>
      <c r="F299">
        <v>13513.513513514001</v>
      </c>
      <c r="G299">
        <v>5</v>
      </c>
      <c r="H299">
        <v>6</v>
      </c>
      <c r="K299">
        <v>5</v>
      </c>
      <c r="L299">
        <v>8</v>
      </c>
      <c r="M299">
        <v>2117117.1171171162</v>
      </c>
      <c r="N299">
        <v>1545045.045045045</v>
      </c>
      <c r="O299">
        <v>4578646.8468468478</v>
      </c>
      <c r="P299">
        <v>4770972.9729729723</v>
      </c>
      <c r="Q299">
        <v>481081.08108108002</v>
      </c>
      <c r="R299">
        <v>334774.77477477601</v>
      </c>
      <c r="S299">
        <v>3536</v>
      </c>
      <c r="T299">
        <v>3540</v>
      </c>
    </row>
    <row r="300" spans="1:20" x14ac:dyDescent="0.35">
      <c r="A300" s="7" t="s">
        <v>393</v>
      </c>
      <c r="B300" s="12" t="s">
        <v>58</v>
      </c>
      <c r="C300">
        <v>123159401.67976271</v>
      </c>
      <c r="D300">
        <v>114964305.4133483</v>
      </c>
      <c r="E300">
        <v>5205855.855855857</v>
      </c>
      <c r="F300">
        <v>2481756.756756762</v>
      </c>
      <c r="G300">
        <v>26</v>
      </c>
      <c r="H300">
        <v>17</v>
      </c>
      <c r="K300">
        <v>37</v>
      </c>
      <c r="L300">
        <v>22</v>
      </c>
      <c r="M300">
        <v>10611261.261261264</v>
      </c>
      <c r="N300">
        <v>11927027.02702703</v>
      </c>
      <c r="O300">
        <v>17666684.684684683</v>
      </c>
      <c r="P300">
        <v>17688923.423423424</v>
      </c>
      <c r="Q300">
        <v>10276846.846846849</v>
      </c>
      <c r="R300">
        <v>10096936.936936939</v>
      </c>
      <c r="S300">
        <v>9039</v>
      </c>
      <c r="T300">
        <v>9092</v>
      </c>
    </row>
    <row r="301" spans="1:20" x14ac:dyDescent="0.35">
      <c r="A301" s="7" t="s">
        <v>394</v>
      </c>
      <c r="B301" s="12" t="s">
        <v>134</v>
      </c>
      <c r="C301">
        <v>41229060.490998983</v>
      </c>
      <c r="D301">
        <v>38959376.395875841</v>
      </c>
      <c r="F301">
        <v>67567.567567567996</v>
      </c>
      <c r="G301">
        <v>1</v>
      </c>
      <c r="H301">
        <v>4</v>
      </c>
      <c r="K301">
        <v>3</v>
      </c>
      <c r="L301">
        <v>9</v>
      </c>
      <c r="M301">
        <v>3630630.6306306291</v>
      </c>
      <c r="N301">
        <v>3581081.0810810812</v>
      </c>
      <c r="O301">
        <v>7162738.7387387389</v>
      </c>
      <c r="P301">
        <v>6953243.2432432417</v>
      </c>
      <c r="Q301">
        <v>2140630.630630631</v>
      </c>
      <c r="R301">
        <v>1959639.63963964</v>
      </c>
      <c r="S301">
        <v>3855</v>
      </c>
      <c r="T301">
        <v>3931</v>
      </c>
    </row>
    <row r="302" spans="1:20" x14ac:dyDescent="0.35">
      <c r="A302" s="7" t="s">
        <v>395</v>
      </c>
      <c r="B302" s="12" t="s">
        <v>54</v>
      </c>
      <c r="C302">
        <v>17848378.12626252</v>
      </c>
      <c r="D302">
        <v>16880721.821896099</v>
      </c>
      <c r="E302">
        <v>2702.7027027029999</v>
      </c>
      <c r="G302">
        <v>2</v>
      </c>
      <c r="H302">
        <v>4</v>
      </c>
      <c r="K302">
        <v>2</v>
      </c>
      <c r="L302">
        <v>5</v>
      </c>
      <c r="M302">
        <v>948648.64864864806</v>
      </c>
      <c r="N302">
        <v>360360.36036036001</v>
      </c>
      <c r="O302">
        <v>2844729.7297297302</v>
      </c>
      <c r="P302">
        <v>2572612.6126126121</v>
      </c>
      <c r="Q302">
        <v>1031531.5315315319</v>
      </c>
      <c r="R302">
        <v>678918.91891891905</v>
      </c>
      <c r="S302">
        <v>1610</v>
      </c>
      <c r="T302">
        <v>1541</v>
      </c>
    </row>
    <row r="303" spans="1:20" x14ac:dyDescent="0.35">
      <c r="A303" s="7" t="s">
        <v>396</v>
      </c>
      <c r="B303" s="12" t="s">
        <v>397</v>
      </c>
      <c r="C303">
        <v>126723406.50999741</v>
      </c>
      <c r="D303">
        <v>121265018.07833976</v>
      </c>
      <c r="E303">
        <v>9082162.1621621605</v>
      </c>
      <c r="F303">
        <v>668468.46846846899</v>
      </c>
      <c r="G303">
        <v>51</v>
      </c>
      <c r="H303">
        <v>36</v>
      </c>
      <c r="K303">
        <v>68</v>
      </c>
      <c r="L303">
        <v>54</v>
      </c>
      <c r="M303">
        <v>12126216.216216216</v>
      </c>
      <c r="N303">
        <v>8960360.3603603616</v>
      </c>
      <c r="O303">
        <v>22823673.873873871</v>
      </c>
      <c r="P303">
        <v>21930076.576576576</v>
      </c>
      <c r="Q303">
        <v>15257927.927927928</v>
      </c>
      <c r="R303">
        <v>8985765.7657657675</v>
      </c>
      <c r="S303">
        <v>9502</v>
      </c>
      <c r="T303">
        <v>9777</v>
      </c>
    </row>
    <row r="304" spans="1:20" x14ac:dyDescent="0.35">
      <c r="A304" s="7" t="s">
        <v>398</v>
      </c>
      <c r="B304" s="12" t="s">
        <v>399</v>
      </c>
      <c r="C304">
        <v>148286607.29850122</v>
      </c>
      <c r="D304">
        <v>127374451.32401933</v>
      </c>
      <c r="E304">
        <v>134422105.4054054</v>
      </c>
      <c r="F304">
        <v>55177355.855855852</v>
      </c>
      <c r="G304">
        <v>29</v>
      </c>
      <c r="H304">
        <v>20</v>
      </c>
      <c r="I304">
        <v>1</v>
      </c>
      <c r="K304">
        <v>32</v>
      </c>
      <c r="L304">
        <v>26</v>
      </c>
      <c r="M304">
        <v>116510810.81081082</v>
      </c>
      <c r="N304">
        <v>13472972.972972972</v>
      </c>
      <c r="O304">
        <v>26116153.153153151</v>
      </c>
      <c r="P304">
        <v>21716297.297297295</v>
      </c>
      <c r="Q304">
        <v>93112162.162162155</v>
      </c>
      <c r="R304">
        <v>5980720.7207207195</v>
      </c>
      <c r="S304">
        <v>11474</v>
      </c>
      <c r="T304">
        <v>11437</v>
      </c>
    </row>
    <row r="305" spans="1:20" x14ac:dyDescent="0.35">
      <c r="A305" s="7" t="s">
        <v>400</v>
      </c>
      <c r="B305" s="12" t="s">
        <v>140</v>
      </c>
      <c r="C305">
        <v>45428659.765043974</v>
      </c>
      <c r="D305">
        <v>43921720.579032801</v>
      </c>
      <c r="E305">
        <v>333333.33333333401</v>
      </c>
      <c r="F305">
        <v>451351.35135135299</v>
      </c>
      <c r="G305">
        <v>13</v>
      </c>
      <c r="H305">
        <v>20</v>
      </c>
      <c r="K305">
        <v>18</v>
      </c>
      <c r="L305">
        <v>21</v>
      </c>
      <c r="M305">
        <v>11587387.387387387</v>
      </c>
      <c r="N305">
        <v>9515855.8558558542</v>
      </c>
      <c r="O305">
        <v>13017072.072072072</v>
      </c>
      <c r="P305">
        <v>13513540.540540541</v>
      </c>
      <c r="Q305">
        <v>8899459.4594594575</v>
      </c>
      <c r="R305">
        <v>9318468.4684684686</v>
      </c>
      <c r="S305">
        <v>3390</v>
      </c>
      <c r="T305">
        <v>3211</v>
      </c>
    </row>
    <row r="306" spans="1:20" x14ac:dyDescent="0.35">
      <c r="A306" s="7" t="s">
        <v>401</v>
      </c>
      <c r="B306" s="12" t="s">
        <v>121</v>
      </c>
      <c r="C306">
        <v>14245234.98950116</v>
      </c>
      <c r="D306">
        <v>10051181.818762481</v>
      </c>
      <c r="G306">
        <v>4</v>
      </c>
      <c r="H306">
        <v>4</v>
      </c>
      <c r="K306">
        <v>7</v>
      </c>
      <c r="L306">
        <v>7</v>
      </c>
      <c r="O306">
        <v>1052612.612612613</v>
      </c>
      <c r="P306">
        <v>935414.41441441397</v>
      </c>
      <c r="Q306">
        <v>449099.099099099</v>
      </c>
      <c r="R306">
        <v>311261.26126126101</v>
      </c>
      <c r="S306">
        <v>1108</v>
      </c>
      <c r="T306">
        <v>1042</v>
      </c>
    </row>
    <row r="307" spans="1:20" x14ac:dyDescent="0.35">
      <c r="A307" s="7" t="s">
        <v>402</v>
      </c>
      <c r="B307" s="12" t="s">
        <v>290</v>
      </c>
      <c r="C307">
        <v>24390546.343923591</v>
      </c>
      <c r="D307">
        <v>18088244.541461919</v>
      </c>
      <c r="E307">
        <v>7207.207207208</v>
      </c>
      <c r="F307">
        <v>292342.34234234301</v>
      </c>
      <c r="G307">
        <v>19</v>
      </c>
      <c r="H307">
        <v>5</v>
      </c>
      <c r="K307">
        <v>23</v>
      </c>
      <c r="L307">
        <v>7</v>
      </c>
      <c r="M307">
        <v>935135.13513513596</v>
      </c>
      <c r="N307">
        <v>711711.71171171102</v>
      </c>
      <c r="O307">
        <v>3717162.1621621628</v>
      </c>
      <c r="P307">
        <v>2146882.8828828828</v>
      </c>
      <c r="Q307">
        <v>1554774.7747747749</v>
      </c>
      <c r="R307">
        <v>1354774.774774774</v>
      </c>
      <c r="S307">
        <v>1647</v>
      </c>
      <c r="T307">
        <v>1628</v>
      </c>
    </row>
    <row r="308" spans="1:20" x14ac:dyDescent="0.35">
      <c r="A308" s="7" t="s">
        <v>403</v>
      </c>
      <c r="B308" s="12" t="s">
        <v>121</v>
      </c>
      <c r="C308">
        <v>20278623.273967516</v>
      </c>
      <c r="D308">
        <v>20119933.788852572</v>
      </c>
      <c r="F308">
        <v>55630.630630631</v>
      </c>
      <c r="G308">
        <v>2</v>
      </c>
      <c r="H308">
        <v>3</v>
      </c>
      <c r="K308">
        <v>2</v>
      </c>
      <c r="L308">
        <v>5</v>
      </c>
      <c r="N308">
        <v>58558.558558559002</v>
      </c>
      <c r="O308">
        <v>1576666.666666667</v>
      </c>
      <c r="P308">
        <v>1816621.621621622</v>
      </c>
      <c r="S308">
        <v>1031</v>
      </c>
      <c r="T308">
        <v>1029</v>
      </c>
    </row>
    <row r="309" spans="1:20" x14ac:dyDescent="0.35">
      <c r="A309" s="7" t="s">
        <v>404</v>
      </c>
      <c r="B309" s="12" t="s">
        <v>368</v>
      </c>
      <c r="C309">
        <v>50853282.435224161</v>
      </c>
      <c r="D309">
        <v>46319696.916565597</v>
      </c>
      <c r="E309">
        <v>14853544.144144144</v>
      </c>
      <c r="F309">
        <v>1750090.9909909901</v>
      </c>
      <c r="G309">
        <v>8</v>
      </c>
      <c r="H309">
        <v>6</v>
      </c>
      <c r="K309">
        <v>8</v>
      </c>
      <c r="L309">
        <v>7</v>
      </c>
      <c r="M309">
        <v>1726126.126126125</v>
      </c>
      <c r="N309">
        <v>13907927.927927928</v>
      </c>
      <c r="O309">
        <v>14833085.585585587</v>
      </c>
      <c r="P309">
        <v>15761463.963963963</v>
      </c>
      <c r="Q309">
        <v>2146396.3963963948</v>
      </c>
      <c r="R309">
        <v>13567477.477477476</v>
      </c>
      <c r="S309">
        <v>4464</v>
      </c>
      <c r="T309">
        <v>4339</v>
      </c>
    </row>
    <row r="310" spans="1:20" x14ac:dyDescent="0.35">
      <c r="A310" s="7" t="s">
        <v>405</v>
      </c>
      <c r="B310" s="12" t="s">
        <v>140</v>
      </c>
      <c r="C310">
        <v>25479070.606770653</v>
      </c>
      <c r="D310">
        <v>22785568.784046426</v>
      </c>
      <c r="E310">
        <v>12162.162162162</v>
      </c>
      <c r="F310">
        <v>48423.423423421998</v>
      </c>
      <c r="H310">
        <v>2</v>
      </c>
      <c r="L310">
        <v>2</v>
      </c>
      <c r="M310">
        <v>913063.06306306296</v>
      </c>
      <c r="N310">
        <v>2527387.3873873879</v>
      </c>
      <c r="O310">
        <v>5673558.5585585581</v>
      </c>
      <c r="P310">
        <v>5884189.1891891891</v>
      </c>
      <c r="Q310">
        <v>3534414.4144144142</v>
      </c>
      <c r="R310">
        <v>2633333.333333334</v>
      </c>
      <c r="S310">
        <v>1456</v>
      </c>
      <c r="T310">
        <v>1374</v>
      </c>
    </row>
    <row r="311" spans="1:20" x14ac:dyDescent="0.35">
      <c r="A311" s="7" t="s">
        <v>406</v>
      </c>
      <c r="B311" s="12" t="s">
        <v>54</v>
      </c>
      <c r="C311">
        <v>31088524.122521572</v>
      </c>
      <c r="D311">
        <v>30430423.298784949</v>
      </c>
      <c r="E311">
        <v>56216.216216216002</v>
      </c>
      <c r="F311">
        <v>586486.48648648604</v>
      </c>
      <c r="G311">
        <v>2</v>
      </c>
      <c r="H311">
        <v>7</v>
      </c>
      <c r="K311">
        <v>2</v>
      </c>
      <c r="L311">
        <v>25</v>
      </c>
      <c r="M311">
        <v>921981.98198198201</v>
      </c>
      <c r="N311">
        <v>4442342.3423423423</v>
      </c>
      <c r="O311">
        <v>6737432.4324324327</v>
      </c>
      <c r="P311">
        <v>6995432.4324324308</v>
      </c>
      <c r="Q311">
        <v>1670360.36036036</v>
      </c>
      <c r="R311">
        <v>4997117.1171171181</v>
      </c>
      <c r="S311">
        <v>2170</v>
      </c>
      <c r="T311">
        <v>2211</v>
      </c>
    </row>
    <row r="312" spans="1:20" x14ac:dyDescent="0.35">
      <c r="A312" s="7" t="s">
        <v>407</v>
      </c>
      <c r="B312" s="12" t="s">
        <v>134</v>
      </c>
      <c r="C312">
        <v>12052773.257745009</v>
      </c>
      <c r="D312">
        <v>13232528.852209162</v>
      </c>
      <c r="E312">
        <v>2702.7027027029999</v>
      </c>
      <c r="G312">
        <v>1</v>
      </c>
      <c r="H312">
        <v>1</v>
      </c>
      <c r="K312">
        <v>3</v>
      </c>
      <c r="L312">
        <v>1</v>
      </c>
      <c r="M312">
        <v>732432.43243243301</v>
      </c>
      <c r="N312">
        <v>756756.75675675704</v>
      </c>
      <c r="O312">
        <v>1360855.8558558561</v>
      </c>
      <c r="P312">
        <v>1108729.7297297299</v>
      </c>
      <c r="Q312">
        <v>266126.12612612598</v>
      </c>
      <c r="R312">
        <v>588288.28828828805</v>
      </c>
      <c r="S312">
        <v>961</v>
      </c>
      <c r="T312">
        <v>957</v>
      </c>
    </row>
    <row r="313" spans="1:20" x14ac:dyDescent="0.35">
      <c r="A313" s="7" t="s">
        <v>408</v>
      </c>
      <c r="B313" s="12" t="s">
        <v>290</v>
      </c>
      <c r="C313">
        <v>9377782.1849713363</v>
      </c>
      <c r="D313">
        <v>7786094.1003282871</v>
      </c>
      <c r="E313">
        <v>29729.729729728999</v>
      </c>
      <c r="F313">
        <v>200900.900900901</v>
      </c>
      <c r="G313">
        <v>3</v>
      </c>
      <c r="H313">
        <v>5</v>
      </c>
      <c r="K313">
        <v>5</v>
      </c>
      <c r="L313">
        <v>5</v>
      </c>
      <c r="M313">
        <v>191891.89189189201</v>
      </c>
      <c r="N313">
        <v>2099099.0990990992</v>
      </c>
      <c r="O313">
        <v>1535756.7567567569</v>
      </c>
      <c r="P313">
        <v>928252.25225225196</v>
      </c>
      <c r="Q313">
        <v>708648.64864864899</v>
      </c>
      <c r="R313">
        <v>775225.22522522497</v>
      </c>
      <c r="S313">
        <v>886</v>
      </c>
      <c r="T313">
        <v>837</v>
      </c>
    </row>
    <row r="314" spans="1:20" x14ac:dyDescent="0.35">
      <c r="A314" s="7" t="s">
        <v>409</v>
      </c>
      <c r="B314" s="12" t="s">
        <v>178</v>
      </c>
      <c r="C314">
        <v>140269946.27154681</v>
      </c>
      <c r="D314">
        <v>127221677.62207475</v>
      </c>
      <c r="E314">
        <v>316441.44144144101</v>
      </c>
      <c r="F314">
        <v>474774.77477477601</v>
      </c>
      <c r="G314">
        <v>32</v>
      </c>
      <c r="H314">
        <v>14</v>
      </c>
      <c r="K314">
        <v>40</v>
      </c>
      <c r="L314">
        <v>61</v>
      </c>
      <c r="M314">
        <v>9323873.8738738764</v>
      </c>
      <c r="N314">
        <v>9170801.8018018045</v>
      </c>
      <c r="O314">
        <v>44753954.954954952</v>
      </c>
      <c r="P314">
        <v>43069333.333333336</v>
      </c>
      <c r="Q314">
        <v>11255045.045045048</v>
      </c>
      <c r="R314">
        <v>6338648.6486486513</v>
      </c>
      <c r="S314">
        <v>9838</v>
      </c>
      <c r="T314">
        <v>9555</v>
      </c>
    </row>
    <row r="315" spans="1:20" x14ac:dyDescent="0.35">
      <c r="A315" s="7" t="s">
        <v>667</v>
      </c>
      <c r="B315" s="12" t="s">
        <v>87</v>
      </c>
      <c r="S315">
        <v>1</v>
      </c>
    </row>
    <row r="316" spans="1:20" x14ac:dyDescent="0.35">
      <c r="A316" s="7" t="s">
        <v>410</v>
      </c>
      <c r="B316" s="12" t="s">
        <v>54</v>
      </c>
      <c r="C316">
        <v>247957408.94580033</v>
      </c>
      <c r="D316">
        <v>250887208.96080726</v>
      </c>
      <c r="E316">
        <v>43698398.198198199</v>
      </c>
      <c r="F316">
        <v>15007537.837837849</v>
      </c>
      <c r="G316">
        <v>43</v>
      </c>
      <c r="H316">
        <v>45</v>
      </c>
      <c r="K316">
        <v>55</v>
      </c>
      <c r="L316">
        <v>56</v>
      </c>
      <c r="M316">
        <v>12172972.972972972</v>
      </c>
      <c r="N316">
        <v>17165765.765765768</v>
      </c>
      <c r="O316">
        <v>46639324.324324317</v>
      </c>
      <c r="P316">
        <v>51950369.369369365</v>
      </c>
      <c r="Q316">
        <v>13278468.46846847</v>
      </c>
      <c r="R316">
        <v>14336396.396396397</v>
      </c>
      <c r="S316">
        <v>18675</v>
      </c>
      <c r="T316">
        <v>19434</v>
      </c>
    </row>
    <row r="317" spans="1:20" x14ac:dyDescent="0.35">
      <c r="A317" s="7" t="s">
        <v>411</v>
      </c>
      <c r="B317" s="12" t="s">
        <v>224</v>
      </c>
      <c r="C317">
        <v>150028044.78957033</v>
      </c>
      <c r="D317">
        <v>129297455.42607749</v>
      </c>
      <c r="E317">
        <v>562522.52252252295</v>
      </c>
      <c r="F317">
        <v>674774.77477477898</v>
      </c>
      <c r="G317">
        <v>48</v>
      </c>
      <c r="H317">
        <v>37</v>
      </c>
      <c r="K317">
        <v>59</v>
      </c>
      <c r="L317">
        <v>48</v>
      </c>
      <c r="M317">
        <v>12511711.711711712</v>
      </c>
      <c r="N317">
        <v>11768108.108108105</v>
      </c>
      <c r="O317">
        <v>35937310.810810812</v>
      </c>
      <c r="P317">
        <v>41658056.756756753</v>
      </c>
      <c r="Q317">
        <v>11725495.495495496</v>
      </c>
      <c r="R317">
        <v>16286349.549549548</v>
      </c>
      <c r="S317">
        <v>13578</v>
      </c>
      <c r="T317">
        <v>12915</v>
      </c>
    </row>
    <row r="318" spans="1:20" x14ac:dyDescent="0.35">
      <c r="A318" s="7" t="s">
        <v>412</v>
      </c>
      <c r="B318" s="12" t="s">
        <v>413</v>
      </c>
      <c r="C318">
        <v>47086120.677266322</v>
      </c>
      <c r="D318">
        <v>47881352.848464116</v>
      </c>
      <c r="E318">
        <v>342342.34234234301</v>
      </c>
      <c r="F318">
        <v>111261.261261263</v>
      </c>
      <c r="G318">
        <v>4</v>
      </c>
      <c r="H318">
        <v>1</v>
      </c>
      <c r="K318">
        <v>4</v>
      </c>
      <c r="L318">
        <v>2</v>
      </c>
      <c r="M318">
        <v>1784684.6846846831</v>
      </c>
      <c r="N318">
        <v>1193603.603603607</v>
      </c>
      <c r="O318">
        <v>19167261.261261258</v>
      </c>
      <c r="P318">
        <v>17503414.414414413</v>
      </c>
      <c r="Q318">
        <v>960990.99099098996</v>
      </c>
      <c r="R318">
        <v>810810.81081081205</v>
      </c>
      <c r="S318">
        <v>4035</v>
      </c>
      <c r="T318">
        <v>3911</v>
      </c>
    </row>
    <row r="319" spans="1:20" x14ac:dyDescent="0.35">
      <c r="A319" s="7" t="s">
        <v>414</v>
      </c>
      <c r="B319" s="12" t="s">
        <v>214</v>
      </c>
      <c r="C319">
        <v>294649518.07103157</v>
      </c>
      <c r="D319">
        <v>320633307.84578389</v>
      </c>
      <c r="E319">
        <v>29298408.108108111</v>
      </c>
      <c r="F319">
        <v>6590347.747747751</v>
      </c>
      <c r="G319">
        <v>80</v>
      </c>
      <c r="H319">
        <v>662</v>
      </c>
      <c r="K319">
        <v>114</v>
      </c>
      <c r="L319">
        <v>750</v>
      </c>
      <c r="M319">
        <v>28587477.477477483</v>
      </c>
      <c r="N319">
        <v>53439639.639639631</v>
      </c>
      <c r="O319">
        <v>124376610.81081082</v>
      </c>
      <c r="P319">
        <v>154979750.45045045</v>
      </c>
      <c r="Q319">
        <v>34382522.522522517</v>
      </c>
      <c r="R319">
        <v>44744414.414414406</v>
      </c>
      <c r="S319">
        <v>23820</v>
      </c>
      <c r="T319">
        <v>24048</v>
      </c>
    </row>
    <row r="320" spans="1:20" x14ac:dyDescent="0.35">
      <c r="A320" s="7" t="s">
        <v>415</v>
      </c>
      <c r="B320" s="12" t="s">
        <v>413</v>
      </c>
      <c r="C320">
        <v>27394443.023676857</v>
      </c>
      <c r="D320">
        <v>26944238.985789921</v>
      </c>
      <c r="E320">
        <v>280180.18018018</v>
      </c>
      <c r="F320">
        <v>89639.639639639994</v>
      </c>
      <c r="G320">
        <v>9</v>
      </c>
      <c r="H320">
        <v>4</v>
      </c>
      <c r="K320">
        <v>11</v>
      </c>
      <c r="L320">
        <v>8</v>
      </c>
      <c r="M320">
        <v>5462882.8828828819</v>
      </c>
      <c r="N320">
        <v>3886486.4864864871</v>
      </c>
      <c r="O320">
        <v>8915630.6306306291</v>
      </c>
      <c r="P320">
        <v>10316423.423423424</v>
      </c>
      <c r="Q320">
        <v>3416036.036036035</v>
      </c>
      <c r="R320">
        <v>3652522.522522524</v>
      </c>
      <c r="S320">
        <v>3018</v>
      </c>
      <c r="T320">
        <v>2983</v>
      </c>
    </row>
    <row r="321" spans="1:20" x14ac:dyDescent="0.35">
      <c r="A321" s="7" t="s">
        <v>416</v>
      </c>
      <c r="B321" s="12" t="s">
        <v>236</v>
      </c>
      <c r="C321">
        <v>206410138.06794724</v>
      </c>
      <c r="D321">
        <v>188964815.08348837</v>
      </c>
      <c r="E321">
        <v>45945.945945947999</v>
      </c>
      <c r="F321">
        <v>481981.981981983</v>
      </c>
      <c r="G321">
        <v>19</v>
      </c>
      <c r="H321">
        <v>37</v>
      </c>
      <c r="I321">
        <v>1</v>
      </c>
      <c r="K321">
        <v>74</v>
      </c>
      <c r="L321">
        <v>60</v>
      </c>
      <c r="M321">
        <v>20854594.59459459</v>
      </c>
      <c r="N321">
        <v>17942882.882882886</v>
      </c>
      <c r="O321">
        <v>49718720.720720723</v>
      </c>
      <c r="P321">
        <v>45276900.9009009</v>
      </c>
      <c r="Q321">
        <v>15676126.126126127</v>
      </c>
      <c r="R321">
        <v>14362792.792792792</v>
      </c>
      <c r="S321">
        <v>10909</v>
      </c>
      <c r="T321">
        <v>10666</v>
      </c>
    </row>
    <row r="322" spans="1:20" x14ac:dyDescent="0.35">
      <c r="A322" s="7" t="s">
        <v>417</v>
      </c>
      <c r="B322" s="12" t="s">
        <v>117</v>
      </c>
      <c r="C322">
        <v>197630025.29912144</v>
      </c>
      <c r="D322">
        <v>183960379.26802674</v>
      </c>
      <c r="E322">
        <v>28659726.126126133</v>
      </c>
      <c r="F322">
        <v>2087743.243243248</v>
      </c>
      <c r="G322">
        <v>72</v>
      </c>
      <c r="H322">
        <v>37</v>
      </c>
      <c r="I322">
        <v>1</v>
      </c>
      <c r="K322">
        <v>173</v>
      </c>
      <c r="L322">
        <v>116</v>
      </c>
      <c r="M322">
        <v>38496486.486486487</v>
      </c>
      <c r="N322">
        <v>38824293.693693697</v>
      </c>
      <c r="O322">
        <v>83871081.081081092</v>
      </c>
      <c r="P322">
        <v>83163872.072072074</v>
      </c>
      <c r="Q322">
        <v>35999549.54954955</v>
      </c>
      <c r="R322">
        <v>38729459.459459461</v>
      </c>
      <c r="S322">
        <v>17691</v>
      </c>
      <c r="T322">
        <v>17404</v>
      </c>
    </row>
    <row r="323" spans="1:20" x14ac:dyDescent="0.35">
      <c r="A323" s="7" t="s">
        <v>418</v>
      </c>
      <c r="B323" s="12" t="s">
        <v>147</v>
      </c>
      <c r="C323">
        <v>5449132.489984571</v>
      </c>
      <c r="D323">
        <v>4199094.7746055964</v>
      </c>
      <c r="O323">
        <v>1935090.0900900911</v>
      </c>
      <c r="P323">
        <v>1779954.954954955</v>
      </c>
      <c r="S323">
        <v>498</v>
      </c>
      <c r="T323">
        <v>453</v>
      </c>
    </row>
    <row r="324" spans="1:20" x14ac:dyDescent="0.35">
      <c r="A324" s="7" t="s">
        <v>419</v>
      </c>
      <c r="B324" s="12" t="s">
        <v>304</v>
      </c>
      <c r="C324">
        <v>43118234.690965869</v>
      </c>
      <c r="D324">
        <v>41611618.429101929</v>
      </c>
      <c r="E324">
        <v>238738.73873874001</v>
      </c>
      <c r="F324">
        <v>952477.47747747798</v>
      </c>
      <c r="G324">
        <v>12</v>
      </c>
      <c r="H324">
        <v>19</v>
      </c>
      <c r="K324">
        <v>15</v>
      </c>
      <c r="L324">
        <v>22</v>
      </c>
      <c r="M324">
        <v>8431531.5315315295</v>
      </c>
      <c r="N324">
        <v>5481081.0810810812</v>
      </c>
      <c r="O324">
        <v>8330090.0900900913</v>
      </c>
      <c r="P324">
        <v>7792909.9099099087</v>
      </c>
      <c r="Q324">
        <v>6999549.5495495498</v>
      </c>
      <c r="R324">
        <v>5425585.5855855839</v>
      </c>
      <c r="S324">
        <v>2380</v>
      </c>
      <c r="T324">
        <v>2259</v>
      </c>
    </row>
    <row r="325" spans="1:20" x14ac:dyDescent="0.35">
      <c r="A325" s="7" t="s">
        <v>420</v>
      </c>
      <c r="B325" s="12" t="s">
        <v>304</v>
      </c>
      <c r="C325">
        <v>50962484.428926498</v>
      </c>
      <c r="D325">
        <v>48220193.252135888</v>
      </c>
      <c r="E325">
        <v>314414.41441441601</v>
      </c>
      <c r="F325">
        <v>1274549.549549547</v>
      </c>
      <c r="G325">
        <v>26</v>
      </c>
      <c r="H325">
        <v>21</v>
      </c>
      <c r="I325">
        <v>2</v>
      </c>
      <c r="K325">
        <v>41</v>
      </c>
      <c r="L325">
        <v>29</v>
      </c>
      <c r="M325">
        <v>8300900.9009008976</v>
      </c>
      <c r="N325">
        <v>11679279.279279277</v>
      </c>
      <c r="O325">
        <v>10625944.144144144</v>
      </c>
      <c r="P325">
        <v>10494216.216216216</v>
      </c>
      <c r="Q325">
        <v>6666126.1261261255</v>
      </c>
      <c r="R325">
        <v>5717297.2972972961</v>
      </c>
      <c r="S325">
        <v>3099</v>
      </c>
      <c r="T325">
        <v>3043</v>
      </c>
    </row>
    <row r="326" spans="1:20" x14ac:dyDescent="0.35">
      <c r="A326" s="7" t="s">
        <v>421</v>
      </c>
      <c r="B326" s="12" t="s">
        <v>121</v>
      </c>
      <c r="C326">
        <v>4150687.0690019261</v>
      </c>
      <c r="D326">
        <v>1801648.3288155929</v>
      </c>
      <c r="E326">
        <v>7207.207207208</v>
      </c>
      <c r="F326">
        <v>13513.513513514001</v>
      </c>
      <c r="L326">
        <v>1</v>
      </c>
      <c r="M326">
        <v>7207.207207208</v>
      </c>
      <c r="N326">
        <v>13513.513513514001</v>
      </c>
      <c r="O326">
        <v>116216.21621621599</v>
      </c>
      <c r="P326">
        <v>124414.414414414</v>
      </c>
      <c r="S326">
        <v>352</v>
      </c>
      <c r="T326">
        <v>318</v>
      </c>
    </row>
    <row r="327" spans="1:20" x14ac:dyDescent="0.35">
      <c r="A327" s="7" t="s">
        <v>422</v>
      </c>
      <c r="B327" s="12" t="s">
        <v>60</v>
      </c>
      <c r="C327">
        <v>25285781.491375048</v>
      </c>
      <c r="D327">
        <v>23979260.204765916</v>
      </c>
      <c r="E327">
        <v>45945.945945947002</v>
      </c>
      <c r="F327">
        <v>363063.063063065</v>
      </c>
      <c r="G327">
        <v>6</v>
      </c>
      <c r="H327">
        <v>18</v>
      </c>
      <c r="K327">
        <v>8</v>
      </c>
      <c r="L327">
        <v>23</v>
      </c>
      <c r="M327">
        <v>3710810.81081081</v>
      </c>
      <c r="N327">
        <v>8130630.6306306301</v>
      </c>
      <c r="O327">
        <v>8227207.2072072066</v>
      </c>
      <c r="P327">
        <v>8211189.18918919</v>
      </c>
      <c r="Q327">
        <v>1816576.5765765761</v>
      </c>
      <c r="R327">
        <v>7085135.1351351338</v>
      </c>
      <c r="S327">
        <v>2175</v>
      </c>
      <c r="T327">
        <v>2049</v>
      </c>
    </row>
    <row r="328" spans="1:20" x14ac:dyDescent="0.35">
      <c r="A328" s="7" t="s">
        <v>423</v>
      </c>
      <c r="B328" s="12" t="s">
        <v>181</v>
      </c>
      <c r="C328">
        <v>241897518.54981259</v>
      </c>
      <c r="D328">
        <v>234892670.01261273</v>
      </c>
      <c r="E328">
        <v>22105405.40540541</v>
      </c>
      <c r="F328">
        <v>1682882.8828828901</v>
      </c>
      <c r="G328">
        <v>73</v>
      </c>
      <c r="H328">
        <v>89</v>
      </c>
      <c r="I328">
        <v>10</v>
      </c>
      <c r="K328">
        <v>92</v>
      </c>
      <c r="L328">
        <v>115</v>
      </c>
      <c r="M328">
        <v>24439999.999999993</v>
      </c>
      <c r="N328">
        <v>33314774.774774767</v>
      </c>
      <c r="O328">
        <v>64577135.135135137</v>
      </c>
      <c r="P328">
        <v>70633117.117117122</v>
      </c>
      <c r="Q328">
        <v>23514954.954954956</v>
      </c>
      <c r="R328">
        <v>29107657.657657657</v>
      </c>
      <c r="S328">
        <v>22487</v>
      </c>
      <c r="T328">
        <v>22405</v>
      </c>
    </row>
    <row r="329" spans="1:20" x14ac:dyDescent="0.35">
      <c r="A329" s="7" t="s">
        <v>424</v>
      </c>
      <c r="B329" s="12" t="s">
        <v>76</v>
      </c>
      <c r="C329">
        <v>11482730.189661851</v>
      </c>
      <c r="D329">
        <v>7956133.9857888827</v>
      </c>
      <c r="E329">
        <v>2702.7027027029999</v>
      </c>
      <c r="F329">
        <v>13513.513513514001</v>
      </c>
      <c r="G329">
        <v>3</v>
      </c>
      <c r="K329">
        <v>4</v>
      </c>
      <c r="M329">
        <v>633333.33333333302</v>
      </c>
      <c r="N329">
        <v>463963.96396396402</v>
      </c>
      <c r="O329">
        <v>1025036.036036036</v>
      </c>
      <c r="P329">
        <v>650630.630630631</v>
      </c>
      <c r="Q329">
        <v>831711.71171171195</v>
      </c>
      <c r="R329">
        <v>638378.37837837799</v>
      </c>
      <c r="S329">
        <v>962</v>
      </c>
      <c r="T329">
        <v>874</v>
      </c>
    </row>
    <row r="330" spans="1:20" x14ac:dyDescent="0.35">
      <c r="A330" s="7" t="s">
        <v>425</v>
      </c>
      <c r="B330" s="12" t="s">
        <v>76</v>
      </c>
      <c r="C330">
        <v>30291340.884891465</v>
      </c>
      <c r="D330">
        <v>29042015.258845743</v>
      </c>
      <c r="E330">
        <v>136936.93693693701</v>
      </c>
      <c r="F330">
        <v>47747.747747749003</v>
      </c>
      <c r="G330">
        <v>7</v>
      </c>
      <c r="H330">
        <v>7</v>
      </c>
      <c r="K330">
        <v>11</v>
      </c>
      <c r="L330">
        <v>7</v>
      </c>
      <c r="M330">
        <v>3538738.738738738</v>
      </c>
      <c r="N330">
        <v>4102882.8828828838</v>
      </c>
      <c r="O330">
        <v>6890765.7657657657</v>
      </c>
      <c r="P330">
        <v>6941576.5765765766</v>
      </c>
      <c r="Q330">
        <v>2314594.5945945969</v>
      </c>
      <c r="R330">
        <v>3008558.5585585581</v>
      </c>
      <c r="S330">
        <v>1475</v>
      </c>
      <c r="T330">
        <v>1454</v>
      </c>
    </row>
    <row r="331" spans="1:20" x14ac:dyDescent="0.35">
      <c r="A331" s="7" t="s">
        <v>426</v>
      </c>
      <c r="B331" s="12" t="s">
        <v>330</v>
      </c>
      <c r="C331">
        <v>142830838.21425942</v>
      </c>
      <c r="D331">
        <v>139816842.14873856</v>
      </c>
      <c r="E331">
        <v>357387.38738739002</v>
      </c>
      <c r="F331">
        <v>1621396.3963964011</v>
      </c>
      <c r="G331">
        <v>35</v>
      </c>
      <c r="H331">
        <v>45</v>
      </c>
      <c r="K331">
        <v>58</v>
      </c>
      <c r="L331">
        <v>55</v>
      </c>
      <c r="M331">
        <v>3456486.486486488</v>
      </c>
      <c r="N331">
        <v>9972972.9729729723</v>
      </c>
      <c r="O331">
        <v>24307297.297297295</v>
      </c>
      <c r="P331">
        <v>24100072.072072074</v>
      </c>
      <c r="Q331">
        <v>4219279.2792792832</v>
      </c>
      <c r="R331">
        <v>6831261.2612612601</v>
      </c>
      <c r="S331">
        <v>9998</v>
      </c>
      <c r="T331">
        <v>11622</v>
      </c>
    </row>
    <row r="332" spans="1:20" x14ac:dyDescent="0.35">
      <c r="A332" s="7" t="s">
        <v>427</v>
      </c>
      <c r="B332" s="12" t="s">
        <v>241</v>
      </c>
      <c r="C332">
        <v>37486038.894703984</v>
      </c>
      <c r="D332">
        <v>36293603.256823801</v>
      </c>
      <c r="E332">
        <v>49536570.270270273</v>
      </c>
      <c r="F332">
        <v>51858998.198198199</v>
      </c>
      <c r="G332">
        <v>11</v>
      </c>
      <c r="H332">
        <v>10</v>
      </c>
      <c r="K332">
        <v>15</v>
      </c>
      <c r="L332">
        <v>15</v>
      </c>
      <c r="M332">
        <v>10218558.558558561</v>
      </c>
      <c r="N332">
        <v>6926576.5765765756</v>
      </c>
      <c r="O332">
        <v>13949846.846846849</v>
      </c>
      <c r="P332">
        <v>12838774.774774775</v>
      </c>
      <c r="Q332">
        <v>5014594.5945945978</v>
      </c>
      <c r="R332">
        <v>2514504.5045045051</v>
      </c>
      <c r="S332">
        <v>5218</v>
      </c>
      <c r="T332">
        <v>5366</v>
      </c>
    </row>
    <row r="333" spans="1:20" x14ac:dyDescent="0.35">
      <c r="A333" s="7" t="s">
        <v>428</v>
      </c>
      <c r="B333" s="12" t="s">
        <v>283</v>
      </c>
      <c r="C333">
        <v>14836976.993814301</v>
      </c>
      <c r="D333">
        <v>18785336.05787212</v>
      </c>
      <c r="E333">
        <v>38329143.24324324</v>
      </c>
      <c r="F333">
        <v>88756509.909909904</v>
      </c>
      <c r="G333">
        <v>5</v>
      </c>
      <c r="H333">
        <v>1</v>
      </c>
      <c r="K333">
        <v>7</v>
      </c>
      <c r="L333">
        <v>24</v>
      </c>
      <c r="M333">
        <v>4213513.5135135138</v>
      </c>
      <c r="N333">
        <v>5398788.2882882887</v>
      </c>
      <c r="O333">
        <v>3007747.7477477482</v>
      </c>
      <c r="P333">
        <v>4010360.3603603598</v>
      </c>
      <c r="Q333">
        <v>246396.39639639601</v>
      </c>
      <c r="R333">
        <v>1320810.81081081</v>
      </c>
      <c r="S333">
        <v>1302</v>
      </c>
      <c r="T333">
        <v>1307</v>
      </c>
    </row>
    <row r="334" spans="1:20" x14ac:dyDescent="0.35">
      <c r="A334" s="7" t="s">
        <v>429</v>
      </c>
      <c r="B334" s="12" t="s">
        <v>283</v>
      </c>
      <c r="C334">
        <v>4714397.1930435579</v>
      </c>
      <c r="D334">
        <v>5101129.1704698605</v>
      </c>
      <c r="E334">
        <v>900.900900901</v>
      </c>
      <c r="F334">
        <v>27027.027027027001</v>
      </c>
      <c r="M334">
        <v>900.900900901</v>
      </c>
      <c r="N334">
        <v>477477.47747747699</v>
      </c>
      <c r="O334">
        <v>490180.18018018</v>
      </c>
      <c r="P334">
        <v>219774.774774775</v>
      </c>
      <c r="R334">
        <v>423693.69369369402</v>
      </c>
      <c r="S334">
        <v>516</v>
      </c>
      <c r="T334">
        <v>478</v>
      </c>
    </row>
    <row r="335" spans="1:20" x14ac:dyDescent="0.35">
      <c r="A335" s="7" t="s">
        <v>430</v>
      </c>
      <c r="B335" s="12" t="s">
        <v>283</v>
      </c>
      <c r="C335">
        <v>9508746.1314704791</v>
      </c>
      <c r="D335">
        <v>11355589.718536505</v>
      </c>
      <c r="F335">
        <v>166666.66666666701</v>
      </c>
      <c r="G335">
        <v>2</v>
      </c>
      <c r="H335">
        <v>2</v>
      </c>
      <c r="K335">
        <v>3</v>
      </c>
      <c r="L335">
        <v>3</v>
      </c>
      <c r="N335">
        <v>256756.75675675701</v>
      </c>
      <c r="O335">
        <v>794054.05405405397</v>
      </c>
      <c r="P335">
        <v>986936.93693693704</v>
      </c>
      <c r="R335">
        <v>148648.64864864899</v>
      </c>
      <c r="S335">
        <v>853</v>
      </c>
      <c r="T335">
        <v>816</v>
      </c>
    </row>
    <row r="336" spans="1:20" x14ac:dyDescent="0.35">
      <c r="A336" s="7" t="s">
        <v>431</v>
      </c>
      <c r="B336" s="12" t="s">
        <v>78</v>
      </c>
      <c r="C336">
        <v>64021731.511223599</v>
      </c>
      <c r="D336">
        <v>61813026.249067813</v>
      </c>
      <c r="E336">
        <v>327027.02702702902</v>
      </c>
      <c r="F336">
        <v>570270.27027027204</v>
      </c>
      <c r="G336">
        <v>12</v>
      </c>
      <c r="H336">
        <v>35</v>
      </c>
      <c r="K336">
        <v>14</v>
      </c>
      <c r="L336">
        <v>87</v>
      </c>
      <c r="M336">
        <v>4944144.144144143</v>
      </c>
      <c r="N336">
        <v>3939639.6396396402</v>
      </c>
      <c r="O336">
        <v>25817207.207207207</v>
      </c>
      <c r="P336">
        <v>25761144.144144144</v>
      </c>
      <c r="Q336">
        <v>4234234.2342342352</v>
      </c>
      <c r="R336">
        <v>5897297.297297298</v>
      </c>
      <c r="S336">
        <v>6468</v>
      </c>
      <c r="T336">
        <v>6605</v>
      </c>
    </row>
    <row r="337" spans="1:20" x14ac:dyDescent="0.35">
      <c r="A337" s="7" t="s">
        <v>432</v>
      </c>
      <c r="B337" s="12" t="s">
        <v>105</v>
      </c>
      <c r="C337">
        <v>52929170.578511789</v>
      </c>
      <c r="D337">
        <v>54197775.700247571</v>
      </c>
      <c r="E337">
        <v>76576.576576577005</v>
      </c>
      <c r="F337">
        <v>205405.40540540501</v>
      </c>
      <c r="G337">
        <v>5</v>
      </c>
      <c r="H337">
        <v>7</v>
      </c>
      <c r="K337">
        <v>6</v>
      </c>
      <c r="L337">
        <v>7</v>
      </c>
      <c r="M337">
        <v>4593693.6936936937</v>
      </c>
      <c r="N337">
        <v>5006081.0810810812</v>
      </c>
      <c r="O337">
        <v>12482468.468468469</v>
      </c>
      <c r="P337">
        <v>12322225.225225223</v>
      </c>
      <c r="Q337">
        <v>5394954.9549549557</v>
      </c>
      <c r="R337">
        <v>8673738.7387387399</v>
      </c>
      <c r="S337">
        <v>3588</v>
      </c>
      <c r="T337">
        <v>3698</v>
      </c>
    </row>
    <row r="338" spans="1:20" x14ac:dyDescent="0.35">
      <c r="A338" s="7" t="s">
        <v>433</v>
      </c>
      <c r="B338" s="12" t="s">
        <v>72</v>
      </c>
      <c r="C338">
        <v>321098688.94636494</v>
      </c>
      <c r="D338">
        <v>298352760.62495422</v>
      </c>
      <c r="E338">
        <v>443693.69369369798</v>
      </c>
      <c r="F338">
        <v>2045045.0450450541</v>
      </c>
      <c r="G338">
        <v>71</v>
      </c>
      <c r="H338">
        <v>63</v>
      </c>
      <c r="I338">
        <v>1</v>
      </c>
      <c r="K338">
        <v>147</v>
      </c>
      <c r="L338">
        <v>110</v>
      </c>
      <c r="M338">
        <v>48941891.891891889</v>
      </c>
      <c r="N338">
        <v>41520720.720720723</v>
      </c>
      <c r="O338">
        <v>68257881.081081077</v>
      </c>
      <c r="P338">
        <v>60827504.504504502</v>
      </c>
      <c r="Q338">
        <v>37132612.612612613</v>
      </c>
      <c r="R338">
        <v>35022702.702702701</v>
      </c>
      <c r="S338">
        <v>18364</v>
      </c>
      <c r="T338">
        <v>17869</v>
      </c>
    </row>
    <row r="339" spans="1:20" x14ac:dyDescent="0.35">
      <c r="A339" s="7" t="s">
        <v>434</v>
      </c>
      <c r="B339" s="12" t="s">
        <v>72</v>
      </c>
      <c r="C339">
        <v>224694459.80270004</v>
      </c>
      <c r="D339">
        <v>205441667.97343197</v>
      </c>
      <c r="E339">
        <v>378378.37837837799</v>
      </c>
      <c r="F339">
        <v>1736261.2612612669</v>
      </c>
      <c r="G339">
        <v>33</v>
      </c>
      <c r="H339">
        <v>46</v>
      </c>
      <c r="K339">
        <v>41</v>
      </c>
      <c r="L339">
        <v>60</v>
      </c>
      <c r="M339">
        <v>17409009.009009007</v>
      </c>
      <c r="N339">
        <v>28445045.045045044</v>
      </c>
      <c r="O339">
        <v>38231445.945945941</v>
      </c>
      <c r="P339">
        <v>39884891.891891889</v>
      </c>
      <c r="Q339">
        <v>18357387.387387391</v>
      </c>
      <c r="R339">
        <v>17989729.729729734</v>
      </c>
      <c r="S339">
        <v>13737</v>
      </c>
      <c r="T339">
        <v>15272</v>
      </c>
    </row>
    <row r="340" spans="1:20" x14ac:dyDescent="0.35">
      <c r="A340" s="7" t="s">
        <v>435</v>
      </c>
      <c r="B340" s="12" t="s">
        <v>94</v>
      </c>
      <c r="C340">
        <v>16218786.76071346</v>
      </c>
      <c r="D340">
        <v>13959515.72714988</v>
      </c>
      <c r="E340">
        <v>900.900900901</v>
      </c>
      <c r="G340">
        <v>4</v>
      </c>
      <c r="H340">
        <v>1</v>
      </c>
      <c r="K340">
        <v>4</v>
      </c>
      <c r="L340">
        <v>1</v>
      </c>
      <c r="M340">
        <v>900.900900901</v>
      </c>
      <c r="O340">
        <v>3352927.927927928</v>
      </c>
      <c r="P340">
        <v>3400342.3423423418</v>
      </c>
      <c r="R340">
        <v>32432.432432432</v>
      </c>
      <c r="S340">
        <v>940</v>
      </c>
      <c r="T340">
        <v>878</v>
      </c>
    </row>
    <row r="341" spans="1:20" x14ac:dyDescent="0.35">
      <c r="A341" s="7" t="s">
        <v>436</v>
      </c>
      <c r="B341" s="12" t="s">
        <v>89</v>
      </c>
      <c r="C341">
        <v>81630789.159570083</v>
      </c>
      <c r="D341">
        <v>77456755.764567643</v>
      </c>
      <c r="E341">
        <v>570450.45045044995</v>
      </c>
      <c r="F341">
        <v>671171.17117117299</v>
      </c>
      <c r="G341">
        <v>22</v>
      </c>
      <c r="H341">
        <v>31</v>
      </c>
      <c r="K341">
        <v>22</v>
      </c>
      <c r="L341">
        <v>36</v>
      </c>
      <c r="M341">
        <v>6345225.2252252242</v>
      </c>
      <c r="N341">
        <v>13194054.054054054</v>
      </c>
      <c r="O341">
        <v>33352567.567567568</v>
      </c>
      <c r="P341">
        <v>33986297.297297299</v>
      </c>
      <c r="Q341">
        <v>8405315.3153153155</v>
      </c>
      <c r="R341">
        <v>11657567.567567572</v>
      </c>
      <c r="S341">
        <v>5497</v>
      </c>
      <c r="T341">
        <v>5419</v>
      </c>
    </row>
    <row r="342" spans="1:20" x14ac:dyDescent="0.35">
      <c r="A342" s="7" t="s">
        <v>437</v>
      </c>
      <c r="B342" s="12" t="s">
        <v>70</v>
      </c>
      <c r="C342">
        <v>2585217.8584628291</v>
      </c>
      <c r="D342">
        <v>2289584.4553047689</v>
      </c>
      <c r="G342">
        <v>3</v>
      </c>
      <c r="H342">
        <v>2</v>
      </c>
      <c r="K342">
        <v>4</v>
      </c>
      <c r="L342">
        <v>3</v>
      </c>
      <c r="O342">
        <v>1107432.432432432</v>
      </c>
      <c r="P342">
        <v>1509369.3693693699</v>
      </c>
      <c r="S342">
        <v>1275</v>
      </c>
      <c r="T342">
        <v>1216</v>
      </c>
    </row>
    <row r="343" spans="1:20" x14ac:dyDescent="0.35">
      <c r="A343" s="7" t="s">
        <v>438</v>
      </c>
      <c r="B343" s="12" t="s">
        <v>195</v>
      </c>
      <c r="C343">
        <v>378137200.70208728</v>
      </c>
      <c r="D343">
        <v>344646600.45686543</v>
      </c>
      <c r="E343">
        <v>58859077.477477483</v>
      </c>
      <c r="F343">
        <v>32692454.954954956</v>
      </c>
      <c r="G343">
        <v>53</v>
      </c>
      <c r="H343">
        <v>76</v>
      </c>
      <c r="K343">
        <v>78</v>
      </c>
      <c r="L343">
        <v>107</v>
      </c>
      <c r="M343">
        <v>32809009.009009004</v>
      </c>
      <c r="N343">
        <v>29060000.000000004</v>
      </c>
      <c r="O343">
        <v>58470459.459459454</v>
      </c>
      <c r="P343">
        <v>61092581.081081077</v>
      </c>
      <c r="Q343">
        <v>30706666.666666664</v>
      </c>
      <c r="R343">
        <v>25600540.540540539</v>
      </c>
      <c r="S343">
        <v>20734</v>
      </c>
      <c r="T343">
        <v>20423</v>
      </c>
    </row>
    <row r="344" spans="1:20" x14ac:dyDescent="0.35">
      <c r="A344" s="7" t="s">
        <v>439</v>
      </c>
      <c r="B344" s="12" t="s">
        <v>178</v>
      </c>
      <c r="C344">
        <v>170604683.1486595</v>
      </c>
      <c r="D344">
        <v>179069877.37091371</v>
      </c>
      <c r="E344">
        <v>1070540.540540542</v>
      </c>
      <c r="F344">
        <v>615315.31531531597</v>
      </c>
      <c r="G344">
        <v>16</v>
      </c>
      <c r="H344">
        <v>14</v>
      </c>
      <c r="K344">
        <v>19</v>
      </c>
      <c r="L344">
        <v>20</v>
      </c>
      <c r="M344">
        <v>36426216.216216214</v>
      </c>
      <c r="N344">
        <v>37169269.369369358</v>
      </c>
      <c r="O344">
        <v>67010720.720720723</v>
      </c>
      <c r="P344">
        <v>70151954.954954952</v>
      </c>
      <c r="Q344">
        <v>25990810.810810816</v>
      </c>
      <c r="R344">
        <v>29611171.17117117</v>
      </c>
      <c r="S344">
        <v>15217</v>
      </c>
      <c r="T344">
        <v>14326</v>
      </c>
    </row>
    <row r="345" spans="1:20" x14ac:dyDescent="0.35">
      <c r="A345" s="7" t="s">
        <v>440</v>
      </c>
      <c r="B345" s="12" t="s">
        <v>78</v>
      </c>
      <c r="C345">
        <v>76283390.150030434</v>
      </c>
      <c r="D345">
        <v>80773694.323527843</v>
      </c>
      <c r="E345">
        <v>462792.79279279301</v>
      </c>
      <c r="F345">
        <v>1186486.4864864871</v>
      </c>
      <c r="G345">
        <v>11</v>
      </c>
      <c r="H345">
        <v>12</v>
      </c>
      <c r="K345">
        <v>17</v>
      </c>
      <c r="L345">
        <v>13</v>
      </c>
      <c r="M345">
        <v>3039369.3693693681</v>
      </c>
      <c r="N345">
        <v>8555855.8558558561</v>
      </c>
      <c r="O345">
        <v>14980972.972972974</v>
      </c>
      <c r="P345">
        <v>15582054.054054052</v>
      </c>
      <c r="Q345">
        <v>4673963.9639639631</v>
      </c>
      <c r="R345">
        <v>8660180.1801801808</v>
      </c>
      <c r="S345">
        <v>4911</v>
      </c>
      <c r="T345">
        <v>4848</v>
      </c>
    </row>
    <row r="346" spans="1:20" x14ac:dyDescent="0.35">
      <c r="A346" s="7" t="s">
        <v>441</v>
      </c>
      <c r="B346" s="12" t="s">
        <v>78</v>
      </c>
      <c r="C346">
        <v>34730883.044293523</v>
      </c>
      <c r="D346">
        <v>32139276.377162859</v>
      </c>
      <c r="E346">
        <v>307207.20720720902</v>
      </c>
      <c r="F346">
        <v>401801.80180180399</v>
      </c>
      <c r="G346">
        <v>9</v>
      </c>
      <c r="H346">
        <v>4</v>
      </c>
      <c r="K346">
        <v>11</v>
      </c>
      <c r="L346">
        <v>4</v>
      </c>
      <c r="M346">
        <v>6397297.297297297</v>
      </c>
      <c r="N346">
        <v>5185585.5855855849</v>
      </c>
      <c r="O346">
        <v>7226306.3063063063</v>
      </c>
      <c r="P346">
        <v>6567513.5135135138</v>
      </c>
      <c r="Q346">
        <v>5792342.3423423413</v>
      </c>
      <c r="R346">
        <v>6706036.036036036</v>
      </c>
      <c r="S346">
        <v>2393</v>
      </c>
      <c r="T346">
        <v>2294</v>
      </c>
    </row>
    <row r="347" spans="1:20" x14ac:dyDescent="0.35">
      <c r="A347" s="7" t="s">
        <v>442</v>
      </c>
      <c r="B347" s="12" t="s">
        <v>123</v>
      </c>
      <c r="C347">
        <v>480344.20448062703</v>
      </c>
      <c r="D347">
        <v>589466.23418196</v>
      </c>
      <c r="G347">
        <v>1</v>
      </c>
      <c r="K347">
        <v>1</v>
      </c>
      <c r="O347">
        <v>175900.900900901</v>
      </c>
      <c r="P347">
        <v>285945.94594594598</v>
      </c>
      <c r="S347">
        <v>386</v>
      </c>
      <c r="T347">
        <v>338</v>
      </c>
    </row>
    <row r="348" spans="1:20" x14ac:dyDescent="0.35">
      <c r="A348" s="7" t="s">
        <v>443</v>
      </c>
      <c r="B348" s="12" t="s">
        <v>140</v>
      </c>
      <c r="C348">
        <v>80283004.146248087</v>
      </c>
      <c r="D348">
        <v>82114123.263486907</v>
      </c>
      <c r="E348">
        <v>417117.11711711698</v>
      </c>
      <c r="F348">
        <v>245495.49549549501</v>
      </c>
      <c r="G348">
        <v>5</v>
      </c>
      <c r="H348">
        <v>12</v>
      </c>
      <c r="K348">
        <v>8</v>
      </c>
      <c r="L348">
        <v>17</v>
      </c>
      <c r="M348">
        <v>7966216.2162162149</v>
      </c>
      <c r="N348">
        <v>8424324.324324321</v>
      </c>
      <c r="O348">
        <v>18902477.47747748</v>
      </c>
      <c r="P348">
        <v>20362531.531531531</v>
      </c>
      <c r="Q348">
        <v>6975315.3153153136</v>
      </c>
      <c r="R348">
        <v>6798828.8288288265</v>
      </c>
      <c r="S348">
        <v>5741</v>
      </c>
      <c r="T348">
        <v>5754</v>
      </c>
    </row>
    <row r="349" spans="1:20" x14ac:dyDescent="0.35">
      <c r="A349" s="7" t="s">
        <v>444</v>
      </c>
      <c r="B349" s="12" t="s">
        <v>76</v>
      </c>
      <c r="C349">
        <v>8770336.6699901205</v>
      </c>
      <c r="D349">
        <v>9005274.8920452632</v>
      </c>
      <c r="E349">
        <v>37837.837837838</v>
      </c>
      <c r="F349">
        <v>43243.243243245</v>
      </c>
      <c r="G349">
        <v>3</v>
      </c>
      <c r="H349">
        <v>2</v>
      </c>
      <c r="K349">
        <v>5</v>
      </c>
      <c r="L349">
        <v>2</v>
      </c>
      <c r="M349">
        <v>3227027.0270270272</v>
      </c>
      <c r="N349">
        <v>2070270.2702702701</v>
      </c>
      <c r="O349">
        <v>1850720.7207207209</v>
      </c>
      <c r="P349">
        <v>2012540.5405405411</v>
      </c>
      <c r="Q349">
        <v>2628198.1981981979</v>
      </c>
      <c r="R349">
        <v>1420180.180180179</v>
      </c>
      <c r="S349">
        <v>592</v>
      </c>
      <c r="T349">
        <v>581</v>
      </c>
    </row>
    <row r="350" spans="1:20" x14ac:dyDescent="0.35">
      <c r="A350" s="7" t="s">
        <v>445</v>
      </c>
      <c r="B350" s="12" t="s">
        <v>89</v>
      </c>
      <c r="C350">
        <v>249904131.85597363</v>
      </c>
      <c r="D350">
        <v>247349047.53829741</v>
      </c>
      <c r="E350">
        <v>29001872.972972974</v>
      </c>
      <c r="F350">
        <v>87317925.225225225</v>
      </c>
      <c r="G350">
        <v>31</v>
      </c>
      <c r="H350">
        <v>60</v>
      </c>
      <c r="I350">
        <v>1</v>
      </c>
      <c r="K350">
        <v>50</v>
      </c>
      <c r="L350">
        <v>76</v>
      </c>
      <c r="M350">
        <v>26783153.153153144</v>
      </c>
      <c r="N350">
        <v>203889909.90990993</v>
      </c>
      <c r="O350">
        <v>72075315.315315306</v>
      </c>
      <c r="P350">
        <v>77123745.945945948</v>
      </c>
      <c r="Q350">
        <v>26160630.630630627</v>
      </c>
      <c r="R350">
        <v>97566216.216216207</v>
      </c>
      <c r="S350">
        <v>16315</v>
      </c>
      <c r="T350">
        <v>16340</v>
      </c>
    </row>
    <row r="351" spans="1:20" x14ac:dyDescent="0.35">
      <c r="A351" s="7" t="s">
        <v>446</v>
      </c>
      <c r="B351" s="12" t="s">
        <v>48</v>
      </c>
      <c r="C351">
        <v>24462988.717278183</v>
      </c>
      <c r="D351">
        <v>23457970.529782891</v>
      </c>
      <c r="E351">
        <v>182882.88288288299</v>
      </c>
      <c r="F351">
        <v>180180.18018018</v>
      </c>
      <c r="L351">
        <v>1</v>
      </c>
      <c r="M351">
        <v>1822612.6126126139</v>
      </c>
      <c r="N351">
        <v>1606756.756756756</v>
      </c>
      <c r="O351">
        <v>7986711.7117117122</v>
      </c>
      <c r="P351">
        <v>7789279.2792792786</v>
      </c>
      <c r="Q351">
        <v>1700540.540540542</v>
      </c>
      <c r="R351">
        <v>1618738.7387387389</v>
      </c>
      <c r="S351">
        <v>1095</v>
      </c>
      <c r="T351">
        <v>1083</v>
      </c>
    </row>
    <row r="352" spans="1:20" x14ac:dyDescent="0.35">
      <c r="A352" s="7" t="s">
        <v>447</v>
      </c>
      <c r="B352" s="12" t="s">
        <v>448</v>
      </c>
      <c r="C352">
        <v>48484724.24072241</v>
      </c>
      <c r="D352">
        <v>47013738.629733719</v>
      </c>
      <c r="E352">
        <v>402702.70270270301</v>
      </c>
      <c r="F352">
        <v>523423.42342342698</v>
      </c>
      <c r="G352">
        <v>380</v>
      </c>
      <c r="H352">
        <v>22</v>
      </c>
      <c r="K352">
        <v>406</v>
      </c>
      <c r="L352">
        <v>29</v>
      </c>
      <c r="M352">
        <v>4125675.6756756762</v>
      </c>
      <c r="N352">
        <v>2322522.5225225221</v>
      </c>
      <c r="O352">
        <v>21364954.954954956</v>
      </c>
      <c r="P352">
        <v>19080945.945945948</v>
      </c>
      <c r="Q352">
        <v>4187297.2972972989</v>
      </c>
      <c r="R352">
        <v>3137387.3873873912</v>
      </c>
      <c r="S352">
        <v>5919</v>
      </c>
      <c r="T352">
        <v>5645</v>
      </c>
    </row>
    <row r="353" spans="1:20" x14ac:dyDescent="0.35">
      <c r="A353" s="7" t="s">
        <v>449</v>
      </c>
      <c r="B353" s="12" t="s">
        <v>76</v>
      </c>
      <c r="C353">
        <v>12445942.357790971</v>
      </c>
      <c r="D353">
        <v>11114652.651171207</v>
      </c>
      <c r="E353">
        <v>5405.4054054059998</v>
      </c>
      <c r="F353">
        <v>57657.657657657997</v>
      </c>
      <c r="G353">
        <v>3</v>
      </c>
      <c r="H353">
        <v>3</v>
      </c>
      <c r="K353">
        <v>4</v>
      </c>
      <c r="L353">
        <v>5</v>
      </c>
      <c r="M353">
        <v>1098198.1981981969</v>
      </c>
      <c r="N353">
        <v>5398918.9189189179</v>
      </c>
      <c r="O353">
        <v>4320765.7657657657</v>
      </c>
      <c r="P353">
        <v>3602054.054054054</v>
      </c>
      <c r="Q353">
        <v>1678648.6486486481</v>
      </c>
      <c r="R353">
        <v>3575225.225225227</v>
      </c>
      <c r="S353">
        <v>1911</v>
      </c>
      <c r="T353">
        <v>1848</v>
      </c>
    </row>
    <row r="354" spans="1:20" x14ac:dyDescent="0.35">
      <c r="A354" s="7" t="s">
        <v>450</v>
      </c>
      <c r="B354" s="12" t="s">
        <v>83</v>
      </c>
      <c r="C354">
        <v>449175275.47031766</v>
      </c>
      <c r="D354">
        <v>450915287.15671653</v>
      </c>
      <c r="E354">
        <v>11776238.73873874</v>
      </c>
      <c r="F354">
        <v>94944048.648648649</v>
      </c>
      <c r="G354">
        <v>65</v>
      </c>
      <c r="H354">
        <v>78</v>
      </c>
      <c r="I354">
        <v>2</v>
      </c>
      <c r="K354">
        <v>86</v>
      </c>
      <c r="L354">
        <v>106</v>
      </c>
      <c r="M354">
        <v>39735270.270270258</v>
      </c>
      <c r="N354">
        <v>51182432.432432435</v>
      </c>
      <c r="O354">
        <v>87971441.441441447</v>
      </c>
      <c r="P354">
        <v>91544549.54954955</v>
      </c>
      <c r="Q354">
        <v>40622792.79279279</v>
      </c>
      <c r="R354">
        <v>46130270.270270273</v>
      </c>
      <c r="S354">
        <v>31492</v>
      </c>
      <c r="T354">
        <v>31593</v>
      </c>
    </row>
    <row r="355" spans="1:20" x14ac:dyDescent="0.35">
      <c r="A355" s="7" t="s">
        <v>451</v>
      </c>
      <c r="B355" s="12" t="s">
        <v>70</v>
      </c>
      <c r="C355">
        <v>31604867.653853711</v>
      </c>
      <c r="D355">
        <v>27433694.142253246</v>
      </c>
      <c r="E355">
        <v>9009.0090090089998</v>
      </c>
      <c r="F355">
        <v>9909.9099099100004</v>
      </c>
      <c r="G355">
        <v>2</v>
      </c>
      <c r="H355">
        <v>4</v>
      </c>
      <c r="K355">
        <v>2</v>
      </c>
      <c r="L355">
        <v>4</v>
      </c>
      <c r="M355">
        <v>9009.0090090089998</v>
      </c>
      <c r="N355">
        <v>654954.95495495503</v>
      </c>
      <c r="O355">
        <v>17926261.261261258</v>
      </c>
      <c r="P355">
        <v>16354405.405405406</v>
      </c>
      <c r="Q355">
        <v>466396.39639639697</v>
      </c>
      <c r="R355">
        <v>376126.12612612703</v>
      </c>
      <c r="S355">
        <v>2953</v>
      </c>
      <c r="T355">
        <v>2817</v>
      </c>
    </row>
    <row r="356" spans="1:20" x14ac:dyDescent="0.35">
      <c r="A356" s="7" t="s">
        <v>452</v>
      </c>
      <c r="B356" s="12" t="s">
        <v>167</v>
      </c>
      <c r="C356">
        <v>35157096.947357871</v>
      </c>
      <c r="D356">
        <v>33422356.108635496</v>
      </c>
      <c r="E356">
        <v>11711.711711712</v>
      </c>
      <c r="F356">
        <v>225225.225225225</v>
      </c>
      <c r="G356">
        <v>1</v>
      </c>
      <c r="K356">
        <v>1</v>
      </c>
      <c r="L356">
        <v>1</v>
      </c>
      <c r="M356">
        <v>2905045.0450450438</v>
      </c>
      <c r="N356">
        <v>450450.45045045001</v>
      </c>
      <c r="O356">
        <v>5938693.6936936928</v>
      </c>
      <c r="P356">
        <v>6127324.3243243238</v>
      </c>
      <c r="Q356">
        <v>2951441.44144144</v>
      </c>
      <c r="R356">
        <v>1516666.666666667</v>
      </c>
      <c r="S356">
        <v>2748</v>
      </c>
      <c r="T356">
        <v>2881</v>
      </c>
    </row>
    <row r="357" spans="1:20" x14ac:dyDescent="0.35">
      <c r="A357" s="7" t="s">
        <v>453</v>
      </c>
      <c r="B357" s="12" t="s">
        <v>121</v>
      </c>
      <c r="C357">
        <v>2038050.620303818</v>
      </c>
      <c r="D357">
        <v>1795302.401863897</v>
      </c>
      <c r="F357">
        <v>34234.234234233998</v>
      </c>
      <c r="G357">
        <v>1</v>
      </c>
      <c r="K357">
        <v>1</v>
      </c>
      <c r="N357">
        <v>36036.036036035999</v>
      </c>
      <c r="O357">
        <v>148153.15315315299</v>
      </c>
      <c r="P357">
        <v>160090.09009009</v>
      </c>
      <c r="S357">
        <v>124</v>
      </c>
      <c r="T357">
        <v>127</v>
      </c>
    </row>
    <row r="358" spans="1:20" x14ac:dyDescent="0.35">
      <c r="A358" s="7" t="s">
        <v>454</v>
      </c>
      <c r="B358" s="12" t="s">
        <v>224</v>
      </c>
      <c r="C358">
        <v>14945336.487143444</v>
      </c>
      <c r="D358">
        <v>10724681.931290826</v>
      </c>
      <c r="L358">
        <v>1</v>
      </c>
      <c r="O358">
        <v>2554459.4594594589</v>
      </c>
      <c r="P358">
        <v>2305270.2702702698</v>
      </c>
      <c r="Q358">
        <v>26126.126126126001</v>
      </c>
      <c r="R358">
        <v>45045.045045045001</v>
      </c>
      <c r="S358">
        <v>1309</v>
      </c>
      <c r="T358">
        <v>1304</v>
      </c>
    </row>
    <row r="359" spans="1:20" x14ac:dyDescent="0.35">
      <c r="A359" s="7" t="s">
        <v>455</v>
      </c>
      <c r="B359" s="12" t="s">
        <v>94</v>
      </c>
      <c r="C359">
        <v>15961037.137149556</v>
      </c>
      <c r="D359">
        <v>17908715.706204247</v>
      </c>
      <c r="E359">
        <v>46846.846846847002</v>
      </c>
      <c r="F359">
        <v>175675.675675676</v>
      </c>
      <c r="G359">
        <v>8</v>
      </c>
      <c r="H359">
        <v>7</v>
      </c>
      <c r="K359">
        <v>8</v>
      </c>
      <c r="L359">
        <v>8</v>
      </c>
      <c r="M359">
        <v>1545045.0450450459</v>
      </c>
      <c r="N359">
        <v>12031531.531531531</v>
      </c>
      <c r="O359">
        <v>3457837.8378378381</v>
      </c>
      <c r="P359">
        <v>4816752.2522522518</v>
      </c>
      <c r="Q359">
        <v>2848198.1981981979</v>
      </c>
      <c r="R359">
        <v>12828918.918918921</v>
      </c>
      <c r="S359">
        <v>1967</v>
      </c>
      <c r="T359">
        <v>2067</v>
      </c>
    </row>
    <row r="360" spans="1:20" x14ac:dyDescent="0.35">
      <c r="A360" s="7" t="s">
        <v>456</v>
      </c>
      <c r="B360" s="12" t="s">
        <v>60</v>
      </c>
      <c r="C360">
        <v>3393270.211805264</v>
      </c>
      <c r="D360">
        <v>2485577.2365428242</v>
      </c>
      <c r="E360">
        <v>287387.38738738699</v>
      </c>
      <c r="F360">
        <v>89189.189189188997</v>
      </c>
      <c r="G360">
        <v>1</v>
      </c>
      <c r="H360">
        <v>1</v>
      </c>
      <c r="K360">
        <v>1</v>
      </c>
      <c r="L360">
        <v>2</v>
      </c>
      <c r="M360">
        <v>918018.01801801799</v>
      </c>
      <c r="N360">
        <v>990090.09009008994</v>
      </c>
      <c r="O360">
        <v>1741846.8468468459</v>
      </c>
      <c r="P360">
        <v>918513.51351351396</v>
      </c>
      <c r="Q360">
        <v>460360.36036036001</v>
      </c>
      <c r="R360">
        <v>63513.513513514001</v>
      </c>
      <c r="S360">
        <v>625</v>
      </c>
      <c r="T360">
        <v>540</v>
      </c>
    </row>
    <row r="361" spans="1:20" x14ac:dyDescent="0.35">
      <c r="A361" s="7" t="s">
        <v>457</v>
      </c>
      <c r="B361" s="12" t="s">
        <v>214</v>
      </c>
      <c r="C361">
        <v>44048134.702946074</v>
      </c>
      <c r="D361">
        <v>46518573.210069366</v>
      </c>
      <c r="F361">
        <v>198198.19819819799</v>
      </c>
      <c r="G361">
        <v>5</v>
      </c>
      <c r="H361">
        <v>4</v>
      </c>
      <c r="K361">
        <v>6</v>
      </c>
      <c r="L361">
        <v>6</v>
      </c>
      <c r="M361">
        <v>450450.45045045001</v>
      </c>
      <c r="N361">
        <v>198198.19819819799</v>
      </c>
      <c r="O361">
        <v>22976621.621621624</v>
      </c>
      <c r="P361">
        <v>22997522.52252252</v>
      </c>
      <c r="Q361">
        <v>432432.43243243202</v>
      </c>
      <c r="R361">
        <v>1099099.0990990989</v>
      </c>
      <c r="S361">
        <v>3085</v>
      </c>
      <c r="T361">
        <v>3043</v>
      </c>
    </row>
    <row r="362" spans="1:20" x14ac:dyDescent="0.35">
      <c r="A362" s="7" t="s">
        <v>458</v>
      </c>
      <c r="B362" s="12" t="s">
        <v>459</v>
      </c>
      <c r="C362">
        <v>193420616.74230379</v>
      </c>
      <c r="D362">
        <v>183362105.30666506</v>
      </c>
      <c r="E362">
        <v>989909.90990991204</v>
      </c>
      <c r="F362">
        <v>2204954.9549549608</v>
      </c>
      <c r="G362">
        <v>50</v>
      </c>
      <c r="H362">
        <v>55</v>
      </c>
      <c r="I362">
        <v>2</v>
      </c>
      <c r="K362">
        <v>80</v>
      </c>
      <c r="L362">
        <v>85</v>
      </c>
      <c r="M362">
        <v>26762432.432432428</v>
      </c>
      <c r="N362">
        <v>71750090.090090081</v>
      </c>
      <c r="O362">
        <v>63645396.396396391</v>
      </c>
      <c r="P362">
        <v>67046054.054054059</v>
      </c>
      <c r="Q362">
        <v>22190270.270270269</v>
      </c>
      <c r="R362">
        <v>32084504.504504506</v>
      </c>
      <c r="S362">
        <v>24615</v>
      </c>
      <c r="T362">
        <v>26311</v>
      </c>
    </row>
    <row r="363" spans="1:20" x14ac:dyDescent="0.35">
      <c r="A363" s="7" t="s">
        <v>460</v>
      </c>
      <c r="B363" s="12" t="s">
        <v>459</v>
      </c>
      <c r="C363">
        <v>325784853.99390334</v>
      </c>
      <c r="D363">
        <v>318392568.38303858</v>
      </c>
      <c r="E363">
        <v>5380360.3603603626</v>
      </c>
      <c r="F363">
        <v>2270270.2702702759</v>
      </c>
      <c r="G363">
        <v>86</v>
      </c>
      <c r="H363">
        <v>62</v>
      </c>
      <c r="K363">
        <v>151</v>
      </c>
      <c r="L363">
        <v>101</v>
      </c>
      <c r="M363">
        <v>26169054.054054055</v>
      </c>
      <c r="N363">
        <v>23249549.549549539</v>
      </c>
      <c r="O363">
        <v>88246342.342342332</v>
      </c>
      <c r="P363">
        <v>99686977.477477476</v>
      </c>
      <c r="Q363">
        <v>22643288.288288284</v>
      </c>
      <c r="R363">
        <v>23974324.324324317</v>
      </c>
      <c r="S363">
        <v>31618</v>
      </c>
      <c r="T363">
        <v>30479</v>
      </c>
    </row>
    <row r="364" spans="1:20" x14ac:dyDescent="0.35">
      <c r="A364" s="7" t="s">
        <v>461</v>
      </c>
      <c r="B364" s="12" t="s">
        <v>459</v>
      </c>
      <c r="C364">
        <v>290216548.9605577</v>
      </c>
      <c r="D364">
        <v>295632157.2951113</v>
      </c>
      <c r="E364">
        <v>110277927.92792794</v>
      </c>
      <c r="F364">
        <v>181471351.35135135</v>
      </c>
      <c r="G364">
        <v>63</v>
      </c>
      <c r="H364">
        <v>62</v>
      </c>
      <c r="I364">
        <v>2</v>
      </c>
      <c r="K364">
        <v>88</v>
      </c>
      <c r="L364">
        <v>122</v>
      </c>
      <c r="M364">
        <v>688639144.14414418</v>
      </c>
      <c r="N364">
        <v>19033783.783783779</v>
      </c>
      <c r="O364">
        <v>75320644.144144148</v>
      </c>
      <c r="P364">
        <v>85361549.54954955</v>
      </c>
      <c r="Q364">
        <v>709145675.67567563</v>
      </c>
      <c r="R364">
        <v>30814594.594594587</v>
      </c>
      <c r="S364">
        <v>23465</v>
      </c>
      <c r="T364">
        <v>23100</v>
      </c>
    </row>
    <row r="365" spans="1:20" x14ac:dyDescent="0.35">
      <c r="A365" s="7" t="s">
        <v>462</v>
      </c>
      <c r="B365" s="12" t="s">
        <v>459</v>
      </c>
      <c r="C365">
        <v>212082581.10309014</v>
      </c>
      <c r="D365">
        <v>204794855.08832562</v>
      </c>
      <c r="E365">
        <v>83243.243243245</v>
      </c>
      <c r="F365">
        <v>633333.33333333698</v>
      </c>
      <c r="G365">
        <v>43</v>
      </c>
      <c r="H365">
        <v>39</v>
      </c>
      <c r="K365">
        <v>54</v>
      </c>
      <c r="L365">
        <v>76</v>
      </c>
      <c r="M365">
        <v>10397207.207207205</v>
      </c>
      <c r="N365">
        <v>13194054.054054046</v>
      </c>
      <c r="O365">
        <v>45872691.891891889</v>
      </c>
      <c r="P365">
        <v>50385531.531531535</v>
      </c>
      <c r="Q365">
        <v>14116666.666666666</v>
      </c>
      <c r="R365">
        <v>12264954.954954945</v>
      </c>
      <c r="S365">
        <v>18814</v>
      </c>
      <c r="T365">
        <v>18266</v>
      </c>
    </row>
    <row r="366" spans="1:20" x14ac:dyDescent="0.35">
      <c r="A366" s="7" t="s">
        <v>463</v>
      </c>
      <c r="B366" s="12" t="s">
        <v>459</v>
      </c>
      <c r="C366">
        <v>205295190.23679107</v>
      </c>
      <c r="D366">
        <v>209515726.90412265</v>
      </c>
      <c r="E366">
        <v>610810.81081081205</v>
      </c>
      <c r="F366">
        <v>2529054.0540540619</v>
      </c>
      <c r="G366">
        <v>53</v>
      </c>
      <c r="H366">
        <v>67</v>
      </c>
      <c r="K366">
        <v>68</v>
      </c>
      <c r="L366">
        <v>134</v>
      </c>
      <c r="M366">
        <v>11434054.054054048</v>
      </c>
      <c r="N366">
        <v>24422792.792792782</v>
      </c>
      <c r="O366">
        <v>74943324.324324325</v>
      </c>
      <c r="P366">
        <v>84603396.396396399</v>
      </c>
      <c r="Q366">
        <v>12594684.684684679</v>
      </c>
      <c r="R366">
        <v>23117477.477477472</v>
      </c>
      <c r="S366">
        <v>26395</v>
      </c>
      <c r="T366">
        <v>26401</v>
      </c>
    </row>
    <row r="367" spans="1:20" x14ac:dyDescent="0.35">
      <c r="A367" s="7" t="s">
        <v>464</v>
      </c>
      <c r="B367" s="12" t="s">
        <v>459</v>
      </c>
      <c r="C367">
        <v>232275965.13427737</v>
      </c>
      <c r="D367">
        <v>242190106.87134111</v>
      </c>
      <c r="E367">
        <v>561670600</v>
      </c>
      <c r="F367">
        <v>174943684.68468469</v>
      </c>
      <c r="G367">
        <v>90</v>
      </c>
      <c r="H367">
        <v>61</v>
      </c>
      <c r="K367">
        <v>118</v>
      </c>
      <c r="L367">
        <v>88</v>
      </c>
      <c r="M367">
        <v>25977207.207207203</v>
      </c>
      <c r="N367">
        <v>34827342.342342325</v>
      </c>
      <c r="O367">
        <v>100892945.94594593</v>
      </c>
      <c r="P367">
        <v>105212594.5945946</v>
      </c>
      <c r="Q367">
        <v>29934684.684684686</v>
      </c>
      <c r="R367">
        <v>34253648.648648635</v>
      </c>
      <c r="S367">
        <v>28324</v>
      </c>
      <c r="T367">
        <v>28466</v>
      </c>
    </row>
    <row r="368" spans="1:20" x14ac:dyDescent="0.35">
      <c r="A368" s="7" t="s">
        <v>465</v>
      </c>
      <c r="B368" s="12" t="s">
        <v>54</v>
      </c>
      <c r="C368">
        <v>16669385.395102177</v>
      </c>
      <c r="D368">
        <v>15810837.898012748</v>
      </c>
      <c r="E368">
        <v>8108.1081081089997</v>
      </c>
      <c r="F368">
        <v>54054.054054054002</v>
      </c>
      <c r="G368">
        <v>1</v>
      </c>
      <c r="H368">
        <v>3</v>
      </c>
      <c r="K368">
        <v>1</v>
      </c>
      <c r="L368">
        <v>3</v>
      </c>
      <c r="M368">
        <v>774774.77477477503</v>
      </c>
      <c r="N368">
        <v>1371891.8918918909</v>
      </c>
      <c r="O368">
        <v>3680225.2252252251</v>
      </c>
      <c r="P368">
        <v>3024072.0720720729</v>
      </c>
      <c r="Q368">
        <v>1177477.4774774769</v>
      </c>
      <c r="R368">
        <v>882792.79279279395</v>
      </c>
      <c r="S368">
        <v>1274</v>
      </c>
      <c r="T368">
        <v>1227</v>
      </c>
    </row>
    <row r="369" spans="1:20" x14ac:dyDescent="0.35">
      <c r="A369" s="7" t="s">
        <v>466</v>
      </c>
      <c r="B369" s="12" t="s">
        <v>87</v>
      </c>
      <c r="C369">
        <v>741817.63935310103</v>
      </c>
      <c r="D369">
        <v>613278.48251185694</v>
      </c>
      <c r="O369">
        <v>257432.43243243199</v>
      </c>
      <c r="P369">
        <v>140765.765765766</v>
      </c>
      <c r="S369">
        <v>97</v>
      </c>
      <c r="T369">
        <v>88</v>
      </c>
    </row>
    <row r="370" spans="1:20" x14ac:dyDescent="0.35">
      <c r="A370" s="7" t="s">
        <v>467</v>
      </c>
      <c r="B370" s="12" t="s">
        <v>143</v>
      </c>
      <c r="C370">
        <v>88350372.637362227</v>
      </c>
      <c r="D370">
        <v>75458996.621259853</v>
      </c>
      <c r="E370">
        <v>24324.324324323999</v>
      </c>
      <c r="F370">
        <v>117117.117117118</v>
      </c>
      <c r="G370">
        <v>27</v>
      </c>
      <c r="H370">
        <v>14</v>
      </c>
      <c r="K370">
        <v>30</v>
      </c>
      <c r="L370">
        <v>30</v>
      </c>
      <c r="M370">
        <v>4303603.6036036033</v>
      </c>
      <c r="N370">
        <v>7774774.7747747749</v>
      </c>
      <c r="O370">
        <v>14172279.27927928</v>
      </c>
      <c r="P370">
        <v>11117446.846846847</v>
      </c>
      <c r="Q370">
        <v>4389009.0090090092</v>
      </c>
      <c r="R370">
        <v>2919459.4594594589</v>
      </c>
      <c r="S370">
        <v>5048</v>
      </c>
      <c r="T370">
        <v>4946</v>
      </c>
    </row>
    <row r="371" spans="1:20" x14ac:dyDescent="0.35">
      <c r="A371" s="7" t="s">
        <v>468</v>
      </c>
      <c r="B371" s="12" t="s">
        <v>80</v>
      </c>
      <c r="C371">
        <v>71246943.792124182</v>
      </c>
      <c r="D371">
        <v>65525404.933707379</v>
      </c>
      <c r="E371">
        <v>1801.801801802</v>
      </c>
      <c r="F371">
        <v>25675.675675677001</v>
      </c>
      <c r="G371">
        <v>8</v>
      </c>
      <c r="H371">
        <v>3</v>
      </c>
      <c r="K371">
        <v>8</v>
      </c>
      <c r="L371">
        <v>4</v>
      </c>
      <c r="M371">
        <v>1579279.27927928</v>
      </c>
      <c r="N371">
        <v>958108.10810810805</v>
      </c>
      <c r="O371">
        <v>25122133.333333332</v>
      </c>
      <c r="P371">
        <v>25176234.234234232</v>
      </c>
      <c r="Q371">
        <v>2553513.5135135138</v>
      </c>
      <c r="R371">
        <v>1364234.2342342341</v>
      </c>
      <c r="S371">
        <v>5181</v>
      </c>
      <c r="T371">
        <v>5109</v>
      </c>
    </row>
    <row r="372" spans="1:20" x14ac:dyDescent="0.35">
      <c r="A372" s="7" t="s">
        <v>469</v>
      </c>
      <c r="B372" s="12" t="s">
        <v>470</v>
      </c>
      <c r="C372">
        <v>77302512.758379743</v>
      </c>
      <c r="D372">
        <v>79993376.668284163</v>
      </c>
      <c r="E372">
        <v>42072.072072071998</v>
      </c>
      <c r="F372">
        <v>621621.62162162201</v>
      </c>
      <c r="G372">
        <v>17</v>
      </c>
      <c r="H372">
        <v>7</v>
      </c>
      <c r="K372">
        <v>19</v>
      </c>
      <c r="L372">
        <v>8</v>
      </c>
      <c r="M372">
        <v>2654684.684684685</v>
      </c>
      <c r="N372">
        <v>4225225.2252252242</v>
      </c>
      <c r="O372">
        <v>24047225.225225225</v>
      </c>
      <c r="P372">
        <v>24851792.792792793</v>
      </c>
      <c r="Q372">
        <v>3125945.9459459451</v>
      </c>
      <c r="R372">
        <v>3993603.6036036038</v>
      </c>
      <c r="S372">
        <v>5325</v>
      </c>
      <c r="T372">
        <v>5540</v>
      </c>
    </row>
    <row r="373" spans="1:20" x14ac:dyDescent="0.35">
      <c r="A373" s="7" t="s">
        <v>471</v>
      </c>
      <c r="B373" s="12" t="s">
        <v>470</v>
      </c>
      <c r="C373">
        <v>7207676.8782793209</v>
      </c>
      <c r="D373">
        <v>6329771.136484351</v>
      </c>
      <c r="O373">
        <v>550315.31531531503</v>
      </c>
      <c r="P373">
        <v>665180.18018018</v>
      </c>
      <c r="S373">
        <v>620</v>
      </c>
      <c r="T373">
        <v>377</v>
      </c>
    </row>
    <row r="374" spans="1:20" x14ac:dyDescent="0.35">
      <c r="A374" s="7" t="s">
        <v>472</v>
      </c>
      <c r="B374" s="12" t="s">
        <v>470</v>
      </c>
      <c r="C374">
        <v>770933.84050881804</v>
      </c>
      <c r="D374">
        <v>906022.10875947506</v>
      </c>
      <c r="E374">
        <v>1801.801801802</v>
      </c>
      <c r="F374">
        <v>103603.603603604</v>
      </c>
      <c r="M374">
        <v>1801.801801802</v>
      </c>
      <c r="N374">
        <v>103603.603603604</v>
      </c>
      <c r="O374">
        <v>226801.80180180201</v>
      </c>
      <c r="P374">
        <v>316756.75675675698</v>
      </c>
      <c r="Q374">
        <v>136936.93693693701</v>
      </c>
      <c r="S374">
        <v>392</v>
      </c>
      <c r="T374">
        <v>510</v>
      </c>
    </row>
    <row r="375" spans="1:20" x14ac:dyDescent="0.35">
      <c r="A375" s="7" t="s">
        <v>473</v>
      </c>
      <c r="B375" s="12" t="s">
        <v>470</v>
      </c>
      <c r="C375">
        <v>27291804.257332113</v>
      </c>
      <c r="D375">
        <v>28735796.96535271</v>
      </c>
      <c r="E375">
        <v>187387.38738738699</v>
      </c>
      <c r="F375">
        <v>97297.297297297002</v>
      </c>
      <c r="G375">
        <v>2</v>
      </c>
      <c r="H375">
        <v>5</v>
      </c>
      <c r="K375">
        <v>4</v>
      </c>
      <c r="L375">
        <v>7</v>
      </c>
      <c r="M375">
        <v>187387.38738738699</v>
      </c>
      <c r="N375">
        <v>187387.38738738699</v>
      </c>
      <c r="O375">
        <v>3698054.054054054</v>
      </c>
      <c r="P375">
        <v>4721441.441441441</v>
      </c>
      <c r="Q375">
        <v>3193513.5135135138</v>
      </c>
      <c r="R375">
        <v>7435945.9459459456</v>
      </c>
      <c r="S375">
        <v>2121</v>
      </c>
      <c r="T375">
        <v>2131</v>
      </c>
    </row>
    <row r="376" spans="1:20" x14ac:dyDescent="0.35">
      <c r="A376" s="7" t="s">
        <v>474</v>
      </c>
      <c r="B376" s="12" t="s">
        <v>470</v>
      </c>
      <c r="C376">
        <v>39098181.966362789</v>
      </c>
      <c r="D376">
        <v>40260768.295539893</v>
      </c>
      <c r="E376">
        <v>17657.657657658001</v>
      </c>
      <c r="F376">
        <v>174774.77477477599</v>
      </c>
      <c r="G376">
        <v>10</v>
      </c>
      <c r="H376">
        <v>14</v>
      </c>
      <c r="K376">
        <v>10</v>
      </c>
      <c r="L376">
        <v>14</v>
      </c>
      <c r="M376">
        <v>2538828.8288288289</v>
      </c>
      <c r="N376">
        <v>278828.82882882998</v>
      </c>
      <c r="O376">
        <v>9044279.2792792805</v>
      </c>
      <c r="P376">
        <v>9046486.4864864852</v>
      </c>
      <c r="Q376">
        <v>1203333.333333333</v>
      </c>
      <c r="R376">
        <v>808198.19819819799</v>
      </c>
      <c r="S376">
        <v>2440</v>
      </c>
      <c r="T376">
        <v>2460</v>
      </c>
    </row>
    <row r="377" spans="1:20" x14ac:dyDescent="0.35">
      <c r="A377" s="7" t="s">
        <v>475</v>
      </c>
      <c r="B377" s="12" t="s">
        <v>470</v>
      </c>
      <c r="C377">
        <v>15369314.481785117</v>
      </c>
      <c r="D377">
        <v>15053394.306825615</v>
      </c>
      <c r="E377">
        <v>5405.4054054050002</v>
      </c>
      <c r="F377">
        <v>94594.594594595997</v>
      </c>
      <c r="G377">
        <v>2</v>
      </c>
      <c r="H377">
        <v>1</v>
      </c>
      <c r="K377">
        <v>2</v>
      </c>
      <c r="L377">
        <v>1</v>
      </c>
      <c r="M377">
        <v>455855.85585585498</v>
      </c>
      <c r="N377">
        <v>1445945.945945947</v>
      </c>
      <c r="O377">
        <v>3224099.0990990992</v>
      </c>
      <c r="P377">
        <v>2942720.72072072</v>
      </c>
      <c r="Q377">
        <v>904504.50450450496</v>
      </c>
      <c r="R377">
        <v>1157117.1171171169</v>
      </c>
      <c r="S377">
        <v>1405</v>
      </c>
      <c r="T377">
        <v>1393</v>
      </c>
    </row>
    <row r="378" spans="1:20" x14ac:dyDescent="0.35">
      <c r="A378" s="7" t="s">
        <v>476</v>
      </c>
      <c r="B378" s="12" t="s">
        <v>470</v>
      </c>
      <c r="C378">
        <v>143236316.0968959</v>
      </c>
      <c r="D378">
        <v>152252854.6100544</v>
      </c>
      <c r="E378">
        <v>900135.13513513596</v>
      </c>
      <c r="F378">
        <v>3179279.279279286</v>
      </c>
      <c r="G378">
        <v>21</v>
      </c>
      <c r="H378">
        <v>68</v>
      </c>
      <c r="K378">
        <v>34</v>
      </c>
      <c r="L378">
        <v>122</v>
      </c>
      <c r="M378">
        <v>25672342.342342339</v>
      </c>
      <c r="N378">
        <v>20237387.387387387</v>
      </c>
      <c r="O378">
        <v>33851111.711711712</v>
      </c>
      <c r="P378">
        <v>39985944.144144148</v>
      </c>
      <c r="Q378">
        <v>26626216.216216218</v>
      </c>
      <c r="R378">
        <v>20259189.189189192</v>
      </c>
      <c r="S378">
        <v>16042</v>
      </c>
      <c r="T378">
        <v>16115</v>
      </c>
    </row>
    <row r="379" spans="1:20" x14ac:dyDescent="0.35">
      <c r="A379" s="7" t="s">
        <v>477</v>
      </c>
      <c r="B379" s="12" t="s">
        <v>260</v>
      </c>
      <c r="C379">
        <v>163887683.89075252</v>
      </c>
      <c r="D379">
        <v>176645233.00147596</v>
      </c>
      <c r="E379">
        <v>111801.80180180199</v>
      </c>
      <c r="F379">
        <v>675000</v>
      </c>
      <c r="G379">
        <v>28</v>
      </c>
      <c r="H379">
        <v>22</v>
      </c>
      <c r="K379">
        <v>30</v>
      </c>
      <c r="L379">
        <v>25</v>
      </c>
      <c r="M379">
        <v>15255945.945945945</v>
      </c>
      <c r="N379">
        <v>22617117.117117122</v>
      </c>
      <c r="O379">
        <v>38976837.837837838</v>
      </c>
      <c r="P379">
        <v>46534860.360360362</v>
      </c>
      <c r="Q379">
        <v>15745675.675675677</v>
      </c>
      <c r="R379">
        <v>24910090.090090089</v>
      </c>
      <c r="S379">
        <v>11227</v>
      </c>
      <c r="T379">
        <v>11501</v>
      </c>
    </row>
    <row r="380" spans="1:20" x14ac:dyDescent="0.35">
      <c r="A380" s="7" t="s">
        <v>478</v>
      </c>
      <c r="B380" s="12" t="s">
        <v>479</v>
      </c>
      <c r="C380">
        <v>12877792.161488499</v>
      </c>
      <c r="D380">
        <v>12513128.011383275</v>
      </c>
      <c r="E380">
        <v>405405.40540540498</v>
      </c>
      <c r="F380">
        <v>135135.135135135</v>
      </c>
      <c r="G380">
        <v>3</v>
      </c>
      <c r="H380">
        <v>3</v>
      </c>
      <c r="K380">
        <v>3</v>
      </c>
      <c r="L380">
        <v>3</v>
      </c>
      <c r="M380">
        <v>11757657.657657659</v>
      </c>
      <c r="N380">
        <v>3157657.6576576582</v>
      </c>
      <c r="O380">
        <v>3001891.8918918911</v>
      </c>
      <c r="P380">
        <v>2719279.2792792791</v>
      </c>
      <c r="Q380">
        <v>11962612.612612613</v>
      </c>
      <c r="R380">
        <v>3122522.5225225221</v>
      </c>
      <c r="S380">
        <v>782</v>
      </c>
      <c r="T380">
        <v>783</v>
      </c>
    </row>
    <row r="381" spans="1:20" x14ac:dyDescent="0.35">
      <c r="A381" s="7" t="s">
        <v>480</v>
      </c>
      <c r="B381" s="12" t="s">
        <v>123</v>
      </c>
      <c r="C381">
        <v>93040742.215186626</v>
      </c>
      <c r="D381">
        <v>87237801.582611009</v>
      </c>
      <c r="E381">
        <v>385135.13513513497</v>
      </c>
      <c r="F381">
        <v>137837.83783783999</v>
      </c>
      <c r="G381">
        <v>12</v>
      </c>
      <c r="H381">
        <v>16</v>
      </c>
      <c r="K381">
        <v>13</v>
      </c>
      <c r="L381">
        <v>21</v>
      </c>
      <c r="M381">
        <v>5164774.774774773</v>
      </c>
      <c r="N381">
        <v>6612162.1621621596</v>
      </c>
      <c r="O381">
        <v>34321666.666666672</v>
      </c>
      <c r="P381">
        <v>33698121.621621624</v>
      </c>
      <c r="Q381">
        <v>5607387.3873873884</v>
      </c>
      <c r="R381">
        <v>6180000</v>
      </c>
      <c r="S381">
        <v>5644</v>
      </c>
      <c r="T381">
        <v>5469</v>
      </c>
    </row>
    <row r="382" spans="1:20" x14ac:dyDescent="0.35">
      <c r="A382" s="7" t="s">
        <v>481</v>
      </c>
      <c r="B382" s="12" t="s">
        <v>470</v>
      </c>
      <c r="C382">
        <v>7923002.0759763177</v>
      </c>
      <c r="D382">
        <v>7157387.0140347853</v>
      </c>
      <c r="E382">
        <v>20058519.819819819</v>
      </c>
      <c r="F382">
        <v>66648950.45045045</v>
      </c>
      <c r="G382">
        <v>1</v>
      </c>
      <c r="K382">
        <v>2</v>
      </c>
      <c r="L382">
        <v>1</v>
      </c>
      <c r="M382">
        <v>9251060.3603603598</v>
      </c>
      <c r="N382">
        <v>521621.62162162102</v>
      </c>
      <c r="O382">
        <v>1788594.594594595</v>
      </c>
      <c r="P382">
        <v>1426081.0810810809</v>
      </c>
      <c r="Q382">
        <v>148198.19819819799</v>
      </c>
      <c r="R382">
        <v>254594.594594594</v>
      </c>
      <c r="S382">
        <v>629</v>
      </c>
      <c r="T382">
        <v>606</v>
      </c>
    </row>
    <row r="383" spans="1:20" x14ac:dyDescent="0.35">
      <c r="A383" s="7" t="s">
        <v>482</v>
      </c>
      <c r="B383" s="12" t="s">
        <v>167</v>
      </c>
      <c r="C383">
        <v>71762212.948005468</v>
      </c>
      <c r="D383">
        <v>75472863.055634096</v>
      </c>
      <c r="E383">
        <v>161261.26126126101</v>
      </c>
      <c r="F383">
        <v>1103603.6036036061</v>
      </c>
      <c r="G383">
        <v>29</v>
      </c>
      <c r="H383">
        <v>34</v>
      </c>
      <c r="K383">
        <v>38</v>
      </c>
      <c r="L383">
        <v>85</v>
      </c>
      <c r="M383">
        <v>8150810.8108108155</v>
      </c>
      <c r="N383">
        <v>2975675.6756756771</v>
      </c>
      <c r="O383">
        <v>30420672.072072074</v>
      </c>
      <c r="P383">
        <v>31731094.59459459</v>
      </c>
      <c r="Q383">
        <v>7136576.5765765822</v>
      </c>
      <c r="R383">
        <v>4691261.2612612639</v>
      </c>
      <c r="S383">
        <v>9334</v>
      </c>
      <c r="T383">
        <v>8422</v>
      </c>
    </row>
    <row r="384" spans="1:20" x14ac:dyDescent="0.35">
      <c r="A384" s="7" t="s">
        <v>483</v>
      </c>
      <c r="B384" s="12" t="s">
        <v>167</v>
      </c>
      <c r="C384">
        <v>69845721.441580042</v>
      </c>
      <c r="D384">
        <v>81764807.467456609</v>
      </c>
      <c r="E384">
        <v>27597050.45045045</v>
      </c>
      <c r="F384">
        <v>1675476.576576581</v>
      </c>
      <c r="G384">
        <v>37</v>
      </c>
      <c r="H384">
        <v>34</v>
      </c>
      <c r="K384">
        <v>59</v>
      </c>
      <c r="L384">
        <v>86</v>
      </c>
      <c r="M384">
        <v>17549999.999999996</v>
      </c>
      <c r="N384">
        <v>11108558.558558565</v>
      </c>
      <c r="O384">
        <v>28853873.873873871</v>
      </c>
      <c r="P384">
        <v>30759963.963963963</v>
      </c>
      <c r="Q384">
        <v>12077567.567567568</v>
      </c>
      <c r="R384">
        <v>10954684.684684692</v>
      </c>
      <c r="S384">
        <v>8711</v>
      </c>
      <c r="T384">
        <v>13047</v>
      </c>
    </row>
    <row r="385" spans="1:20" x14ac:dyDescent="0.35">
      <c r="A385" s="7" t="s">
        <v>484</v>
      </c>
      <c r="B385" s="12" t="s">
        <v>50</v>
      </c>
      <c r="C385">
        <v>54814203.668709129</v>
      </c>
      <c r="D385">
        <v>52446119.602060027</v>
      </c>
      <c r="E385">
        <v>462702.70270270499</v>
      </c>
      <c r="F385">
        <v>518918.91891892097</v>
      </c>
      <c r="G385">
        <v>25</v>
      </c>
      <c r="H385">
        <v>15</v>
      </c>
      <c r="K385">
        <v>27</v>
      </c>
      <c r="L385">
        <v>15</v>
      </c>
      <c r="M385">
        <v>7013693.6936936937</v>
      </c>
      <c r="N385">
        <v>5268828.8288288312</v>
      </c>
      <c r="O385">
        <v>22928783.783783782</v>
      </c>
      <c r="P385">
        <v>22666153.153153151</v>
      </c>
      <c r="Q385">
        <v>8352162.1621621614</v>
      </c>
      <c r="R385">
        <v>6512702.702702702</v>
      </c>
      <c r="S385">
        <v>3777</v>
      </c>
      <c r="T385">
        <v>3647</v>
      </c>
    </row>
    <row r="386" spans="1:20" x14ac:dyDescent="0.35">
      <c r="A386" s="7" t="s">
        <v>485</v>
      </c>
      <c r="B386" s="12" t="s">
        <v>134</v>
      </c>
      <c r="C386">
        <v>75853983.403875798</v>
      </c>
      <c r="D386">
        <v>69995119.114784211</v>
      </c>
      <c r="E386">
        <v>64464075.675675683</v>
      </c>
      <c r="F386">
        <v>93884268.468468457</v>
      </c>
      <c r="G386">
        <v>11</v>
      </c>
      <c r="H386">
        <v>8</v>
      </c>
      <c r="K386">
        <v>11</v>
      </c>
      <c r="L386">
        <v>11</v>
      </c>
      <c r="M386">
        <v>17642342.342342343</v>
      </c>
      <c r="N386">
        <v>15662162.162162162</v>
      </c>
      <c r="O386">
        <v>12946756.756756756</v>
      </c>
      <c r="P386">
        <v>12910882.882882884</v>
      </c>
      <c r="Q386">
        <v>6496126.1261261255</v>
      </c>
      <c r="R386">
        <v>4453783.7837837832</v>
      </c>
      <c r="S386">
        <v>4629</v>
      </c>
      <c r="T386">
        <v>4603</v>
      </c>
    </row>
    <row r="387" spans="1:20" x14ac:dyDescent="0.35">
      <c r="A387" s="7" t="s">
        <v>486</v>
      </c>
      <c r="B387" s="12" t="s">
        <v>76</v>
      </c>
      <c r="C387">
        <v>18336505.873279762</v>
      </c>
      <c r="D387">
        <v>14293843.72492354</v>
      </c>
      <c r="E387">
        <v>273873.87387387402</v>
      </c>
      <c r="F387">
        <v>418918.91891891899</v>
      </c>
      <c r="G387">
        <v>4</v>
      </c>
      <c r="H387">
        <v>1</v>
      </c>
      <c r="K387">
        <v>4</v>
      </c>
      <c r="L387">
        <v>1</v>
      </c>
      <c r="M387">
        <v>3742342.3423423409</v>
      </c>
      <c r="N387">
        <v>2774774.774774774</v>
      </c>
      <c r="O387">
        <v>6712490.9909909898</v>
      </c>
      <c r="P387">
        <v>5471126.1261261264</v>
      </c>
      <c r="Q387">
        <v>3369639.6396396388</v>
      </c>
      <c r="R387">
        <v>2890360.3603603598</v>
      </c>
      <c r="S387">
        <v>1508</v>
      </c>
      <c r="T387">
        <v>1474</v>
      </c>
    </row>
    <row r="388" spans="1:20" x14ac:dyDescent="0.35">
      <c r="A388" s="7" t="s">
        <v>487</v>
      </c>
      <c r="B388" s="12" t="s">
        <v>307</v>
      </c>
      <c r="C388">
        <v>113830859.36113937</v>
      </c>
      <c r="D388">
        <v>112262202.6662323</v>
      </c>
      <c r="E388">
        <v>162162.162162163</v>
      </c>
      <c r="F388">
        <v>995495.495495499</v>
      </c>
      <c r="G388">
        <v>17</v>
      </c>
      <c r="H388">
        <v>28</v>
      </c>
      <c r="K388">
        <v>24</v>
      </c>
      <c r="L388">
        <v>36</v>
      </c>
      <c r="M388">
        <v>13382792.792792792</v>
      </c>
      <c r="N388">
        <v>14182747.747747747</v>
      </c>
      <c r="O388">
        <v>44337441.441441439</v>
      </c>
      <c r="P388">
        <v>47632360.360360362</v>
      </c>
      <c r="Q388">
        <v>13460270.270270269</v>
      </c>
      <c r="R388">
        <v>16494459.459459459</v>
      </c>
      <c r="S388">
        <v>11409</v>
      </c>
      <c r="T388">
        <v>13271</v>
      </c>
    </row>
    <row r="389" spans="1:20" x14ac:dyDescent="0.35">
      <c r="A389" s="7" t="s">
        <v>488</v>
      </c>
      <c r="B389" s="12" t="s">
        <v>315</v>
      </c>
      <c r="C389">
        <v>28212962.315396558</v>
      </c>
      <c r="D389">
        <v>23118404.74627474</v>
      </c>
      <c r="E389">
        <v>4300791.8918918921</v>
      </c>
      <c r="F389">
        <v>21345858.558558561</v>
      </c>
      <c r="G389">
        <v>4</v>
      </c>
      <c r="H389">
        <v>2</v>
      </c>
      <c r="K389">
        <v>5</v>
      </c>
      <c r="L389">
        <v>4</v>
      </c>
      <c r="M389">
        <v>38306936.936936945</v>
      </c>
      <c r="N389">
        <v>11368738.73873874</v>
      </c>
      <c r="O389">
        <v>12858783.783783784</v>
      </c>
      <c r="P389">
        <v>10009315.315315315</v>
      </c>
      <c r="Q389">
        <v>12095945.945945948</v>
      </c>
      <c r="R389">
        <v>3388018.018018018</v>
      </c>
      <c r="S389">
        <v>1630</v>
      </c>
      <c r="T389">
        <v>1616</v>
      </c>
    </row>
    <row r="390" spans="1:20" x14ac:dyDescent="0.35">
      <c r="A390" s="7" t="s">
        <v>489</v>
      </c>
      <c r="B390" s="12" t="s">
        <v>181</v>
      </c>
      <c r="C390">
        <v>62826029.670814753</v>
      </c>
      <c r="D390">
        <v>59194205.428696312</v>
      </c>
      <c r="E390">
        <v>18018.018018019</v>
      </c>
      <c r="F390">
        <v>233783.78378378399</v>
      </c>
      <c r="G390">
        <v>29</v>
      </c>
      <c r="H390">
        <v>26</v>
      </c>
      <c r="K390">
        <v>38</v>
      </c>
      <c r="L390">
        <v>44</v>
      </c>
      <c r="M390">
        <v>4916126.1261261236</v>
      </c>
      <c r="N390">
        <v>4607207.2072072057</v>
      </c>
      <c r="O390">
        <v>16913603.603603605</v>
      </c>
      <c r="P390">
        <v>18130657.657657657</v>
      </c>
      <c r="Q390">
        <v>3169549.549549548</v>
      </c>
      <c r="R390">
        <v>4473693.6936936928</v>
      </c>
      <c r="S390">
        <v>6385</v>
      </c>
      <c r="T390">
        <v>6447</v>
      </c>
    </row>
    <row r="391" spans="1:20" x14ac:dyDescent="0.35">
      <c r="A391" s="7" t="s">
        <v>490</v>
      </c>
      <c r="B391" s="12" t="s">
        <v>220</v>
      </c>
      <c r="C391">
        <v>38543710.192148544</v>
      </c>
      <c r="D391">
        <v>34942945.907774061</v>
      </c>
      <c r="E391">
        <v>2702.7027027029999</v>
      </c>
      <c r="F391">
        <v>13513.513513514001</v>
      </c>
      <c r="G391">
        <v>9</v>
      </c>
      <c r="H391">
        <v>13</v>
      </c>
      <c r="K391">
        <v>12</v>
      </c>
      <c r="L391">
        <v>18</v>
      </c>
      <c r="M391">
        <v>2702.7027027029999</v>
      </c>
      <c r="N391">
        <v>489189.189189189</v>
      </c>
      <c r="O391">
        <v>9759639.6396396402</v>
      </c>
      <c r="P391">
        <v>8618025.2252252232</v>
      </c>
      <c r="Q391">
        <v>263963.96396396402</v>
      </c>
      <c r="R391">
        <v>534234.23423423397</v>
      </c>
      <c r="S391">
        <v>4045</v>
      </c>
      <c r="T391">
        <v>3957</v>
      </c>
    </row>
    <row r="392" spans="1:20" x14ac:dyDescent="0.35">
      <c r="A392" s="7" t="s">
        <v>491</v>
      </c>
      <c r="B392" s="12" t="s">
        <v>220</v>
      </c>
      <c r="C392">
        <v>12814107.581913132</v>
      </c>
      <c r="D392">
        <v>11264292.945834519</v>
      </c>
      <c r="E392">
        <v>6306.3063063059999</v>
      </c>
      <c r="F392">
        <v>330630.630630631</v>
      </c>
      <c r="G392">
        <v>8</v>
      </c>
      <c r="H392">
        <v>5</v>
      </c>
      <c r="K392">
        <v>9</v>
      </c>
      <c r="L392">
        <v>5</v>
      </c>
      <c r="M392">
        <v>1336036.036036035</v>
      </c>
      <c r="N392">
        <v>14958108.108108109</v>
      </c>
      <c r="O392">
        <v>3803963.963963964</v>
      </c>
      <c r="P392">
        <v>3252477.4774774779</v>
      </c>
      <c r="Q392">
        <v>1682342.3423423411</v>
      </c>
      <c r="R392">
        <v>14165135.135135137</v>
      </c>
      <c r="S392">
        <v>1208</v>
      </c>
      <c r="T392">
        <v>1181</v>
      </c>
    </row>
    <row r="393" spans="1:20" x14ac:dyDescent="0.35">
      <c r="A393" s="7" t="s">
        <v>492</v>
      </c>
      <c r="B393" s="12" t="s">
        <v>60</v>
      </c>
      <c r="C393">
        <v>46784756.738009453</v>
      </c>
      <c r="D393">
        <v>39589967.193035133</v>
      </c>
      <c r="E393">
        <v>727027.02702702698</v>
      </c>
      <c r="F393">
        <v>1400900.900900909</v>
      </c>
      <c r="G393">
        <v>5</v>
      </c>
      <c r="H393">
        <v>4</v>
      </c>
      <c r="K393">
        <v>6</v>
      </c>
      <c r="L393">
        <v>61</v>
      </c>
      <c r="M393">
        <v>12328828.828828832</v>
      </c>
      <c r="N393">
        <v>9244144.1441441439</v>
      </c>
      <c r="O393">
        <v>20147702.702702705</v>
      </c>
      <c r="P393">
        <v>17474837.837837838</v>
      </c>
      <c r="Q393">
        <v>10724234.234234236</v>
      </c>
      <c r="R393">
        <v>8537117.1171171144</v>
      </c>
      <c r="S393">
        <v>3650</v>
      </c>
      <c r="T393">
        <v>3669</v>
      </c>
    </row>
    <row r="394" spans="1:20" x14ac:dyDescent="0.35">
      <c r="A394" s="7" t="s">
        <v>493</v>
      </c>
      <c r="B394" s="12" t="s">
        <v>448</v>
      </c>
      <c r="C394">
        <v>51048348.571388513</v>
      </c>
      <c r="D394">
        <v>48917661.124866046</v>
      </c>
      <c r="E394">
        <v>70270.270270273002</v>
      </c>
      <c r="F394">
        <v>27027.027027028002</v>
      </c>
      <c r="G394">
        <v>26</v>
      </c>
      <c r="H394">
        <v>21</v>
      </c>
      <c r="K394">
        <v>29</v>
      </c>
      <c r="L394">
        <v>25</v>
      </c>
      <c r="M394">
        <v>4891216.2162162177</v>
      </c>
      <c r="N394">
        <v>4873873.8738738745</v>
      </c>
      <c r="O394">
        <v>18682108.108108107</v>
      </c>
      <c r="P394">
        <v>17374018.018018018</v>
      </c>
      <c r="Q394">
        <v>6018963.963963964</v>
      </c>
      <c r="R394">
        <v>5553423.4234234253</v>
      </c>
      <c r="S394">
        <v>4968</v>
      </c>
      <c r="T394">
        <v>4850</v>
      </c>
    </row>
    <row r="395" spans="1:20" x14ac:dyDescent="0.35">
      <c r="A395" s="7" t="s">
        <v>7</v>
      </c>
      <c r="B395" s="12" t="s">
        <v>193</v>
      </c>
      <c r="C395">
        <v>43167740.726685569</v>
      </c>
      <c r="D395">
        <v>42952870.440332823</v>
      </c>
      <c r="E395">
        <v>10360.360360361001</v>
      </c>
      <c r="F395">
        <v>123423.423423424</v>
      </c>
      <c r="G395">
        <v>13</v>
      </c>
      <c r="H395">
        <v>15</v>
      </c>
      <c r="K395">
        <v>13</v>
      </c>
      <c r="L395">
        <v>21</v>
      </c>
      <c r="M395">
        <v>9260810.8108108118</v>
      </c>
      <c r="N395">
        <v>6983783.7837837832</v>
      </c>
      <c r="O395">
        <v>28170945.945945945</v>
      </c>
      <c r="P395">
        <v>29941981.981981985</v>
      </c>
      <c r="Q395">
        <v>10140900.900900904</v>
      </c>
      <c r="R395">
        <v>8318288.2882882869</v>
      </c>
      <c r="S395">
        <v>5167</v>
      </c>
      <c r="T395">
        <v>4870</v>
      </c>
    </row>
    <row r="396" spans="1:20" x14ac:dyDescent="0.35">
      <c r="A396" s="7" t="s">
        <v>494</v>
      </c>
      <c r="B396" s="12" t="s">
        <v>330</v>
      </c>
      <c r="C396">
        <v>54544761.226773165</v>
      </c>
      <c r="D396">
        <v>49279354.569241293</v>
      </c>
      <c r="E396">
        <v>13513.513513513</v>
      </c>
      <c r="F396">
        <v>84684.684684684995</v>
      </c>
      <c r="G396">
        <v>22</v>
      </c>
      <c r="H396">
        <v>18</v>
      </c>
      <c r="K396">
        <v>26</v>
      </c>
      <c r="L396">
        <v>28</v>
      </c>
      <c r="M396">
        <v>1923423.4234234239</v>
      </c>
      <c r="N396">
        <v>2228828.8288288289</v>
      </c>
      <c r="O396">
        <v>14859324.324324325</v>
      </c>
      <c r="P396">
        <v>12363171.171171168</v>
      </c>
      <c r="Q396">
        <v>2256756.7567567569</v>
      </c>
      <c r="R396">
        <v>2283603.6036036038</v>
      </c>
      <c r="S396">
        <v>6521</v>
      </c>
      <c r="T396">
        <v>6014</v>
      </c>
    </row>
    <row r="397" spans="1:20" x14ac:dyDescent="0.35">
      <c r="A397" s="7" t="s">
        <v>495</v>
      </c>
      <c r="B397" s="12" t="s">
        <v>330</v>
      </c>
      <c r="C397">
        <v>79907059.621133894</v>
      </c>
      <c r="D397">
        <v>85285863.25057745</v>
      </c>
      <c r="E397">
        <v>19819.819819820001</v>
      </c>
      <c r="F397">
        <v>691666.66666667</v>
      </c>
      <c r="G397">
        <v>20</v>
      </c>
      <c r="H397">
        <v>22</v>
      </c>
      <c r="K397">
        <v>28</v>
      </c>
      <c r="L397">
        <v>29</v>
      </c>
      <c r="M397">
        <v>2082882.8828828831</v>
      </c>
      <c r="N397">
        <v>2728828.8288288321</v>
      </c>
      <c r="O397">
        <v>18402693.693693694</v>
      </c>
      <c r="P397">
        <v>20783018.018018015</v>
      </c>
      <c r="Q397">
        <v>2575495.4954954959</v>
      </c>
      <c r="R397">
        <v>2137027.02702703</v>
      </c>
      <c r="S397">
        <v>6937</v>
      </c>
      <c r="T397">
        <v>7699</v>
      </c>
    </row>
    <row r="398" spans="1:20" x14ac:dyDescent="0.35">
      <c r="A398" s="7" t="s">
        <v>496</v>
      </c>
      <c r="B398" s="12" t="s">
        <v>330</v>
      </c>
      <c r="C398">
        <v>89137304.285978094</v>
      </c>
      <c r="D398">
        <v>84307787.12575534</v>
      </c>
      <c r="E398">
        <v>53153.153153154999</v>
      </c>
      <c r="F398">
        <v>1361936.936936941</v>
      </c>
      <c r="G398">
        <v>42</v>
      </c>
      <c r="H398">
        <v>48</v>
      </c>
      <c r="K398">
        <v>55</v>
      </c>
      <c r="L398">
        <v>59</v>
      </c>
      <c r="M398">
        <v>5381801.8018017998</v>
      </c>
      <c r="N398">
        <v>8855855.8558558561</v>
      </c>
      <c r="O398">
        <v>19691432.432432432</v>
      </c>
      <c r="P398">
        <v>19225225.225225225</v>
      </c>
      <c r="Q398">
        <v>5997477.4774774779</v>
      </c>
      <c r="R398">
        <v>9380360.3603603598</v>
      </c>
      <c r="S398">
        <v>8559</v>
      </c>
      <c r="T398">
        <v>8310</v>
      </c>
    </row>
    <row r="399" spans="1:20" x14ac:dyDescent="0.35">
      <c r="A399" s="7" t="s">
        <v>497</v>
      </c>
      <c r="B399" s="12" t="s">
        <v>330</v>
      </c>
      <c r="C399">
        <v>351286744.43456721</v>
      </c>
      <c r="D399">
        <v>311053861.95704651</v>
      </c>
      <c r="E399">
        <v>357317571.17117119</v>
      </c>
      <c r="F399">
        <v>562152260.36036038</v>
      </c>
      <c r="G399">
        <v>100</v>
      </c>
      <c r="H399">
        <v>103</v>
      </c>
      <c r="K399">
        <v>125</v>
      </c>
      <c r="L399">
        <v>144</v>
      </c>
      <c r="M399">
        <v>97627207.207207203</v>
      </c>
      <c r="N399">
        <v>20272072.072072074</v>
      </c>
      <c r="O399">
        <v>61979441.441441439</v>
      </c>
      <c r="P399">
        <v>65731594.59459459</v>
      </c>
      <c r="Q399">
        <v>99270450.45045045</v>
      </c>
      <c r="R399">
        <v>17314054.054054055</v>
      </c>
      <c r="S399">
        <v>29182</v>
      </c>
      <c r="T399">
        <v>27367</v>
      </c>
    </row>
    <row r="400" spans="1:20" x14ac:dyDescent="0.35">
      <c r="A400" s="7" t="s">
        <v>498</v>
      </c>
      <c r="B400" s="12" t="s">
        <v>330</v>
      </c>
      <c r="C400">
        <v>272806641.89876384</v>
      </c>
      <c r="D400">
        <v>253513841.31334299</v>
      </c>
      <c r="E400">
        <v>1037567.56756757</v>
      </c>
      <c r="F400">
        <v>2248198.1981982058</v>
      </c>
      <c r="G400">
        <v>67</v>
      </c>
      <c r="H400">
        <v>66</v>
      </c>
      <c r="K400">
        <v>90</v>
      </c>
      <c r="L400">
        <v>97</v>
      </c>
      <c r="M400">
        <v>112633963.96396396</v>
      </c>
      <c r="N400">
        <v>25966666.666666664</v>
      </c>
      <c r="O400">
        <v>64465189.189189196</v>
      </c>
      <c r="P400">
        <v>61509126.126126125</v>
      </c>
      <c r="Q400">
        <v>110874864.86486487</v>
      </c>
      <c r="R400">
        <v>20555675.675675672</v>
      </c>
      <c r="S400">
        <v>27264</v>
      </c>
      <c r="T400">
        <v>26334</v>
      </c>
    </row>
    <row r="401" spans="1:20" x14ac:dyDescent="0.35">
      <c r="A401" s="7" t="s">
        <v>499</v>
      </c>
      <c r="B401" s="12" t="s">
        <v>143</v>
      </c>
      <c r="C401">
        <v>110732379.90593404</v>
      </c>
      <c r="D401">
        <v>112195926.01440839</v>
      </c>
      <c r="E401">
        <v>44144.144144145001</v>
      </c>
      <c r="F401">
        <v>603828.82882883097</v>
      </c>
      <c r="G401">
        <v>18</v>
      </c>
      <c r="H401">
        <v>23</v>
      </c>
      <c r="K401">
        <v>27</v>
      </c>
      <c r="L401">
        <v>31</v>
      </c>
      <c r="M401">
        <v>10378918.918918921</v>
      </c>
      <c r="N401">
        <v>11856756.756756758</v>
      </c>
      <c r="O401">
        <v>17050396.396396395</v>
      </c>
      <c r="P401">
        <v>18335153.153153151</v>
      </c>
      <c r="Q401">
        <v>5935045.0450450443</v>
      </c>
      <c r="R401">
        <v>6323603.6036036024</v>
      </c>
      <c r="S401">
        <v>7232</v>
      </c>
      <c r="T401">
        <v>8582</v>
      </c>
    </row>
    <row r="402" spans="1:20" x14ac:dyDescent="0.35">
      <c r="A402" s="7" t="s">
        <v>500</v>
      </c>
      <c r="B402" s="12" t="s">
        <v>220</v>
      </c>
      <c r="C402">
        <v>123954113.69098885</v>
      </c>
      <c r="D402">
        <v>128577353.76513854</v>
      </c>
      <c r="E402">
        <v>154521159.45945945</v>
      </c>
      <c r="F402">
        <v>203662573.87387389</v>
      </c>
      <c r="G402">
        <v>60</v>
      </c>
      <c r="H402">
        <v>44</v>
      </c>
      <c r="I402">
        <v>1</v>
      </c>
      <c r="K402">
        <v>76</v>
      </c>
      <c r="L402">
        <v>64</v>
      </c>
      <c r="M402">
        <v>55856081.081081077</v>
      </c>
      <c r="N402">
        <v>121318468.46846846</v>
      </c>
      <c r="O402">
        <v>37353630.630630635</v>
      </c>
      <c r="P402">
        <v>38624171.171171166</v>
      </c>
      <c r="Q402">
        <v>33976936.936936937</v>
      </c>
      <c r="R402">
        <v>111580000</v>
      </c>
      <c r="S402">
        <v>11551</v>
      </c>
      <c r="T402">
        <v>12036</v>
      </c>
    </row>
    <row r="403" spans="1:20" x14ac:dyDescent="0.35">
      <c r="A403" s="7" t="s">
        <v>501</v>
      </c>
      <c r="B403" s="12" t="s">
        <v>397</v>
      </c>
      <c r="C403">
        <v>362729595.10488546</v>
      </c>
      <c r="D403">
        <v>372151496.04426634</v>
      </c>
      <c r="E403">
        <v>1809203.603603604</v>
      </c>
      <c r="F403">
        <v>3161309.909909917</v>
      </c>
      <c r="G403">
        <v>86</v>
      </c>
      <c r="H403">
        <v>96</v>
      </c>
      <c r="K403">
        <v>106</v>
      </c>
      <c r="L403">
        <v>127</v>
      </c>
      <c r="M403">
        <v>40889369.369369365</v>
      </c>
      <c r="N403">
        <v>39179054.054054052</v>
      </c>
      <c r="O403">
        <v>72965962.162162155</v>
      </c>
      <c r="P403">
        <v>76308837.837837845</v>
      </c>
      <c r="Q403">
        <v>38567387.387387387</v>
      </c>
      <c r="R403">
        <v>33376891.891891893</v>
      </c>
      <c r="S403">
        <v>25937</v>
      </c>
      <c r="T403">
        <v>26798</v>
      </c>
    </row>
    <row r="404" spans="1:20" x14ac:dyDescent="0.35">
      <c r="A404" s="7" t="s">
        <v>502</v>
      </c>
      <c r="B404" s="12" t="s">
        <v>70</v>
      </c>
      <c r="C404">
        <v>5274447.4516714439</v>
      </c>
      <c r="D404">
        <v>5594814.1879596189</v>
      </c>
      <c r="F404">
        <v>67567.567567567996</v>
      </c>
      <c r="G404">
        <v>2</v>
      </c>
      <c r="H404">
        <v>1</v>
      </c>
      <c r="K404">
        <v>2</v>
      </c>
      <c r="L404">
        <v>2</v>
      </c>
      <c r="N404">
        <v>197297.29729729801</v>
      </c>
      <c r="O404">
        <v>4146621.6216216218</v>
      </c>
      <c r="P404">
        <v>4043684.684684685</v>
      </c>
      <c r="Q404">
        <v>1012612.612612612</v>
      </c>
      <c r="R404">
        <v>129729.72972973</v>
      </c>
      <c r="S404">
        <v>669</v>
      </c>
      <c r="T404">
        <v>680</v>
      </c>
    </row>
    <row r="405" spans="1:20" x14ac:dyDescent="0.35">
      <c r="A405" s="7" t="s">
        <v>503</v>
      </c>
      <c r="B405" s="12" t="s">
        <v>330</v>
      </c>
      <c r="C405">
        <v>150804573.72435036</v>
      </c>
      <c r="D405">
        <v>149278246.91568494</v>
      </c>
      <c r="E405">
        <v>304504.50450450601</v>
      </c>
      <c r="F405">
        <v>2014189.1891891931</v>
      </c>
      <c r="G405">
        <v>29</v>
      </c>
      <c r="H405">
        <v>44</v>
      </c>
      <c r="K405">
        <v>44</v>
      </c>
      <c r="L405">
        <v>64</v>
      </c>
      <c r="M405">
        <v>11124324.324324325</v>
      </c>
      <c r="N405">
        <v>14704504.504504507</v>
      </c>
      <c r="O405">
        <v>36787969.369369365</v>
      </c>
      <c r="P405">
        <v>38313162.162162162</v>
      </c>
      <c r="Q405">
        <v>10561621.62162162</v>
      </c>
      <c r="R405">
        <v>12726486.486486483</v>
      </c>
      <c r="S405">
        <v>17179</v>
      </c>
      <c r="T405">
        <v>16023</v>
      </c>
    </row>
    <row r="406" spans="1:20" x14ac:dyDescent="0.35">
      <c r="A406" s="7" t="s">
        <v>504</v>
      </c>
      <c r="B406" s="12" t="s">
        <v>283</v>
      </c>
      <c r="C406">
        <v>46989369.782958046</v>
      </c>
      <c r="D406">
        <v>49139844.429752961</v>
      </c>
      <c r="E406">
        <v>281081.08108108101</v>
      </c>
      <c r="F406">
        <v>13513.513513514001</v>
      </c>
      <c r="G406">
        <v>14</v>
      </c>
      <c r="H406">
        <v>4</v>
      </c>
      <c r="K406">
        <v>15</v>
      </c>
      <c r="L406">
        <v>7</v>
      </c>
      <c r="M406">
        <v>3434234.2342342348</v>
      </c>
      <c r="N406">
        <v>1815315.315315316</v>
      </c>
      <c r="O406">
        <v>9115855.8558558561</v>
      </c>
      <c r="P406">
        <v>8224504.5045045046</v>
      </c>
      <c r="Q406">
        <v>5704954.9549549548</v>
      </c>
      <c r="R406">
        <v>1936846.8468468471</v>
      </c>
      <c r="S406">
        <v>3081</v>
      </c>
      <c r="T406">
        <v>2959</v>
      </c>
    </row>
    <row r="407" spans="1:20" x14ac:dyDescent="0.35">
      <c r="A407" s="7" t="s">
        <v>505</v>
      </c>
      <c r="B407" s="12" t="s">
        <v>260</v>
      </c>
      <c r="C407">
        <v>27956783.781312801</v>
      </c>
      <c r="D407">
        <v>26908725.940392539</v>
      </c>
      <c r="G407">
        <v>2</v>
      </c>
      <c r="H407">
        <v>1</v>
      </c>
      <c r="K407">
        <v>2</v>
      </c>
      <c r="L407">
        <v>1</v>
      </c>
      <c r="O407">
        <v>6739504.5045045046</v>
      </c>
      <c r="P407">
        <v>5970279.2792792805</v>
      </c>
      <c r="S407">
        <v>2078</v>
      </c>
      <c r="T407">
        <v>2201</v>
      </c>
    </row>
    <row r="408" spans="1:20" x14ac:dyDescent="0.35">
      <c r="A408" s="7" t="s">
        <v>506</v>
      </c>
      <c r="B408" s="12" t="s">
        <v>236</v>
      </c>
      <c r="C408">
        <v>76198928.876669198</v>
      </c>
      <c r="D408">
        <v>67744101.295485541</v>
      </c>
      <c r="E408">
        <v>37477.477477478002</v>
      </c>
      <c r="F408">
        <v>138288.28828829</v>
      </c>
      <c r="G408">
        <v>14</v>
      </c>
      <c r="H408">
        <v>4</v>
      </c>
      <c r="K408">
        <v>15</v>
      </c>
      <c r="L408">
        <v>6</v>
      </c>
      <c r="M408">
        <v>9477477.4774774779</v>
      </c>
      <c r="N408">
        <v>7526756.7567567592</v>
      </c>
      <c r="O408">
        <v>17366644.144144144</v>
      </c>
      <c r="P408">
        <v>14824009.009009009</v>
      </c>
      <c r="Q408">
        <v>9743333.3333333321</v>
      </c>
      <c r="R408">
        <v>8114054.0540540582</v>
      </c>
      <c r="S408">
        <v>4708</v>
      </c>
      <c r="T408">
        <v>4505</v>
      </c>
    </row>
    <row r="409" spans="1:20" x14ac:dyDescent="0.35">
      <c r="A409" s="7" t="s">
        <v>507</v>
      </c>
      <c r="B409" s="12" t="s">
        <v>134</v>
      </c>
      <c r="C409">
        <v>11444275.236030186</v>
      </c>
      <c r="D409">
        <v>5154175.2381842071</v>
      </c>
      <c r="O409">
        <v>1574639.63963964</v>
      </c>
      <c r="P409">
        <v>849819.81981982</v>
      </c>
      <c r="S409">
        <v>1328</v>
      </c>
      <c r="T409">
        <v>811</v>
      </c>
    </row>
    <row r="410" spans="1:20" x14ac:dyDescent="0.35">
      <c r="A410" s="7" t="s">
        <v>508</v>
      </c>
      <c r="B410" s="12" t="s">
        <v>397</v>
      </c>
      <c r="C410">
        <v>76223880.976429746</v>
      </c>
      <c r="D410">
        <v>72425769.740926743</v>
      </c>
      <c r="E410">
        <v>13963.963963964001</v>
      </c>
      <c r="F410">
        <v>193693.693693696</v>
      </c>
      <c r="G410">
        <v>6</v>
      </c>
      <c r="H410">
        <v>13</v>
      </c>
      <c r="K410">
        <v>10</v>
      </c>
      <c r="L410">
        <v>17</v>
      </c>
      <c r="M410">
        <v>7873873.8738738745</v>
      </c>
      <c r="N410">
        <v>5414414.4144144161</v>
      </c>
      <c r="O410">
        <v>11168648.648648648</v>
      </c>
      <c r="P410">
        <v>12390369.369369371</v>
      </c>
      <c r="Q410">
        <v>6361981.9819819834</v>
      </c>
      <c r="R410">
        <v>6292162.1621621642</v>
      </c>
      <c r="S410">
        <v>4426</v>
      </c>
      <c r="T410">
        <v>4369</v>
      </c>
    </row>
    <row r="411" spans="1:20" x14ac:dyDescent="0.35">
      <c r="A411" s="7" t="s">
        <v>509</v>
      </c>
      <c r="B411" s="12" t="s">
        <v>134</v>
      </c>
      <c r="C411">
        <v>84314131.433575884</v>
      </c>
      <c r="D411">
        <v>81800561.025458619</v>
      </c>
      <c r="E411">
        <v>164864.86486486701</v>
      </c>
      <c r="F411">
        <v>450450.45045045402</v>
      </c>
      <c r="G411">
        <v>20</v>
      </c>
      <c r="H411">
        <v>22</v>
      </c>
      <c r="K411">
        <v>24</v>
      </c>
      <c r="L411">
        <v>25</v>
      </c>
      <c r="M411">
        <v>6975675.6756756753</v>
      </c>
      <c r="N411">
        <v>6126126.1261261264</v>
      </c>
      <c r="O411">
        <v>13202723.423423424</v>
      </c>
      <c r="P411">
        <v>13030418.918918921</v>
      </c>
      <c r="Q411">
        <v>5290630.6306306319</v>
      </c>
      <c r="R411">
        <v>5223873.8738738727</v>
      </c>
      <c r="S411">
        <v>5570</v>
      </c>
      <c r="T411">
        <v>5545</v>
      </c>
    </row>
    <row r="412" spans="1:20" x14ac:dyDescent="0.35">
      <c r="A412" s="7" t="s">
        <v>510</v>
      </c>
      <c r="B412" s="12" t="s">
        <v>134</v>
      </c>
      <c r="C412">
        <v>227993422.43132728</v>
      </c>
      <c r="D412">
        <v>223915375.9959507</v>
      </c>
      <c r="E412">
        <v>386666.66666666901</v>
      </c>
      <c r="F412">
        <v>1256756.756756763</v>
      </c>
      <c r="G412">
        <v>36</v>
      </c>
      <c r="H412">
        <v>33</v>
      </c>
      <c r="K412">
        <v>43</v>
      </c>
      <c r="L412">
        <v>39</v>
      </c>
      <c r="M412">
        <v>13010540.540540539</v>
      </c>
      <c r="N412">
        <v>11683783.783783784</v>
      </c>
      <c r="O412">
        <v>23130621.621621624</v>
      </c>
      <c r="P412">
        <v>23495963.963963967</v>
      </c>
      <c r="Q412">
        <v>11600990.990990989</v>
      </c>
      <c r="R412">
        <v>13596396.396396391</v>
      </c>
      <c r="S412">
        <v>16407</v>
      </c>
      <c r="T412">
        <v>16652</v>
      </c>
    </row>
    <row r="413" spans="1:20" x14ac:dyDescent="0.35">
      <c r="A413" s="7" t="s">
        <v>8</v>
      </c>
      <c r="B413" s="12" t="s">
        <v>158</v>
      </c>
      <c r="C413">
        <v>59618226.144052625</v>
      </c>
      <c r="D413">
        <v>55892036.824187882</v>
      </c>
      <c r="E413">
        <v>662162.16216216201</v>
      </c>
      <c r="F413">
        <v>971171.17117117299</v>
      </c>
      <c r="G413">
        <v>3</v>
      </c>
      <c r="K413">
        <v>4</v>
      </c>
      <c r="L413">
        <v>1</v>
      </c>
      <c r="M413">
        <v>8993693.6936936956</v>
      </c>
      <c r="N413">
        <v>5594594.594594596</v>
      </c>
      <c r="O413">
        <v>17120270.270270269</v>
      </c>
      <c r="P413">
        <v>15729738.738738738</v>
      </c>
      <c r="Q413">
        <v>8072072.072072072</v>
      </c>
      <c r="R413">
        <v>4174504.5045045051</v>
      </c>
      <c r="S413">
        <v>3373</v>
      </c>
      <c r="T413">
        <v>3438</v>
      </c>
    </row>
    <row r="414" spans="1:20" x14ac:dyDescent="0.35">
      <c r="A414" s="7" t="s">
        <v>511</v>
      </c>
      <c r="B414" s="12" t="s">
        <v>134</v>
      </c>
      <c r="C414">
        <v>38813011.727964163</v>
      </c>
      <c r="D414">
        <v>38226330.501298599</v>
      </c>
      <c r="F414">
        <v>270270.27027027</v>
      </c>
      <c r="G414">
        <v>1</v>
      </c>
      <c r="H414">
        <v>1</v>
      </c>
      <c r="K414">
        <v>2</v>
      </c>
      <c r="L414">
        <v>1</v>
      </c>
      <c r="N414">
        <v>1171171.1711711709</v>
      </c>
      <c r="O414">
        <v>3825081.0810810798</v>
      </c>
      <c r="P414">
        <v>5388081.0810810812</v>
      </c>
      <c r="Q414">
        <v>1077927.927927929</v>
      </c>
      <c r="R414">
        <v>1443783.783783783</v>
      </c>
      <c r="S414">
        <v>3261</v>
      </c>
      <c r="T414">
        <v>4029</v>
      </c>
    </row>
    <row r="415" spans="1:20" x14ac:dyDescent="0.35">
      <c r="A415" s="7" t="s">
        <v>512</v>
      </c>
      <c r="B415" s="12" t="s">
        <v>62</v>
      </c>
      <c r="C415">
        <v>197941219.67676967</v>
      </c>
      <c r="D415">
        <v>182416314.43066245</v>
      </c>
      <c r="E415">
        <v>1323423.423423423</v>
      </c>
      <c r="F415">
        <v>4412612.6126126153</v>
      </c>
      <c r="G415">
        <v>38</v>
      </c>
      <c r="H415">
        <v>33</v>
      </c>
      <c r="K415">
        <v>44</v>
      </c>
      <c r="L415">
        <v>77</v>
      </c>
      <c r="M415">
        <v>8910450.4504504502</v>
      </c>
      <c r="N415">
        <v>10745675.675675681</v>
      </c>
      <c r="O415">
        <v>37655855.855855852</v>
      </c>
      <c r="P415">
        <v>39337369.369369365</v>
      </c>
      <c r="Q415">
        <v>8846036.0360360369</v>
      </c>
      <c r="R415">
        <v>9522972.972972976</v>
      </c>
      <c r="S415">
        <v>14463</v>
      </c>
      <c r="T415">
        <v>14618</v>
      </c>
    </row>
    <row r="416" spans="1:20" x14ac:dyDescent="0.35">
      <c r="A416" s="7" t="s">
        <v>675</v>
      </c>
      <c r="B416" s="12" t="s">
        <v>105</v>
      </c>
      <c r="E416">
        <v>5405405.405405405</v>
      </c>
      <c r="M416">
        <v>44594.594594595001</v>
      </c>
    </row>
    <row r="417" spans="1:20" x14ac:dyDescent="0.35">
      <c r="A417" s="7" t="s">
        <v>513</v>
      </c>
      <c r="B417" s="12" t="s">
        <v>117</v>
      </c>
      <c r="C417">
        <v>21046506.439223517</v>
      </c>
      <c r="D417">
        <v>14677489.395581683</v>
      </c>
      <c r="E417">
        <v>900.900900901</v>
      </c>
      <c r="F417">
        <v>27027.027027027001</v>
      </c>
      <c r="G417">
        <v>14</v>
      </c>
      <c r="H417">
        <v>13</v>
      </c>
      <c r="K417">
        <v>14</v>
      </c>
      <c r="L417">
        <v>13</v>
      </c>
      <c r="M417">
        <v>1308648.648648646</v>
      </c>
      <c r="N417">
        <v>1301351.351351351</v>
      </c>
      <c r="O417">
        <v>10149144.144144144</v>
      </c>
      <c r="P417">
        <v>6455288.2882882887</v>
      </c>
      <c r="Q417">
        <v>994234.23423423199</v>
      </c>
      <c r="R417">
        <v>467117.11711711797</v>
      </c>
      <c r="S417">
        <v>1670</v>
      </c>
      <c r="T417">
        <v>1949</v>
      </c>
    </row>
    <row r="418" spans="1:20" x14ac:dyDescent="0.35">
      <c r="A418" s="7" t="s">
        <v>514</v>
      </c>
      <c r="B418" s="12" t="s">
        <v>304</v>
      </c>
      <c r="C418">
        <v>39636411.781234413</v>
      </c>
      <c r="D418">
        <v>35028017.039879903</v>
      </c>
      <c r="E418">
        <v>7207.207207208</v>
      </c>
      <c r="F418">
        <v>136036.03603603601</v>
      </c>
      <c r="G418">
        <v>9</v>
      </c>
      <c r="H418">
        <v>15</v>
      </c>
      <c r="K418">
        <v>11</v>
      </c>
      <c r="L418">
        <v>16</v>
      </c>
      <c r="M418">
        <v>7207.207207208</v>
      </c>
      <c r="N418">
        <v>5872522.5225225221</v>
      </c>
      <c r="O418">
        <v>2541126.1261261259</v>
      </c>
      <c r="P418">
        <v>3411351.3513513519</v>
      </c>
      <c r="Q418">
        <v>482702.70270270202</v>
      </c>
      <c r="R418">
        <v>6771891.8918918911</v>
      </c>
      <c r="S418">
        <v>1521</v>
      </c>
      <c r="T418">
        <v>1477</v>
      </c>
    </row>
    <row r="419" spans="1:20" x14ac:dyDescent="0.35">
      <c r="A419" s="7" t="s">
        <v>668</v>
      </c>
      <c r="B419" s="12" t="s">
        <v>304</v>
      </c>
      <c r="N419">
        <v>44594.594594595001</v>
      </c>
    </row>
    <row r="420" spans="1:20" x14ac:dyDescent="0.35">
      <c r="A420" s="7" t="s">
        <v>515</v>
      </c>
      <c r="B420" s="12" t="s">
        <v>304</v>
      </c>
      <c r="C420">
        <v>11394987.798852129</v>
      </c>
      <c r="D420">
        <v>5826003.8119865153</v>
      </c>
      <c r="E420">
        <v>187747.74774774699</v>
      </c>
      <c r="F420">
        <v>129729.72972973</v>
      </c>
      <c r="M420">
        <v>1494054.054054054</v>
      </c>
      <c r="N420">
        <v>963963.96396396402</v>
      </c>
      <c r="O420">
        <v>1592612.612612613</v>
      </c>
      <c r="P420">
        <v>930504.50450450403</v>
      </c>
      <c r="Q420">
        <v>1347747.7477477479</v>
      </c>
      <c r="R420">
        <v>643243.24324324296</v>
      </c>
      <c r="S420">
        <v>602</v>
      </c>
      <c r="T420">
        <v>531</v>
      </c>
    </row>
    <row r="421" spans="1:20" x14ac:dyDescent="0.35">
      <c r="A421" s="7" t="s">
        <v>516</v>
      </c>
      <c r="B421" s="12" t="s">
        <v>304</v>
      </c>
      <c r="C421">
        <v>21668239.772223964</v>
      </c>
      <c r="D421">
        <v>22928531.950936623</v>
      </c>
      <c r="E421">
        <v>5045.0450450449998</v>
      </c>
      <c r="F421">
        <v>460360.36036035902</v>
      </c>
      <c r="G421">
        <v>7</v>
      </c>
      <c r="H421">
        <v>15</v>
      </c>
      <c r="K421">
        <v>11</v>
      </c>
      <c r="L421">
        <v>15</v>
      </c>
      <c r="M421">
        <v>1824864.8648648639</v>
      </c>
      <c r="N421">
        <v>1504504.5045045039</v>
      </c>
      <c r="O421">
        <v>3035000</v>
      </c>
      <c r="P421">
        <v>2883432.4324324322</v>
      </c>
      <c r="Q421">
        <v>1197117.1171171181</v>
      </c>
      <c r="R421">
        <v>764864.86486486497</v>
      </c>
      <c r="S421">
        <v>1147</v>
      </c>
      <c r="T421">
        <v>1136</v>
      </c>
    </row>
    <row r="422" spans="1:20" x14ac:dyDescent="0.35">
      <c r="A422" s="7" t="s">
        <v>517</v>
      </c>
      <c r="B422" s="12" t="s">
        <v>304</v>
      </c>
      <c r="C422">
        <v>17062538.145070467</v>
      </c>
      <c r="D422">
        <v>16192128.904030651</v>
      </c>
      <c r="E422">
        <v>12612.612612613</v>
      </c>
      <c r="F422">
        <v>67567.567567567996</v>
      </c>
      <c r="G422">
        <v>3</v>
      </c>
      <c r="H422">
        <v>6</v>
      </c>
      <c r="K422">
        <v>3</v>
      </c>
      <c r="L422">
        <v>7</v>
      </c>
      <c r="M422">
        <v>517117.11711711698</v>
      </c>
      <c r="N422">
        <v>445945.94594594598</v>
      </c>
      <c r="O422">
        <v>2056801.801801801</v>
      </c>
      <c r="P422">
        <v>2097144.1441441439</v>
      </c>
      <c r="Q422">
        <v>349099.099099099</v>
      </c>
      <c r="R422">
        <v>360360.36036036001</v>
      </c>
      <c r="S422">
        <v>733</v>
      </c>
      <c r="T422">
        <v>802</v>
      </c>
    </row>
    <row r="423" spans="1:20" x14ac:dyDescent="0.35">
      <c r="A423" s="7" t="s">
        <v>518</v>
      </c>
      <c r="B423" s="12" t="s">
        <v>448</v>
      </c>
      <c r="C423">
        <v>16875753.804606702</v>
      </c>
      <c r="D423">
        <v>16204008.642112235</v>
      </c>
      <c r="E423">
        <v>32432.432432432</v>
      </c>
      <c r="F423">
        <v>123423.423423424</v>
      </c>
      <c r="G423">
        <v>7</v>
      </c>
      <c r="H423">
        <v>2</v>
      </c>
      <c r="K423">
        <v>8</v>
      </c>
      <c r="L423">
        <v>3</v>
      </c>
      <c r="M423">
        <v>302702.70270270202</v>
      </c>
      <c r="N423">
        <v>660360.36036036001</v>
      </c>
      <c r="O423">
        <v>5668873.8738738727</v>
      </c>
      <c r="P423">
        <v>5308648.6486486495</v>
      </c>
      <c r="Q423">
        <v>372342.34234234202</v>
      </c>
      <c r="R423">
        <v>723873.87387387198</v>
      </c>
      <c r="S423">
        <v>1833</v>
      </c>
      <c r="T423">
        <v>1681</v>
      </c>
    </row>
    <row r="424" spans="1:20" x14ac:dyDescent="0.35">
      <c r="A424" s="7" t="s">
        <v>519</v>
      </c>
      <c r="B424" s="12" t="s">
        <v>85</v>
      </c>
      <c r="C424">
        <v>49065128.073724017</v>
      </c>
      <c r="D424">
        <v>49292829.512636453</v>
      </c>
      <c r="E424">
        <v>6306.3063063070003</v>
      </c>
      <c r="F424">
        <v>342342.342342344</v>
      </c>
      <c r="G424">
        <v>17</v>
      </c>
      <c r="H424">
        <v>3</v>
      </c>
      <c r="K424">
        <v>20</v>
      </c>
      <c r="L424">
        <v>11</v>
      </c>
      <c r="M424">
        <v>4231531.5315315314</v>
      </c>
      <c r="N424">
        <v>12270270.270270271</v>
      </c>
      <c r="O424">
        <v>11268603.603603603</v>
      </c>
      <c r="P424">
        <v>11582423.423423424</v>
      </c>
      <c r="Q424">
        <v>2745765.7657657652</v>
      </c>
      <c r="R424">
        <v>14152475.675675675</v>
      </c>
      <c r="S424">
        <v>4116</v>
      </c>
      <c r="T424">
        <v>4051</v>
      </c>
    </row>
    <row r="425" spans="1:20" x14ac:dyDescent="0.35">
      <c r="A425" s="7" t="s">
        <v>520</v>
      </c>
      <c r="B425" s="12" t="s">
        <v>304</v>
      </c>
      <c r="C425">
        <v>26120486.987189848</v>
      </c>
      <c r="D425">
        <v>27301600.646566276</v>
      </c>
      <c r="F425">
        <v>17117.117117116999</v>
      </c>
      <c r="G425">
        <v>2</v>
      </c>
      <c r="H425">
        <v>1</v>
      </c>
      <c r="K425">
        <v>2</v>
      </c>
      <c r="L425">
        <v>1</v>
      </c>
      <c r="M425">
        <v>2666666.666666666</v>
      </c>
      <c r="N425">
        <v>2612612.612612613</v>
      </c>
      <c r="O425">
        <v>3935495.4954954959</v>
      </c>
      <c r="P425">
        <v>4628279.2792792805</v>
      </c>
      <c r="Q425">
        <v>829549.549549549</v>
      </c>
      <c r="R425">
        <v>598198.19819819799</v>
      </c>
      <c r="S425">
        <v>1401</v>
      </c>
      <c r="T425">
        <v>1348</v>
      </c>
    </row>
    <row r="426" spans="1:20" x14ac:dyDescent="0.35">
      <c r="A426" s="7" t="s">
        <v>521</v>
      </c>
      <c r="B426" s="12" t="s">
        <v>399</v>
      </c>
      <c r="C426">
        <v>190486098.7692664</v>
      </c>
      <c r="D426">
        <v>183021886.69588411</v>
      </c>
      <c r="E426">
        <v>422702.70270270499</v>
      </c>
      <c r="F426">
        <v>2404504.5045045088</v>
      </c>
      <c r="G426">
        <v>40</v>
      </c>
      <c r="H426">
        <v>27</v>
      </c>
      <c r="K426">
        <v>48</v>
      </c>
      <c r="L426">
        <v>142</v>
      </c>
      <c r="M426">
        <v>52705765.765765756</v>
      </c>
      <c r="N426">
        <v>25615315.315315317</v>
      </c>
      <c r="O426">
        <v>41998063.063063063</v>
      </c>
      <c r="P426">
        <v>43934855.855855852</v>
      </c>
      <c r="Q426">
        <v>54118828.828828834</v>
      </c>
      <c r="R426">
        <v>23719729.729729734</v>
      </c>
      <c r="S426">
        <v>13529</v>
      </c>
      <c r="T426">
        <v>13614</v>
      </c>
    </row>
    <row r="427" spans="1:20" x14ac:dyDescent="0.35">
      <c r="A427" s="7" t="s">
        <v>522</v>
      </c>
      <c r="B427" s="12" t="s">
        <v>143</v>
      </c>
      <c r="C427">
        <v>57549310.864328302</v>
      </c>
      <c r="D427">
        <v>53128918.389409326</v>
      </c>
      <c r="E427">
        <v>900.900900901</v>
      </c>
      <c r="F427">
        <v>148648.64864865001</v>
      </c>
      <c r="G427">
        <v>9</v>
      </c>
      <c r="H427">
        <v>12</v>
      </c>
      <c r="K427">
        <v>11</v>
      </c>
      <c r="L427">
        <v>13</v>
      </c>
      <c r="M427">
        <v>2289189.1891891891</v>
      </c>
      <c r="N427">
        <v>3752252.2522522518</v>
      </c>
      <c r="O427">
        <v>6012477.4774774779</v>
      </c>
      <c r="P427">
        <v>5987252.2522522528</v>
      </c>
      <c r="Q427">
        <v>3250540.5405405411</v>
      </c>
      <c r="R427">
        <v>2192702.702702703</v>
      </c>
      <c r="S427">
        <v>2972</v>
      </c>
      <c r="T427">
        <v>2963</v>
      </c>
    </row>
    <row r="428" spans="1:20" x14ac:dyDescent="0.35">
      <c r="A428" s="7" t="s">
        <v>523</v>
      </c>
      <c r="B428" s="12" t="s">
        <v>66</v>
      </c>
      <c r="C428">
        <v>34593214.30547189</v>
      </c>
      <c r="D428">
        <v>33942790.237939186</v>
      </c>
      <c r="E428">
        <v>32072.072072072999</v>
      </c>
      <c r="F428">
        <v>380180.18018018099</v>
      </c>
      <c r="G428">
        <v>3</v>
      </c>
      <c r="H428">
        <v>5</v>
      </c>
      <c r="I428">
        <v>1</v>
      </c>
      <c r="K428">
        <v>4</v>
      </c>
      <c r="L428">
        <v>7</v>
      </c>
      <c r="M428">
        <v>2543423.4234234188</v>
      </c>
      <c r="N428">
        <v>5889189.189189191</v>
      </c>
      <c r="O428">
        <v>17447567.567567568</v>
      </c>
      <c r="P428">
        <v>16025387.387387387</v>
      </c>
      <c r="Q428">
        <v>3430270.270270268</v>
      </c>
      <c r="R428">
        <v>5550180.1801801817</v>
      </c>
      <c r="S428">
        <v>3769</v>
      </c>
      <c r="T428">
        <v>3652</v>
      </c>
    </row>
    <row r="429" spans="1:20" x14ac:dyDescent="0.35">
      <c r="A429" s="7" t="s">
        <v>524</v>
      </c>
      <c r="B429" s="12" t="s">
        <v>220</v>
      </c>
      <c r="C429">
        <v>47873586.378420144</v>
      </c>
      <c r="D429">
        <v>45903632.415773049</v>
      </c>
      <c r="E429">
        <v>5405.4054054059998</v>
      </c>
      <c r="F429">
        <v>373873.87387387402</v>
      </c>
      <c r="G429">
        <v>11</v>
      </c>
      <c r="H429">
        <v>8</v>
      </c>
      <c r="K429">
        <v>18</v>
      </c>
      <c r="L429">
        <v>12</v>
      </c>
      <c r="M429">
        <v>3630180.180180179</v>
      </c>
      <c r="N429">
        <v>2393693.6936936951</v>
      </c>
      <c r="O429">
        <v>11426603.603603603</v>
      </c>
      <c r="P429">
        <v>11465324.324324325</v>
      </c>
      <c r="Q429">
        <v>2170540.5405405392</v>
      </c>
      <c r="R429">
        <v>2014414.4144144149</v>
      </c>
      <c r="S429">
        <v>4476</v>
      </c>
      <c r="T429">
        <v>4306</v>
      </c>
    </row>
    <row r="430" spans="1:20" x14ac:dyDescent="0.35">
      <c r="A430" s="7" t="s">
        <v>525</v>
      </c>
      <c r="B430" s="12" t="s">
        <v>413</v>
      </c>
      <c r="C430">
        <v>509603314.305134</v>
      </c>
      <c r="D430">
        <v>489034763.76802337</v>
      </c>
      <c r="E430">
        <v>31395639.639639638</v>
      </c>
      <c r="F430">
        <v>2625125.2252252321</v>
      </c>
      <c r="G430">
        <v>40</v>
      </c>
      <c r="H430">
        <v>43</v>
      </c>
      <c r="K430">
        <v>66</v>
      </c>
      <c r="L430">
        <v>78</v>
      </c>
      <c r="M430">
        <v>49018648.648648649</v>
      </c>
      <c r="N430">
        <v>27115675.675675683</v>
      </c>
      <c r="O430">
        <v>142731954.95495495</v>
      </c>
      <c r="P430">
        <v>141055468.46846846</v>
      </c>
      <c r="Q430">
        <v>40447747.747747742</v>
      </c>
      <c r="R430">
        <v>31103153.153153159</v>
      </c>
      <c r="S430">
        <v>32233</v>
      </c>
      <c r="T430">
        <v>35127</v>
      </c>
    </row>
    <row r="431" spans="1:20" x14ac:dyDescent="0.35">
      <c r="A431" s="7" t="s">
        <v>526</v>
      </c>
      <c r="B431" s="12" t="s">
        <v>413</v>
      </c>
      <c r="C431">
        <v>60896261.255017564</v>
      </c>
      <c r="D431">
        <v>55762063.654916197</v>
      </c>
      <c r="E431">
        <v>11711.711711712</v>
      </c>
      <c r="F431">
        <v>26351.351351351001</v>
      </c>
      <c r="G431">
        <v>12</v>
      </c>
      <c r="H431">
        <v>2</v>
      </c>
      <c r="K431">
        <v>12</v>
      </c>
      <c r="L431">
        <v>3</v>
      </c>
      <c r="M431">
        <v>2399459.4594594589</v>
      </c>
      <c r="N431">
        <v>4449009.0090090102</v>
      </c>
      <c r="O431">
        <v>16810351.351351351</v>
      </c>
      <c r="P431">
        <v>18030468.468468469</v>
      </c>
      <c r="Q431">
        <v>1700810.8108108109</v>
      </c>
      <c r="R431">
        <v>3082972.9729729728</v>
      </c>
      <c r="S431">
        <v>4668</v>
      </c>
      <c r="T431">
        <v>4330</v>
      </c>
    </row>
    <row r="432" spans="1:20" x14ac:dyDescent="0.35">
      <c r="A432" s="7" t="s">
        <v>661</v>
      </c>
      <c r="B432" s="12" t="s">
        <v>189</v>
      </c>
      <c r="C432">
        <v>825633.79746298702</v>
      </c>
      <c r="M432">
        <v>27027.027027027001</v>
      </c>
      <c r="N432">
        <v>324324.32432432403</v>
      </c>
      <c r="O432">
        <v>182657.65765765801</v>
      </c>
      <c r="S432">
        <v>125</v>
      </c>
    </row>
    <row r="433" spans="1:20" x14ac:dyDescent="0.35">
      <c r="A433" s="7" t="s">
        <v>527</v>
      </c>
      <c r="B433" s="12" t="s">
        <v>147</v>
      </c>
      <c r="C433">
        <v>121367690.33749212</v>
      </c>
      <c r="D433">
        <v>115871836.08975507</v>
      </c>
      <c r="E433">
        <v>30181331.531531531</v>
      </c>
      <c r="F433">
        <v>99897455.855855852</v>
      </c>
      <c r="G433">
        <v>12</v>
      </c>
      <c r="H433">
        <v>18</v>
      </c>
      <c r="K433">
        <v>14</v>
      </c>
      <c r="L433">
        <v>57</v>
      </c>
      <c r="M433">
        <v>4901576.5765765766</v>
      </c>
      <c r="N433">
        <v>13805585.585585585</v>
      </c>
      <c r="O433">
        <v>39316387.387387387</v>
      </c>
      <c r="P433">
        <v>40586322.522522531</v>
      </c>
      <c r="Q433">
        <v>6277927.927927928</v>
      </c>
      <c r="R433">
        <v>13041351.351351351</v>
      </c>
      <c r="S433">
        <v>10101</v>
      </c>
      <c r="T433">
        <v>9756</v>
      </c>
    </row>
    <row r="434" spans="1:20" x14ac:dyDescent="0.35">
      <c r="A434" s="7" t="s">
        <v>528</v>
      </c>
      <c r="B434" s="12" t="s">
        <v>121</v>
      </c>
      <c r="C434">
        <v>12934454.441886488</v>
      </c>
      <c r="D434">
        <v>12785813.802242808</v>
      </c>
      <c r="E434">
        <v>8108.1081081080001</v>
      </c>
      <c r="F434">
        <v>153153.15315315299</v>
      </c>
      <c r="G434">
        <v>7</v>
      </c>
      <c r="H434">
        <v>6</v>
      </c>
      <c r="K434">
        <v>8</v>
      </c>
      <c r="L434">
        <v>6</v>
      </c>
      <c r="M434">
        <v>458558.55855855899</v>
      </c>
      <c r="N434">
        <v>1788288.2882882881</v>
      </c>
      <c r="O434">
        <v>1575720.7207207209</v>
      </c>
      <c r="P434">
        <v>1427644.1441441451</v>
      </c>
      <c r="Q434">
        <v>704594.59459459502</v>
      </c>
      <c r="R434">
        <v>864864.86486486602</v>
      </c>
      <c r="S434">
        <v>1027</v>
      </c>
      <c r="T434">
        <v>1712</v>
      </c>
    </row>
    <row r="435" spans="1:20" x14ac:dyDescent="0.35">
      <c r="A435" s="7" t="s">
        <v>529</v>
      </c>
      <c r="B435" s="12" t="s">
        <v>448</v>
      </c>
      <c r="C435">
        <v>37384468.126322135</v>
      </c>
      <c r="D435">
        <v>19657022.637880664</v>
      </c>
      <c r="E435">
        <v>28461441.441441439</v>
      </c>
      <c r="F435">
        <v>132116216.21621622</v>
      </c>
      <c r="G435">
        <v>21</v>
      </c>
      <c r="H435">
        <v>4</v>
      </c>
      <c r="K435">
        <v>21</v>
      </c>
      <c r="L435">
        <v>4</v>
      </c>
      <c r="M435">
        <v>2256486.486486488</v>
      </c>
      <c r="N435">
        <v>1237162.1621621619</v>
      </c>
      <c r="O435">
        <v>15101783.783783784</v>
      </c>
      <c r="P435">
        <v>10181891.891891891</v>
      </c>
      <c r="Q435">
        <v>1859009.009009009</v>
      </c>
      <c r="R435">
        <v>532702.70270270295</v>
      </c>
      <c r="S435">
        <v>2696</v>
      </c>
      <c r="T435">
        <v>2168</v>
      </c>
    </row>
    <row r="436" spans="1:20" x14ac:dyDescent="0.35">
      <c r="A436" s="7" t="s">
        <v>530</v>
      </c>
      <c r="B436" s="12" t="s">
        <v>448</v>
      </c>
      <c r="C436">
        <v>55220321.483119853</v>
      </c>
      <c r="D436">
        <v>53143340.712496437</v>
      </c>
      <c r="E436">
        <v>45945.945945947002</v>
      </c>
      <c r="F436">
        <v>249549.54954954999</v>
      </c>
      <c r="G436">
        <v>20</v>
      </c>
      <c r="H436">
        <v>15</v>
      </c>
      <c r="K436">
        <v>23</v>
      </c>
      <c r="L436">
        <v>20</v>
      </c>
      <c r="M436">
        <v>1891441.441441441</v>
      </c>
      <c r="N436">
        <v>1915765.7657657659</v>
      </c>
      <c r="O436">
        <v>25211576.576576576</v>
      </c>
      <c r="P436">
        <v>24337117.117117114</v>
      </c>
      <c r="Q436">
        <v>3519189.1891891868</v>
      </c>
      <c r="R436">
        <v>2693333.3333333321</v>
      </c>
      <c r="S436">
        <v>5356</v>
      </c>
      <c r="T436">
        <v>5124</v>
      </c>
    </row>
    <row r="437" spans="1:20" x14ac:dyDescent="0.35">
      <c r="A437" s="7" t="s">
        <v>531</v>
      </c>
      <c r="B437" s="12" t="s">
        <v>123</v>
      </c>
      <c r="C437">
        <v>139544718.45024642</v>
      </c>
      <c r="D437">
        <v>141606429.48519024</v>
      </c>
      <c r="E437">
        <v>44600498.198198199</v>
      </c>
      <c r="F437">
        <v>75970664.864864886</v>
      </c>
      <c r="G437">
        <v>35</v>
      </c>
      <c r="H437">
        <v>55</v>
      </c>
      <c r="I437">
        <v>1</v>
      </c>
      <c r="K437">
        <v>53</v>
      </c>
      <c r="L437">
        <v>87</v>
      </c>
      <c r="M437">
        <v>21280360.360360369</v>
      </c>
      <c r="N437">
        <v>53745765.765765771</v>
      </c>
      <c r="O437">
        <v>48316011.711711712</v>
      </c>
      <c r="P437">
        <v>49792346.846846849</v>
      </c>
      <c r="Q437">
        <v>28262252.252252255</v>
      </c>
      <c r="R437">
        <v>54770990.990990989</v>
      </c>
      <c r="S437">
        <v>11204</v>
      </c>
      <c r="T437">
        <v>11304</v>
      </c>
    </row>
    <row r="438" spans="1:20" x14ac:dyDescent="0.35">
      <c r="A438" s="7" t="s">
        <v>532</v>
      </c>
      <c r="B438" s="12" t="s">
        <v>85</v>
      </c>
      <c r="C438">
        <v>45702358.367232852</v>
      </c>
      <c r="D438">
        <v>45338153.619037099</v>
      </c>
      <c r="E438">
        <v>276576.57657657698</v>
      </c>
      <c r="F438">
        <v>40540.540540540998</v>
      </c>
      <c r="G438">
        <v>7</v>
      </c>
      <c r="H438">
        <v>4</v>
      </c>
      <c r="K438">
        <v>7</v>
      </c>
      <c r="L438">
        <v>35</v>
      </c>
      <c r="M438">
        <v>2528828.8288288289</v>
      </c>
      <c r="N438">
        <v>6123063.0630630637</v>
      </c>
      <c r="O438">
        <v>10092072.072072072</v>
      </c>
      <c r="P438">
        <v>9725936.9369369354</v>
      </c>
      <c r="Q438">
        <v>4349729.7297297297</v>
      </c>
      <c r="R438">
        <v>3470900.9009009008</v>
      </c>
      <c r="S438">
        <v>3643</v>
      </c>
      <c r="T438">
        <v>3862</v>
      </c>
    </row>
    <row r="439" spans="1:20" x14ac:dyDescent="0.35">
      <c r="A439" s="7" t="s">
        <v>9</v>
      </c>
      <c r="B439" s="12" t="s">
        <v>158</v>
      </c>
      <c r="C439">
        <v>117172651.08835383</v>
      </c>
      <c r="D439">
        <v>108195759.29336098</v>
      </c>
      <c r="E439">
        <v>983243.24324324296</v>
      </c>
      <c r="F439">
        <v>934234.23423423804</v>
      </c>
      <c r="G439">
        <v>19</v>
      </c>
      <c r="H439">
        <v>15</v>
      </c>
      <c r="I439">
        <v>1</v>
      </c>
      <c r="K439">
        <v>22</v>
      </c>
      <c r="L439">
        <v>17</v>
      </c>
      <c r="M439">
        <v>223554414.41441441</v>
      </c>
      <c r="N439">
        <v>105250450.45045045</v>
      </c>
      <c r="O439">
        <v>42264324.324324325</v>
      </c>
      <c r="P439">
        <v>39648270.270270273</v>
      </c>
      <c r="Q439">
        <v>185402072.07207206</v>
      </c>
      <c r="R439">
        <v>93002342.342342332</v>
      </c>
      <c r="S439">
        <v>7442</v>
      </c>
      <c r="T439">
        <v>7197</v>
      </c>
    </row>
    <row r="440" spans="1:20" x14ac:dyDescent="0.35">
      <c r="A440" s="7" t="s">
        <v>533</v>
      </c>
      <c r="B440" s="12" t="s">
        <v>94</v>
      </c>
      <c r="C440">
        <v>111736445.88903947</v>
      </c>
      <c r="D440">
        <v>106222197.94020429</v>
      </c>
      <c r="E440">
        <v>13513.513513514999</v>
      </c>
      <c r="F440">
        <v>298198.19819820003</v>
      </c>
      <c r="G440">
        <v>13</v>
      </c>
      <c r="H440">
        <v>19</v>
      </c>
      <c r="K440">
        <v>17</v>
      </c>
      <c r="L440">
        <v>24</v>
      </c>
      <c r="M440">
        <v>9797297.2972972952</v>
      </c>
      <c r="N440">
        <v>8226126.1261261264</v>
      </c>
      <c r="O440">
        <v>11169459.459459459</v>
      </c>
      <c r="P440">
        <v>14064990.990990991</v>
      </c>
      <c r="Q440">
        <v>7314594.5945945932</v>
      </c>
      <c r="R440">
        <v>7819549.5495495498</v>
      </c>
      <c r="S440">
        <v>6443</v>
      </c>
      <c r="T440">
        <v>6376</v>
      </c>
    </row>
    <row r="441" spans="1:20" x14ac:dyDescent="0.35">
      <c r="A441" s="7" t="s">
        <v>534</v>
      </c>
      <c r="B441" s="12" t="s">
        <v>304</v>
      </c>
      <c r="C441">
        <v>3408848.6498212488</v>
      </c>
      <c r="D441">
        <v>3894662.6211928418</v>
      </c>
      <c r="G441">
        <v>1</v>
      </c>
      <c r="K441">
        <v>1</v>
      </c>
      <c r="L441">
        <v>1</v>
      </c>
      <c r="O441">
        <v>367702.70270270301</v>
      </c>
      <c r="P441">
        <v>479189.189189189</v>
      </c>
      <c r="S441">
        <v>258</v>
      </c>
      <c r="T441">
        <v>410</v>
      </c>
    </row>
    <row r="442" spans="1:20" x14ac:dyDescent="0.35">
      <c r="A442" s="7" t="s">
        <v>535</v>
      </c>
      <c r="B442" s="12" t="s">
        <v>304</v>
      </c>
      <c r="C442">
        <v>48960662.32308957</v>
      </c>
      <c r="D442">
        <v>45495745.143602349</v>
      </c>
      <c r="E442">
        <v>467567.56756756798</v>
      </c>
      <c r="F442">
        <v>252252.25225225301</v>
      </c>
      <c r="G442">
        <v>11</v>
      </c>
      <c r="H442">
        <v>5</v>
      </c>
      <c r="K442">
        <v>15</v>
      </c>
      <c r="L442">
        <v>6</v>
      </c>
      <c r="M442">
        <v>3485585.5855855849</v>
      </c>
      <c r="N442">
        <v>4441441.4414414419</v>
      </c>
      <c r="O442">
        <v>3889459.4594594599</v>
      </c>
      <c r="P442">
        <v>4792927.927927928</v>
      </c>
      <c r="Q442">
        <v>2058108.108108107</v>
      </c>
      <c r="R442">
        <v>1994954.9549549541</v>
      </c>
      <c r="S442">
        <v>2777</v>
      </c>
      <c r="T442">
        <v>2635</v>
      </c>
    </row>
    <row r="443" spans="1:20" x14ac:dyDescent="0.35">
      <c r="A443" s="7" t="s">
        <v>536</v>
      </c>
      <c r="B443" s="12" t="s">
        <v>85</v>
      </c>
      <c r="C443">
        <v>39002220.969049029</v>
      </c>
      <c r="D443">
        <v>38998130.760854483</v>
      </c>
      <c r="E443">
        <v>29729.729729729999</v>
      </c>
      <c r="F443">
        <v>269369.36936937203</v>
      </c>
      <c r="G443">
        <v>21</v>
      </c>
      <c r="H443">
        <v>14</v>
      </c>
      <c r="K443">
        <v>24</v>
      </c>
      <c r="L443">
        <v>21</v>
      </c>
      <c r="M443">
        <v>10119819.819819819</v>
      </c>
      <c r="N443">
        <v>15246306.306306308</v>
      </c>
      <c r="O443">
        <v>17812972.97297297</v>
      </c>
      <c r="P443">
        <v>17059540.540540539</v>
      </c>
      <c r="Q443">
        <v>10133333.333333332</v>
      </c>
      <c r="R443">
        <v>10562522.522522524</v>
      </c>
      <c r="S443">
        <v>3114</v>
      </c>
      <c r="T443">
        <v>3031</v>
      </c>
    </row>
    <row r="444" spans="1:20" x14ac:dyDescent="0.35">
      <c r="A444" s="7" t="s">
        <v>537</v>
      </c>
      <c r="B444" s="12" t="s">
        <v>448</v>
      </c>
      <c r="C444">
        <v>55391887.177653022</v>
      </c>
      <c r="D444">
        <v>53744032.398783177</v>
      </c>
      <c r="E444">
        <v>117117.117117118</v>
      </c>
      <c r="F444">
        <v>136936.93693693701</v>
      </c>
      <c r="G444">
        <v>36</v>
      </c>
      <c r="H444">
        <v>11</v>
      </c>
      <c r="K444">
        <v>39</v>
      </c>
      <c r="L444">
        <v>19</v>
      </c>
      <c r="M444">
        <v>1827927.9279279271</v>
      </c>
      <c r="N444">
        <v>580630.63063062995</v>
      </c>
      <c r="O444">
        <v>15256792.792792792</v>
      </c>
      <c r="P444">
        <v>15127628.82882883</v>
      </c>
      <c r="Q444">
        <v>2605405.4054054059</v>
      </c>
      <c r="R444">
        <v>1744774.774774774</v>
      </c>
      <c r="S444">
        <v>5137</v>
      </c>
      <c r="T444">
        <v>5095</v>
      </c>
    </row>
    <row r="445" spans="1:20" x14ac:dyDescent="0.35">
      <c r="A445" s="7" t="s">
        <v>538</v>
      </c>
      <c r="B445" s="12" t="s">
        <v>117</v>
      </c>
      <c r="C445">
        <v>123897232.74243212</v>
      </c>
      <c r="D445">
        <v>121489933.15053996</v>
      </c>
      <c r="E445">
        <v>487657.65765766002</v>
      </c>
      <c r="F445">
        <v>1096396.3963963999</v>
      </c>
      <c r="G445">
        <v>24</v>
      </c>
      <c r="H445">
        <v>23</v>
      </c>
      <c r="K445">
        <v>29</v>
      </c>
      <c r="L445">
        <v>31</v>
      </c>
      <c r="M445">
        <v>20437927.927927926</v>
      </c>
      <c r="N445">
        <v>23356125.225225229</v>
      </c>
      <c r="O445">
        <v>64687972.972972974</v>
      </c>
      <c r="P445">
        <v>67184603.603603601</v>
      </c>
      <c r="Q445">
        <v>19879549.54954955</v>
      </c>
      <c r="R445">
        <v>17927117.117117122</v>
      </c>
      <c r="S445">
        <v>11099</v>
      </c>
      <c r="T445">
        <v>11132</v>
      </c>
    </row>
    <row r="446" spans="1:20" x14ac:dyDescent="0.35">
      <c r="A446" s="7" t="s">
        <v>539</v>
      </c>
      <c r="B446" s="12" t="s">
        <v>83</v>
      </c>
      <c r="C446">
        <v>401358446.34215772</v>
      </c>
      <c r="D446">
        <v>399484999.33020198</v>
      </c>
      <c r="E446">
        <v>765765.76576576801</v>
      </c>
      <c r="F446">
        <v>1834684.684684691</v>
      </c>
      <c r="G446">
        <v>44</v>
      </c>
      <c r="H446">
        <v>91</v>
      </c>
      <c r="K446">
        <v>55</v>
      </c>
      <c r="L446">
        <v>119</v>
      </c>
      <c r="M446">
        <v>19148198.198198192</v>
      </c>
      <c r="N446">
        <v>26195495.495495491</v>
      </c>
      <c r="O446">
        <v>37566747.747747742</v>
      </c>
      <c r="P446">
        <v>40595217.117117122</v>
      </c>
      <c r="Q446">
        <v>17255675.675675675</v>
      </c>
      <c r="R446">
        <v>19997340.540540539</v>
      </c>
      <c r="S446">
        <v>21537</v>
      </c>
      <c r="T446">
        <v>21746</v>
      </c>
    </row>
    <row r="447" spans="1:20" x14ac:dyDescent="0.35">
      <c r="A447" s="7" t="s">
        <v>540</v>
      </c>
      <c r="B447" s="12" t="s">
        <v>315</v>
      </c>
      <c r="C447">
        <v>46966376.713254035</v>
      </c>
      <c r="D447">
        <v>45352826.968667842</v>
      </c>
      <c r="E447">
        <v>1018018.018018018</v>
      </c>
      <c r="F447">
        <v>678603.60360360495</v>
      </c>
      <c r="G447">
        <v>6</v>
      </c>
      <c r="H447">
        <v>5</v>
      </c>
      <c r="K447">
        <v>7</v>
      </c>
      <c r="L447">
        <v>5</v>
      </c>
      <c r="M447">
        <v>5090090.0900900913</v>
      </c>
      <c r="N447">
        <v>3834234.2342342348</v>
      </c>
      <c r="O447">
        <v>8633513.5135135129</v>
      </c>
      <c r="P447">
        <v>9278783.7837837841</v>
      </c>
      <c r="Q447">
        <v>3752072.0720720729</v>
      </c>
      <c r="R447">
        <v>1980900.900900902</v>
      </c>
      <c r="S447">
        <v>2472</v>
      </c>
      <c r="T447">
        <v>2596</v>
      </c>
    </row>
    <row r="448" spans="1:20" x14ac:dyDescent="0.35">
      <c r="A448" s="7" t="s">
        <v>541</v>
      </c>
      <c r="B448" s="12" t="s">
        <v>169</v>
      </c>
      <c r="C448">
        <v>341070465.90790856</v>
      </c>
      <c r="D448">
        <v>307585631.26202869</v>
      </c>
      <c r="E448">
        <v>1678828.8288288291</v>
      </c>
      <c r="F448">
        <v>742342.342342344</v>
      </c>
      <c r="G448">
        <v>26</v>
      </c>
      <c r="H448">
        <v>36</v>
      </c>
      <c r="K448">
        <v>29</v>
      </c>
      <c r="L448">
        <v>44</v>
      </c>
      <c r="M448">
        <v>16279909.909909911</v>
      </c>
      <c r="N448">
        <v>17310270.270270266</v>
      </c>
      <c r="O448">
        <v>120818675.67567568</v>
      </c>
      <c r="P448">
        <v>114456590.0900901</v>
      </c>
      <c r="Q448">
        <v>14903243.243243244</v>
      </c>
      <c r="R448">
        <v>19861531.531531528</v>
      </c>
      <c r="S448">
        <v>21480</v>
      </c>
      <c r="T448">
        <v>21387</v>
      </c>
    </row>
    <row r="449" spans="1:20" x14ac:dyDescent="0.35">
      <c r="A449" s="7" t="s">
        <v>542</v>
      </c>
      <c r="B449" s="12" t="s">
        <v>479</v>
      </c>
      <c r="C449">
        <v>101420403.35469384</v>
      </c>
      <c r="D449">
        <v>99884026.841239199</v>
      </c>
      <c r="E449">
        <v>58386489.189189196</v>
      </c>
      <c r="F449">
        <v>45230806.306306303</v>
      </c>
      <c r="G449">
        <v>9</v>
      </c>
      <c r="H449">
        <v>3</v>
      </c>
      <c r="K449">
        <v>10</v>
      </c>
      <c r="L449">
        <v>7</v>
      </c>
      <c r="M449">
        <v>2334684.684684685</v>
      </c>
      <c r="N449">
        <v>918693.69369369501</v>
      </c>
      <c r="O449">
        <v>12888819.819819819</v>
      </c>
      <c r="P449">
        <v>12302567.567567568</v>
      </c>
      <c r="Q449">
        <v>1070270.270270271</v>
      </c>
      <c r="S449">
        <v>6299</v>
      </c>
      <c r="T449">
        <v>5410</v>
      </c>
    </row>
    <row r="450" spans="1:20" x14ac:dyDescent="0.35">
      <c r="A450" s="7" t="s">
        <v>543</v>
      </c>
      <c r="B450" s="12" t="s">
        <v>80</v>
      </c>
      <c r="C450">
        <v>27576492.403350599</v>
      </c>
      <c r="D450">
        <v>18838841.067868836</v>
      </c>
      <c r="E450">
        <v>35135.135135135999</v>
      </c>
      <c r="F450">
        <v>36486.486486487003</v>
      </c>
      <c r="G450">
        <v>5</v>
      </c>
      <c r="H450">
        <v>6</v>
      </c>
      <c r="K450">
        <v>7</v>
      </c>
      <c r="L450">
        <v>6</v>
      </c>
      <c r="M450">
        <v>2602702.702702703</v>
      </c>
      <c r="N450">
        <v>2840540.5405405401</v>
      </c>
      <c r="O450">
        <v>9732702.7027027011</v>
      </c>
      <c r="P450">
        <v>7026225.225225226</v>
      </c>
      <c r="Q450">
        <v>1873513.5135135129</v>
      </c>
      <c r="R450">
        <v>1816396.3963963969</v>
      </c>
      <c r="S450">
        <v>2295</v>
      </c>
      <c r="T450">
        <v>2181</v>
      </c>
    </row>
    <row r="451" spans="1:20" x14ac:dyDescent="0.35">
      <c r="A451" s="7" t="s">
        <v>544</v>
      </c>
      <c r="B451" s="12" t="s">
        <v>169</v>
      </c>
      <c r="C451">
        <v>23823987.595501952</v>
      </c>
      <c r="D451">
        <v>25904600.809020024</v>
      </c>
      <c r="F451">
        <v>270270.27027027</v>
      </c>
      <c r="G451">
        <v>4</v>
      </c>
      <c r="H451">
        <v>10</v>
      </c>
      <c r="K451">
        <v>5</v>
      </c>
      <c r="L451">
        <v>11</v>
      </c>
      <c r="M451">
        <v>1801801.801801801</v>
      </c>
      <c r="N451">
        <v>1171171.17117117</v>
      </c>
      <c r="O451">
        <v>11015169.369369367</v>
      </c>
      <c r="P451">
        <v>11798612.612612613</v>
      </c>
      <c r="Q451">
        <v>493063.06306306302</v>
      </c>
      <c r="R451">
        <v>186486.48648648601</v>
      </c>
      <c r="S451">
        <v>2507</v>
      </c>
      <c r="T451">
        <v>2371</v>
      </c>
    </row>
    <row r="452" spans="1:20" x14ac:dyDescent="0.35">
      <c r="A452" s="7" t="s">
        <v>545</v>
      </c>
      <c r="B452" s="12" t="s">
        <v>224</v>
      </c>
      <c r="C452">
        <v>9810.8108108100005</v>
      </c>
      <c r="D452">
        <v>9.0635441009999997</v>
      </c>
    </row>
    <row r="453" spans="1:20" x14ac:dyDescent="0.35">
      <c r="A453" s="7" t="s">
        <v>546</v>
      </c>
      <c r="B453" s="12" t="s">
        <v>136</v>
      </c>
      <c r="C453">
        <v>68847658.326286018</v>
      </c>
      <c r="D453">
        <v>65092529.775596753</v>
      </c>
      <c r="E453">
        <v>258108.10810810901</v>
      </c>
      <c r="F453">
        <v>256756.756756758</v>
      </c>
      <c r="G453">
        <v>17</v>
      </c>
      <c r="H453">
        <v>14</v>
      </c>
      <c r="K453">
        <v>20</v>
      </c>
      <c r="L453">
        <v>19</v>
      </c>
      <c r="M453">
        <v>10240090.09009009</v>
      </c>
      <c r="N453">
        <v>17157657.657657657</v>
      </c>
      <c r="O453">
        <v>20858468.468468469</v>
      </c>
      <c r="P453">
        <v>20182309.009009007</v>
      </c>
      <c r="Q453">
        <v>11022432.432432432</v>
      </c>
      <c r="R453">
        <v>12409369.369369371</v>
      </c>
      <c r="S453">
        <v>4401</v>
      </c>
      <c r="T453">
        <v>4198</v>
      </c>
    </row>
    <row r="454" spans="1:20" x14ac:dyDescent="0.35">
      <c r="A454" s="7" t="s">
        <v>547</v>
      </c>
      <c r="B454" s="12" t="s">
        <v>136</v>
      </c>
      <c r="C454">
        <v>123477983.07596865</v>
      </c>
      <c r="D454">
        <v>124410654.14535747</v>
      </c>
      <c r="E454">
        <v>30848275.675675679</v>
      </c>
      <c r="F454">
        <v>46027362.16216217</v>
      </c>
      <c r="G454">
        <v>50</v>
      </c>
      <c r="H454">
        <v>63</v>
      </c>
      <c r="K454">
        <v>61</v>
      </c>
      <c r="L454">
        <v>74</v>
      </c>
      <c r="M454">
        <v>26090540.540540539</v>
      </c>
      <c r="N454">
        <v>26406756.756756753</v>
      </c>
      <c r="O454">
        <v>37468061.261261262</v>
      </c>
      <c r="P454">
        <v>42451833.333333336</v>
      </c>
      <c r="Q454">
        <v>22840360.360360365</v>
      </c>
      <c r="R454">
        <v>26401531.531531531</v>
      </c>
      <c r="S454">
        <v>12558</v>
      </c>
      <c r="T454">
        <v>13206</v>
      </c>
    </row>
    <row r="455" spans="1:20" x14ac:dyDescent="0.35">
      <c r="A455" s="7" t="s">
        <v>548</v>
      </c>
      <c r="B455" s="12" t="s">
        <v>136</v>
      </c>
      <c r="C455">
        <v>138594934.78008589</v>
      </c>
      <c r="D455">
        <v>138320681.3303082</v>
      </c>
      <c r="E455">
        <v>904504.50450450496</v>
      </c>
      <c r="F455">
        <v>941441.441441442</v>
      </c>
      <c r="G455">
        <v>27</v>
      </c>
      <c r="H455">
        <v>11</v>
      </c>
      <c r="K455">
        <v>34</v>
      </c>
      <c r="L455">
        <v>16</v>
      </c>
      <c r="M455">
        <v>5688288.2882882887</v>
      </c>
      <c r="N455">
        <v>5806306.3063063063</v>
      </c>
      <c r="O455">
        <v>21125261.261261266</v>
      </c>
      <c r="P455">
        <v>22244133.333333332</v>
      </c>
      <c r="Q455">
        <v>4773063.0630630627</v>
      </c>
      <c r="R455">
        <v>5767027.0270270258</v>
      </c>
      <c r="S455">
        <v>8168</v>
      </c>
      <c r="T455">
        <v>8521</v>
      </c>
    </row>
    <row r="456" spans="1:20" x14ac:dyDescent="0.35">
      <c r="A456" s="7" t="s">
        <v>549</v>
      </c>
      <c r="B456" s="12" t="s">
        <v>136</v>
      </c>
      <c r="C456">
        <v>66519626.12217617</v>
      </c>
      <c r="D456">
        <v>55470800.738838576</v>
      </c>
      <c r="E456">
        <v>274774.77477477503</v>
      </c>
      <c r="F456">
        <v>54054.054054054999</v>
      </c>
      <c r="G456">
        <v>11</v>
      </c>
      <c r="H456">
        <v>9</v>
      </c>
      <c r="K456">
        <v>14</v>
      </c>
      <c r="L456">
        <v>10</v>
      </c>
      <c r="M456">
        <v>2977477.4774774779</v>
      </c>
      <c r="N456">
        <v>5342342.3423423423</v>
      </c>
      <c r="O456">
        <v>10529639.63963964</v>
      </c>
      <c r="P456">
        <v>10057198.198198197</v>
      </c>
      <c r="Q456">
        <v>4089009.0090090092</v>
      </c>
      <c r="R456">
        <v>3971801.8018018021</v>
      </c>
      <c r="S456">
        <v>3800</v>
      </c>
      <c r="T456">
        <v>3647</v>
      </c>
    </row>
    <row r="457" spans="1:20" x14ac:dyDescent="0.35">
      <c r="A457" s="7" t="s">
        <v>550</v>
      </c>
      <c r="B457" s="12" t="s">
        <v>87</v>
      </c>
      <c r="C457">
        <v>28898519.788720351</v>
      </c>
      <c r="D457">
        <v>22461987.442296296</v>
      </c>
      <c r="E457">
        <v>904504.50450450496</v>
      </c>
      <c r="F457">
        <v>27027.027027027001</v>
      </c>
      <c r="G457">
        <v>13</v>
      </c>
      <c r="H457">
        <v>3</v>
      </c>
      <c r="K457">
        <v>13</v>
      </c>
      <c r="L457">
        <v>5</v>
      </c>
      <c r="M457">
        <v>1625225.225225226</v>
      </c>
      <c r="N457">
        <v>1679279.2792792779</v>
      </c>
      <c r="O457">
        <v>5028729.7297297297</v>
      </c>
      <c r="P457">
        <v>3479180.1801801799</v>
      </c>
      <c r="Q457">
        <v>1805045.045045045</v>
      </c>
      <c r="R457">
        <v>1446306.306306306</v>
      </c>
      <c r="S457">
        <v>1405</v>
      </c>
      <c r="T457">
        <v>1326</v>
      </c>
    </row>
    <row r="458" spans="1:20" x14ac:dyDescent="0.35">
      <c r="A458" s="7" t="s">
        <v>551</v>
      </c>
      <c r="B458" s="12" t="s">
        <v>87</v>
      </c>
      <c r="C458">
        <v>40678320.37174388</v>
      </c>
      <c r="D458">
        <v>36009927.328865938</v>
      </c>
      <c r="E458">
        <v>1801.801801802</v>
      </c>
      <c r="F458">
        <v>94594.594594594993</v>
      </c>
      <c r="G458">
        <v>22</v>
      </c>
      <c r="H458">
        <v>11</v>
      </c>
      <c r="I458">
        <v>1</v>
      </c>
      <c r="K458">
        <v>26</v>
      </c>
      <c r="L458">
        <v>19</v>
      </c>
      <c r="M458">
        <v>4686486.4864864862</v>
      </c>
      <c r="N458">
        <v>3397297.297297297</v>
      </c>
      <c r="O458">
        <v>4545675.6756756762</v>
      </c>
      <c r="P458">
        <v>3889016.2162162159</v>
      </c>
      <c r="Q458">
        <v>1948018.018018018</v>
      </c>
      <c r="R458">
        <v>1452972.972972973</v>
      </c>
      <c r="S458">
        <v>2632</v>
      </c>
      <c r="T458">
        <v>2585</v>
      </c>
    </row>
    <row r="459" spans="1:20" x14ac:dyDescent="0.35">
      <c r="A459" s="7" t="s">
        <v>552</v>
      </c>
      <c r="B459" s="12" t="s">
        <v>66</v>
      </c>
      <c r="C459">
        <v>70292681.173838526</v>
      </c>
      <c r="D459">
        <v>68936957.381455407</v>
      </c>
      <c r="E459">
        <v>1413243.2432432449</v>
      </c>
      <c r="F459">
        <v>751351.35135135194</v>
      </c>
      <c r="G459">
        <v>24</v>
      </c>
      <c r="H459">
        <v>19</v>
      </c>
      <c r="K459">
        <v>26</v>
      </c>
      <c r="L459">
        <v>30</v>
      </c>
      <c r="M459">
        <v>11668738.738738732</v>
      </c>
      <c r="N459">
        <v>23106576.576576572</v>
      </c>
      <c r="O459">
        <v>29906630.630630631</v>
      </c>
      <c r="P459">
        <v>28744108.108108107</v>
      </c>
      <c r="Q459">
        <v>10112252.252252251</v>
      </c>
      <c r="R459">
        <v>20033693.693693694</v>
      </c>
      <c r="S459">
        <v>8947</v>
      </c>
      <c r="T459">
        <v>9340</v>
      </c>
    </row>
    <row r="460" spans="1:20" x14ac:dyDescent="0.35">
      <c r="A460" s="7" t="s">
        <v>553</v>
      </c>
      <c r="B460" s="12" t="s">
        <v>554</v>
      </c>
      <c r="C460">
        <v>150721715.81505951</v>
      </c>
      <c r="D460">
        <v>134094351.19585189</v>
      </c>
      <c r="E460">
        <v>49549.54954955</v>
      </c>
      <c r="F460">
        <v>740090.09009009297</v>
      </c>
      <c r="G460">
        <v>32</v>
      </c>
      <c r="H460">
        <v>16</v>
      </c>
      <c r="I460">
        <v>1</v>
      </c>
      <c r="K460">
        <v>38</v>
      </c>
      <c r="L460">
        <v>21</v>
      </c>
      <c r="M460">
        <v>8371351.3513513468</v>
      </c>
      <c r="N460">
        <v>20402702.702702697</v>
      </c>
      <c r="O460">
        <v>39325225.225225225</v>
      </c>
      <c r="P460">
        <v>36088432.432432435</v>
      </c>
      <c r="Q460">
        <v>10709369.369369363</v>
      </c>
      <c r="R460">
        <v>17236036.036036029</v>
      </c>
      <c r="S460">
        <v>9298</v>
      </c>
      <c r="T460">
        <v>9031</v>
      </c>
    </row>
    <row r="461" spans="1:20" x14ac:dyDescent="0.35">
      <c r="A461" s="7" t="s">
        <v>555</v>
      </c>
      <c r="B461" s="12" t="s">
        <v>554</v>
      </c>
      <c r="C461">
        <v>21613234.396688208</v>
      </c>
      <c r="D461">
        <v>20393488.750901371</v>
      </c>
      <c r="E461">
        <v>1583513.5135135141</v>
      </c>
      <c r="F461">
        <v>22460111.711711712</v>
      </c>
      <c r="G461">
        <v>12</v>
      </c>
      <c r="H461">
        <v>1</v>
      </c>
      <c r="K461">
        <v>12</v>
      </c>
      <c r="L461">
        <v>2</v>
      </c>
      <c r="M461">
        <v>4493333.333333333</v>
      </c>
      <c r="N461">
        <v>5148648.6486486495</v>
      </c>
      <c r="O461">
        <v>8349054.0540540544</v>
      </c>
      <c r="P461">
        <v>7039459.4594594603</v>
      </c>
      <c r="Q461">
        <v>1583603.6036036031</v>
      </c>
      <c r="R461">
        <v>2261261.2612612611</v>
      </c>
      <c r="S461">
        <v>1651</v>
      </c>
      <c r="T461">
        <v>1528</v>
      </c>
    </row>
    <row r="462" spans="1:20" x14ac:dyDescent="0.35">
      <c r="A462" s="7" t="s">
        <v>556</v>
      </c>
      <c r="B462" s="12" t="s">
        <v>121</v>
      </c>
      <c r="C462">
        <v>17252327.552856825</v>
      </c>
      <c r="D462">
        <v>16822531.660565443</v>
      </c>
      <c r="F462">
        <v>180180.18018018</v>
      </c>
      <c r="G462">
        <v>4</v>
      </c>
      <c r="H462">
        <v>6</v>
      </c>
      <c r="K462">
        <v>5</v>
      </c>
      <c r="L462">
        <v>8</v>
      </c>
      <c r="N462">
        <v>180180.18018018</v>
      </c>
      <c r="O462">
        <v>972072.07207207102</v>
      </c>
      <c r="P462">
        <v>1720990.990990991</v>
      </c>
      <c r="Q462">
        <v>92792.792792793</v>
      </c>
      <c r="S462">
        <v>1412</v>
      </c>
      <c r="T462">
        <v>1274</v>
      </c>
    </row>
    <row r="463" spans="1:20" x14ac:dyDescent="0.35">
      <c r="A463" s="7" t="s">
        <v>676</v>
      </c>
      <c r="B463" s="12" t="s">
        <v>236</v>
      </c>
      <c r="E463">
        <v>20471786.486486487</v>
      </c>
      <c r="F463">
        <v>3386417.1171171172</v>
      </c>
      <c r="M463">
        <v>17642792.792792793</v>
      </c>
      <c r="N463">
        <v>20045045.045045044</v>
      </c>
    </row>
    <row r="464" spans="1:20" x14ac:dyDescent="0.35">
      <c r="A464" s="7" t="s">
        <v>557</v>
      </c>
      <c r="B464" s="12" t="s">
        <v>70</v>
      </c>
      <c r="C464">
        <v>132820467.30774198</v>
      </c>
      <c r="D464">
        <v>132373292.48281589</v>
      </c>
      <c r="E464">
        <v>492972.97297297302</v>
      </c>
      <c r="F464">
        <v>1343243.2432432489</v>
      </c>
      <c r="G464">
        <v>29</v>
      </c>
      <c r="H464">
        <v>24</v>
      </c>
      <c r="K464">
        <v>30</v>
      </c>
      <c r="L464">
        <v>27</v>
      </c>
      <c r="M464">
        <v>8662342.3423423488</v>
      </c>
      <c r="N464">
        <v>27703603.603603609</v>
      </c>
      <c r="O464">
        <v>53252369.369369365</v>
      </c>
      <c r="P464">
        <v>53635378.378378376</v>
      </c>
      <c r="Q464">
        <v>17614684.684684686</v>
      </c>
      <c r="R464">
        <v>17242072.072072074</v>
      </c>
      <c r="S464">
        <v>10323</v>
      </c>
      <c r="T464">
        <v>10306</v>
      </c>
    </row>
    <row r="465" spans="1:20" x14ac:dyDescent="0.35">
      <c r="A465" s="7" t="s">
        <v>558</v>
      </c>
      <c r="B465" s="12" t="s">
        <v>62</v>
      </c>
      <c r="C465">
        <v>241644906.45370531</v>
      </c>
      <c r="D465">
        <v>239712662.47577143</v>
      </c>
      <c r="E465">
        <v>3609459.4594594622</v>
      </c>
      <c r="F465">
        <v>2663963.9639639691</v>
      </c>
      <c r="G465">
        <v>54</v>
      </c>
      <c r="H465">
        <v>57</v>
      </c>
      <c r="K465">
        <v>64</v>
      </c>
      <c r="L465">
        <v>97</v>
      </c>
      <c r="M465">
        <v>21059189.189189184</v>
      </c>
      <c r="N465">
        <v>14508288.288288282</v>
      </c>
      <c r="O465">
        <v>53876666.666666672</v>
      </c>
      <c r="P465">
        <v>52063788.288288288</v>
      </c>
      <c r="Q465">
        <v>16900990.990990985</v>
      </c>
      <c r="R465">
        <v>16536756.756756751</v>
      </c>
      <c r="S465">
        <v>17974</v>
      </c>
      <c r="T465">
        <v>18239</v>
      </c>
    </row>
    <row r="466" spans="1:20" x14ac:dyDescent="0.35">
      <c r="A466" s="7" t="s">
        <v>559</v>
      </c>
      <c r="B466" s="12" t="s">
        <v>479</v>
      </c>
      <c r="C466">
        <v>123853307.99033648</v>
      </c>
      <c r="D466">
        <v>109416475.46008098</v>
      </c>
      <c r="E466">
        <v>367567.56756757101</v>
      </c>
      <c r="F466">
        <v>622522.52252252796</v>
      </c>
      <c r="G466">
        <v>63</v>
      </c>
      <c r="H466">
        <v>28</v>
      </c>
      <c r="K466">
        <v>65</v>
      </c>
      <c r="L466">
        <v>35</v>
      </c>
      <c r="M466">
        <v>13400000.000000004</v>
      </c>
      <c r="N466">
        <v>13734504.504504509</v>
      </c>
      <c r="O466">
        <v>34720558.558558561</v>
      </c>
      <c r="P466">
        <v>31961306.306306306</v>
      </c>
      <c r="Q466">
        <v>12995315.315315315</v>
      </c>
      <c r="R466">
        <v>9696126.1261261292</v>
      </c>
      <c r="S466">
        <v>7987</v>
      </c>
      <c r="T466">
        <v>7645</v>
      </c>
    </row>
    <row r="467" spans="1:20" x14ac:dyDescent="0.35">
      <c r="A467" s="7" t="s">
        <v>560</v>
      </c>
      <c r="B467" s="12" t="s">
        <v>236</v>
      </c>
      <c r="C467">
        <v>18263909.92632829</v>
      </c>
      <c r="D467">
        <v>18643879.329074342</v>
      </c>
      <c r="E467">
        <v>5405.4054054059998</v>
      </c>
      <c r="F467">
        <v>27027.027027028002</v>
      </c>
      <c r="G467">
        <v>4</v>
      </c>
      <c r="H467">
        <v>4</v>
      </c>
      <c r="K467">
        <v>6</v>
      </c>
      <c r="L467">
        <v>5</v>
      </c>
      <c r="M467">
        <v>2588288.2882882869</v>
      </c>
      <c r="N467">
        <v>477477.47747747798</v>
      </c>
      <c r="O467">
        <v>6971306.3063063072</v>
      </c>
      <c r="P467">
        <v>6427747.7477477482</v>
      </c>
      <c r="Q467">
        <v>2084144.1441441439</v>
      </c>
      <c r="R467">
        <v>480090.09009009099</v>
      </c>
      <c r="S467">
        <v>2192</v>
      </c>
      <c r="T467">
        <v>2385</v>
      </c>
    </row>
    <row r="468" spans="1:20" x14ac:dyDescent="0.35">
      <c r="A468" s="7" t="s">
        <v>561</v>
      </c>
      <c r="B468" s="12" t="s">
        <v>60</v>
      </c>
      <c r="C468">
        <v>18958749.289445169</v>
      </c>
      <c r="D468">
        <v>18694808.692779109</v>
      </c>
      <c r="E468">
        <v>11261.261261262</v>
      </c>
      <c r="F468">
        <v>319819.81981982</v>
      </c>
      <c r="G468">
        <v>4</v>
      </c>
      <c r="H468">
        <v>11</v>
      </c>
      <c r="K468">
        <v>5</v>
      </c>
      <c r="L468">
        <v>13</v>
      </c>
      <c r="M468">
        <v>3840090.0900900909</v>
      </c>
      <c r="N468">
        <v>6202702.702702703</v>
      </c>
      <c r="O468">
        <v>6755585.5855855858</v>
      </c>
      <c r="P468">
        <v>7308540.5405405406</v>
      </c>
      <c r="Q468">
        <v>3431081.0810810798</v>
      </c>
      <c r="R468">
        <v>6180270.2702702703</v>
      </c>
      <c r="S468">
        <v>1270</v>
      </c>
      <c r="T468">
        <v>1254</v>
      </c>
    </row>
    <row r="469" spans="1:20" x14ac:dyDescent="0.35">
      <c r="A469" s="7" t="s">
        <v>562</v>
      </c>
      <c r="B469" s="12" t="s">
        <v>563</v>
      </c>
      <c r="C469">
        <v>97022819.640810624</v>
      </c>
      <c r="D469">
        <v>99409434.898392126</v>
      </c>
      <c r="E469">
        <v>1326888.2882882899</v>
      </c>
      <c r="F469">
        <v>267339380.18018019</v>
      </c>
      <c r="G469">
        <v>38</v>
      </c>
      <c r="H469">
        <v>27</v>
      </c>
      <c r="K469">
        <v>54</v>
      </c>
      <c r="L469">
        <v>40</v>
      </c>
      <c r="M469">
        <v>31803378.37837838</v>
      </c>
      <c r="N469">
        <v>126516434.23423424</v>
      </c>
      <c r="O469">
        <v>37928513.513513513</v>
      </c>
      <c r="P469">
        <v>43131171.171171166</v>
      </c>
      <c r="Q469">
        <v>50620394.594594598</v>
      </c>
      <c r="R469">
        <v>79283506.306306303</v>
      </c>
      <c r="S469">
        <v>8220</v>
      </c>
      <c r="T469">
        <v>8475</v>
      </c>
    </row>
    <row r="470" spans="1:20" x14ac:dyDescent="0.35">
      <c r="A470" s="7" t="s">
        <v>564</v>
      </c>
      <c r="B470" s="12" t="s">
        <v>563</v>
      </c>
      <c r="C470">
        <v>144313417.19419432</v>
      </c>
      <c r="D470">
        <v>132859110.88760634</v>
      </c>
      <c r="E470">
        <v>329639.63963963999</v>
      </c>
      <c r="F470">
        <v>1429729.729729736</v>
      </c>
      <c r="G470">
        <v>25</v>
      </c>
      <c r="H470">
        <v>86</v>
      </c>
      <c r="K470">
        <v>33</v>
      </c>
      <c r="L470">
        <v>96</v>
      </c>
      <c r="M470">
        <v>10932432.432432437</v>
      </c>
      <c r="N470">
        <v>11353109.909909908</v>
      </c>
      <c r="O470">
        <v>56450630.630630635</v>
      </c>
      <c r="P470">
        <v>55815270.270270273</v>
      </c>
      <c r="Q470">
        <v>11234594.5945946</v>
      </c>
      <c r="R470">
        <v>10190720.72072072</v>
      </c>
      <c r="S470">
        <v>12194</v>
      </c>
      <c r="T470">
        <v>13398</v>
      </c>
    </row>
    <row r="471" spans="1:20" x14ac:dyDescent="0.35">
      <c r="A471" s="7" t="s">
        <v>565</v>
      </c>
      <c r="B471" s="12" t="s">
        <v>563</v>
      </c>
      <c r="C471">
        <v>96260280.397327036</v>
      </c>
      <c r="D471">
        <v>99695224.124360785</v>
      </c>
      <c r="E471">
        <v>186486.48648648799</v>
      </c>
      <c r="F471">
        <v>2319819.8198198238</v>
      </c>
      <c r="G471">
        <v>29</v>
      </c>
      <c r="H471">
        <v>22</v>
      </c>
      <c r="K471">
        <v>46</v>
      </c>
      <c r="L471">
        <v>245</v>
      </c>
      <c r="M471">
        <v>9785135.1351351328</v>
      </c>
      <c r="N471">
        <v>15246622.522522524</v>
      </c>
      <c r="O471">
        <v>40915441.441441439</v>
      </c>
      <c r="P471">
        <v>48016288.288288288</v>
      </c>
      <c r="Q471">
        <v>12457747.747747744</v>
      </c>
      <c r="R471">
        <v>9796306.30630631</v>
      </c>
      <c r="S471">
        <v>11743</v>
      </c>
      <c r="T471">
        <v>11616</v>
      </c>
    </row>
    <row r="472" spans="1:20" x14ac:dyDescent="0.35">
      <c r="A472" s="7" t="s">
        <v>566</v>
      </c>
      <c r="B472" s="12" t="s">
        <v>563</v>
      </c>
      <c r="C472">
        <v>65074079.639641069</v>
      </c>
      <c r="D472">
        <v>70583640.205366075</v>
      </c>
      <c r="E472">
        <v>114414.41441441501</v>
      </c>
      <c r="F472">
        <v>204504.50450450499</v>
      </c>
      <c r="G472">
        <v>13</v>
      </c>
      <c r="H472">
        <v>7</v>
      </c>
      <c r="K472">
        <v>13</v>
      </c>
      <c r="L472">
        <v>8</v>
      </c>
      <c r="M472">
        <v>11511171.17117117</v>
      </c>
      <c r="N472">
        <v>10651772.972972974</v>
      </c>
      <c r="O472">
        <v>37273189.189189196</v>
      </c>
      <c r="P472">
        <v>40091585.585585587</v>
      </c>
      <c r="Q472">
        <v>11298018.018018017</v>
      </c>
      <c r="R472">
        <v>7711081.081081083</v>
      </c>
      <c r="S472">
        <v>6494</v>
      </c>
      <c r="T472">
        <v>6239</v>
      </c>
    </row>
    <row r="473" spans="1:20" x14ac:dyDescent="0.35">
      <c r="A473" s="7" t="s">
        <v>567</v>
      </c>
      <c r="B473" s="12" t="s">
        <v>563</v>
      </c>
      <c r="C473">
        <v>38180555.986968987</v>
      </c>
      <c r="D473">
        <v>38421726.116082087</v>
      </c>
      <c r="E473">
        <v>11457207.20720721</v>
      </c>
      <c r="F473">
        <v>390990.99099099298</v>
      </c>
      <c r="G473">
        <v>7</v>
      </c>
      <c r="H473">
        <v>3</v>
      </c>
      <c r="K473">
        <v>8</v>
      </c>
      <c r="L473">
        <v>13</v>
      </c>
      <c r="M473">
        <v>8111171.1711711697</v>
      </c>
      <c r="N473">
        <v>10294587.387387387</v>
      </c>
      <c r="O473">
        <v>15220630.630630633</v>
      </c>
      <c r="P473">
        <v>15643198.198198197</v>
      </c>
      <c r="Q473">
        <v>7902297.297297298</v>
      </c>
      <c r="R473">
        <v>4574639.6396396393</v>
      </c>
      <c r="S473">
        <v>4646</v>
      </c>
      <c r="T473">
        <v>4746</v>
      </c>
    </row>
    <row r="474" spans="1:20" x14ac:dyDescent="0.35">
      <c r="A474" s="7" t="s">
        <v>568</v>
      </c>
      <c r="B474" s="12" t="s">
        <v>48</v>
      </c>
      <c r="C474">
        <v>92394303.018376768</v>
      </c>
      <c r="D474">
        <v>84795227.454410285</v>
      </c>
      <c r="E474">
        <v>9459.4594594589998</v>
      </c>
      <c r="F474">
        <v>284684.68468468502</v>
      </c>
      <c r="G474">
        <v>1</v>
      </c>
      <c r="H474">
        <v>3</v>
      </c>
      <c r="K474">
        <v>1</v>
      </c>
      <c r="L474">
        <v>4</v>
      </c>
      <c r="M474">
        <v>1811261.2612612611</v>
      </c>
      <c r="N474">
        <v>3888288.2882882878</v>
      </c>
      <c r="O474">
        <v>10204594.594594596</v>
      </c>
      <c r="P474">
        <v>8815855.8558558561</v>
      </c>
      <c r="Q474">
        <v>3381891.891891893</v>
      </c>
      <c r="R474">
        <v>2690180.1801801799</v>
      </c>
      <c r="S474">
        <v>6267</v>
      </c>
      <c r="T474">
        <v>5967</v>
      </c>
    </row>
    <row r="475" spans="1:20" x14ac:dyDescent="0.35">
      <c r="A475" s="7" t="s">
        <v>569</v>
      </c>
      <c r="B475" s="12" t="s">
        <v>169</v>
      </c>
      <c r="C475">
        <v>757109427.58122599</v>
      </c>
      <c r="D475">
        <v>800743969.43286371</v>
      </c>
      <c r="E475">
        <v>423372005.40540546</v>
      </c>
      <c r="F475">
        <v>22135956.75675676</v>
      </c>
      <c r="G475">
        <v>280</v>
      </c>
      <c r="H475">
        <v>467</v>
      </c>
      <c r="I475">
        <v>3</v>
      </c>
      <c r="K475">
        <v>348</v>
      </c>
      <c r="L475">
        <v>617</v>
      </c>
      <c r="M475">
        <v>145727117.11711711</v>
      </c>
      <c r="N475">
        <v>165503243.24324322</v>
      </c>
      <c r="O475">
        <v>261082549.54954955</v>
      </c>
      <c r="P475">
        <v>287467541.44144142</v>
      </c>
      <c r="Q475">
        <v>127672972.97297297</v>
      </c>
      <c r="R475">
        <v>153256079.27927926</v>
      </c>
      <c r="S475">
        <v>55862</v>
      </c>
      <c r="T475">
        <v>56679</v>
      </c>
    </row>
    <row r="476" spans="1:20" x14ac:dyDescent="0.35">
      <c r="A476" s="7" t="s">
        <v>570</v>
      </c>
      <c r="B476" s="12" t="s">
        <v>220</v>
      </c>
      <c r="C476">
        <v>80183296.86124067</v>
      </c>
      <c r="D476">
        <v>78889772.505997509</v>
      </c>
      <c r="E476">
        <v>301801.801801803</v>
      </c>
      <c r="F476">
        <v>315315.315315318</v>
      </c>
      <c r="G476">
        <v>8</v>
      </c>
      <c r="H476">
        <v>8</v>
      </c>
      <c r="K476">
        <v>11</v>
      </c>
      <c r="L476">
        <v>10</v>
      </c>
      <c r="M476">
        <v>1649549.549549551</v>
      </c>
      <c r="N476">
        <v>3288468.4684684649</v>
      </c>
      <c r="O476">
        <v>12767288.288288288</v>
      </c>
      <c r="P476">
        <v>12230621.62162162</v>
      </c>
      <c r="Q476">
        <v>1957927.927927928</v>
      </c>
      <c r="R476">
        <v>3504684.6846846798</v>
      </c>
      <c r="S476">
        <v>5166</v>
      </c>
      <c r="T476">
        <v>5103</v>
      </c>
    </row>
    <row r="477" spans="1:20" x14ac:dyDescent="0.35">
      <c r="A477" s="7" t="s">
        <v>571</v>
      </c>
      <c r="B477" s="12" t="s">
        <v>85</v>
      </c>
      <c r="C477">
        <v>94140273.751408234</v>
      </c>
      <c r="D477">
        <v>92494763.158129454</v>
      </c>
      <c r="E477">
        <v>9009.0090090089998</v>
      </c>
      <c r="F477">
        <v>198198.1981982</v>
      </c>
      <c r="G477">
        <v>12</v>
      </c>
      <c r="H477">
        <v>9</v>
      </c>
      <c r="K477">
        <v>15</v>
      </c>
      <c r="L477">
        <v>11</v>
      </c>
      <c r="M477">
        <v>1945945.9459459451</v>
      </c>
      <c r="N477">
        <v>6995495.4954955019</v>
      </c>
      <c r="O477">
        <v>20531621.62162162</v>
      </c>
      <c r="P477">
        <v>21112828.828828827</v>
      </c>
      <c r="Q477">
        <v>4772882.8828828819</v>
      </c>
      <c r="R477">
        <v>6850360.3603603654</v>
      </c>
      <c r="S477">
        <v>5118</v>
      </c>
      <c r="T477">
        <v>5082</v>
      </c>
    </row>
    <row r="478" spans="1:20" x14ac:dyDescent="0.35">
      <c r="A478" s="7" t="s">
        <v>572</v>
      </c>
      <c r="B478" s="12" t="s">
        <v>479</v>
      </c>
      <c r="C478">
        <v>46762898.616613828</v>
      </c>
      <c r="D478">
        <v>58160227.586228929</v>
      </c>
      <c r="E478">
        <v>955855.855855859</v>
      </c>
      <c r="F478">
        <v>1548648.6486486541</v>
      </c>
      <c r="G478">
        <v>21</v>
      </c>
      <c r="H478">
        <v>31</v>
      </c>
      <c r="K478">
        <v>30</v>
      </c>
      <c r="L478">
        <v>53</v>
      </c>
      <c r="M478">
        <v>6501081.0810810775</v>
      </c>
      <c r="N478">
        <v>8572972.972972976</v>
      </c>
      <c r="O478">
        <v>16287207.207207208</v>
      </c>
      <c r="P478">
        <v>23813360.360360362</v>
      </c>
      <c r="Q478">
        <v>8535765.7657657638</v>
      </c>
      <c r="R478">
        <v>7048108.108108107</v>
      </c>
      <c r="S478">
        <v>5285</v>
      </c>
      <c r="T478">
        <v>5817</v>
      </c>
    </row>
    <row r="479" spans="1:20" x14ac:dyDescent="0.35">
      <c r="A479" s="7" t="s">
        <v>573</v>
      </c>
      <c r="B479" s="12" t="s">
        <v>94</v>
      </c>
      <c r="C479">
        <v>136378526.10899892</v>
      </c>
      <c r="D479">
        <v>119036653.66226453</v>
      </c>
      <c r="E479">
        <v>740540.54054054001</v>
      </c>
      <c r="F479">
        <v>982882.88288288296</v>
      </c>
      <c r="G479">
        <v>31</v>
      </c>
      <c r="H479">
        <v>14</v>
      </c>
      <c r="K479">
        <v>37</v>
      </c>
      <c r="L479">
        <v>23</v>
      </c>
      <c r="M479">
        <v>187677477.47747746</v>
      </c>
      <c r="N479">
        <v>375910810.8108108</v>
      </c>
      <c r="O479">
        <v>31304013.513513513</v>
      </c>
      <c r="P479">
        <v>31503453.153153151</v>
      </c>
      <c r="Q479">
        <v>9215405.405405404</v>
      </c>
      <c r="R479">
        <v>15634414.414414413</v>
      </c>
      <c r="S479">
        <v>9695</v>
      </c>
      <c r="T479">
        <v>9694</v>
      </c>
    </row>
    <row r="480" spans="1:20" x14ac:dyDescent="0.35">
      <c r="A480" s="7" t="s">
        <v>574</v>
      </c>
      <c r="B480" s="12" t="s">
        <v>307</v>
      </c>
      <c r="C480">
        <v>295801237.98695362</v>
      </c>
      <c r="D480">
        <v>297368680.96532375</v>
      </c>
      <c r="E480">
        <v>1495495.4954954961</v>
      </c>
      <c r="F480">
        <v>2669369.3693693802</v>
      </c>
      <c r="G480">
        <v>52</v>
      </c>
      <c r="H480">
        <v>77</v>
      </c>
      <c r="K480">
        <v>65</v>
      </c>
      <c r="L480">
        <v>102</v>
      </c>
      <c r="M480">
        <v>27352657.657657657</v>
      </c>
      <c r="N480">
        <v>31037027.027027033</v>
      </c>
      <c r="O480">
        <v>112907585.58558558</v>
      </c>
      <c r="P480">
        <v>115978250.45045045</v>
      </c>
      <c r="Q480">
        <v>20523918.918918923</v>
      </c>
      <c r="R480">
        <v>33782612.612612613</v>
      </c>
      <c r="S480">
        <v>32894</v>
      </c>
      <c r="T480">
        <v>32409</v>
      </c>
    </row>
    <row r="481" spans="1:20" x14ac:dyDescent="0.35">
      <c r="A481" s="7" t="s">
        <v>10</v>
      </c>
      <c r="B481" s="12" t="s">
        <v>193</v>
      </c>
      <c r="C481">
        <v>48811237.855691999</v>
      </c>
      <c r="D481">
        <v>44727071.32411135</v>
      </c>
      <c r="G481">
        <v>6</v>
      </c>
      <c r="H481">
        <v>7</v>
      </c>
      <c r="K481">
        <v>6</v>
      </c>
      <c r="L481">
        <v>9</v>
      </c>
      <c r="O481">
        <v>28146126.126126129</v>
      </c>
      <c r="P481">
        <v>26406846.846846849</v>
      </c>
      <c r="R481">
        <v>11081.081081081</v>
      </c>
      <c r="S481">
        <v>3884</v>
      </c>
      <c r="T481">
        <v>3665</v>
      </c>
    </row>
    <row r="482" spans="1:20" x14ac:dyDescent="0.35">
      <c r="A482" s="7" t="s">
        <v>575</v>
      </c>
      <c r="B482" s="12" t="s">
        <v>87</v>
      </c>
      <c r="C482">
        <v>1156434.5814987579</v>
      </c>
      <c r="D482">
        <v>1202547.141487442</v>
      </c>
      <c r="H482">
        <v>4</v>
      </c>
      <c r="L482">
        <v>4</v>
      </c>
      <c r="O482">
        <v>420270.27027027</v>
      </c>
      <c r="P482">
        <v>419295.49549549603</v>
      </c>
      <c r="S482">
        <v>264</v>
      </c>
      <c r="T482">
        <v>198</v>
      </c>
    </row>
    <row r="483" spans="1:20" x14ac:dyDescent="0.35">
      <c r="A483" s="7" t="s">
        <v>576</v>
      </c>
      <c r="B483" s="12" t="s">
        <v>283</v>
      </c>
      <c r="C483">
        <v>72638958.329256102</v>
      </c>
      <c r="D483">
        <v>69076682.93162854</v>
      </c>
      <c r="E483">
        <v>34234.234234233998</v>
      </c>
      <c r="F483">
        <v>54054.054054054002</v>
      </c>
      <c r="G483">
        <v>8</v>
      </c>
      <c r="H483">
        <v>3</v>
      </c>
      <c r="K483">
        <v>10</v>
      </c>
      <c r="L483">
        <v>4</v>
      </c>
      <c r="M483">
        <v>3187387.3873873879</v>
      </c>
      <c r="N483">
        <v>3657657.6576576582</v>
      </c>
      <c r="O483">
        <v>9376351.3513513524</v>
      </c>
      <c r="P483">
        <v>11533450.450450452</v>
      </c>
      <c r="Q483">
        <v>1625765.7657657659</v>
      </c>
      <c r="R483">
        <v>7294864.8648648653</v>
      </c>
      <c r="S483">
        <v>3514</v>
      </c>
      <c r="T483">
        <v>3428</v>
      </c>
    </row>
    <row r="484" spans="1:20" x14ac:dyDescent="0.35">
      <c r="A484" s="7" t="s">
        <v>577</v>
      </c>
      <c r="B484" s="12" t="s">
        <v>307</v>
      </c>
      <c r="C484">
        <v>296141106.16433114</v>
      </c>
      <c r="D484">
        <v>276231149.83405316</v>
      </c>
      <c r="E484">
        <v>389459.45945946401</v>
      </c>
      <c r="F484">
        <v>2713063.0630630688</v>
      </c>
      <c r="G484">
        <v>68</v>
      </c>
      <c r="H484">
        <v>96</v>
      </c>
      <c r="K484">
        <v>105</v>
      </c>
      <c r="L484">
        <v>142</v>
      </c>
      <c r="M484">
        <v>16679279.279279282</v>
      </c>
      <c r="N484">
        <v>27127207.20720721</v>
      </c>
      <c r="O484">
        <v>111125792.79279278</v>
      </c>
      <c r="P484">
        <v>116805657.65765767</v>
      </c>
      <c r="Q484">
        <v>17102702.702702705</v>
      </c>
      <c r="R484">
        <v>21737927.927927934</v>
      </c>
      <c r="S484">
        <v>39876</v>
      </c>
      <c r="T484">
        <v>37926</v>
      </c>
    </row>
    <row r="485" spans="1:20" x14ac:dyDescent="0.35">
      <c r="A485" s="7" t="s">
        <v>578</v>
      </c>
      <c r="B485" s="12" t="s">
        <v>330</v>
      </c>
      <c r="C485">
        <v>283569767.21723998</v>
      </c>
      <c r="D485">
        <v>261814018.67019817</v>
      </c>
      <c r="E485">
        <v>296396.39639639901</v>
      </c>
      <c r="F485">
        <v>3084234.2342342408</v>
      </c>
      <c r="G485">
        <v>75</v>
      </c>
      <c r="H485">
        <v>93</v>
      </c>
      <c r="K485">
        <v>107</v>
      </c>
      <c r="L485">
        <v>130</v>
      </c>
      <c r="M485">
        <v>102357657.65765767</v>
      </c>
      <c r="N485">
        <v>21490990.990990993</v>
      </c>
      <c r="O485">
        <v>55263720.720720723</v>
      </c>
      <c r="P485">
        <v>59359599.099099107</v>
      </c>
      <c r="Q485">
        <v>98990000</v>
      </c>
      <c r="R485">
        <v>19447387.387387387</v>
      </c>
      <c r="S485">
        <v>28240</v>
      </c>
      <c r="T485">
        <v>28781</v>
      </c>
    </row>
    <row r="486" spans="1:20" x14ac:dyDescent="0.35">
      <c r="A486" s="7" t="s">
        <v>579</v>
      </c>
      <c r="B486" s="12" t="s">
        <v>66</v>
      </c>
      <c r="C486">
        <v>41380872.404074326</v>
      </c>
      <c r="D486">
        <v>39193447.181832537</v>
      </c>
      <c r="E486">
        <v>21966216.216216218</v>
      </c>
      <c r="F486">
        <v>108535135.13513513</v>
      </c>
      <c r="G486">
        <v>9</v>
      </c>
      <c r="H486">
        <v>6</v>
      </c>
      <c r="K486">
        <v>9</v>
      </c>
      <c r="L486">
        <v>7</v>
      </c>
      <c r="M486">
        <v>5846396.3963963967</v>
      </c>
      <c r="N486">
        <v>5169594.594594596</v>
      </c>
      <c r="O486">
        <v>10442972.972972972</v>
      </c>
      <c r="P486">
        <v>9720117.1171171162</v>
      </c>
      <c r="Q486">
        <v>671621.62162162096</v>
      </c>
      <c r="R486">
        <v>923693.69369369606</v>
      </c>
      <c r="S486">
        <v>3301</v>
      </c>
      <c r="T486">
        <v>3477</v>
      </c>
    </row>
    <row r="487" spans="1:20" x14ac:dyDescent="0.35">
      <c r="A487" s="7" t="s">
        <v>580</v>
      </c>
      <c r="B487" s="12" t="s">
        <v>236</v>
      </c>
      <c r="C487">
        <v>0</v>
      </c>
      <c r="D487">
        <v>6008.6635105530004</v>
      </c>
    </row>
    <row r="488" spans="1:20" x14ac:dyDescent="0.35">
      <c r="A488" s="7" t="s">
        <v>581</v>
      </c>
      <c r="B488" s="12" t="s">
        <v>62</v>
      </c>
      <c r="C488">
        <v>110744388.26085505</v>
      </c>
      <c r="D488">
        <v>105701947.79336868</v>
      </c>
      <c r="E488">
        <v>46396.396396397002</v>
      </c>
      <c r="F488">
        <v>1307207.2072072129</v>
      </c>
      <c r="G488">
        <v>17</v>
      </c>
      <c r="H488">
        <v>82</v>
      </c>
      <c r="K488">
        <v>21</v>
      </c>
      <c r="L488">
        <v>83</v>
      </c>
      <c r="M488">
        <v>9117747.7477477491</v>
      </c>
      <c r="N488">
        <v>7241081.0810810803</v>
      </c>
      <c r="O488">
        <v>23575855.855855856</v>
      </c>
      <c r="P488">
        <v>22361252.252252251</v>
      </c>
      <c r="Q488">
        <v>8140000.0000000028</v>
      </c>
      <c r="R488">
        <v>7771981.9819819797</v>
      </c>
      <c r="S488">
        <v>6742</v>
      </c>
      <c r="T488">
        <v>6713</v>
      </c>
    </row>
    <row r="489" spans="1:20" x14ac:dyDescent="0.35">
      <c r="A489" s="7" t="s">
        <v>582</v>
      </c>
      <c r="B489" s="12" t="s">
        <v>48</v>
      </c>
      <c r="C489">
        <v>104767496.94076122</v>
      </c>
      <c r="D489">
        <v>101160962.50843197</v>
      </c>
      <c r="E489">
        <v>20386637.837837838</v>
      </c>
      <c r="F489">
        <v>45398257.657657653</v>
      </c>
      <c r="G489">
        <v>10</v>
      </c>
      <c r="H489">
        <v>9</v>
      </c>
      <c r="K489">
        <v>11</v>
      </c>
      <c r="L489">
        <v>14</v>
      </c>
      <c r="M489">
        <v>5680720.7207207223</v>
      </c>
      <c r="N489">
        <v>22096126.126126125</v>
      </c>
      <c r="O489">
        <v>14495990.990990993</v>
      </c>
      <c r="P489">
        <v>13720954.954954956</v>
      </c>
      <c r="Q489">
        <v>7824234.234234238</v>
      </c>
      <c r="R489">
        <v>15206306.306306308</v>
      </c>
      <c r="S489">
        <v>4959</v>
      </c>
      <c r="T489">
        <v>5389</v>
      </c>
    </row>
    <row r="490" spans="1:20" x14ac:dyDescent="0.35">
      <c r="A490" s="7" t="s">
        <v>583</v>
      </c>
      <c r="B490" s="12" t="s">
        <v>54</v>
      </c>
      <c r="C490">
        <v>18655494.153754428</v>
      </c>
      <c r="D490">
        <v>19140492.245711274</v>
      </c>
      <c r="E490">
        <v>22522.522522523999</v>
      </c>
      <c r="F490">
        <v>189189.18918918999</v>
      </c>
      <c r="G490">
        <v>6</v>
      </c>
      <c r="H490">
        <v>7</v>
      </c>
      <c r="K490">
        <v>7</v>
      </c>
      <c r="L490">
        <v>7</v>
      </c>
      <c r="M490">
        <v>2159459.4594594589</v>
      </c>
      <c r="N490">
        <v>4045315.315315315</v>
      </c>
      <c r="O490">
        <v>4357117.1171171172</v>
      </c>
      <c r="P490">
        <v>4821072.072072072</v>
      </c>
      <c r="Q490">
        <v>1835585.585585586</v>
      </c>
      <c r="R490">
        <v>3988738.738738738</v>
      </c>
      <c r="S490">
        <v>2057</v>
      </c>
      <c r="T490">
        <v>2096</v>
      </c>
    </row>
    <row r="491" spans="1:20" x14ac:dyDescent="0.35">
      <c r="A491" s="7" t="s">
        <v>584</v>
      </c>
      <c r="B491" s="12" t="s">
        <v>70</v>
      </c>
      <c r="C491">
        <v>50553030.052575469</v>
      </c>
      <c r="D491">
        <v>49313167.407888167</v>
      </c>
      <c r="E491">
        <v>315315.31531531498</v>
      </c>
      <c r="F491">
        <v>5405.4054054059998</v>
      </c>
      <c r="G491">
        <v>4</v>
      </c>
      <c r="H491">
        <v>12</v>
      </c>
      <c r="K491">
        <v>6</v>
      </c>
      <c r="L491">
        <v>12</v>
      </c>
      <c r="M491">
        <v>315315.31531531498</v>
      </c>
      <c r="N491">
        <v>394594.59459459502</v>
      </c>
      <c r="O491">
        <v>19944639.639639638</v>
      </c>
      <c r="P491">
        <v>21260288.288288288</v>
      </c>
      <c r="Q491">
        <v>346846.84684684698</v>
      </c>
      <c r="R491">
        <v>616576.57657657703</v>
      </c>
      <c r="S491">
        <v>3751</v>
      </c>
      <c r="T491">
        <v>4568</v>
      </c>
    </row>
    <row r="492" spans="1:20" x14ac:dyDescent="0.35">
      <c r="A492" s="7" t="s">
        <v>585</v>
      </c>
      <c r="B492" s="12" t="s">
        <v>330</v>
      </c>
      <c r="C492">
        <v>191831528.59117556</v>
      </c>
      <c r="D492">
        <v>182008880.43980137</v>
      </c>
      <c r="E492">
        <v>90990.990990991006</v>
      </c>
      <c r="F492">
        <v>2093693.6936936961</v>
      </c>
      <c r="G492">
        <v>66</v>
      </c>
      <c r="H492">
        <v>66</v>
      </c>
      <c r="K492">
        <v>89</v>
      </c>
      <c r="L492">
        <v>93</v>
      </c>
      <c r="M492">
        <v>8438738.7387387361</v>
      </c>
      <c r="N492">
        <v>12243243.24324324</v>
      </c>
      <c r="O492">
        <v>48182342.342342347</v>
      </c>
      <c r="P492">
        <v>45639511.711711712</v>
      </c>
      <c r="Q492">
        <v>9252342.3423423432</v>
      </c>
      <c r="R492">
        <v>9116936.9369369373</v>
      </c>
      <c r="S492">
        <v>20615</v>
      </c>
      <c r="T492">
        <v>20004</v>
      </c>
    </row>
    <row r="493" spans="1:20" x14ac:dyDescent="0.35">
      <c r="A493" s="7" t="s">
        <v>586</v>
      </c>
      <c r="B493" s="12" t="s">
        <v>66</v>
      </c>
      <c r="C493">
        <v>92790081.288148418</v>
      </c>
      <c r="D493">
        <v>79633550.287251085</v>
      </c>
      <c r="E493">
        <v>68912990.990990996</v>
      </c>
      <c r="F493">
        <v>93411309.009009019</v>
      </c>
      <c r="G493">
        <v>20</v>
      </c>
      <c r="H493">
        <v>32</v>
      </c>
      <c r="K493">
        <v>24</v>
      </c>
      <c r="L493">
        <v>56</v>
      </c>
      <c r="M493">
        <v>9558918.9189189151</v>
      </c>
      <c r="N493">
        <v>13032747.747747753</v>
      </c>
      <c r="O493">
        <v>43001747.747747742</v>
      </c>
      <c r="P493">
        <v>40207225.225225225</v>
      </c>
      <c r="Q493">
        <v>8868738.7387387399</v>
      </c>
      <c r="R493">
        <v>11555990.990990993</v>
      </c>
      <c r="S493">
        <v>10912</v>
      </c>
      <c r="T493">
        <v>10579</v>
      </c>
    </row>
    <row r="494" spans="1:20" x14ac:dyDescent="0.35">
      <c r="A494" s="7" t="s">
        <v>11</v>
      </c>
      <c r="B494" s="12" t="s">
        <v>193</v>
      </c>
      <c r="C494">
        <v>39596435.758008368</v>
      </c>
      <c r="D494">
        <v>38920642.690310091</v>
      </c>
      <c r="E494">
        <v>209009.00900901001</v>
      </c>
      <c r="F494">
        <v>18018.018018018</v>
      </c>
      <c r="G494">
        <v>7</v>
      </c>
      <c r="H494">
        <v>8</v>
      </c>
      <c r="K494">
        <v>10</v>
      </c>
      <c r="L494">
        <v>11</v>
      </c>
      <c r="M494">
        <v>209009.00900901001</v>
      </c>
      <c r="N494">
        <v>1819819.8198198189</v>
      </c>
      <c r="O494">
        <v>11967702.702702705</v>
      </c>
      <c r="P494">
        <v>13707468.468468469</v>
      </c>
      <c r="Q494">
        <v>1017117.117117118</v>
      </c>
      <c r="R494">
        <v>1335585.585585586</v>
      </c>
      <c r="S494">
        <v>3753</v>
      </c>
      <c r="T494">
        <v>3864</v>
      </c>
    </row>
    <row r="495" spans="1:20" x14ac:dyDescent="0.35">
      <c r="A495" s="7" t="s">
        <v>12</v>
      </c>
      <c r="B495" s="12" t="s">
        <v>193</v>
      </c>
      <c r="C495">
        <v>28494737.389041428</v>
      </c>
      <c r="D495">
        <v>24805636.493053444</v>
      </c>
      <c r="E495">
        <v>26126.126126128998</v>
      </c>
      <c r="F495">
        <v>51351.351351352001</v>
      </c>
      <c r="G495">
        <v>5</v>
      </c>
      <c r="H495">
        <v>2</v>
      </c>
      <c r="K495">
        <v>7</v>
      </c>
      <c r="L495">
        <v>2</v>
      </c>
      <c r="M495">
        <v>3629729.729729732</v>
      </c>
      <c r="N495">
        <v>51351.351351352001</v>
      </c>
      <c r="O495">
        <v>10424954.954954956</v>
      </c>
      <c r="P495">
        <v>10537819.819819819</v>
      </c>
      <c r="Q495">
        <v>513513.51351351303</v>
      </c>
      <c r="R495">
        <v>1210270.270270271</v>
      </c>
      <c r="S495">
        <v>2815</v>
      </c>
      <c r="T495">
        <v>2860</v>
      </c>
    </row>
    <row r="496" spans="1:20" x14ac:dyDescent="0.35">
      <c r="A496" s="7" t="s">
        <v>587</v>
      </c>
      <c r="B496" s="12" t="s">
        <v>60</v>
      </c>
      <c r="C496">
        <v>21566431.764379606</v>
      </c>
      <c r="D496">
        <v>22423712.156793758</v>
      </c>
      <c r="E496">
        <v>28828.828828831</v>
      </c>
      <c r="F496">
        <v>120720.72072072201</v>
      </c>
      <c r="G496">
        <v>4</v>
      </c>
      <c r="H496">
        <v>6</v>
      </c>
      <c r="K496">
        <v>4</v>
      </c>
      <c r="L496">
        <v>11</v>
      </c>
      <c r="M496">
        <v>3227027.0270270272</v>
      </c>
      <c r="N496">
        <v>4535135.1351351347</v>
      </c>
      <c r="O496">
        <v>8135225.2252252251</v>
      </c>
      <c r="P496">
        <v>9117063.0630630646</v>
      </c>
      <c r="Q496">
        <v>2244054.054054054</v>
      </c>
      <c r="R496">
        <v>2993783.7837837841</v>
      </c>
      <c r="S496">
        <v>1816</v>
      </c>
      <c r="T496">
        <v>1817</v>
      </c>
    </row>
    <row r="497" spans="1:20" x14ac:dyDescent="0.35">
      <c r="A497" s="7" t="s">
        <v>588</v>
      </c>
      <c r="B497" s="12" t="s">
        <v>307</v>
      </c>
      <c r="C497">
        <v>645935334.51383996</v>
      </c>
      <c r="D497">
        <v>611160186.1488378</v>
      </c>
      <c r="E497">
        <v>560293861.26126122</v>
      </c>
      <c r="F497">
        <v>162563824.32432434</v>
      </c>
      <c r="G497">
        <v>154</v>
      </c>
      <c r="H497">
        <v>134</v>
      </c>
      <c r="K497">
        <v>194</v>
      </c>
      <c r="L497">
        <v>210</v>
      </c>
      <c r="M497">
        <v>42537567.567567579</v>
      </c>
      <c r="N497">
        <v>84988783.783783793</v>
      </c>
      <c r="O497">
        <v>199771054.05405405</v>
      </c>
      <c r="P497">
        <v>195604599.0990991</v>
      </c>
      <c r="Q497">
        <v>48901711.711711712</v>
      </c>
      <c r="R497">
        <v>82362927.927927941</v>
      </c>
      <c r="S497">
        <v>65178</v>
      </c>
      <c r="T497">
        <v>63539</v>
      </c>
    </row>
    <row r="498" spans="1:20" x14ac:dyDescent="0.35">
      <c r="A498" s="7" t="s">
        <v>589</v>
      </c>
      <c r="B498" s="12" t="s">
        <v>52</v>
      </c>
      <c r="C498">
        <v>157619579.7941477</v>
      </c>
      <c r="D498">
        <v>147101385.64776745</v>
      </c>
      <c r="E498">
        <v>1327027.0270270279</v>
      </c>
      <c r="F498">
        <v>2148648.6486486509</v>
      </c>
      <c r="G498">
        <v>19</v>
      </c>
      <c r="H498">
        <v>38</v>
      </c>
      <c r="K498">
        <v>21</v>
      </c>
      <c r="L498">
        <v>66</v>
      </c>
      <c r="M498">
        <v>11502522.52252252</v>
      </c>
      <c r="N498">
        <v>26896801.801801804</v>
      </c>
      <c r="O498">
        <v>59549283.783783786</v>
      </c>
      <c r="P498">
        <v>59976513.513513513</v>
      </c>
      <c r="Q498">
        <v>11110630.630630627</v>
      </c>
      <c r="R498">
        <v>41071126.126126125</v>
      </c>
      <c r="S498">
        <v>14562</v>
      </c>
      <c r="T498">
        <v>13818</v>
      </c>
    </row>
    <row r="499" spans="1:20" x14ac:dyDescent="0.35">
      <c r="A499" s="7" t="s">
        <v>590</v>
      </c>
      <c r="B499" s="12" t="s">
        <v>54</v>
      </c>
      <c r="C499">
        <v>12777227.768930741</v>
      </c>
      <c r="D499">
        <v>13061855.956484687</v>
      </c>
      <c r="E499">
        <v>19819.819819820001</v>
      </c>
      <c r="F499">
        <v>84684.684684684995</v>
      </c>
      <c r="G499">
        <v>3</v>
      </c>
      <c r="H499">
        <v>3</v>
      </c>
      <c r="K499">
        <v>3</v>
      </c>
      <c r="L499">
        <v>5</v>
      </c>
      <c r="M499">
        <v>1371171.17117117</v>
      </c>
      <c r="N499">
        <v>2246846.8468468469</v>
      </c>
      <c r="O499">
        <v>4233504.5045045046</v>
      </c>
      <c r="P499">
        <v>4129819.8198198201</v>
      </c>
      <c r="Q499">
        <v>3492702.702702703</v>
      </c>
      <c r="R499">
        <v>1743333.333333333</v>
      </c>
      <c r="S499">
        <v>1566</v>
      </c>
      <c r="T499">
        <v>1614</v>
      </c>
    </row>
    <row r="500" spans="1:20" x14ac:dyDescent="0.35">
      <c r="A500" s="7" t="s">
        <v>591</v>
      </c>
      <c r="B500" s="12" t="s">
        <v>169</v>
      </c>
      <c r="C500">
        <v>378228449.97721493</v>
      </c>
      <c r="D500">
        <v>338646309.74721748</v>
      </c>
      <c r="E500">
        <v>2177657.6576576591</v>
      </c>
      <c r="F500">
        <v>2321396.3963963962</v>
      </c>
      <c r="G500">
        <v>42</v>
      </c>
      <c r="H500">
        <v>23</v>
      </c>
      <c r="K500">
        <v>51</v>
      </c>
      <c r="L500">
        <v>26</v>
      </c>
      <c r="M500">
        <v>62987027.027027026</v>
      </c>
      <c r="N500">
        <v>96894234.234234244</v>
      </c>
      <c r="O500">
        <v>120516279.27927928</v>
      </c>
      <c r="P500">
        <v>109555918.91891891</v>
      </c>
      <c r="Q500">
        <v>54027657.657657661</v>
      </c>
      <c r="R500">
        <v>72578648.648648635</v>
      </c>
      <c r="S500">
        <v>23682</v>
      </c>
      <c r="T500">
        <v>24782</v>
      </c>
    </row>
    <row r="501" spans="1:20" x14ac:dyDescent="0.35">
      <c r="A501" s="7" t="s">
        <v>592</v>
      </c>
      <c r="B501" s="12" t="s">
        <v>87</v>
      </c>
      <c r="C501">
        <v>2177382.2615850158</v>
      </c>
      <c r="D501">
        <v>1833345.365306258</v>
      </c>
      <c r="H501">
        <v>1</v>
      </c>
      <c r="L501">
        <v>1</v>
      </c>
      <c r="O501">
        <v>490981.98198198201</v>
      </c>
      <c r="P501">
        <v>399864.86486486602</v>
      </c>
      <c r="S501">
        <v>370</v>
      </c>
      <c r="T501">
        <v>270</v>
      </c>
    </row>
    <row r="502" spans="1:20" x14ac:dyDescent="0.35">
      <c r="A502" s="7" t="s">
        <v>36</v>
      </c>
      <c r="B502" s="12" t="s">
        <v>158</v>
      </c>
      <c r="E502">
        <v>274014475.67567569</v>
      </c>
      <c r="F502">
        <v>275724536.93693691</v>
      </c>
      <c r="M502">
        <v>24447522.52252252</v>
      </c>
      <c r="N502">
        <v>16150900.9009009</v>
      </c>
    </row>
    <row r="503" spans="1:20" x14ac:dyDescent="0.35">
      <c r="A503" s="7" t="s">
        <v>593</v>
      </c>
      <c r="B503" s="12" t="s">
        <v>143</v>
      </c>
      <c r="C503">
        <v>27537569.704319403</v>
      </c>
      <c r="D503">
        <v>25600568.383953296</v>
      </c>
      <c r="E503">
        <v>4504.5045045050001</v>
      </c>
      <c r="F503">
        <v>54054.054054056003</v>
      </c>
      <c r="G503">
        <v>5</v>
      </c>
      <c r="H503">
        <v>2</v>
      </c>
      <c r="K503">
        <v>5</v>
      </c>
      <c r="L503">
        <v>4</v>
      </c>
      <c r="M503">
        <v>1518018.018018018</v>
      </c>
      <c r="N503">
        <v>2756756.7567567569</v>
      </c>
      <c r="O503">
        <v>2779549.5495495498</v>
      </c>
      <c r="P503">
        <v>2355315.315315316</v>
      </c>
      <c r="Q503">
        <v>1324414.414414414</v>
      </c>
      <c r="R503">
        <v>1279909.9099099101</v>
      </c>
      <c r="S503">
        <v>1538</v>
      </c>
      <c r="T503">
        <v>2343</v>
      </c>
    </row>
    <row r="504" spans="1:20" x14ac:dyDescent="0.35">
      <c r="A504" s="7" t="s">
        <v>594</v>
      </c>
      <c r="B504" s="12" t="s">
        <v>290</v>
      </c>
      <c r="C504">
        <v>8346078.7425822793</v>
      </c>
      <c r="D504">
        <v>5821382.59244119</v>
      </c>
      <c r="E504">
        <v>21893846.846846849</v>
      </c>
      <c r="F504">
        <v>41575844.144144148</v>
      </c>
      <c r="G504">
        <v>1</v>
      </c>
      <c r="H504">
        <v>1</v>
      </c>
      <c r="K504">
        <v>1</v>
      </c>
      <c r="L504">
        <v>1</v>
      </c>
      <c r="M504">
        <v>5311031.5315315323</v>
      </c>
      <c r="N504">
        <v>7273224.3243243238</v>
      </c>
      <c r="O504">
        <v>272207.20720720699</v>
      </c>
      <c r="P504">
        <v>414954.95495495503</v>
      </c>
      <c r="S504">
        <v>598</v>
      </c>
      <c r="T504">
        <v>723</v>
      </c>
    </row>
    <row r="505" spans="1:20" x14ac:dyDescent="0.35">
      <c r="A505" s="7" t="s">
        <v>595</v>
      </c>
      <c r="B505" s="12" t="s">
        <v>92</v>
      </c>
      <c r="C505">
        <v>9207198.0705073941</v>
      </c>
      <c r="D505">
        <v>8247611.648241939</v>
      </c>
      <c r="E505">
        <v>19339919.819819819</v>
      </c>
      <c r="F505">
        <v>38743266.666666664</v>
      </c>
      <c r="G505">
        <v>4</v>
      </c>
      <c r="H505">
        <v>1</v>
      </c>
      <c r="K505">
        <v>5</v>
      </c>
      <c r="L505">
        <v>1</v>
      </c>
      <c r="M505">
        <v>5649369.369369369</v>
      </c>
      <c r="N505">
        <v>1354054.0540540549</v>
      </c>
      <c r="O505">
        <v>1256171.1711711709</v>
      </c>
      <c r="P505">
        <v>1388333.333333333</v>
      </c>
      <c r="Q505">
        <v>63783.783783783998</v>
      </c>
      <c r="R505">
        <v>1551351.351351351</v>
      </c>
      <c r="S505">
        <v>558</v>
      </c>
      <c r="T505">
        <v>679</v>
      </c>
    </row>
    <row r="506" spans="1:20" x14ac:dyDescent="0.35">
      <c r="A506" s="7" t="s">
        <v>596</v>
      </c>
      <c r="B506" s="12" t="s">
        <v>50</v>
      </c>
      <c r="C506">
        <v>35691136.184891306</v>
      </c>
      <c r="D506">
        <v>30496085.485528696</v>
      </c>
      <c r="E506">
        <v>429729.72972973</v>
      </c>
      <c r="F506">
        <v>791666.66666666802</v>
      </c>
      <c r="G506">
        <v>4</v>
      </c>
      <c r="H506">
        <v>4</v>
      </c>
      <c r="K506">
        <v>4</v>
      </c>
      <c r="L506">
        <v>5</v>
      </c>
      <c r="M506">
        <v>1761171.171171173</v>
      </c>
      <c r="N506">
        <v>1313513.513513515</v>
      </c>
      <c r="O506">
        <v>6772834.2342342343</v>
      </c>
      <c r="P506">
        <v>6040711.7117117122</v>
      </c>
      <c r="Q506">
        <v>1873693.6936936961</v>
      </c>
      <c r="R506">
        <v>1298558.5585585581</v>
      </c>
      <c r="S506">
        <v>1699</v>
      </c>
      <c r="T506">
        <v>1680</v>
      </c>
    </row>
    <row r="507" spans="1:20" x14ac:dyDescent="0.35">
      <c r="A507" s="7" t="s">
        <v>597</v>
      </c>
      <c r="B507" s="12" t="s">
        <v>89</v>
      </c>
      <c r="C507">
        <v>50064828.736139931</v>
      </c>
      <c r="D507">
        <v>47708751.724685505</v>
      </c>
      <c r="E507">
        <v>147747.74774774699</v>
      </c>
      <c r="F507">
        <v>261261.26126126299</v>
      </c>
      <c r="G507">
        <v>6</v>
      </c>
      <c r="H507">
        <v>8</v>
      </c>
      <c r="K507">
        <v>7</v>
      </c>
      <c r="L507">
        <v>11</v>
      </c>
      <c r="M507">
        <v>3714414.41441441</v>
      </c>
      <c r="N507">
        <v>3395315.3153153118</v>
      </c>
      <c r="O507">
        <v>10766890.09009009</v>
      </c>
      <c r="P507">
        <v>11516720.72072072</v>
      </c>
      <c r="Q507">
        <v>2970540.5405405369</v>
      </c>
      <c r="R507">
        <v>3110540.5405405369</v>
      </c>
      <c r="S507">
        <v>3406</v>
      </c>
      <c r="T507">
        <v>3539</v>
      </c>
    </row>
    <row r="508" spans="1:20" x14ac:dyDescent="0.35">
      <c r="A508" s="7" t="s">
        <v>598</v>
      </c>
      <c r="B508" s="12" t="s">
        <v>143</v>
      </c>
      <c r="C508">
        <v>18559917.541653663</v>
      </c>
      <c r="D508">
        <v>18581909.352597795</v>
      </c>
      <c r="E508">
        <v>27927.927927928002</v>
      </c>
      <c r="F508">
        <v>81081.081081081007</v>
      </c>
      <c r="G508">
        <v>2</v>
      </c>
      <c r="K508">
        <v>3</v>
      </c>
      <c r="M508">
        <v>2260360.3603603598</v>
      </c>
      <c r="N508">
        <v>1612612.612612613</v>
      </c>
      <c r="O508">
        <v>906756.75675675704</v>
      </c>
      <c r="P508">
        <v>1472126.1261261271</v>
      </c>
      <c r="Q508">
        <v>1670360.3603603591</v>
      </c>
      <c r="R508">
        <v>1154414.414414414</v>
      </c>
      <c r="S508">
        <v>1162</v>
      </c>
      <c r="T508">
        <v>1172</v>
      </c>
    </row>
    <row r="509" spans="1:20" x14ac:dyDescent="0.35">
      <c r="A509" s="7" t="s">
        <v>599</v>
      </c>
      <c r="B509" s="12" t="s">
        <v>125</v>
      </c>
      <c r="C509">
        <v>47625927.835882105</v>
      </c>
      <c r="D509">
        <v>43889481.131070271</v>
      </c>
      <c r="E509">
        <v>507973.87387387402</v>
      </c>
      <c r="F509">
        <v>19830247.747747749</v>
      </c>
      <c r="G509">
        <v>2</v>
      </c>
      <c r="H509">
        <v>4</v>
      </c>
      <c r="K509">
        <v>3</v>
      </c>
      <c r="L509">
        <v>5</v>
      </c>
      <c r="M509">
        <v>20220765.765765764</v>
      </c>
      <c r="N509">
        <v>15600225.225225223</v>
      </c>
      <c r="O509">
        <v>17674639.639639638</v>
      </c>
      <c r="P509">
        <v>16298396.396396397</v>
      </c>
      <c r="Q509">
        <v>16399369.369369371</v>
      </c>
      <c r="R509">
        <v>3921891.8918918911</v>
      </c>
      <c r="S509">
        <v>3270</v>
      </c>
      <c r="T509">
        <v>3361</v>
      </c>
    </row>
    <row r="510" spans="1:20" x14ac:dyDescent="0.35">
      <c r="A510" s="7" t="s">
        <v>600</v>
      </c>
      <c r="B510" s="12" t="s">
        <v>50</v>
      </c>
      <c r="C510">
        <v>121870618.5118241</v>
      </c>
      <c r="D510">
        <v>116774718.00704771</v>
      </c>
      <c r="E510">
        <v>1093333.333333334</v>
      </c>
      <c r="F510">
        <v>876576.57657658099</v>
      </c>
      <c r="G510">
        <v>16</v>
      </c>
      <c r="H510">
        <v>14</v>
      </c>
      <c r="K510">
        <v>22</v>
      </c>
      <c r="L510">
        <v>15</v>
      </c>
      <c r="M510">
        <v>9690990.9909909926</v>
      </c>
      <c r="N510">
        <v>11183783.783783786</v>
      </c>
      <c r="O510">
        <v>48659261.261261262</v>
      </c>
      <c r="P510">
        <v>47680387.387387387</v>
      </c>
      <c r="Q510">
        <v>11069279.27927928</v>
      </c>
      <c r="R510">
        <v>10808558.558558561</v>
      </c>
      <c r="S510">
        <v>7821</v>
      </c>
      <c r="T510">
        <v>7628</v>
      </c>
    </row>
    <row r="511" spans="1:20" x14ac:dyDescent="0.35">
      <c r="A511" s="7" t="s">
        <v>601</v>
      </c>
      <c r="B511" s="12" t="s">
        <v>89</v>
      </c>
      <c r="C511">
        <v>35141756.287806138</v>
      </c>
      <c r="D511">
        <v>35715718.180664711</v>
      </c>
      <c r="E511">
        <v>74774.774774774996</v>
      </c>
      <c r="F511">
        <v>37837.837837838997</v>
      </c>
      <c r="G511">
        <v>4</v>
      </c>
      <c r="H511">
        <v>4</v>
      </c>
      <c r="K511">
        <v>5</v>
      </c>
      <c r="L511">
        <v>5</v>
      </c>
      <c r="M511">
        <v>2850450.4504504502</v>
      </c>
      <c r="N511">
        <v>21600360.360360362</v>
      </c>
      <c r="O511">
        <v>9505675.6756756753</v>
      </c>
      <c r="P511">
        <v>11039153.153153151</v>
      </c>
      <c r="Q511">
        <v>2487927.927927929</v>
      </c>
      <c r="R511">
        <v>19506396.396396399</v>
      </c>
      <c r="S511">
        <v>2545</v>
      </c>
      <c r="T511">
        <v>2443</v>
      </c>
    </row>
    <row r="512" spans="1:20" x14ac:dyDescent="0.35">
      <c r="A512" s="7" t="s">
        <v>602</v>
      </c>
      <c r="B512" s="12" t="s">
        <v>87</v>
      </c>
      <c r="C512">
        <v>33388571.542118274</v>
      </c>
      <c r="D512">
        <v>31049873.232064001</v>
      </c>
      <c r="E512">
        <v>4504.5045045050001</v>
      </c>
      <c r="G512">
        <v>2</v>
      </c>
      <c r="H512">
        <v>1</v>
      </c>
      <c r="K512">
        <v>4</v>
      </c>
      <c r="L512">
        <v>1</v>
      </c>
      <c r="M512">
        <v>409909.90990991</v>
      </c>
      <c r="N512">
        <v>9009.0090090089998</v>
      </c>
      <c r="O512">
        <v>2302881.0810810812</v>
      </c>
      <c r="P512">
        <v>1745000</v>
      </c>
      <c r="Q512">
        <v>444457.65765765798</v>
      </c>
      <c r="R512">
        <v>290990.99099099101</v>
      </c>
      <c r="S512">
        <v>1233</v>
      </c>
      <c r="T512">
        <v>1219</v>
      </c>
    </row>
    <row r="513" spans="1:20" x14ac:dyDescent="0.35">
      <c r="A513" s="7" t="s">
        <v>603</v>
      </c>
      <c r="B513" s="12" t="s">
        <v>140</v>
      </c>
      <c r="C513">
        <v>245915731.32286274</v>
      </c>
      <c r="D513">
        <v>249045273.87863335</v>
      </c>
      <c r="E513">
        <v>2984368.4684684719</v>
      </c>
      <c r="F513">
        <v>93245642.342342347</v>
      </c>
      <c r="G513">
        <v>55</v>
      </c>
      <c r="H513">
        <v>65</v>
      </c>
      <c r="K513">
        <v>77</v>
      </c>
      <c r="L513">
        <v>106</v>
      </c>
      <c r="M513">
        <v>42116576.576576568</v>
      </c>
      <c r="N513">
        <v>39544234.234234221</v>
      </c>
      <c r="O513">
        <v>55623600</v>
      </c>
      <c r="P513">
        <v>59821459.459459461</v>
      </c>
      <c r="Q513">
        <v>34350720.720720723</v>
      </c>
      <c r="R513">
        <v>38423153.153153151</v>
      </c>
      <c r="S513">
        <v>18807</v>
      </c>
      <c r="T513">
        <v>18705</v>
      </c>
    </row>
    <row r="514" spans="1:20" x14ac:dyDescent="0.35">
      <c r="A514" s="7" t="s">
        <v>604</v>
      </c>
      <c r="B514" s="12" t="s">
        <v>224</v>
      </c>
      <c r="C514">
        <v>47027891.289966099</v>
      </c>
      <c r="D514">
        <v>40538254.291537113</v>
      </c>
      <c r="E514">
        <v>4504.5045045050001</v>
      </c>
      <c r="G514">
        <v>6</v>
      </c>
      <c r="H514">
        <v>9</v>
      </c>
      <c r="K514">
        <v>9</v>
      </c>
      <c r="L514">
        <v>9</v>
      </c>
      <c r="M514">
        <v>2256756.7567567569</v>
      </c>
      <c r="O514">
        <v>13936585.585585587</v>
      </c>
      <c r="P514">
        <v>14358387.387387387</v>
      </c>
      <c r="Q514">
        <v>629729.72972972901</v>
      </c>
      <c r="R514">
        <v>1245045.045045045</v>
      </c>
      <c r="S514">
        <v>3604</v>
      </c>
      <c r="T514">
        <v>3689</v>
      </c>
    </row>
    <row r="515" spans="1:20" x14ac:dyDescent="0.35">
      <c r="A515" s="7" t="s">
        <v>605</v>
      </c>
      <c r="B515" s="12" t="s">
        <v>224</v>
      </c>
      <c r="C515">
        <v>26429976.574647076</v>
      </c>
      <c r="D515">
        <v>26831107.680812158</v>
      </c>
      <c r="E515">
        <v>3603.603603604</v>
      </c>
      <c r="F515">
        <v>13513.513513514001</v>
      </c>
      <c r="G515">
        <v>7</v>
      </c>
      <c r="H515">
        <v>3</v>
      </c>
      <c r="K515">
        <v>8</v>
      </c>
      <c r="L515">
        <v>4</v>
      </c>
      <c r="M515">
        <v>904504.50450450496</v>
      </c>
      <c r="N515">
        <v>13513.513513514001</v>
      </c>
      <c r="O515">
        <v>7504369.369369369</v>
      </c>
      <c r="P515">
        <v>7586414.4144144142</v>
      </c>
      <c r="Q515">
        <v>979009.00900900899</v>
      </c>
      <c r="R515">
        <v>1207027.027027027</v>
      </c>
      <c r="S515">
        <v>3200</v>
      </c>
      <c r="T515">
        <v>3927</v>
      </c>
    </row>
    <row r="516" spans="1:20" x14ac:dyDescent="0.35">
      <c r="A516" s="7" t="s">
        <v>606</v>
      </c>
      <c r="B516" s="12" t="s">
        <v>241</v>
      </c>
      <c r="C516">
        <v>24290474.483696438</v>
      </c>
      <c r="D516">
        <v>22597335.74773708</v>
      </c>
      <c r="E516">
        <v>3603.603603604</v>
      </c>
      <c r="G516">
        <v>6</v>
      </c>
      <c r="H516">
        <v>9</v>
      </c>
      <c r="K516">
        <v>8</v>
      </c>
      <c r="L516">
        <v>10</v>
      </c>
      <c r="M516">
        <v>830090.09009009099</v>
      </c>
      <c r="N516">
        <v>1270270.2702702701</v>
      </c>
      <c r="O516">
        <v>6788918.9189189188</v>
      </c>
      <c r="P516">
        <v>6319162.1621621624</v>
      </c>
      <c r="Q516">
        <v>993153.153153155</v>
      </c>
      <c r="R516">
        <v>609369.36936937005</v>
      </c>
      <c r="S516">
        <v>2357</v>
      </c>
      <c r="T516">
        <v>2332</v>
      </c>
    </row>
    <row r="517" spans="1:20" x14ac:dyDescent="0.35">
      <c r="A517" s="7" t="s">
        <v>607</v>
      </c>
      <c r="B517" s="12" t="s">
        <v>140</v>
      </c>
      <c r="C517">
        <v>7335016.3013142366</v>
      </c>
      <c r="D517">
        <v>6850600.1791318255</v>
      </c>
      <c r="H517">
        <v>1</v>
      </c>
      <c r="L517">
        <v>2</v>
      </c>
      <c r="O517">
        <v>845900.90090090095</v>
      </c>
      <c r="P517">
        <v>668909.90990991006</v>
      </c>
      <c r="Q517">
        <v>95855.855855856003</v>
      </c>
      <c r="R517">
        <v>84684.684684684995</v>
      </c>
      <c r="S517">
        <v>331</v>
      </c>
      <c r="T517">
        <v>351</v>
      </c>
    </row>
    <row r="518" spans="1:20" x14ac:dyDescent="0.35">
      <c r="A518" s="7" t="s">
        <v>669</v>
      </c>
      <c r="B518" s="12" t="s">
        <v>189</v>
      </c>
      <c r="E518">
        <v>28153382.882882886</v>
      </c>
      <c r="F518">
        <v>27303770.270270273</v>
      </c>
    </row>
    <row r="519" spans="1:20" x14ac:dyDescent="0.35">
      <c r="A519" s="7" t="s">
        <v>608</v>
      </c>
      <c r="B519" s="12" t="s">
        <v>189</v>
      </c>
      <c r="C519">
        <v>28688815.883266304</v>
      </c>
      <c r="D519">
        <v>24060087.311845928</v>
      </c>
      <c r="E519">
        <v>329729.72972972901</v>
      </c>
      <c r="F519">
        <v>671171.17117117206</v>
      </c>
      <c r="G519">
        <v>7</v>
      </c>
      <c r="H519">
        <v>18</v>
      </c>
      <c r="K519">
        <v>9</v>
      </c>
      <c r="L519">
        <v>19</v>
      </c>
      <c r="M519">
        <v>3177477.4774774769</v>
      </c>
      <c r="N519">
        <v>2292792.7927927929</v>
      </c>
      <c r="O519">
        <v>5407999.9999999991</v>
      </c>
      <c r="P519">
        <v>6334896.3963963958</v>
      </c>
      <c r="Q519">
        <v>2350270.2702702698</v>
      </c>
      <c r="R519">
        <v>2243513.5135135129</v>
      </c>
      <c r="S519">
        <v>1598</v>
      </c>
      <c r="T519">
        <v>1586</v>
      </c>
    </row>
    <row r="520" spans="1:20" x14ac:dyDescent="0.35">
      <c r="A520" s="7" t="s">
        <v>609</v>
      </c>
      <c r="B520" s="12" t="s">
        <v>189</v>
      </c>
      <c r="C520">
        <v>84693166.101181239</v>
      </c>
      <c r="D520">
        <v>77750353.918568462</v>
      </c>
      <c r="E520">
        <v>6306.3063063070003</v>
      </c>
      <c r="F520">
        <v>189189.18918919101</v>
      </c>
      <c r="G520">
        <v>23</v>
      </c>
      <c r="H520">
        <v>25</v>
      </c>
      <c r="K520">
        <v>26</v>
      </c>
      <c r="L520">
        <v>30</v>
      </c>
      <c r="M520">
        <v>2292792.7927927929</v>
      </c>
      <c r="N520">
        <v>3612612.612612613</v>
      </c>
      <c r="O520">
        <v>12565540.540540541</v>
      </c>
      <c r="P520">
        <v>13902549.54954955</v>
      </c>
      <c r="Q520">
        <v>2708198.1981981979</v>
      </c>
      <c r="R520">
        <v>2293963.9639639631</v>
      </c>
      <c r="S520">
        <v>5033</v>
      </c>
      <c r="T520">
        <v>4973</v>
      </c>
    </row>
    <row r="521" spans="1:20" x14ac:dyDescent="0.35">
      <c r="A521" s="7" t="s">
        <v>610</v>
      </c>
      <c r="B521" s="12" t="s">
        <v>189</v>
      </c>
      <c r="C521">
        <v>32512644.714726064</v>
      </c>
      <c r="D521">
        <v>29642288.756925281</v>
      </c>
      <c r="E521">
        <v>142342.34234234199</v>
      </c>
      <c r="F521">
        <v>236711.711711713</v>
      </c>
      <c r="G521">
        <v>3</v>
      </c>
      <c r="H521">
        <v>7</v>
      </c>
      <c r="K521">
        <v>3</v>
      </c>
      <c r="L521">
        <v>7</v>
      </c>
      <c r="M521">
        <v>1528828.8288288279</v>
      </c>
      <c r="N521">
        <v>2581081.0810810812</v>
      </c>
      <c r="O521">
        <v>3447792.7927927929</v>
      </c>
      <c r="P521">
        <v>3172702.7027027039</v>
      </c>
      <c r="Q521">
        <v>1553693.693693694</v>
      </c>
      <c r="R521">
        <v>2199009.0090090092</v>
      </c>
      <c r="S521">
        <v>1672</v>
      </c>
      <c r="T521">
        <v>1687</v>
      </c>
    </row>
    <row r="522" spans="1:20" x14ac:dyDescent="0.35">
      <c r="A522" s="7" t="s">
        <v>611</v>
      </c>
      <c r="B522" s="12" t="s">
        <v>189</v>
      </c>
      <c r="C522">
        <v>9712033.6409041453</v>
      </c>
      <c r="D522">
        <v>12721904.978812039</v>
      </c>
      <c r="E522">
        <v>3603.603603604</v>
      </c>
      <c r="F522">
        <v>134684.68468468499</v>
      </c>
      <c r="G522">
        <v>2</v>
      </c>
      <c r="H522">
        <v>5</v>
      </c>
      <c r="K522">
        <v>4</v>
      </c>
      <c r="L522">
        <v>6</v>
      </c>
      <c r="M522">
        <v>430630.63063063001</v>
      </c>
      <c r="N522">
        <v>2347207.207207208</v>
      </c>
      <c r="O522">
        <v>1506576.576576577</v>
      </c>
      <c r="P522">
        <v>2533333.333333334</v>
      </c>
      <c r="Q522">
        <v>347747.74774774798</v>
      </c>
      <c r="R522">
        <v>2512972.9729729728</v>
      </c>
      <c r="S522">
        <v>873</v>
      </c>
      <c r="T522">
        <v>974</v>
      </c>
    </row>
    <row r="523" spans="1:20" x14ac:dyDescent="0.35">
      <c r="A523" s="7" t="s">
        <v>612</v>
      </c>
      <c r="B523" s="12" t="s">
        <v>143</v>
      </c>
      <c r="C523">
        <v>76885287.48677583</v>
      </c>
      <c r="D523">
        <v>83632491.855932027</v>
      </c>
      <c r="E523">
        <v>42198.198198199003</v>
      </c>
      <c r="F523">
        <v>667187.38738738804</v>
      </c>
      <c r="G523">
        <v>14</v>
      </c>
      <c r="H523">
        <v>22</v>
      </c>
      <c r="K523">
        <v>21</v>
      </c>
      <c r="L523">
        <v>32</v>
      </c>
      <c r="M523">
        <v>5078378.3783783764</v>
      </c>
      <c r="N523">
        <v>3927927.927927928</v>
      </c>
      <c r="O523">
        <v>9405178.3783783782</v>
      </c>
      <c r="P523">
        <v>10163927.927927928</v>
      </c>
      <c r="Q523">
        <v>8370990.9909909908</v>
      </c>
      <c r="R523">
        <v>7201981.9819819815</v>
      </c>
      <c r="S523">
        <v>6547</v>
      </c>
      <c r="T523">
        <v>6664</v>
      </c>
    </row>
    <row r="524" spans="1:20" x14ac:dyDescent="0.35">
      <c r="A524" s="7" t="s">
        <v>613</v>
      </c>
      <c r="B524" s="12" t="s">
        <v>189</v>
      </c>
      <c r="C524">
        <v>108114343.43542273</v>
      </c>
      <c r="D524">
        <v>98886041.030074224</v>
      </c>
      <c r="E524">
        <v>54054.054054054999</v>
      </c>
      <c r="F524">
        <v>670945.94594594894</v>
      </c>
      <c r="G524">
        <v>25</v>
      </c>
      <c r="H524">
        <v>26</v>
      </c>
      <c r="K524">
        <v>30</v>
      </c>
      <c r="L524">
        <v>37</v>
      </c>
      <c r="M524">
        <v>3220720.72072072</v>
      </c>
      <c r="N524">
        <v>7608108.1081081079</v>
      </c>
      <c r="O524">
        <v>9547547.7477477491</v>
      </c>
      <c r="P524">
        <v>9629243.2432432435</v>
      </c>
      <c r="Q524">
        <v>3056890.090090089</v>
      </c>
      <c r="R524">
        <v>7508288.2882882887</v>
      </c>
      <c r="S524">
        <v>7586</v>
      </c>
      <c r="T524">
        <v>7317</v>
      </c>
    </row>
    <row r="525" spans="1:20" x14ac:dyDescent="0.35">
      <c r="A525" s="7" t="s">
        <v>614</v>
      </c>
      <c r="B525" s="12" t="s">
        <v>54</v>
      </c>
      <c r="C525">
        <v>73278768.662264347</v>
      </c>
      <c r="D525">
        <v>68261955.845947623</v>
      </c>
      <c r="E525">
        <v>902252.25225225405</v>
      </c>
      <c r="F525">
        <v>1533333.333333336</v>
      </c>
      <c r="G525">
        <v>14</v>
      </c>
      <c r="H525">
        <v>15</v>
      </c>
      <c r="K525">
        <v>19</v>
      </c>
      <c r="L525">
        <v>18</v>
      </c>
      <c r="M525">
        <v>6722072.0720720729</v>
      </c>
      <c r="N525">
        <v>14245045.045045044</v>
      </c>
      <c r="O525">
        <v>21394639.639639638</v>
      </c>
      <c r="P525">
        <v>21440810.810810808</v>
      </c>
      <c r="Q525">
        <v>11418378.37837838</v>
      </c>
      <c r="R525">
        <v>12806306.306306306</v>
      </c>
      <c r="S525">
        <v>6551</v>
      </c>
      <c r="T525">
        <v>6318</v>
      </c>
    </row>
    <row r="526" spans="1:20" x14ac:dyDescent="0.35">
      <c r="A526" s="7" t="s">
        <v>615</v>
      </c>
      <c r="B526" s="12" t="s">
        <v>54</v>
      </c>
      <c r="C526">
        <v>38077597.088566013</v>
      </c>
      <c r="D526">
        <v>36946948.618989743</v>
      </c>
      <c r="E526">
        <v>9009.0090090100002</v>
      </c>
      <c r="F526">
        <v>13513.513513514001</v>
      </c>
      <c r="G526">
        <v>6</v>
      </c>
      <c r="H526">
        <v>4</v>
      </c>
      <c r="K526">
        <v>7</v>
      </c>
      <c r="L526">
        <v>4</v>
      </c>
      <c r="M526">
        <v>1540540.5405405411</v>
      </c>
      <c r="N526">
        <v>1094594.5945945941</v>
      </c>
      <c r="O526">
        <v>6189819.8198198201</v>
      </c>
      <c r="P526">
        <v>6206036.036036036</v>
      </c>
      <c r="Q526">
        <v>1794054.054054053</v>
      </c>
      <c r="R526">
        <v>961531.53153153195</v>
      </c>
      <c r="S526">
        <v>2756</v>
      </c>
      <c r="T526">
        <v>2734</v>
      </c>
    </row>
    <row r="527" spans="1:20" x14ac:dyDescent="0.35">
      <c r="A527" s="7" t="s">
        <v>616</v>
      </c>
      <c r="B527" s="12" t="s">
        <v>60</v>
      </c>
      <c r="C527">
        <v>56443185.795032874</v>
      </c>
      <c r="D527">
        <v>58873375.966311395</v>
      </c>
      <c r="E527">
        <v>72072.072072073002</v>
      </c>
      <c r="F527">
        <v>1907207.2072072129</v>
      </c>
      <c r="G527">
        <v>4</v>
      </c>
      <c r="H527">
        <v>17</v>
      </c>
      <c r="K527">
        <v>5</v>
      </c>
      <c r="L527">
        <v>97</v>
      </c>
      <c r="M527">
        <v>7236036.036036036</v>
      </c>
      <c r="N527">
        <v>10414234.234234234</v>
      </c>
      <c r="O527">
        <v>16285270.270270271</v>
      </c>
      <c r="P527">
        <v>18177630.630630631</v>
      </c>
      <c r="Q527">
        <v>7617567.5675675683</v>
      </c>
      <c r="R527">
        <v>9656396.3963963967</v>
      </c>
      <c r="S527">
        <v>4271</v>
      </c>
      <c r="T527">
        <v>4292</v>
      </c>
    </row>
    <row r="528" spans="1:20" x14ac:dyDescent="0.35">
      <c r="A528" s="7" t="s">
        <v>617</v>
      </c>
      <c r="B528" s="12" t="s">
        <v>60</v>
      </c>
      <c r="C528">
        <v>63259781.747039139</v>
      </c>
      <c r="D528">
        <v>60910825.150217034</v>
      </c>
      <c r="E528">
        <v>287387.38738738903</v>
      </c>
      <c r="F528">
        <v>272972.97297297599</v>
      </c>
      <c r="G528">
        <v>8</v>
      </c>
      <c r="H528">
        <v>18</v>
      </c>
      <c r="K528">
        <v>10</v>
      </c>
      <c r="L528">
        <v>24</v>
      </c>
      <c r="M528">
        <v>4071171.1711711711</v>
      </c>
      <c r="N528">
        <v>7564864.8648648653</v>
      </c>
      <c r="O528">
        <v>31974369.369369369</v>
      </c>
      <c r="P528">
        <v>30139756.756756756</v>
      </c>
      <c r="Q528">
        <v>6137657.6576576559</v>
      </c>
      <c r="R528">
        <v>7940000</v>
      </c>
      <c r="S528">
        <v>5384</v>
      </c>
      <c r="T528">
        <v>5319</v>
      </c>
    </row>
    <row r="529" spans="1:20" x14ac:dyDescent="0.35">
      <c r="A529" s="7" t="s">
        <v>618</v>
      </c>
      <c r="B529" s="12" t="s">
        <v>60</v>
      </c>
      <c r="C529">
        <v>81357556.915230855</v>
      </c>
      <c r="D529">
        <v>79483833.686907694</v>
      </c>
      <c r="E529">
        <v>332432.43243243301</v>
      </c>
      <c r="F529">
        <v>816216.21621621901</v>
      </c>
      <c r="G529">
        <v>14</v>
      </c>
      <c r="H529">
        <v>13</v>
      </c>
      <c r="K529">
        <v>15</v>
      </c>
      <c r="L529">
        <v>18</v>
      </c>
      <c r="M529">
        <v>2728828.8288288279</v>
      </c>
      <c r="N529">
        <v>9921441.4414414447</v>
      </c>
      <c r="O529">
        <v>24707153.153153151</v>
      </c>
      <c r="P529">
        <v>25700387.387387387</v>
      </c>
      <c r="Q529">
        <v>2179909.9099099119</v>
      </c>
      <c r="R529">
        <v>9392522.522522524</v>
      </c>
      <c r="S529">
        <v>5666</v>
      </c>
      <c r="T529">
        <v>5178</v>
      </c>
    </row>
    <row r="530" spans="1:20" x14ac:dyDescent="0.35">
      <c r="A530" s="7" t="s">
        <v>619</v>
      </c>
      <c r="B530" s="12" t="s">
        <v>620</v>
      </c>
      <c r="C530">
        <v>94708751.390300483</v>
      </c>
      <c r="D530">
        <v>93401897.52836971</v>
      </c>
      <c r="E530">
        <v>968944.14414414298</v>
      </c>
      <c r="F530">
        <v>19871586.486486487</v>
      </c>
      <c r="G530">
        <v>31</v>
      </c>
      <c r="H530">
        <v>28</v>
      </c>
      <c r="K530">
        <v>40</v>
      </c>
      <c r="L530">
        <v>44</v>
      </c>
      <c r="M530">
        <v>9786076.5765765756</v>
      </c>
      <c r="N530">
        <v>7611188.2882882887</v>
      </c>
      <c r="O530">
        <v>11338711.711711712</v>
      </c>
      <c r="P530">
        <v>10724720.72072072</v>
      </c>
      <c r="Q530">
        <v>5235855.8558558561</v>
      </c>
      <c r="R530">
        <v>8186396.3963963939</v>
      </c>
      <c r="S530">
        <v>7499</v>
      </c>
      <c r="T530">
        <v>8855</v>
      </c>
    </row>
    <row r="531" spans="1:20" x14ac:dyDescent="0.35">
      <c r="A531" s="7" t="s">
        <v>621</v>
      </c>
      <c r="B531" s="12" t="s">
        <v>620</v>
      </c>
      <c r="C531">
        <v>73345612.251744196</v>
      </c>
      <c r="D531">
        <v>68330740.079844132</v>
      </c>
      <c r="E531">
        <v>422522.52252252301</v>
      </c>
      <c r="F531">
        <v>1974774.7747747761</v>
      </c>
      <c r="G531">
        <v>16</v>
      </c>
      <c r="H531">
        <v>23</v>
      </c>
      <c r="I531">
        <v>2</v>
      </c>
      <c r="K531">
        <v>29</v>
      </c>
      <c r="L531">
        <v>36</v>
      </c>
      <c r="M531">
        <v>3080180.180180178</v>
      </c>
      <c r="N531">
        <v>6127927.9279279262</v>
      </c>
      <c r="O531">
        <v>10291103.603603603</v>
      </c>
      <c r="P531">
        <v>11169399.0990991</v>
      </c>
      <c r="Q531">
        <v>4319909.9099099096</v>
      </c>
      <c r="R531">
        <v>5016036.036036036</v>
      </c>
      <c r="S531">
        <v>6125</v>
      </c>
      <c r="T531">
        <v>5864</v>
      </c>
    </row>
    <row r="532" spans="1:20" x14ac:dyDescent="0.35">
      <c r="A532" s="7" t="s">
        <v>622</v>
      </c>
      <c r="B532" s="12" t="s">
        <v>620</v>
      </c>
      <c r="C532">
        <v>78447150.265840933</v>
      </c>
      <c r="D532">
        <v>72375661.404430598</v>
      </c>
      <c r="E532">
        <v>304504.50450450502</v>
      </c>
      <c r="F532">
        <v>800900.90090090397</v>
      </c>
      <c r="G532">
        <v>20</v>
      </c>
      <c r="H532">
        <v>25</v>
      </c>
      <c r="I532">
        <v>1</v>
      </c>
      <c r="K532">
        <v>33</v>
      </c>
      <c r="L532">
        <v>28</v>
      </c>
      <c r="M532">
        <v>7726126.1261261264</v>
      </c>
      <c r="N532">
        <v>4004504.5045045041</v>
      </c>
      <c r="O532">
        <v>10723108.108108109</v>
      </c>
      <c r="P532">
        <v>11574094.594594596</v>
      </c>
      <c r="Q532">
        <v>7256666.6666666651</v>
      </c>
      <c r="R532">
        <v>3176576.576576577</v>
      </c>
      <c r="S532">
        <v>5883</v>
      </c>
      <c r="T532">
        <v>5495</v>
      </c>
    </row>
    <row r="533" spans="1:20" x14ac:dyDescent="0.35">
      <c r="A533" s="7" t="s">
        <v>623</v>
      </c>
      <c r="B533" s="12" t="s">
        <v>620</v>
      </c>
      <c r="C533">
        <v>53497859.333190128</v>
      </c>
      <c r="D533">
        <v>50782499.202614047</v>
      </c>
      <c r="E533">
        <v>145045.04504504599</v>
      </c>
      <c r="F533">
        <v>172072.072072073</v>
      </c>
      <c r="G533">
        <v>23</v>
      </c>
      <c r="H533">
        <v>12</v>
      </c>
      <c r="K533">
        <v>31</v>
      </c>
      <c r="L533">
        <v>19</v>
      </c>
      <c r="M533">
        <v>3731081.0810810812</v>
      </c>
      <c r="N533">
        <v>5562162.1621621624</v>
      </c>
      <c r="O533">
        <v>6481756.7567567574</v>
      </c>
      <c r="P533">
        <v>7036788.2882882878</v>
      </c>
      <c r="Q533">
        <v>4187657.6576576582</v>
      </c>
      <c r="R533">
        <v>4829009.0090090092</v>
      </c>
      <c r="S533">
        <v>3618</v>
      </c>
      <c r="T533">
        <v>3533</v>
      </c>
    </row>
    <row r="534" spans="1:20" x14ac:dyDescent="0.35">
      <c r="A534" s="7" t="s">
        <v>624</v>
      </c>
      <c r="B534" s="12" t="s">
        <v>260</v>
      </c>
      <c r="C534">
        <v>29914497.668875001</v>
      </c>
      <c r="D534">
        <v>25601280.146395165</v>
      </c>
      <c r="E534">
        <v>18018.018018018</v>
      </c>
      <c r="F534">
        <v>47747.747747747999</v>
      </c>
      <c r="G534">
        <v>1</v>
      </c>
      <c r="H534">
        <v>1</v>
      </c>
      <c r="K534">
        <v>1</v>
      </c>
      <c r="L534">
        <v>1</v>
      </c>
      <c r="M534">
        <v>5513513.5135135138</v>
      </c>
      <c r="N534">
        <v>49549.54954955</v>
      </c>
      <c r="O534">
        <v>9463144.1441441439</v>
      </c>
      <c r="P534">
        <v>8743027.0270270277</v>
      </c>
      <c r="Q534">
        <v>4852972.9729729723</v>
      </c>
      <c r="R534">
        <v>3360810.8108108109</v>
      </c>
      <c r="S534">
        <v>2112</v>
      </c>
      <c r="T534">
        <v>2023</v>
      </c>
    </row>
    <row r="535" spans="1:20" x14ac:dyDescent="0.35">
      <c r="A535" s="7" t="s">
        <v>625</v>
      </c>
      <c r="B535" s="12" t="s">
        <v>52</v>
      </c>
      <c r="C535">
        <v>43866837.825623035</v>
      </c>
      <c r="D535">
        <v>43664841.58040709</v>
      </c>
      <c r="E535">
        <v>8288.2882882880003</v>
      </c>
      <c r="F535">
        <v>27027.027027027001</v>
      </c>
      <c r="G535">
        <v>6</v>
      </c>
      <c r="H535">
        <v>12</v>
      </c>
      <c r="K535">
        <v>9</v>
      </c>
      <c r="L535">
        <v>28</v>
      </c>
      <c r="M535">
        <v>47477.477477476998</v>
      </c>
      <c r="N535">
        <v>927927.92792792805</v>
      </c>
      <c r="O535">
        <v>15059720.72072072</v>
      </c>
      <c r="P535">
        <v>15987261.261261262</v>
      </c>
      <c r="Q535">
        <v>1048648.648648649</v>
      </c>
      <c r="R535">
        <v>1156756.7567567569</v>
      </c>
      <c r="S535">
        <v>4430</v>
      </c>
      <c r="T535">
        <v>4246</v>
      </c>
    </row>
    <row r="536" spans="1:20" x14ac:dyDescent="0.35">
      <c r="A536" s="7" t="s">
        <v>626</v>
      </c>
      <c r="B536" s="12" t="s">
        <v>96</v>
      </c>
      <c r="C536">
        <v>105622224.46528037</v>
      </c>
      <c r="D536">
        <v>101368022.40958963</v>
      </c>
      <c r="E536">
        <v>5470715.3153153164</v>
      </c>
      <c r="F536">
        <v>43594071.171171166</v>
      </c>
      <c r="G536">
        <v>46</v>
      </c>
      <c r="H536">
        <v>51</v>
      </c>
      <c r="I536">
        <v>1</v>
      </c>
      <c r="K536">
        <v>61</v>
      </c>
      <c r="L536">
        <v>65</v>
      </c>
      <c r="M536">
        <v>17870630.630630627</v>
      </c>
      <c r="N536">
        <v>46959315.315315314</v>
      </c>
      <c r="O536">
        <v>32963153.153153151</v>
      </c>
      <c r="P536">
        <v>33667301.801801801</v>
      </c>
      <c r="Q536">
        <v>19105765.765765764</v>
      </c>
      <c r="R536">
        <v>17667117.117117114</v>
      </c>
      <c r="S536">
        <v>10635</v>
      </c>
      <c r="T536">
        <v>10656</v>
      </c>
    </row>
    <row r="537" spans="1:20" x14ac:dyDescent="0.35">
      <c r="A537" s="7" t="s">
        <v>627</v>
      </c>
      <c r="B537" s="12" t="s">
        <v>96</v>
      </c>
      <c r="C537">
        <v>185568561.83545908</v>
      </c>
      <c r="D537">
        <v>168175234.48957792</v>
      </c>
      <c r="E537">
        <v>298738.73873873998</v>
      </c>
      <c r="F537">
        <v>1015315.315315316</v>
      </c>
      <c r="G537">
        <v>43</v>
      </c>
      <c r="H537">
        <v>20</v>
      </c>
      <c r="I537">
        <v>1</v>
      </c>
      <c r="K537">
        <v>63</v>
      </c>
      <c r="L537">
        <v>31</v>
      </c>
      <c r="M537">
        <v>19910990.990990993</v>
      </c>
      <c r="N537">
        <v>29927027.02702703</v>
      </c>
      <c r="O537">
        <v>73524333.333333328</v>
      </c>
      <c r="P537">
        <v>66543054.054054059</v>
      </c>
      <c r="Q537">
        <v>29432702.702702705</v>
      </c>
      <c r="R537">
        <v>41474864.864864863</v>
      </c>
      <c r="S537">
        <v>13569</v>
      </c>
      <c r="T537">
        <v>13254</v>
      </c>
    </row>
    <row r="538" spans="1:20" x14ac:dyDescent="0.35">
      <c r="A538" s="7" t="s">
        <v>628</v>
      </c>
      <c r="B538" s="12" t="s">
        <v>448</v>
      </c>
      <c r="C538">
        <v>133385143.12174827</v>
      </c>
      <c r="D538">
        <v>124390502.67288415</v>
      </c>
      <c r="E538">
        <v>106533790.990991</v>
      </c>
      <c r="F538">
        <v>41634360.360360362</v>
      </c>
      <c r="G538">
        <v>59</v>
      </c>
      <c r="H538">
        <v>22</v>
      </c>
      <c r="K538">
        <v>79</v>
      </c>
      <c r="L538">
        <v>32</v>
      </c>
      <c r="M538">
        <v>49741441.441441439</v>
      </c>
      <c r="N538">
        <v>29108108.108108107</v>
      </c>
      <c r="O538">
        <v>37579900.9009009</v>
      </c>
      <c r="P538">
        <v>36562772.972972974</v>
      </c>
      <c r="Q538">
        <v>32573873.873873871</v>
      </c>
      <c r="R538">
        <v>23511261.261261258</v>
      </c>
      <c r="S538">
        <v>11611</v>
      </c>
      <c r="T538">
        <v>11143</v>
      </c>
    </row>
    <row r="539" spans="1:20" x14ac:dyDescent="0.35">
      <c r="A539" s="7" t="s">
        <v>629</v>
      </c>
      <c r="B539" s="12" t="s">
        <v>78</v>
      </c>
      <c r="C539">
        <v>6159888.6732665664</v>
      </c>
      <c r="D539">
        <v>6037797.102843239</v>
      </c>
      <c r="E539">
        <v>180180.18018018</v>
      </c>
      <c r="F539">
        <v>278378.37837837799</v>
      </c>
      <c r="G539">
        <v>2</v>
      </c>
      <c r="H539">
        <v>1</v>
      </c>
      <c r="K539">
        <v>2</v>
      </c>
      <c r="L539">
        <v>1</v>
      </c>
      <c r="M539">
        <v>180180.18018018</v>
      </c>
      <c r="N539">
        <v>638738.738738738</v>
      </c>
      <c r="O539">
        <v>1668108.1081081079</v>
      </c>
      <c r="P539">
        <v>1796027.027027027</v>
      </c>
      <c r="Q539">
        <v>257657.65765765801</v>
      </c>
      <c r="R539">
        <v>527027.02702702698</v>
      </c>
      <c r="S539">
        <v>425</v>
      </c>
      <c r="T539">
        <v>384</v>
      </c>
    </row>
    <row r="540" spans="1:20" x14ac:dyDescent="0.35">
      <c r="A540" s="7" t="s">
        <v>630</v>
      </c>
      <c r="B540" s="12" t="s">
        <v>241</v>
      </c>
      <c r="C540">
        <v>34794664.057878815</v>
      </c>
      <c r="D540">
        <v>32474342.096769232</v>
      </c>
      <c r="E540">
        <v>15495.495495495999</v>
      </c>
      <c r="F540">
        <v>106081.081081083</v>
      </c>
      <c r="G540">
        <v>13</v>
      </c>
      <c r="H540">
        <v>12</v>
      </c>
      <c r="K540">
        <v>15</v>
      </c>
      <c r="L540">
        <v>15</v>
      </c>
      <c r="M540">
        <v>5360630.6306306319</v>
      </c>
      <c r="N540">
        <v>3044684.684684684</v>
      </c>
      <c r="O540">
        <v>8351576.5765765766</v>
      </c>
      <c r="P540">
        <v>6956171.1711711707</v>
      </c>
      <c r="Q540">
        <v>6094504.5045045055</v>
      </c>
      <c r="R540">
        <v>2986126.1261261259</v>
      </c>
      <c r="S540">
        <v>2615</v>
      </c>
      <c r="T540">
        <v>2562</v>
      </c>
    </row>
    <row r="541" spans="1:20" x14ac:dyDescent="0.35">
      <c r="A541" s="7" t="s">
        <v>631</v>
      </c>
      <c r="B541" s="12" t="s">
        <v>68</v>
      </c>
      <c r="C541">
        <v>151908241.36297306</v>
      </c>
      <c r="D541">
        <v>142404790.5312236</v>
      </c>
      <c r="E541">
        <v>727927.92792792898</v>
      </c>
      <c r="F541">
        <v>1611936.9369369389</v>
      </c>
      <c r="G541">
        <v>17</v>
      </c>
      <c r="H541">
        <v>20</v>
      </c>
      <c r="K541">
        <v>26</v>
      </c>
      <c r="L541">
        <v>26</v>
      </c>
      <c r="M541">
        <v>13703963.963963961</v>
      </c>
      <c r="N541">
        <v>14035585.585585587</v>
      </c>
      <c r="O541">
        <v>24943513.513513517</v>
      </c>
      <c r="P541">
        <v>24609860.360360362</v>
      </c>
      <c r="Q541">
        <v>10384504.5045045</v>
      </c>
      <c r="R541">
        <v>11926486.486486487</v>
      </c>
      <c r="S541">
        <v>9004</v>
      </c>
      <c r="T541">
        <v>9691</v>
      </c>
    </row>
    <row r="542" spans="1:20" x14ac:dyDescent="0.35">
      <c r="A542" s="7" t="s">
        <v>632</v>
      </c>
      <c r="B542" s="12" t="s">
        <v>70</v>
      </c>
      <c r="C542">
        <v>1273423.0295582011</v>
      </c>
      <c r="D542">
        <v>1182411.04460421</v>
      </c>
      <c r="F542">
        <v>40540.540540540998</v>
      </c>
      <c r="L542">
        <v>1</v>
      </c>
      <c r="N542">
        <v>40540.540540540998</v>
      </c>
      <c r="O542">
        <v>734819.81981982</v>
      </c>
      <c r="P542">
        <v>672702.70270270295</v>
      </c>
      <c r="Q542">
        <v>27297.297297296998</v>
      </c>
      <c r="R542">
        <v>164864.864864865</v>
      </c>
      <c r="S542">
        <v>194</v>
      </c>
      <c r="T542">
        <v>205</v>
      </c>
    </row>
    <row r="543" spans="1:20" x14ac:dyDescent="0.35">
      <c r="A543" s="7" t="s">
        <v>633</v>
      </c>
      <c r="B543" s="12" t="s">
        <v>60</v>
      </c>
      <c r="C543">
        <v>11743611.987762708</v>
      </c>
      <c r="D543">
        <v>11760432.37597226</v>
      </c>
      <c r="E543">
        <v>900.900900901</v>
      </c>
      <c r="F543">
        <v>1801.801801802</v>
      </c>
      <c r="G543">
        <v>1</v>
      </c>
      <c r="H543">
        <v>5</v>
      </c>
      <c r="K543">
        <v>2</v>
      </c>
      <c r="L543">
        <v>6</v>
      </c>
      <c r="M543">
        <v>181081.08108108101</v>
      </c>
      <c r="N543">
        <v>686486.48648648604</v>
      </c>
      <c r="O543">
        <v>4190270.2702702698</v>
      </c>
      <c r="P543">
        <v>5260990.9909909908</v>
      </c>
      <c r="Q543">
        <v>76126.126126125993</v>
      </c>
      <c r="R543">
        <v>140990.99099099101</v>
      </c>
      <c r="S543">
        <v>1021</v>
      </c>
      <c r="T543">
        <v>1048</v>
      </c>
    </row>
    <row r="544" spans="1:20" x14ac:dyDescent="0.35">
      <c r="A544" s="7" t="s">
        <v>634</v>
      </c>
      <c r="B544" s="12" t="s">
        <v>80</v>
      </c>
      <c r="C544">
        <v>120837571.9814229</v>
      </c>
      <c r="D544">
        <v>113026358.4374976</v>
      </c>
      <c r="E544">
        <v>1394594.594594596</v>
      </c>
      <c r="F544">
        <v>1319819.819819822</v>
      </c>
      <c r="G544">
        <v>28</v>
      </c>
      <c r="H544">
        <v>11</v>
      </c>
      <c r="K544">
        <v>36</v>
      </c>
      <c r="L544">
        <v>11</v>
      </c>
      <c r="M544">
        <v>14182342.342342343</v>
      </c>
      <c r="N544">
        <v>10701801.801801801</v>
      </c>
      <c r="O544">
        <v>21528423.423423424</v>
      </c>
      <c r="P544">
        <v>22233941.441441439</v>
      </c>
      <c r="Q544">
        <v>13259549.549549548</v>
      </c>
      <c r="R544">
        <v>10543243.243243244</v>
      </c>
      <c r="S544">
        <v>6454</v>
      </c>
      <c r="T544">
        <v>6553</v>
      </c>
    </row>
    <row r="545" spans="1:20" x14ac:dyDescent="0.35">
      <c r="A545" s="7" t="s">
        <v>635</v>
      </c>
      <c r="B545" s="12" t="s">
        <v>134</v>
      </c>
      <c r="C545">
        <v>19814364.580246735</v>
      </c>
      <c r="D545">
        <v>20170747.087602157</v>
      </c>
      <c r="G545">
        <v>1</v>
      </c>
      <c r="H545">
        <v>1</v>
      </c>
      <c r="K545">
        <v>2</v>
      </c>
      <c r="L545">
        <v>4</v>
      </c>
      <c r="N545">
        <v>630630.630630631</v>
      </c>
      <c r="O545">
        <v>1288063.063063063</v>
      </c>
      <c r="P545">
        <v>1580009.0090090099</v>
      </c>
      <c r="Q545">
        <v>291441.44144144101</v>
      </c>
      <c r="R545">
        <v>241441.44144144101</v>
      </c>
      <c r="S545">
        <v>1423</v>
      </c>
      <c r="T545">
        <v>1524</v>
      </c>
    </row>
    <row r="546" spans="1:20" x14ac:dyDescent="0.35">
      <c r="A546" s="7" t="s">
        <v>636</v>
      </c>
      <c r="B546" s="12" t="s">
        <v>479</v>
      </c>
      <c r="C546">
        <v>69291919.73936902</v>
      </c>
      <c r="D546">
        <v>60930095.172204539</v>
      </c>
      <c r="E546">
        <v>22072.072072072999</v>
      </c>
      <c r="F546">
        <v>507207.20720720798</v>
      </c>
      <c r="G546">
        <v>2</v>
      </c>
      <c r="H546">
        <v>4</v>
      </c>
      <c r="K546">
        <v>2</v>
      </c>
      <c r="L546">
        <v>6</v>
      </c>
      <c r="M546">
        <v>8477027.027027024</v>
      </c>
      <c r="N546">
        <v>15436036.036036037</v>
      </c>
      <c r="O546">
        <v>21444527.02702703</v>
      </c>
      <c r="P546">
        <v>19534432.432432432</v>
      </c>
      <c r="Q546">
        <v>7954864.8648648635</v>
      </c>
      <c r="R546">
        <v>16056666.666666664</v>
      </c>
      <c r="S546">
        <v>5859</v>
      </c>
      <c r="T546">
        <v>5651</v>
      </c>
    </row>
    <row r="547" spans="1:20" x14ac:dyDescent="0.35">
      <c r="A547" s="7" t="s">
        <v>637</v>
      </c>
      <c r="B547" s="12" t="s">
        <v>143</v>
      </c>
      <c r="C547">
        <v>117264823.91354108</v>
      </c>
      <c r="D547">
        <v>109884428.56746297</v>
      </c>
      <c r="E547">
        <v>583783.78378378402</v>
      </c>
      <c r="F547">
        <v>1784234.234234238</v>
      </c>
      <c r="G547">
        <v>15</v>
      </c>
      <c r="H547">
        <v>11</v>
      </c>
      <c r="K547">
        <v>24</v>
      </c>
      <c r="L547">
        <v>25</v>
      </c>
      <c r="M547">
        <v>9201801.8018018007</v>
      </c>
      <c r="N547">
        <v>5274774.7747747796</v>
      </c>
      <c r="O547">
        <v>10998090.09009009</v>
      </c>
      <c r="P547">
        <v>13959936.936936939</v>
      </c>
      <c r="Q547">
        <v>7026576.5765765747</v>
      </c>
      <c r="R547">
        <v>4014414.4144144142</v>
      </c>
      <c r="S547">
        <v>9763</v>
      </c>
      <c r="T547">
        <v>9439</v>
      </c>
    </row>
    <row r="548" spans="1:20" x14ac:dyDescent="0.35">
      <c r="A548" s="7" t="s">
        <v>638</v>
      </c>
      <c r="B548" s="12" t="s">
        <v>241</v>
      </c>
      <c r="C548">
        <v>123769240.02675363</v>
      </c>
      <c r="D548">
        <v>113876939.98948584</v>
      </c>
      <c r="E548">
        <v>305405.40540540701</v>
      </c>
      <c r="F548">
        <v>813513.51351351605</v>
      </c>
      <c r="G548">
        <v>51</v>
      </c>
      <c r="H548">
        <v>56</v>
      </c>
      <c r="K548">
        <v>58</v>
      </c>
      <c r="L548">
        <v>69</v>
      </c>
      <c r="M548">
        <v>4370900.9009009022</v>
      </c>
      <c r="N548">
        <v>6421621.6216216199</v>
      </c>
      <c r="O548">
        <v>40554747.747747749</v>
      </c>
      <c r="P548">
        <v>35738198.198198199</v>
      </c>
      <c r="Q548">
        <v>6112342.3423423432</v>
      </c>
      <c r="R548">
        <v>5153423.4234234234</v>
      </c>
      <c r="S548">
        <v>12842</v>
      </c>
      <c r="T548">
        <v>12531</v>
      </c>
    </row>
    <row r="549" spans="1:20" x14ac:dyDescent="0.35">
      <c r="A549" s="7" t="s">
        <v>639</v>
      </c>
      <c r="B549" s="12" t="s">
        <v>132</v>
      </c>
      <c r="C549">
        <v>50623726.382331289</v>
      </c>
      <c r="D549">
        <v>44922482.52920562</v>
      </c>
      <c r="E549">
        <v>6760360.3603603607</v>
      </c>
      <c r="F549">
        <v>14729729.729729731</v>
      </c>
      <c r="G549">
        <v>11</v>
      </c>
      <c r="H549">
        <v>12</v>
      </c>
      <c r="K549">
        <v>21</v>
      </c>
      <c r="L549">
        <v>18</v>
      </c>
      <c r="M549">
        <v>4895720.7207207214</v>
      </c>
      <c r="N549">
        <v>1673648.6486486481</v>
      </c>
      <c r="O549">
        <v>17691459.459459461</v>
      </c>
      <c r="P549">
        <v>15149000</v>
      </c>
      <c r="Q549">
        <v>3796846.8468468469</v>
      </c>
      <c r="R549">
        <v>396936.93693693698</v>
      </c>
      <c r="S549">
        <v>5623</v>
      </c>
      <c r="T549">
        <v>5463</v>
      </c>
    </row>
    <row r="550" spans="1:20" x14ac:dyDescent="0.35">
      <c r="A550" s="7" t="s">
        <v>640</v>
      </c>
      <c r="B550" s="12" t="s">
        <v>134</v>
      </c>
      <c r="C550">
        <v>144136811.66596687</v>
      </c>
      <c r="D550">
        <v>137257897.34636137</v>
      </c>
      <c r="E550">
        <v>49549.549549550997</v>
      </c>
      <c r="F550">
        <v>252252.25225225301</v>
      </c>
      <c r="G550">
        <v>18</v>
      </c>
      <c r="H550">
        <v>8</v>
      </c>
      <c r="K550">
        <v>19</v>
      </c>
      <c r="L550">
        <v>14</v>
      </c>
      <c r="M550">
        <v>8671171.1711711716</v>
      </c>
      <c r="N550">
        <v>9359639.6396396384</v>
      </c>
      <c r="O550">
        <v>15629896.396396397</v>
      </c>
      <c r="P550">
        <v>18175899.099099096</v>
      </c>
      <c r="Q550">
        <v>8435585.5855855886</v>
      </c>
      <c r="R550">
        <v>8449322.5225225184</v>
      </c>
      <c r="S550">
        <v>7609</v>
      </c>
      <c r="T550">
        <v>7567</v>
      </c>
    </row>
    <row r="551" spans="1:20" x14ac:dyDescent="0.35">
      <c r="A551" s="7" t="s">
        <v>641</v>
      </c>
      <c r="B551" s="12" t="s">
        <v>80</v>
      </c>
      <c r="C551">
        <v>73793647.192973644</v>
      </c>
      <c r="D551">
        <v>69401735.276012748</v>
      </c>
      <c r="E551">
        <v>1801.801801802</v>
      </c>
      <c r="F551">
        <v>62162.162162162997</v>
      </c>
      <c r="G551">
        <v>6</v>
      </c>
      <c r="H551">
        <v>8</v>
      </c>
      <c r="I551">
        <v>1</v>
      </c>
      <c r="K551">
        <v>7</v>
      </c>
      <c r="L551">
        <v>9</v>
      </c>
      <c r="M551">
        <v>8103603.6036036042</v>
      </c>
      <c r="N551">
        <v>4134234.2342342339</v>
      </c>
      <c r="O551">
        <v>24509432.432432432</v>
      </c>
      <c r="P551">
        <v>24645022.52252252</v>
      </c>
      <c r="Q551">
        <v>6223513.5135135129</v>
      </c>
      <c r="R551">
        <v>5691531.5315315332</v>
      </c>
      <c r="S551">
        <v>5045</v>
      </c>
      <c r="T551">
        <v>5054</v>
      </c>
    </row>
    <row r="552" spans="1:20" x14ac:dyDescent="0.35">
      <c r="A552" s="7" t="s">
        <v>642</v>
      </c>
      <c r="B552" s="12" t="s">
        <v>169</v>
      </c>
      <c r="C552">
        <v>130698381.74268003</v>
      </c>
      <c r="D552">
        <v>114067319.08790846</v>
      </c>
      <c r="E552">
        <v>301351.35135135101</v>
      </c>
      <c r="F552">
        <v>414414.41441441502</v>
      </c>
      <c r="G552">
        <v>15</v>
      </c>
      <c r="H552">
        <v>14</v>
      </c>
      <c r="I552">
        <v>1</v>
      </c>
      <c r="K552">
        <v>16</v>
      </c>
      <c r="L552">
        <v>16</v>
      </c>
      <c r="M552">
        <v>7598648.6486486495</v>
      </c>
      <c r="N552">
        <v>7216216.2162162159</v>
      </c>
      <c r="O552">
        <v>41216414.414414413</v>
      </c>
      <c r="P552">
        <v>39647450.45045045</v>
      </c>
      <c r="Q552">
        <v>8496846.8468468469</v>
      </c>
      <c r="R552">
        <v>7516846.8468468469</v>
      </c>
      <c r="S552">
        <v>8893</v>
      </c>
      <c r="T552">
        <v>8713</v>
      </c>
    </row>
    <row r="553" spans="1:20" x14ac:dyDescent="0.35">
      <c r="A553" s="7" t="s">
        <v>643</v>
      </c>
      <c r="B553" s="12" t="s">
        <v>58</v>
      </c>
      <c r="C553">
        <v>216001925.0543285</v>
      </c>
      <c r="D553">
        <v>203190147.80990276</v>
      </c>
      <c r="E553">
        <v>786036.03603603703</v>
      </c>
      <c r="F553">
        <v>1749549.5495495501</v>
      </c>
      <c r="G553">
        <v>47</v>
      </c>
      <c r="H553">
        <v>34</v>
      </c>
      <c r="K553">
        <v>54</v>
      </c>
      <c r="L553">
        <v>44</v>
      </c>
      <c r="M553">
        <v>16335585.585585585</v>
      </c>
      <c r="N553">
        <v>13937837.837837838</v>
      </c>
      <c r="O553">
        <v>43129720.720720723</v>
      </c>
      <c r="P553">
        <v>41802783.783783786</v>
      </c>
      <c r="Q553">
        <v>11740810.810810812</v>
      </c>
      <c r="R553">
        <v>12479549.54954955</v>
      </c>
      <c r="S553">
        <v>17466</v>
      </c>
      <c r="T553">
        <v>17280</v>
      </c>
    </row>
    <row r="554" spans="1:20" x14ac:dyDescent="0.35">
      <c r="A554" s="7" t="s">
        <v>644</v>
      </c>
      <c r="B554" s="12" t="s">
        <v>58</v>
      </c>
      <c r="C554">
        <v>268865658.84967095</v>
      </c>
      <c r="D554">
        <v>262102428.57927969</v>
      </c>
      <c r="E554">
        <v>124516091.89189188</v>
      </c>
      <c r="F554">
        <v>15459909.909909915</v>
      </c>
      <c r="G554">
        <v>57</v>
      </c>
      <c r="H554">
        <v>67</v>
      </c>
      <c r="K554">
        <v>75</v>
      </c>
      <c r="L554">
        <v>95</v>
      </c>
      <c r="M554">
        <v>33217567.567567568</v>
      </c>
      <c r="N554">
        <v>42155855.855855852</v>
      </c>
      <c r="O554">
        <v>69525484.684684694</v>
      </c>
      <c r="P554">
        <v>71406522.522522524</v>
      </c>
      <c r="Q554">
        <v>28875765.765765768</v>
      </c>
      <c r="R554">
        <v>36934954.954954959</v>
      </c>
      <c r="S554">
        <v>22272</v>
      </c>
      <c r="T554">
        <v>22514</v>
      </c>
    </row>
    <row r="555" spans="1:20" x14ac:dyDescent="0.35">
      <c r="A555" s="7" t="s">
        <v>645</v>
      </c>
      <c r="B555" s="12" t="s">
        <v>307</v>
      </c>
      <c r="C555">
        <v>86497893.504266754</v>
      </c>
      <c r="D555">
        <v>81526674.964573756</v>
      </c>
      <c r="E555">
        <v>84243243.243243247</v>
      </c>
      <c r="F555">
        <v>154300000</v>
      </c>
      <c r="G555">
        <v>11</v>
      </c>
      <c r="H555">
        <v>6</v>
      </c>
      <c r="K555">
        <v>12</v>
      </c>
      <c r="L555">
        <v>7</v>
      </c>
      <c r="M555">
        <v>2206981.9819819829</v>
      </c>
      <c r="N555">
        <v>2614414.4144144142</v>
      </c>
      <c r="O555">
        <v>14281261.26126126</v>
      </c>
      <c r="P555">
        <v>13628054.054054054</v>
      </c>
      <c r="Q555">
        <v>1761261.261261262</v>
      </c>
      <c r="R555">
        <v>1703783.783783783</v>
      </c>
      <c r="S555">
        <v>5257</v>
      </c>
      <c r="T555">
        <v>5676</v>
      </c>
    </row>
    <row r="556" spans="1:20" x14ac:dyDescent="0.35">
      <c r="A556" s="7" t="s">
        <v>13</v>
      </c>
      <c r="B556" s="12" t="s">
        <v>158</v>
      </c>
      <c r="C556">
        <v>99354642.705789655</v>
      </c>
      <c r="D556">
        <v>90968257.56948407</v>
      </c>
      <c r="E556">
        <v>84234.234234236006</v>
      </c>
      <c r="F556">
        <v>545945.94594594801</v>
      </c>
      <c r="G556">
        <v>9</v>
      </c>
      <c r="H556">
        <v>7</v>
      </c>
      <c r="K556">
        <v>10</v>
      </c>
      <c r="L556">
        <v>91</v>
      </c>
      <c r="M556">
        <v>14050360.360360356</v>
      </c>
      <c r="N556">
        <v>17542612.612612616</v>
      </c>
      <c r="O556">
        <v>54021986.486486487</v>
      </c>
      <c r="P556">
        <v>50373441.441441439</v>
      </c>
      <c r="Q556">
        <v>20518738.738738734</v>
      </c>
      <c r="R556">
        <v>19841621.621621624</v>
      </c>
      <c r="S556">
        <v>7475</v>
      </c>
      <c r="T556">
        <v>6889</v>
      </c>
    </row>
    <row r="557" spans="1:20" x14ac:dyDescent="0.35">
      <c r="A557" s="7" t="s">
        <v>646</v>
      </c>
      <c r="B557" s="12" t="s">
        <v>121</v>
      </c>
      <c r="C557">
        <v>67264146.39129205</v>
      </c>
      <c r="D557">
        <v>71525568.91647239</v>
      </c>
      <c r="E557">
        <v>900.900900901</v>
      </c>
      <c r="F557">
        <v>68468.468468467996</v>
      </c>
      <c r="G557">
        <v>13</v>
      </c>
      <c r="H557">
        <v>11</v>
      </c>
      <c r="K557">
        <v>15</v>
      </c>
      <c r="L557">
        <v>13</v>
      </c>
      <c r="M557">
        <v>181081.08108108101</v>
      </c>
      <c r="N557">
        <v>252252.25225225199</v>
      </c>
      <c r="O557">
        <v>5520900.9009009013</v>
      </c>
      <c r="P557">
        <v>5904031.5315315314</v>
      </c>
      <c r="Q557">
        <v>61261.261261261003</v>
      </c>
      <c r="R557">
        <v>155405.40540540501</v>
      </c>
      <c r="S557">
        <v>3012</v>
      </c>
      <c r="T557">
        <v>3679</v>
      </c>
    </row>
    <row r="558" spans="1:20" x14ac:dyDescent="0.35">
      <c r="A558" s="7" t="s">
        <v>647</v>
      </c>
      <c r="B558" s="12" t="s">
        <v>315</v>
      </c>
      <c r="C558">
        <v>24603826.965522174</v>
      </c>
      <c r="D558">
        <v>21682974.196388919</v>
      </c>
      <c r="E558">
        <v>323423.42342342302</v>
      </c>
      <c r="F558">
        <v>274774.77477477398</v>
      </c>
      <c r="G558">
        <v>4</v>
      </c>
      <c r="H558">
        <v>2</v>
      </c>
      <c r="K558">
        <v>4</v>
      </c>
      <c r="L558">
        <v>3</v>
      </c>
      <c r="M558">
        <v>465315.315315313</v>
      </c>
      <c r="N558">
        <v>2053153.153153152</v>
      </c>
      <c r="O558">
        <v>5530292.7927927934</v>
      </c>
      <c r="P558">
        <v>5140117.1171171172</v>
      </c>
      <c r="Q558">
        <v>1263783.783783783</v>
      </c>
      <c r="R558">
        <v>3205315.315315316</v>
      </c>
      <c r="S558">
        <v>1367</v>
      </c>
      <c r="T558">
        <v>1223</v>
      </c>
    </row>
    <row r="559" spans="1:20" x14ac:dyDescent="0.35">
      <c r="A559" s="7" t="s">
        <v>648</v>
      </c>
      <c r="B559" s="12" t="s">
        <v>260</v>
      </c>
      <c r="C559">
        <v>60374388.020170085</v>
      </c>
      <c r="D559">
        <v>56888382.284504451</v>
      </c>
      <c r="E559">
        <v>145315.31531531501</v>
      </c>
      <c r="F559">
        <v>519144.14414414502</v>
      </c>
      <c r="G559">
        <v>11</v>
      </c>
      <c r="H559">
        <v>17</v>
      </c>
      <c r="K559">
        <v>13</v>
      </c>
      <c r="L559">
        <v>22</v>
      </c>
      <c r="M559">
        <v>10505675.675675675</v>
      </c>
      <c r="N559">
        <v>8239639.6396396402</v>
      </c>
      <c r="O559">
        <v>19135945.945945945</v>
      </c>
      <c r="P559">
        <v>19443981.981981985</v>
      </c>
      <c r="Q559">
        <v>10125225.225225223</v>
      </c>
      <c r="R559">
        <v>11044234.234234234</v>
      </c>
      <c r="S559">
        <v>4000</v>
      </c>
      <c r="T559">
        <v>4308</v>
      </c>
    </row>
    <row r="560" spans="1:20" x14ac:dyDescent="0.35">
      <c r="A560" s="7" t="s">
        <v>649</v>
      </c>
      <c r="B560" s="12" t="s">
        <v>224</v>
      </c>
      <c r="C560">
        <v>63585591.244394377</v>
      </c>
      <c r="D560">
        <v>55548095.380210817</v>
      </c>
      <c r="E560">
        <v>23873.873873873999</v>
      </c>
      <c r="F560">
        <v>308783.783783786</v>
      </c>
      <c r="G560">
        <v>12</v>
      </c>
      <c r="H560">
        <v>9</v>
      </c>
      <c r="K560">
        <v>15</v>
      </c>
      <c r="L560">
        <v>13</v>
      </c>
      <c r="M560">
        <v>2678108.1081081089</v>
      </c>
      <c r="N560">
        <v>5590630.6306306291</v>
      </c>
      <c r="O560">
        <v>12809324.324324325</v>
      </c>
      <c r="P560">
        <v>13568468.468468469</v>
      </c>
      <c r="Q560">
        <v>2590720.7207207219</v>
      </c>
      <c r="R560">
        <v>6634774.7747747721</v>
      </c>
      <c r="S560">
        <v>5535</v>
      </c>
      <c r="T560">
        <v>5522</v>
      </c>
    </row>
    <row r="561" spans="1:20" x14ac:dyDescent="0.35">
      <c r="A561" s="7" t="s">
        <v>650</v>
      </c>
      <c r="B561" s="12" t="s">
        <v>224</v>
      </c>
      <c r="C561">
        <v>53829080.471265189</v>
      </c>
      <c r="D561">
        <v>46384113.33884307</v>
      </c>
      <c r="E561">
        <v>17117.117117116999</v>
      </c>
      <c r="F561">
        <v>13513.513513514001</v>
      </c>
      <c r="G561">
        <v>4</v>
      </c>
      <c r="H561">
        <v>8</v>
      </c>
      <c r="K561">
        <v>4</v>
      </c>
      <c r="L561">
        <v>8</v>
      </c>
      <c r="M561">
        <v>2008108.108108107</v>
      </c>
      <c r="N561">
        <v>824324.32432432403</v>
      </c>
      <c r="O561">
        <v>6810585.5855855849</v>
      </c>
      <c r="P561">
        <v>7317198.1981981993</v>
      </c>
      <c r="Q561">
        <v>1238108.1081081079</v>
      </c>
      <c r="R561">
        <v>1026756.756756757</v>
      </c>
      <c r="S561">
        <v>3090</v>
      </c>
      <c r="T561">
        <v>3089</v>
      </c>
    </row>
    <row r="562" spans="1:20" x14ac:dyDescent="0.35">
      <c r="A562" s="7" t="s">
        <v>651</v>
      </c>
      <c r="B562" s="12" t="s">
        <v>224</v>
      </c>
      <c r="C562">
        <v>197580935.00355658</v>
      </c>
      <c r="D562">
        <v>177409290.42261878</v>
      </c>
      <c r="E562">
        <v>43805283.783783793</v>
      </c>
      <c r="F562">
        <v>2336325.225225227</v>
      </c>
      <c r="G562">
        <v>40</v>
      </c>
      <c r="H562">
        <v>42</v>
      </c>
      <c r="I562">
        <v>2</v>
      </c>
      <c r="K562">
        <v>67</v>
      </c>
      <c r="L562">
        <v>65</v>
      </c>
      <c r="M562">
        <v>28289639.639639646</v>
      </c>
      <c r="N562">
        <v>24636396.396396399</v>
      </c>
      <c r="O562">
        <v>44862855.855855852</v>
      </c>
      <c r="P562">
        <v>46639864.864864863</v>
      </c>
      <c r="Q562">
        <v>19428018.018018022</v>
      </c>
      <c r="R562">
        <v>18362432.432432432</v>
      </c>
      <c r="S562">
        <v>18224</v>
      </c>
      <c r="T562">
        <v>20323</v>
      </c>
    </row>
    <row r="563" spans="1:20" x14ac:dyDescent="0.35">
      <c r="A563" s="7" t="s">
        <v>652</v>
      </c>
      <c r="B563" s="12" t="s">
        <v>224</v>
      </c>
      <c r="C563">
        <v>23577504.709425457</v>
      </c>
      <c r="D563">
        <v>23664773.906277161</v>
      </c>
      <c r="F563">
        <v>13513.513513514001</v>
      </c>
      <c r="G563">
        <v>7</v>
      </c>
      <c r="H563">
        <v>7</v>
      </c>
      <c r="K563">
        <v>10</v>
      </c>
      <c r="L563">
        <v>8</v>
      </c>
      <c r="M563">
        <v>450450.45045045001</v>
      </c>
      <c r="N563">
        <v>13513.513513514001</v>
      </c>
      <c r="O563">
        <v>3433333.333333333</v>
      </c>
      <c r="P563">
        <v>3856540.5405405411</v>
      </c>
      <c r="Q563">
        <v>263333.33333333302</v>
      </c>
      <c r="R563">
        <v>291261.26126126101</v>
      </c>
      <c r="S563">
        <v>1819</v>
      </c>
      <c r="T563">
        <v>1744</v>
      </c>
    </row>
    <row r="564" spans="1:20" x14ac:dyDescent="0.35">
      <c r="A564" s="7" t="s">
        <v>653</v>
      </c>
      <c r="B564" s="12" t="s">
        <v>96</v>
      </c>
      <c r="C564">
        <v>117355395.47273859</v>
      </c>
      <c r="D564">
        <v>111993938.84048042</v>
      </c>
      <c r="E564">
        <v>18018.018018018</v>
      </c>
      <c r="F564">
        <v>94594.594594594993</v>
      </c>
      <c r="G564">
        <v>19</v>
      </c>
      <c r="H564">
        <v>41</v>
      </c>
      <c r="K564">
        <v>24</v>
      </c>
      <c r="L564">
        <v>45</v>
      </c>
      <c r="M564">
        <v>4569369.369369369</v>
      </c>
      <c r="N564">
        <v>3992792.7927927952</v>
      </c>
      <c r="O564">
        <v>14548909.90990991</v>
      </c>
      <c r="P564">
        <v>14815315.315315315</v>
      </c>
      <c r="Q564">
        <v>5044864.8648648644</v>
      </c>
      <c r="R564">
        <v>2617387.3873873898</v>
      </c>
      <c r="S564">
        <v>8832</v>
      </c>
      <c r="T564">
        <v>8617</v>
      </c>
    </row>
    <row r="565" spans="1:20" x14ac:dyDescent="0.35">
      <c r="A565" s="7" t="s">
        <v>654</v>
      </c>
      <c r="B565" s="12" t="s">
        <v>66</v>
      </c>
      <c r="C565">
        <v>67949495.841613933</v>
      </c>
      <c r="D565">
        <v>73478054.690166146</v>
      </c>
      <c r="E565">
        <v>746846.84684684605</v>
      </c>
      <c r="F565">
        <v>885585.58558558603</v>
      </c>
      <c r="G565">
        <v>21</v>
      </c>
      <c r="H565">
        <v>26</v>
      </c>
      <c r="K565">
        <v>24</v>
      </c>
      <c r="L565">
        <v>56</v>
      </c>
      <c r="M565">
        <v>7175945.9459459456</v>
      </c>
      <c r="N565">
        <v>9356306.3063063081</v>
      </c>
      <c r="O565">
        <v>43884414.414414413</v>
      </c>
      <c r="P565">
        <v>45752855.855855852</v>
      </c>
      <c r="Q565">
        <v>7852342.3423423441</v>
      </c>
      <c r="R565">
        <v>11787207.207207208</v>
      </c>
      <c r="S565">
        <v>5520</v>
      </c>
      <c r="T565">
        <v>5335</v>
      </c>
    </row>
    <row r="566" spans="1:20" x14ac:dyDescent="0.35">
      <c r="A566" s="7" t="s">
        <v>655</v>
      </c>
      <c r="B566" s="12" t="s">
        <v>68</v>
      </c>
      <c r="C566">
        <v>116962320.4660289</v>
      </c>
      <c r="D566">
        <v>98192512.820886999</v>
      </c>
      <c r="E566">
        <v>369189.189189189</v>
      </c>
      <c r="F566">
        <v>455855.85585585702</v>
      </c>
      <c r="G566">
        <v>21</v>
      </c>
      <c r="H566">
        <v>11</v>
      </c>
      <c r="K566">
        <v>26</v>
      </c>
      <c r="L566">
        <v>12</v>
      </c>
      <c r="M566">
        <v>7373333.3333333312</v>
      </c>
      <c r="N566">
        <v>5062612.6126126144</v>
      </c>
      <c r="O566">
        <v>16229518.018018017</v>
      </c>
      <c r="P566">
        <v>13835198.198198197</v>
      </c>
      <c r="Q566">
        <v>6051891.8918918939</v>
      </c>
      <c r="R566">
        <v>3574414.4144144161</v>
      </c>
      <c r="S566">
        <v>6738</v>
      </c>
      <c r="T566">
        <v>7024</v>
      </c>
    </row>
    <row r="567" spans="1:20" x14ac:dyDescent="0.35">
      <c r="A567" s="7" t="s">
        <v>14</v>
      </c>
      <c r="B567" s="12" t="s">
        <v>158</v>
      </c>
      <c r="C567">
        <v>51666955.131289423</v>
      </c>
      <c r="D567">
        <v>46412928.868075781</v>
      </c>
      <c r="E567">
        <v>34234.234234235999</v>
      </c>
      <c r="F567">
        <v>657657.65765765903</v>
      </c>
      <c r="G567">
        <v>5</v>
      </c>
      <c r="H567">
        <v>6</v>
      </c>
      <c r="K567">
        <v>5</v>
      </c>
      <c r="L567">
        <v>8</v>
      </c>
      <c r="M567">
        <v>3277477.4774774788</v>
      </c>
      <c r="N567">
        <v>22231531.531531531</v>
      </c>
      <c r="O567">
        <v>16815936.936936937</v>
      </c>
      <c r="P567">
        <v>16307189.189189188</v>
      </c>
      <c r="Q567">
        <v>3117117.1171171172</v>
      </c>
      <c r="R567">
        <v>23780450.45045045</v>
      </c>
      <c r="S567">
        <v>4068</v>
      </c>
      <c r="T567">
        <v>3992</v>
      </c>
    </row>
    <row r="568" spans="1:20" x14ac:dyDescent="0.35">
      <c r="A568" s="7" t="s">
        <v>656</v>
      </c>
      <c r="B568" s="12" t="s">
        <v>304</v>
      </c>
      <c r="C568">
        <v>39838143.94217661</v>
      </c>
      <c r="D568">
        <v>54903976.98966141</v>
      </c>
      <c r="E568">
        <v>10810.810810810999</v>
      </c>
      <c r="F568">
        <v>446846.84684684599</v>
      </c>
      <c r="G568">
        <v>20</v>
      </c>
      <c r="H568">
        <v>9</v>
      </c>
      <c r="K568">
        <v>21</v>
      </c>
      <c r="L568">
        <v>9</v>
      </c>
      <c r="M568">
        <v>7812612.6126126125</v>
      </c>
      <c r="N568">
        <v>10490990.990990993</v>
      </c>
      <c r="O568">
        <v>14782423.423423424</v>
      </c>
      <c r="P568">
        <v>13502261.261261262</v>
      </c>
      <c r="Q568">
        <v>8795405.4054054059</v>
      </c>
      <c r="R568">
        <v>7467027.0270270295</v>
      </c>
      <c r="S568">
        <v>3382</v>
      </c>
      <c r="T568">
        <v>3072</v>
      </c>
    </row>
    <row r="569" spans="1:20" x14ac:dyDescent="0.35">
      <c r="A569" s="7" t="s">
        <v>657</v>
      </c>
      <c r="B569" s="12" t="s">
        <v>48</v>
      </c>
      <c r="C569">
        <v>75038850.811647996</v>
      </c>
      <c r="D569">
        <v>63766135.790926129</v>
      </c>
      <c r="E569">
        <v>283783.78378378402</v>
      </c>
      <c r="F569">
        <v>684684.68468468497</v>
      </c>
      <c r="G569">
        <v>1</v>
      </c>
      <c r="H569">
        <v>7</v>
      </c>
      <c r="K569">
        <v>2</v>
      </c>
      <c r="L569">
        <v>17</v>
      </c>
      <c r="M569">
        <v>4761621.6216216227</v>
      </c>
      <c r="N569">
        <v>12292612.612612613</v>
      </c>
      <c r="O569">
        <v>22088504.504504506</v>
      </c>
      <c r="P569">
        <v>18521117.117117114</v>
      </c>
      <c r="Q569">
        <v>4845315.3153153183</v>
      </c>
      <c r="R569">
        <v>11056036.036036033</v>
      </c>
      <c r="S569">
        <v>3380</v>
      </c>
      <c r="T569">
        <v>3062</v>
      </c>
    </row>
    <row r="570" spans="1:20" x14ac:dyDescent="0.35">
      <c r="A570" s="7" t="s">
        <v>658</v>
      </c>
      <c r="B570" s="12" t="s">
        <v>54</v>
      </c>
      <c r="C570">
        <v>22283004.035973255</v>
      </c>
      <c r="D570">
        <v>21731938.074563768</v>
      </c>
      <c r="E570">
        <v>194594.59459459499</v>
      </c>
      <c r="F570">
        <v>33333.333333333998</v>
      </c>
      <c r="G570">
        <v>2</v>
      </c>
      <c r="K570">
        <v>3</v>
      </c>
      <c r="M570">
        <v>3890090.090090089</v>
      </c>
      <c r="N570">
        <v>1857657.657657658</v>
      </c>
      <c r="O570">
        <v>4655270.2702702712</v>
      </c>
      <c r="P570">
        <v>5062126.1261261264</v>
      </c>
      <c r="Q570">
        <v>2768918.9189189188</v>
      </c>
      <c r="R570">
        <v>1964594.594594595</v>
      </c>
      <c r="S570">
        <v>1564</v>
      </c>
      <c r="T570">
        <v>1559</v>
      </c>
    </row>
    <row r="571" spans="1:20" x14ac:dyDescent="0.35">
      <c r="A571" s="7" t="s">
        <v>659</v>
      </c>
      <c r="B571" s="12" t="s">
        <v>50</v>
      </c>
      <c r="C571">
        <v>99300128.055534497</v>
      </c>
      <c r="D571">
        <v>93477738.113745794</v>
      </c>
      <c r="E571">
        <v>247477.47747747801</v>
      </c>
      <c r="F571">
        <v>158558.55855856001</v>
      </c>
      <c r="G571">
        <v>9</v>
      </c>
      <c r="H571">
        <v>10</v>
      </c>
      <c r="K571">
        <v>11</v>
      </c>
      <c r="L571">
        <v>21</v>
      </c>
      <c r="M571">
        <v>24370810.810810808</v>
      </c>
      <c r="N571">
        <v>17371531.531531528</v>
      </c>
      <c r="O571">
        <v>47321936.936936937</v>
      </c>
      <c r="P571">
        <v>44513819.819819815</v>
      </c>
      <c r="Q571">
        <v>24714864.864864863</v>
      </c>
      <c r="R571">
        <v>15629189.189189186</v>
      </c>
      <c r="S571">
        <v>5960</v>
      </c>
      <c r="T571">
        <v>5801</v>
      </c>
    </row>
    <row r="572" spans="1:20" x14ac:dyDescent="0.35">
      <c r="A572" s="7" t="s">
        <v>660</v>
      </c>
      <c r="B572" s="12" t="s">
        <v>83</v>
      </c>
      <c r="C572">
        <v>112125194.53571458</v>
      </c>
      <c r="D572">
        <v>118137167.33241843</v>
      </c>
      <c r="E572">
        <v>333423.42342342401</v>
      </c>
      <c r="F572">
        <v>895495.49549549702</v>
      </c>
      <c r="G572">
        <v>24</v>
      </c>
      <c r="H572">
        <v>32</v>
      </c>
      <c r="I572">
        <v>2</v>
      </c>
      <c r="K572">
        <v>35</v>
      </c>
      <c r="L572">
        <v>39</v>
      </c>
      <c r="M572">
        <v>8454144.144144142</v>
      </c>
      <c r="N572">
        <v>36545495.495495498</v>
      </c>
      <c r="O572">
        <v>25995522.522522524</v>
      </c>
      <c r="P572">
        <v>30921846.846846849</v>
      </c>
      <c r="Q572">
        <v>7683333.3333333312</v>
      </c>
      <c r="R572">
        <v>10270090.090090092</v>
      </c>
      <c r="S572">
        <v>8698</v>
      </c>
      <c r="T572">
        <v>8975</v>
      </c>
    </row>
    <row r="573" spans="1:20" x14ac:dyDescent="0.35">
      <c r="A573" s="14" t="s">
        <v>670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670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2026-09-09T01:09:19Z</dcterms:modified>
</cp:coreProperties>
</file>