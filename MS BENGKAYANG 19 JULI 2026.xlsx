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6" i="1"/>
  <c r="W13" i="1" l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<sst xmlns="http://schemas.openxmlformats.org/spreadsheetml/2006/main" count="1233" uniqueCount="672">
  <si>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</si>
  <si>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</si>
  <si>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</si>
  <si>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</si>
  <si>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</si>
  <si>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</si>
  <si>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</si>
  <si>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</si>
  <si>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</si>
  <si>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</si>
  <si>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</si>
  <si>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</si>
  <si>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</si>
  <si>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</si>
  <si>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</si>
  <si>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</si>
  <si>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</si>
  <si>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</si>
  <si>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</si>
  <si>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</si>
  <si>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</si>
  <si>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</si>
  <si>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</si>
  <si>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</si>
  <si>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</si>
  <si>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</si>
  <si>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</si>
  <si>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</si>
  <si>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</si>
  <si>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</si>
  <si>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</si>
  <si>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</si>
  <si>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</si>
  <si>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</si>
  <si>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</si>
  <si>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</si>
  <si>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</si>
  <si>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</si>
  <si>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</si>
  <si>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</si>
  <si>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</si>
  <si>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</si>
  <si>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</si>
  <si>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</si>
  <si>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</si>
  <si>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</si>
  <si>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</si>
  <si>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</si>
  <si>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</si>
  <si>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</si>
  <si>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</si>
  <si>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</si>
  <si>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</si>
  <si>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</si>
  <si>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</si>
  <si>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</si>
  <si>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</si>
  <si>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</si>
  <si>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</si>
  <si>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</si>
  <si>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</si>
  <si>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</si>
  <si>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</si>
  <si>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</si>
  <si>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</si>
  <si>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</si>
  <si>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</si>
  <si>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</si>
  <si>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</si>
  <si>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</si>
  <si>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</si>
  <si>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</si>
  <si>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</si>
  <si>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</si>
  <si>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</si>
  <si>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</si>
  <si>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</si>
  <si>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</si>
  <si>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</si>
  <si>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</si>
  <si>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</si>
  <si>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</si>
  <si>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</si>
  <si>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</si>
  <si>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</si>
  <si>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</si>
  <si>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</si>
  <si>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</si>
  <si>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</si>
  <si>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</si>
  <si>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</si>
  <si>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</si>
  <si>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</si>
  <si>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</si>
  <si>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</si>
  <si>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</si>
  <si>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</si>
  <si>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</si>
  <si>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</si>
  <si>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</si>
  <si>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</si>
  <si>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</si>
  <si>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</si>
  <si>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</si>
  <si>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</si>
  <si>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</si>
  <si>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</si>
  <si>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</si>
  <si>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</si>
  <si>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</si>
  <si>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</si>
  <si>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</si>
  <si>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</si>
  <si>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</si>
  <si>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</si>
  <si>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</si>
  <si>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</si>
  <si>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</si>
  <si>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</si>
  <si>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</si>
  <si>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</si>
  <si>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</si>
  <si>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</si>
  <si>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</si>
  <si>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</si>
  <si>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</si>
  <si>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</si>
  <si>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</si>
  <si>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</si>
  <si>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</si>
  <si>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</si>
  <si>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</si>
  <si>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</si>
  <si>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</si>
  <si>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</si>
  <si>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</si>
  <si>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</si>
  <si>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</si>
  <si>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</si>
  <si>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</si>
  <si>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</si>
  <si>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</si>
  <si>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</si>
  <si>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</si>
  <si>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</si>
  <si>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</si>
  <si>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</si>
  <si>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</si>
  <si>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</si>
  <si>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</si>
  <si>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</si>
  <si>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</si>
  <si>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</si>
  <si>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</si>
  <si>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</si>
  <si>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</si>
  <si>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</si>
  <si>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</si>
  <si>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</si>
  <si>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</si>
  <si>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</si>
  <si>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</si>
  <si>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</si>
  <si>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</si>
  <si>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</si>
  <si>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</si>
  <si>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</si>
  <si>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</si>
  <si>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</si>
  <si>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</si>
  <si>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</si>
  <si>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</si>
  <si>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</si>
  <si>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</si>
  <si>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</si>
  <si>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</si>
  <si>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</si>
  <si>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</si>
  <si>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</si>
  <si>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</si>
  <si>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</si>
  <si>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</si>
  <si>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</si>
  <si>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</si>
  <si>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</si>
  <si>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</si>
  <si>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</si>
  <si>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</si>
  <si>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</si>
  <si>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</si>
  <si>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</si>
  <si>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</si>
  <si>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</si>
  <si>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</si>
  <si>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</si>
  <si>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</si>
  <si>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</si>
  <si>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</si>
  <si>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</si>
  <si>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</si>
  <si>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</si>
  <si>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</si>
  <si>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</si>
  <si>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</si>
  <si>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</si>
  <si>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</si>
  <si>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</si>
  <si>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</si>
  <si>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</si>
  <si>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</si>
  <si>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</si>
  <si>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</si>
  <si>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</si>
  <si>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</si>
  <si>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</si>
  <si>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</si>
  <si>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</si>
  <si>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</si>
  <si>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</si>
  <si>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</si>
  <si>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</si>
  <si>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</si>
  <si>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</si>
  <si>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</si>
  <si>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</si>
  <si>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</si>
  <si>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</si>
  <si>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</si>
  <si>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</si>
  <si>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</si>
  <si>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</si>
  <si>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</si>
  <si>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</si>
  <si>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</si>
  <si>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</si>
  <si>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</si>
  <si>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</si>
  <si>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</si>
  <si>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</si>
  <si>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</si>
  <si>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</si>
  <si>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</si>
  <si>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</si>
  <si>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</si>
  <si>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</si>
  <si>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</si>
  <si>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</si>
  <si>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</si>
  <si>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</si>
  <si>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</si>
  <si>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</si>
  <si>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</si>
  <si>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</si>
  <si>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</si>
  <si>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</si>
  <si>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</si>
  <si>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</si>
  <si>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</si>
  <si>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</si>
  <si>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</si>
  <si>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</si>
  <si>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</si>
  <si>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</si>
  <si>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</si>
  <si>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</si>
  <si>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</si>
  <si>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</si>
  <si>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</si>
  <si>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</si>
  <si>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</si>
  <si>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</si>
  <si>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</si>
  <si>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</si>
  <si>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</si>
  <si>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</si>
  <si>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</si>
  <si>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</si>
  <si>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</si>
  <si>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</si>
  <si>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</si>
  <si>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</si>
  <si>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</si>
  <si>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</si>
  <si>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</si>
  <si>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</si>
  <si>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</si>
  <si>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</si>
  <si>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</si>
  <si>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</si>
  <si>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</si>
  <si>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</si>
  <si>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</si>
  <si>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</si>
  <si>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</si>
  <si>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</si>
  <si>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</si>
  <si>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</si>
  <si>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</si>
  <si>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</si>
  <si>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</si>
  <si>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</si>
  <si>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</si>
  <si>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</si>
  <si>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</si>
  <si>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</si>
  <si>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</si>
  <si>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</si>
  <si>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</si>
  <si>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</si>
  <si>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</si>
  <si>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</si>
  <si>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</si>
  <si>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</si>
  <si>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</si>
  <si>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</si>
  <si>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</si>
  <si>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</si>
  <si>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</si>
  <si>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</si>
  <si>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</si>
  <si>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</si>
  <si>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</si>
  <si>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</si>
  <si>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</si>
  <si>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</si>
  <si>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</si>
  <si>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</si>
  <si>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</si>
  <si>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</si>
  <si>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</si>
  <si>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</si>
  <si>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</si>
  <si>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</si>
  <si>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</si>
  <si>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</si>
  <si>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</si>
  <si>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</si>
  <si>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</si>
  <si>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</si>
  <si>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</si>
  <si>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</si>
  <si>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</si>
  <si>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</si>
  <si>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</si>
  <si>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</si>
  <si>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</si>
  <si>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</si>
  <si>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</si>
  <si>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</si>
  <si>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</si>
  <si>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</si>
  <si>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</si>
  <si>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</si>
  <si>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</si>
  <si>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</si>
  <si>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</si>
  <si>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</si>
  <si>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</si>
  <si>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</si>
  <si>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</si>
  <si>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</si>
  <si>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</si>
  <si>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</si>
  <si>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</si>
  <si>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</si>
  <si>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</si>
  <si>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</si>
  <si>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</si>
  <si>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</si>
  <si>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</si>
  <si>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</si>
  <si>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</si>
  <si>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</si>
  <si>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</si>
  <si>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</si>
  <si>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</si>
  <si>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</si>
  <si>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</si>
  <si>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</si>
  <si>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</si>
  <si>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</si>
  <si>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</si>
  <si>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</si>
  <si>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</si>
  <si>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</si>
  <si>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</si>
  <si>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</si>
  <si>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</si>
  <si>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</si>
  <si>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</si>
  <si>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</si>
  <si>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</si>
  <si>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</si>
  <si>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</si>
  <si>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</si>
  <si>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</si>
  <si>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</si>
  <si>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</si>
  <si>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</si>
  <si>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</si>
  <si>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</si>
  <si>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</si>
  <si>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</si>
  <si>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</si>
  <si>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</si>
  <si>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</si>
  <si>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</si>
  <si>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</si>
  <si>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</si>
  <si>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</si>
  <si>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</si>
  <si>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</si>
  <si>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</si>
  <si>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</si>
  <si>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</si>
  <si>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</si>
  <si>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</si>
  <si>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</si>
  <si>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</si>
  <si>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</si>
  <si>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</si>
  <si>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</si>
  <si>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</si>
  <si>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</si>
  <si>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</si>
  <si>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</si>
  <si>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</si>
  <si>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</si>
  <si>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</si>
  <si>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</si>
  <si>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</si>
  <si>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</si>
  <si>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</si>
  <si>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</si>
  <si>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</si>
  <si>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</si>
  <si>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</si>
  <si>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</si>
  <si>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</si>
  <si>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</si>
  <si>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</si>
  <si>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</si>
  <si>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</si>
  <si>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</si>
  <si>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</si>
  <si>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</si>
  <si>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</si>
  <si>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</si>
  <si>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</si>
  <si>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</si>
  <si>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</si>
  <si>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</si>
  <si>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</si>
  <si>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</si>
  <si>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</si>
  <si>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</si>
  <si>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</si>
  <si>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</si>
  <si>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</si>
  <si>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</si>
  <si>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</si>
  <si>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</si>
  <si>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</si>
  <si>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</si>
  <si>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</si>
  <si>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</si>
  <si>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</si>
  <si>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</si>
  <si>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</si>
  <si>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</si>
  <si>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</si>
  <si>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</si>
  <si>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</si>
  <si>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</si>
  <si>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</si>
  <si>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</si>
  <si>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</si>
  <si>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</si>
  <si>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</si>
  <si>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</si>
  <si>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</si>
  <si>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</si>
  <si>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</si>
  <si>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</si>
  <si>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</si>
  <si>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</si>
  <si>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</si>
  <si>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</si>
  <si>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</si>
  <si>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</si>
  <si>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</si>
  <si>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</si>
  <si>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</si>
  <si>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</si>
  <si>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</si>
  <si>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</si>
  <si>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</si>
  <si>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</si>
  <si>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</si>
  <si>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</si>
  <si>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</si>
  <si>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</si>
  <si>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</si>
  <si>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</si>
  <si>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</si>
  <si>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</si>
  <si>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</si>
  <si>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</si>
  <si>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</si>
  <si>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</si>
  <si>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</si>
  <si>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</si>
  <si>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</si>
  <si>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</si>
  <si>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</si>
  <si>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</si>
  <si>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</si>
  <si>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</si>
  <si>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</si>
  <si>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</si>
  <si>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</si>
  <si>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</si>
  <si>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</si>
  <si>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</si>
  <si>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</si>
  <si>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</si>
  <si>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</si>
  <si>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</si>
  <si>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</si>
  <si>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</si>
  <si>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</si>
  <si>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</si>
  <si>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</si>
  <si>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</si>
  <si>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</si>
  <si>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</si>
  <si>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</si>
  <si>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</si>
  <si>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</si>
  <si>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</si>
  <si>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</si>
  <si>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</si>
  <si>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</si>
  <si>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</si>
  <si>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</si>
  <si>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</si>
  <si>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</si>
  <si>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</si>
  <si>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</si>
  <si>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</si>
  <si>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</si>
  <si>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</si>
  <si>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</si>
  <si>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</si>
  <si>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</si>
  <si>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</si>
  <si>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</si>
  <si>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</si>
  <si>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</si>
  <si>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</si>
  <si>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</si>
  <si>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</si>
  <si>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</si>
  <si>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</si>
  <si>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</si>
  <si>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</si>
  <si>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</si>
  <si>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</si>
  <si>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</si>
  <si>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</si>
  <si>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</si>
  <si>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</si>
  <si>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</si>
  <si>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</si>
  <si>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</si>
  <si>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</si>
  <si>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</si>
  <si>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</si>
  <si>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</si>
  <si>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</si>
  <si>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</si>
  <si>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</si>
  <si>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</si>
  <si>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</si>
  <si>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</si>
  <si>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</si>
  <si>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</si>
  <si>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</si>
  <si>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</si>
  <si>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</si>
  <si>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</si>
  <si>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</si>
  <si>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</si>
  <si>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</si>
  <si>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</si>
  <si>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</si>
  <si>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</si>
  <si>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</si>
  <si>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</si>
  <si>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</si>
  <si>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</si>
  <si>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</si>
  <si>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</si>
  <si>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</si>
  <si>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</si>
  <si>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</si>
  <si>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</si>
  <si>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</si>
  <si>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</si>
  <si>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</si>
  <si>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</si>
  <si>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</si>
  <si>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</si>
  <si>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</si>
  <si>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</si>
  <si>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</si>
  <si>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</si>
  <si>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</si>
  <si>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</si>
  <si>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</si>
  <si>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</si>
  <si>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</si>
  <si>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</si>
  <si>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</si>
  <si>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</si>
  <si>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</si>
  <si>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</si>
  <si>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</si>
  <si>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</si>
  <si>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</si>
  <si>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</si>
  <si>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</si>
  <si>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</si>
  <si>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</si>
  <si>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</si>
  <si>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</si>
  <si>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</si>
  <si>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</si>
  <si>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</si>
  <si>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</si>
  <si>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</si>
  <si>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</si>
  <si>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</si>
  <si>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</si>
  <si>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</si>
  <si>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</si>
  <si>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</si>
  <si>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</si>
  <si>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</si>
  <si>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</si>
  <si>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</si>
  <si>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</si>
  <si>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</si>
  <si>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</si>
  <si>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</si>
  <si>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</si>
  <si>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</si>
  <si>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</si>
  <si>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</si>
  <si>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</si>
  <si>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</si>
  <si>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</si>
  <si>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</si>
  <si>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</si>
  <si>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</si>
  <si>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Total</t>
  </si>
  <si>
    <t>RUNGAN BARAT|GUNUNG MAS</t>
  </si>
  <si>
    <t>TANJUNG PALAS BARAT|BULUNGAN</t>
  </si>
  <si>
    <t>KAYAN HILIR|MALINAU</t>
  </si>
  <si>
    <t>MERANTI|LANDAK</t>
  </si>
  <si>
    <t>PAMINGGIR|HULU SUNGAI UTARA</t>
  </si>
  <si>
    <t>PINOH SELATAN|MELAWI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</si>
</sst>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0" fontId="0" fillId="0" borderId="4" xfId="0" applyBorder="1" applyAlignment="1"/>
    <xf numFmtId="0" fontId="7" fillId="0" borderId="0" xfId="0" applyFont="1"/>
  </cellXfs>
  <cellStyles count="2">
    <cellStyle name="Normal" xfId="0" builtinId="0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W22"/>
  <sheetViews>
    <sheetView zoomScale="44" workbookViewId="0">
      <pane xSplit="1" ySplit="5" topLeftCell="Q18" activePane="bottomRight" state="frozen"/>
      <selection pane="topRight" activeCell="B1" sqref="B1"/>
      <selection pane="bottomLeft" activeCell="A6" sqref="A6"/>
      <selection pane="bottomRight" activeCell="A5" sqref="A5:W22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16384" width="11.7265625" style="2"/>
  </cols>
  <sheetData>
    <row r="4" spans="1:23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3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662</v>
      </c>
      <c r="V5" s="3" t="s">
        <v>663</v>
      </c>
      <c r="W5" s="3" t="s">
        <v>33</v>
      </c>
    </row>
    <row r="6" spans="1:23" ht="64.5" customHeight="1" x14ac:dyDescent="0.35">
      <c r="A6" s="10" t="s">
        <v>1</v>
      </c>
      <c r="B6" s="1" t="s">
        <v>16</v>
      </c>
      <c r="C6" s="4">
        <f>IFERROR(VLOOKUP($A:$A,MASTER!$A:$T,3,0),0)</f>
        <v>225909308.90181988</v>
      </c>
      <c r="D6" s="4">
        <f>IFERROR(VLOOKUP($A:$A,MASTER!$A:$T,4,0),0)</f>
        <v>216924853.54059473</v>
      </c>
      <c r="E6" s="9">
        <f>IFERROR(C6/D6-1,0)</f>
        <v>4.1417362808286118E-2</v>
      </c>
      <c r="F6" s="4">
        <f>IFERROR(VLOOKUP(A:A,MASTER!A:E,5,0),0)</f>
        <v>420270.27027027297</v>
      </c>
      <c r="G6" s="4">
        <f>IFERROR(VLOOKUP(A:A,MASTER!A:F,6,0),0)</f>
        <v>1265765.765765768</v>
      </c>
      <c r="H6" s="9">
        <f>IFERROR(F6/G6-1,0)</f>
        <v>-0.66797153024910871</v>
      </c>
      <c r="I6" s="4">
        <f>IFERROR(VLOOKUP(A:A,MASTER!A:M,13,0),0)</f>
        <v>17879369.369369373</v>
      </c>
      <c r="J6" s="4">
        <f>IFERROR(VLOOKUP($A:$A,MASTER!$A:$T,14,0),0)</f>
        <v>31521531.531531528</v>
      </c>
      <c r="K6" s="9">
        <f>IFERROR(I6/J6-1,0)</f>
        <v>-0.43278868441134166</v>
      </c>
      <c r="L6" s="4">
        <f>IFERROR(VLOOKUP($A:$A,MASTER!$A:$T,15,0),0)</f>
        <v>108178962.16216215</v>
      </c>
      <c r="M6" s="4">
        <f>IFERROR(VLOOKUP($A:$A,MASTER!$A:$T,16,0),0)</f>
        <v>103750468.46846846</v>
      </c>
      <c r="N6" s="9">
        <f>IFERROR(L6/M6-1,0)</f>
        <v>4.2684083831771691E-2</v>
      </c>
      <c r="O6" s="4">
        <f>IFERROR(VLOOKUP($A:$A,MASTER!$A:$T,17,0),0)</f>
        <v>18810720.72072072</v>
      </c>
      <c r="P6" s="4">
        <f>IFERROR(VLOOKUP($A:$A,MASTER!$A:$T,18,0),0)</f>
        <v>28887927.927927922</v>
      </c>
      <c r="Q6" s="9">
        <f>IFERROR(O6/P6-1,0)</f>
        <v>-0.34883800708547474</v>
      </c>
      <c r="R6" s="4">
        <f>IFERROR(VLOOKUP($A:$A,MASTER!$A:$T,19,0),0)</f>
        <v>8178</v>
      </c>
      <c r="S6" s="4">
        <f>IFERROR(VLOOKUP($A:$A,MASTER!$A:$T,20,0),0)</f>
        <v>8179</v>
      </c>
      <c r="T6" s="9">
        <f>IFERROR(R6/S6-1,0)</f>
        <v>-1.2226433549333837E-4</v>
      </c>
      <c r="U6" s="13">
        <f>IFERROR(VLOOKUP(A:A,MASTER!A:K,11,0),0)</f>
        <v>355</v>
      </c>
      <c r="V6" s="13">
        <f>IFERROR(VLOOKUP(A:A,MASTER!A:L,12,0),0)</f>
        <v>136</v>
      </c>
      <c r="W6" s="9">
        <f>IFERROR(U6/V6-1,0)</f>
        <v>1.6102941176470589</v>
      </c>
    </row>
    <row r="7" spans="1:23" ht="64.5" customHeight="1" x14ac:dyDescent="0.35">
      <c r="A7" s="10" t="s">
        <v>2</v>
      </c>
      <c r="B7" s="1" t="s">
        <v>17</v>
      </c>
      <c r="C7" s="4">
        <f>IFERROR(VLOOKUP($A:$A,MASTER!$A:$T,3,0),0)</f>
        <v>26970696.540104352</v>
      </c>
      <c r="D7" s="4">
        <f>IFERROR(VLOOKUP($A:$A,MASTER!$A:$T,4,0),0)</f>
        <v>17549914.722498216</v>
      </c>
      <c r="E7" s="9">
        <f t="shared" ref="E7:E22" si="0">IFERROR(C7/D7-1,0)</f>
        <v>0.53679929313440544</v>
      </c>
      <c r="F7" s="4">
        <f>IFERROR(VLOOKUP(A:A,MASTER!A:E,5,0),0)</f>
        <v>16216.216216215</v>
      </c>
      <c r="G7" s="4">
        <f>IFERROR(VLOOKUP(A:A,MASTER!A:F,6,0),0)</f>
        <v>40540.540540542002</v>
      </c>
      <c r="H7" s="9">
        <f t="shared" ref="H7:H22" si="1">IFERROR(F7/G7-1,0)</f>
        <v>-0.6000000000000445</v>
      </c>
      <c r="I7" s="4">
        <f>IFERROR(VLOOKUP(A:A,MASTER!A:M,13,0),0)</f>
        <v>217567.56756756699</v>
      </c>
      <c r="J7" s="4">
        <f>IFERROR(VLOOKUP($A:$A,MASTER!$A:$T,14,0),0)</f>
        <v>40540.540540542002</v>
      </c>
      <c r="K7" s="9">
        <f t="shared" ref="K7:K22" si="2">IFERROR(I7/J7-1,0)</f>
        <v>4.3666666666664593</v>
      </c>
      <c r="L7" s="4">
        <f>IFERROR(VLOOKUP($A:$A,MASTER!$A:$T,15,0),0)</f>
        <v>13876891.891891891</v>
      </c>
      <c r="M7" s="4">
        <f>IFERROR(VLOOKUP($A:$A,MASTER!$A:$T,16,0),0)</f>
        <v>10688378.378378378</v>
      </c>
      <c r="N7" s="9">
        <f t="shared" ref="N7:N22" si="3">IFERROR(L7/M7-1,0)</f>
        <v>0.2983159278832781</v>
      </c>
      <c r="O7" s="4">
        <f>IFERROR(VLOOKUP($A:$A,MASTER!$A:$T,17,0),0)</f>
        <v>201351.35135135101</v>
      </c>
      <c r="P7" s="4">
        <f>IFERROR(VLOOKUP($A:$A,MASTER!$A:$T,18,0),0)</f>
        <v>157657.65765765801</v>
      </c>
      <c r="Q7" s="9">
        <f t="shared" ref="Q7:Q22" si="4">IFERROR(O7/P7-1,0)</f>
        <v>0.27714285714285203</v>
      </c>
      <c r="R7" s="4">
        <f>IFERROR(VLOOKUP($A:$A,MASTER!$A:$T,19,0),0)</f>
        <v>1265</v>
      </c>
      <c r="S7" s="4">
        <f>IFERROR(VLOOKUP($A:$A,MASTER!$A:$T,20,0),0)</f>
        <v>1196</v>
      </c>
      <c r="T7" s="9">
        <f t="shared" ref="T7:T22" si="5">IFERROR(R7/S7-1,0)</f>
        <v>5.7692307692307709E-2</v>
      </c>
      <c r="U7" s="13">
        <f>IFERROR(VLOOKUP(A:A,MASTER!A:K,11,0),0)</f>
        <v>6</v>
      </c>
      <c r="V7" s="13">
        <f>IFERROR(VLOOKUP(A:A,MASTER!A:L,12,0),0)</f>
        <v>3</v>
      </c>
      <c r="W7" s="9">
        <f t="shared" ref="W7:W22" si="6">IFERROR(U7/V7-1,0)</f>
        <v>1</v>
      </c>
    </row>
    <row r="8" spans="1:23" ht="64.5" customHeight="1" x14ac:dyDescent="0.35">
      <c r="A8" s="10" t="s">
        <v>3</v>
      </c>
      <c r="B8" s="1" t="s">
        <v>16</v>
      </c>
      <c r="C8" s="4">
        <f>IFERROR(VLOOKUP($A:$A,MASTER!$A:$T,3,0),0)</f>
        <v>167438008.89197138</v>
      </c>
      <c r="D8" s="4">
        <f>IFERROR(VLOOKUP($A:$A,MASTER!$A:$T,4,0),0)</f>
        <v>161399113.79009315</v>
      </c>
      <c r="E8" s="9">
        <f t="shared" si="0"/>
        <v>3.7415912393001571E-2</v>
      </c>
      <c r="F8" s="4">
        <f>IFERROR(VLOOKUP(A:A,MASTER!A:E,5,0),0)</f>
        <v>1522972.9729729739</v>
      </c>
      <c r="G8" s="4">
        <f>IFERROR(VLOOKUP(A:A,MASTER!A:F,6,0),0)</f>
        <v>2516216.2162162201</v>
      </c>
      <c r="H8" s="9">
        <f t="shared" si="1"/>
        <v>-0.39473684210526372</v>
      </c>
      <c r="I8" s="4">
        <f>IFERROR(VLOOKUP(A:A,MASTER!A:M,13,0),0)</f>
        <v>31008558.558558561</v>
      </c>
      <c r="J8" s="4">
        <f>IFERROR(VLOOKUP($A:$A,MASTER!$A:$T,14,0),0)</f>
        <v>33591891.891891897</v>
      </c>
      <c r="K8" s="9">
        <f t="shared" si="2"/>
        <v>-7.6903478424115712E-2</v>
      </c>
      <c r="L8" s="4">
        <f>IFERROR(VLOOKUP($A:$A,MASTER!$A:$T,15,0),0)</f>
        <v>41841126.126126125</v>
      </c>
      <c r="M8" s="4">
        <f>IFERROR(VLOOKUP($A:$A,MASTER!$A:$T,16,0),0)</f>
        <v>46776576.576576576</v>
      </c>
      <c r="N8" s="9">
        <f t="shared" si="3"/>
        <v>-0.10551115134239819</v>
      </c>
      <c r="O8" s="4">
        <f>IFERROR(VLOOKUP($A:$A,MASTER!$A:$T,17,0),0)</f>
        <v>30716846.846846849</v>
      </c>
      <c r="P8" s="4">
        <f>IFERROR(VLOOKUP($A:$A,MASTER!$A:$T,18,0),0)</f>
        <v>33815225.225225225</v>
      </c>
      <c r="Q8" s="9">
        <f t="shared" si="4"/>
        <v>-9.1626726060279884E-2</v>
      </c>
      <c r="R8" s="4">
        <f>IFERROR(VLOOKUP($A:$A,MASTER!$A:$T,19,0),0)</f>
        <v>3651</v>
      </c>
      <c r="S8" s="4">
        <f>IFERROR(VLOOKUP($A:$A,MASTER!$A:$T,20,0),0)</f>
        <v>3612</v>
      </c>
      <c r="T8" s="9">
        <f t="shared" si="5"/>
        <v>1.0797342192691017E-2</v>
      </c>
      <c r="U8" s="13">
        <f>IFERROR(VLOOKUP(A:A,MASTER!A:K,11,0),0)</f>
        <v>27</v>
      </c>
      <c r="V8" s="13">
        <f>IFERROR(VLOOKUP(A:A,MASTER!A:L,12,0),0)</f>
        <v>30</v>
      </c>
      <c r="W8" s="9">
        <f t="shared" si="6"/>
        <v>-9.9999999999999978E-2</v>
      </c>
    </row>
    <row r="9" spans="1:23" ht="64.5" customHeight="1" x14ac:dyDescent="0.35">
      <c r="A9" s="10" t="s">
        <v>4</v>
      </c>
      <c r="B9" s="1" t="s">
        <v>16</v>
      </c>
      <c r="C9" s="4">
        <f>IFERROR(VLOOKUP($A:$A,MASTER!$A:$T,3,0),0)</f>
        <v>98598809.284328848</v>
      </c>
      <c r="D9" s="4">
        <f>IFERROR(VLOOKUP($A:$A,MASTER!$A:$T,4,0),0)</f>
        <v>97933240.791251123</v>
      </c>
      <c r="E9" s="9">
        <f t="shared" si="0"/>
        <v>6.7961448809441549E-3</v>
      </c>
      <c r="F9" s="4">
        <f>IFERROR(VLOOKUP(A:A,MASTER!A:E,5,0),0)</f>
        <v>499421834.23423421</v>
      </c>
      <c r="G9" s="4">
        <f>IFERROR(VLOOKUP(A:A,MASTER!A:F,6,0),0)</f>
        <v>615126279.27927923</v>
      </c>
      <c r="H9" s="9">
        <f t="shared" si="1"/>
        <v>-0.18809868630651194</v>
      </c>
      <c r="I9" s="4">
        <f>IFERROR(VLOOKUP(A:A,MASTER!A:M,13,0),0)</f>
        <v>37353968.468468472</v>
      </c>
      <c r="J9" s="4">
        <f>IFERROR(VLOOKUP($A:$A,MASTER!$A:$T,14,0),0)</f>
        <v>65645045.045045048</v>
      </c>
      <c r="K9" s="9">
        <f t="shared" si="2"/>
        <v>-0.43097048005928684</v>
      </c>
      <c r="L9" s="4">
        <f>IFERROR(VLOOKUP($A:$A,MASTER!$A:$T,15,0),0)</f>
        <v>36103378.378378376</v>
      </c>
      <c r="M9" s="4">
        <f>IFERROR(VLOOKUP($A:$A,MASTER!$A:$T,16,0),0)</f>
        <v>34188693.693693697</v>
      </c>
      <c r="N9" s="9">
        <f t="shared" si="3"/>
        <v>5.6003446690268133E-2</v>
      </c>
      <c r="O9" s="4">
        <f>IFERROR(VLOOKUP($A:$A,MASTER!$A:$T,17,0),0)</f>
        <v>15154324.324324325</v>
      </c>
      <c r="P9" s="4">
        <f>IFERROR(VLOOKUP($A:$A,MASTER!$A:$T,18,0),0)</f>
        <v>24883783.783783782</v>
      </c>
      <c r="Q9" s="9">
        <f t="shared" si="4"/>
        <v>-0.39099598131856195</v>
      </c>
      <c r="R9" s="4">
        <f>IFERROR(VLOOKUP($A:$A,MASTER!$A:$T,19,0),0)</f>
        <v>3604</v>
      </c>
      <c r="S9" s="4">
        <f>IFERROR(VLOOKUP($A:$A,MASTER!$A:$T,20,0),0)</f>
        <v>3570</v>
      </c>
      <c r="T9" s="9">
        <f t="shared" si="5"/>
        <v>9.52380952380949E-3</v>
      </c>
      <c r="U9" s="13">
        <f>IFERROR(VLOOKUP(A:A,MASTER!A:K,11,0),0)</f>
        <v>11</v>
      </c>
      <c r="V9" s="13">
        <f>IFERROR(VLOOKUP(A:A,MASTER!A:L,12,0),0)</f>
        <v>8</v>
      </c>
      <c r="W9" s="9">
        <f t="shared" si="6"/>
        <v>0.375</v>
      </c>
    </row>
    <row r="10" spans="1:23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16666666.666666668</v>
      </c>
      <c r="G10" s="4">
        <f>IFERROR(VLOOKUP(A:A,MASTER!A:F,6,0),0)</f>
        <v>18108108.108108107</v>
      </c>
      <c r="H10" s="9">
        <f t="shared" si="1"/>
        <v>-7.9601990049751103E-2</v>
      </c>
      <c r="I10" s="4">
        <f>IFERROR(VLOOKUP(A:A,MASTER!A:M,13,0),0)</f>
        <v>523198.19819819799</v>
      </c>
      <c r="J10" s="4">
        <f>IFERROR(VLOOKUP($A:$A,MASTER!$A:$T,14,0),0)</f>
        <v>440540.540540541</v>
      </c>
      <c r="K10" s="9">
        <f t="shared" si="2"/>
        <v>0.18762781186093891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  <c r="U10" s="13">
        <f>IFERROR(VLOOKUP(A:A,MASTER!A:K,11,0),0)</f>
        <v>0</v>
      </c>
      <c r="V10" s="13">
        <f>IFERROR(VLOOKUP(A:A,MASTER!A:L,12,0),0)</f>
        <v>0</v>
      </c>
      <c r="W10" s="9">
        <f t="shared" si="6"/>
        <v>0</v>
      </c>
    </row>
    <row r="11" spans="1:23" ht="64.5" customHeight="1" x14ac:dyDescent="0.35">
      <c r="A11" s="10" t="s">
        <v>5</v>
      </c>
      <c r="B11" s="1" t="s">
        <v>16</v>
      </c>
      <c r="C11" s="4">
        <f>IFERROR(VLOOKUP($A:$A,MASTER!$A:$T,3,0),0)</f>
        <v>95687851.178230345</v>
      </c>
      <c r="D11" s="4">
        <f>IFERROR(VLOOKUP($A:$A,MASTER!$A:$T,4,0),0)</f>
        <v>104448780.247059</v>
      </c>
      <c r="E11" s="9">
        <f t="shared" si="0"/>
        <v>-8.3877753747874317E-2</v>
      </c>
      <c r="F11" s="4">
        <f>IFERROR(VLOOKUP(A:A,MASTER!A:E,5,0),0)</f>
        <v>1286936.936936937</v>
      </c>
      <c r="G11" s="4">
        <f>IFERROR(VLOOKUP(A:A,MASTER!A:F,6,0),0)</f>
        <v>156756.75675675701</v>
      </c>
      <c r="H11" s="9">
        <f t="shared" si="1"/>
        <v>7.2097701149425166</v>
      </c>
      <c r="I11" s="4">
        <f>IFERROR(VLOOKUP(A:A,MASTER!A:M,13,0),0)</f>
        <v>6415945.9459459446</v>
      </c>
      <c r="J11" s="4">
        <f>IFERROR(VLOOKUP($A:$A,MASTER!$A:$T,14,0),0)</f>
        <v>8091891.8918918902</v>
      </c>
      <c r="K11" s="9">
        <f t="shared" si="2"/>
        <v>-0.20711422845691385</v>
      </c>
      <c r="L11" s="4">
        <f>IFERROR(VLOOKUP($A:$A,MASTER!$A:$T,15,0),0)</f>
        <v>42826216.216216214</v>
      </c>
      <c r="M11" s="4">
        <f>IFERROR(VLOOKUP($A:$A,MASTER!$A:$T,16,0),0)</f>
        <v>43144108.108108111</v>
      </c>
      <c r="N11" s="9">
        <f t="shared" si="3"/>
        <v>-7.3681414643070875E-3</v>
      </c>
      <c r="O11" s="4">
        <f>IFERROR(VLOOKUP($A:$A,MASTER!$A:$T,17,0),0)</f>
        <v>5231711.7117117122</v>
      </c>
      <c r="P11" s="4">
        <f>IFERROR(VLOOKUP($A:$A,MASTER!$A:$T,18,0),0)</f>
        <v>7683153.1531531541</v>
      </c>
      <c r="Q11" s="9">
        <f t="shared" si="4"/>
        <v>-0.31906710598829779</v>
      </c>
      <c r="R11" s="4">
        <f>IFERROR(VLOOKUP($A:$A,MASTER!$A:$T,19,0),0)</f>
        <v>3124</v>
      </c>
      <c r="S11" s="4">
        <f>IFERROR(VLOOKUP($A:$A,MASTER!$A:$T,20,0),0)</f>
        <v>2709</v>
      </c>
      <c r="T11" s="9">
        <f t="shared" si="5"/>
        <v>0.15319306016980438</v>
      </c>
      <c r="U11" s="13">
        <f>IFERROR(VLOOKUP(A:A,MASTER!A:K,11,0),0)</f>
        <v>10</v>
      </c>
      <c r="V11" s="13">
        <f>IFERROR(VLOOKUP(A:A,MASTER!A:L,12,0),0)</f>
        <v>12</v>
      </c>
      <c r="W11" s="9">
        <f t="shared" si="6"/>
        <v>-0.16666666666666663</v>
      </c>
    </row>
    <row r="12" spans="1:23" ht="64.5" customHeight="1" x14ac:dyDescent="0.35">
      <c r="A12" s="10" t="s">
        <v>6</v>
      </c>
      <c r="B12" s="1" t="s">
        <v>17</v>
      </c>
      <c r="C12" s="4">
        <f>IFERROR(VLOOKUP($A:$A,MASTER!$A:$T,3,0),0)</f>
        <v>386035644.57403898</v>
      </c>
      <c r="D12" s="4">
        <f>IFERROR(VLOOKUP($A:$A,MASTER!$A:$T,4,0),0)</f>
        <v>361405266.55862594</v>
      </c>
      <c r="E12" s="9">
        <f t="shared" si="0"/>
        <v>6.8151685364047143E-2</v>
      </c>
      <c r="F12" s="4">
        <f>IFERROR(VLOOKUP(A:A,MASTER!A:E,5,0),0)</f>
        <v>6196846.8468468413</v>
      </c>
      <c r="G12" s="4">
        <f>IFERROR(VLOOKUP(A:A,MASTER!A:F,6,0),0)</f>
        <v>5558222.5225225314</v>
      </c>
      <c r="H12" s="9">
        <f t="shared" si="1"/>
        <v>0.11489722150139436</v>
      </c>
      <c r="I12" s="4">
        <f>IFERROR(VLOOKUP(A:A,MASTER!A:M,13,0),0)</f>
        <v>169915765.76576576</v>
      </c>
      <c r="J12" s="4">
        <f>IFERROR(VLOOKUP($A:$A,MASTER!$A:$T,14,0),0)</f>
        <v>160513183.78378376</v>
      </c>
      <c r="K12" s="9">
        <f t="shared" si="2"/>
        <v>5.8578253576027528E-2</v>
      </c>
      <c r="L12" s="4">
        <f>IFERROR(VLOOKUP($A:$A,MASTER!$A:$T,15,0),0)</f>
        <v>254528423.42342341</v>
      </c>
      <c r="M12" s="4">
        <f>IFERROR(VLOOKUP($A:$A,MASTER!$A:$T,16,0),0)</f>
        <v>247654351.35135135</v>
      </c>
      <c r="N12" s="9">
        <f t="shared" si="3"/>
        <v>2.7756718323594942E-2</v>
      </c>
      <c r="O12" s="4">
        <f>IFERROR(VLOOKUP($A:$A,MASTER!$A:$T,17,0),0)</f>
        <v>141584414.41441441</v>
      </c>
      <c r="P12" s="4">
        <f>IFERROR(VLOOKUP($A:$A,MASTER!$A:$T,18,0),0)</f>
        <v>141395945.94594595</v>
      </c>
      <c r="Q12" s="9">
        <f t="shared" si="4"/>
        <v>1.3329128159056403E-3</v>
      </c>
      <c r="R12" s="4">
        <f>IFERROR(VLOOKUP($A:$A,MASTER!$A:$T,19,0),0)</f>
        <v>13236</v>
      </c>
      <c r="S12" s="4">
        <f>IFERROR(VLOOKUP($A:$A,MASTER!$A:$T,20,0),0)</f>
        <v>12909</v>
      </c>
      <c r="T12" s="9">
        <f t="shared" si="5"/>
        <v>2.5331164303973974E-2</v>
      </c>
      <c r="U12" s="13">
        <f>IFERROR(VLOOKUP(A:A,MASTER!A:K,11,0),0)</f>
        <v>508</v>
      </c>
      <c r="V12" s="13">
        <f>IFERROR(VLOOKUP(A:A,MASTER!A:L,12,0),0)</f>
        <v>582</v>
      </c>
      <c r="W12" s="9">
        <f t="shared" si="6"/>
        <v>-0.12714776632302405</v>
      </c>
    </row>
    <row r="13" spans="1:23" ht="64.5" customHeight="1" x14ac:dyDescent="0.35">
      <c r="A13" s="10" t="s">
        <v>7</v>
      </c>
      <c r="B13" s="1" t="s">
        <v>17</v>
      </c>
      <c r="C13" s="4">
        <f>IFERROR(VLOOKUP($A:$A,MASTER!$A:$T,3,0),0)</f>
        <v>83668354.935841709</v>
      </c>
      <c r="D13" s="4">
        <f>IFERROR(VLOOKUP($A:$A,MASTER!$A:$T,4,0),0)</f>
        <v>86972398.432286739</v>
      </c>
      <c r="E13" s="9">
        <f t="shared" si="0"/>
        <v>-3.7989563999634046E-2</v>
      </c>
      <c r="F13" s="4">
        <f>IFERROR(VLOOKUP(A:A,MASTER!A:E,5,0),0)</f>
        <v>122011481.08108109</v>
      </c>
      <c r="G13" s="4">
        <f>IFERROR(VLOOKUP(A:A,MASTER!A:F,6,0),0)</f>
        <v>236740580.18018019</v>
      </c>
      <c r="H13" s="9">
        <f t="shared" si="1"/>
        <v>-0.48461948945035227</v>
      </c>
      <c r="I13" s="4">
        <f>IFERROR(VLOOKUP(A:A,MASTER!A:M,13,0),0)</f>
        <v>20006756.75675676</v>
      </c>
      <c r="J13" s="4">
        <f>IFERROR(VLOOKUP($A:$A,MASTER!$A:$T,14,0),0)</f>
        <v>16386486.486486485</v>
      </c>
      <c r="K13" s="9">
        <f t="shared" si="2"/>
        <v>0.22093023255813993</v>
      </c>
      <c r="L13" s="4">
        <f>IFERROR(VLOOKUP($A:$A,MASTER!$A:$T,15,0),0)</f>
        <v>56276891.891891897</v>
      </c>
      <c r="M13" s="4">
        <f>IFERROR(VLOOKUP($A:$A,MASTER!$A:$T,16,0),0)</f>
        <v>61090756.75675676</v>
      </c>
      <c r="N13" s="9">
        <f t="shared" si="3"/>
        <v>-7.8798579694013049E-2</v>
      </c>
      <c r="O13" s="4">
        <f>IFERROR(VLOOKUP($A:$A,MASTER!$A:$T,17,0),0)</f>
        <v>18890360.360360365</v>
      </c>
      <c r="P13" s="4">
        <f>IFERROR(VLOOKUP($A:$A,MASTER!$A:$T,18,0),0)</f>
        <v>19394594.594594598</v>
      </c>
      <c r="Q13" s="9">
        <f t="shared" si="4"/>
        <v>-2.5998699368264488E-2</v>
      </c>
      <c r="R13" s="4">
        <f>IFERROR(VLOOKUP($A:$A,MASTER!$A:$T,19,0),0)</f>
        <v>4757</v>
      </c>
      <c r="S13" s="4">
        <f>IFERROR(VLOOKUP($A:$A,MASTER!$A:$T,20,0),0)</f>
        <v>4815</v>
      </c>
      <c r="T13" s="9">
        <f t="shared" si="5"/>
        <v>-1.2045690550363419E-2</v>
      </c>
      <c r="U13" s="13">
        <f>IFERROR(VLOOKUP(A:A,MASTER!A:K,11,0),0)</f>
        <v>27</v>
      </c>
      <c r="V13" s="13">
        <f>IFERROR(VLOOKUP(A:A,MASTER!A:L,12,0),0)</f>
        <v>37</v>
      </c>
      <c r="W13" s="9">
        <f t="shared" si="6"/>
        <v>-0.27027027027027029</v>
      </c>
    </row>
    <row r="14" spans="1:23" ht="64.5" customHeight="1" x14ac:dyDescent="0.35">
      <c r="A14" s="10" t="s">
        <v>8</v>
      </c>
      <c r="B14" s="1" t="s">
        <v>16</v>
      </c>
      <c r="C14" s="4">
        <f>IFERROR(VLOOKUP($A:$A,MASTER!$A:$T,3,0),0)</f>
        <v>123842733.04007414</v>
      </c>
      <c r="D14" s="4">
        <f>IFERROR(VLOOKUP($A:$A,MASTER!$A:$T,4,0),0)</f>
        <v>119799170.40359288</v>
      </c>
      <c r="E14" s="9">
        <f t="shared" si="0"/>
        <v>3.3752843386634979E-2</v>
      </c>
      <c r="F14" s="4">
        <f>IFERROR(VLOOKUP(A:A,MASTER!A:E,5,0),0)</f>
        <v>1381981.981981985</v>
      </c>
      <c r="G14" s="4">
        <f>IFERROR(VLOOKUP(A:A,MASTER!A:F,6,0),0)</f>
        <v>1610810.810810813</v>
      </c>
      <c r="H14" s="9">
        <f t="shared" si="1"/>
        <v>-0.14205816554809769</v>
      </c>
      <c r="I14" s="4">
        <f>IFERROR(VLOOKUP(A:A,MASTER!A:M,13,0),0)</f>
        <v>18324324.324324325</v>
      </c>
      <c r="J14" s="4">
        <f>IFERROR(VLOOKUP($A:$A,MASTER!$A:$T,14,0),0)</f>
        <v>13435135.135135137</v>
      </c>
      <c r="K14" s="9">
        <f t="shared" si="2"/>
        <v>0.36391068195534082</v>
      </c>
      <c r="L14" s="4">
        <f>IFERROR(VLOOKUP($A:$A,MASTER!$A:$T,15,0),0)</f>
        <v>35619099.0990991</v>
      </c>
      <c r="M14" s="4">
        <f>IFERROR(VLOOKUP($A:$A,MASTER!$A:$T,16,0),0)</f>
        <v>35431072.072072074</v>
      </c>
      <c r="N14" s="9">
        <f t="shared" si="3"/>
        <v>5.3068399015572254E-3</v>
      </c>
      <c r="O14" s="4">
        <f>IFERROR(VLOOKUP($A:$A,MASTER!$A:$T,17,0),0)</f>
        <v>16995945.945945945</v>
      </c>
      <c r="P14" s="4">
        <f>IFERROR(VLOOKUP($A:$A,MASTER!$A:$T,18,0),0)</f>
        <v>13637207.207207205</v>
      </c>
      <c r="Q14" s="9">
        <f t="shared" si="4"/>
        <v>0.24629227140903609</v>
      </c>
      <c r="R14" s="4">
        <f>IFERROR(VLOOKUP($A:$A,MASTER!$A:$T,19,0),0)</f>
        <v>3721</v>
      </c>
      <c r="S14" s="4">
        <f>IFERROR(VLOOKUP($A:$A,MASTER!$A:$T,20,0),0)</f>
        <v>3738</v>
      </c>
      <c r="T14" s="9">
        <f t="shared" si="5"/>
        <v>-4.5478865703584281E-3</v>
      </c>
      <c r="U14" s="13">
        <f>IFERROR(VLOOKUP(A:A,MASTER!A:K,11,0),0)</f>
        <v>13</v>
      </c>
      <c r="V14" s="13">
        <f>IFERROR(VLOOKUP(A:A,MASTER!A:L,12,0),0)</f>
        <v>4</v>
      </c>
      <c r="W14" s="9">
        <f t="shared" si="6"/>
        <v>2.25</v>
      </c>
    </row>
    <row r="15" spans="1:23" ht="64.5" customHeight="1" x14ac:dyDescent="0.35">
      <c r="A15" s="10" t="s">
        <v>9</v>
      </c>
      <c r="B15" s="1" t="s">
        <v>16</v>
      </c>
      <c r="C15" s="4">
        <f>IFERROR(VLOOKUP($A:$A,MASTER!$A:$T,3,0),0)</f>
        <v>246647867.39175236</v>
      </c>
      <c r="D15" s="4">
        <f>IFERROR(VLOOKUP($A:$A,MASTER!$A:$T,4,0),0)</f>
        <v>235708710.59113604</v>
      </c>
      <c r="E15" s="9">
        <f t="shared" si="0"/>
        <v>4.6409641685205116E-2</v>
      </c>
      <c r="F15" s="4">
        <f>IFERROR(VLOOKUP(A:A,MASTER!A:E,5,0),0)</f>
        <v>1240000.000000004</v>
      </c>
      <c r="G15" s="4">
        <f>IFERROR(VLOOKUP(A:A,MASTER!A:F,6,0),0)</f>
        <v>3118266.6666666712</v>
      </c>
      <c r="H15" s="9">
        <f t="shared" si="1"/>
        <v>-0.60234318210971838</v>
      </c>
      <c r="I15" s="4">
        <f>IFERROR(VLOOKUP(A:A,MASTER!A:M,13,0),0)</f>
        <v>420557117.11711711</v>
      </c>
      <c r="J15" s="4">
        <f>IFERROR(VLOOKUP($A:$A,MASTER!$A:$T,14,0),0)</f>
        <v>279093860.36036032</v>
      </c>
      <c r="K15" s="9">
        <f t="shared" si="2"/>
        <v>0.50686624411623504</v>
      </c>
      <c r="L15" s="4">
        <f>IFERROR(VLOOKUP($A:$A,MASTER!$A:$T,15,0),0)</f>
        <v>86826567.567567572</v>
      </c>
      <c r="M15" s="4">
        <f>IFERROR(VLOOKUP($A:$A,MASTER!$A:$T,16,0),0)</f>
        <v>86560072.072072059</v>
      </c>
      <c r="N15" s="9">
        <f t="shared" si="3"/>
        <v>3.0787346765794865E-3</v>
      </c>
      <c r="O15" s="4">
        <f>IFERROR(VLOOKUP($A:$A,MASTER!$A:$T,17,0),0)</f>
        <v>340644684.68468469</v>
      </c>
      <c r="P15" s="4">
        <f>IFERROR(VLOOKUP($A:$A,MASTER!$A:$T,18,0),0)</f>
        <v>245110630.63063061</v>
      </c>
      <c r="Q15" s="9">
        <f t="shared" si="4"/>
        <v>0.38975891746620772</v>
      </c>
      <c r="R15" s="4">
        <f>IFERROR(VLOOKUP($A:$A,MASTER!$A:$T,19,0),0)</f>
        <v>7548</v>
      </c>
      <c r="S15" s="4">
        <f>IFERROR(VLOOKUP($A:$A,MASTER!$A:$T,20,0),0)</f>
        <v>7123</v>
      </c>
      <c r="T15" s="9">
        <f t="shared" si="5"/>
        <v>5.9665871121718395E-2</v>
      </c>
      <c r="U15" s="13">
        <f>IFERROR(VLOOKUP(A:A,MASTER!A:K,11,0),0)</f>
        <v>49</v>
      </c>
      <c r="V15" s="13">
        <f>IFERROR(VLOOKUP(A:A,MASTER!A:L,12,0),0)</f>
        <v>39</v>
      </c>
      <c r="W15" s="9">
        <f t="shared" si="6"/>
        <v>0.25641025641025639</v>
      </c>
    </row>
    <row r="16" spans="1:23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3378378.3783783782</v>
      </c>
      <c r="G16" s="4">
        <f>IFERROR(VLOOKUP(A:A,MASTER!A:F,6,0),0)</f>
        <v>91959459.459459454</v>
      </c>
      <c r="H16" s="9">
        <f t="shared" si="1"/>
        <v>-0.96326230712711247</v>
      </c>
      <c r="I16" s="4">
        <f>IFERROR(VLOOKUP(A:A,MASTER!A:M,13,0),0)</f>
        <v>23817117.117117114</v>
      </c>
      <c r="J16" s="4">
        <f>IFERROR(VLOOKUP($A:$A,MASTER!$A:$T,14,0),0)</f>
        <v>12688963.963963963</v>
      </c>
      <c r="K16" s="9">
        <f t="shared" si="2"/>
        <v>0.8769946218427731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  <c r="U16" s="13">
        <f>IFERROR(VLOOKUP(A:A,MASTER!A:K,11,0),0)</f>
        <v>0</v>
      </c>
      <c r="V16" s="13">
        <f>IFERROR(VLOOKUP(A:A,MASTER!A:L,12,0),0)</f>
        <v>0</v>
      </c>
      <c r="W16" s="9">
        <f t="shared" si="6"/>
        <v>0</v>
      </c>
    </row>
    <row r="17" spans="1:23" ht="64.5" customHeight="1" x14ac:dyDescent="0.35">
      <c r="A17" s="10" t="s">
        <v>10</v>
      </c>
      <c r="B17" s="1" t="s">
        <v>17</v>
      </c>
      <c r="C17" s="4">
        <f>IFERROR(VLOOKUP($A:$A,MASTER!$A:$T,3,0),0)</f>
        <v>104103916.74133453</v>
      </c>
      <c r="D17" s="4">
        <f>IFERROR(VLOOKUP($A:$A,MASTER!$A:$T,4,0),0)</f>
        <v>96854778.682209253</v>
      </c>
      <c r="E17" s="9">
        <f t="shared" si="0"/>
        <v>7.4845435173730213E-2</v>
      </c>
      <c r="F17" s="4">
        <f>IFERROR(VLOOKUP(A:A,MASTER!A:E,5,0),0)</f>
        <v>0</v>
      </c>
      <c r="G17" s="4">
        <f>IFERROR(VLOOKUP(A:A,MASTER!A:F,6,0),0)</f>
        <v>0</v>
      </c>
      <c r="H17" s="9">
        <f t="shared" si="1"/>
        <v>0</v>
      </c>
      <c r="I17" s="4">
        <f>IFERROR(VLOOKUP(A:A,MASTER!A:M,13,0),0)</f>
        <v>0</v>
      </c>
      <c r="J17" s="4">
        <f>IFERROR(VLOOKUP($A:$A,MASTER!$A:$T,14,0),0)</f>
        <v>0</v>
      </c>
      <c r="K17" s="9">
        <f t="shared" si="2"/>
        <v>0</v>
      </c>
      <c r="L17" s="4">
        <f>IFERROR(VLOOKUP($A:$A,MASTER!$A:$T,15,0),0)</f>
        <v>59956126.126126125</v>
      </c>
      <c r="M17" s="4">
        <f>IFERROR(VLOOKUP($A:$A,MASTER!$A:$T,16,0),0)</f>
        <v>57423763.963963971</v>
      </c>
      <c r="N17" s="9">
        <f t="shared" si="3"/>
        <v>4.4099550209758531E-2</v>
      </c>
      <c r="O17" s="4">
        <f>IFERROR(VLOOKUP($A:$A,MASTER!$A:$T,17,0),0)</f>
        <v>0</v>
      </c>
      <c r="P17" s="4">
        <f>IFERROR(VLOOKUP($A:$A,MASTER!$A:$T,18,0),0)</f>
        <v>19639.639639640001</v>
      </c>
      <c r="Q17" s="9">
        <f t="shared" si="4"/>
        <v>-1</v>
      </c>
      <c r="R17" s="4">
        <f>IFERROR(VLOOKUP($A:$A,MASTER!$A:$T,19,0),0)</f>
        <v>4028</v>
      </c>
      <c r="S17" s="4">
        <f>IFERROR(VLOOKUP($A:$A,MASTER!$A:$T,20,0),0)</f>
        <v>3517</v>
      </c>
      <c r="T17" s="9">
        <f t="shared" si="5"/>
        <v>0.14529428490190499</v>
      </c>
      <c r="U17" s="13">
        <f>IFERROR(VLOOKUP(A:A,MASTER!A:K,11,0),0)</f>
        <v>9</v>
      </c>
      <c r="V17" s="13">
        <f>IFERROR(VLOOKUP(A:A,MASTER!A:L,12,0),0)</f>
        <v>14</v>
      </c>
      <c r="W17" s="9">
        <f t="shared" si="6"/>
        <v>-0.3571428571428571</v>
      </c>
    </row>
    <row r="18" spans="1:23" ht="64.5" customHeight="1" x14ac:dyDescent="0.35">
      <c r="A18" s="10" t="s">
        <v>11</v>
      </c>
      <c r="B18" s="1" t="s">
        <v>17</v>
      </c>
      <c r="C18" s="4">
        <f>IFERROR(VLOOKUP($A:$A,MASTER!$A:$T,3,0),0)</f>
        <v>83008869.968067467</v>
      </c>
      <c r="D18" s="4">
        <f>IFERROR(VLOOKUP($A:$A,MASTER!$A:$T,4,0),0)</f>
        <v>84167527.786440924</v>
      </c>
      <c r="E18" s="9">
        <f t="shared" si="0"/>
        <v>-1.3766090662818642E-2</v>
      </c>
      <c r="F18" s="4">
        <f>IFERROR(VLOOKUP(A:A,MASTER!A:E,5,0),0)</f>
        <v>338738.73873873899</v>
      </c>
      <c r="G18" s="4">
        <f>IFERROR(VLOOKUP(A:A,MASTER!A:F,6,0),0)</f>
        <v>112612.612612615</v>
      </c>
      <c r="H18" s="9">
        <f t="shared" si="1"/>
        <v>2.0079999999999383</v>
      </c>
      <c r="I18" s="4">
        <f>IFERROR(VLOOKUP(A:A,MASTER!A:M,13,0),0)</f>
        <v>2565765.7657657671</v>
      </c>
      <c r="J18" s="4">
        <f>IFERROR(VLOOKUP($A:$A,MASTER!$A:$T,14,0),0)</f>
        <v>1914414.4144144161</v>
      </c>
      <c r="K18" s="9">
        <f t="shared" si="2"/>
        <v>0.34023529411764653</v>
      </c>
      <c r="L18" s="4">
        <f>IFERROR(VLOOKUP($A:$A,MASTER!$A:$T,15,0),0)</f>
        <v>27014009.009009007</v>
      </c>
      <c r="M18" s="4">
        <f>IFERROR(VLOOKUP($A:$A,MASTER!$A:$T,16,0),0)</f>
        <v>28126621.62162162</v>
      </c>
      <c r="N18" s="9">
        <f t="shared" si="3"/>
        <v>-3.9557278779521865E-2</v>
      </c>
      <c r="O18" s="4">
        <f>IFERROR(VLOOKUP($A:$A,MASTER!$A:$T,17,0),0)</f>
        <v>3291441.44144144</v>
      </c>
      <c r="P18" s="4">
        <f>IFERROR(VLOOKUP($A:$A,MASTER!$A:$T,18,0),0)</f>
        <v>2269909.9099099101</v>
      </c>
      <c r="Q18" s="9">
        <f t="shared" si="4"/>
        <v>0.45003175107159787</v>
      </c>
      <c r="R18" s="4">
        <f>IFERROR(VLOOKUP($A:$A,MASTER!$A:$T,19,0),0)</f>
        <v>3908</v>
      </c>
      <c r="S18" s="4">
        <f>IFERROR(VLOOKUP($A:$A,MASTER!$A:$T,20,0),0)</f>
        <v>4005</v>
      </c>
      <c r="T18" s="9">
        <f t="shared" si="5"/>
        <v>-2.4219725343320841E-2</v>
      </c>
      <c r="U18" s="13">
        <f>IFERROR(VLOOKUP(A:A,MASTER!A:K,11,0),0)</f>
        <v>26</v>
      </c>
      <c r="V18" s="13">
        <f>IFERROR(VLOOKUP(A:A,MASTER!A:L,12,0),0)</f>
        <v>24</v>
      </c>
      <c r="W18" s="9">
        <f t="shared" si="6"/>
        <v>8.3333333333333259E-2</v>
      </c>
    </row>
    <row r="19" spans="1:23" ht="64.5" customHeight="1" x14ac:dyDescent="0.35">
      <c r="A19" s="10" t="s">
        <v>12</v>
      </c>
      <c r="B19" s="1" t="s">
        <v>17</v>
      </c>
      <c r="C19" s="4">
        <f>IFERROR(VLOOKUP($A:$A,MASTER!$A:$T,3,0),0)</f>
        <v>58772469.522244863</v>
      </c>
      <c r="D19" s="4">
        <f>IFERROR(VLOOKUP($A:$A,MASTER!$A:$T,4,0),0)</f>
        <v>54138104.72908996</v>
      </c>
      <c r="E19" s="9">
        <f t="shared" si="0"/>
        <v>8.560264191636402E-2</v>
      </c>
      <c r="F19" s="4">
        <f>IFERROR(VLOOKUP(A:A,MASTER!A:E,5,0),0)</f>
        <v>59459.459459459998</v>
      </c>
      <c r="G19" s="4">
        <f>IFERROR(VLOOKUP(A:A,MASTER!A:F,6,0),0)</f>
        <v>2306306.3063063091</v>
      </c>
      <c r="H19" s="9">
        <f t="shared" si="1"/>
        <v>-0.9742187499999998</v>
      </c>
      <c r="I19" s="4">
        <f>IFERROR(VLOOKUP(A:A,MASTER!A:M,13,0),0)</f>
        <v>4592342.3423423423</v>
      </c>
      <c r="J19" s="4">
        <f>IFERROR(VLOOKUP($A:$A,MASTER!$A:$T,14,0),0)</f>
        <v>5459459.4594594613</v>
      </c>
      <c r="K19" s="9">
        <f t="shared" si="2"/>
        <v>-0.15882838283828415</v>
      </c>
      <c r="L19" s="4">
        <f>IFERROR(VLOOKUP($A:$A,MASTER!$A:$T,15,0),0)</f>
        <v>22144009.009009007</v>
      </c>
      <c r="M19" s="4">
        <f>IFERROR(VLOOKUP($A:$A,MASTER!$A:$T,16,0),0)</f>
        <v>21655936.936936937</v>
      </c>
      <c r="N19" s="9">
        <f t="shared" si="3"/>
        <v>2.2537564340594285E-2</v>
      </c>
      <c r="O19" s="4">
        <f>IFERROR(VLOOKUP($A:$A,MASTER!$A:$T,17,0),0)</f>
        <v>2625675.6756756739</v>
      </c>
      <c r="P19" s="4">
        <f>IFERROR(VLOOKUP($A:$A,MASTER!$A:$T,18,0),0)</f>
        <v>6992522.5225225231</v>
      </c>
      <c r="Q19" s="9">
        <f t="shared" si="4"/>
        <v>-0.62450236417279748</v>
      </c>
      <c r="R19" s="4">
        <f>IFERROR(VLOOKUP($A:$A,MASTER!$A:$T,19,0),0)</f>
        <v>2755</v>
      </c>
      <c r="S19" s="4">
        <f>IFERROR(VLOOKUP($A:$A,MASTER!$A:$T,20,0),0)</f>
        <v>2794</v>
      </c>
      <c r="T19" s="9">
        <f t="shared" si="5"/>
        <v>-1.3958482462419486E-2</v>
      </c>
      <c r="U19" s="13">
        <f>IFERROR(VLOOKUP(A:A,MASTER!A:K,11,0),0)</f>
        <v>19</v>
      </c>
      <c r="V19" s="13">
        <f>IFERROR(VLOOKUP(A:A,MASTER!A:L,12,0),0)</f>
        <v>7</v>
      </c>
      <c r="W19" s="9">
        <f t="shared" si="6"/>
        <v>1.7142857142857144</v>
      </c>
    </row>
    <row r="20" spans="1:23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0</v>
      </c>
      <c r="G20" s="4">
        <f>IFERROR(VLOOKUP(A:A,MASTER!A:F,6,0),0)</f>
        <v>0</v>
      </c>
      <c r="H20" s="9">
        <f t="shared" si="1"/>
        <v>0</v>
      </c>
      <c r="I20" s="4">
        <f>IFERROR(VLOOKUP(A:A,MASTER!A:M,13,0),0)</f>
        <v>0</v>
      </c>
      <c r="J20" s="4">
        <f>IFERROR(VLOOKUP($A:$A,MASTER!$A:$T,14,0),0)</f>
        <v>0</v>
      </c>
      <c r="K20" s="9">
        <f t="shared" si="2"/>
        <v>0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  <c r="U20" s="13">
        <f>IFERROR(VLOOKUP(A:A,MASTER!A:K,11,0),0)</f>
        <v>0</v>
      </c>
      <c r="V20" s="13">
        <f>IFERROR(VLOOKUP(A:A,MASTER!A:L,12,0),0)</f>
        <v>0</v>
      </c>
      <c r="W20" s="9">
        <f t="shared" si="6"/>
        <v>0</v>
      </c>
    </row>
    <row r="21" spans="1:23" ht="64.5" customHeight="1" x14ac:dyDescent="0.35">
      <c r="A21" s="10" t="s">
        <v>13</v>
      </c>
      <c r="B21" s="1" t="s">
        <v>16</v>
      </c>
      <c r="C21" s="4">
        <f>IFERROR(VLOOKUP($A:$A,MASTER!$A:$T,3,0),0)</f>
        <v>210926990.29368526</v>
      </c>
      <c r="D21" s="4">
        <f>IFERROR(VLOOKUP($A:$A,MASTER!$A:$T,4,0),0)</f>
        <v>197036699.86417374</v>
      </c>
      <c r="E21" s="9">
        <f t="shared" si="0"/>
        <v>7.0495955520401665E-2</v>
      </c>
      <c r="F21" s="4">
        <f>IFERROR(VLOOKUP(A:A,MASTER!A:E,5,0),0)</f>
        <v>667117.11711711995</v>
      </c>
      <c r="G21" s="4">
        <f>IFERROR(VLOOKUP(A:A,MASTER!A:F,6,0),0)</f>
        <v>1185585.5855855879</v>
      </c>
      <c r="H21" s="9">
        <f t="shared" si="1"/>
        <v>-0.4373100303951355</v>
      </c>
      <c r="I21" s="4">
        <f>IFERROR(VLOOKUP(A:A,MASTER!A:M,13,0),0)</f>
        <v>30298558.558558561</v>
      </c>
      <c r="J21" s="4">
        <f>IFERROR(VLOOKUP($A:$A,MASTER!$A:$T,14,0),0)</f>
        <v>46184324.324324317</v>
      </c>
      <c r="K21" s="9">
        <f t="shared" si="2"/>
        <v>-0.34396445110271012</v>
      </c>
      <c r="L21" s="4">
        <f>IFERROR(VLOOKUP($A:$A,MASTER!$A:$T,15,0),0)</f>
        <v>122539509.009009</v>
      </c>
      <c r="M21" s="4">
        <f>IFERROR(VLOOKUP($A:$A,MASTER!$A:$T,16,0),0)</f>
        <v>110696198.1981982</v>
      </c>
      <c r="N21" s="9">
        <f t="shared" si="3"/>
        <v>0.10698931854557214</v>
      </c>
      <c r="O21" s="4">
        <f>IFERROR(VLOOKUP($A:$A,MASTER!$A:$T,17,0),0)</f>
        <v>35131711.711711712</v>
      </c>
      <c r="P21" s="4">
        <f>IFERROR(VLOOKUP($A:$A,MASTER!$A:$T,18,0),0)</f>
        <v>45516756.756756753</v>
      </c>
      <c r="Q21" s="9">
        <f t="shared" si="4"/>
        <v>-0.22815872186463348</v>
      </c>
      <c r="R21" s="4">
        <f>IFERROR(VLOOKUP($A:$A,MASTER!$A:$T,19,0),0)</f>
        <v>7424</v>
      </c>
      <c r="S21" s="4">
        <f>IFERROR(VLOOKUP($A:$A,MASTER!$A:$T,20,0),0)</f>
        <v>7098</v>
      </c>
      <c r="T21" s="9">
        <f t="shared" si="5"/>
        <v>4.5928430543815235E-2</v>
      </c>
      <c r="U21" s="13">
        <f>IFERROR(VLOOKUP(A:A,MASTER!A:K,11,0),0)</f>
        <v>249</v>
      </c>
      <c r="V21" s="13">
        <f>IFERROR(VLOOKUP(A:A,MASTER!A:L,12,0),0)</f>
        <v>106</v>
      </c>
      <c r="W21" s="9">
        <f t="shared" si="6"/>
        <v>1.3490566037735849</v>
      </c>
    </row>
    <row r="22" spans="1:23" ht="64.5" customHeight="1" x14ac:dyDescent="0.35">
      <c r="A22" s="10" t="s">
        <v>14</v>
      </c>
      <c r="B22" s="1" t="s">
        <v>16</v>
      </c>
      <c r="C22" s="4">
        <f>IFERROR(VLOOKUP($A:$A,MASTER!$A:$T,3,0),0)</f>
        <v>108223380.12343842</v>
      </c>
      <c r="D22" s="4">
        <f>IFERROR(VLOOKUP($A:$A,MASTER!$A:$T,4,0),0)</f>
        <v>100296543.21332584</v>
      </c>
      <c r="E22" s="9">
        <f t="shared" si="0"/>
        <v>7.9033999140454725E-2</v>
      </c>
      <c r="F22" s="4">
        <f>IFERROR(VLOOKUP(A:A,MASTER!A:E,5,0),0)</f>
        <v>80180.180180184005</v>
      </c>
      <c r="G22" s="4">
        <f>IFERROR(VLOOKUP(A:A,MASTER!A:F,6,0),0)</f>
        <v>761261.26126126305</v>
      </c>
      <c r="H22" s="9">
        <f t="shared" si="1"/>
        <v>-0.89467455621301295</v>
      </c>
      <c r="I22" s="4">
        <f>IFERROR(VLOOKUP(A:A,MASTER!A:M,13,0),0)</f>
        <v>9575495.4954954963</v>
      </c>
      <c r="J22" s="4">
        <f>IFERROR(VLOOKUP($A:$A,MASTER!$A:$T,14,0),0)</f>
        <v>26668468.468468472</v>
      </c>
      <c r="K22" s="9">
        <f t="shared" si="2"/>
        <v>-0.64094317951489765</v>
      </c>
      <c r="L22" s="4">
        <f>IFERROR(VLOOKUP($A:$A,MASTER!$A:$T,15,0),0)</f>
        <v>36136927.927927926</v>
      </c>
      <c r="M22" s="4">
        <f>IFERROR(VLOOKUP($A:$A,MASTER!$A:$T,16,0),0)</f>
        <v>34566594.59459459</v>
      </c>
      <c r="N22" s="9">
        <f t="shared" si="3"/>
        <v>4.5429217189329352E-2</v>
      </c>
      <c r="O22" s="4">
        <f>IFERROR(VLOOKUP($A:$A,MASTER!$A:$T,17,0),0)</f>
        <v>10787477.477477476</v>
      </c>
      <c r="P22" s="4">
        <f>IFERROR(VLOOKUP($A:$A,MASTER!$A:$T,18,0),0)</f>
        <v>29827837.837837841</v>
      </c>
      <c r="Q22" s="9">
        <f t="shared" si="4"/>
        <v>-0.63834195639239</v>
      </c>
      <c r="R22" s="4">
        <f>IFERROR(VLOOKUP($A:$A,MASTER!$A:$T,19,0),0)</f>
        <v>3875</v>
      </c>
      <c r="S22" s="4">
        <f>IFERROR(VLOOKUP($A:$A,MASTER!$A:$T,20,0),0)</f>
        <v>3903</v>
      </c>
      <c r="T22" s="9">
        <f t="shared" si="5"/>
        <v>-7.1739687419933862E-3</v>
      </c>
      <c r="U22" s="13">
        <f>IFERROR(VLOOKUP(A:A,MASTER!A:K,11,0),0)</f>
        <v>12</v>
      </c>
      <c r="V22" s="13">
        <f>IFERROR(VLOOKUP(A:A,MASTER!A:L,12,0),0)</f>
        <v>20</v>
      </c>
      <c r="W22" s="9">
        <f t="shared" si="6"/>
        <v>-0.4</v>
      </c>
    </row>
  </sheetData>
  <autoFilter ref="A5:T22"/>
  <conditionalFormatting sqref="E6:E22">
    <cfRule type="cellIs" dxfId="6" priority="12" operator="lessThan">
      <formula>0</formula>
    </cfRule>
  </conditionalFormatting>
  <conditionalFormatting sqref="H6:H22">
    <cfRule type="cellIs" dxfId="5" priority="6" operator="lessThan">
      <formula>0</formula>
    </cfRule>
  </conditionalFormatting>
  <conditionalFormatting sqref="K6:K22">
    <cfRule type="cellIs" dxfId="4" priority="5" operator="lessThan">
      <formula>0</formula>
    </cfRule>
  </conditionalFormatting>
  <conditionalFormatting sqref="N6:N22">
    <cfRule type="cellIs" dxfId="3" priority="4" operator="lessThan">
      <formula>0</formula>
    </cfRule>
  </conditionalFormatting>
  <conditionalFormatting sqref="Q6:Q22">
    <cfRule type="cellIs" dxfId="2" priority="3" operator="lessThan">
      <formula>0</formula>
    </cfRule>
  </conditionalFormatting>
  <conditionalFormatting sqref="T6:T22">
    <cfRule type="cellIs" dxfId="1" priority="2" operator="lessThan">
      <formula>0</formula>
    </cfRule>
  </conditionalFormatting>
  <conditionalFormatting sqref="W6:W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4"/>
  <sheetViews>
    <sheetView tabSelected="1" workbookViewId="0">
      <pane xSplit="1" ySplit="3" topLeftCell="B559" activePane="bottomRight" state="frozen"/>
      <selection pane="topRight" activeCell="B1" sqref="B1"/>
      <selection pane="bottomLeft" activeCell="A4" sqref="A4"/>
      <selection pane="bottomRight" activeCell="A3" sqref="A3:T568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10.453125" customWidth="1"/>
    <col min="11" max="12" width="11.36328125" bestFit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664</v>
      </c>
      <c r="J2" s="7" t="s">
        <v>664</v>
      </c>
      <c r="K2" s="7" t="s">
        <v>41</v>
      </c>
      <c r="L2" s="7" t="s">
        <v>41</v>
      </c>
      <c r="M2" s="7" t="s">
        <v>42</v>
      </c>
      <c r="N2" s="7" t="s">
        <v>42</v>
      </c>
      <c r="O2" s="7" t="s">
        <v>43</v>
      </c>
      <c r="P2" s="7" t="s">
        <v>43</v>
      </c>
      <c r="Q2" s="7" t="s">
        <v>44</v>
      </c>
      <c r="R2" s="7" t="s">
        <v>44</v>
      </c>
      <c r="S2" s="7" t="s">
        <v>30</v>
      </c>
      <c r="T2" s="7" t="s">
        <v>30</v>
      </c>
    </row>
    <row r="3" spans="1:20" x14ac:dyDescent="0.35">
      <c r="A3" s="8" t="s">
        <v>45</v>
      </c>
      <c r="B3" s="8" t="s">
        <v>46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47</v>
      </c>
      <c r="B4" s="12" t="s">
        <v>48</v>
      </c>
      <c r="C4">
        <v>293952770.83311433</v>
      </c>
      <c r="D4">
        <v>314858464.62056231</v>
      </c>
      <c r="E4">
        <v>603603.60360360402</v>
      </c>
      <c r="F4">
        <v>1547522.5225225219</v>
      </c>
      <c r="G4">
        <v>14</v>
      </c>
      <c r="H4">
        <v>34</v>
      </c>
      <c r="K4">
        <v>15</v>
      </c>
      <c r="L4">
        <v>48</v>
      </c>
      <c r="M4">
        <v>14380900.9009009</v>
      </c>
      <c r="N4">
        <v>42981261.261261262</v>
      </c>
      <c r="O4">
        <v>34249054.054054059</v>
      </c>
      <c r="P4">
        <v>40158432.432432435</v>
      </c>
      <c r="Q4">
        <v>10592522.52252252</v>
      </c>
      <c r="R4">
        <v>39051351.351351351</v>
      </c>
      <c r="S4">
        <v>7455</v>
      </c>
      <c r="T4">
        <v>8312</v>
      </c>
    </row>
    <row r="5" spans="1:20" x14ac:dyDescent="0.35">
      <c r="A5" s="7" t="s">
        <v>49</v>
      </c>
      <c r="B5" s="12" t="s">
        <v>50</v>
      </c>
      <c r="C5">
        <v>508195747.90531558</v>
      </c>
      <c r="D5">
        <v>480267177.19174361</v>
      </c>
      <c r="E5">
        <v>3170450.450450452</v>
      </c>
      <c r="F5">
        <v>4127027.0270270328</v>
      </c>
      <c r="G5">
        <v>105</v>
      </c>
      <c r="H5">
        <v>307</v>
      </c>
      <c r="I5">
        <v>8</v>
      </c>
      <c r="K5">
        <v>126</v>
      </c>
      <c r="L5">
        <v>485</v>
      </c>
      <c r="M5">
        <v>110798648.64864863</v>
      </c>
      <c r="N5">
        <v>87597837.837837845</v>
      </c>
      <c r="O5">
        <v>150827932.43243244</v>
      </c>
      <c r="P5">
        <v>152098369.36936939</v>
      </c>
      <c r="Q5">
        <v>107549009.009009</v>
      </c>
      <c r="R5">
        <v>84705135.135135129</v>
      </c>
      <c r="S5">
        <v>20774</v>
      </c>
      <c r="T5">
        <v>19586</v>
      </c>
    </row>
    <row r="6" spans="1:20" x14ac:dyDescent="0.35">
      <c r="A6" s="7" t="s">
        <v>51</v>
      </c>
      <c r="B6" s="12" t="s">
        <v>52</v>
      </c>
      <c r="C6">
        <v>119870965.05242179</v>
      </c>
      <c r="D6">
        <v>120648609.54601754</v>
      </c>
      <c r="E6">
        <v>963063.06306306401</v>
      </c>
      <c r="F6">
        <v>2627927.927927928</v>
      </c>
      <c r="G6">
        <v>21</v>
      </c>
      <c r="H6">
        <v>43</v>
      </c>
      <c r="K6">
        <v>22</v>
      </c>
      <c r="L6">
        <v>53</v>
      </c>
      <c r="M6">
        <v>18069819.819819815</v>
      </c>
      <c r="N6">
        <v>29359909.909909908</v>
      </c>
      <c r="O6">
        <v>41687189.189189196</v>
      </c>
      <c r="P6">
        <v>39191180.180180185</v>
      </c>
      <c r="Q6">
        <v>7547567.5675675673</v>
      </c>
      <c r="R6">
        <v>21835045.045045048</v>
      </c>
      <c r="S6">
        <v>4937</v>
      </c>
      <c r="T6">
        <v>4502</v>
      </c>
    </row>
    <row r="7" spans="1:20" x14ac:dyDescent="0.35">
      <c r="A7" s="7" t="s">
        <v>53</v>
      </c>
      <c r="B7" s="12" t="s">
        <v>54</v>
      </c>
      <c r="C7">
        <v>64465306.271617934</v>
      </c>
      <c r="D7">
        <v>64899850.665603727</v>
      </c>
      <c r="E7">
        <v>650000.00000000105</v>
      </c>
      <c r="F7">
        <v>508108.10810811201</v>
      </c>
      <c r="G7">
        <v>11</v>
      </c>
      <c r="H7">
        <v>18</v>
      </c>
      <c r="K7">
        <v>14</v>
      </c>
      <c r="L7">
        <v>25</v>
      </c>
      <c r="M7">
        <v>7709009.0090090064</v>
      </c>
      <c r="N7">
        <v>6380540.5405405406</v>
      </c>
      <c r="O7">
        <v>21239333.333333336</v>
      </c>
      <c r="P7">
        <v>20740786.036036037</v>
      </c>
      <c r="Q7">
        <v>7545945.9459459474</v>
      </c>
      <c r="R7">
        <v>6235135.1351351347</v>
      </c>
      <c r="S7">
        <v>2982</v>
      </c>
      <c r="T7">
        <v>4060</v>
      </c>
    </row>
    <row r="8" spans="1:20" x14ac:dyDescent="0.35">
      <c r="A8" s="7" t="s">
        <v>55</v>
      </c>
      <c r="B8" s="12" t="s">
        <v>54</v>
      </c>
      <c r="C8">
        <v>109781755.50767606</v>
      </c>
      <c r="D8">
        <v>107271237.77558725</v>
      </c>
      <c r="E8">
        <v>403153.153153155</v>
      </c>
      <c r="F8">
        <v>2021621.6216216241</v>
      </c>
      <c r="G8">
        <v>29</v>
      </c>
      <c r="H8">
        <v>32</v>
      </c>
      <c r="K8">
        <v>48</v>
      </c>
      <c r="L8">
        <v>92</v>
      </c>
      <c r="M8">
        <v>26963513.513513513</v>
      </c>
      <c r="N8">
        <v>19261981.981981985</v>
      </c>
      <c r="O8">
        <v>27360072.072072074</v>
      </c>
      <c r="P8">
        <v>30697900.900900904</v>
      </c>
      <c r="Q8">
        <v>23264774.774774771</v>
      </c>
      <c r="R8">
        <v>37869189.189189196</v>
      </c>
      <c r="S8">
        <v>5000</v>
      </c>
      <c r="T8">
        <v>3996</v>
      </c>
    </row>
    <row r="9" spans="1:20" x14ac:dyDescent="0.35">
      <c r="A9" s="7" t="s">
        <v>56</v>
      </c>
      <c r="B9" s="12" t="s">
        <v>54</v>
      </c>
      <c r="C9">
        <v>54950909.807957165</v>
      </c>
      <c r="D9">
        <v>51559645.275238305</v>
      </c>
      <c r="E9">
        <v>548828.82882882899</v>
      </c>
      <c r="F9">
        <v>710810.81081081298</v>
      </c>
      <c r="G9">
        <v>5</v>
      </c>
      <c r="H9">
        <v>11</v>
      </c>
      <c r="K9">
        <v>8</v>
      </c>
      <c r="L9">
        <v>12</v>
      </c>
      <c r="M9">
        <v>4495675.6756756743</v>
      </c>
      <c r="N9">
        <v>5825045.0450450461</v>
      </c>
      <c r="O9">
        <v>16353648.648648648</v>
      </c>
      <c r="P9">
        <v>16241918.918918919</v>
      </c>
      <c r="Q9">
        <v>4010090.090090089</v>
      </c>
      <c r="R9">
        <v>4994144.1441441458</v>
      </c>
      <c r="S9">
        <v>1998</v>
      </c>
      <c r="T9">
        <v>2134</v>
      </c>
    </row>
    <row r="10" spans="1:20" x14ac:dyDescent="0.35">
      <c r="A10" s="7" t="s">
        <v>57</v>
      </c>
      <c r="B10" s="12" t="s">
        <v>58</v>
      </c>
      <c r="C10">
        <v>141240814.26515636</v>
      </c>
      <c r="D10">
        <v>143457222.217298</v>
      </c>
      <c r="E10">
        <v>907207.20720720803</v>
      </c>
      <c r="F10">
        <v>121621.621621623</v>
      </c>
      <c r="G10">
        <v>43</v>
      </c>
      <c r="H10">
        <v>48</v>
      </c>
      <c r="K10">
        <v>49</v>
      </c>
      <c r="L10">
        <v>53</v>
      </c>
      <c r="M10">
        <v>3627927.927927928</v>
      </c>
      <c r="N10">
        <v>3364864.8648648649</v>
      </c>
      <c r="O10">
        <v>25313108.108108107</v>
      </c>
      <c r="P10">
        <v>27151315.315315317</v>
      </c>
      <c r="Q10">
        <v>3105585.5855855849</v>
      </c>
      <c r="R10">
        <v>2124504.5045045051</v>
      </c>
      <c r="S10">
        <v>5471</v>
      </c>
      <c r="T10">
        <v>5566</v>
      </c>
    </row>
    <row r="11" spans="1:20" x14ac:dyDescent="0.35">
      <c r="A11" s="7" t="s">
        <v>59</v>
      </c>
      <c r="B11" s="12" t="s">
        <v>60</v>
      </c>
      <c r="C11">
        <v>60782484.037620246</v>
      </c>
      <c r="D11">
        <v>59920304.679425046</v>
      </c>
      <c r="E11">
        <v>199639.63963963999</v>
      </c>
      <c r="F11">
        <v>452252.25225225399</v>
      </c>
      <c r="G11">
        <v>11</v>
      </c>
      <c r="H11">
        <v>26</v>
      </c>
      <c r="K11">
        <v>12</v>
      </c>
      <c r="L11">
        <v>48</v>
      </c>
      <c r="M11">
        <v>5641081.0810810803</v>
      </c>
      <c r="N11">
        <v>8677477.4774774779</v>
      </c>
      <c r="O11">
        <v>28298459.459459461</v>
      </c>
      <c r="P11">
        <v>27567396.396396395</v>
      </c>
      <c r="Q11">
        <v>5401801.8018018007</v>
      </c>
      <c r="R11">
        <v>7218738.738738738</v>
      </c>
      <c r="S11">
        <v>2902</v>
      </c>
      <c r="T11">
        <v>3039</v>
      </c>
    </row>
    <row r="12" spans="1:20" x14ac:dyDescent="0.35">
      <c r="A12" s="7" t="s">
        <v>61</v>
      </c>
      <c r="B12" s="12" t="s">
        <v>62</v>
      </c>
      <c r="C12">
        <v>287218830.84498072</v>
      </c>
      <c r="D12">
        <v>276214238.11404425</v>
      </c>
      <c r="E12">
        <v>62162.162162164997</v>
      </c>
      <c r="F12">
        <v>102903153.15315315</v>
      </c>
      <c r="G12">
        <v>60</v>
      </c>
      <c r="H12">
        <v>31</v>
      </c>
      <c r="K12">
        <v>77</v>
      </c>
      <c r="L12">
        <v>36</v>
      </c>
      <c r="M12">
        <v>5787747.7477477519</v>
      </c>
      <c r="N12">
        <v>51760990.990990989</v>
      </c>
      <c r="O12">
        <v>29669954.954954952</v>
      </c>
      <c r="P12">
        <v>28803009.009009007</v>
      </c>
      <c r="Q12">
        <v>5806126.1261261301</v>
      </c>
      <c r="R12">
        <v>46727027.027027018</v>
      </c>
      <c r="S12">
        <v>8626</v>
      </c>
      <c r="T12">
        <v>9691</v>
      </c>
    </row>
    <row r="13" spans="1:20" x14ac:dyDescent="0.35">
      <c r="A13" s="7" t="s">
        <v>63</v>
      </c>
      <c r="B13" s="12" t="s">
        <v>50</v>
      </c>
      <c r="C13">
        <v>151056390.96278417</v>
      </c>
      <c r="D13">
        <v>147504985.698461</v>
      </c>
      <c r="E13">
        <v>650450.45045045204</v>
      </c>
      <c r="F13">
        <v>1753153.153153158</v>
      </c>
      <c r="G13">
        <v>25</v>
      </c>
      <c r="H13">
        <v>57</v>
      </c>
      <c r="K13">
        <v>26</v>
      </c>
      <c r="L13">
        <v>90</v>
      </c>
      <c r="M13">
        <v>52204864.864864863</v>
      </c>
      <c r="N13">
        <v>27756486.486486487</v>
      </c>
      <c r="O13">
        <v>56465873.873873875</v>
      </c>
      <c r="P13">
        <v>55049585.585585587</v>
      </c>
      <c r="Q13">
        <v>52372972.972972974</v>
      </c>
      <c r="R13">
        <v>27871981.981981982</v>
      </c>
      <c r="S13">
        <v>5138</v>
      </c>
      <c r="T13">
        <v>5485</v>
      </c>
    </row>
    <row r="14" spans="1:20" x14ac:dyDescent="0.35">
      <c r="A14" s="7" t="s">
        <v>64</v>
      </c>
      <c r="B14" s="12" t="s">
        <v>50</v>
      </c>
      <c r="C14">
        <v>155942175.05430093</v>
      </c>
      <c r="D14">
        <v>150730769.85020775</v>
      </c>
      <c r="E14">
        <v>1277027.027027027</v>
      </c>
      <c r="F14">
        <v>2304504.5045045051</v>
      </c>
      <c r="G14">
        <v>19</v>
      </c>
      <c r="H14">
        <v>39</v>
      </c>
      <c r="K14">
        <v>25</v>
      </c>
      <c r="L14">
        <v>51</v>
      </c>
      <c r="M14">
        <v>24669459.459459458</v>
      </c>
      <c r="N14">
        <v>15370450.450450448</v>
      </c>
      <c r="O14">
        <v>58961009.009009011</v>
      </c>
      <c r="P14">
        <v>56565603.603603601</v>
      </c>
      <c r="Q14">
        <v>24851711.711711712</v>
      </c>
      <c r="R14">
        <v>14652702.702702705</v>
      </c>
      <c r="S14">
        <v>5819</v>
      </c>
      <c r="T14">
        <v>5500</v>
      </c>
    </row>
    <row r="15" spans="1:20" x14ac:dyDescent="0.35">
      <c r="A15" s="7" t="s">
        <v>65</v>
      </c>
      <c r="B15" s="12" t="s">
        <v>66</v>
      </c>
      <c r="C15">
        <v>157132507.2991716</v>
      </c>
      <c r="D15">
        <v>151346543.89979085</v>
      </c>
      <c r="E15">
        <v>1464954.9549549569</v>
      </c>
      <c r="F15">
        <v>3140540.5405405448</v>
      </c>
      <c r="G15">
        <v>63</v>
      </c>
      <c r="H15">
        <v>37</v>
      </c>
      <c r="K15">
        <v>73</v>
      </c>
      <c r="L15">
        <v>60</v>
      </c>
      <c r="M15">
        <v>33801621.621621624</v>
      </c>
      <c r="N15">
        <v>130088018.01801802</v>
      </c>
      <c r="O15">
        <v>77561252.252252251</v>
      </c>
      <c r="P15">
        <v>77861846.846846849</v>
      </c>
      <c r="Q15">
        <v>25522972.97297297</v>
      </c>
      <c r="R15">
        <v>60414324.324324325</v>
      </c>
      <c r="S15">
        <v>5795</v>
      </c>
      <c r="T15">
        <v>5452</v>
      </c>
    </row>
    <row r="16" spans="1:20" x14ac:dyDescent="0.35">
      <c r="A16" s="7" t="s">
        <v>67</v>
      </c>
      <c r="B16" s="12" t="s">
        <v>68</v>
      </c>
      <c r="C16">
        <v>91581079.112742603</v>
      </c>
      <c r="D16">
        <v>87738827.844712839</v>
      </c>
      <c r="E16">
        <v>312162.162162163</v>
      </c>
      <c r="F16">
        <v>971171.17117116996</v>
      </c>
      <c r="G16">
        <v>44</v>
      </c>
      <c r="H16">
        <v>25</v>
      </c>
      <c r="K16">
        <v>52</v>
      </c>
      <c r="L16">
        <v>29</v>
      </c>
      <c r="M16">
        <v>13696306.306306304</v>
      </c>
      <c r="N16">
        <v>15938738.73873874</v>
      </c>
      <c r="O16">
        <v>23730675.675675675</v>
      </c>
      <c r="P16">
        <v>23830243.243243244</v>
      </c>
      <c r="Q16">
        <v>11779549.549549548</v>
      </c>
      <c r="R16">
        <v>11268648.648648648</v>
      </c>
      <c r="S16">
        <v>3470</v>
      </c>
      <c r="T16">
        <v>3102</v>
      </c>
    </row>
    <row r="17" spans="1:20" x14ac:dyDescent="0.35">
      <c r="A17" s="7" t="s">
        <v>69</v>
      </c>
      <c r="B17" s="12" t="s">
        <v>70</v>
      </c>
      <c r="C17">
        <v>7118531.2849524254</v>
      </c>
      <c r="D17">
        <v>6951231.6157312533</v>
      </c>
      <c r="F17">
        <v>13513.513513514001</v>
      </c>
      <c r="G17">
        <v>1</v>
      </c>
      <c r="H17">
        <v>2</v>
      </c>
      <c r="K17">
        <v>1</v>
      </c>
      <c r="L17">
        <v>2</v>
      </c>
      <c r="M17">
        <v>275675.67567567498</v>
      </c>
      <c r="N17">
        <v>193693.69369369399</v>
      </c>
      <c r="O17">
        <v>1600585.585585586</v>
      </c>
      <c r="P17">
        <v>2149639.6396396402</v>
      </c>
      <c r="Q17">
        <v>254054.054054054</v>
      </c>
      <c r="R17">
        <v>158558.55855855899</v>
      </c>
      <c r="S17">
        <v>472</v>
      </c>
      <c r="T17">
        <v>317</v>
      </c>
    </row>
    <row r="18" spans="1:20" x14ac:dyDescent="0.35">
      <c r="A18" s="7" t="s">
        <v>71</v>
      </c>
      <c r="B18" s="12" t="s">
        <v>72</v>
      </c>
      <c r="C18">
        <v>1270103658.7761645</v>
      </c>
      <c r="D18">
        <v>1217711017.5522768</v>
      </c>
      <c r="E18">
        <v>295090318.91891891</v>
      </c>
      <c r="F18">
        <v>283042228.82882881</v>
      </c>
      <c r="G18">
        <v>332</v>
      </c>
      <c r="H18">
        <v>317</v>
      </c>
      <c r="I18">
        <v>15</v>
      </c>
      <c r="K18">
        <v>512</v>
      </c>
      <c r="L18">
        <v>615</v>
      </c>
      <c r="M18">
        <v>137235592.7927928</v>
      </c>
      <c r="N18">
        <v>137504511.7117117</v>
      </c>
      <c r="O18">
        <v>239602645.04504505</v>
      </c>
      <c r="P18">
        <v>243566846.3963964</v>
      </c>
      <c r="Q18">
        <v>123855945.94594595</v>
      </c>
      <c r="R18">
        <v>112754007.2072072</v>
      </c>
      <c r="S18">
        <v>45938</v>
      </c>
      <c r="T18">
        <v>45220</v>
      </c>
    </row>
    <row r="19" spans="1:20" x14ac:dyDescent="0.35">
      <c r="A19" s="7" t="s">
        <v>73</v>
      </c>
      <c r="B19" s="12" t="s">
        <v>72</v>
      </c>
      <c r="C19">
        <v>123662860.45301135</v>
      </c>
      <c r="D19">
        <v>122857037.49250942</v>
      </c>
      <c r="E19">
        <v>3603.603603604</v>
      </c>
      <c r="F19">
        <v>72972.972972974007</v>
      </c>
      <c r="G19">
        <v>32</v>
      </c>
      <c r="H19">
        <v>36</v>
      </c>
      <c r="K19">
        <v>38</v>
      </c>
      <c r="L19">
        <v>39</v>
      </c>
      <c r="M19">
        <v>2553153.1531531531</v>
      </c>
      <c r="N19">
        <v>3811711.7117117108</v>
      </c>
      <c r="O19">
        <v>16750945.945945946</v>
      </c>
      <c r="P19">
        <v>17734720.72072072</v>
      </c>
      <c r="Q19">
        <v>2254954.9549549539</v>
      </c>
      <c r="R19">
        <v>2959279.2792792791</v>
      </c>
      <c r="S19">
        <v>3788</v>
      </c>
      <c r="T19">
        <v>3342</v>
      </c>
    </row>
    <row r="20" spans="1:20" x14ac:dyDescent="0.35">
      <c r="A20" s="7" t="s">
        <v>74</v>
      </c>
      <c r="B20" s="12" t="s">
        <v>70</v>
      </c>
      <c r="C20">
        <v>123684660.59659429</v>
      </c>
      <c r="D20">
        <v>121034643.46201035</v>
      </c>
      <c r="E20">
        <v>10169909.909909911</v>
      </c>
      <c r="F20">
        <v>79747747.747747764</v>
      </c>
      <c r="G20">
        <v>33</v>
      </c>
      <c r="H20">
        <v>38</v>
      </c>
      <c r="K20">
        <v>39</v>
      </c>
      <c r="L20">
        <v>55</v>
      </c>
      <c r="M20">
        <v>29654369.369369373</v>
      </c>
      <c r="N20">
        <v>43008108.108108111</v>
      </c>
      <c r="O20">
        <v>41840882.882882878</v>
      </c>
      <c r="P20">
        <v>43334279.279279277</v>
      </c>
      <c r="Q20">
        <v>34057297.297297299</v>
      </c>
      <c r="R20">
        <v>24302252.252252251</v>
      </c>
      <c r="S20">
        <v>4302</v>
      </c>
      <c r="T20">
        <v>5046</v>
      </c>
    </row>
    <row r="21" spans="1:20" x14ac:dyDescent="0.35">
      <c r="A21" s="7" t="s">
        <v>75</v>
      </c>
      <c r="B21" s="12" t="s">
        <v>76</v>
      </c>
      <c r="C21">
        <v>35384113.252468757</v>
      </c>
      <c r="D21">
        <v>35455739.218280919</v>
      </c>
      <c r="E21">
        <v>77477.477477477994</v>
      </c>
      <c r="F21">
        <v>77477.477477477994</v>
      </c>
      <c r="G21">
        <v>9</v>
      </c>
      <c r="H21">
        <v>7</v>
      </c>
      <c r="K21">
        <v>10</v>
      </c>
      <c r="L21">
        <v>7</v>
      </c>
      <c r="M21">
        <v>4108108.1081081089</v>
      </c>
      <c r="N21">
        <v>3600180.1801801799</v>
      </c>
      <c r="O21">
        <v>8582432.4324324317</v>
      </c>
      <c r="P21">
        <v>9002855.8558558561</v>
      </c>
      <c r="Q21">
        <v>3111801.8018018021</v>
      </c>
      <c r="R21">
        <v>2723873.8738738741</v>
      </c>
      <c r="S21">
        <v>1455</v>
      </c>
      <c r="T21">
        <v>1462</v>
      </c>
    </row>
    <row r="22" spans="1:20" x14ac:dyDescent="0.35">
      <c r="A22" s="7" t="s">
        <v>77</v>
      </c>
      <c r="B22" s="12" t="s">
        <v>78</v>
      </c>
      <c r="C22">
        <v>81768829.965035975</v>
      </c>
      <c r="D22">
        <v>74196432.557516128</v>
      </c>
      <c r="E22">
        <v>461351.35135135101</v>
      </c>
      <c r="F22">
        <v>897297.29729729798</v>
      </c>
      <c r="G22">
        <v>21</v>
      </c>
      <c r="H22">
        <v>13</v>
      </c>
      <c r="K22">
        <v>23</v>
      </c>
      <c r="L22">
        <v>17</v>
      </c>
      <c r="M22">
        <v>10037927.927927928</v>
      </c>
      <c r="N22">
        <v>6978378.3783783782</v>
      </c>
      <c r="O22">
        <v>25756252.252252251</v>
      </c>
      <c r="P22">
        <v>23695666.666666664</v>
      </c>
      <c r="Q22">
        <v>8265315.3153153136</v>
      </c>
      <c r="R22">
        <v>9416486.4864864871</v>
      </c>
      <c r="S22">
        <v>2536</v>
      </c>
      <c r="T22">
        <v>2419</v>
      </c>
    </row>
    <row r="23" spans="1:20" x14ac:dyDescent="0.35">
      <c r="A23" s="7" t="s">
        <v>79</v>
      </c>
      <c r="B23" s="12" t="s">
        <v>80</v>
      </c>
      <c r="C23">
        <v>747561647.08338785</v>
      </c>
      <c r="D23">
        <v>709471308.96333885</v>
      </c>
      <c r="E23">
        <v>2339189.1891891961</v>
      </c>
      <c r="F23">
        <v>3509009.009009019</v>
      </c>
      <c r="G23">
        <v>242</v>
      </c>
      <c r="H23">
        <v>532</v>
      </c>
      <c r="I23">
        <v>3</v>
      </c>
      <c r="K23">
        <v>298</v>
      </c>
      <c r="L23">
        <v>632</v>
      </c>
      <c r="M23">
        <v>203525495.4954955</v>
      </c>
      <c r="N23">
        <v>73972972.972972959</v>
      </c>
      <c r="O23">
        <v>182144283.78378376</v>
      </c>
      <c r="P23">
        <v>183594265.76576576</v>
      </c>
      <c r="Q23">
        <v>62400630.630630635</v>
      </c>
      <c r="R23">
        <v>61335315.315315321</v>
      </c>
      <c r="S23">
        <v>27003</v>
      </c>
      <c r="T23">
        <v>25777</v>
      </c>
    </row>
    <row r="24" spans="1:20" x14ac:dyDescent="0.35">
      <c r="A24" s="7" t="s">
        <v>81</v>
      </c>
      <c r="B24" s="12" t="s">
        <v>54</v>
      </c>
      <c r="C24">
        <v>21206730.162305664</v>
      </c>
      <c r="D24">
        <v>20978722.859229404</v>
      </c>
      <c r="E24">
        <v>141441.441441442</v>
      </c>
      <c r="F24">
        <v>179279.279279282</v>
      </c>
      <c r="G24">
        <v>7</v>
      </c>
      <c r="H24">
        <v>8</v>
      </c>
      <c r="K24">
        <v>9</v>
      </c>
      <c r="L24">
        <v>14</v>
      </c>
      <c r="M24">
        <v>2213963.9639639622</v>
      </c>
      <c r="N24">
        <v>1877477.477477479</v>
      </c>
      <c r="O24">
        <v>4692792.7927927934</v>
      </c>
      <c r="P24">
        <v>4612792.7927927924</v>
      </c>
      <c r="Q24">
        <v>2229279.2792792791</v>
      </c>
      <c r="R24">
        <v>1164324.324324325</v>
      </c>
      <c r="S24">
        <v>1433</v>
      </c>
      <c r="T24">
        <v>1141</v>
      </c>
    </row>
    <row r="25" spans="1:20" x14ac:dyDescent="0.35">
      <c r="A25" s="7" t="s">
        <v>82</v>
      </c>
      <c r="B25" s="12" t="s">
        <v>83</v>
      </c>
      <c r="C25">
        <v>518071850.45314968</v>
      </c>
      <c r="D25">
        <v>508676656.01064992</v>
      </c>
      <c r="E25">
        <v>3200990.990990994</v>
      </c>
      <c r="F25">
        <v>4770495.4954954972</v>
      </c>
      <c r="G25">
        <v>85</v>
      </c>
      <c r="H25">
        <v>89</v>
      </c>
      <c r="I25">
        <v>1</v>
      </c>
      <c r="K25">
        <v>98</v>
      </c>
      <c r="L25">
        <v>115</v>
      </c>
      <c r="M25">
        <v>87139729.729729727</v>
      </c>
      <c r="N25">
        <v>125659009.009009</v>
      </c>
      <c r="O25">
        <v>143066971.17117116</v>
      </c>
      <c r="P25">
        <v>147715376.12612611</v>
      </c>
      <c r="Q25">
        <v>81421801.801801786</v>
      </c>
      <c r="R25">
        <v>78743603.603603601</v>
      </c>
      <c r="S25">
        <v>15400</v>
      </c>
      <c r="T25">
        <v>15047</v>
      </c>
    </row>
    <row r="26" spans="1:20" x14ac:dyDescent="0.35">
      <c r="A26" s="7" t="s">
        <v>84</v>
      </c>
      <c r="B26" s="12" t="s">
        <v>85</v>
      </c>
      <c r="C26">
        <v>54283488.291997515</v>
      </c>
      <c r="D26">
        <v>46395461.595278472</v>
      </c>
      <c r="E26">
        <v>145045.045045045</v>
      </c>
      <c r="F26">
        <v>1065540.540540542</v>
      </c>
      <c r="G26">
        <v>20</v>
      </c>
      <c r="H26">
        <v>29</v>
      </c>
      <c r="K26">
        <v>28</v>
      </c>
      <c r="L26">
        <v>35</v>
      </c>
      <c r="M26">
        <v>50931081.081081077</v>
      </c>
      <c r="N26">
        <v>75065045.045045033</v>
      </c>
      <c r="O26">
        <v>18349639.639639638</v>
      </c>
      <c r="P26">
        <v>17822927.927927926</v>
      </c>
      <c r="Q26">
        <v>35098468.468468465</v>
      </c>
      <c r="R26">
        <v>63683693.693693697</v>
      </c>
      <c r="S26">
        <v>2364</v>
      </c>
      <c r="T26">
        <v>2190</v>
      </c>
    </row>
    <row r="27" spans="1:20" x14ac:dyDescent="0.35">
      <c r="A27" s="7" t="s">
        <v>86</v>
      </c>
      <c r="B27" s="12" t="s">
        <v>87</v>
      </c>
      <c r="C27">
        <v>2116352.3073441219</v>
      </c>
      <c r="D27">
        <v>1805461.46921293</v>
      </c>
      <c r="G27">
        <v>2</v>
      </c>
      <c r="H27">
        <v>1</v>
      </c>
      <c r="K27">
        <v>2</v>
      </c>
      <c r="L27">
        <v>1</v>
      </c>
      <c r="O27">
        <v>661846.84684684605</v>
      </c>
      <c r="P27">
        <v>879918.91891891905</v>
      </c>
      <c r="S27">
        <v>159</v>
      </c>
      <c r="T27">
        <v>142</v>
      </c>
    </row>
    <row r="28" spans="1:20" x14ac:dyDescent="0.35">
      <c r="A28" s="7" t="s">
        <v>88</v>
      </c>
      <c r="B28" s="12" t="s">
        <v>89</v>
      </c>
      <c r="C28">
        <v>105143430.09938148</v>
      </c>
      <c r="D28">
        <v>102079950.86960393</v>
      </c>
      <c r="E28">
        <v>225225.225225225</v>
      </c>
      <c r="F28">
        <v>906306.30630630802</v>
      </c>
      <c r="G28">
        <v>11</v>
      </c>
      <c r="H28">
        <v>13</v>
      </c>
      <c r="K28">
        <v>13</v>
      </c>
      <c r="L28">
        <v>14</v>
      </c>
      <c r="M28">
        <v>9087927.927927928</v>
      </c>
      <c r="N28">
        <v>14826306.306306306</v>
      </c>
      <c r="O28">
        <v>36533693.693693697</v>
      </c>
      <c r="P28">
        <v>35493126.126126125</v>
      </c>
      <c r="Q28">
        <v>8274054.0540540526</v>
      </c>
      <c r="R28">
        <v>15542792.79279279</v>
      </c>
      <c r="S28">
        <v>3474</v>
      </c>
      <c r="T28">
        <v>3297</v>
      </c>
    </row>
    <row r="29" spans="1:20" x14ac:dyDescent="0.35">
      <c r="A29" s="7" t="s">
        <v>90</v>
      </c>
      <c r="B29" s="12" t="s">
        <v>60</v>
      </c>
      <c r="C29">
        <v>34833027.321443215</v>
      </c>
      <c r="D29">
        <v>37894022.467362106</v>
      </c>
      <c r="E29">
        <v>55855.855855856003</v>
      </c>
      <c r="F29">
        <v>73873.873873874996</v>
      </c>
      <c r="G29">
        <v>15</v>
      </c>
      <c r="H29">
        <v>6</v>
      </c>
      <c r="K29">
        <v>82</v>
      </c>
      <c r="L29">
        <v>88</v>
      </c>
      <c r="M29">
        <v>3209009.0090090069</v>
      </c>
      <c r="N29">
        <v>2794594.5945945941</v>
      </c>
      <c r="O29">
        <v>20267477.477477476</v>
      </c>
      <c r="P29">
        <v>22637207.207207207</v>
      </c>
      <c r="Q29">
        <v>2707207.2072072071</v>
      </c>
      <c r="R29">
        <v>2850990.9909909898</v>
      </c>
      <c r="S29">
        <v>1542</v>
      </c>
      <c r="T29">
        <v>1604</v>
      </c>
    </row>
    <row r="30" spans="1:20" x14ac:dyDescent="0.35">
      <c r="A30" s="7" t="s">
        <v>91</v>
      </c>
      <c r="B30" s="12" t="s">
        <v>92</v>
      </c>
      <c r="C30">
        <v>30946806.359901801</v>
      </c>
      <c r="D30">
        <v>31188813.139984854</v>
      </c>
      <c r="E30">
        <v>9459459.4594594594</v>
      </c>
      <c r="F30">
        <v>31188288.288288288</v>
      </c>
      <c r="G30">
        <v>9</v>
      </c>
      <c r="H30">
        <v>8</v>
      </c>
      <c r="K30">
        <v>11</v>
      </c>
      <c r="L30">
        <v>11</v>
      </c>
      <c r="M30">
        <v>12805360.36036036</v>
      </c>
      <c r="N30">
        <v>11107207.207207208</v>
      </c>
      <c r="O30">
        <v>10177747.747747747</v>
      </c>
      <c r="P30">
        <v>9799585.5855855867</v>
      </c>
      <c r="Q30">
        <v>60540.540540540998</v>
      </c>
      <c r="R30">
        <v>11431081.081081079</v>
      </c>
      <c r="S30">
        <v>1145</v>
      </c>
      <c r="T30">
        <v>1056</v>
      </c>
    </row>
    <row r="31" spans="1:20" x14ac:dyDescent="0.35">
      <c r="A31" s="7" t="s">
        <v>93</v>
      </c>
      <c r="B31" s="12" t="s">
        <v>94</v>
      </c>
      <c r="C31">
        <v>140895487.51468825</v>
      </c>
      <c r="D31">
        <v>134090391.09071885</v>
      </c>
      <c r="E31">
        <v>34234.234234235002</v>
      </c>
      <c r="F31">
        <v>247747.74774775101</v>
      </c>
      <c r="G31">
        <v>34</v>
      </c>
      <c r="H31">
        <v>22</v>
      </c>
      <c r="K31">
        <v>39</v>
      </c>
      <c r="L31">
        <v>25</v>
      </c>
      <c r="M31">
        <v>12982882.882882884</v>
      </c>
      <c r="N31">
        <v>14621621.621621624</v>
      </c>
      <c r="O31">
        <v>18843198.198198199</v>
      </c>
      <c r="P31">
        <v>19087908.108108107</v>
      </c>
      <c r="Q31">
        <v>13577387.387387387</v>
      </c>
      <c r="R31">
        <v>13227297.297297299</v>
      </c>
      <c r="S31">
        <v>4468</v>
      </c>
      <c r="T31">
        <v>4472</v>
      </c>
    </row>
    <row r="32" spans="1:20" x14ac:dyDescent="0.35">
      <c r="A32" s="7" t="s">
        <v>95</v>
      </c>
      <c r="B32" s="12" t="s">
        <v>96</v>
      </c>
      <c r="C32">
        <v>140710023.11358261</v>
      </c>
      <c r="D32">
        <v>139300933.58872515</v>
      </c>
      <c r="E32">
        <v>207207.207207208</v>
      </c>
      <c r="F32">
        <v>590090.09009009099</v>
      </c>
      <c r="G32">
        <v>32</v>
      </c>
      <c r="H32">
        <v>28</v>
      </c>
      <c r="K32">
        <v>39</v>
      </c>
      <c r="L32">
        <v>35</v>
      </c>
      <c r="M32">
        <v>16683153.153153157</v>
      </c>
      <c r="N32">
        <v>26636036.036036037</v>
      </c>
      <c r="O32">
        <v>65956837.837837838</v>
      </c>
      <c r="P32">
        <v>68752090.090090081</v>
      </c>
      <c r="Q32">
        <v>18177927.927927926</v>
      </c>
      <c r="R32">
        <v>22605495.495495494</v>
      </c>
      <c r="S32">
        <v>6188</v>
      </c>
      <c r="T32">
        <v>5860</v>
      </c>
    </row>
    <row r="33" spans="1:20" x14ac:dyDescent="0.35">
      <c r="A33" s="7" t="s">
        <v>97</v>
      </c>
      <c r="B33" s="12" t="s">
        <v>98</v>
      </c>
      <c r="C33">
        <v>498169564.00503826</v>
      </c>
      <c r="D33">
        <v>497222261.861036</v>
      </c>
      <c r="E33">
        <v>1619909.9099099101</v>
      </c>
      <c r="F33">
        <v>4148648.6486486499</v>
      </c>
      <c r="G33">
        <v>221</v>
      </c>
      <c r="H33">
        <v>199</v>
      </c>
      <c r="K33">
        <v>257</v>
      </c>
      <c r="L33">
        <v>236</v>
      </c>
      <c r="M33">
        <v>62825675.675675675</v>
      </c>
      <c r="N33">
        <v>105882432.43243243</v>
      </c>
      <c r="O33">
        <v>128072926.12612613</v>
      </c>
      <c r="P33">
        <v>128382667.56756757</v>
      </c>
      <c r="Q33">
        <v>60811531.53153152</v>
      </c>
      <c r="R33">
        <v>60232252.252252258</v>
      </c>
      <c r="S33">
        <v>22522</v>
      </c>
      <c r="T33">
        <v>22657</v>
      </c>
    </row>
    <row r="34" spans="1:20" x14ac:dyDescent="0.35">
      <c r="A34" s="7" t="s">
        <v>99</v>
      </c>
      <c r="B34" s="12" t="s">
        <v>98</v>
      </c>
      <c r="C34">
        <v>830267869.90397513</v>
      </c>
      <c r="D34">
        <v>807263590.57211018</v>
      </c>
      <c r="E34">
        <v>627553.15315315896</v>
      </c>
      <c r="F34">
        <v>3664156.7567567611</v>
      </c>
      <c r="G34">
        <v>226</v>
      </c>
      <c r="H34">
        <v>226</v>
      </c>
      <c r="K34">
        <v>281</v>
      </c>
      <c r="L34">
        <v>376</v>
      </c>
      <c r="M34">
        <v>55932747.747747742</v>
      </c>
      <c r="N34">
        <v>43698198.198198199</v>
      </c>
      <c r="O34">
        <v>156992139.63963965</v>
      </c>
      <c r="P34">
        <v>155122986.48648649</v>
      </c>
      <c r="Q34">
        <v>55982387.387387387</v>
      </c>
      <c r="R34">
        <v>43941441.441441439</v>
      </c>
      <c r="S34">
        <v>28013</v>
      </c>
      <c r="T34">
        <v>27696</v>
      </c>
    </row>
    <row r="35" spans="1:20" x14ac:dyDescent="0.35">
      <c r="A35" s="7" t="s">
        <v>100</v>
      </c>
      <c r="B35" s="12" t="s">
        <v>98</v>
      </c>
      <c r="C35">
        <v>795148258.28517365</v>
      </c>
      <c r="D35">
        <v>967392248.87508786</v>
      </c>
      <c r="E35">
        <v>1740540.5405405441</v>
      </c>
      <c r="F35">
        <v>8427027.027027037</v>
      </c>
      <c r="G35">
        <v>168</v>
      </c>
      <c r="H35">
        <v>196</v>
      </c>
      <c r="I35">
        <v>5</v>
      </c>
      <c r="K35">
        <v>291</v>
      </c>
      <c r="L35">
        <v>471</v>
      </c>
      <c r="M35">
        <v>525740045.04504508</v>
      </c>
      <c r="N35">
        <v>252989864.86486486</v>
      </c>
      <c r="O35">
        <v>156856331.53153151</v>
      </c>
      <c r="P35">
        <v>390669795.04504508</v>
      </c>
      <c r="Q35">
        <v>524770989.1891892</v>
      </c>
      <c r="R35">
        <v>67816621.621621639</v>
      </c>
      <c r="S35">
        <v>32875</v>
      </c>
      <c r="T35">
        <v>34160</v>
      </c>
    </row>
    <row r="36" spans="1:20" x14ac:dyDescent="0.35">
      <c r="A36" s="7" t="s">
        <v>101</v>
      </c>
      <c r="B36" s="12" t="s">
        <v>98</v>
      </c>
      <c r="C36">
        <v>475501041.44090676</v>
      </c>
      <c r="D36">
        <v>464207961.50684422</v>
      </c>
      <c r="E36">
        <v>43072972.972972974</v>
      </c>
      <c r="F36">
        <v>2212612.6126126172</v>
      </c>
      <c r="G36">
        <v>150</v>
      </c>
      <c r="H36">
        <v>125</v>
      </c>
      <c r="I36">
        <v>1</v>
      </c>
      <c r="K36">
        <v>185</v>
      </c>
      <c r="L36">
        <v>167</v>
      </c>
      <c r="M36">
        <v>42321756.756756753</v>
      </c>
      <c r="N36">
        <v>40467342.342342339</v>
      </c>
      <c r="O36">
        <v>101406520.72072072</v>
      </c>
      <c r="P36">
        <v>103078693.6936937</v>
      </c>
      <c r="Q36">
        <v>32971981.981981982</v>
      </c>
      <c r="R36">
        <v>32630540.540540542</v>
      </c>
      <c r="S36">
        <v>21909</v>
      </c>
      <c r="T36">
        <v>21376</v>
      </c>
    </row>
    <row r="37" spans="1:20" x14ac:dyDescent="0.35">
      <c r="A37" s="7" t="s">
        <v>102</v>
      </c>
      <c r="B37" s="12" t="s">
        <v>98</v>
      </c>
      <c r="C37">
        <v>526399523.57156634</v>
      </c>
      <c r="D37">
        <v>523069851.24904609</v>
      </c>
      <c r="E37">
        <v>3874369.3693693718</v>
      </c>
      <c r="F37">
        <v>4625225.2252252279</v>
      </c>
      <c r="G37">
        <v>93</v>
      </c>
      <c r="H37">
        <v>111</v>
      </c>
      <c r="I37">
        <v>1</v>
      </c>
      <c r="K37">
        <v>111</v>
      </c>
      <c r="L37">
        <v>155</v>
      </c>
      <c r="M37">
        <v>76348738.738738731</v>
      </c>
      <c r="N37">
        <v>76482882.882882878</v>
      </c>
      <c r="O37">
        <v>148471790.99099097</v>
      </c>
      <c r="P37">
        <v>151680632.88288289</v>
      </c>
      <c r="Q37">
        <v>67935675.675675675</v>
      </c>
      <c r="R37">
        <v>73042972.972972974</v>
      </c>
      <c r="S37">
        <v>25279</v>
      </c>
      <c r="T37">
        <v>24974</v>
      </c>
    </row>
    <row r="38" spans="1:20" x14ac:dyDescent="0.35">
      <c r="A38" s="7" t="s">
        <v>103</v>
      </c>
      <c r="B38" s="12" t="s">
        <v>98</v>
      </c>
      <c r="C38">
        <v>1356630660.3873863</v>
      </c>
      <c r="D38">
        <v>1347115756.793458</v>
      </c>
      <c r="E38">
        <v>448451506.3063063</v>
      </c>
      <c r="F38">
        <v>495954107.2072072</v>
      </c>
      <c r="G38">
        <v>385</v>
      </c>
      <c r="H38">
        <v>353</v>
      </c>
      <c r="I38">
        <v>14</v>
      </c>
      <c r="K38">
        <v>493</v>
      </c>
      <c r="L38">
        <v>558</v>
      </c>
      <c r="M38">
        <v>122083063.06306306</v>
      </c>
      <c r="N38">
        <v>125479582.88288288</v>
      </c>
      <c r="O38">
        <v>274924881.08108109</v>
      </c>
      <c r="P38">
        <v>289804837.83783782</v>
      </c>
      <c r="Q38">
        <v>120405448.64864863</v>
      </c>
      <c r="R38">
        <v>125309549.54954953</v>
      </c>
      <c r="S38">
        <v>55149</v>
      </c>
      <c r="T38">
        <v>55100</v>
      </c>
    </row>
    <row r="39" spans="1:20" x14ac:dyDescent="0.35">
      <c r="A39" s="7" t="s">
        <v>104</v>
      </c>
      <c r="B39" s="12" t="s">
        <v>105</v>
      </c>
      <c r="C39">
        <v>103045393.85466164</v>
      </c>
      <c r="D39">
        <v>94094485.472229749</v>
      </c>
      <c r="E39">
        <v>190090.09009009</v>
      </c>
      <c r="F39">
        <v>809909.90990991006</v>
      </c>
      <c r="G39">
        <v>25</v>
      </c>
      <c r="H39">
        <v>16</v>
      </c>
      <c r="K39">
        <v>30</v>
      </c>
      <c r="L39">
        <v>17</v>
      </c>
      <c r="M39">
        <v>1032432.432432432</v>
      </c>
      <c r="N39">
        <v>1260360.36036036</v>
      </c>
      <c r="O39">
        <v>18767162.162162159</v>
      </c>
      <c r="P39">
        <v>19133675.675675675</v>
      </c>
      <c r="Q39">
        <v>929639.63963963999</v>
      </c>
      <c r="R39">
        <v>595045.04504504602</v>
      </c>
      <c r="S39">
        <v>2516</v>
      </c>
      <c r="T39">
        <v>2057</v>
      </c>
    </row>
    <row r="40" spans="1:20" x14ac:dyDescent="0.35">
      <c r="A40" s="7" t="s">
        <v>106</v>
      </c>
      <c r="B40" s="12" t="s">
        <v>54</v>
      </c>
      <c r="C40">
        <v>32977559.07287728</v>
      </c>
      <c r="D40">
        <v>30543872.750768952</v>
      </c>
      <c r="E40">
        <v>139639.63963963999</v>
      </c>
      <c r="F40">
        <v>21621.621621621998</v>
      </c>
      <c r="G40">
        <v>12</v>
      </c>
      <c r="H40">
        <v>16</v>
      </c>
      <c r="K40">
        <v>26</v>
      </c>
      <c r="L40">
        <v>28</v>
      </c>
      <c r="M40">
        <v>1108558.5585585581</v>
      </c>
      <c r="N40">
        <v>957117.11711711704</v>
      </c>
      <c r="O40">
        <v>7667882.8828828828</v>
      </c>
      <c r="P40">
        <v>8328621.6216216218</v>
      </c>
      <c r="Q40">
        <v>1426036.036036036</v>
      </c>
      <c r="R40">
        <v>1154594.594594595</v>
      </c>
      <c r="S40">
        <v>1478</v>
      </c>
      <c r="T40">
        <v>1223</v>
      </c>
    </row>
    <row r="41" spans="1:20" x14ac:dyDescent="0.35">
      <c r="A41" s="7" t="s">
        <v>107</v>
      </c>
      <c r="B41" s="12" t="s">
        <v>108</v>
      </c>
      <c r="C41">
        <v>270128150.44149446</v>
      </c>
      <c r="D41">
        <v>257279147.73355719</v>
      </c>
      <c r="E41">
        <v>42753333.333333336</v>
      </c>
      <c r="F41">
        <v>88568468.468468487</v>
      </c>
      <c r="G41">
        <v>73</v>
      </c>
      <c r="H41">
        <v>70</v>
      </c>
      <c r="K41">
        <v>91</v>
      </c>
      <c r="L41">
        <v>87</v>
      </c>
      <c r="M41">
        <v>29999279.27927928</v>
      </c>
      <c r="N41">
        <v>36238918.918918923</v>
      </c>
      <c r="O41">
        <v>56371708.108108111</v>
      </c>
      <c r="P41">
        <v>58012648.648648649</v>
      </c>
      <c r="Q41">
        <v>22052072.072072074</v>
      </c>
      <c r="R41">
        <v>28649909.909909904</v>
      </c>
      <c r="S41">
        <v>10448</v>
      </c>
      <c r="T41">
        <v>9844</v>
      </c>
    </row>
    <row r="42" spans="1:20" x14ac:dyDescent="0.35">
      <c r="A42" s="7" t="s">
        <v>109</v>
      </c>
      <c r="B42" s="12" t="s">
        <v>108</v>
      </c>
      <c r="C42">
        <v>366685868.11390036</v>
      </c>
      <c r="D42">
        <v>365558243.43285108</v>
      </c>
      <c r="E42">
        <v>3653603.6036036061</v>
      </c>
      <c r="F42">
        <v>3174091.8918918991</v>
      </c>
      <c r="G42">
        <v>81</v>
      </c>
      <c r="H42">
        <v>117</v>
      </c>
      <c r="K42">
        <v>104</v>
      </c>
      <c r="L42">
        <v>198</v>
      </c>
      <c r="M42">
        <v>249036486.48648649</v>
      </c>
      <c r="N42">
        <v>24611533.333333336</v>
      </c>
      <c r="O42">
        <v>91871644.144144148</v>
      </c>
      <c r="P42">
        <v>107552765.76576576</v>
      </c>
      <c r="Q42">
        <v>195791711.7117117</v>
      </c>
      <c r="R42">
        <v>65928018.018018007</v>
      </c>
      <c r="S42">
        <v>14211</v>
      </c>
      <c r="T42">
        <v>13626</v>
      </c>
    </row>
    <row r="43" spans="1:20" x14ac:dyDescent="0.35">
      <c r="A43" s="7" t="s">
        <v>110</v>
      </c>
      <c r="B43" s="12" t="s">
        <v>111</v>
      </c>
      <c r="C43">
        <v>444377665.65155339</v>
      </c>
      <c r="D43">
        <v>418136005.9472158</v>
      </c>
      <c r="E43">
        <v>2167657.657657661</v>
      </c>
      <c r="F43">
        <v>5824324.3243243285</v>
      </c>
      <c r="G43">
        <v>74</v>
      </c>
      <c r="H43">
        <v>106</v>
      </c>
      <c r="I43">
        <v>1</v>
      </c>
      <c r="K43">
        <v>87</v>
      </c>
      <c r="L43">
        <v>274</v>
      </c>
      <c r="M43">
        <v>31990270.270270269</v>
      </c>
      <c r="N43">
        <v>41598222.522522517</v>
      </c>
      <c r="O43">
        <v>137615027.02702701</v>
      </c>
      <c r="P43">
        <v>146090324.32432431</v>
      </c>
      <c r="Q43">
        <v>30509369.369369369</v>
      </c>
      <c r="R43">
        <v>38563693.69369369</v>
      </c>
      <c r="S43">
        <v>19801</v>
      </c>
      <c r="T43">
        <v>18198</v>
      </c>
    </row>
    <row r="44" spans="1:20" x14ac:dyDescent="0.35">
      <c r="A44" s="7" t="s">
        <v>112</v>
      </c>
      <c r="B44" s="12" t="s">
        <v>111</v>
      </c>
      <c r="C44">
        <v>552364184.30563557</v>
      </c>
      <c r="D44">
        <v>546624295.36048234</v>
      </c>
      <c r="E44">
        <v>33737297.297297299</v>
      </c>
      <c r="F44">
        <v>89287297.297297314</v>
      </c>
      <c r="G44">
        <v>108</v>
      </c>
      <c r="H44">
        <v>210</v>
      </c>
      <c r="I44">
        <v>1</v>
      </c>
      <c r="K44">
        <v>135</v>
      </c>
      <c r="L44">
        <v>322</v>
      </c>
      <c r="M44">
        <v>38567837.837837823</v>
      </c>
      <c r="N44">
        <v>46717580.180180185</v>
      </c>
      <c r="O44">
        <v>184188873.87387386</v>
      </c>
      <c r="P44">
        <v>200041450.45045045</v>
      </c>
      <c r="Q44">
        <v>32202432.432432432</v>
      </c>
      <c r="R44">
        <v>46923513.513513513</v>
      </c>
      <c r="S44">
        <v>26756</v>
      </c>
      <c r="T44">
        <v>27157</v>
      </c>
    </row>
    <row r="45" spans="1:20" x14ac:dyDescent="0.35">
      <c r="A45" s="7" t="s">
        <v>113</v>
      </c>
      <c r="B45" s="12" t="s">
        <v>111</v>
      </c>
      <c r="C45">
        <v>377123560.13693112</v>
      </c>
      <c r="D45">
        <v>800852931.02763069</v>
      </c>
      <c r="E45">
        <v>8233333.3333333386</v>
      </c>
      <c r="F45">
        <v>3862837.8378378451</v>
      </c>
      <c r="G45">
        <v>86</v>
      </c>
      <c r="H45">
        <v>127</v>
      </c>
      <c r="I45">
        <v>3</v>
      </c>
      <c r="K45">
        <v>101</v>
      </c>
      <c r="L45">
        <v>336</v>
      </c>
      <c r="M45">
        <v>26316486.486486487</v>
      </c>
      <c r="N45">
        <v>26694249.549549554</v>
      </c>
      <c r="O45">
        <v>111744612.61261261</v>
      </c>
      <c r="P45">
        <v>548670673.87387383</v>
      </c>
      <c r="Q45">
        <v>23547477.477477476</v>
      </c>
      <c r="R45">
        <v>25904774.774774775</v>
      </c>
      <c r="S45">
        <v>13751</v>
      </c>
      <c r="T45">
        <v>15671</v>
      </c>
    </row>
    <row r="46" spans="1:20" x14ac:dyDescent="0.35">
      <c r="A46" s="7" t="s">
        <v>114</v>
      </c>
      <c r="B46" s="12" t="s">
        <v>111</v>
      </c>
      <c r="C46">
        <v>438514053.91621614</v>
      </c>
      <c r="D46">
        <v>440276802.65270352</v>
      </c>
      <c r="E46">
        <v>1704954.954954959</v>
      </c>
      <c r="F46">
        <v>5272747.7477477556</v>
      </c>
      <c r="G46">
        <v>107</v>
      </c>
      <c r="H46">
        <v>165</v>
      </c>
      <c r="I46">
        <v>11</v>
      </c>
      <c r="K46">
        <v>343</v>
      </c>
      <c r="L46">
        <v>419</v>
      </c>
      <c r="M46">
        <v>32093243.24324324</v>
      </c>
      <c r="N46">
        <v>41114774.774774775</v>
      </c>
      <c r="O46">
        <v>121902756.75675677</v>
      </c>
      <c r="P46">
        <v>125949810.81081082</v>
      </c>
      <c r="Q46">
        <v>30708828.828828823</v>
      </c>
      <c r="R46">
        <v>35458738.738738738</v>
      </c>
      <c r="S46">
        <v>19373</v>
      </c>
      <c r="T46">
        <v>19338</v>
      </c>
    </row>
    <row r="47" spans="1:20" x14ac:dyDescent="0.35">
      <c r="A47" s="7" t="s">
        <v>115</v>
      </c>
      <c r="B47" s="12" t="s">
        <v>111</v>
      </c>
      <c r="C47">
        <v>577152718.80296469</v>
      </c>
      <c r="D47">
        <v>543517523.88306642</v>
      </c>
      <c r="E47">
        <v>6229791.8918918949</v>
      </c>
      <c r="F47">
        <v>27013922.522522528</v>
      </c>
      <c r="G47">
        <v>180</v>
      </c>
      <c r="H47">
        <v>254</v>
      </c>
      <c r="I47">
        <v>1</v>
      </c>
      <c r="K47">
        <v>215</v>
      </c>
      <c r="L47">
        <v>446</v>
      </c>
      <c r="M47">
        <v>97768018.018018022</v>
      </c>
      <c r="N47">
        <v>184268927.92792794</v>
      </c>
      <c r="O47">
        <v>138729738.73873875</v>
      </c>
      <c r="P47">
        <v>173468820.27027026</v>
      </c>
      <c r="Q47">
        <v>86561801.801801786</v>
      </c>
      <c r="R47">
        <v>95362475.675675675</v>
      </c>
      <c r="S47">
        <v>25299</v>
      </c>
      <c r="T47">
        <v>24555</v>
      </c>
    </row>
    <row r="48" spans="1:20" x14ac:dyDescent="0.35">
      <c r="A48" s="7" t="s">
        <v>116</v>
      </c>
      <c r="B48" s="12" t="s">
        <v>54</v>
      </c>
      <c r="C48">
        <v>29870164.823509652</v>
      </c>
      <c r="D48">
        <v>28681983.281078763</v>
      </c>
      <c r="E48">
        <v>321621.62162162102</v>
      </c>
      <c r="F48">
        <v>828603.60360360402</v>
      </c>
      <c r="G48">
        <v>2</v>
      </c>
      <c r="H48">
        <v>8</v>
      </c>
      <c r="K48">
        <v>2</v>
      </c>
      <c r="L48">
        <v>9</v>
      </c>
      <c r="M48">
        <v>2925225.2252252251</v>
      </c>
      <c r="N48">
        <v>3036036.036036035</v>
      </c>
      <c r="O48">
        <v>7062648.6486486495</v>
      </c>
      <c r="P48">
        <v>6941189.1891891891</v>
      </c>
      <c r="Q48">
        <v>3070360.3603603621</v>
      </c>
      <c r="R48">
        <v>2380720.72072072</v>
      </c>
      <c r="S48">
        <v>1073</v>
      </c>
      <c r="T48">
        <v>1078</v>
      </c>
    </row>
    <row r="49" spans="1:20" x14ac:dyDescent="0.35">
      <c r="A49" s="7" t="s">
        <v>118</v>
      </c>
      <c r="B49" s="12" t="s">
        <v>78</v>
      </c>
      <c r="C49">
        <v>260214800.04509857</v>
      </c>
      <c r="D49">
        <v>248256291.31202173</v>
      </c>
      <c r="E49">
        <v>197050127.92792794</v>
      </c>
      <c r="F49">
        <v>265682617.11711711</v>
      </c>
      <c r="G49">
        <v>75</v>
      </c>
      <c r="H49">
        <v>78</v>
      </c>
      <c r="I49">
        <v>1</v>
      </c>
      <c r="K49">
        <v>97</v>
      </c>
      <c r="L49">
        <v>115</v>
      </c>
      <c r="M49">
        <v>41354684.684684679</v>
      </c>
      <c r="N49">
        <v>61797297.297297299</v>
      </c>
      <c r="O49">
        <v>96611603.603603601</v>
      </c>
      <c r="P49">
        <v>98430029.279279277</v>
      </c>
      <c r="Q49">
        <v>40794234.234234229</v>
      </c>
      <c r="R49">
        <v>57682612.612612613</v>
      </c>
      <c r="S49">
        <v>11432</v>
      </c>
      <c r="T49">
        <v>10690</v>
      </c>
    </row>
    <row r="50" spans="1:20" x14ac:dyDescent="0.35">
      <c r="A50" s="7" t="s">
        <v>119</v>
      </c>
      <c r="B50" s="12" t="s">
        <v>50</v>
      </c>
      <c r="C50">
        <v>82185189.235960379</v>
      </c>
      <c r="D50">
        <v>78330477.847045705</v>
      </c>
      <c r="E50">
        <v>70270.270270270994</v>
      </c>
      <c r="F50">
        <v>1589189.189189191</v>
      </c>
      <c r="G50">
        <v>40</v>
      </c>
      <c r="H50">
        <v>29</v>
      </c>
      <c r="K50">
        <v>40</v>
      </c>
      <c r="L50">
        <v>31</v>
      </c>
      <c r="M50">
        <v>60145495.495495498</v>
      </c>
      <c r="N50">
        <v>17865315.315315317</v>
      </c>
      <c r="O50">
        <v>27924909.909909911</v>
      </c>
      <c r="P50">
        <v>28544639.639639638</v>
      </c>
      <c r="Q50">
        <v>59132792.79279279</v>
      </c>
      <c r="R50">
        <v>15664774.774774777</v>
      </c>
      <c r="S50">
        <v>2562</v>
      </c>
      <c r="T50">
        <v>2559</v>
      </c>
    </row>
    <row r="51" spans="1:20" x14ac:dyDescent="0.35">
      <c r="A51" s="7" t="s">
        <v>120</v>
      </c>
      <c r="B51" s="12" t="s">
        <v>121</v>
      </c>
      <c r="C51">
        <v>292522681.44377273</v>
      </c>
      <c r="D51">
        <v>266624651.43055439</v>
      </c>
      <c r="E51">
        <v>789189.18918918795</v>
      </c>
      <c r="F51">
        <v>2098423.4234234281</v>
      </c>
      <c r="G51">
        <v>110</v>
      </c>
      <c r="H51">
        <v>93</v>
      </c>
      <c r="K51">
        <v>125</v>
      </c>
      <c r="L51">
        <v>111</v>
      </c>
      <c r="M51">
        <v>7645045.0450450443</v>
      </c>
      <c r="N51">
        <v>9890090.0900900923</v>
      </c>
      <c r="O51">
        <v>19545684.684684683</v>
      </c>
      <c r="P51">
        <v>19745099.0990991</v>
      </c>
      <c r="Q51">
        <v>7638288.288288286</v>
      </c>
      <c r="R51">
        <v>7046756.7567567565</v>
      </c>
      <c r="S51">
        <v>8168</v>
      </c>
      <c r="T51">
        <v>8039</v>
      </c>
    </row>
    <row r="52" spans="1:20" x14ac:dyDescent="0.35">
      <c r="A52" s="7" t="s">
        <v>122</v>
      </c>
      <c r="B52" s="12" t="s">
        <v>123</v>
      </c>
      <c r="C52">
        <v>131545839.68712889</v>
      </c>
      <c r="D52">
        <v>135294785.27395129</v>
      </c>
      <c r="E52">
        <v>311261.26126126101</v>
      </c>
      <c r="F52">
        <v>560135.13513513503</v>
      </c>
      <c r="G52">
        <v>14</v>
      </c>
      <c r="H52">
        <v>20</v>
      </c>
      <c r="K52">
        <v>16</v>
      </c>
      <c r="L52">
        <v>24</v>
      </c>
      <c r="M52">
        <v>34069099.0990991</v>
      </c>
      <c r="N52">
        <v>22298918.918918919</v>
      </c>
      <c r="O52">
        <v>57970493.693693697</v>
      </c>
      <c r="P52">
        <v>59824923.423423424</v>
      </c>
      <c r="Q52">
        <v>29589549.549549554</v>
      </c>
      <c r="R52">
        <v>23123243.243243244</v>
      </c>
      <c r="S52">
        <v>4406</v>
      </c>
      <c r="T52">
        <v>4410</v>
      </c>
    </row>
    <row r="53" spans="1:20" x14ac:dyDescent="0.35">
      <c r="A53" s="7" t="s">
        <v>124</v>
      </c>
      <c r="B53" s="12" t="s">
        <v>125</v>
      </c>
      <c r="C53">
        <v>196598451.69730374</v>
      </c>
      <c r="D53">
        <v>179855143.97885236</v>
      </c>
      <c r="E53">
        <v>19669772.072072074</v>
      </c>
      <c r="F53">
        <v>23843583.78378379</v>
      </c>
      <c r="G53">
        <v>25</v>
      </c>
      <c r="H53">
        <v>38</v>
      </c>
      <c r="K53">
        <v>27</v>
      </c>
      <c r="L53">
        <v>42</v>
      </c>
      <c r="M53">
        <v>47028378.378378376</v>
      </c>
      <c r="N53">
        <v>63428558.558558561</v>
      </c>
      <c r="O53">
        <v>56619720.720720723</v>
      </c>
      <c r="P53">
        <v>56382628.828828834</v>
      </c>
      <c r="Q53">
        <v>49197117.117117114</v>
      </c>
      <c r="R53">
        <v>58267881.081081077</v>
      </c>
      <c r="S53">
        <v>6485</v>
      </c>
      <c r="T53">
        <v>6510</v>
      </c>
    </row>
    <row r="54" spans="1:20" x14ac:dyDescent="0.35">
      <c r="A54" s="7" t="s">
        <v>126</v>
      </c>
      <c r="B54" s="12" t="s">
        <v>78</v>
      </c>
      <c r="C54">
        <v>123943605.15262014</v>
      </c>
      <c r="D54">
        <v>115739077.54669894</v>
      </c>
      <c r="E54">
        <v>1599729.7297297311</v>
      </c>
      <c r="F54">
        <v>2279279.2792792791</v>
      </c>
      <c r="G54">
        <v>24</v>
      </c>
      <c r="H54">
        <v>33</v>
      </c>
      <c r="K54">
        <v>28</v>
      </c>
      <c r="L54">
        <v>39</v>
      </c>
      <c r="M54">
        <v>20131261.261261258</v>
      </c>
      <c r="N54">
        <v>22842342.342342343</v>
      </c>
      <c r="O54">
        <v>47613792.79279279</v>
      </c>
      <c r="P54">
        <v>46051621.621621616</v>
      </c>
      <c r="Q54">
        <v>21776036.036036033</v>
      </c>
      <c r="R54">
        <v>19013423.423423424</v>
      </c>
      <c r="S54">
        <v>5027</v>
      </c>
      <c r="T54">
        <v>4915</v>
      </c>
    </row>
    <row r="55" spans="1:20" x14ac:dyDescent="0.35">
      <c r="A55" s="7" t="s">
        <v>127</v>
      </c>
      <c r="B55" s="12" t="s">
        <v>78</v>
      </c>
      <c r="C55">
        <v>22123894.777374376</v>
      </c>
      <c r="D55">
        <v>19590508.009670563</v>
      </c>
      <c r="E55">
        <v>12162.162162163</v>
      </c>
      <c r="F55">
        <v>435135.13513513701</v>
      </c>
      <c r="G55">
        <v>9</v>
      </c>
      <c r="H55">
        <v>7</v>
      </c>
      <c r="I55">
        <v>1</v>
      </c>
      <c r="K55">
        <v>10</v>
      </c>
      <c r="L55">
        <v>9</v>
      </c>
      <c r="M55">
        <v>5471621.6216216218</v>
      </c>
      <c r="N55">
        <v>8047747.7477477482</v>
      </c>
      <c r="O55">
        <v>11703243.243243244</v>
      </c>
      <c r="P55">
        <v>10900504.504504504</v>
      </c>
      <c r="Q55">
        <v>5414774.7747747758</v>
      </c>
      <c r="R55">
        <v>8206126.1261261282</v>
      </c>
      <c r="S55">
        <v>1216</v>
      </c>
      <c r="T55">
        <v>1136</v>
      </c>
    </row>
    <row r="56" spans="1:20" x14ac:dyDescent="0.35">
      <c r="A56" s="7" t="s">
        <v>128</v>
      </c>
      <c r="B56" s="12" t="s">
        <v>78</v>
      </c>
      <c r="C56">
        <v>119481821.93844466</v>
      </c>
      <c r="D56">
        <v>113299301.67007495</v>
      </c>
      <c r="E56">
        <v>842342.34234234295</v>
      </c>
      <c r="F56">
        <v>937837.83783784194</v>
      </c>
      <c r="G56">
        <v>43</v>
      </c>
      <c r="H56">
        <v>57</v>
      </c>
      <c r="I56">
        <v>1</v>
      </c>
      <c r="K56">
        <v>48</v>
      </c>
      <c r="L56">
        <v>78</v>
      </c>
      <c r="M56">
        <v>14626126.126126124</v>
      </c>
      <c r="N56">
        <v>13721621.621621624</v>
      </c>
      <c r="O56">
        <v>44362846.846846849</v>
      </c>
      <c r="P56">
        <v>44872603.603603601</v>
      </c>
      <c r="Q56">
        <v>13650810.810810812</v>
      </c>
      <c r="R56">
        <v>12696666.666666668</v>
      </c>
      <c r="S56">
        <v>5875</v>
      </c>
      <c r="T56">
        <v>6063</v>
      </c>
    </row>
    <row r="57" spans="1:20" x14ac:dyDescent="0.35">
      <c r="A57" s="7" t="s">
        <v>129</v>
      </c>
      <c r="B57" s="12" t="s">
        <v>85</v>
      </c>
      <c r="C57">
        <v>38331888.06620694</v>
      </c>
      <c r="D57">
        <v>32199190.950142827</v>
      </c>
      <c r="E57">
        <v>36036.036036037003</v>
      </c>
      <c r="F57">
        <v>109909.90990991</v>
      </c>
      <c r="G57">
        <v>16</v>
      </c>
      <c r="H57">
        <v>7</v>
      </c>
      <c r="K57">
        <v>16</v>
      </c>
      <c r="L57">
        <v>9</v>
      </c>
      <c r="M57">
        <v>18027027.02702703</v>
      </c>
      <c r="N57">
        <v>27735675.675675675</v>
      </c>
      <c r="O57">
        <v>17437477.477477476</v>
      </c>
      <c r="P57">
        <v>15593360.36036036</v>
      </c>
      <c r="Q57">
        <v>13546846.846846847</v>
      </c>
      <c r="R57">
        <v>19259909.909909908</v>
      </c>
      <c r="S57">
        <v>1235</v>
      </c>
      <c r="T57">
        <v>1296</v>
      </c>
    </row>
    <row r="58" spans="1:20" x14ac:dyDescent="0.35">
      <c r="A58" s="7" t="s">
        <v>130</v>
      </c>
      <c r="B58" s="12" t="s">
        <v>89</v>
      </c>
      <c r="C58">
        <v>321413892.30497849</v>
      </c>
      <c r="D58">
        <v>309224910.72457254</v>
      </c>
      <c r="E58">
        <v>1239639.63963964</v>
      </c>
      <c r="F58">
        <v>1735585.58558559</v>
      </c>
      <c r="G58">
        <v>35</v>
      </c>
      <c r="H58">
        <v>48</v>
      </c>
      <c r="K58">
        <v>40</v>
      </c>
      <c r="L58">
        <v>57</v>
      </c>
      <c r="M58">
        <v>17132432.432432428</v>
      </c>
      <c r="N58">
        <v>20714144.144144148</v>
      </c>
      <c r="O58">
        <v>93664583.783783793</v>
      </c>
      <c r="P58">
        <v>97904819.819819823</v>
      </c>
      <c r="Q58">
        <v>16333556.756756756</v>
      </c>
      <c r="R58">
        <v>19804954.954954956</v>
      </c>
      <c r="S58">
        <v>10334</v>
      </c>
      <c r="T58">
        <v>10595</v>
      </c>
    </row>
    <row r="59" spans="1:20" x14ac:dyDescent="0.35">
      <c r="A59" s="7" t="s">
        <v>131</v>
      </c>
      <c r="B59" s="12" t="s">
        <v>132</v>
      </c>
      <c r="C59">
        <v>178179972.22165105</v>
      </c>
      <c r="D59">
        <v>159473093.53374869</v>
      </c>
      <c r="E59">
        <v>33915109.009009011</v>
      </c>
      <c r="F59">
        <v>30368452.252252251</v>
      </c>
      <c r="G59">
        <v>66</v>
      </c>
      <c r="H59">
        <v>88</v>
      </c>
      <c r="K59">
        <v>73</v>
      </c>
      <c r="L59">
        <v>97</v>
      </c>
      <c r="M59">
        <v>17223423.423423424</v>
      </c>
      <c r="N59">
        <v>15281981.98198198</v>
      </c>
      <c r="O59">
        <v>56524135.135135137</v>
      </c>
      <c r="P59">
        <v>50560619.369369365</v>
      </c>
      <c r="Q59">
        <v>10807837.837837841</v>
      </c>
      <c r="R59">
        <v>13582612.612612613</v>
      </c>
      <c r="S59">
        <v>6354</v>
      </c>
      <c r="T59">
        <v>7605</v>
      </c>
    </row>
    <row r="60" spans="1:20" x14ac:dyDescent="0.35">
      <c r="A60" s="7" t="s">
        <v>133</v>
      </c>
      <c r="B60" s="12" t="s">
        <v>134</v>
      </c>
      <c r="C60">
        <v>29626311.310529709</v>
      </c>
      <c r="D60">
        <v>12519254.037437912</v>
      </c>
      <c r="G60">
        <v>1</v>
      </c>
      <c r="K60">
        <v>1</v>
      </c>
      <c r="O60">
        <v>3701126.1261261259</v>
      </c>
      <c r="P60">
        <v>2726935.1351351351</v>
      </c>
      <c r="S60">
        <v>2209</v>
      </c>
      <c r="T60">
        <v>2038</v>
      </c>
    </row>
    <row r="61" spans="1:20" x14ac:dyDescent="0.35">
      <c r="A61" s="7" t="s">
        <v>135</v>
      </c>
      <c r="B61" s="12" t="s">
        <v>136</v>
      </c>
      <c r="C61">
        <v>150685396.7109783</v>
      </c>
      <c r="D61">
        <v>141658598.8760488</v>
      </c>
      <c r="E61">
        <v>36936.936936938</v>
      </c>
      <c r="F61">
        <v>578378.37837837997</v>
      </c>
      <c r="G61">
        <v>48</v>
      </c>
      <c r="H61">
        <v>46</v>
      </c>
      <c r="K61">
        <v>54</v>
      </c>
      <c r="L61">
        <v>50</v>
      </c>
      <c r="M61">
        <v>12372072.072072074</v>
      </c>
      <c r="N61">
        <v>10803603.603603603</v>
      </c>
      <c r="O61">
        <v>25614675.675675675</v>
      </c>
      <c r="P61">
        <v>22351558.558558561</v>
      </c>
      <c r="Q61">
        <v>13818828.828828828</v>
      </c>
      <c r="R61">
        <v>9381621.6216216218</v>
      </c>
      <c r="S61">
        <v>3596</v>
      </c>
      <c r="T61">
        <v>3368</v>
      </c>
    </row>
    <row r="62" spans="1:20" x14ac:dyDescent="0.35">
      <c r="A62" s="7" t="s">
        <v>137</v>
      </c>
      <c r="B62" s="12" t="s">
        <v>89</v>
      </c>
      <c r="C62">
        <v>164104783.86338416</v>
      </c>
      <c r="D62">
        <v>148356464.96976879</v>
      </c>
      <c r="E62">
        <v>97747.747747747999</v>
      </c>
      <c r="F62">
        <v>1031306.306306309</v>
      </c>
      <c r="G62">
        <v>17</v>
      </c>
      <c r="H62">
        <v>27</v>
      </c>
      <c r="I62">
        <v>3</v>
      </c>
      <c r="K62">
        <v>19</v>
      </c>
      <c r="L62">
        <v>54</v>
      </c>
      <c r="M62">
        <v>18463153.153153151</v>
      </c>
      <c r="N62">
        <v>18074144.144144144</v>
      </c>
      <c r="O62">
        <v>54779774.774774775</v>
      </c>
      <c r="P62">
        <v>52592845.045045048</v>
      </c>
      <c r="Q62">
        <v>17181531.531531531</v>
      </c>
      <c r="R62">
        <v>16868378.378378384</v>
      </c>
      <c r="S62">
        <v>5003</v>
      </c>
      <c r="T62">
        <v>5715</v>
      </c>
    </row>
    <row r="63" spans="1:20" x14ac:dyDescent="0.35">
      <c r="A63" s="7" t="s">
        <v>138</v>
      </c>
      <c r="B63" s="12" t="s">
        <v>78</v>
      </c>
      <c r="C63">
        <v>114928342.14640962</v>
      </c>
      <c r="D63">
        <v>110271459.90209053</v>
      </c>
      <c r="E63">
        <v>31663693.693693697</v>
      </c>
      <c r="F63">
        <v>65237837.837837838</v>
      </c>
      <c r="G63">
        <v>38</v>
      </c>
      <c r="H63">
        <v>41</v>
      </c>
      <c r="I63">
        <v>2</v>
      </c>
      <c r="K63">
        <v>45</v>
      </c>
      <c r="L63">
        <v>49</v>
      </c>
      <c r="M63">
        <v>15033063.063063063</v>
      </c>
      <c r="N63">
        <v>15080180.180180177</v>
      </c>
      <c r="O63">
        <v>46312702.702702701</v>
      </c>
      <c r="P63">
        <v>47953182.432432435</v>
      </c>
      <c r="Q63">
        <v>14339009.009009007</v>
      </c>
      <c r="R63">
        <v>12805585.585585587</v>
      </c>
      <c r="S63">
        <v>5261</v>
      </c>
      <c r="T63">
        <v>5125</v>
      </c>
    </row>
    <row r="64" spans="1:20" x14ac:dyDescent="0.35">
      <c r="A64" s="7" t="s">
        <v>139</v>
      </c>
      <c r="B64" s="12" t="s">
        <v>140</v>
      </c>
      <c r="C64">
        <v>149205944.30968764</v>
      </c>
      <c r="D64">
        <v>157410418.79618284</v>
      </c>
      <c r="E64">
        <v>1137837.837837839</v>
      </c>
      <c r="F64">
        <v>1397297.297297298</v>
      </c>
      <c r="G64">
        <v>17</v>
      </c>
      <c r="H64">
        <v>13</v>
      </c>
      <c r="K64">
        <v>20</v>
      </c>
      <c r="L64">
        <v>15</v>
      </c>
      <c r="M64">
        <v>13720270.270270271</v>
      </c>
      <c r="N64">
        <v>17228648.648648649</v>
      </c>
      <c r="O64">
        <v>25556666.666666664</v>
      </c>
      <c r="P64">
        <v>30744180.180180181</v>
      </c>
      <c r="Q64">
        <v>13628738.73873874</v>
      </c>
      <c r="R64">
        <v>14299909.90990991</v>
      </c>
      <c r="S64">
        <v>4397</v>
      </c>
      <c r="T64">
        <v>4830</v>
      </c>
    </row>
    <row r="65" spans="1:20" x14ac:dyDescent="0.35">
      <c r="A65" s="7" t="s">
        <v>141</v>
      </c>
      <c r="B65" s="12" t="s">
        <v>62</v>
      </c>
      <c r="C65">
        <v>105904121.90661995</v>
      </c>
      <c r="D65">
        <v>104182764.2279444</v>
      </c>
      <c r="E65">
        <v>1205405.4054054059</v>
      </c>
      <c r="F65">
        <v>1145945.9459459491</v>
      </c>
      <c r="G65">
        <v>29</v>
      </c>
      <c r="H65">
        <v>30</v>
      </c>
      <c r="K65">
        <v>36</v>
      </c>
      <c r="L65">
        <v>54</v>
      </c>
      <c r="M65">
        <v>63739549.54954955</v>
      </c>
      <c r="N65">
        <v>58917117.117117122</v>
      </c>
      <c r="O65">
        <v>23133288.288288288</v>
      </c>
      <c r="P65">
        <v>22078054.054054055</v>
      </c>
      <c r="Q65">
        <v>62745855.855855852</v>
      </c>
      <c r="R65">
        <v>61448648.648648649</v>
      </c>
      <c r="S65">
        <v>3948</v>
      </c>
      <c r="T65">
        <v>3953</v>
      </c>
    </row>
    <row r="66" spans="1:20" x14ac:dyDescent="0.35">
      <c r="A66" s="7" t="s">
        <v>142</v>
      </c>
      <c r="B66" s="12" t="s">
        <v>143</v>
      </c>
      <c r="C66">
        <v>1309211.443218203</v>
      </c>
      <c r="D66">
        <v>965402.22156154003</v>
      </c>
      <c r="E66">
        <v>18018.018018018</v>
      </c>
      <c r="H66">
        <v>1</v>
      </c>
      <c r="L66">
        <v>1</v>
      </c>
      <c r="M66">
        <v>18018.018018018</v>
      </c>
      <c r="O66">
        <v>59909.909909909999</v>
      </c>
      <c r="P66">
        <v>108198.19819819801</v>
      </c>
      <c r="S66">
        <v>152</v>
      </c>
      <c r="T66">
        <v>130</v>
      </c>
    </row>
    <row r="67" spans="1:20" x14ac:dyDescent="0.35">
      <c r="A67" s="7" t="s">
        <v>144</v>
      </c>
      <c r="B67" s="12" t="s">
        <v>140</v>
      </c>
      <c r="C67">
        <v>222230713.0259099</v>
      </c>
      <c r="D67">
        <v>225975914.37435091</v>
      </c>
      <c r="E67">
        <v>107027.02702702901</v>
      </c>
      <c r="F67">
        <v>1016666.666666669</v>
      </c>
      <c r="G67">
        <v>40</v>
      </c>
      <c r="H67">
        <v>50</v>
      </c>
      <c r="I67">
        <v>1</v>
      </c>
      <c r="K67">
        <v>47</v>
      </c>
      <c r="L67">
        <v>68</v>
      </c>
      <c r="M67">
        <v>21807477.47747748</v>
      </c>
      <c r="N67">
        <v>25189549.54954955</v>
      </c>
      <c r="O67">
        <v>40710090.090090089</v>
      </c>
      <c r="P67">
        <v>41339279.279279277</v>
      </c>
      <c r="Q67">
        <v>21319369.369369369</v>
      </c>
      <c r="R67">
        <v>23343693.693693686</v>
      </c>
      <c r="S67">
        <v>7511</v>
      </c>
      <c r="T67">
        <v>8189</v>
      </c>
    </row>
    <row r="68" spans="1:20" x14ac:dyDescent="0.35">
      <c r="A68" s="7" t="s">
        <v>145</v>
      </c>
      <c r="B68" s="12" t="s">
        <v>78</v>
      </c>
      <c r="C68">
        <v>156205774.71639553</v>
      </c>
      <c r="D68">
        <v>155020267.33933181</v>
      </c>
      <c r="E68">
        <v>1292612.612612613</v>
      </c>
      <c r="F68">
        <v>2203603.603603607</v>
      </c>
      <c r="G68">
        <v>30</v>
      </c>
      <c r="H68">
        <v>53</v>
      </c>
      <c r="K68">
        <v>36</v>
      </c>
      <c r="L68">
        <v>57</v>
      </c>
      <c r="M68">
        <v>18396216.216216218</v>
      </c>
      <c r="N68">
        <v>14690090.090090094</v>
      </c>
      <c r="O68">
        <v>41371918.918918923</v>
      </c>
      <c r="P68">
        <v>44301018.018018015</v>
      </c>
      <c r="Q68">
        <v>19437027.027027026</v>
      </c>
      <c r="R68">
        <v>16739819.819819819</v>
      </c>
      <c r="S68">
        <v>6456</v>
      </c>
      <c r="T68">
        <v>6276</v>
      </c>
    </row>
    <row r="69" spans="1:20" x14ac:dyDescent="0.35">
      <c r="A69" s="7" t="s">
        <v>146</v>
      </c>
      <c r="B69" s="12" t="s">
        <v>147</v>
      </c>
      <c r="C69">
        <v>109859902.62807389</v>
      </c>
      <c r="D69">
        <v>101620060.5123376</v>
      </c>
      <c r="E69">
        <v>88288.288288288997</v>
      </c>
      <c r="F69">
        <v>2569369.3693693718</v>
      </c>
      <c r="G69">
        <v>26</v>
      </c>
      <c r="H69">
        <v>17</v>
      </c>
      <c r="K69">
        <v>27</v>
      </c>
      <c r="L69">
        <v>22</v>
      </c>
      <c r="M69">
        <v>10010090.090090087</v>
      </c>
      <c r="N69">
        <v>38168468.468468465</v>
      </c>
      <c r="O69">
        <v>29712693.693693697</v>
      </c>
      <c r="P69">
        <v>31175567.567567568</v>
      </c>
      <c r="Q69">
        <v>10802702.702702699</v>
      </c>
      <c r="R69">
        <v>35277117.117117114</v>
      </c>
      <c r="S69">
        <v>3749</v>
      </c>
      <c r="T69">
        <v>3662</v>
      </c>
    </row>
    <row r="70" spans="1:20" x14ac:dyDescent="0.35">
      <c r="A70" s="7" t="s">
        <v>148</v>
      </c>
      <c r="B70" s="12" t="s">
        <v>94</v>
      </c>
      <c r="D70">
        <v>17.531949365999999</v>
      </c>
    </row>
    <row r="71" spans="1:20" x14ac:dyDescent="0.35">
      <c r="A71" s="7" t="s">
        <v>149</v>
      </c>
      <c r="B71" s="12" t="s">
        <v>50</v>
      </c>
      <c r="C71">
        <v>90566173.379315302</v>
      </c>
      <c r="D71">
        <v>91037549.506893471</v>
      </c>
      <c r="E71">
        <v>223423.423423423</v>
      </c>
      <c r="F71">
        <v>97297.297297298006</v>
      </c>
      <c r="G71">
        <v>20</v>
      </c>
      <c r="H71">
        <v>17</v>
      </c>
      <c r="K71">
        <v>23</v>
      </c>
      <c r="L71">
        <v>18</v>
      </c>
      <c r="M71">
        <v>10210360.36036036</v>
      </c>
      <c r="N71">
        <v>5724594.5945945941</v>
      </c>
      <c r="O71">
        <v>39338063.063063063</v>
      </c>
      <c r="P71">
        <v>39996711.711711712</v>
      </c>
      <c r="Q71">
        <v>10930810.81081081</v>
      </c>
      <c r="R71">
        <v>5138468.4684684677</v>
      </c>
      <c r="S71">
        <v>3551</v>
      </c>
      <c r="T71">
        <v>3535</v>
      </c>
    </row>
    <row r="72" spans="1:20" x14ac:dyDescent="0.35">
      <c r="A72" s="7" t="s">
        <v>150</v>
      </c>
      <c r="B72" s="12" t="s">
        <v>151</v>
      </c>
      <c r="C72">
        <v>28087786.468459599</v>
      </c>
      <c r="D72">
        <v>28386048.628341906</v>
      </c>
      <c r="E72">
        <v>123222144.14414415</v>
      </c>
      <c r="F72">
        <v>97392063.963963971</v>
      </c>
      <c r="G72">
        <v>6</v>
      </c>
      <c r="H72">
        <v>4</v>
      </c>
      <c r="K72">
        <v>7</v>
      </c>
      <c r="L72">
        <v>6</v>
      </c>
      <c r="M72">
        <v>42919279.279279277</v>
      </c>
      <c r="N72">
        <v>33707207.20720721</v>
      </c>
      <c r="O72">
        <v>6348018.0180180185</v>
      </c>
      <c r="P72">
        <v>6979630.630630631</v>
      </c>
      <c r="Q72">
        <v>18401531.531531531</v>
      </c>
      <c r="R72">
        <v>10364324.324324325</v>
      </c>
      <c r="S72">
        <v>689</v>
      </c>
      <c r="T72">
        <v>657</v>
      </c>
    </row>
    <row r="73" spans="1:20" x14ac:dyDescent="0.35">
      <c r="A73" s="7" t="s">
        <v>152</v>
      </c>
      <c r="B73" s="12" t="s">
        <v>151</v>
      </c>
      <c r="C73">
        <v>274205826.99034452</v>
      </c>
      <c r="D73">
        <v>267293872.9042004</v>
      </c>
      <c r="E73">
        <v>967567.56756756804</v>
      </c>
      <c r="F73">
        <v>140192117.11711711</v>
      </c>
      <c r="G73">
        <v>103</v>
      </c>
      <c r="H73">
        <v>132</v>
      </c>
      <c r="K73">
        <v>113</v>
      </c>
      <c r="L73">
        <v>156</v>
      </c>
      <c r="M73">
        <v>272394729.72972971</v>
      </c>
      <c r="N73">
        <v>181696126.12612611</v>
      </c>
      <c r="O73">
        <v>90258187.387387395</v>
      </c>
      <c r="P73">
        <v>92891108.108108118</v>
      </c>
      <c r="Q73">
        <v>224579906.3063063</v>
      </c>
      <c r="R73">
        <v>149440400</v>
      </c>
      <c r="S73">
        <v>8135</v>
      </c>
      <c r="T73">
        <v>7968</v>
      </c>
    </row>
    <row r="74" spans="1:20" x14ac:dyDescent="0.35">
      <c r="A74" s="7" t="s">
        <v>153</v>
      </c>
      <c r="B74" s="12" t="s">
        <v>154</v>
      </c>
      <c r="C74">
        <v>242143790.69939277</v>
      </c>
      <c r="D74">
        <v>241042988.27856722</v>
      </c>
      <c r="E74">
        <v>7702702.702702703</v>
      </c>
      <c r="F74">
        <v>115541216.21621622</v>
      </c>
      <c r="G74">
        <v>8</v>
      </c>
      <c r="H74">
        <v>34</v>
      </c>
      <c r="K74">
        <v>9</v>
      </c>
      <c r="L74">
        <v>38</v>
      </c>
      <c r="M74">
        <v>35107342.342342347</v>
      </c>
      <c r="N74">
        <v>34655855.855855852</v>
      </c>
      <c r="O74">
        <v>104472250.45045045</v>
      </c>
      <c r="P74">
        <v>98453067.567567572</v>
      </c>
      <c r="Q74">
        <v>30644414.414414417</v>
      </c>
      <c r="R74">
        <v>30691441.441441439</v>
      </c>
      <c r="S74">
        <v>6867</v>
      </c>
      <c r="T74">
        <v>7017</v>
      </c>
    </row>
    <row r="75" spans="1:20" x14ac:dyDescent="0.35">
      <c r="A75" s="7" t="s">
        <v>155</v>
      </c>
      <c r="B75" s="12" t="s">
        <v>154</v>
      </c>
      <c r="C75">
        <v>33088099.385503627</v>
      </c>
      <c r="D75">
        <v>26184189.538310368</v>
      </c>
      <c r="E75">
        <v>27927.927927928002</v>
      </c>
      <c r="F75">
        <v>13513.513513514001</v>
      </c>
      <c r="G75">
        <v>7</v>
      </c>
      <c r="H75">
        <v>6</v>
      </c>
      <c r="K75">
        <v>10</v>
      </c>
      <c r="L75">
        <v>9</v>
      </c>
      <c r="M75">
        <v>298198.19819819799</v>
      </c>
      <c r="N75">
        <v>4279279.2792792786</v>
      </c>
      <c r="O75">
        <v>8790810.8108108118</v>
      </c>
      <c r="P75">
        <v>6329090.0900900904</v>
      </c>
      <c r="Q75">
        <v>319369.369369369</v>
      </c>
      <c r="R75">
        <v>2700900.9009008999</v>
      </c>
      <c r="S75">
        <v>2087</v>
      </c>
      <c r="T75">
        <v>1952</v>
      </c>
    </row>
    <row r="76" spans="1:20" x14ac:dyDescent="0.35">
      <c r="A76" s="7" t="s">
        <v>156</v>
      </c>
      <c r="B76" s="12" t="s">
        <v>154</v>
      </c>
      <c r="C76">
        <v>318834105.64268965</v>
      </c>
      <c r="D76">
        <v>258339163.72383571</v>
      </c>
      <c r="E76">
        <v>88576632.432432428</v>
      </c>
      <c r="F76">
        <v>64953030.630630635</v>
      </c>
      <c r="G76">
        <v>53</v>
      </c>
      <c r="H76">
        <v>13</v>
      </c>
      <c r="K76">
        <v>113</v>
      </c>
      <c r="L76">
        <v>18</v>
      </c>
      <c r="M76">
        <v>64068765.765765771</v>
      </c>
      <c r="N76">
        <v>68344144.144144148</v>
      </c>
      <c r="O76">
        <v>120451297.2972973</v>
      </c>
      <c r="P76">
        <v>100220126.12612613</v>
      </c>
      <c r="Q76">
        <v>52058648.648648649</v>
      </c>
      <c r="R76">
        <v>51286666.666666664</v>
      </c>
      <c r="S76">
        <v>8412</v>
      </c>
      <c r="T76">
        <v>7839</v>
      </c>
    </row>
    <row r="77" spans="1:20" x14ac:dyDescent="0.35">
      <c r="A77" s="7" t="s">
        <v>157</v>
      </c>
      <c r="B77" s="12" t="s">
        <v>134</v>
      </c>
      <c r="C77">
        <v>124185456.82802592</v>
      </c>
      <c r="D77">
        <v>122623387.70272708</v>
      </c>
      <c r="E77">
        <v>428828.82882882998</v>
      </c>
      <c r="F77">
        <v>490990.99099099298</v>
      </c>
      <c r="G77">
        <v>31</v>
      </c>
      <c r="H77">
        <v>25</v>
      </c>
      <c r="I77">
        <v>1</v>
      </c>
      <c r="K77">
        <v>36</v>
      </c>
      <c r="L77">
        <v>30</v>
      </c>
      <c r="M77">
        <v>15149549.549549548</v>
      </c>
      <c r="N77">
        <v>9477477.4774774779</v>
      </c>
      <c r="O77">
        <v>11199369.369369367</v>
      </c>
      <c r="P77">
        <v>13577630.630630633</v>
      </c>
      <c r="Q77">
        <v>5754144.1441441448</v>
      </c>
      <c r="R77">
        <v>4530630.6306306338</v>
      </c>
      <c r="S77">
        <v>4490</v>
      </c>
      <c r="T77">
        <v>4461</v>
      </c>
    </row>
    <row r="78" spans="1:20" x14ac:dyDescent="0.35">
      <c r="A78" s="7" t="s">
        <v>1</v>
      </c>
      <c r="B78" s="12" t="s">
        <v>158</v>
      </c>
      <c r="C78">
        <v>225909308.90181988</v>
      </c>
      <c r="D78">
        <v>216924853.54059473</v>
      </c>
      <c r="E78">
        <v>420270.27027027297</v>
      </c>
      <c r="F78">
        <v>1265765.765765768</v>
      </c>
      <c r="G78">
        <v>86</v>
      </c>
      <c r="H78">
        <v>19</v>
      </c>
      <c r="I78">
        <v>1</v>
      </c>
      <c r="K78">
        <v>355</v>
      </c>
      <c r="L78">
        <v>136</v>
      </c>
      <c r="M78">
        <v>17879369.369369373</v>
      </c>
      <c r="N78">
        <v>31521531.531531528</v>
      </c>
      <c r="O78">
        <v>108178962.16216215</v>
      </c>
      <c r="P78">
        <v>103750468.46846846</v>
      </c>
      <c r="Q78">
        <v>18810720.72072072</v>
      </c>
      <c r="R78">
        <v>28887927.927927922</v>
      </c>
      <c r="S78">
        <v>8178</v>
      </c>
      <c r="T78">
        <v>8179</v>
      </c>
    </row>
    <row r="79" spans="1:20" x14ac:dyDescent="0.35">
      <c r="A79" s="7" t="s">
        <v>159</v>
      </c>
      <c r="B79" s="12" t="s">
        <v>121</v>
      </c>
      <c r="C79">
        <v>9018229.8110351153</v>
      </c>
      <c r="D79">
        <v>8362080.5331363352</v>
      </c>
      <c r="E79">
        <v>19207285.585585583</v>
      </c>
      <c r="F79">
        <v>36815968.468468465</v>
      </c>
      <c r="G79">
        <v>2</v>
      </c>
      <c r="H79">
        <v>2</v>
      </c>
      <c r="K79">
        <v>2</v>
      </c>
      <c r="L79">
        <v>5</v>
      </c>
      <c r="M79">
        <v>1797276.576576577</v>
      </c>
      <c r="N79">
        <v>10079813.513513515</v>
      </c>
      <c r="O79">
        <v>877342.34234234202</v>
      </c>
      <c r="P79">
        <v>807117.11711711704</v>
      </c>
      <c r="Q79">
        <v>202522.52252252301</v>
      </c>
      <c r="S79">
        <v>557</v>
      </c>
      <c r="T79">
        <v>503</v>
      </c>
    </row>
    <row r="80" spans="1:20" x14ac:dyDescent="0.35">
      <c r="A80" s="7" t="s">
        <v>160</v>
      </c>
      <c r="B80" s="12" t="s">
        <v>161</v>
      </c>
      <c r="C80">
        <v>111941244.39754142</v>
      </c>
      <c r="D80">
        <v>114409018.57395305</v>
      </c>
      <c r="E80">
        <v>41615451.351351358</v>
      </c>
      <c r="F80">
        <v>26137949.549549561</v>
      </c>
      <c r="G80">
        <v>39</v>
      </c>
      <c r="H80">
        <v>70</v>
      </c>
      <c r="K80">
        <v>77</v>
      </c>
      <c r="L80">
        <v>139</v>
      </c>
      <c r="M80">
        <v>26496396.396396391</v>
      </c>
      <c r="N80">
        <v>29944045.045045052</v>
      </c>
      <c r="O80">
        <v>47820909.909909911</v>
      </c>
      <c r="P80">
        <v>49147081.081081077</v>
      </c>
      <c r="Q80">
        <v>33495495.495495487</v>
      </c>
      <c r="R80">
        <v>24240900.900900908</v>
      </c>
      <c r="S80">
        <v>6065</v>
      </c>
      <c r="T80">
        <v>6252</v>
      </c>
    </row>
    <row r="81" spans="1:20" x14ac:dyDescent="0.35">
      <c r="A81" s="7" t="s">
        <v>162</v>
      </c>
      <c r="B81" s="12" t="s">
        <v>76</v>
      </c>
      <c r="C81">
        <v>52562245.766047791</v>
      </c>
      <c r="D81">
        <v>51488993.256147243</v>
      </c>
      <c r="E81">
        <v>191891.89189189201</v>
      </c>
      <c r="F81">
        <v>271171.17117117101</v>
      </c>
      <c r="G81">
        <v>12</v>
      </c>
      <c r="H81">
        <v>11</v>
      </c>
      <c r="K81">
        <v>12</v>
      </c>
      <c r="L81">
        <v>12</v>
      </c>
      <c r="M81">
        <v>1106306.306306306</v>
      </c>
      <c r="N81">
        <v>1054954.954954955</v>
      </c>
      <c r="O81">
        <v>3117702.702702703</v>
      </c>
      <c r="P81">
        <v>2454459.4594594589</v>
      </c>
      <c r="Q81">
        <v>986036.03603603598</v>
      </c>
      <c r="R81">
        <v>915585.58558558498</v>
      </c>
      <c r="S81">
        <v>1008</v>
      </c>
      <c r="T81">
        <v>1578</v>
      </c>
    </row>
    <row r="82" spans="1:20" x14ac:dyDescent="0.35">
      <c r="A82" s="7" t="s">
        <v>163</v>
      </c>
      <c r="B82" s="12" t="s">
        <v>52</v>
      </c>
      <c r="C82">
        <v>39680599.144039311</v>
      </c>
      <c r="D82">
        <v>40349211.216889299</v>
      </c>
      <c r="E82">
        <v>549549.549549549</v>
      </c>
      <c r="F82">
        <v>652252.25225225196</v>
      </c>
      <c r="G82">
        <v>8</v>
      </c>
      <c r="H82">
        <v>10</v>
      </c>
      <c r="K82">
        <v>9</v>
      </c>
      <c r="L82">
        <v>11</v>
      </c>
      <c r="M82">
        <v>1132432.432432432</v>
      </c>
      <c r="N82">
        <v>814414.41441441397</v>
      </c>
      <c r="O82">
        <v>18866711.711711712</v>
      </c>
      <c r="P82">
        <v>19408927.927927926</v>
      </c>
      <c r="Q82">
        <v>1029459.4594594589</v>
      </c>
      <c r="R82">
        <v>831081.08108108095</v>
      </c>
      <c r="S82">
        <v>1300</v>
      </c>
      <c r="T82">
        <v>1607</v>
      </c>
    </row>
    <row r="83" spans="1:20" x14ac:dyDescent="0.35">
      <c r="A83" s="7" t="s">
        <v>164</v>
      </c>
      <c r="B83" s="12" t="s">
        <v>87</v>
      </c>
      <c r="C83">
        <v>35365980.264659263</v>
      </c>
      <c r="D83">
        <v>19924472.787454471</v>
      </c>
      <c r="E83">
        <v>38738.738738738997</v>
      </c>
      <c r="F83">
        <v>27027.027027027001</v>
      </c>
      <c r="G83">
        <v>11</v>
      </c>
      <c r="H83">
        <v>7</v>
      </c>
      <c r="K83">
        <v>12</v>
      </c>
      <c r="L83">
        <v>8</v>
      </c>
      <c r="M83">
        <v>1903603.6036036031</v>
      </c>
      <c r="N83">
        <v>237837.837837837</v>
      </c>
      <c r="O83">
        <v>3264594.594594595</v>
      </c>
      <c r="P83">
        <v>1806756.7567567569</v>
      </c>
      <c r="Q83">
        <v>2334594.594594595</v>
      </c>
      <c r="R83">
        <v>258918.918918918</v>
      </c>
      <c r="S83">
        <v>1092</v>
      </c>
      <c r="T83">
        <v>1126</v>
      </c>
    </row>
    <row r="84" spans="1:20" x14ac:dyDescent="0.35">
      <c r="A84" s="7" t="s">
        <v>165</v>
      </c>
      <c r="B84" s="12" t="s">
        <v>143</v>
      </c>
      <c r="C84">
        <v>6484985.205909282</v>
      </c>
      <c r="D84">
        <v>7316566.8861656701</v>
      </c>
      <c r="E84">
        <v>3603.603603604</v>
      </c>
      <c r="F84">
        <v>54054.054054054002</v>
      </c>
      <c r="G84">
        <v>5</v>
      </c>
      <c r="H84">
        <v>5</v>
      </c>
      <c r="K84">
        <v>7</v>
      </c>
      <c r="L84">
        <v>5</v>
      </c>
      <c r="M84">
        <v>1327927.927927928</v>
      </c>
      <c r="N84">
        <v>54054.054054054002</v>
      </c>
      <c r="O84">
        <v>713108.10810810805</v>
      </c>
      <c r="P84">
        <v>739972.97297297302</v>
      </c>
      <c r="Q84">
        <v>1063963.9639639631</v>
      </c>
      <c r="R84">
        <v>41891.891891892003</v>
      </c>
      <c r="S84">
        <v>311</v>
      </c>
      <c r="T84">
        <v>332</v>
      </c>
    </row>
    <row r="85" spans="1:20" x14ac:dyDescent="0.35">
      <c r="A85" s="7" t="s">
        <v>166</v>
      </c>
      <c r="B85" s="12" t="s">
        <v>167</v>
      </c>
      <c r="C85">
        <v>26487414.943763509</v>
      </c>
      <c r="D85">
        <v>29042900.314163279</v>
      </c>
      <c r="E85">
        <v>9909.9099099100004</v>
      </c>
      <c r="F85">
        <v>500000</v>
      </c>
      <c r="G85">
        <v>14</v>
      </c>
      <c r="H85">
        <v>6</v>
      </c>
      <c r="K85">
        <v>16</v>
      </c>
      <c r="L85">
        <v>6</v>
      </c>
      <c r="M85">
        <v>2479459.4594594631</v>
      </c>
      <c r="N85">
        <v>3294144.1441441448</v>
      </c>
      <c r="O85">
        <v>13160720.72072072</v>
      </c>
      <c r="P85">
        <v>13664511.711711712</v>
      </c>
      <c r="Q85">
        <v>3042882.8828828852</v>
      </c>
      <c r="R85">
        <v>2421531.5315315318</v>
      </c>
      <c r="S85">
        <v>1331</v>
      </c>
      <c r="T85">
        <v>1388</v>
      </c>
    </row>
    <row r="86" spans="1:20" x14ac:dyDescent="0.35">
      <c r="A86" s="7" t="s">
        <v>168</v>
      </c>
      <c r="B86" s="12" t="s">
        <v>169</v>
      </c>
      <c r="C86">
        <v>125749334.10416812</v>
      </c>
      <c r="D86">
        <v>127111956.16362841</v>
      </c>
      <c r="E86">
        <v>334684.68468468502</v>
      </c>
      <c r="F86">
        <v>1173873.873873875</v>
      </c>
      <c r="G86">
        <v>18</v>
      </c>
      <c r="H86">
        <v>22</v>
      </c>
      <c r="I86">
        <v>1</v>
      </c>
      <c r="K86">
        <v>29</v>
      </c>
      <c r="L86">
        <v>35</v>
      </c>
      <c r="M86">
        <v>15622972.972972972</v>
      </c>
      <c r="N86">
        <v>23053161.261261258</v>
      </c>
      <c r="O86">
        <v>34698765.765765771</v>
      </c>
      <c r="P86">
        <v>40875326.576576576</v>
      </c>
      <c r="Q86">
        <v>15685765.765765764</v>
      </c>
      <c r="R86">
        <v>22155045.045045044</v>
      </c>
      <c r="S86">
        <v>6463</v>
      </c>
      <c r="T86">
        <v>6489</v>
      </c>
    </row>
    <row r="87" spans="1:20" x14ac:dyDescent="0.35">
      <c r="A87" s="7" t="s">
        <v>170</v>
      </c>
      <c r="B87" s="12" t="s">
        <v>54</v>
      </c>
      <c r="C87">
        <v>20042562.346945353</v>
      </c>
      <c r="D87">
        <v>19537023.130260803</v>
      </c>
      <c r="E87">
        <v>41441.441441442003</v>
      </c>
      <c r="F87">
        <v>338738.73873873899</v>
      </c>
      <c r="G87">
        <v>1</v>
      </c>
      <c r="H87">
        <v>1</v>
      </c>
      <c r="K87">
        <v>2</v>
      </c>
      <c r="L87">
        <v>1</v>
      </c>
      <c r="M87">
        <v>2978378.3783783782</v>
      </c>
      <c r="N87">
        <v>1690090.0900900911</v>
      </c>
      <c r="O87">
        <v>2975630.630630631</v>
      </c>
      <c r="P87">
        <v>3018198.1981981979</v>
      </c>
      <c r="Q87">
        <v>2472522.5225225221</v>
      </c>
      <c r="R87">
        <v>2032702.702702702</v>
      </c>
      <c r="S87">
        <v>682</v>
      </c>
      <c r="T87">
        <v>918</v>
      </c>
    </row>
    <row r="88" spans="1:20" x14ac:dyDescent="0.35">
      <c r="A88" s="7" t="s">
        <v>171</v>
      </c>
      <c r="B88" s="12" t="s">
        <v>60</v>
      </c>
      <c r="C88">
        <v>427470739.48422319</v>
      </c>
      <c r="D88">
        <v>408786048.6841982</v>
      </c>
      <c r="E88">
        <v>2571171.171171173</v>
      </c>
      <c r="F88">
        <v>5366666.6666666688</v>
      </c>
      <c r="G88">
        <v>95</v>
      </c>
      <c r="H88">
        <v>93</v>
      </c>
      <c r="K88">
        <v>106</v>
      </c>
      <c r="L88">
        <v>110</v>
      </c>
      <c r="M88">
        <v>21830630.630630631</v>
      </c>
      <c r="N88">
        <v>21462162.162162162</v>
      </c>
      <c r="O88">
        <v>142212995.4954955</v>
      </c>
      <c r="P88">
        <v>151934945.94594595</v>
      </c>
      <c r="Q88">
        <v>22001351.351351351</v>
      </c>
      <c r="R88">
        <v>21154864.864864863</v>
      </c>
      <c r="S88">
        <v>11989</v>
      </c>
      <c r="T88">
        <v>12087</v>
      </c>
    </row>
    <row r="89" spans="1:20" x14ac:dyDescent="0.35">
      <c r="A89" s="7" t="s">
        <v>172</v>
      </c>
      <c r="B89" s="12" t="s">
        <v>121</v>
      </c>
      <c r="C89">
        <v>165843447.56918886</v>
      </c>
      <c r="D89">
        <v>172741255.42079529</v>
      </c>
      <c r="E89">
        <v>1109009.009009012</v>
      </c>
      <c r="F89">
        <v>1331531.5315315339</v>
      </c>
      <c r="G89">
        <v>89</v>
      </c>
      <c r="H89">
        <v>70</v>
      </c>
      <c r="K89">
        <v>102</v>
      </c>
      <c r="L89">
        <v>79</v>
      </c>
      <c r="M89">
        <v>9847747.7477477472</v>
      </c>
      <c r="N89">
        <v>10040540.540540541</v>
      </c>
      <c r="O89">
        <v>24293738.738738742</v>
      </c>
      <c r="P89">
        <v>23804425.675675675</v>
      </c>
      <c r="Q89">
        <v>7528198.1981981983</v>
      </c>
      <c r="R89">
        <v>7083063.0630630637</v>
      </c>
      <c r="S89">
        <v>5812</v>
      </c>
      <c r="T89">
        <v>5713</v>
      </c>
    </row>
    <row r="90" spans="1:20" x14ac:dyDescent="0.35">
      <c r="A90" s="7" t="s">
        <v>173</v>
      </c>
      <c r="B90" s="12" t="s">
        <v>174</v>
      </c>
      <c r="C90">
        <v>128147651.08748737</v>
      </c>
      <c r="D90">
        <v>122566630.01892693</v>
      </c>
      <c r="E90">
        <v>72040609.009009004</v>
      </c>
      <c r="F90">
        <v>72064128.828828827</v>
      </c>
      <c r="G90">
        <v>32</v>
      </c>
      <c r="H90">
        <v>26</v>
      </c>
      <c r="I90">
        <v>5</v>
      </c>
      <c r="K90">
        <v>42</v>
      </c>
      <c r="L90">
        <v>130</v>
      </c>
      <c r="M90">
        <v>20950900.9009009</v>
      </c>
      <c r="N90">
        <v>30233783.783783782</v>
      </c>
      <c r="O90">
        <v>15048324.324324325</v>
      </c>
      <c r="P90">
        <v>14188486.486486487</v>
      </c>
      <c r="Q90">
        <v>8707567.5675675664</v>
      </c>
      <c r="R90">
        <v>15214864.864864863</v>
      </c>
      <c r="S90">
        <v>4560</v>
      </c>
      <c r="T90">
        <v>4578</v>
      </c>
    </row>
    <row r="91" spans="1:20" x14ac:dyDescent="0.35">
      <c r="A91" s="7" t="s">
        <v>175</v>
      </c>
      <c r="B91" s="12" t="s">
        <v>174</v>
      </c>
      <c r="C91">
        <v>192923245.17192206</v>
      </c>
      <c r="D91">
        <v>192329071.31121689</v>
      </c>
      <c r="E91">
        <v>637837.83783783996</v>
      </c>
      <c r="F91">
        <v>1190765.765765768</v>
      </c>
      <c r="G91">
        <v>64</v>
      </c>
      <c r="H91">
        <v>71</v>
      </c>
      <c r="I91">
        <v>1</v>
      </c>
      <c r="K91">
        <v>81</v>
      </c>
      <c r="L91">
        <v>104</v>
      </c>
      <c r="M91">
        <v>30291441.441441439</v>
      </c>
      <c r="N91">
        <v>22715315.315315314</v>
      </c>
      <c r="O91">
        <v>34583897.297297299</v>
      </c>
      <c r="P91">
        <v>32355018.018018015</v>
      </c>
      <c r="Q91">
        <v>25785581.981981985</v>
      </c>
      <c r="R91">
        <v>18459369.369369373</v>
      </c>
      <c r="S91">
        <v>8406</v>
      </c>
      <c r="T91">
        <v>8312</v>
      </c>
    </row>
    <row r="92" spans="1:20" x14ac:dyDescent="0.35">
      <c r="A92" s="7" t="s">
        <v>176</v>
      </c>
      <c r="B92" s="12" t="s">
        <v>174</v>
      </c>
      <c r="C92">
        <v>266065185.81469062</v>
      </c>
      <c r="D92">
        <v>259055094.08272997</v>
      </c>
      <c r="E92">
        <v>403603.603603606</v>
      </c>
      <c r="F92">
        <v>1139864.8648648681</v>
      </c>
      <c r="G92">
        <v>101</v>
      </c>
      <c r="H92">
        <v>61</v>
      </c>
      <c r="I92">
        <v>3</v>
      </c>
      <c r="K92">
        <v>127</v>
      </c>
      <c r="L92">
        <v>100</v>
      </c>
      <c r="M92">
        <v>38172522.522522517</v>
      </c>
      <c r="N92">
        <v>27738738.738738742</v>
      </c>
      <c r="O92">
        <v>47529608.108108111</v>
      </c>
      <c r="P92">
        <v>38694049.54954955</v>
      </c>
      <c r="Q92">
        <v>22249729.729729731</v>
      </c>
      <c r="R92">
        <v>22233963.963963959</v>
      </c>
      <c r="S92">
        <v>11730</v>
      </c>
      <c r="T92">
        <v>11885</v>
      </c>
    </row>
    <row r="93" spans="1:20" x14ac:dyDescent="0.35">
      <c r="A93" s="7" t="s">
        <v>177</v>
      </c>
      <c r="B93" s="12" t="s">
        <v>178</v>
      </c>
      <c r="C93">
        <v>89840792.30932194</v>
      </c>
      <c r="D93">
        <v>81808215.761023358</v>
      </c>
      <c r="E93">
        <v>405405.40540540498</v>
      </c>
      <c r="G93">
        <v>22</v>
      </c>
      <c r="H93">
        <v>6</v>
      </c>
      <c r="K93">
        <v>26</v>
      </c>
      <c r="L93">
        <v>10</v>
      </c>
      <c r="M93">
        <v>1953873.8738738741</v>
      </c>
      <c r="N93">
        <v>7830180.180180178</v>
      </c>
      <c r="O93">
        <v>30111936.936936937</v>
      </c>
      <c r="P93">
        <v>31929016.216216218</v>
      </c>
      <c r="Q93">
        <v>1963423.423423423</v>
      </c>
      <c r="R93">
        <v>8137837.8378378367</v>
      </c>
      <c r="S93">
        <v>3707</v>
      </c>
      <c r="T93">
        <v>3579</v>
      </c>
    </row>
    <row r="94" spans="1:20" x14ac:dyDescent="0.35">
      <c r="A94" s="7" t="s">
        <v>179</v>
      </c>
      <c r="B94" s="12" t="s">
        <v>167</v>
      </c>
      <c r="C94">
        <v>117928390.1354696</v>
      </c>
      <c r="D94">
        <v>99804196.338824272</v>
      </c>
      <c r="E94">
        <v>336936.93693693698</v>
      </c>
      <c r="F94">
        <v>828603.60360360402</v>
      </c>
      <c r="G94">
        <v>43</v>
      </c>
      <c r="H94">
        <v>16</v>
      </c>
      <c r="K94">
        <v>49</v>
      </c>
      <c r="L94">
        <v>25</v>
      </c>
      <c r="M94">
        <v>3708468.4684684719</v>
      </c>
      <c r="N94">
        <v>873873.87387387501</v>
      </c>
      <c r="O94">
        <v>29960603.603603605</v>
      </c>
      <c r="P94">
        <v>25381693.693693697</v>
      </c>
      <c r="Q94">
        <v>4693603.603603607</v>
      </c>
      <c r="R94">
        <v>720180.18018018</v>
      </c>
      <c r="S94">
        <v>4700</v>
      </c>
      <c r="T94">
        <v>4350</v>
      </c>
    </row>
    <row r="95" spans="1:20" x14ac:dyDescent="0.35">
      <c r="A95" s="7" t="s">
        <v>180</v>
      </c>
      <c r="B95" s="12" t="s">
        <v>181</v>
      </c>
      <c r="C95">
        <v>87886611.259079173</v>
      </c>
      <c r="D95">
        <v>82878447.499788105</v>
      </c>
      <c r="E95">
        <v>2702.7027027029999</v>
      </c>
      <c r="F95">
        <v>283783.78378378501</v>
      </c>
      <c r="G95">
        <v>14</v>
      </c>
      <c r="H95">
        <v>17</v>
      </c>
      <c r="K95">
        <v>15</v>
      </c>
      <c r="L95">
        <v>19</v>
      </c>
      <c r="M95">
        <v>7111981.9819819834</v>
      </c>
      <c r="N95">
        <v>3995495.4954954949</v>
      </c>
      <c r="O95">
        <v>18437567.567567568</v>
      </c>
      <c r="P95">
        <v>20743380.630630631</v>
      </c>
      <c r="Q95">
        <v>7313333.3333333321</v>
      </c>
      <c r="R95">
        <v>6527387.3873873875</v>
      </c>
      <c r="S95">
        <v>2996</v>
      </c>
      <c r="T95">
        <v>2947</v>
      </c>
    </row>
    <row r="96" spans="1:20" x14ac:dyDescent="0.35">
      <c r="A96" s="7" t="s">
        <v>182</v>
      </c>
      <c r="B96" s="12" t="s">
        <v>94</v>
      </c>
      <c r="C96">
        <v>72550485.756694868</v>
      </c>
      <c r="D96">
        <v>87000765.405504942</v>
      </c>
      <c r="E96">
        <v>15883783.783783784</v>
      </c>
      <c r="F96">
        <v>29180180.180180181</v>
      </c>
      <c r="G96">
        <v>23</v>
      </c>
      <c r="H96">
        <v>26</v>
      </c>
      <c r="K96">
        <v>30</v>
      </c>
      <c r="L96">
        <v>32</v>
      </c>
      <c r="M96">
        <v>4218018.0180180166</v>
      </c>
      <c r="N96">
        <v>8154504.5045045037</v>
      </c>
      <c r="O96">
        <v>6056081.0810810812</v>
      </c>
      <c r="P96">
        <v>9606747.7477477472</v>
      </c>
      <c r="Q96">
        <v>466216.21621621598</v>
      </c>
      <c r="R96">
        <v>1046846.846846847</v>
      </c>
      <c r="S96">
        <v>3831</v>
      </c>
      <c r="T96">
        <v>3642</v>
      </c>
    </row>
    <row r="97" spans="1:20" x14ac:dyDescent="0.35">
      <c r="A97" s="7" t="s">
        <v>183</v>
      </c>
      <c r="B97" s="12" t="s">
        <v>94</v>
      </c>
      <c r="C97">
        <v>530539417.19313866</v>
      </c>
      <c r="D97">
        <v>509429650.31231469</v>
      </c>
      <c r="E97">
        <v>452329889.1891892</v>
      </c>
      <c r="F97">
        <v>958954800.90090084</v>
      </c>
      <c r="G97">
        <v>117</v>
      </c>
      <c r="H97">
        <v>104</v>
      </c>
      <c r="K97">
        <v>140</v>
      </c>
      <c r="L97">
        <v>139</v>
      </c>
      <c r="M97">
        <v>25628378.378378376</v>
      </c>
      <c r="N97">
        <v>33877027.027027026</v>
      </c>
      <c r="O97">
        <v>60346779.279279277</v>
      </c>
      <c r="P97">
        <v>62515961.711711712</v>
      </c>
      <c r="Q97">
        <v>23295585.585585583</v>
      </c>
      <c r="R97">
        <v>31135495.495495494</v>
      </c>
      <c r="S97">
        <v>16162</v>
      </c>
      <c r="T97">
        <v>16254</v>
      </c>
    </row>
    <row r="98" spans="1:20" x14ac:dyDescent="0.35">
      <c r="A98" s="7" t="s">
        <v>184</v>
      </c>
      <c r="B98" s="12" t="s">
        <v>89</v>
      </c>
      <c r="C98">
        <v>46290547.22742141</v>
      </c>
      <c r="D98">
        <v>44735971.18958091</v>
      </c>
      <c r="E98">
        <v>551801.80180180096</v>
      </c>
      <c r="F98">
        <v>339414.41441441601</v>
      </c>
      <c r="G98">
        <v>8</v>
      </c>
      <c r="H98">
        <v>10</v>
      </c>
      <c r="K98">
        <v>9</v>
      </c>
      <c r="L98">
        <v>10</v>
      </c>
      <c r="M98">
        <v>1952702.702702703</v>
      </c>
      <c r="N98">
        <v>1773873.8738738741</v>
      </c>
      <c r="O98">
        <v>14294369.369369371</v>
      </c>
      <c r="P98">
        <v>14977774.774774777</v>
      </c>
      <c r="Q98">
        <v>1931531.531531533</v>
      </c>
      <c r="R98">
        <v>1640720.7207207209</v>
      </c>
      <c r="S98">
        <v>1470</v>
      </c>
      <c r="T98">
        <v>1768</v>
      </c>
    </row>
    <row r="99" spans="1:20" x14ac:dyDescent="0.35">
      <c r="A99" s="7" t="s">
        <v>185</v>
      </c>
      <c r="B99" s="12" t="s">
        <v>60</v>
      </c>
      <c r="C99">
        <v>25503027.980368432</v>
      </c>
      <c r="D99">
        <v>27038918.820994657</v>
      </c>
      <c r="E99">
        <v>360360.36036036001</v>
      </c>
      <c r="F99">
        <v>221621.621621623</v>
      </c>
      <c r="G99">
        <v>4</v>
      </c>
      <c r="H99">
        <v>8</v>
      </c>
      <c r="K99">
        <v>4</v>
      </c>
      <c r="L99">
        <v>9</v>
      </c>
      <c r="M99">
        <v>936936.93693693599</v>
      </c>
      <c r="N99">
        <v>897297.29729729902</v>
      </c>
      <c r="O99">
        <v>9029414.4144144151</v>
      </c>
      <c r="P99">
        <v>9221056.3063063063</v>
      </c>
      <c r="Q99">
        <v>997297.29729729705</v>
      </c>
      <c r="R99">
        <v>423423.42342342401</v>
      </c>
      <c r="S99">
        <v>812</v>
      </c>
      <c r="T99">
        <v>768</v>
      </c>
    </row>
    <row r="100" spans="1:20" x14ac:dyDescent="0.35">
      <c r="A100" s="7" t="s">
        <v>186</v>
      </c>
      <c r="B100" s="12" t="s">
        <v>167</v>
      </c>
      <c r="C100">
        <v>61428630.942884073</v>
      </c>
      <c r="D100">
        <v>67027447.999683268</v>
      </c>
      <c r="E100">
        <v>5405.4054054059998</v>
      </c>
      <c r="F100">
        <v>139414.41441441499</v>
      </c>
      <c r="G100">
        <v>10</v>
      </c>
      <c r="H100">
        <v>1</v>
      </c>
      <c r="K100">
        <v>14</v>
      </c>
      <c r="L100">
        <v>3</v>
      </c>
      <c r="M100">
        <v>5405.4054054059998</v>
      </c>
      <c r="N100">
        <v>139639.63963964101</v>
      </c>
      <c r="O100">
        <v>15361036.036036037</v>
      </c>
      <c r="P100">
        <v>17246018.018018018</v>
      </c>
      <c r="Q100">
        <v>135135.13513513599</v>
      </c>
      <c r="S100">
        <v>2733</v>
      </c>
      <c r="T100">
        <v>2865</v>
      </c>
    </row>
    <row r="101" spans="1:20" x14ac:dyDescent="0.35">
      <c r="A101" s="7" t="s">
        <v>187</v>
      </c>
      <c r="B101" s="12" t="s">
        <v>167</v>
      </c>
      <c r="C101">
        <v>185734219.68122083</v>
      </c>
      <c r="D101">
        <v>178330823.06682658</v>
      </c>
      <c r="E101">
        <v>2045045.0450450459</v>
      </c>
      <c r="F101">
        <v>5658558.55855856</v>
      </c>
      <c r="G101">
        <v>39</v>
      </c>
      <c r="H101">
        <v>15</v>
      </c>
      <c r="K101">
        <v>46</v>
      </c>
      <c r="L101">
        <v>16</v>
      </c>
      <c r="M101">
        <v>2684684.684684685</v>
      </c>
      <c r="N101">
        <v>6252252.2522522574</v>
      </c>
      <c r="O101">
        <v>36805279.279279277</v>
      </c>
      <c r="P101">
        <v>36828702.702702701</v>
      </c>
      <c r="Q101">
        <v>3697297.2972972989</v>
      </c>
      <c r="R101">
        <v>5151621.6216216274</v>
      </c>
      <c r="S101">
        <v>6004</v>
      </c>
      <c r="T101">
        <v>5208</v>
      </c>
    </row>
    <row r="102" spans="1:20" x14ac:dyDescent="0.35">
      <c r="A102" s="7" t="s">
        <v>188</v>
      </c>
      <c r="B102" s="12" t="s">
        <v>189</v>
      </c>
      <c r="C102">
        <v>83720852.385037571</v>
      </c>
      <c r="D102">
        <v>78743465.378767207</v>
      </c>
      <c r="E102">
        <v>270270.27027027</v>
      </c>
      <c r="F102">
        <v>270270.27027027</v>
      </c>
      <c r="G102">
        <v>11</v>
      </c>
      <c r="H102">
        <v>17</v>
      </c>
      <c r="K102">
        <v>13</v>
      </c>
      <c r="L102">
        <v>18</v>
      </c>
      <c r="M102">
        <v>1621621.621621622</v>
      </c>
      <c r="N102">
        <v>1171171.1711711709</v>
      </c>
      <c r="O102">
        <v>7030135.1351351356</v>
      </c>
      <c r="P102">
        <v>5533243.2432432435</v>
      </c>
      <c r="Q102">
        <v>1576576.576576577</v>
      </c>
      <c r="R102">
        <v>985135.13513513503</v>
      </c>
      <c r="S102">
        <v>1737</v>
      </c>
      <c r="T102">
        <v>1696</v>
      </c>
    </row>
    <row r="103" spans="1:20" x14ac:dyDescent="0.35">
      <c r="A103" s="7" t="s">
        <v>190</v>
      </c>
      <c r="B103" s="12" t="s">
        <v>134</v>
      </c>
      <c r="C103">
        <v>18256243.386947714</v>
      </c>
      <c r="D103">
        <v>19100657.028759968</v>
      </c>
      <c r="F103">
        <v>13513.513513514001</v>
      </c>
      <c r="G103">
        <v>9</v>
      </c>
      <c r="H103">
        <v>9</v>
      </c>
      <c r="K103">
        <v>10</v>
      </c>
      <c r="L103">
        <v>11</v>
      </c>
      <c r="N103">
        <v>13513.513513514001</v>
      </c>
      <c r="O103">
        <v>1266756.7567567569</v>
      </c>
      <c r="P103">
        <v>1657612.612612613</v>
      </c>
      <c r="R103">
        <v>87387.387387387003</v>
      </c>
      <c r="S103">
        <v>1039</v>
      </c>
      <c r="T103">
        <v>967</v>
      </c>
    </row>
    <row r="104" spans="1:20" x14ac:dyDescent="0.35">
      <c r="A104" s="7" t="s">
        <v>191</v>
      </c>
      <c r="B104" s="12" t="s">
        <v>60</v>
      </c>
      <c r="C104">
        <v>118681604.97379592</v>
      </c>
      <c r="D104">
        <v>113301892.19783697</v>
      </c>
      <c r="E104">
        <v>1051351.3513513519</v>
      </c>
      <c r="F104">
        <v>1122297.297297297</v>
      </c>
      <c r="G104">
        <v>20</v>
      </c>
      <c r="H104">
        <v>10</v>
      </c>
      <c r="K104">
        <v>24</v>
      </c>
      <c r="L104">
        <v>45</v>
      </c>
      <c r="M104">
        <v>8736036.0360360369</v>
      </c>
      <c r="N104">
        <v>10708108.108108109</v>
      </c>
      <c r="O104">
        <v>38154234.234234229</v>
      </c>
      <c r="P104">
        <v>37009441.441441439</v>
      </c>
      <c r="Q104">
        <v>9967027.0270270277</v>
      </c>
      <c r="R104">
        <v>9370450.4504504483</v>
      </c>
      <c r="S104">
        <v>3996</v>
      </c>
      <c r="T104">
        <v>4406</v>
      </c>
    </row>
    <row r="105" spans="1:20" x14ac:dyDescent="0.35">
      <c r="A105" s="7" t="s">
        <v>192</v>
      </c>
      <c r="B105" s="12" t="s">
        <v>60</v>
      </c>
      <c r="C105">
        <v>204608145.16651991</v>
      </c>
      <c r="D105">
        <v>195284477.96202272</v>
      </c>
      <c r="E105">
        <v>1793693.693693694</v>
      </c>
      <c r="F105">
        <v>1443243.2432432431</v>
      </c>
      <c r="G105">
        <v>27</v>
      </c>
      <c r="H105">
        <v>16</v>
      </c>
      <c r="K105">
        <v>40</v>
      </c>
      <c r="L105">
        <v>26</v>
      </c>
      <c r="M105">
        <v>9798198.1981981974</v>
      </c>
      <c r="N105">
        <v>12659459.459459459</v>
      </c>
      <c r="O105">
        <v>47685450.45045045</v>
      </c>
      <c r="P105">
        <v>49730333.333333336</v>
      </c>
      <c r="Q105">
        <v>8485495.4954954945</v>
      </c>
      <c r="R105">
        <v>10769189.189189192</v>
      </c>
      <c r="S105">
        <v>6481</v>
      </c>
      <c r="T105">
        <v>6531</v>
      </c>
    </row>
    <row r="106" spans="1:20" x14ac:dyDescent="0.35">
      <c r="A106" s="7" t="s">
        <v>2</v>
      </c>
      <c r="B106" s="12" t="s">
        <v>193</v>
      </c>
      <c r="C106">
        <v>26970696.540104352</v>
      </c>
      <c r="D106">
        <v>17549914.722498216</v>
      </c>
      <c r="E106">
        <v>16216.216216215</v>
      </c>
      <c r="F106">
        <v>40540.540540542002</v>
      </c>
      <c r="G106">
        <v>5</v>
      </c>
      <c r="H106">
        <v>3</v>
      </c>
      <c r="K106">
        <v>6</v>
      </c>
      <c r="L106">
        <v>3</v>
      </c>
      <c r="M106">
        <v>217567.56756756699</v>
      </c>
      <c r="N106">
        <v>40540.540540542002</v>
      </c>
      <c r="O106">
        <v>13876891.891891891</v>
      </c>
      <c r="P106">
        <v>10688378.378378378</v>
      </c>
      <c r="Q106">
        <v>201351.35135135101</v>
      </c>
      <c r="R106">
        <v>157657.65765765801</v>
      </c>
      <c r="S106">
        <v>1265</v>
      </c>
      <c r="T106">
        <v>1196</v>
      </c>
    </row>
    <row r="107" spans="1:20" x14ac:dyDescent="0.35">
      <c r="A107" s="7" t="s">
        <v>194</v>
      </c>
      <c r="B107" s="12" t="s">
        <v>195</v>
      </c>
      <c r="C107">
        <v>681572245.6148001</v>
      </c>
      <c r="D107">
        <v>695230846.15890384</v>
      </c>
      <c r="E107">
        <v>15040990.990990993</v>
      </c>
      <c r="F107">
        <v>5416891.891891893</v>
      </c>
      <c r="G107">
        <v>147</v>
      </c>
      <c r="H107">
        <v>152</v>
      </c>
      <c r="K107">
        <v>176</v>
      </c>
      <c r="L107">
        <v>168</v>
      </c>
      <c r="M107">
        <v>28017567.567567568</v>
      </c>
      <c r="N107">
        <v>32789189.189189188</v>
      </c>
      <c r="O107">
        <v>123366117.11711712</v>
      </c>
      <c r="P107">
        <v>133261477.47747748</v>
      </c>
      <c r="Q107">
        <v>27411351.351351351</v>
      </c>
      <c r="R107">
        <v>25289819.819819815</v>
      </c>
      <c r="S107">
        <v>17999</v>
      </c>
      <c r="T107">
        <v>19045</v>
      </c>
    </row>
    <row r="108" spans="1:20" x14ac:dyDescent="0.35">
      <c r="A108" s="7" t="s">
        <v>196</v>
      </c>
      <c r="B108" s="12" t="s">
        <v>80</v>
      </c>
      <c r="C108">
        <v>215514952.37361872</v>
      </c>
      <c r="D108">
        <v>211565930.36529008</v>
      </c>
      <c r="E108">
        <v>220720.72072072199</v>
      </c>
      <c r="F108">
        <v>1180180.1801801799</v>
      </c>
      <c r="G108">
        <v>54</v>
      </c>
      <c r="H108">
        <v>51</v>
      </c>
      <c r="K108">
        <v>58</v>
      </c>
      <c r="L108">
        <v>57</v>
      </c>
      <c r="M108">
        <v>27990090.090090092</v>
      </c>
      <c r="N108">
        <v>33207207.207207207</v>
      </c>
      <c r="O108">
        <v>55341117.117117122</v>
      </c>
      <c r="P108">
        <v>57898621.621621624</v>
      </c>
      <c r="Q108">
        <v>26187387.387387387</v>
      </c>
      <c r="R108">
        <v>31287837.837837838</v>
      </c>
      <c r="S108">
        <v>6811</v>
      </c>
      <c r="T108">
        <v>6648</v>
      </c>
    </row>
    <row r="109" spans="1:20" x14ac:dyDescent="0.35">
      <c r="A109" s="7" t="s">
        <v>197</v>
      </c>
      <c r="B109" s="12" t="s">
        <v>108</v>
      </c>
      <c r="C109">
        <v>162129405.03011203</v>
      </c>
      <c r="D109">
        <v>168608379.2522302</v>
      </c>
      <c r="E109">
        <v>483603.603603606</v>
      </c>
      <c r="F109">
        <v>1580180.180180179</v>
      </c>
      <c r="G109">
        <v>38</v>
      </c>
      <c r="H109">
        <v>55</v>
      </c>
      <c r="K109">
        <v>48</v>
      </c>
      <c r="L109">
        <v>66</v>
      </c>
      <c r="M109">
        <v>9266486.4864864871</v>
      </c>
      <c r="N109">
        <v>9833333.3333333302</v>
      </c>
      <c r="O109">
        <v>47187972.972972967</v>
      </c>
      <c r="P109">
        <v>50186306.306306303</v>
      </c>
      <c r="Q109">
        <v>9186306.3063063044</v>
      </c>
      <c r="R109">
        <v>9187747.7477477454</v>
      </c>
      <c r="S109">
        <v>7124</v>
      </c>
      <c r="T109">
        <v>7375</v>
      </c>
    </row>
    <row r="110" spans="1:20" x14ac:dyDescent="0.35">
      <c r="A110" s="7" t="s">
        <v>198</v>
      </c>
      <c r="B110" s="12" t="s">
        <v>92</v>
      </c>
      <c r="C110">
        <v>93058200.535951361</v>
      </c>
      <c r="D110">
        <v>90166783.921610177</v>
      </c>
      <c r="E110">
        <v>41873489.189189196</v>
      </c>
      <c r="F110">
        <v>80507177.477477476</v>
      </c>
      <c r="G110">
        <v>18</v>
      </c>
      <c r="H110">
        <v>127</v>
      </c>
      <c r="K110">
        <v>19</v>
      </c>
      <c r="L110">
        <v>234</v>
      </c>
      <c r="M110">
        <v>20032072.072072074</v>
      </c>
      <c r="N110">
        <v>25504954.954954956</v>
      </c>
      <c r="O110">
        <v>23401261.261261266</v>
      </c>
      <c r="P110">
        <v>24852081.081081081</v>
      </c>
      <c r="Q110">
        <v>15030180.180180181</v>
      </c>
      <c r="R110">
        <v>25171261.261261258</v>
      </c>
      <c r="S110">
        <v>3288</v>
      </c>
      <c r="T110">
        <v>2760</v>
      </c>
    </row>
    <row r="111" spans="1:20" x14ac:dyDescent="0.35">
      <c r="A111" s="7" t="s">
        <v>199</v>
      </c>
      <c r="B111" s="12" t="s">
        <v>123</v>
      </c>
      <c r="C111">
        <v>94925541.888187379</v>
      </c>
      <c r="D111">
        <v>79887433.653320432</v>
      </c>
      <c r="E111">
        <v>486486.48648648697</v>
      </c>
      <c r="F111">
        <v>52252.252252252998</v>
      </c>
      <c r="G111">
        <v>49</v>
      </c>
      <c r="H111">
        <v>9</v>
      </c>
      <c r="K111">
        <v>54</v>
      </c>
      <c r="L111">
        <v>10</v>
      </c>
      <c r="M111">
        <v>4870270.2702702712</v>
      </c>
      <c r="N111">
        <v>2279459.4594594589</v>
      </c>
      <c r="O111">
        <v>19972927.927927926</v>
      </c>
      <c r="P111">
        <v>13487009.009009007</v>
      </c>
      <c r="Q111">
        <v>4064594.5945945941</v>
      </c>
      <c r="R111">
        <v>2796846.8468468469</v>
      </c>
      <c r="S111">
        <v>2640</v>
      </c>
      <c r="T111">
        <v>2488</v>
      </c>
    </row>
    <row r="112" spans="1:20" x14ac:dyDescent="0.35">
      <c r="A112" s="7" t="s">
        <v>200</v>
      </c>
      <c r="B112" s="12" t="s">
        <v>60</v>
      </c>
      <c r="C112">
        <v>61067830.731864206</v>
      </c>
      <c r="D112">
        <v>57134678.930803671</v>
      </c>
      <c r="E112">
        <v>46846.846846847002</v>
      </c>
      <c r="F112">
        <v>466666.66666666802</v>
      </c>
      <c r="G112">
        <v>12</v>
      </c>
      <c r="H112">
        <v>14</v>
      </c>
      <c r="K112">
        <v>23</v>
      </c>
      <c r="L112">
        <v>14</v>
      </c>
      <c r="M112">
        <v>5181981.9819819797</v>
      </c>
      <c r="N112">
        <v>8142342.3423423432</v>
      </c>
      <c r="O112">
        <v>9846792.7927927915</v>
      </c>
      <c r="P112">
        <v>10616734.234234234</v>
      </c>
      <c r="Q112">
        <v>4306306.3063063063</v>
      </c>
      <c r="R112">
        <v>4213873.8738738736</v>
      </c>
      <c r="S112">
        <v>3524</v>
      </c>
      <c r="T112">
        <v>2748</v>
      </c>
    </row>
    <row r="113" spans="1:20" x14ac:dyDescent="0.35">
      <c r="A113" s="7" t="s">
        <v>201</v>
      </c>
      <c r="B113" s="12" t="s">
        <v>60</v>
      </c>
      <c r="C113">
        <v>20538239.947861779</v>
      </c>
      <c r="D113">
        <v>19394203.865029871</v>
      </c>
      <c r="E113">
        <v>42522.522522523002</v>
      </c>
      <c r="F113">
        <v>5405.4054054050002</v>
      </c>
      <c r="G113">
        <v>4</v>
      </c>
      <c r="H113">
        <v>7</v>
      </c>
      <c r="K113">
        <v>6</v>
      </c>
      <c r="L113">
        <v>8</v>
      </c>
      <c r="M113">
        <v>375855.85585585597</v>
      </c>
      <c r="N113">
        <v>1383783.783783783</v>
      </c>
      <c r="O113">
        <v>4422837.8378378376</v>
      </c>
      <c r="P113">
        <v>3946153.1531531541</v>
      </c>
      <c r="Q113">
        <v>725675.67567567597</v>
      </c>
      <c r="R113">
        <v>389189.189189189</v>
      </c>
      <c r="S113">
        <v>1142</v>
      </c>
      <c r="T113">
        <v>1450</v>
      </c>
    </row>
    <row r="114" spans="1:20" x14ac:dyDescent="0.35">
      <c r="A114" s="7" t="s">
        <v>202</v>
      </c>
      <c r="B114" s="12" t="s">
        <v>121</v>
      </c>
      <c r="C114">
        <v>42332326.849916041</v>
      </c>
      <c r="D114">
        <v>39037177.99477347</v>
      </c>
      <c r="E114">
        <v>112612.612612613</v>
      </c>
      <c r="F114">
        <v>193693.69369369399</v>
      </c>
      <c r="G114">
        <v>28</v>
      </c>
      <c r="H114">
        <v>25</v>
      </c>
      <c r="K114">
        <v>33</v>
      </c>
      <c r="L114">
        <v>29</v>
      </c>
      <c r="M114">
        <v>121621.62162162201</v>
      </c>
      <c r="N114">
        <v>3646417.1171171181</v>
      </c>
      <c r="O114">
        <v>4420315.3153153146</v>
      </c>
      <c r="P114">
        <v>3761198.1981981979</v>
      </c>
      <c r="Q114">
        <v>116846.84684684699</v>
      </c>
      <c r="S114">
        <v>1508</v>
      </c>
      <c r="T114">
        <v>1880</v>
      </c>
    </row>
    <row r="115" spans="1:20" x14ac:dyDescent="0.35">
      <c r="A115" s="7" t="s">
        <v>203</v>
      </c>
      <c r="B115" s="12" t="s">
        <v>54</v>
      </c>
      <c r="C115">
        <v>64712378.055509888</v>
      </c>
      <c r="D115">
        <v>60805929.853145093</v>
      </c>
      <c r="E115">
        <v>456756.75675675698</v>
      </c>
      <c r="F115">
        <v>219819.81981982</v>
      </c>
      <c r="G115">
        <v>12</v>
      </c>
      <c r="H115">
        <v>10</v>
      </c>
      <c r="K115">
        <v>12</v>
      </c>
      <c r="L115">
        <v>10</v>
      </c>
      <c r="M115">
        <v>3718018.0180180171</v>
      </c>
      <c r="N115">
        <v>3233333.333333334</v>
      </c>
      <c r="O115">
        <v>16265045.045045044</v>
      </c>
      <c r="P115">
        <v>15697315.315315315</v>
      </c>
      <c r="Q115">
        <v>3371081.0810810812</v>
      </c>
      <c r="R115">
        <v>3158018.0180180189</v>
      </c>
      <c r="S115">
        <v>3700</v>
      </c>
      <c r="T115">
        <v>3905</v>
      </c>
    </row>
    <row r="116" spans="1:20" x14ac:dyDescent="0.35">
      <c r="A116" s="7" t="s">
        <v>204</v>
      </c>
      <c r="B116" s="12" t="s">
        <v>136</v>
      </c>
      <c r="C116">
        <v>251637733.85684782</v>
      </c>
      <c r="D116">
        <v>217015592.45460814</v>
      </c>
      <c r="E116">
        <v>266216.21621621598</v>
      </c>
      <c r="F116">
        <v>250450.45045045199</v>
      </c>
      <c r="G116">
        <v>63</v>
      </c>
      <c r="H116">
        <v>24</v>
      </c>
      <c r="K116">
        <v>69</v>
      </c>
      <c r="L116">
        <v>27</v>
      </c>
      <c r="M116">
        <v>29279549.549549554</v>
      </c>
      <c r="N116">
        <v>18655855.855855852</v>
      </c>
      <c r="O116">
        <v>40867792.79279279</v>
      </c>
      <c r="P116">
        <v>40627927.927927926</v>
      </c>
      <c r="Q116">
        <v>22554234.234234236</v>
      </c>
      <c r="R116">
        <v>15749009.009009007</v>
      </c>
      <c r="S116">
        <v>5691</v>
      </c>
      <c r="T116">
        <v>5868</v>
      </c>
    </row>
    <row r="117" spans="1:20" x14ac:dyDescent="0.35">
      <c r="A117" s="7" t="s">
        <v>205</v>
      </c>
      <c r="B117" s="12" t="s">
        <v>136</v>
      </c>
      <c r="C117">
        <v>123188474.33875722</v>
      </c>
      <c r="D117">
        <v>114674637.76570494</v>
      </c>
      <c r="E117">
        <v>276576.57657657599</v>
      </c>
      <c r="F117">
        <v>326126.12612612598</v>
      </c>
      <c r="G117">
        <v>36</v>
      </c>
      <c r="H117">
        <v>14</v>
      </c>
      <c r="K117">
        <v>40</v>
      </c>
      <c r="L117">
        <v>19</v>
      </c>
      <c r="M117">
        <v>4114414.4144144128</v>
      </c>
      <c r="N117">
        <v>3641441.44144144</v>
      </c>
      <c r="O117">
        <v>20965495.495495494</v>
      </c>
      <c r="P117">
        <v>21896610.810810812</v>
      </c>
      <c r="Q117">
        <v>3130450.4504504511</v>
      </c>
      <c r="R117">
        <v>2317297.297297297</v>
      </c>
      <c r="S117">
        <v>3124</v>
      </c>
      <c r="T117">
        <v>3172</v>
      </c>
    </row>
    <row r="118" spans="1:20" x14ac:dyDescent="0.35">
      <c r="A118" s="7" t="s">
        <v>206</v>
      </c>
      <c r="B118" s="12" t="s">
        <v>169</v>
      </c>
      <c r="C118">
        <v>255621263.53471082</v>
      </c>
      <c r="D118">
        <v>258166645.60729632</v>
      </c>
      <c r="E118">
        <v>339639.63963963999</v>
      </c>
      <c r="F118">
        <v>702702.702702704</v>
      </c>
      <c r="G118">
        <v>16</v>
      </c>
      <c r="H118">
        <v>8</v>
      </c>
      <c r="K118">
        <v>16</v>
      </c>
      <c r="L118">
        <v>11</v>
      </c>
      <c r="M118">
        <v>793411711.71171176</v>
      </c>
      <c r="N118">
        <v>1908549549.5495496</v>
      </c>
      <c r="O118">
        <v>121293954.95495497</v>
      </c>
      <c r="P118">
        <v>120422513.51351352</v>
      </c>
      <c r="Q118">
        <v>679905091.89189184</v>
      </c>
      <c r="R118">
        <v>75357560.360360369</v>
      </c>
      <c r="S118">
        <v>7593</v>
      </c>
      <c r="T118">
        <v>7630</v>
      </c>
    </row>
    <row r="119" spans="1:20" x14ac:dyDescent="0.35">
      <c r="A119" s="7" t="s">
        <v>207</v>
      </c>
      <c r="B119" s="12" t="s">
        <v>161</v>
      </c>
      <c r="C119">
        <v>285270044.69020504</v>
      </c>
      <c r="D119">
        <v>291448993.37422532</v>
      </c>
      <c r="E119">
        <v>1003243.243243249</v>
      </c>
      <c r="F119">
        <v>30615315.315315325</v>
      </c>
      <c r="G119">
        <v>124</v>
      </c>
      <c r="H119">
        <v>202</v>
      </c>
      <c r="K119">
        <v>200</v>
      </c>
      <c r="L119">
        <v>323</v>
      </c>
      <c r="M119">
        <v>39060900.900900885</v>
      </c>
      <c r="N119">
        <v>26988468.468468476</v>
      </c>
      <c r="O119">
        <v>81800531.531531543</v>
      </c>
      <c r="P119">
        <v>84523002.252252251</v>
      </c>
      <c r="Q119">
        <v>32236572.972972959</v>
      </c>
      <c r="R119">
        <v>27402205.405405413</v>
      </c>
      <c r="S119">
        <v>12278</v>
      </c>
      <c r="T119">
        <v>11987</v>
      </c>
    </row>
    <row r="120" spans="1:20" x14ac:dyDescent="0.35">
      <c r="A120" s="7" t="s">
        <v>208</v>
      </c>
      <c r="B120" s="12" t="s">
        <v>76</v>
      </c>
      <c r="C120">
        <v>11180091.84624636</v>
      </c>
      <c r="D120">
        <v>8963755.2280526701</v>
      </c>
      <c r="G120">
        <v>3</v>
      </c>
      <c r="K120">
        <v>3</v>
      </c>
      <c r="O120">
        <v>440090.09009009</v>
      </c>
      <c r="P120">
        <v>665360.36036036105</v>
      </c>
      <c r="S120">
        <v>544</v>
      </c>
      <c r="T120">
        <v>473</v>
      </c>
    </row>
    <row r="121" spans="1:20" x14ac:dyDescent="0.35">
      <c r="A121" s="7" t="s">
        <v>209</v>
      </c>
      <c r="B121" s="12" t="s">
        <v>76</v>
      </c>
      <c r="C121">
        <v>136004947.19083926</v>
      </c>
      <c r="D121">
        <v>125784524.74629065</v>
      </c>
      <c r="E121">
        <v>85886193.693693697</v>
      </c>
      <c r="F121">
        <v>32279855.85585586</v>
      </c>
      <c r="G121">
        <v>38</v>
      </c>
      <c r="H121">
        <v>53</v>
      </c>
      <c r="I121">
        <v>3</v>
      </c>
      <c r="K121">
        <v>52</v>
      </c>
      <c r="L121">
        <v>63</v>
      </c>
      <c r="M121">
        <v>10073963.963963963</v>
      </c>
      <c r="N121">
        <v>16138918.918918915</v>
      </c>
      <c r="O121">
        <v>17979054.054054055</v>
      </c>
      <c r="P121">
        <v>19489891.891891893</v>
      </c>
      <c r="Q121">
        <v>9782792.7927927952</v>
      </c>
      <c r="R121">
        <v>15774054.054054052</v>
      </c>
      <c r="S121">
        <v>4572</v>
      </c>
      <c r="T121">
        <v>4455</v>
      </c>
    </row>
    <row r="122" spans="1:20" x14ac:dyDescent="0.35">
      <c r="A122" s="7" t="s">
        <v>210</v>
      </c>
      <c r="B122" s="12" t="s">
        <v>76</v>
      </c>
      <c r="C122">
        <v>166916731.50681132</v>
      </c>
      <c r="D122">
        <v>163203973.92721799</v>
      </c>
      <c r="E122">
        <v>25271171.171171173</v>
      </c>
      <c r="F122">
        <v>1799099.099099105</v>
      </c>
      <c r="G122">
        <v>77</v>
      </c>
      <c r="H122">
        <v>75</v>
      </c>
      <c r="I122">
        <v>2</v>
      </c>
      <c r="K122">
        <v>93</v>
      </c>
      <c r="L122">
        <v>100</v>
      </c>
      <c r="M122">
        <v>51557657.657657653</v>
      </c>
      <c r="N122">
        <v>53701081.081081077</v>
      </c>
      <c r="O122">
        <v>49754482.882882878</v>
      </c>
      <c r="P122">
        <v>49700603.603603601</v>
      </c>
      <c r="Q122">
        <v>32170266.666666668</v>
      </c>
      <c r="R122">
        <v>41574594.594594598</v>
      </c>
      <c r="S122">
        <v>6900</v>
      </c>
      <c r="T122">
        <v>6977</v>
      </c>
    </row>
    <row r="123" spans="1:20" x14ac:dyDescent="0.35">
      <c r="A123" s="7" t="s">
        <v>211</v>
      </c>
      <c r="B123" s="12" t="s">
        <v>76</v>
      </c>
      <c r="C123">
        <v>112145970.88360381</v>
      </c>
      <c r="D123">
        <v>118240311.5168644</v>
      </c>
      <c r="E123">
        <v>1022972.972972975</v>
      </c>
      <c r="F123">
        <v>1041216.2162162201</v>
      </c>
      <c r="G123">
        <v>44</v>
      </c>
      <c r="H123">
        <v>58</v>
      </c>
      <c r="K123">
        <v>53</v>
      </c>
      <c r="L123">
        <v>67</v>
      </c>
      <c r="M123">
        <v>8320270.2702702703</v>
      </c>
      <c r="N123">
        <v>10750810.810810812</v>
      </c>
      <c r="O123">
        <v>16434171.171171172</v>
      </c>
      <c r="P123">
        <v>18162713.963963963</v>
      </c>
      <c r="Q123">
        <v>9821801.8018018007</v>
      </c>
      <c r="R123">
        <v>9269909.9099099115</v>
      </c>
      <c r="S123">
        <v>3948</v>
      </c>
      <c r="T123">
        <v>4159</v>
      </c>
    </row>
    <row r="124" spans="1:20" x14ac:dyDescent="0.35">
      <c r="A124" s="7" t="s">
        <v>212</v>
      </c>
      <c r="B124" s="12" t="s">
        <v>76</v>
      </c>
      <c r="C124">
        <v>46522180.72754427</v>
      </c>
      <c r="D124">
        <v>42761353.731650665</v>
      </c>
      <c r="E124">
        <v>6756.7567567570004</v>
      </c>
      <c r="F124">
        <v>900.900900901</v>
      </c>
      <c r="G124">
        <v>13</v>
      </c>
      <c r="H124">
        <v>5</v>
      </c>
      <c r="K124">
        <v>14</v>
      </c>
      <c r="L124">
        <v>5</v>
      </c>
      <c r="M124">
        <v>817567.56756756804</v>
      </c>
      <c r="N124">
        <v>1205585.5855855839</v>
      </c>
      <c r="O124">
        <v>6218468.4684684668</v>
      </c>
      <c r="P124">
        <v>6430243.2432432426</v>
      </c>
      <c r="Q124">
        <v>504144.14414414403</v>
      </c>
      <c r="R124">
        <v>1004234.234234234</v>
      </c>
      <c r="S124">
        <v>1821</v>
      </c>
      <c r="T124">
        <v>2071</v>
      </c>
    </row>
    <row r="125" spans="1:20" x14ac:dyDescent="0.35">
      <c r="A125" s="7" t="s">
        <v>213</v>
      </c>
      <c r="B125" s="12" t="s">
        <v>214</v>
      </c>
      <c r="C125">
        <v>53686015.168821819</v>
      </c>
      <c r="D125">
        <v>61799525.648416862</v>
      </c>
      <c r="E125">
        <v>77927.927927928002</v>
      </c>
      <c r="F125">
        <v>292792.792792794</v>
      </c>
      <c r="G125">
        <v>10</v>
      </c>
      <c r="H125">
        <v>24</v>
      </c>
      <c r="K125">
        <v>11</v>
      </c>
      <c r="L125">
        <v>26</v>
      </c>
      <c r="M125">
        <v>7356486.486486488</v>
      </c>
      <c r="N125">
        <v>8165315.3153153146</v>
      </c>
      <c r="O125">
        <v>26119819.819819819</v>
      </c>
      <c r="P125">
        <v>27658369.369369369</v>
      </c>
      <c r="Q125">
        <v>6130090.0900900913</v>
      </c>
      <c r="R125">
        <v>6400360.3603603588</v>
      </c>
      <c r="S125">
        <v>2499</v>
      </c>
      <c r="T125">
        <v>2238</v>
      </c>
    </row>
    <row r="126" spans="1:20" x14ac:dyDescent="0.35">
      <c r="A126" s="7" t="s">
        <v>215</v>
      </c>
      <c r="B126" s="12" t="s">
        <v>167</v>
      </c>
      <c r="C126">
        <v>47328704.398101285</v>
      </c>
      <c r="D126">
        <v>67783816.593123868</v>
      </c>
      <c r="E126">
        <v>7207.207207208</v>
      </c>
      <c r="G126">
        <v>5</v>
      </c>
      <c r="H126">
        <v>3</v>
      </c>
      <c r="K126">
        <v>6</v>
      </c>
      <c r="L126">
        <v>3</v>
      </c>
      <c r="M126">
        <v>7207.207207208</v>
      </c>
      <c r="N126">
        <v>450450.45045045001</v>
      </c>
      <c r="O126">
        <v>8760540.5405405406</v>
      </c>
      <c r="P126">
        <v>11711000</v>
      </c>
      <c r="Q126">
        <v>747297.29729729902</v>
      </c>
      <c r="S126">
        <v>1884</v>
      </c>
      <c r="T126">
        <v>1902</v>
      </c>
    </row>
    <row r="127" spans="1:20" x14ac:dyDescent="0.35">
      <c r="A127" s="7" t="s">
        <v>216</v>
      </c>
      <c r="B127" s="12" t="s">
        <v>85</v>
      </c>
      <c r="C127">
        <v>11921236.990681576</v>
      </c>
      <c r="D127">
        <v>15666528.012592183</v>
      </c>
      <c r="E127">
        <v>9909.9099099110008</v>
      </c>
      <c r="F127">
        <v>112612.612612613</v>
      </c>
      <c r="G127">
        <v>2</v>
      </c>
      <c r="H127">
        <v>6</v>
      </c>
      <c r="K127">
        <v>2</v>
      </c>
      <c r="L127">
        <v>8</v>
      </c>
      <c r="M127">
        <v>21514414.414414417</v>
      </c>
      <c r="N127">
        <v>25007207.207207207</v>
      </c>
      <c r="O127">
        <v>3318189.1891891891</v>
      </c>
      <c r="P127">
        <v>4514729.7297297297</v>
      </c>
      <c r="Q127">
        <v>15026486.486486485</v>
      </c>
      <c r="R127">
        <v>19350270.270270273</v>
      </c>
      <c r="S127">
        <v>625</v>
      </c>
      <c r="T127">
        <v>683</v>
      </c>
    </row>
    <row r="128" spans="1:20" x14ac:dyDescent="0.35">
      <c r="A128" s="7" t="s">
        <v>217</v>
      </c>
      <c r="B128" s="12" t="s">
        <v>85</v>
      </c>
      <c r="C128">
        <v>63161939.586138174</v>
      </c>
      <c r="D128">
        <v>60509813.378168523</v>
      </c>
      <c r="E128">
        <v>44144.144144145001</v>
      </c>
      <c r="F128">
        <v>205405.405405406</v>
      </c>
      <c r="G128">
        <v>26</v>
      </c>
      <c r="H128">
        <v>20</v>
      </c>
      <c r="K128">
        <v>33</v>
      </c>
      <c r="L128">
        <v>22</v>
      </c>
      <c r="M128">
        <v>11656756.756756756</v>
      </c>
      <c r="N128">
        <v>12436216.216216216</v>
      </c>
      <c r="O128">
        <v>12051936.936936935</v>
      </c>
      <c r="P128">
        <v>12080081.081081079</v>
      </c>
      <c r="Q128">
        <v>5652702.702702702</v>
      </c>
      <c r="R128">
        <v>11773873.873873875</v>
      </c>
      <c r="S128">
        <v>2463</v>
      </c>
      <c r="T128">
        <v>2417</v>
      </c>
    </row>
    <row r="129" spans="1:20" x14ac:dyDescent="0.35">
      <c r="A129" s="7" t="s">
        <v>218</v>
      </c>
      <c r="B129" s="12" t="s">
        <v>147</v>
      </c>
      <c r="C129">
        <v>59818327.755686276</v>
      </c>
      <c r="D129">
        <v>57768558.379977413</v>
      </c>
      <c r="E129">
        <v>570270.27027027099</v>
      </c>
      <c r="F129">
        <v>4022522.5225225231</v>
      </c>
      <c r="G129">
        <v>11</v>
      </c>
      <c r="H129">
        <v>54</v>
      </c>
      <c r="K129">
        <v>12</v>
      </c>
      <c r="L129">
        <v>75</v>
      </c>
      <c r="M129">
        <v>1390090.0900900911</v>
      </c>
      <c r="N129">
        <v>34866216.216216214</v>
      </c>
      <c r="O129">
        <v>15904711.711711712</v>
      </c>
      <c r="P129">
        <v>19506153.153153151</v>
      </c>
      <c r="Q129">
        <v>3880090.090090089</v>
      </c>
      <c r="R129">
        <v>36232612.612612605</v>
      </c>
      <c r="S129">
        <v>2724</v>
      </c>
      <c r="T129">
        <v>2397</v>
      </c>
    </row>
    <row r="130" spans="1:20" x14ac:dyDescent="0.35">
      <c r="A130" s="7" t="s">
        <v>219</v>
      </c>
      <c r="B130" s="12" t="s">
        <v>220</v>
      </c>
      <c r="C130">
        <v>120369309.5517938</v>
      </c>
      <c r="D130">
        <v>113352633.18984696</v>
      </c>
      <c r="E130">
        <v>576756.75675675704</v>
      </c>
      <c r="F130">
        <v>1295495.495495497</v>
      </c>
      <c r="G130">
        <v>43</v>
      </c>
      <c r="H130">
        <v>24</v>
      </c>
      <c r="K130">
        <v>48</v>
      </c>
      <c r="L130">
        <v>31</v>
      </c>
      <c r="M130">
        <v>111821711.7117117</v>
      </c>
      <c r="N130">
        <v>106920810.81081082</v>
      </c>
      <c r="O130">
        <v>32062225.225225225</v>
      </c>
      <c r="P130">
        <v>28736137.387387387</v>
      </c>
      <c r="Q130">
        <v>203018198.1981982</v>
      </c>
      <c r="R130">
        <v>154672252.25225225</v>
      </c>
      <c r="S130">
        <v>6074</v>
      </c>
      <c r="T130">
        <v>6407</v>
      </c>
    </row>
    <row r="131" spans="1:20" x14ac:dyDescent="0.35">
      <c r="A131" s="7" t="s">
        <v>221</v>
      </c>
      <c r="B131" s="12" t="s">
        <v>52</v>
      </c>
      <c r="C131">
        <v>284193893.93687719</v>
      </c>
      <c r="D131">
        <v>266012412.85057178</v>
      </c>
      <c r="E131">
        <v>1235135.135135137</v>
      </c>
      <c r="F131">
        <v>1871171.1711711721</v>
      </c>
      <c r="G131">
        <v>57</v>
      </c>
      <c r="H131">
        <v>60</v>
      </c>
      <c r="K131">
        <v>66</v>
      </c>
      <c r="L131">
        <v>81</v>
      </c>
      <c r="M131">
        <v>10481351.351351349</v>
      </c>
      <c r="N131">
        <v>9465765.7657657675</v>
      </c>
      <c r="O131">
        <v>91029549.54954955</v>
      </c>
      <c r="P131">
        <v>86143702.702702701</v>
      </c>
      <c r="Q131">
        <v>11623153.153153157</v>
      </c>
      <c r="R131">
        <v>21051711.711711712</v>
      </c>
      <c r="S131">
        <v>11074</v>
      </c>
      <c r="T131">
        <v>10276</v>
      </c>
    </row>
    <row r="132" spans="1:20" x14ac:dyDescent="0.35">
      <c r="A132" s="7" t="s">
        <v>222</v>
      </c>
      <c r="B132" s="12" t="s">
        <v>76</v>
      </c>
      <c r="C132">
        <v>219346727.66479236</v>
      </c>
      <c r="D132">
        <v>207800898.85653535</v>
      </c>
      <c r="E132">
        <v>81621.621621622995</v>
      </c>
      <c r="F132">
        <v>606306.30630631</v>
      </c>
      <c r="G132">
        <v>60</v>
      </c>
      <c r="H132">
        <v>48</v>
      </c>
      <c r="K132">
        <v>67</v>
      </c>
      <c r="L132">
        <v>54</v>
      </c>
      <c r="M132">
        <v>12527567.567567566</v>
      </c>
      <c r="N132">
        <v>16552612.612612609</v>
      </c>
      <c r="O132">
        <v>40855385.585585587</v>
      </c>
      <c r="P132">
        <v>39631815.315315314</v>
      </c>
      <c r="Q132">
        <v>12494864.864864863</v>
      </c>
      <c r="R132">
        <v>12645855.855855852</v>
      </c>
      <c r="S132">
        <v>7060</v>
      </c>
      <c r="T132">
        <v>6996</v>
      </c>
    </row>
    <row r="133" spans="1:20" x14ac:dyDescent="0.35">
      <c r="A133" s="7" t="s">
        <v>223</v>
      </c>
      <c r="B133" s="12" t="s">
        <v>224</v>
      </c>
      <c r="C133">
        <v>18182689.630197909</v>
      </c>
      <c r="D133">
        <v>18559698.315659888</v>
      </c>
      <c r="G133">
        <v>2</v>
      </c>
      <c r="H133">
        <v>1</v>
      </c>
      <c r="K133">
        <v>2</v>
      </c>
      <c r="L133">
        <v>1</v>
      </c>
      <c r="M133">
        <v>400000</v>
      </c>
      <c r="O133">
        <v>3830270.2702702698</v>
      </c>
      <c r="P133">
        <v>4582864.8648648653</v>
      </c>
      <c r="Q133">
        <v>771171.17117117101</v>
      </c>
      <c r="R133">
        <v>398378.37837837799</v>
      </c>
      <c r="S133">
        <v>789</v>
      </c>
      <c r="T133">
        <v>823</v>
      </c>
    </row>
    <row r="134" spans="1:20" x14ac:dyDescent="0.35">
      <c r="A134" s="7" t="s">
        <v>225</v>
      </c>
      <c r="B134" s="12" t="s">
        <v>143</v>
      </c>
      <c r="C134">
        <v>182650068.3457908</v>
      </c>
      <c r="D134">
        <v>172302556.95157459</v>
      </c>
      <c r="E134">
        <v>422522.522522524</v>
      </c>
      <c r="F134">
        <v>2347747.747747751</v>
      </c>
      <c r="G134">
        <v>43</v>
      </c>
      <c r="H134">
        <v>58</v>
      </c>
      <c r="K134">
        <v>52</v>
      </c>
      <c r="L134">
        <v>75</v>
      </c>
      <c r="M134">
        <v>7746846.846846845</v>
      </c>
      <c r="N134">
        <v>10495495.495495496</v>
      </c>
      <c r="O134">
        <v>18903990.990990993</v>
      </c>
      <c r="P134">
        <v>23737553.153153151</v>
      </c>
      <c r="Q134">
        <v>6216576.5765765719</v>
      </c>
      <c r="R134">
        <v>6204054.0540540516</v>
      </c>
      <c r="S134">
        <v>5918</v>
      </c>
      <c r="T134">
        <v>6056</v>
      </c>
    </row>
    <row r="135" spans="1:20" x14ac:dyDescent="0.35">
      <c r="A135" s="7" t="s">
        <v>226</v>
      </c>
      <c r="B135" s="12" t="s">
        <v>224</v>
      </c>
      <c r="C135">
        <v>21215292.581680696</v>
      </c>
      <c r="D135">
        <v>18220801.533637777</v>
      </c>
      <c r="E135">
        <v>1801.801801802</v>
      </c>
      <c r="F135">
        <v>40540.540540542002</v>
      </c>
      <c r="G135">
        <v>4</v>
      </c>
      <c r="H135">
        <v>4</v>
      </c>
      <c r="K135">
        <v>5</v>
      </c>
      <c r="L135">
        <v>4</v>
      </c>
      <c r="M135">
        <v>3061981.981981982</v>
      </c>
      <c r="N135">
        <v>3458558.5585585581</v>
      </c>
      <c r="O135">
        <v>4436981.9819819815</v>
      </c>
      <c r="P135">
        <v>5041720.7207207214</v>
      </c>
      <c r="Q135">
        <v>2077747.747747747</v>
      </c>
      <c r="R135">
        <v>2388738.7387387399</v>
      </c>
      <c r="S135">
        <v>753</v>
      </c>
      <c r="T135">
        <v>2139</v>
      </c>
    </row>
    <row r="136" spans="1:20" x14ac:dyDescent="0.35">
      <c r="A136" s="7" t="s">
        <v>227</v>
      </c>
      <c r="B136" s="12" t="s">
        <v>78</v>
      </c>
      <c r="C136">
        <v>168373823.1076926</v>
      </c>
      <c r="D136">
        <v>160172116.67140311</v>
      </c>
      <c r="E136">
        <v>613513.51351351605</v>
      </c>
      <c r="F136">
        <v>2103603.6036036052</v>
      </c>
      <c r="G136">
        <v>27</v>
      </c>
      <c r="H136">
        <v>26</v>
      </c>
      <c r="K136">
        <v>29</v>
      </c>
      <c r="L136">
        <v>29</v>
      </c>
      <c r="M136">
        <v>13163063.063063065</v>
      </c>
      <c r="N136">
        <v>18186846.846846849</v>
      </c>
      <c r="O136">
        <v>63871115.315315321</v>
      </c>
      <c r="P136">
        <v>62582594.59459459</v>
      </c>
      <c r="Q136">
        <v>12208601.801801801</v>
      </c>
      <c r="R136">
        <v>14118378.378378376</v>
      </c>
      <c r="S136">
        <v>4860</v>
      </c>
      <c r="T136">
        <v>4862</v>
      </c>
    </row>
    <row r="137" spans="1:20" x14ac:dyDescent="0.35">
      <c r="A137" s="7" t="s">
        <v>228</v>
      </c>
      <c r="B137" s="12" t="s">
        <v>136</v>
      </c>
      <c r="C137">
        <v>230636353.16547242</v>
      </c>
      <c r="D137">
        <v>213653380.62169001</v>
      </c>
      <c r="E137">
        <v>483333.333333335</v>
      </c>
      <c r="F137">
        <v>1341891.891891897</v>
      </c>
      <c r="G137">
        <v>55</v>
      </c>
      <c r="H137">
        <v>46</v>
      </c>
      <c r="K137">
        <v>61</v>
      </c>
      <c r="L137">
        <v>59</v>
      </c>
      <c r="M137">
        <v>36393783.783783786</v>
      </c>
      <c r="N137">
        <v>24897297.297297295</v>
      </c>
      <c r="O137">
        <v>48456293.693693697</v>
      </c>
      <c r="P137">
        <v>51560716.216216214</v>
      </c>
      <c r="Q137">
        <v>29382162.162162159</v>
      </c>
      <c r="R137">
        <v>20647927.927927926</v>
      </c>
      <c r="S137">
        <v>7864</v>
      </c>
      <c r="T137">
        <v>7542</v>
      </c>
    </row>
    <row r="138" spans="1:20" x14ac:dyDescent="0.35">
      <c r="A138" s="7" t="s">
        <v>229</v>
      </c>
      <c r="B138" s="12" t="s">
        <v>78</v>
      </c>
      <c r="C138">
        <v>59806976.458253272</v>
      </c>
      <c r="D138">
        <v>62962822.78280931</v>
      </c>
      <c r="E138">
        <v>1133783.783783783</v>
      </c>
      <c r="F138">
        <v>1930630.630630631</v>
      </c>
      <c r="G138">
        <v>13</v>
      </c>
      <c r="H138">
        <v>21</v>
      </c>
      <c r="K138">
        <v>14</v>
      </c>
      <c r="L138">
        <v>25</v>
      </c>
      <c r="M138">
        <v>9629279.2792792786</v>
      </c>
      <c r="N138">
        <v>14852702.702702699</v>
      </c>
      <c r="O138">
        <v>26388873.873873875</v>
      </c>
      <c r="P138">
        <v>29890846.846846849</v>
      </c>
      <c r="Q138">
        <v>9599369.3693693671</v>
      </c>
      <c r="R138">
        <v>12215765.765765768</v>
      </c>
      <c r="S138">
        <v>2527</v>
      </c>
      <c r="T138">
        <v>3812</v>
      </c>
    </row>
    <row r="139" spans="1:20" x14ac:dyDescent="0.35">
      <c r="A139" s="7" t="s">
        <v>230</v>
      </c>
      <c r="B139" s="12" t="s">
        <v>54</v>
      </c>
      <c r="C139">
        <v>182711497.30026188</v>
      </c>
      <c r="D139">
        <v>173796927.41754484</v>
      </c>
      <c r="E139">
        <v>2702.7027027029999</v>
      </c>
      <c r="F139">
        <v>700900.90090090199</v>
      </c>
      <c r="G139">
        <v>14</v>
      </c>
      <c r="H139">
        <v>18</v>
      </c>
      <c r="K139">
        <v>19</v>
      </c>
      <c r="L139">
        <v>21</v>
      </c>
      <c r="M139">
        <v>5153153.1531531522</v>
      </c>
      <c r="N139">
        <v>17218918.918918919</v>
      </c>
      <c r="O139">
        <v>41114459.459459454</v>
      </c>
      <c r="P139">
        <v>43969718.918918923</v>
      </c>
      <c r="Q139">
        <v>6298468.4684684696</v>
      </c>
      <c r="R139">
        <v>20461801.801801801</v>
      </c>
      <c r="S139">
        <v>6834</v>
      </c>
      <c r="T139">
        <v>6863</v>
      </c>
    </row>
    <row r="140" spans="1:20" x14ac:dyDescent="0.35">
      <c r="A140" s="7" t="s">
        <v>231</v>
      </c>
      <c r="B140" s="12" t="s">
        <v>78</v>
      </c>
      <c r="C140">
        <v>69813465.644959226</v>
      </c>
      <c r="D140">
        <v>64980683.737055205</v>
      </c>
      <c r="E140">
        <v>172972.97297297401</v>
      </c>
      <c r="F140">
        <v>1382882.882882888</v>
      </c>
      <c r="G140">
        <v>32</v>
      </c>
      <c r="H140">
        <v>23</v>
      </c>
      <c r="K140">
        <v>38</v>
      </c>
      <c r="L140">
        <v>54</v>
      </c>
      <c r="M140">
        <v>18055855.855855856</v>
      </c>
      <c r="N140">
        <v>17115315.315315314</v>
      </c>
      <c r="O140">
        <v>31093828.828828827</v>
      </c>
      <c r="P140">
        <v>30720081.081081081</v>
      </c>
      <c r="Q140">
        <v>19133063.063063063</v>
      </c>
      <c r="R140">
        <v>14616486.486486483</v>
      </c>
      <c r="S140">
        <v>3700</v>
      </c>
      <c r="T140">
        <v>3470</v>
      </c>
    </row>
    <row r="141" spans="1:20" x14ac:dyDescent="0.35">
      <c r="A141" s="7" t="s">
        <v>232</v>
      </c>
      <c r="B141" s="12" t="s">
        <v>60</v>
      </c>
      <c r="C141">
        <v>61415615.025888182</v>
      </c>
      <c r="D141">
        <v>61230186.630118288</v>
      </c>
      <c r="G141">
        <v>19</v>
      </c>
      <c r="H141">
        <v>14</v>
      </c>
      <c r="K141">
        <v>21</v>
      </c>
      <c r="L141">
        <v>16</v>
      </c>
      <c r="M141">
        <v>81081.081081081007</v>
      </c>
      <c r="O141">
        <v>23949549.54954955</v>
      </c>
      <c r="P141">
        <v>25699099.0990991</v>
      </c>
      <c r="Q141">
        <v>81081.081081081007</v>
      </c>
      <c r="S141">
        <v>1870</v>
      </c>
      <c r="T141">
        <v>1777</v>
      </c>
    </row>
    <row r="142" spans="1:20" x14ac:dyDescent="0.35">
      <c r="A142" s="7" t="s">
        <v>233</v>
      </c>
      <c r="B142" s="12" t="s">
        <v>54</v>
      </c>
      <c r="C142">
        <v>29708960.079208281</v>
      </c>
      <c r="D142">
        <v>29052067.316720396</v>
      </c>
      <c r="E142">
        <v>145945.945945946</v>
      </c>
      <c r="F142">
        <v>44144.144144145001</v>
      </c>
      <c r="G142">
        <v>10</v>
      </c>
      <c r="H142">
        <v>4</v>
      </c>
      <c r="K142">
        <v>30</v>
      </c>
      <c r="L142">
        <v>4</v>
      </c>
      <c r="M142">
        <v>506306.30630630598</v>
      </c>
      <c r="N142">
        <v>1270450.4504504499</v>
      </c>
      <c r="O142">
        <v>6442207.2072072066</v>
      </c>
      <c r="P142">
        <v>5509054.0540540544</v>
      </c>
      <c r="Q142">
        <v>1467837.8378378369</v>
      </c>
      <c r="R142">
        <v>1298738.7387387389</v>
      </c>
      <c r="S142">
        <v>1087</v>
      </c>
      <c r="T142">
        <v>1051</v>
      </c>
    </row>
    <row r="143" spans="1:20" x14ac:dyDescent="0.35">
      <c r="A143" s="7" t="s">
        <v>234</v>
      </c>
      <c r="B143" s="12" t="s">
        <v>167</v>
      </c>
      <c r="C143">
        <v>146340545.10713258</v>
      </c>
      <c r="D143">
        <v>131499803.39903979</v>
      </c>
      <c r="E143">
        <v>26126.126126126001</v>
      </c>
      <c r="F143">
        <v>310810.810810811</v>
      </c>
      <c r="G143">
        <v>30</v>
      </c>
      <c r="H143">
        <v>11</v>
      </c>
      <c r="K143">
        <v>36</v>
      </c>
      <c r="L143">
        <v>11</v>
      </c>
      <c r="M143">
        <v>9862162.1621621624</v>
      </c>
      <c r="N143">
        <v>8923423.4234234225</v>
      </c>
      <c r="O143">
        <v>38646783.783783786</v>
      </c>
      <c r="P143">
        <v>37021220.720720723</v>
      </c>
      <c r="Q143">
        <v>7269772.9729729714</v>
      </c>
      <c r="R143">
        <v>6491981.9819819834</v>
      </c>
      <c r="S143">
        <v>5035</v>
      </c>
      <c r="T143">
        <v>5277</v>
      </c>
    </row>
    <row r="144" spans="1:20" x14ac:dyDescent="0.35">
      <c r="A144" s="7" t="s">
        <v>235</v>
      </c>
      <c r="B144" s="12" t="s">
        <v>236</v>
      </c>
      <c r="C144">
        <v>6185.0602862180003</v>
      </c>
      <c r="D144">
        <v>83.347957742000006</v>
      </c>
      <c r="P144">
        <v>9009.0090090089998</v>
      </c>
      <c r="T144">
        <v>5</v>
      </c>
    </row>
    <row r="145" spans="1:20" x14ac:dyDescent="0.35">
      <c r="A145" s="7" t="s">
        <v>237</v>
      </c>
      <c r="B145" s="12" t="s">
        <v>105</v>
      </c>
      <c r="C145">
        <v>83316970.768823579</v>
      </c>
      <c r="D145">
        <v>79633342.603456512</v>
      </c>
      <c r="E145">
        <v>253963.96396396501</v>
      </c>
      <c r="F145">
        <v>225225.225225225</v>
      </c>
      <c r="G145">
        <v>13</v>
      </c>
      <c r="H145">
        <v>11</v>
      </c>
      <c r="K145">
        <v>14</v>
      </c>
      <c r="L145">
        <v>12</v>
      </c>
      <c r="M145">
        <v>11155585.585585587</v>
      </c>
      <c r="N145">
        <v>13454054.054054055</v>
      </c>
      <c r="O145">
        <v>23640036.036036037</v>
      </c>
      <c r="P145">
        <v>22739162.162162159</v>
      </c>
      <c r="Q145">
        <v>8882972.9729729742</v>
      </c>
      <c r="R145">
        <v>12603603.603603603</v>
      </c>
      <c r="S145">
        <v>2056</v>
      </c>
      <c r="T145">
        <v>1994</v>
      </c>
    </row>
    <row r="146" spans="1:20" x14ac:dyDescent="0.35">
      <c r="A146" s="7" t="s">
        <v>3</v>
      </c>
      <c r="B146" s="12" t="s">
        <v>158</v>
      </c>
      <c r="C146">
        <v>167438008.89197138</v>
      </c>
      <c r="D146">
        <v>161399113.79009315</v>
      </c>
      <c r="E146">
        <v>1522972.9729729739</v>
      </c>
      <c r="F146">
        <v>2516216.2162162201</v>
      </c>
      <c r="G146">
        <v>24</v>
      </c>
      <c r="H146">
        <v>24</v>
      </c>
      <c r="K146">
        <v>27</v>
      </c>
      <c r="L146">
        <v>30</v>
      </c>
      <c r="M146">
        <v>31008558.558558561</v>
      </c>
      <c r="N146">
        <v>33591891.891891897</v>
      </c>
      <c r="O146">
        <v>41841126.126126125</v>
      </c>
      <c r="P146">
        <v>46776576.576576576</v>
      </c>
      <c r="Q146">
        <v>30716846.846846849</v>
      </c>
      <c r="R146">
        <v>33815225.225225225</v>
      </c>
      <c r="S146">
        <v>3651</v>
      </c>
      <c r="T146">
        <v>3612</v>
      </c>
    </row>
    <row r="147" spans="1:20" x14ac:dyDescent="0.35">
      <c r="A147" s="7" t="s">
        <v>238</v>
      </c>
      <c r="B147" s="12" t="s">
        <v>178</v>
      </c>
      <c r="C147">
        <v>139634565.50018144</v>
      </c>
      <c r="D147">
        <v>127445487.92613991</v>
      </c>
      <c r="E147">
        <v>1618018.0180180189</v>
      </c>
      <c r="F147">
        <v>5600900.9009009022</v>
      </c>
      <c r="G147">
        <v>21</v>
      </c>
      <c r="H147">
        <v>29</v>
      </c>
      <c r="K147">
        <v>28</v>
      </c>
      <c r="L147">
        <v>37</v>
      </c>
      <c r="M147">
        <v>20280630.630630631</v>
      </c>
      <c r="N147">
        <v>26082882.882882886</v>
      </c>
      <c r="O147">
        <v>42549180.180180177</v>
      </c>
      <c r="P147">
        <v>38952513.513513513</v>
      </c>
      <c r="Q147">
        <v>11002792.792792792</v>
      </c>
      <c r="R147">
        <v>16862972.972972974</v>
      </c>
      <c r="S147">
        <v>5565</v>
      </c>
      <c r="T147">
        <v>5325</v>
      </c>
    </row>
    <row r="148" spans="1:20" x14ac:dyDescent="0.35">
      <c r="A148" s="7" t="s">
        <v>239</v>
      </c>
      <c r="B148" s="12" t="s">
        <v>54</v>
      </c>
      <c r="C148">
        <v>96424015.00977169</v>
      </c>
      <c r="D148">
        <v>89375048.781638518</v>
      </c>
      <c r="E148">
        <v>1089729.7297297299</v>
      </c>
      <c r="F148">
        <v>1393693.6936936961</v>
      </c>
      <c r="G148">
        <v>10</v>
      </c>
      <c r="H148">
        <v>18</v>
      </c>
      <c r="K148">
        <v>13</v>
      </c>
      <c r="L148">
        <v>20</v>
      </c>
      <c r="M148">
        <v>12631171.17117117</v>
      </c>
      <c r="N148">
        <v>13493153.153153157</v>
      </c>
      <c r="O148">
        <v>25545978.37837838</v>
      </c>
      <c r="P148">
        <v>24462322.52252252</v>
      </c>
      <c r="Q148">
        <v>9636529.7297297288</v>
      </c>
      <c r="R148">
        <v>10947700.9009009</v>
      </c>
      <c r="S148">
        <v>3593</v>
      </c>
      <c r="T148">
        <v>3367</v>
      </c>
    </row>
    <row r="149" spans="1:20" x14ac:dyDescent="0.35">
      <c r="A149" s="7" t="s">
        <v>240</v>
      </c>
      <c r="B149" s="12" t="s">
        <v>241</v>
      </c>
      <c r="C149">
        <v>81731079.232275173</v>
      </c>
      <c r="D149">
        <v>76880332.467715546</v>
      </c>
      <c r="E149">
        <v>100814346.84684685</v>
      </c>
      <c r="F149">
        <v>44388004.504504502</v>
      </c>
      <c r="G149">
        <v>44</v>
      </c>
      <c r="H149">
        <v>33</v>
      </c>
      <c r="K149">
        <v>52</v>
      </c>
      <c r="L149">
        <v>40</v>
      </c>
      <c r="M149">
        <v>64180322.522522517</v>
      </c>
      <c r="N149">
        <v>13701081.081081085</v>
      </c>
      <c r="O149">
        <v>19837162.162162159</v>
      </c>
      <c r="P149">
        <v>17609592.792792793</v>
      </c>
      <c r="Q149">
        <v>61173513.513513513</v>
      </c>
      <c r="R149">
        <v>4589819.819819821</v>
      </c>
      <c r="S149">
        <v>2942</v>
      </c>
      <c r="T149">
        <v>2772</v>
      </c>
    </row>
    <row r="150" spans="1:20" x14ac:dyDescent="0.35">
      <c r="A150" s="7" t="s">
        <v>242</v>
      </c>
      <c r="B150" s="12" t="s">
        <v>241</v>
      </c>
      <c r="C150">
        <v>214589942.40692282</v>
      </c>
      <c r="D150">
        <v>201840485.10359469</v>
      </c>
      <c r="E150">
        <v>741441.44144144305</v>
      </c>
      <c r="F150">
        <v>40347747.747747749</v>
      </c>
      <c r="G150">
        <v>108</v>
      </c>
      <c r="H150">
        <v>81</v>
      </c>
      <c r="I150">
        <v>1</v>
      </c>
      <c r="K150">
        <v>120</v>
      </c>
      <c r="L150">
        <v>93</v>
      </c>
      <c r="M150">
        <v>35761531.531531528</v>
      </c>
      <c r="N150">
        <v>49417387.387387395</v>
      </c>
      <c r="O150">
        <v>64002630.630630635</v>
      </c>
      <c r="P150">
        <v>59208486.486486487</v>
      </c>
      <c r="Q150">
        <v>34463603.603603601</v>
      </c>
      <c r="R150">
        <v>45671441.441441439</v>
      </c>
      <c r="S150">
        <v>7130</v>
      </c>
      <c r="T150">
        <v>6781</v>
      </c>
    </row>
    <row r="151" spans="1:20" x14ac:dyDescent="0.35">
      <c r="A151" s="7" t="s">
        <v>243</v>
      </c>
      <c r="B151" s="12" t="s">
        <v>50</v>
      </c>
      <c r="C151">
        <v>40028482.514783502</v>
      </c>
      <c r="D151">
        <v>34247133.970429324</v>
      </c>
      <c r="E151">
        <v>50256126.126126125</v>
      </c>
      <c r="F151">
        <v>111581351.35135135</v>
      </c>
      <c r="G151">
        <v>11</v>
      </c>
      <c r="H151">
        <v>3</v>
      </c>
      <c r="K151">
        <v>12</v>
      </c>
      <c r="L151">
        <v>3</v>
      </c>
      <c r="M151">
        <v>18887837.837837841</v>
      </c>
      <c r="N151">
        <v>3615495.4954954959</v>
      </c>
      <c r="O151">
        <v>14267882.882882884</v>
      </c>
      <c r="P151">
        <v>11133495.495495496</v>
      </c>
      <c r="Q151">
        <v>5176846.8468468469</v>
      </c>
      <c r="R151">
        <v>3033423.4234234248</v>
      </c>
      <c r="S151">
        <v>1232</v>
      </c>
      <c r="T151">
        <v>1025</v>
      </c>
    </row>
    <row r="152" spans="1:20" x14ac:dyDescent="0.35">
      <c r="A152" s="7" t="s">
        <v>244</v>
      </c>
      <c r="B152" s="12" t="s">
        <v>181</v>
      </c>
      <c r="C152">
        <v>1181533702.981493</v>
      </c>
      <c r="D152">
        <v>1079912290.4610846</v>
      </c>
      <c r="E152">
        <v>184840026.12612614</v>
      </c>
      <c r="F152">
        <v>83459020.720720723</v>
      </c>
      <c r="G152">
        <v>471</v>
      </c>
      <c r="H152">
        <v>378</v>
      </c>
      <c r="I152">
        <v>10</v>
      </c>
      <c r="K152">
        <v>604</v>
      </c>
      <c r="L152">
        <v>929</v>
      </c>
      <c r="M152">
        <v>105012522.52252251</v>
      </c>
      <c r="N152">
        <v>129421801.80180179</v>
      </c>
      <c r="O152">
        <v>231891978.37837836</v>
      </c>
      <c r="P152">
        <v>245215813.51351351</v>
      </c>
      <c r="Q152">
        <v>103627747.74774775</v>
      </c>
      <c r="R152">
        <v>124080360.36036035</v>
      </c>
      <c r="S152">
        <v>43335</v>
      </c>
      <c r="T152">
        <v>42749</v>
      </c>
    </row>
    <row r="153" spans="1:20" x14ac:dyDescent="0.35">
      <c r="A153" s="7" t="s">
        <v>245</v>
      </c>
      <c r="B153" s="12" t="s">
        <v>48</v>
      </c>
      <c r="C153">
        <v>51811427.458631255</v>
      </c>
      <c r="D153">
        <v>48420424.246961907</v>
      </c>
      <c r="F153">
        <v>935360.36036036105</v>
      </c>
      <c r="G153">
        <v>5</v>
      </c>
      <c r="K153">
        <v>5</v>
      </c>
      <c r="L153">
        <v>2</v>
      </c>
      <c r="M153">
        <v>6034054.0540540544</v>
      </c>
      <c r="N153">
        <v>16659639.63963964</v>
      </c>
      <c r="O153">
        <v>12571531.531531531</v>
      </c>
      <c r="P153">
        <v>10204639.63963964</v>
      </c>
      <c r="Q153">
        <v>6449909.9099099115</v>
      </c>
      <c r="R153">
        <v>17403513.513513517</v>
      </c>
      <c r="S153">
        <v>1849</v>
      </c>
      <c r="T153">
        <v>1756</v>
      </c>
    </row>
    <row r="154" spans="1:20" x14ac:dyDescent="0.35">
      <c r="A154" s="7" t="s">
        <v>246</v>
      </c>
      <c r="B154" s="12" t="s">
        <v>94</v>
      </c>
      <c r="C154">
        <v>21874517.449321829</v>
      </c>
      <c r="D154">
        <v>13082597.037053134</v>
      </c>
      <c r="G154">
        <v>2</v>
      </c>
      <c r="K154">
        <v>2</v>
      </c>
      <c r="O154">
        <v>3663738.7387387389</v>
      </c>
      <c r="P154">
        <v>2245729.7297297302</v>
      </c>
      <c r="S154">
        <v>711</v>
      </c>
      <c r="T154">
        <v>664</v>
      </c>
    </row>
    <row r="155" spans="1:20" x14ac:dyDescent="0.35">
      <c r="A155" s="7" t="s">
        <v>247</v>
      </c>
      <c r="B155" s="12" t="s">
        <v>117</v>
      </c>
      <c r="C155">
        <v>44420584.607231826</v>
      </c>
      <c r="D155">
        <v>44403271.955839962</v>
      </c>
      <c r="E155">
        <v>597954.95495495701</v>
      </c>
      <c r="F155">
        <v>932294.59459459595</v>
      </c>
      <c r="G155">
        <v>11</v>
      </c>
      <c r="H155">
        <v>3</v>
      </c>
      <c r="K155">
        <v>20</v>
      </c>
      <c r="L155">
        <v>7</v>
      </c>
      <c r="M155">
        <v>11003963.963963963</v>
      </c>
      <c r="N155">
        <v>6038580.1801801817</v>
      </c>
      <c r="O155">
        <v>20843693.693693697</v>
      </c>
      <c r="P155">
        <v>21702027.027027026</v>
      </c>
      <c r="Q155">
        <v>9020810.8108108118</v>
      </c>
      <c r="R155">
        <v>7227117.1171171162</v>
      </c>
      <c r="S155">
        <v>1738</v>
      </c>
      <c r="T155">
        <v>1753</v>
      </c>
    </row>
    <row r="156" spans="1:20" x14ac:dyDescent="0.35">
      <c r="A156" s="7" t="s">
        <v>248</v>
      </c>
      <c r="B156" s="12" t="s">
        <v>121</v>
      </c>
      <c r="C156">
        <v>75553474.604573697</v>
      </c>
      <c r="D156">
        <v>77343636.658738479</v>
      </c>
      <c r="E156">
        <v>14471171.171171172</v>
      </c>
      <c r="F156">
        <v>6062162.1621621624</v>
      </c>
      <c r="G156">
        <v>45</v>
      </c>
      <c r="H156">
        <v>50</v>
      </c>
      <c r="K156">
        <v>51</v>
      </c>
      <c r="L156">
        <v>54</v>
      </c>
      <c r="M156">
        <v>56756.756756757</v>
      </c>
      <c r="N156">
        <v>3864864.8648648639</v>
      </c>
      <c r="O156">
        <v>7694315.3153153164</v>
      </c>
      <c r="P156">
        <v>8650783.7837837841</v>
      </c>
      <c r="Q156">
        <v>1707657.6576576571</v>
      </c>
      <c r="R156">
        <v>2314504.5045045041</v>
      </c>
      <c r="S156">
        <v>2305</v>
      </c>
      <c r="T156">
        <v>2319</v>
      </c>
    </row>
    <row r="157" spans="1:20" x14ac:dyDescent="0.35">
      <c r="A157" s="7" t="s">
        <v>249</v>
      </c>
      <c r="B157" s="12" t="s">
        <v>76</v>
      </c>
      <c r="C157">
        <v>35566210.462174051</v>
      </c>
      <c r="D157">
        <v>31852450.280006059</v>
      </c>
      <c r="G157">
        <v>3</v>
      </c>
      <c r="H157">
        <v>3</v>
      </c>
      <c r="K157">
        <v>4</v>
      </c>
      <c r="L157">
        <v>3</v>
      </c>
      <c r="O157">
        <v>3621018.018018018</v>
      </c>
      <c r="P157">
        <v>2918828.8288288289</v>
      </c>
      <c r="S157">
        <v>1542</v>
      </c>
      <c r="T157">
        <v>1706</v>
      </c>
    </row>
    <row r="158" spans="1:20" x14ac:dyDescent="0.35">
      <c r="A158" s="7" t="s">
        <v>250</v>
      </c>
      <c r="B158" s="12" t="s">
        <v>167</v>
      </c>
      <c r="C158">
        <v>107017977.60809995</v>
      </c>
      <c r="D158">
        <v>103982895.60655974</v>
      </c>
      <c r="G158">
        <v>3</v>
      </c>
      <c r="H158">
        <v>16</v>
      </c>
      <c r="K158">
        <v>7</v>
      </c>
      <c r="L158">
        <v>39</v>
      </c>
      <c r="M158">
        <v>1589189.189189191</v>
      </c>
      <c r="N158">
        <v>27027.027027028002</v>
      </c>
      <c r="O158">
        <v>17801351.351351351</v>
      </c>
      <c r="P158">
        <v>20773288.288288288</v>
      </c>
      <c r="Q158">
        <v>1091261.261261262</v>
      </c>
      <c r="R158">
        <v>763603.60360360402</v>
      </c>
      <c r="S158">
        <v>3799</v>
      </c>
      <c r="T158">
        <v>3611</v>
      </c>
    </row>
    <row r="159" spans="1:20" x14ac:dyDescent="0.35">
      <c r="A159" s="7" t="s">
        <v>251</v>
      </c>
      <c r="B159" s="12" t="s">
        <v>89</v>
      </c>
      <c r="C159">
        <v>316708232.11506724</v>
      </c>
      <c r="D159">
        <v>313623431.86237025</v>
      </c>
      <c r="E159">
        <v>28340450.45045045</v>
      </c>
      <c r="F159">
        <v>135566666.66666669</v>
      </c>
      <c r="G159">
        <v>40</v>
      </c>
      <c r="H159">
        <v>39</v>
      </c>
      <c r="K159">
        <v>42</v>
      </c>
      <c r="L159">
        <v>51</v>
      </c>
      <c r="M159">
        <v>21537657.657657657</v>
      </c>
      <c r="N159">
        <v>25789369.369369365</v>
      </c>
      <c r="O159">
        <v>74468724.324324325</v>
      </c>
      <c r="P159">
        <v>75980450.45045045</v>
      </c>
      <c r="Q159">
        <v>25506936.936936937</v>
      </c>
      <c r="R159">
        <v>22791081.081081081</v>
      </c>
      <c r="S159">
        <v>10513</v>
      </c>
      <c r="T159">
        <v>10842</v>
      </c>
    </row>
    <row r="160" spans="1:20" x14ac:dyDescent="0.35">
      <c r="A160" s="7" t="s">
        <v>252</v>
      </c>
      <c r="B160" s="12" t="s">
        <v>78</v>
      </c>
      <c r="C160">
        <v>92602931.922306836</v>
      </c>
      <c r="D160">
        <v>90708618.338931292</v>
      </c>
      <c r="E160">
        <v>281081.08108108101</v>
      </c>
      <c r="F160">
        <v>1046846.84684685</v>
      </c>
      <c r="G160">
        <v>21</v>
      </c>
      <c r="H160">
        <v>14</v>
      </c>
      <c r="K160">
        <v>23</v>
      </c>
      <c r="L160">
        <v>14</v>
      </c>
      <c r="M160">
        <v>10813423.423423421</v>
      </c>
      <c r="N160">
        <v>19609459.459459465</v>
      </c>
      <c r="O160">
        <v>25637072.072072074</v>
      </c>
      <c r="P160">
        <v>25978972.97297297</v>
      </c>
      <c r="Q160">
        <v>10613153.153153151</v>
      </c>
      <c r="R160">
        <v>17637207.207207207</v>
      </c>
      <c r="S160">
        <v>2910</v>
      </c>
      <c r="T160">
        <v>2800</v>
      </c>
    </row>
    <row r="161" spans="1:20" x14ac:dyDescent="0.35">
      <c r="A161" s="7" t="s">
        <v>253</v>
      </c>
      <c r="B161" s="12" t="s">
        <v>105</v>
      </c>
      <c r="C161">
        <v>179993678.99961153</v>
      </c>
      <c r="D161">
        <v>179152445.88204339</v>
      </c>
      <c r="E161">
        <v>1516425.225225226</v>
      </c>
      <c r="F161">
        <v>32148956.75675676</v>
      </c>
      <c r="G161">
        <v>38</v>
      </c>
      <c r="H161">
        <v>38</v>
      </c>
      <c r="I161">
        <v>1</v>
      </c>
      <c r="K161">
        <v>44</v>
      </c>
      <c r="L161">
        <v>71</v>
      </c>
      <c r="M161">
        <v>22171171.171171173</v>
      </c>
      <c r="N161">
        <v>29396216.216216221</v>
      </c>
      <c r="O161">
        <v>53663180.180180177</v>
      </c>
      <c r="P161">
        <v>51076882.882882878</v>
      </c>
      <c r="Q161">
        <v>21583513.513513517</v>
      </c>
      <c r="R161">
        <v>30578288.288288292</v>
      </c>
      <c r="S161">
        <v>5320</v>
      </c>
      <c r="T161">
        <v>5685</v>
      </c>
    </row>
    <row r="162" spans="1:20" x14ac:dyDescent="0.35">
      <c r="A162" s="7" t="s">
        <v>254</v>
      </c>
      <c r="B162" s="12" t="s">
        <v>105</v>
      </c>
      <c r="C162">
        <v>115511751.36249802</v>
      </c>
      <c r="D162">
        <v>107782818.85719731</v>
      </c>
      <c r="E162">
        <v>1206306.306306306</v>
      </c>
      <c r="F162">
        <v>927027.02702702803</v>
      </c>
      <c r="G162">
        <v>13</v>
      </c>
      <c r="H162">
        <v>7</v>
      </c>
      <c r="K162">
        <v>16</v>
      </c>
      <c r="L162">
        <v>10</v>
      </c>
      <c r="M162">
        <v>7714234.2342342334</v>
      </c>
      <c r="N162">
        <v>10094954.954954954</v>
      </c>
      <c r="O162">
        <v>35383781.981981985</v>
      </c>
      <c r="P162">
        <v>33076099.099099096</v>
      </c>
      <c r="Q162">
        <v>7638198.1981981955</v>
      </c>
      <c r="R162">
        <v>7398648.6486486495</v>
      </c>
      <c r="S162">
        <v>3843</v>
      </c>
      <c r="T162">
        <v>3539</v>
      </c>
    </row>
    <row r="163" spans="1:20" x14ac:dyDescent="0.35">
      <c r="A163" s="7" t="s">
        <v>255</v>
      </c>
      <c r="B163" s="12" t="s">
        <v>105</v>
      </c>
      <c r="C163">
        <v>97372444.419242397</v>
      </c>
      <c r="D163">
        <v>98560888.536094874</v>
      </c>
      <c r="E163">
        <v>981081.08108108095</v>
      </c>
      <c r="F163">
        <v>13513.513513514001</v>
      </c>
      <c r="G163">
        <v>12</v>
      </c>
      <c r="H163">
        <v>13</v>
      </c>
      <c r="K163">
        <v>14</v>
      </c>
      <c r="L163">
        <v>15</v>
      </c>
      <c r="M163">
        <v>981081.08108108095</v>
      </c>
      <c r="N163">
        <v>1364864.8648648651</v>
      </c>
      <c r="O163">
        <v>19294864.864864863</v>
      </c>
      <c r="P163">
        <v>22173763.963963963</v>
      </c>
      <c r="Q163">
        <v>742162.16216216201</v>
      </c>
      <c r="R163">
        <v>912162.16216216201</v>
      </c>
      <c r="S163">
        <v>2258</v>
      </c>
      <c r="T163">
        <v>3194</v>
      </c>
    </row>
    <row r="164" spans="1:20" x14ac:dyDescent="0.35">
      <c r="A164" s="7" t="s">
        <v>256</v>
      </c>
      <c r="B164" s="12" t="s">
        <v>134</v>
      </c>
      <c r="C164">
        <v>158661332.25403464</v>
      </c>
      <c r="D164">
        <v>150907995.30811292</v>
      </c>
      <c r="E164">
        <v>135135.135135135</v>
      </c>
      <c r="F164">
        <v>603603.60360360402</v>
      </c>
      <c r="G164">
        <v>20</v>
      </c>
      <c r="H164">
        <v>14</v>
      </c>
      <c r="K164">
        <v>21</v>
      </c>
      <c r="L164">
        <v>15</v>
      </c>
      <c r="M164">
        <v>1936936.936936937</v>
      </c>
      <c r="N164">
        <v>3225225.2252252251</v>
      </c>
      <c r="O164">
        <v>11102378.37837838</v>
      </c>
      <c r="P164">
        <v>10492738.73873874</v>
      </c>
      <c r="Q164">
        <v>727387.38738738804</v>
      </c>
      <c r="R164">
        <v>3654054.054054054</v>
      </c>
      <c r="S164">
        <v>4022</v>
      </c>
      <c r="T164">
        <v>4101</v>
      </c>
    </row>
    <row r="165" spans="1:20" x14ac:dyDescent="0.35">
      <c r="A165" s="7" t="s">
        <v>257</v>
      </c>
      <c r="B165" s="12" t="s">
        <v>167</v>
      </c>
      <c r="C165">
        <v>58419258.2203172</v>
      </c>
      <c r="D165">
        <v>48362351.321062542</v>
      </c>
      <c r="F165">
        <v>900900.90090090095</v>
      </c>
      <c r="G165">
        <v>36</v>
      </c>
      <c r="H165">
        <v>7</v>
      </c>
      <c r="K165">
        <v>42</v>
      </c>
      <c r="L165">
        <v>10</v>
      </c>
      <c r="M165">
        <v>4594594.5945945969</v>
      </c>
      <c r="N165">
        <v>1886036.036036036</v>
      </c>
      <c r="O165">
        <v>21061621.62162162</v>
      </c>
      <c r="P165">
        <v>16019022.522522522</v>
      </c>
      <c r="Q165">
        <v>3497477.4774774802</v>
      </c>
      <c r="R165">
        <v>1994324.324324325</v>
      </c>
      <c r="S165">
        <v>2623</v>
      </c>
      <c r="T165">
        <v>2436</v>
      </c>
    </row>
    <row r="166" spans="1:20" x14ac:dyDescent="0.35">
      <c r="A166" s="7" t="s">
        <v>258</v>
      </c>
      <c r="B166" s="12" t="s">
        <v>60</v>
      </c>
      <c r="C166">
        <v>23512393.351114873</v>
      </c>
      <c r="D166">
        <v>20472975.36779654</v>
      </c>
      <c r="E166">
        <v>15765.765765766</v>
      </c>
      <c r="F166">
        <v>203603.60360360399</v>
      </c>
      <c r="G166">
        <v>7</v>
      </c>
      <c r="H166">
        <v>9</v>
      </c>
      <c r="I166">
        <v>2</v>
      </c>
      <c r="K166">
        <v>7</v>
      </c>
      <c r="L166">
        <v>15</v>
      </c>
      <c r="M166">
        <v>4790540.5405405397</v>
      </c>
      <c r="N166">
        <v>4609009.0090090092</v>
      </c>
      <c r="O166">
        <v>8843783.7837837841</v>
      </c>
      <c r="P166">
        <v>6853954.9549549548</v>
      </c>
      <c r="Q166">
        <v>4684144.1441441439</v>
      </c>
      <c r="R166">
        <v>4154054.0540540549</v>
      </c>
      <c r="S166">
        <v>645</v>
      </c>
      <c r="T166">
        <v>666</v>
      </c>
    </row>
    <row r="167" spans="1:20" x14ac:dyDescent="0.35">
      <c r="A167" s="7" t="s">
        <v>259</v>
      </c>
      <c r="B167" s="12" t="s">
        <v>260</v>
      </c>
      <c r="C167">
        <v>11178488.423441736</v>
      </c>
      <c r="D167">
        <v>12910005.311453521</v>
      </c>
      <c r="E167">
        <v>1801801.8018018019</v>
      </c>
      <c r="F167">
        <v>10810.810810810999</v>
      </c>
      <c r="G167">
        <v>8</v>
      </c>
      <c r="H167">
        <v>4</v>
      </c>
      <c r="K167">
        <v>9</v>
      </c>
      <c r="L167">
        <v>5</v>
      </c>
      <c r="M167">
        <v>1801801.8018018019</v>
      </c>
      <c r="N167">
        <v>3197747.7477477482</v>
      </c>
      <c r="O167">
        <v>2255405.4054054059</v>
      </c>
      <c r="P167">
        <v>2271783.7837837841</v>
      </c>
      <c r="Q167">
        <v>3641351.351351351</v>
      </c>
      <c r="R167">
        <v>1663783.783783783</v>
      </c>
      <c r="S167">
        <v>590</v>
      </c>
      <c r="T167">
        <v>513</v>
      </c>
    </row>
    <row r="168" spans="1:20" x14ac:dyDescent="0.35">
      <c r="A168" s="7" t="s">
        <v>261</v>
      </c>
      <c r="B168" s="12" t="s">
        <v>60</v>
      </c>
      <c r="C168">
        <v>196289504.54253799</v>
      </c>
      <c r="D168">
        <v>196415416.20885026</v>
      </c>
      <c r="E168">
        <v>120183370.27027027</v>
      </c>
      <c r="F168">
        <v>231895363.06306309</v>
      </c>
      <c r="G168">
        <v>74</v>
      </c>
      <c r="H168">
        <v>182</v>
      </c>
      <c r="I168">
        <v>10</v>
      </c>
      <c r="K168">
        <v>87</v>
      </c>
      <c r="L168">
        <v>273</v>
      </c>
      <c r="M168">
        <v>29759549.549549542</v>
      </c>
      <c r="N168">
        <v>44880630.630630635</v>
      </c>
      <c r="O168">
        <v>67387954.954954952</v>
      </c>
      <c r="P168">
        <v>70651182.432432428</v>
      </c>
      <c r="Q168">
        <v>29875135.135135137</v>
      </c>
      <c r="R168">
        <v>52950450.45045045</v>
      </c>
      <c r="S168">
        <v>6151</v>
      </c>
      <c r="T168">
        <v>6202</v>
      </c>
    </row>
    <row r="169" spans="1:20" x14ac:dyDescent="0.35">
      <c r="A169" s="7" t="s">
        <v>262</v>
      </c>
      <c r="B169" s="12" t="s">
        <v>123</v>
      </c>
      <c r="C169">
        <v>158827969.42053398</v>
      </c>
      <c r="D169">
        <v>148006356.03082833</v>
      </c>
      <c r="E169">
        <v>303153.15315315401</v>
      </c>
      <c r="F169">
        <v>246846.84684684701</v>
      </c>
      <c r="G169">
        <v>26</v>
      </c>
      <c r="H169">
        <v>27</v>
      </c>
      <c r="I169">
        <v>1</v>
      </c>
      <c r="K169">
        <v>30</v>
      </c>
      <c r="L169">
        <v>28</v>
      </c>
      <c r="M169">
        <v>7601531.5315315314</v>
      </c>
      <c r="N169">
        <v>9062702.7027027048</v>
      </c>
      <c r="O169">
        <v>60292873.873873875</v>
      </c>
      <c r="P169">
        <v>57769189.189189196</v>
      </c>
      <c r="Q169">
        <v>7485585.5855855858</v>
      </c>
      <c r="R169">
        <v>7564144.1441441439</v>
      </c>
      <c r="S169">
        <v>5614</v>
      </c>
      <c r="T169">
        <v>4842</v>
      </c>
    </row>
    <row r="170" spans="1:20" x14ac:dyDescent="0.35">
      <c r="A170" s="7" t="s">
        <v>263</v>
      </c>
      <c r="B170" s="12" t="s">
        <v>123</v>
      </c>
      <c r="C170">
        <v>68311274.961736634</v>
      </c>
      <c r="D170">
        <v>64472196.141825281</v>
      </c>
      <c r="E170">
        <v>385585.58558558702</v>
      </c>
      <c r="F170">
        <v>433558.55855855899</v>
      </c>
      <c r="G170">
        <v>22</v>
      </c>
      <c r="H170">
        <v>21</v>
      </c>
      <c r="I170">
        <v>2</v>
      </c>
      <c r="K170">
        <v>25</v>
      </c>
      <c r="L170">
        <v>23</v>
      </c>
      <c r="M170">
        <v>13262072.072072072</v>
      </c>
      <c r="N170">
        <v>14034864.864864862</v>
      </c>
      <c r="O170">
        <v>28162693.693693697</v>
      </c>
      <c r="P170">
        <v>26768819.819819819</v>
      </c>
      <c r="Q170">
        <v>15521441.441441443</v>
      </c>
      <c r="R170">
        <v>13498378.378378376</v>
      </c>
      <c r="S170">
        <v>2368</v>
      </c>
      <c r="T170">
        <v>2393</v>
      </c>
    </row>
    <row r="171" spans="1:20" x14ac:dyDescent="0.35">
      <c r="A171" s="7" t="s">
        <v>264</v>
      </c>
      <c r="B171" s="12" t="s">
        <v>125</v>
      </c>
      <c r="C171">
        <v>158366460.86595362</v>
      </c>
      <c r="D171">
        <v>157956389.87742153</v>
      </c>
      <c r="E171">
        <v>17279729.729729731</v>
      </c>
      <c r="F171">
        <v>53768468.468468472</v>
      </c>
      <c r="G171">
        <v>17</v>
      </c>
      <c r="H171">
        <v>43</v>
      </c>
      <c r="K171">
        <v>18</v>
      </c>
      <c r="L171">
        <v>46</v>
      </c>
      <c r="M171">
        <v>25534684.684684683</v>
      </c>
      <c r="N171">
        <v>10922522.522522522</v>
      </c>
      <c r="O171">
        <v>52075270.270270273</v>
      </c>
      <c r="P171">
        <v>54750241.441441439</v>
      </c>
      <c r="Q171">
        <v>14280000</v>
      </c>
      <c r="R171">
        <v>10572882.882882884</v>
      </c>
      <c r="S171">
        <v>4359</v>
      </c>
      <c r="T171">
        <v>4433</v>
      </c>
    </row>
    <row r="172" spans="1:20" x14ac:dyDescent="0.35">
      <c r="A172" s="7" t="s">
        <v>265</v>
      </c>
      <c r="B172" s="12" t="s">
        <v>123</v>
      </c>
      <c r="C172">
        <v>162861177.5779182</v>
      </c>
      <c r="D172">
        <v>152432082.60488182</v>
      </c>
      <c r="E172">
        <v>103497297.2972973</v>
      </c>
      <c r="F172">
        <v>826126.12612612697</v>
      </c>
      <c r="G172">
        <v>45</v>
      </c>
      <c r="H172">
        <v>12</v>
      </c>
      <c r="K172">
        <v>50</v>
      </c>
      <c r="L172">
        <v>13</v>
      </c>
      <c r="M172">
        <v>15474504.504504504</v>
      </c>
      <c r="N172">
        <v>14445630.630630627</v>
      </c>
      <c r="O172">
        <v>57197792.79279279</v>
      </c>
      <c r="P172">
        <v>52994666.666666664</v>
      </c>
      <c r="Q172">
        <v>12965675.675675675</v>
      </c>
      <c r="R172">
        <v>14234954.954954956</v>
      </c>
      <c r="S172">
        <v>4914</v>
      </c>
      <c r="T172">
        <v>4902</v>
      </c>
    </row>
    <row r="173" spans="1:20" x14ac:dyDescent="0.35">
      <c r="A173" s="7" t="s">
        <v>266</v>
      </c>
      <c r="B173" s="12" t="s">
        <v>123</v>
      </c>
      <c r="C173">
        <v>158751753.53056842</v>
      </c>
      <c r="D173">
        <v>159897386.99581406</v>
      </c>
      <c r="E173">
        <v>1429729.7297297311</v>
      </c>
      <c r="F173">
        <v>2066216.2162162201</v>
      </c>
      <c r="G173">
        <v>18</v>
      </c>
      <c r="H173">
        <v>31</v>
      </c>
      <c r="K173">
        <v>21</v>
      </c>
      <c r="L173">
        <v>35</v>
      </c>
      <c r="M173">
        <v>17322522.522522524</v>
      </c>
      <c r="N173">
        <v>21046846.846846849</v>
      </c>
      <c r="O173">
        <v>61593324.324324317</v>
      </c>
      <c r="P173">
        <v>65557315.315315314</v>
      </c>
      <c r="Q173">
        <v>16979099.0990991</v>
      </c>
      <c r="R173">
        <v>18912702.702702701</v>
      </c>
      <c r="S173">
        <v>5306</v>
      </c>
      <c r="T173">
        <v>5431</v>
      </c>
    </row>
    <row r="174" spans="1:20" x14ac:dyDescent="0.35">
      <c r="A174" s="7" t="s">
        <v>267</v>
      </c>
      <c r="B174" s="12" t="s">
        <v>178</v>
      </c>
      <c r="C174">
        <v>847510904.89861155</v>
      </c>
      <c r="D174">
        <v>811155320.08465898</v>
      </c>
      <c r="E174">
        <v>540923174.77477479</v>
      </c>
      <c r="F174">
        <v>388749198.1981982</v>
      </c>
      <c r="G174">
        <v>389</v>
      </c>
      <c r="H174">
        <v>273</v>
      </c>
      <c r="I174">
        <v>3</v>
      </c>
      <c r="K174">
        <v>651</v>
      </c>
      <c r="L174">
        <v>571</v>
      </c>
      <c r="M174">
        <v>134402612.61261263</v>
      </c>
      <c r="N174">
        <v>112573627.02702704</v>
      </c>
      <c r="O174">
        <v>241445576.57657659</v>
      </c>
      <c r="P174">
        <v>244486768.46846849</v>
      </c>
      <c r="Q174">
        <v>119682972.97297297</v>
      </c>
      <c r="R174">
        <v>102586036.03603603</v>
      </c>
      <c r="S174">
        <v>32365</v>
      </c>
      <c r="T174">
        <v>32089</v>
      </c>
    </row>
    <row r="175" spans="1:20" x14ac:dyDescent="0.35">
      <c r="A175" s="7" t="s">
        <v>268</v>
      </c>
      <c r="B175" s="12" t="s">
        <v>62</v>
      </c>
      <c r="C175">
        <v>128892321.52740125</v>
      </c>
      <c r="D175">
        <v>135125318.72909629</v>
      </c>
      <c r="E175">
        <v>1460450.450450452</v>
      </c>
      <c r="F175">
        <v>2522522.5225225259</v>
      </c>
      <c r="G175">
        <v>24</v>
      </c>
      <c r="H175">
        <v>40</v>
      </c>
      <c r="K175">
        <v>26</v>
      </c>
      <c r="L175">
        <v>44</v>
      </c>
      <c r="M175">
        <v>7987297.2972972952</v>
      </c>
      <c r="N175">
        <v>27891441.441441439</v>
      </c>
      <c r="O175">
        <v>41797837.837837838</v>
      </c>
      <c r="P175">
        <v>42109279.279279277</v>
      </c>
      <c r="Q175">
        <v>9817477.477477476</v>
      </c>
      <c r="R175">
        <v>36709369.369369365</v>
      </c>
      <c r="S175">
        <v>4758</v>
      </c>
      <c r="T175">
        <v>4780</v>
      </c>
    </row>
    <row r="176" spans="1:20" x14ac:dyDescent="0.35">
      <c r="A176" s="7" t="s">
        <v>269</v>
      </c>
      <c r="B176" s="12" t="s">
        <v>70</v>
      </c>
      <c r="C176">
        <v>172642250.50669658</v>
      </c>
      <c r="D176">
        <v>174855246.16121697</v>
      </c>
      <c r="E176">
        <v>2037837.837837839</v>
      </c>
      <c r="F176">
        <v>1461261.2612612641</v>
      </c>
      <c r="G176">
        <v>40</v>
      </c>
      <c r="H176">
        <v>53</v>
      </c>
      <c r="K176">
        <v>43</v>
      </c>
      <c r="L176">
        <v>91</v>
      </c>
      <c r="M176">
        <v>22555405.40540541</v>
      </c>
      <c r="N176">
        <v>13152252.252252256</v>
      </c>
      <c r="O176">
        <v>76782603.603603601</v>
      </c>
      <c r="P176">
        <v>78086486.48648648</v>
      </c>
      <c r="Q176">
        <v>17504234.234234236</v>
      </c>
      <c r="R176">
        <v>12922882.882882887</v>
      </c>
      <c r="S176">
        <v>7149</v>
      </c>
      <c r="T176">
        <v>6933</v>
      </c>
    </row>
    <row r="177" spans="1:20" x14ac:dyDescent="0.35">
      <c r="A177" s="7" t="s">
        <v>270</v>
      </c>
      <c r="B177" s="12" t="s">
        <v>134</v>
      </c>
      <c r="C177">
        <v>1743664.8905600051</v>
      </c>
      <c r="D177">
        <v>2226761.9120180728</v>
      </c>
      <c r="E177">
        <v>131311601.8018018</v>
      </c>
      <c r="F177">
        <v>182675202.7027027</v>
      </c>
      <c r="K177">
        <v>2</v>
      </c>
      <c r="M177">
        <v>11081081.081081079</v>
      </c>
      <c r="N177">
        <v>35675675.675675675</v>
      </c>
      <c r="O177">
        <v>139864.864864865</v>
      </c>
      <c r="P177">
        <v>149639.63963963999</v>
      </c>
      <c r="S177">
        <v>262</v>
      </c>
      <c r="T177">
        <v>247</v>
      </c>
    </row>
    <row r="178" spans="1:20" x14ac:dyDescent="0.35">
      <c r="A178" s="7" t="s">
        <v>271</v>
      </c>
      <c r="B178" s="12" t="s">
        <v>76</v>
      </c>
      <c r="C178">
        <v>81004944.905289531</v>
      </c>
      <c r="D178">
        <v>81125933.248911142</v>
      </c>
      <c r="E178">
        <v>9009.0090090089998</v>
      </c>
      <c r="F178">
        <v>54054.054054054002</v>
      </c>
      <c r="G178">
        <v>22</v>
      </c>
      <c r="H178">
        <v>13</v>
      </c>
      <c r="K178">
        <v>24</v>
      </c>
      <c r="L178">
        <v>14</v>
      </c>
      <c r="M178">
        <v>99099.099099098996</v>
      </c>
      <c r="N178">
        <v>144144.144144144</v>
      </c>
      <c r="O178">
        <v>5008738.738738738</v>
      </c>
      <c r="P178">
        <v>5727265.7657657657</v>
      </c>
      <c r="Q178">
        <v>196396.39639639601</v>
      </c>
      <c r="R178">
        <v>128828.82882882901</v>
      </c>
      <c r="S178">
        <v>2389</v>
      </c>
      <c r="T178">
        <v>2434</v>
      </c>
    </row>
    <row r="179" spans="1:20" x14ac:dyDescent="0.35">
      <c r="A179" s="7" t="s">
        <v>272</v>
      </c>
      <c r="B179" s="12" t="s">
        <v>76</v>
      </c>
      <c r="C179">
        <v>29655042.952625938</v>
      </c>
      <c r="D179">
        <v>27650648.220718469</v>
      </c>
      <c r="E179">
        <v>56306.306306306004</v>
      </c>
      <c r="F179">
        <v>101801.80180180199</v>
      </c>
      <c r="G179">
        <v>15</v>
      </c>
      <c r="H179">
        <v>2</v>
      </c>
      <c r="K179">
        <v>17</v>
      </c>
      <c r="L179">
        <v>3</v>
      </c>
      <c r="M179">
        <v>9369819.8198198192</v>
      </c>
      <c r="N179">
        <v>8732612.6126126125</v>
      </c>
      <c r="O179">
        <v>9406666.6666666679</v>
      </c>
      <c r="P179">
        <v>7921495.4954954954</v>
      </c>
      <c r="Q179">
        <v>6551081.0810810803</v>
      </c>
      <c r="R179">
        <v>6108198.1981981983</v>
      </c>
      <c r="S179">
        <v>805</v>
      </c>
      <c r="T179">
        <v>805</v>
      </c>
    </row>
    <row r="180" spans="1:20" x14ac:dyDescent="0.35">
      <c r="A180" s="7" t="s">
        <v>273</v>
      </c>
      <c r="B180" s="12" t="s">
        <v>260</v>
      </c>
      <c r="C180">
        <v>623344921.11700428</v>
      </c>
      <c r="D180">
        <v>582924273.86982572</v>
      </c>
      <c r="E180">
        <v>242435240.54054055</v>
      </c>
      <c r="F180">
        <v>289525424.32432437</v>
      </c>
      <c r="G180">
        <v>108</v>
      </c>
      <c r="H180">
        <v>151</v>
      </c>
      <c r="I180">
        <v>1</v>
      </c>
      <c r="K180">
        <v>130</v>
      </c>
      <c r="L180">
        <v>238</v>
      </c>
      <c r="M180">
        <v>108064864.86486487</v>
      </c>
      <c r="N180">
        <v>134724324.32432431</v>
      </c>
      <c r="O180">
        <v>170162315.31531534</v>
      </c>
      <c r="P180">
        <v>179347263.51351351</v>
      </c>
      <c r="Q180">
        <v>102485315.31531531</v>
      </c>
      <c r="R180">
        <v>101597927.92792793</v>
      </c>
      <c r="S180">
        <v>19251</v>
      </c>
      <c r="T180">
        <v>18734</v>
      </c>
    </row>
    <row r="181" spans="1:20" x14ac:dyDescent="0.35">
      <c r="A181" s="7" t="s">
        <v>274</v>
      </c>
      <c r="B181" s="12" t="s">
        <v>260</v>
      </c>
      <c r="C181">
        <v>144529512.82664457</v>
      </c>
      <c r="D181">
        <v>123421244.60077564</v>
      </c>
      <c r="E181">
        <v>1387387.3873873879</v>
      </c>
      <c r="F181">
        <v>1153603.6036036049</v>
      </c>
      <c r="G181">
        <v>10</v>
      </c>
      <c r="H181">
        <v>7</v>
      </c>
      <c r="K181">
        <v>11</v>
      </c>
      <c r="L181">
        <v>9</v>
      </c>
      <c r="M181">
        <v>7349549.549549548</v>
      </c>
      <c r="N181">
        <v>10691441.441441443</v>
      </c>
      <c r="O181">
        <v>25688360.360360362</v>
      </c>
      <c r="P181">
        <v>23928666.666666664</v>
      </c>
      <c r="Q181">
        <v>5953603.6036036042</v>
      </c>
      <c r="R181">
        <v>7022162.1621621614</v>
      </c>
      <c r="S181">
        <v>3807</v>
      </c>
      <c r="T181">
        <v>3775</v>
      </c>
    </row>
    <row r="182" spans="1:20" x14ac:dyDescent="0.35">
      <c r="A182" s="7" t="s">
        <v>275</v>
      </c>
      <c r="B182" s="12" t="s">
        <v>260</v>
      </c>
      <c r="C182">
        <v>150601070.6989544</v>
      </c>
      <c r="D182">
        <v>138785034.80762562</v>
      </c>
      <c r="E182">
        <v>5110810.8108108109</v>
      </c>
      <c r="F182">
        <v>4232882.8828828819</v>
      </c>
      <c r="G182">
        <v>20</v>
      </c>
      <c r="H182">
        <v>14</v>
      </c>
      <c r="K182">
        <v>21</v>
      </c>
      <c r="L182">
        <v>18</v>
      </c>
      <c r="M182">
        <v>21179279.27927928</v>
      </c>
      <c r="N182">
        <v>30195495.495495494</v>
      </c>
      <c r="O182">
        <v>33156171.171171173</v>
      </c>
      <c r="P182">
        <v>30595216.216216218</v>
      </c>
      <c r="Q182">
        <v>23609279.27927928</v>
      </c>
      <c r="R182">
        <v>27043243.243243244</v>
      </c>
      <c r="S182">
        <v>5871</v>
      </c>
      <c r="T182">
        <v>5693</v>
      </c>
    </row>
    <row r="183" spans="1:20" x14ac:dyDescent="0.35">
      <c r="A183" s="7" t="s">
        <v>276</v>
      </c>
      <c r="B183" s="12" t="s">
        <v>134</v>
      </c>
      <c r="C183">
        <v>177358756.20470405</v>
      </c>
      <c r="D183">
        <v>179626809.86487058</v>
      </c>
      <c r="E183">
        <v>25225.225225225</v>
      </c>
      <c r="F183">
        <v>202702.70270270301</v>
      </c>
      <c r="G183">
        <v>31</v>
      </c>
      <c r="H183">
        <v>33</v>
      </c>
      <c r="K183">
        <v>32</v>
      </c>
      <c r="L183">
        <v>39</v>
      </c>
      <c r="M183">
        <v>6331531.5315315323</v>
      </c>
      <c r="N183">
        <v>11013513.513513513</v>
      </c>
      <c r="O183">
        <v>16293495.495495496</v>
      </c>
      <c r="P183">
        <v>15403175.675675675</v>
      </c>
      <c r="Q183">
        <v>5051441.441441441</v>
      </c>
      <c r="R183">
        <v>4299549.5495495489</v>
      </c>
      <c r="S183">
        <v>5478</v>
      </c>
      <c r="T183">
        <v>5385</v>
      </c>
    </row>
    <row r="184" spans="1:20" x14ac:dyDescent="0.35">
      <c r="A184" s="7" t="s">
        <v>668</v>
      </c>
      <c r="B184" s="12" t="s">
        <v>87</v>
      </c>
      <c r="F184">
        <v>3603603.6036036038</v>
      </c>
      <c r="M184">
        <v>89189.189189188997</v>
      </c>
    </row>
    <row r="185" spans="1:20" x14ac:dyDescent="0.35">
      <c r="A185" s="7" t="s">
        <v>277</v>
      </c>
      <c r="B185" s="12" t="s">
        <v>169</v>
      </c>
      <c r="C185">
        <v>133006336.89869207</v>
      </c>
      <c r="D185">
        <v>104465486.78817932</v>
      </c>
      <c r="E185">
        <v>579279.27927927906</v>
      </c>
      <c r="F185">
        <v>107207.207207208</v>
      </c>
      <c r="G185">
        <v>21</v>
      </c>
      <c r="H185">
        <v>13</v>
      </c>
      <c r="K185">
        <v>22</v>
      </c>
      <c r="L185">
        <v>30</v>
      </c>
      <c r="M185">
        <v>9588288.2882882878</v>
      </c>
      <c r="N185">
        <v>8233333.333333333</v>
      </c>
      <c r="O185">
        <v>53704621.621621624</v>
      </c>
      <c r="P185">
        <v>46200049.54954955</v>
      </c>
      <c r="Q185">
        <v>8774054.0540540535</v>
      </c>
      <c r="R185">
        <v>4874774.774774774</v>
      </c>
      <c r="S185">
        <v>3375</v>
      </c>
      <c r="T185">
        <v>3208</v>
      </c>
    </row>
    <row r="186" spans="1:20" x14ac:dyDescent="0.35">
      <c r="A186" s="7" t="s">
        <v>278</v>
      </c>
      <c r="B186" s="12" t="s">
        <v>169</v>
      </c>
      <c r="C186">
        <v>54534828.537656203</v>
      </c>
      <c r="D186">
        <v>55158399.193792649</v>
      </c>
      <c r="E186">
        <v>900.900900901</v>
      </c>
      <c r="F186">
        <v>3603.603603604</v>
      </c>
      <c r="G186">
        <v>2</v>
      </c>
      <c r="H186">
        <v>7</v>
      </c>
      <c r="K186">
        <v>2</v>
      </c>
      <c r="L186">
        <v>8</v>
      </c>
      <c r="M186">
        <v>1802702.702702703</v>
      </c>
      <c r="N186">
        <v>2706306.3063063058</v>
      </c>
      <c r="O186">
        <v>21133000</v>
      </c>
      <c r="P186">
        <v>24387779.27927928</v>
      </c>
      <c r="Q186">
        <v>2398198.1981981979</v>
      </c>
      <c r="R186">
        <v>2878378.3783783792</v>
      </c>
      <c r="S186">
        <v>2045</v>
      </c>
      <c r="T186">
        <v>2025</v>
      </c>
    </row>
    <row r="187" spans="1:20" x14ac:dyDescent="0.35">
      <c r="A187" s="7" t="s">
        <v>279</v>
      </c>
      <c r="B187" s="12" t="s">
        <v>87</v>
      </c>
      <c r="C187">
        <v>1614171.813141366</v>
      </c>
      <c r="D187">
        <v>1538961.756913509</v>
      </c>
      <c r="G187">
        <v>3</v>
      </c>
      <c r="H187">
        <v>3</v>
      </c>
      <c r="K187">
        <v>4</v>
      </c>
      <c r="L187">
        <v>3</v>
      </c>
      <c r="O187">
        <v>851800</v>
      </c>
      <c r="P187">
        <v>570414.41441441397</v>
      </c>
      <c r="S187">
        <v>201</v>
      </c>
      <c r="T187">
        <v>211</v>
      </c>
    </row>
    <row r="188" spans="1:20" x14ac:dyDescent="0.35">
      <c r="A188" s="7" t="s">
        <v>280</v>
      </c>
      <c r="B188" s="12" t="s">
        <v>169</v>
      </c>
      <c r="C188">
        <v>101515637.82669143</v>
      </c>
      <c r="D188">
        <v>106392479.28443168</v>
      </c>
      <c r="E188">
        <v>69389639.639639646</v>
      </c>
      <c r="F188">
        <v>75379279.279279277</v>
      </c>
      <c r="G188">
        <v>11</v>
      </c>
      <c r="H188">
        <v>28</v>
      </c>
      <c r="K188">
        <v>12</v>
      </c>
      <c r="L188">
        <v>31</v>
      </c>
      <c r="M188">
        <v>14008378.378378376</v>
      </c>
      <c r="N188">
        <v>22239909.909909911</v>
      </c>
      <c r="O188">
        <v>39874639.639639638</v>
      </c>
      <c r="P188">
        <v>43847873.873873875</v>
      </c>
      <c r="Q188">
        <v>10732432.432432432</v>
      </c>
      <c r="R188">
        <v>15362432.43243243</v>
      </c>
      <c r="S188">
        <v>4186</v>
      </c>
      <c r="T188">
        <v>4140</v>
      </c>
    </row>
    <row r="189" spans="1:20" x14ac:dyDescent="0.35">
      <c r="A189" s="7" t="s">
        <v>281</v>
      </c>
      <c r="B189" s="12" t="s">
        <v>54</v>
      </c>
      <c r="C189">
        <v>82010171.858168051</v>
      </c>
      <c r="D189">
        <v>78721358.087002158</v>
      </c>
      <c r="E189">
        <v>77027.027027028002</v>
      </c>
      <c r="F189">
        <v>937837.83783783996</v>
      </c>
      <c r="G189">
        <v>32</v>
      </c>
      <c r="H189">
        <v>25</v>
      </c>
      <c r="K189">
        <v>39</v>
      </c>
      <c r="L189">
        <v>32</v>
      </c>
      <c r="M189">
        <v>8089639.6396396374</v>
      </c>
      <c r="N189">
        <v>8508108.1081081089</v>
      </c>
      <c r="O189">
        <v>17384126.126126129</v>
      </c>
      <c r="P189">
        <v>16913945.945945945</v>
      </c>
      <c r="Q189">
        <v>8447207.2072072066</v>
      </c>
      <c r="R189">
        <v>8316396.3963963976</v>
      </c>
      <c r="S189">
        <v>3725</v>
      </c>
      <c r="T189">
        <v>3742</v>
      </c>
    </row>
    <row r="190" spans="1:20" x14ac:dyDescent="0.35">
      <c r="A190" s="7" t="s">
        <v>282</v>
      </c>
      <c r="B190" s="12" t="s">
        <v>283</v>
      </c>
      <c r="C190">
        <v>131573082.6998212</v>
      </c>
      <c r="D190">
        <v>93974715.172149852</v>
      </c>
      <c r="E190">
        <v>47297.297297297999</v>
      </c>
      <c r="F190">
        <v>293693.69369369501</v>
      </c>
      <c r="G190">
        <v>62</v>
      </c>
      <c r="H190">
        <v>30</v>
      </c>
      <c r="K190">
        <v>66</v>
      </c>
      <c r="L190">
        <v>37</v>
      </c>
      <c r="M190">
        <v>3957207.207207208</v>
      </c>
      <c r="N190">
        <v>6203603.6036036061</v>
      </c>
      <c r="O190">
        <v>15913018.018018018</v>
      </c>
      <c r="P190">
        <v>16543594.594594594</v>
      </c>
      <c r="Q190">
        <v>4675135.1351351365</v>
      </c>
      <c r="R190">
        <v>6116216.2162162168</v>
      </c>
      <c r="S190">
        <v>3353</v>
      </c>
      <c r="T190">
        <v>3224</v>
      </c>
    </row>
    <row r="191" spans="1:20" x14ac:dyDescent="0.35">
      <c r="A191" s="7" t="s">
        <v>284</v>
      </c>
      <c r="B191" s="12" t="s">
        <v>283</v>
      </c>
      <c r="C191">
        <v>220225878.14006594</v>
      </c>
      <c r="D191">
        <v>227474987.19272339</v>
      </c>
      <c r="E191">
        <v>845495.49549549597</v>
      </c>
      <c r="F191">
        <v>1368018.0180180231</v>
      </c>
      <c r="G191">
        <v>42</v>
      </c>
      <c r="H191">
        <v>40</v>
      </c>
      <c r="K191">
        <v>47</v>
      </c>
      <c r="L191">
        <v>54</v>
      </c>
      <c r="M191">
        <v>25177027.027027026</v>
      </c>
      <c r="N191">
        <v>23613513.513513513</v>
      </c>
      <c r="O191">
        <v>42162684.684684686</v>
      </c>
      <c r="P191">
        <v>47039554.054054059</v>
      </c>
      <c r="Q191">
        <v>20546936.936936937</v>
      </c>
      <c r="R191">
        <v>21989279.27927928</v>
      </c>
      <c r="S191">
        <v>8391</v>
      </c>
      <c r="T191">
        <v>8091</v>
      </c>
    </row>
    <row r="192" spans="1:20" x14ac:dyDescent="0.35">
      <c r="A192" s="7" t="s">
        <v>285</v>
      </c>
      <c r="B192" s="12" t="s">
        <v>283</v>
      </c>
      <c r="C192">
        <v>117914389.05397303</v>
      </c>
      <c r="D192">
        <v>121466332.6677824</v>
      </c>
      <c r="E192">
        <v>80999672.972972974</v>
      </c>
      <c r="F192">
        <v>181810919.81981981</v>
      </c>
      <c r="G192">
        <v>44</v>
      </c>
      <c r="H192">
        <v>17</v>
      </c>
      <c r="K192">
        <v>46</v>
      </c>
      <c r="L192">
        <v>35</v>
      </c>
      <c r="M192">
        <v>45207252.252252258</v>
      </c>
      <c r="N192">
        <v>49980514.414414413</v>
      </c>
      <c r="O192">
        <v>38066198.198198199</v>
      </c>
      <c r="P192">
        <v>38320468.468468472</v>
      </c>
      <c r="Q192">
        <v>25215225.225225229</v>
      </c>
      <c r="R192">
        <v>28361711.711711712</v>
      </c>
      <c r="S192">
        <v>4700</v>
      </c>
      <c r="T192">
        <v>4661</v>
      </c>
    </row>
    <row r="193" spans="1:20" x14ac:dyDescent="0.35">
      <c r="A193" s="7" t="s">
        <v>286</v>
      </c>
      <c r="B193" s="12" t="s">
        <v>283</v>
      </c>
      <c r="C193">
        <v>89309041.803050324</v>
      </c>
      <c r="D193">
        <v>88698123.054905161</v>
      </c>
      <c r="E193">
        <v>58558.558558559998</v>
      </c>
      <c r="F193">
        <v>290090.09009009198</v>
      </c>
      <c r="G193">
        <v>14</v>
      </c>
      <c r="H193">
        <v>4</v>
      </c>
      <c r="K193">
        <v>15</v>
      </c>
      <c r="L193">
        <v>6</v>
      </c>
      <c r="M193">
        <v>3364864.8648648658</v>
      </c>
      <c r="N193">
        <v>8064864.8648648662</v>
      </c>
      <c r="O193">
        <v>14653909.90990991</v>
      </c>
      <c r="P193">
        <v>17292261.261261258</v>
      </c>
      <c r="Q193">
        <v>2880720.7207207209</v>
      </c>
      <c r="R193">
        <v>8710900.9009009004</v>
      </c>
      <c r="S193">
        <v>2045</v>
      </c>
      <c r="T193">
        <v>2547</v>
      </c>
    </row>
    <row r="194" spans="1:20" x14ac:dyDescent="0.35">
      <c r="A194" s="7" t="s">
        <v>287</v>
      </c>
      <c r="B194" s="12" t="s">
        <v>283</v>
      </c>
      <c r="C194">
        <v>39926776.722750612</v>
      </c>
      <c r="D194">
        <v>44729098.242159069</v>
      </c>
      <c r="E194">
        <v>76576.576576577005</v>
      </c>
      <c r="F194">
        <v>365765.76576576801</v>
      </c>
      <c r="G194">
        <v>4</v>
      </c>
      <c r="K194">
        <v>5</v>
      </c>
      <c r="L194">
        <v>1</v>
      </c>
      <c r="M194">
        <v>76576.576576577005</v>
      </c>
      <c r="N194">
        <v>12311711.711711712</v>
      </c>
      <c r="O194">
        <v>7290720.7207207214</v>
      </c>
      <c r="P194">
        <v>8144702.702702703</v>
      </c>
      <c r="R194">
        <v>11892342.342342343</v>
      </c>
      <c r="S194">
        <v>1409</v>
      </c>
      <c r="T194">
        <v>1380</v>
      </c>
    </row>
    <row r="195" spans="1:20" x14ac:dyDescent="0.35">
      <c r="A195" s="7" t="s">
        <v>288</v>
      </c>
      <c r="B195" s="12" t="s">
        <v>283</v>
      </c>
      <c r="C195">
        <v>7033855.1801823089</v>
      </c>
      <c r="D195">
        <v>7345729.747674468</v>
      </c>
      <c r="F195">
        <v>180180.18018018</v>
      </c>
      <c r="G195">
        <v>1</v>
      </c>
      <c r="K195">
        <v>2</v>
      </c>
      <c r="N195">
        <v>5423423.4234234244</v>
      </c>
      <c r="O195">
        <v>928378.37837837799</v>
      </c>
      <c r="P195">
        <v>1091315.315315315</v>
      </c>
      <c r="R195">
        <v>5243243.2432432435</v>
      </c>
      <c r="S195">
        <v>301</v>
      </c>
      <c r="T195">
        <v>286</v>
      </c>
    </row>
    <row r="196" spans="1:20" x14ac:dyDescent="0.35">
      <c r="A196" s="7" t="s">
        <v>289</v>
      </c>
      <c r="B196" s="12" t="s">
        <v>290</v>
      </c>
      <c r="C196">
        <v>92990727.094146684</v>
      </c>
      <c r="D196">
        <v>93986458.855360046</v>
      </c>
      <c r="E196">
        <v>28828.828828828999</v>
      </c>
      <c r="F196">
        <v>6421621.6216216218</v>
      </c>
      <c r="G196">
        <v>36</v>
      </c>
      <c r="H196">
        <v>18</v>
      </c>
      <c r="K196">
        <v>47</v>
      </c>
      <c r="L196">
        <v>21</v>
      </c>
      <c r="M196">
        <v>1420720.7207207221</v>
      </c>
      <c r="N196">
        <v>153153.15315315401</v>
      </c>
      <c r="O196">
        <v>8645268.4684684686</v>
      </c>
      <c r="P196">
        <v>8012659.4594594603</v>
      </c>
      <c r="Q196">
        <v>734234.23423423502</v>
      </c>
      <c r="R196">
        <v>321171.17117117101</v>
      </c>
      <c r="S196">
        <v>4055</v>
      </c>
      <c r="T196">
        <v>4410</v>
      </c>
    </row>
    <row r="197" spans="1:20" x14ac:dyDescent="0.35">
      <c r="A197" s="7" t="s">
        <v>291</v>
      </c>
      <c r="B197" s="12" t="s">
        <v>147</v>
      </c>
      <c r="C197">
        <v>209504809.24172938</v>
      </c>
      <c r="D197">
        <v>209715465.04415137</v>
      </c>
      <c r="E197">
        <v>17709909.909909911</v>
      </c>
      <c r="F197">
        <v>86690990.990990996</v>
      </c>
      <c r="G197">
        <v>36</v>
      </c>
      <c r="H197">
        <v>50</v>
      </c>
      <c r="K197">
        <v>45</v>
      </c>
      <c r="L197">
        <v>58</v>
      </c>
      <c r="M197">
        <v>36332342.342342339</v>
      </c>
      <c r="N197">
        <v>86368918.918918908</v>
      </c>
      <c r="O197">
        <v>70392387.38738738</v>
      </c>
      <c r="P197">
        <v>76956720.720720723</v>
      </c>
      <c r="Q197">
        <v>28511261.261261255</v>
      </c>
      <c r="R197">
        <v>77128378.378378391</v>
      </c>
      <c r="S197">
        <v>7586</v>
      </c>
      <c r="T197">
        <v>7834</v>
      </c>
    </row>
    <row r="198" spans="1:20" x14ac:dyDescent="0.35">
      <c r="A198" s="7" t="s">
        <v>292</v>
      </c>
      <c r="B198" s="12" t="s">
        <v>293</v>
      </c>
      <c r="C198">
        <v>109679292.94201121</v>
      </c>
      <c r="D198">
        <v>100153475.99924169</v>
      </c>
      <c r="E198">
        <v>40389052.252252258</v>
      </c>
      <c r="F198">
        <v>20513944.144144144</v>
      </c>
      <c r="G198">
        <v>8</v>
      </c>
      <c r="H198">
        <v>8</v>
      </c>
      <c r="K198">
        <v>15</v>
      </c>
      <c r="L198">
        <v>9</v>
      </c>
      <c r="M198">
        <v>20503603.603603605</v>
      </c>
      <c r="N198">
        <v>20790630.630630631</v>
      </c>
      <c r="O198">
        <v>12803288.288288288</v>
      </c>
      <c r="P198">
        <v>13986036.036036037</v>
      </c>
      <c r="Q198">
        <v>16013963.963963959</v>
      </c>
      <c r="R198">
        <v>18485765.765765768</v>
      </c>
      <c r="S198">
        <v>3634</v>
      </c>
      <c r="T198">
        <v>3421</v>
      </c>
    </row>
    <row r="199" spans="1:20" x14ac:dyDescent="0.35">
      <c r="A199" s="7" t="s">
        <v>294</v>
      </c>
      <c r="B199" s="12" t="s">
        <v>290</v>
      </c>
      <c r="C199">
        <v>31417021.572797481</v>
      </c>
      <c r="D199">
        <v>21821811.710966095</v>
      </c>
      <c r="E199">
        <v>432432.43243243202</v>
      </c>
      <c r="F199">
        <v>567567.56756756804</v>
      </c>
      <c r="G199">
        <v>14</v>
      </c>
      <c r="H199">
        <v>6</v>
      </c>
      <c r="K199">
        <v>15</v>
      </c>
      <c r="L199">
        <v>6</v>
      </c>
      <c r="M199">
        <v>1333333.333333333</v>
      </c>
      <c r="N199">
        <v>2370270.2702702698</v>
      </c>
      <c r="O199">
        <v>3528243.243243244</v>
      </c>
      <c r="P199">
        <v>3357522.5225225221</v>
      </c>
      <c r="Q199">
        <v>1260450.4504504511</v>
      </c>
      <c r="R199">
        <v>1642342.342342342</v>
      </c>
      <c r="S199">
        <v>1265</v>
      </c>
      <c r="T199">
        <v>1199</v>
      </c>
    </row>
    <row r="200" spans="1:20" x14ac:dyDescent="0.35">
      <c r="A200" s="7" t="s">
        <v>295</v>
      </c>
      <c r="B200" s="12" t="s">
        <v>52</v>
      </c>
      <c r="C200">
        <v>299300610.75053167</v>
      </c>
      <c r="D200">
        <v>292971700.20168161</v>
      </c>
      <c r="E200">
        <v>37969369.369369365</v>
      </c>
      <c r="F200">
        <v>162426126.12612614</v>
      </c>
      <c r="G200">
        <v>52</v>
      </c>
      <c r="H200">
        <v>79</v>
      </c>
      <c r="K200">
        <v>67</v>
      </c>
      <c r="L200">
        <v>120</v>
      </c>
      <c r="M200">
        <v>131006306.3063063</v>
      </c>
      <c r="N200">
        <v>49389909.909909911</v>
      </c>
      <c r="O200">
        <v>77314504.504504517</v>
      </c>
      <c r="P200">
        <v>78693567.567567572</v>
      </c>
      <c r="Q200">
        <v>142201261.26126125</v>
      </c>
      <c r="R200">
        <v>64360720.720720723</v>
      </c>
      <c r="S200">
        <v>11718</v>
      </c>
      <c r="T200">
        <v>11392</v>
      </c>
    </row>
    <row r="201" spans="1:20" x14ac:dyDescent="0.35">
      <c r="A201" s="7" t="s">
        <v>296</v>
      </c>
      <c r="B201" s="12" t="s">
        <v>169</v>
      </c>
      <c r="C201">
        <v>92503384.427517682</v>
      </c>
      <c r="D201">
        <v>83243061.211001143</v>
      </c>
      <c r="E201">
        <v>1801.801801802</v>
      </c>
      <c r="F201">
        <v>13513.513513514001</v>
      </c>
      <c r="G201">
        <v>12</v>
      </c>
      <c r="H201">
        <v>11</v>
      </c>
      <c r="I201">
        <v>1</v>
      </c>
      <c r="K201">
        <v>15</v>
      </c>
      <c r="L201">
        <v>16</v>
      </c>
      <c r="M201">
        <v>3920720.7207207209</v>
      </c>
      <c r="N201">
        <v>4833333.333333334</v>
      </c>
      <c r="O201">
        <v>20448576.576576576</v>
      </c>
      <c r="P201">
        <v>18915711.711711712</v>
      </c>
      <c r="Q201">
        <v>3463333.333333334</v>
      </c>
      <c r="R201">
        <v>4882702.702702703</v>
      </c>
      <c r="S201">
        <v>3677</v>
      </c>
      <c r="T201">
        <v>4397</v>
      </c>
    </row>
    <row r="202" spans="1:20" x14ac:dyDescent="0.35">
      <c r="A202" s="7" t="s">
        <v>297</v>
      </c>
      <c r="B202" s="12" t="s">
        <v>169</v>
      </c>
      <c r="C202">
        <v>79576821.899112388</v>
      </c>
      <c r="D202">
        <v>114826681.66912507</v>
      </c>
      <c r="E202">
        <v>900.900900901</v>
      </c>
      <c r="F202">
        <v>57657.657657657997</v>
      </c>
      <c r="G202">
        <v>11</v>
      </c>
      <c r="H202">
        <v>22</v>
      </c>
      <c r="K202">
        <v>12</v>
      </c>
      <c r="L202">
        <v>40</v>
      </c>
      <c r="M202">
        <v>799109009.009009</v>
      </c>
      <c r="N202">
        <v>1827093693.6936936</v>
      </c>
      <c r="O202">
        <v>29478279.27927928</v>
      </c>
      <c r="P202">
        <v>42306720.720720723</v>
      </c>
      <c r="Q202">
        <v>681721055.85585582</v>
      </c>
      <c r="R202">
        <v>1820055848.6486487</v>
      </c>
      <c r="S202">
        <v>2963</v>
      </c>
      <c r="T202">
        <v>2809</v>
      </c>
    </row>
    <row r="203" spans="1:20" x14ac:dyDescent="0.35">
      <c r="A203" s="7" t="s">
        <v>298</v>
      </c>
      <c r="B203" s="12" t="s">
        <v>89</v>
      </c>
      <c r="C203">
        <v>346201565.20737273</v>
      </c>
      <c r="D203">
        <v>336332626.73844957</v>
      </c>
      <c r="E203">
        <v>336576.57657657698</v>
      </c>
      <c r="F203">
        <v>1910697.2972973071</v>
      </c>
      <c r="G203">
        <v>53</v>
      </c>
      <c r="H203">
        <v>63</v>
      </c>
      <c r="I203">
        <v>1</v>
      </c>
      <c r="K203">
        <v>61</v>
      </c>
      <c r="L203">
        <v>127</v>
      </c>
      <c r="M203">
        <v>21115495.495495491</v>
      </c>
      <c r="N203">
        <v>20403720.720720723</v>
      </c>
      <c r="O203">
        <v>62308648.648648649</v>
      </c>
      <c r="P203">
        <v>64995283.783783786</v>
      </c>
      <c r="Q203">
        <v>19376306.306306299</v>
      </c>
      <c r="R203">
        <v>24234054.054054052</v>
      </c>
      <c r="S203">
        <v>10743</v>
      </c>
      <c r="T203">
        <v>10620</v>
      </c>
    </row>
    <row r="204" spans="1:20" x14ac:dyDescent="0.35">
      <c r="A204" s="7" t="s">
        <v>299</v>
      </c>
      <c r="B204" s="12" t="s">
        <v>134</v>
      </c>
      <c r="C204">
        <v>173237318.85050529</v>
      </c>
      <c r="D204">
        <v>184548287.39481094</v>
      </c>
      <c r="E204">
        <v>932432.43243243406</v>
      </c>
      <c r="F204">
        <v>1534234.2342342371</v>
      </c>
      <c r="G204">
        <v>50</v>
      </c>
      <c r="H204">
        <v>42</v>
      </c>
      <c r="K204">
        <v>54</v>
      </c>
      <c r="L204">
        <v>55</v>
      </c>
      <c r="M204">
        <v>17337837.837837838</v>
      </c>
      <c r="N204">
        <v>12606306.306306306</v>
      </c>
      <c r="O204">
        <v>21314529.729729731</v>
      </c>
      <c r="P204">
        <v>23227477.47747748</v>
      </c>
      <c r="Q204">
        <v>12369592.792792792</v>
      </c>
      <c r="R204">
        <v>11740360.36036036</v>
      </c>
      <c r="S204">
        <v>6727</v>
      </c>
      <c r="T204">
        <v>6966</v>
      </c>
    </row>
    <row r="205" spans="1:20" x14ac:dyDescent="0.35">
      <c r="A205" s="7" t="s">
        <v>300</v>
      </c>
      <c r="B205" s="12" t="s">
        <v>290</v>
      </c>
      <c r="C205">
        <v>139028821.5549776</v>
      </c>
      <c r="D205">
        <v>128275302.1267349</v>
      </c>
      <c r="E205">
        <v>759909.90990991204</v>
      </c>
      <c r="F205">
        <v>2107207.207207208</v>
      </c>
      <c r="G205">
        <v>69</v>
      </c>
      <c r="H205">
        <v>48</v>
      </c>
      <c r="K205">
        <v>77</v>
      </c>
      <c r="L205">
        <v>55</v>
      </c>
      <c r="M205">
        <v>14309459.459459459</v>
      </c>
      <c r="N205">
        <v>11181081.081081081</v>
      </c>
      <c r="O205">
        <v>18795855.855855856</v>
      </c>
      <c r="P205">
        <v>17187538.738738742</v>
      </c>
      <c r="Q205">
        <v>12310630.630630635</v>
      </c>
      <c r="R205">
        <v>10051891.891891887</v>
      </c>
      <c r="S205">
        <v>4383</v>
      </c>
      <c r="T205">
        <v>4394</v>
      </c>
    </row>
    <row r="206" spans="1:20" x14ac:dyDescent="0.35">
      <c r="A206" s="7" t="s">
        <v>301</v>
      </c>
      <c r="B206" s="12" t="s">
        <v>80</v>
      </c>
      <c r="C206">
        <v>200548268.32335979</v>
      </c>
      <c r="D206">
        <v>184842035.74155733</v>
      </c>
      <c r="E206">
        <v>425675.67567567597</v>
      </c>
      <c r="F206">
        <v>2918693.6936936961</v>
      </c>
      <c r="G206">
        <v>53</v>
      </c>
      <c r="H206">
        <v>28</v>
      </c>
      <c r="K206">
        <v>57</v>
      </c>
      <c r="L206">
        <v>31</v>
      </c>
      <c r="M206">
        <v>17670900.9009009</v>
      </c>
      <c r="N206">
        <v>18401801.801801801</v>
      </c>
      <c r="O206">
        <v>44353157.657657653</v>
      </c>
      <c r="P206">
        <v>38174243.243243247</v>
      </c>
      <c r="Q206">
        <v>17289729.729729731</v>
      </c>
      <c r="R206">
        <v>16681441.441441443</v>
      </c>
      <c r="S206">
        <v>5794</v>
      </c>
      <c r="T206">
        <v>5732</v>
      </c>
    </row>
    <row r="207" spans="1:20" x14ac:dyDescent="0.35">
      <c r="A207" s="7" t="s">
        <v>302</v>
      </c>
      <c r="B207" s="12" t="s">
        <v>72</v>
      </c>
      <c r="C207">
        <v>293399887.21691668</v>
      </c>
      <c r="D207">
        <v>288700344.06073451</v>
      </c>
      <c r="E207">
        <v>49549.549549550997</v>
      </c>
      <c r="F207">
        <v>852252.25225225696</v>
      </c>
      <c r="G207">
        <v>62</v>
      </c>
      <c r="H207">
        <v>75</v>
      </c>
      <c r="I207">
        <v>2</v>
      </c>
      <c r="K207">
        <v>66</v>
      </c>
      <c r="L207">
        <v>84</v>
      </c>
      <c r="M207">
        <v>20337837.837837838</v>
      </c>
      <c r="N207">
        <v>18727927.927927926</v>
      </c>
      <c r="O207">
        <v>40291297.297297299</v>
      </c>
      <c r="P207">
        <v>44858774.774774775</v>
      </c>
      <c r="Q207">
        <v>16068648.648648649</v>
      </c>
      <c r="R207">
        <v>14941081.081081079</v>
      </c>
      <c r="S207">
        <v>9169</v>
      </c>
      <c r="T207">
        <v>9073</v>
      </c>
    </row>
    <row r="208" spans="1:20" x14ac:dyDescent="0.35">
      <c r="A208" s="7" t="s">
        <v>303</v>
      </c>
      <c r="B208" s="12" t="s">
        <v>304</v>
      </c>
      <c r="C208">
        <v>1008891.911960341</v>
      </c>
      <c r="D208">
        <v>1042221.866739933</v>
      </c>
      <c r="E208">
        <v>9009009.0090090074</v>
      </c>
      <c r="F208">
        <v>7207207.2072072066</v>
      </c>
      <c r="N208">
        <v>44594.594594595001</v>
      </c>
      <c r="O208">
        <v>493918.91891891899</v>
      </c>
      <c r="P208">
        <v>485225.22522522497</v>
      </c>
      <c r="S208">
        <v>68</v>
      </c>
      <c r="T208">
        <v>72</v>
      </c>
    </row>
    <row r="209" spans="1:20" x14ac:dyDescent="0.35">
      <c r="A209" s="7" t="s">
        <v>305</v>
      </c>
      <c r="B209" s="12" t="s">
        <v>117</v>
      </c>
      <c r="C209">
        <v>42993907.452193394</v>
      </c>
      <c r="D209">
        <v>37605844.457337134</v>
      </c>
      <c r="E209">
        <v>16216.216216217999</v>
      </c>
      <c r="F209">
        <v>289189.18918919202</v>
      </c>
      <c r="G209">
        <v>4</v>
      </c>
      <c r="H209">
        <v>3</v>
      </c>
      <c r="K209">
        <v>6</v>
      </c>
      <c r="L209">
        <v>4</v>
      </c>
      <c r="M209">
        <v>1423063.063063063</v>
      </c>
      <c r="N209">
        <v>2030450.450450453</v>
      </c>
      <c r="O209">
        <v>16991981.981981982</v>
      </c>
      <c r="P209">
        <v>16156261.26126126</v>
      </c>
      <c r="Q209">
        <v>1501891.89189189</v>
      </c>
      <c r="R209">
        <v>2007027.027027027</v>
      </c>
      <c r="S209">
        <v>1807</v>
      </c>
      <c r="T209">
        <v>1724</v>
      </c>
    </row>
    <row r="210" spans="1:20" x14ac:dyDescent="0.35">
      <c r="A210" s="7" t="s">
        <v>306</v>
      </c>
      <c r="B210" s="12" t="s">
        <v>307</v>
      </c>
      <c r="C210">
        <v>47334513.806685083</v>
      </c>
      <c r="D210">
        <v>44738290.299174577</v>
      </c>
      <c r="E210">
        <v>43243.243243243996</v>
      </c>
      <c r="F210">
        <v>900.900900901</v>
      </c>
      <c r="G210">
        <v>17</v>
      </c>
      <c r="H210">
        <v>23</v>
      </c>
      <c r="K210">
        <v>19</v>
      </c>
      <c r="L210">
        <v>32</v>
      </c>
      <c r="M210">
        <v>913873.87387387303</v>
      </c>
      <c r="N210">
        <v>482882.88288288302</v>
      </c>
      <c r="O210">
        <v>23543648.648648649</v>
      </c>
      <c r="P210">
        <v>23553936.936936937</v>
      </c>
      <c r="Q210">
        <v>865675.67567567504</v>
      </c>
      <c r="R210">
        <v>286846.84684684698</v>
      </c>
      <c r="S210">
        <v>4339</v>
      </c>
      <c r="T210">
        <v>4362</v>
      </c>
    </row>
    <row r="211" spans="1:20" x14ac:dyDescent="0.35">
      <c r="A211" s="7" t="s">
        <v>308</v>
      </c>
      <c r="B211" s="12" t="s">
        <v>140</v>
      </c>
      <c r="C211">
        <v>298971036.11569685</v>
      </c>
      <c r="D211">
        <v>306487508.85511088</v>
      </c>
      <c r="E211">
        <v>306441.441441442</v>
      </c>
      <c r="F211">
        <v>1242342.342342349</v>
      </c>
      <c r="G211">
        <v>25</v>
      </c>
      <c r="H211">
        <v>52</v>
      </c>
      <c r="K211">
        <v>39</v>
      </c>
      <c r="L211">
        <v>63</v>
      </c>
      <c r="M211">
        <v>43563513.51351352</v>
      </c>
      <c r="N211">
        <v>63371171.171171166</v>
      </c>
      <c r="O211">
        <v>61699097.297297299</v>
      </c>
      <c r="P211">
        <v>67353126.126126125</v>
      </c>
      <c r="Q211">
        <v>25909819.819819815</v>
      </c>
      <c r="R211">
        <v>32719189.189189192</v>
      </c>
      <c r="S211">
        <v>7983</v>
      </c>
      <c r="T211">
        <v>8244</v>
      </c>
    </row>
    <row r="212" spans="1:20" x14ac:dyDescent="0.35">
      <c r="A212" s="7" t="s">
        <v>309</v>
      </c>
      <c r="B212" s="12" t="s">
        <v>132</v>
      </c>
      <c r="C212">
        <v>346600834.47725743</v>
      </c>
      <c r="D212">
        <v>282910893.90717876</v>
      </c>
      <c r="E212">
        <v>8354954.9549549557</v>
      </c>
      <c r="F212">
        <v>20794594.594594598</v>
      </c>
      <c r="G212">
        <v>96</v>
      </c>
      <c r="H212">
        <v>82</v>
      </c>
      <c r="K212">
        <v>110</v>
      </c>
      <c r="L212">
        <v>102</v>
      </c>
      <c r="M212">
        <v>24037837.837837841</v>
      </c>
      <c r="N212">
        <v>17713288.288288288</v>
      </c>
      <c r="O212">
        <v>93340549.54954955</v>
      </c>
      <c r="P212">
        <v>75891153.153153151</v>
      </c>
      <c r="Q212">
        <v>15755360.36036036</v>
      </c>
      <c r="R212">
        <v>11243153.153153153</v>
      </c>
      <c r="S212">
        <v>12496</v>
      </c>
      <c r="T212">
        <v>12071</v>
      </c>
    </row>
    <row r="213" spans="1:20" x14ac:dyDescent="0.35">
      <c r="A213" s="7" t="s">
        <v>310</v>
      </c>
      <c r="B213" s="12" t="s">
        <v>72</v>
      </c>
      <c r="C213">
        <v>512559096.04764348</v>
      </c>
      <c r="D213">
        <v>492010419.62687069</v>
      </c>
      <c r="E213">
        <v>1194234.2342342399</v>
      </c>
      <c r="F213">
        <v>4396621.6216216348</v>
      </c>
      <c r="G213">
        <v>106</v>
      </c>
      <c r="H213">
        <v>101</v>
      </c>
      <c r="K213">
        <v>134</v>
      </c>
      <c r="L213">
        <v>140</v>
      </c>
      <c r="M213">
        <v>68861801.801801801</v>
      </c>
      <c r="N213">
        <v>64768468.468468465</v>
      </c>
      <c r="O213">
        <v>118175621.62162161</v>
      </c>
      <c r="P213">
        <v>118998182.88288288</v>
      </c>
      <c r="Q213">
        <v>60634234.234234229</v>
      </c>
      <c r="R213">
        <v>61012522.522522531</v>
      </c>
      <c r="S213">
        <v>16902</v>
      </c>
      <c r="T213">
        <v>16730</v>
      </c>
    </row>
    <row r="214" spans="1:20" x14ac:dyDescent="0.35">
      <c r="A214" s="7" t="s">
        <v>311</v>
      </c>
      <c r="B214" s="12" t="s">
        <v>62</v>
      </c>
      <c r="C214">
        <v>88640594.560102955</v>
      </c>
      <c r="D214">
        <v>84153474.390019894</v>
      </c>
      <c r="E214">
        <v>199099.09909910001</v>
      </c>
      <c r="F214">
        <v>518018.01801801898</v>
      </c>
      <c r="G214">
        <v>11</v>
      </c>
      <c r="H214">
        <v>14</v>
      </c>
      <c r="K214">
        <v>11</v>
      </c>
      <c r="L214">
        <v>16</v>
      </c>
      <c r="M214">
        <v>15975315.315315314</v>
      </c>
      <c r="N214">
        <v>19189909.909909911</v>
      </c>
      <c r="O214">
        <v>23948369.369369369</v>
      </c>
      <c r="P214">
        <v>22594981.981981985</v>
      </c>
      <c r="Q214">
        <v>14144594.594594592</v>
      </c>
      <c r="R214">
        <v>14969279.27927928</v>
      </c>
      <c r="S214">
        <v>2293</v>
      </c>
      <c r="T214">
        <v>2456</v>
      </c>
    </row>
    <row r="215" spans="1:20" x14ac:dyDescent="0.35">
      <c r="A215" s="7" t="s">
        <v>312</v>
      </c>
      <c r="B215" s="12" t="s">
        <v>89</v>
      </c>
      <c r="C215">
        <v>29770655.39581022</v>
      </c>
      <c r="D215">
        <v>28440122.472216055</v>
      </c>
      <c r="E215">
        <v>28828.828828828999</v>
      </c>
      <c r="F215">
        <v>348648.64864864998</v>
      </c>
      <c r="G215">
        <v>5</v>
      </c>
      <c r="H215">
        <v>7</v>
      </c>
      <c r="K215">
        <v>5</v>
      </c>
      <c r="L215">
        <v>8</v>
      </c>
      <c r="M215">
        <v>1569369.3693693681</v>
      </c>
      <c r="N215">
        <v>4592072.0720720701</v>
      </c>
      <c r="O215">
        <v>8661891.8918918911</v>
      </c>
      <c r="P215">
        <v>9718000</v>
      </c>
      <c r="Q215">
        <v>1112162.162162161</v>
      </c>
      <c r="R215">
        <v>4539639.6396396384</v>
      </c>
      <c r="S215">
        <v>1241</v>
      </c>
      <c r="T215">
        <v>1158</v>
      </c>
    </row>
    <row r="216" spans="1:20" x14ac:dyDescent="0.35">
      <c r="A216" s="7" t="s">
        <v>313</v>
      </c>
      <c r="B216" s="12" t="s">
        <v>92</v>
      </c>
      <c r="C216">
        <v>13680879.361419279</v>
      </c>
      <c r="D216">
        <v>13280189.87588756</v>
      </c>
      <c r="F216">
        <v>54054.054054054002</v>
      </c>
      <c r="G216">
        <v>2</v>
      </c>
      <c r="H216">
        <v>2</v>
      </c>
      <c r="K216">
        <v>2</v>
      </c>
      <c r="L216">
        <v>2</v>
      </c>
      <c r="M216">
        <v>27027.027027027001</v>
      </c>
      <c r="N216">
        <v>54054.054054054002</v>
      </c>
      <c r="O216">
        <v>1093558.558558559</v>
      </c>
      <c r="P216">
        <v>840765.76576576603</v>
      </c>
      <c r="Q216">
        <v>27027.027027027001</v>
      </c>
      <c r="R216">
        <v>145045.045045045</v>
      </c>
      <c r="S216">
        <v>391</v>
      </c>
      <c r="T216">
        <v>847</v>
      </c>
    </row>
    <row r="217" spans="1:20" x14ac:dyDescent="0.35">
      <c r="A217" s="7" t="s">
        <v>314</v>
      </c>
      <c r="B217" s="12" t="s">
        <v>315</v>
      </c>
      <c r="C217">
        <v>107736359.71620609</v>
      </c>
      <c r="D217">
        <v>98291531.103447214</v>
      </c>
      <c r="E217">
        <v>54954.954954954999</v>
      </c>
      <c r="F217">
        <v>493243.24324324197</v>
      </c>
      <c r="G217">
        <v>32</v>
      </c>
      <c r="H217">
        <v>19</v>
      </c>
      <c r="K217">
        <v>37</v>
      </c>
      <c r="L217">
        <v>19</v>
      </c>
      <c r="M217">
        <v>3156306.3063063039</v>
      </c>
      <c r="N217">
        <v>6694594.5945945922</v>
      </c>
      <c r="O217">
        <v>16863783.783783782</v>
      </c>
      <c r="P217">
        <v>15160729.729729729</v>
      </c>
      <c r="Q217">
        <v>4302612.6126126098</v>
      </c>
      <c r="R217">
        <v>5638288.288288286</v>
      </c>
      <c r="S217">
        <v>3629</v>
      </c>
      <c r="T217">
        <v>3526</v>
      </c>
    </row>
    <row r="218" spans="1:20" x14ac:dyDescent="0.35">
      <c r="A218" s="7" t="s">
        <v>316</v>
      </c>
      <c r="B218" s="12" t="s">
        <v>62</v>
      </c>
      <c r="C218">
        <v>164515253.98636749</v>
      </c>
      <c r="D218">
        <v>169070705.77459389</v>
      </c>
      <c r="E218">
        <v>881531.53153153497</v>
      </c>
      <c r="F218">
        <v>3287387.387387393</v>
      </c>
      <c r="G218">
        <v>55</v>
      </c>
      <c r="H218">
        <v>34</v>
      </c>
      <c r="K218">
        <v>68</v>
      </c>
      <c r="L218">
        <v>123</v>
      </c>
      <c r="M218">
        <v>9867207.2072072048</v>
      </c>
      <c r="N218">
        <v>28994054.054054055</v>
      </c>
      <c r="O218">
        <v>57961117.117117122</v>
      </c>
      <c r="P218">
        <v>58074873.873873875</v>
      </c>
      <c r="Q218">
        <v>11135945.945945941</v>
      </c>
      <c r="R218">
        <v>27801801.801801801</v>
      </c>
      <c r="S218">
        <v>8843</v>
      </c>
      <c r="T218">
        <v>8839</v>
      </c>
    </row>
    <row r="219" spans="1:20" x14ac:dyDescent="0.35">
      <c r="A219" s="7" t="s">
        <v>317</v>
      </c>
      <c r="B219" s="12" t="s">
        <v>62</v>
      </c>
      <c r="C219">
        <v>165913022.59640554</v>
      </c>
      <c r="D219">
        <v>155223155.22393224</v>
      </c>
      <c r="E219">
        <v>96396.396396398995</v>
      </c>
      <c r="F219">
        <v>1142342.3423423441</v>
      </c>
      <c r="G219">
        <v>52</v>
      </c>
      <c r="H219">
        <v>20</v>
      </c>
      <c r="K219">
        <v>57</v>
      </c>
      <c r="L219">
        <v>28</v>
      </c>
      <c r="M219">
        <v>11847927.927927928</v>
      </c>
      <c r="N219">
        <v>21410630.630630627</v>
      </c>
      <c r="O219">
        <v>54523288.288288288</v>
      </c>
      <c r="P219">
        <v>53571198.198198199</v>
      </c>
      <c r="Q219">
        <v>14707747.747747747</v>
      </c>
      <c r="R219">
        <v>19505045.045045044</v>
      </c>
      <c r="S219">
        <v>5564</v>
      </c>
      <c r="T219">
        <v>5254</v>
      </c>
    </row>
    <row r="220" spans="1:20" x14ac:dyDescent="0.35">
      <c r="A220" s="7" t="s">
        <v>318</v>
      </c>
      <c r="B220" s="12" t="s">
        <v>78</v>
      </c>
      <c r="C220">
        <v>169176671.96257019</v>
      </c>
      <c r="D220">
        <v>160585589.9726285</v>
      </c>
      <c r="E220">
        <v>2836576.5765765798</v>
      </c>
      <c r="F220">
        <v>3070270.270270274</v>
      </c>
      <c r="G220">
        <v>36</v>
      </c>
      <c r="H220">
        <v>39</v>
      </c>
      <c r="K220">
        <v>44</v>
      </c>
      <c r="L220">
        <v>79</v>
      </c>
      <c r="M220">
        <v>32791531.531531528</v>
      </c>
      <c r="N220">
        <v>39282882.882882878</v>
      </c>
      <c r="O220">
        <v>69804144.144144148</v>
      </c>
      <c r="P220">
        <v>69450067.567567572</v>
      </c>
      <c r="Q220">
        <v>35258918.918918923</v>
      </c>
      <c r="R220">
        <v>39800270.270270273</v>
      </c>
      <c r="S220">
        <v>8797</v>
      </c>
      <c r="T220">
        <v>9162</v>
      </c>
    </row>
    <row r="221" spans="1:20" x14ac:dyDescent="0.35">
      <c r="A221" s="7" t="s">
        <v>319</v>
      </c>
      <c r="B221" s="12" t="s">
        <v>78</v>
      </c>
      <c r="C221">
        <v>100924368.4974965</v>
      </c>
      <c r="D221">
        <v>95040778.007886782</v>
      </c>
      <c r="E221">
        <v>1458738.7387387389</v>
      </c>
      <c r="F221">
        <v>1561261.2612612629</v>
      </c>
      <c r="G221">
        <v>17</v>
      </c>
      <c r="H221">
        <v>32</v>
      </c>
      <c r="I221">
        <v>1</v>
      </c>
      <c r="K221">
        <v>22</v>
      </c>
      <c r="L221">
        <v>66</v>
      </c>
      <c r="M221">
        <v>11256036.036036031</v>
      </c>
      <c r="N221">
        <v>8318018.0180180166</v>
      </c>
      <c r="O221">
        <v>35416099.0990991</v>
      </c>
      <c r="P221">
        <v>35292684.684684686</v>
      </c>
      <c r="Q221">
        <v>10621171.17117117</v>
      </c>
      <c r="R221">
        <v>7142072.0720720757</v>
      </c>
      <c r="S221">
        <v>5811</v>
      </c>
      <c r="T221">
        <v>6376</v>
      </c>
    </row>
    <row r="222" spans="1:20" x14ac:dyDescent="0.35">
      <c r="A222" s="7" t="s">
        <v>320</v>
      </c>
      <c r="B222" s="12" t="s">
        <v>121</v>
      </c>
      <c r="C222">
        <v>767535.11293052195</v>
      </c>
      <c r="D222">
        <v>701598.68202042498</v>
      </c>
      <c r="G222">
        <v>1</v>
      </c>
      <c r="K222">
        <v>3</v>
      </c>
      <c r="O222">
        <v>213063.06306306299</v>
      </c>
      <c r="P222">
        <v>35225.225225224996</v>
      </c>
      <c r="S222">
        <v>71</v>
      </c>
      <c r="T222">
        <v>57</v>
      </c>
    </row>
    <row r="223" spans="1:20" x14ac:dyDescent="0.35">
      <c r="A223" s="7" t="s">
        <v>321</v>
      </c>
      <c r="B223" s="12" t="s">
        <v>224</v>
      </c>
      <c r="C223">
        <v>127812086.96662274</v>
      </c>
      <c r="D223">
        <v>110635872.52221632</v>
      </c>
      <c r="F223">
        <v>18018.018018018</v>
      </c>
      <c r="G223">
        <v>36</v>
      </c>
      <c r="H223">
        <v>23</v>
      </c>
      <c r="K223">
        <v>38</v>
      </c>
      <c r="L223">
        <v>33</v>
      </c>
      <c r="M223">
        <v>3419819.819819822</v>
      </c>
      <c r="N223">
        <v>3089009.0090090078</v>
      </c>
      <c r="O223">
        <v>46074234.234234229</v>
      </c>
      <c r="P223">
        <v>45520205.40540541</v>
      </c>
      <c r="Q223">
        <v>3489639.6396396412</v>
      </c>
      <c r="R223">
        <v>3133513.513513512</v>
      </c>
      <c r="S223">
        <v>3975</v>
      </c>
      <c r="T223">
        <v>3828</v>
      </c>
    </row>
    <row r="224" spans="1:20" x14ac:dyDescent="0.35">
      <c r="A224" s="7" t="s">
        <v>322</v>
      </c>
      <c r="B224" s="12" t="s">
        <v>224</v>
      </c>
      <c r="C224">
        <v>91350200.756480142</v>
      </c>
      <c r="D224">
        <v>76625101.689168423</v>
      </c>
      <c r="E224">
        <v>297297.29729729798</v>
      </c>
      <c r="F224">
        <v>17117.117117117999</v>
      </c>
      <c r="G224">
        <v>10</v>
      </c>
      <c r="H224">
        <v>4</v>
      </c>
      <c r="K224">
        <v>10</v>
      </c>
      <c r="L224">
        <v>5</v>
      </c>
      <c r="M224">
        <v>7645405.405405404</v>
      </c>
      <c r="N224">
        <v>9657837.8378378358</v>
      </c>
      <c r="O224">
        <v>25799054.054054055</v>
      </c>
      <c r="P224">
        <v>22725270.270270273</v>
      </c>
      <c r="Q224">
        <v>6924414.4144144161</v>
      </c>
      <c r="R224">
        <v>5612882.8828828819</v>
      </c>
      <c r="S224">
        <v>2230</v>
      </c>
      <c r="T224">
        <v>2197</v>
      </c>
    </row>
    <row r="225" spans="1:20" x14ac:dyDescent="0.35">
      <c r="A225" s="7" t="s">
        <v>323</v>
      </c>
      <c r="B225" s="12" t="s">
        <v>78</v>
      </c>
      <c r="C225">
        <v>122519378.78944473</v>
      </c>
      <c r="D225">
        <v>121403202.73567818</v>
      </c>
      <c r="E225">
        <v>754504.50450450496</v>
      </c>
      <c r="F225">
        <v>657657.65765765903</v>
      </c>
      <c r="G225">
        <v>38</v>
      </c>
      <c r="H225">
        <v>72</v>
      </c>
      <c r="K225">
        <v>41</v>
      </c>
      <c r="L225">
        <v>119</v>
      </c>
      <c r="M225">
        <v>16849099.0990991</v>
      </c>
      <c r="N225">
        <v>15207207.20720721</v>
      </c>
      <c r="O225">
        <v>34607770.270270273</v>
      </c>
      <c r="P225">
        <v>36991936.936936937</v>
      </c>
      <c r="Q225">
        <v>13507297.297297295</v>
      </c>
      <c r="R225">
        <v>13884144.144144142</v>
      </c>
      <c r="S225">
        <v>4626</v>
      </c>
      <c r="T225">
        <v>4567</v>
      </c>
    </row>
    <row r="226" spans="1:20" x14ac:dyDescent="0.35">
      <c r="A226" s="7" t="s">
        <v>324</v>
      </c>
      <c r="B226" s="12" t="s">
        <v>108</v>
      </c>
      <c r="C226">
        <v>579586970.12899125</v>
      </c>
      <c r="D226">
        <v>564552765.41593289</v>
      </c>
      <c r="E226">
        <v>621026682.88288295</v>
      </c>
      <c r="F226">
        <v>6757943.2432432519</v>
      </c>
      <c r="G226">
        <v>128</v>
      </c>
      <c r="H226">
        <v>170</v>
      </c>
      <c r="K226">
        <v>180</v>
      </c>
      <c r="L226">
        <v>285</v>
      </c>
      <c r="M226">
        <v>44976666.666666664</v>
      </c>
      <c r="N226">
        <v>46696396.396396399</v>
      </c>
      <c r="O226">
        <v>138705833.33333331</v>
      </c>
      <c r="P226">
        <v>147147135.13513514</v>
      </c>
      <c r="Q226">
        <v>48621081.08108107</v>
      </c>
      <c r="R226">
        <v>52216666.666666672</v>
      </c>
      <c r="S226">
        <v>22179</v>
      </c>
      <c r="T226">
        <v>22670</v>
      </c>
    </row>
    <row r="227" spans="1:20" x14ac:dyDescent="0.35">
      <c r="A227" s="7" t="s">
        <v>325</v>
      </c>
      <c r="B227" s="12" t="s">
        <v>224</v>
      </c>
      <c r="C227">
        <v>136051400.6565257</v>
      </c>
      <c r="D227">
        <v>114223578.09913997</v>
      </c>
      <c r="E227">
        <v>537477.47747747705</v>
      </c>
      <c r="F227">
        <v>311711.71171171201</v>
      </c>
      <c r="G227">
        <v>41</v>
      </c>
      <c r="H227">
        <v>13</v>
      </c>
      <c r="K227">
        <v>44</v>
      </c>
      <c r="L227">
        <v>14</v>
      </c>
      <c r="M227">
        <v>11319459.459459459</v>
      </c>
      <c r="N227">
        <v>12116756.756756756</v>
      </c>
      <c r="O227">
        <v>24631954.954954956</v>
      </c>
      <c r="P227">
        <v>23810477.477477476</v>
      </c>
      <c r="Q227">
        <v>10069819.819819819</v>
      </c>
      <c r="R227">
        <v>10183603.603603603</v>
      </c>
      <c r="S227">
        <v>4218</v>
      </c>
      <c r="T227">
        <v>4335</v>
      </c>
    </row>
    <row r="228" spans="1:20" x14ac:dyDescent="0.35">
      <c r="A228" s="7" t="s">
        <v>4</v>
      </c>
      <c r="B228" s="12" t="s">
        <v>158</v>
      </c>
      <c r="C228">
        <v>98598809.284328848</v>
      </c>
      <c r="D228">
        <v>97933240.791251123</v>
      </c>
      <c r="E228">
        <v>499421834.23423421</v>
      </c>
      <c r="F228">
        <v>615126279.27927923</v>
      </c>
      <c r="G228">
        <v>11</v>
      </c>
      <c r="H228">
        <v>6</v>
      </c>
      <c r="K228">
        <v>11</v>
      </c>
      <c r="L228">
        <v>8</v>
      </c>
      <c r="M228">
        <v>37353968.468468472</v>
      </c>
      <c r="N228">
        <v>65645045.045045048</v>
      </c>
      <c r="O228">
        <v>36103378.378378376</v>
      </c>
      <c r="P228">
        <v>34188693.693693697</v>
      </c>
      <c r="Q228">
        <v>15154324.324324325</v>
      </c>
      <c r="R228">
        <v>24883783.783783782</v>
      </c>
      <c r="S228">
        <v>3604</v>
      </c>
      <c r="T228">
        <v>3570</v>
      </c>
    </row>
    <row r="229" spans="1:20" x14ac:dyDescent="0.35">
      <c r="A229" s="7" t="s">
        <v>34</v>
      </c>
      <c r="B229" s="12" t="s">
        <v>193</v>
      </c>
      <c r="E229">
        <v>16666666.666666668</v>
      </c>
      <c r="F229">
        <v>18108108.108108107</v>
      </c>
      <c r="M229">
        <v>523198.19819819799</v>
      </c>
      <c r="N229">
        <v>440540.540540541</v>
      </c>
    </row>
    <row r="230" spans="1:20" x14ac:dyDescent="0.35">
      <c r="A230" s="7" t="s">
        <v>326</v>
      </c>
      <c r="B230" s="12" t="s">
        <v>108</v>
      </c>
      <c r="C230">
        <v>460302012.98724473</v>
      </c>
      <c r="D230">
        <v>457577502.57419586</v>
      </c>
      <c r="E230">
        <v>3348828.8288288349</v>
      </c>
      <c r="F230">
        <v>4445270.2702702787</v>
      </c>
      <c r="G230">
        <v>114</v>
      </c>
      <c r="H230">
        <v>143</v>
      </c>
      <c r="K230">
        <v>145</v>
      </c>
      <c r="L230">
        <v>228</v>
      </c>
      <c r="M230">
        <v>52813243.24324324</v>
      </c>
      <c r="N230">
        <v>56590450.45045045</v>
      </c>
      <c r="O230">
        <v>131013963.96396397</v>
      </c>
      <c r="P230">
        <v>141329027.02702701</v>
      </c>
      <c r="Q230">
        <v>52555585.585585587</v>
      </c>
      <c r="R230">
        <v>55524414.414414413</v>
      </c>
      <c r="S230">
        <v>20168</v>
      </c>
      <c r="T230">
        <v>19814</v>
      </c>
    </row>
    <row r="231" spans="1:20" x14ac:dyDescent="0.35">
      <c r="A231" s="7" t="s">
        <v>327</v>
      </c>
      <c r="B231" s="12" t="s">
        <v>78</v>
      </c>
      <c r="C231">
        <v>48106109.600675628</v>
      </c>
      <c r="D231">
        <v>47267841.349847607</v>
      </c>
      <c r="E231">
        <v>149549.54954954999</v>
      </c>
      <c r="F231">
        <v>355855.85585585597</v>
      </c>
      <c r="G231">
        <v>24</v>
      </c>
      <c r="H231">
        <v>16</v>
      </c>
      <c r="K231">
        <v>24</v>
      </c>
      <c r="L231">
        <v>19</v>
      </c>
      <c r="M231">
        <v>2599999.9999999991</v>
      </c>
      <c r="N231">
        <v>3869369.369369369</v>
      </c>
      <c r="O231">
        <v>14732972.972972972</v>
      </c>
      <c r="P231">
        <v>15846846.846846847</v>
      </c>
      <c r="Q231">
        <v>3315945.945945947</v>
      </c>
      <c r="R231">
        <v>4145765.7657657638</v>
      </c>
      <c r="S231">
        <v>2017</v>
      </c>
      <c r="T231">
        <v>1943</v>
      </c>
    </row>
    <row r="232" spans="1:20" x14ac:dyDescent="0.35">
      <c r="A232" s="7" t="s">
        <v>328</v>
      </c>
      <c r="B232" s="12" t="s">
        <v>121</v>
      </c>
      <c r="C232">
        <v>131999495.68548603</v>
      </c>
      <c r="D232">
        <v>126171762.51029244</v>
      </c>
      <c r="E232">
        <v>139639.639639639</v>
      </c>
      <c r="F232">
        <v>606081.08108108002</v>
      </c>
      <c r="G232">
        <v>47</v>
      </c>
      <c r="H232">
        <v>44</v>
      </c>
      <c r="K232">
        <v>56</v>
      </c>
      <c r="L232">
        <v>48</v>
      </c>
      <c r="M232">
        <v>6230630.6306306301</v>
      </c>
      <c r="N232">
        <v>10639639.63963964</v>
      </c>
      <c r="O232">
        <v>18897666.666666668</v>
      </c>
      <c r="P232">
        <v>18734968.468468469</v>
      </c>
      <c r="Q232">
        <v>6161081.0810810821</v>
      </c>
      <c r="R232">
        <v>6428828.8288288265</v>
      </c>
      <c r="S232">
        <v>4088</v>
      </c>
      <c r="T232">
        <v>3902</v>
      </c>
    </row>
    <row r="233" spans="1:20" x14ac:dyDescent="0.35">
      <c r="A233" s="7" t="s">
        <v>329</v>
      </c>
      <c r="B233" s="12" t="s">
        <v>330</v>
      </c>
      <c r="C233">
        <v>312384374.43147159</v>
      </c>
      <c r="D233">
        <v>295667968.72991246</v>
      </c>
      <c r="E233">
        <v>1383333.3333333349</v>
      </c>
      <c r="F233">
        <v>4070495.4954954982</v>
      </c>
      <c r="G233">
        <v>115</v>
      </c>
      <c r="H233">
        <v>111</v>
      </c>
      <c r="I233">
        <v>7</v>
      </c>
      <c r="K233">
        <v>135</v>
      </c>
      <c r="L233">
        <v>138</v>
      </c>
      <c r="M233">
        <v>19820090.090090089</v>
      </c>
      <c r="N233">
        <v>52543243.24324324</v>
      </c>
      <c r="O233">
        <v>65975126.126126125</v>
      </c>
      <c r="P233">
        <v>63135993.243243247</v>
      </c>
      <c r="Q233">
        <v>20037387.387387384</v>
      </c>
      <c r="R233">
        <v>49192252.252252258</v>
      </c>
      <c r="S233">
        <v>14671</v>
      </c>
      <c r="T233">
        <v>13714</v>
      </c>
    </row>
    <row r="234" spans="1:20" x14ac:dyDescent="0.35">
      <c r="A234" s="7" t="s">
        <v>331</v>
      </c>
      <c r="B234" s="12" t="s">
        <v>290</v>
      </c>
      <c r="C234">
        <v>456788718.54863793</v>
      </c>
      <c r="D234">
        <v>445022066.06980193</v>
      </c>
      <c r="E234">
        <v>850450.45045045204</v>
      </c>
      <c r="F234">
        <v>2531081.0810810858</v>
      </c>
      <c r="G234">
        <v>138</v>
      </c>
      <c r="H234">
        <v>145</v>
      </c>
      <c r="I234">
        <v>6</v>
      </c>
      <c r="K234">
        <v>167</v>
      </c>
      <c r="L234">
        <v>176</v>
      </c>
      <c r="M234">
        <v>38454954.954954959</v>
      </c>
      <c r="N234">
        <v>43115315.315315314</v>
      </c>
      <c r="O234">
        <v>78799414.414414421</v>
      </c>
      <c r="P234">
        <v>79865493.693693697</v>
      </c>
      <c r="Q234">
        <v>38981574.774774782</v>
      </c>
      <c r="R234">
        <v>39842792.79279279</v>
      </c>
      <c r="S234">
        <v>16966</v>
      </c>
      <c r="T234">
        <v>17007</v>
      </c>
    </row>
    <row r="235" spans="1:20" x14ac:dyDescent="0.35">
      <c r="A235" s="7" t="s">
        <v>332</v>
      </c>
      <c r="B235" s="12" t="s">
        <v>290</v>
      </c>
      <c r="C235">
        <v>336000456.74071723</v>
      </c>
      <c r="D235">
        <v>337323172.52444506</v>
      </c>
      <c r="E235">
        <v>2512162.1621621652</v>
      </c>
      <c r="F235">
        <v>2651351.3513513538</v>
      </c>
      <c r="G235">
        <v>98</v>
      </c>
      <c r="H235">
        <v>69</v>
      </c>
      <c r="I235">
        <v>2</v>
      </c>
      <c r="K235">
        <v>115</v>
      </c>
      <c r="L235">
        <v>90</v>
      </c>
      <c r="M235">
        <v>33494144.144144144</v>
      </c>
      <c r="N235">
        <v>45377477.477477483</v>
      </c>
      <c r="O235">
        <v>83774270.270270273</v>
      </c>
      <c r="P235">
        <v>88430306.306306303</v>
      </c>
      <c r="Q235">
        <v>38867027.027027033</v>
      </c>
      <c r="R235">
        <v>45488558.558558553</v>
      </c>
      <c r="S235">
        <v>14775</v>
      </c>
      <c r="T235">
        <v>14864</v>
      </c>
    </row>
    <row r="236" spans="1:20" x14ac:dyDescent="0.35">
      <c r="A236" s="7" t="s">
        <v>333</v>
      </c>
      <c r="B236" s="12" t="s">
        <v>60</v>
      </c>
      <c r="C236">
        <v>46314805.162357658</v>
      </c>
      <c r="D236">
        <v>46440620.490661994</v>
      </c>
      <c r="E236">
        <v>342342.34234234301</v>
      </c>
      <c r="F236">
        <v>1035135.135135136</v>
      </c>
      <c r="G236">
        <v>18</v>
      </c>
      <c r="H236">
        <v>45</v>
      </c>
      <c r="K236">
        <v>22</v>
      </c>
      <c r="L236">
        <v>53</v>
      </c>
      <c r="M236">
        <v>11837837.837837839</v>
      </c>
      <c r="N236">
        <v>14671171.171171172</v>
      </c>
      <c r="O236">
        <v>15826171.171171172</v>
      </c>
      <c r="P236">
        <v>16205567.567567568</v>
      </c>
      <c r="Q236">
        <v>11661711.711711712</v>
      </c>
      <c r="R236">
        <v>13159909.909909908</v>
      </c>
      <c r="S236">
        <v>2038</v>
      </c>
      <c r="T236">
        <v>1913</v>
      </c>
    </row>
    <row r="237" spans="1:20" x14ac:dyDescent="0.35">
      <c r="A237" s="7" t="s">
        <v>334</v>
      </c>
      <c r="B237" s="12" t="s">
        <v>60</v>
      </c>
      <c r="C237">
        <v>6991573.7555790758</v>
      </c>
      <c r="D237">
        <v>8386010.1110553611</v>
      </c>
      <c r="E237">
        <v>36138738.738738738</v>
      </c>
      <c r="F237">
        <v>29502702.702702705</v>
      </c>
      <c r="G237">
        <v>1</v>
      </c>
      <c r="H237">
        <v>3</v>
      </c>
      <c r="K237">
        <v>1</v>
      </c>
      <c r="L237">
        <v>5</v>
      </c>
      <c r="M237">
        <v>2331531.5315315318</v>
      </c>
      <c r="N237">
        <v>831081.08108108095</v>
      </c>
      <c r="O237">
        <v>4032747.7477477482</v>
      </c>
      <c r="P237">
        <v>5015360.3603603607</v>
      </c>
      <c r="Q237">
        <v>302702.70270270202</v>
      </c>
      <c r="R237">
        <v>706306.30630630604</v>
      </c>
      <c r="S237">
        <v>814</v>
      </c>
      <c r="T237">
        <v>967</v>
      </c>
    </row>
    <row r="238" spans="1:20" x14ac:dyDescent="0.35">
      <c r="A238" s="7" t="s">
        <v>335</v>
      </c>
      <c r="B238" s="12" t="s">
        <v>121</v>
      </c>
      <c r="C238">
        <v>54262.700696262</v>
      </c>
      <c r="D238">
        <v>1134425.833306188</v>
      </c>
      <c r="O238">
        <v>34234.234234233998</v>
      </c>
      <c r="P238">
        <v>93243.243243243007</v>
      </c>
      <c r="T238">
        <v>148</v>
      </c>
    </row>
    <row r="239" spans="1:20" x14ac:dyDescent="0.35">
      <c r="A239" s="7" t="s">
        <v>336</v>
      </c>
      <c r="B239" s="12" t="s">
        <v>121</v>
      </c>
      <c r="C239">
        <v>1708845.4385305271</v>
      </c>
      <c r="D239">
        <v>1696505.1065813091</v>
      </c>
      <c r="G239">
        <v>2</v>
      </c>
      <c r="K239">
        <v>3</v>
      </c>
      <c r="O239">
        <v>427747.74774774798</v>
      </c>
      <c r="P239">
        <v>348738.73873873899</v>
      </c>
      <c r="S239">
        <v>102</v>
      </c>
      <c r="T239">
        <v>162</v>
      </c>
    </row>
    <row r="240" spans="1:20" x14ac:dyDescent="0.35">
      <c r="A240" s="7" t="s">
        <v>337</v>
      </c>
      <c r="B240" s="12" t="s">
        <v>121</v>
      </c>
      <c r="C240">
        <v>1425741.279215191</v>
      </c>
      <c r="D240">
        <v>1247241.084522353</v>
      </c>
      <c r="G240">
        <v>2</v>
      </c>
      <c r="K240">
        <v>2</v>
      </c>
      <c r="O240">
        <v>99774.774774774996</v>
      </c>
      <c r="P240">
        <v>14414.414414413999</v>
      </c>
      <c r="S240">
        <v>146</v>
      </c>
      <c r="T240">
        <v>131</v>
      </c>
    </row>
    <row r="241" spans="1:20" x14ac:dyDescent="0.35">
      <c r="A241" s="7" t="s">
        <v>338</v>
      </c>
      <c r="B241" s="12" t="s">
        <v>140</v>
      </c>
      <c r="C241">
        <v>517738339.27735597</v>
      </c>
      <c r="D241">
        <v>508693119.05910712</v>
      </c>
      <c r="E241">
        <v>348558.55855856399</v>
      </c>
      <c r="F241">
        <v>1879279.279279286</v>
      </c>
      <c r="G241">
        <v>138</v>
      </c>
      <c r="H241">
        <v>68</v>
      </c>
      <c r="K241">
        <v>156</v>
      </c>
      <c r="L241">
        <v>155</v>
      </c>
      <c r="M241">
        <v>54353972.072072074</v>
      </c>
      <c r="N241">
        <v>47480900.9009009</v>
      </c>
      <c r="O241">
        <v>99882241.441441447</v>
      </c>
      <c r="P241">
        <v>100363369.36936937</v>
      </c>
      <c r="Q241">
        <v>45708468.468468465</v>
      </c>
      <c r="R241">
        <v>42685225.225225225</v>
      </c>
      <c r="S241">
        <v>16250</v>
      </c>
      <c r="T241">
        <v>16167</v>
      </c>
    </row>
    <row r="242" spans="1:20" x14ac:dyDescent="0.35">
      <c r="A242" s="7" t="s">
        <v>339</v>
      </c>
      <c r="B242" s="12" t="s">
        <v>121</v>
      </c>
      <c r="C242">
        <v>82631973.212994829</v>
      </c>
      <c r="D242">
        <v>78687802.282671824</v>
      </c>
      <c r="E242">
        <v>3603.603603604</v>
      </c>
      <c r="G242">
        <v>47</v>
      </c>
      <c r="H242">
        <v>21</v>
      </c>
      <c r="K242">
        <v>51</v>
      </c>
      <c r="L242">
        <v>24</v>
      </c>
      <c r="M242">
        <v>3603.603603604</v>
      </c>
      <c r="O242">
        <v>5491882.8828828828</v>
      </c>
      <c r="P242">
        <v>5268828.8288288284</v>
      </c>
      <c r="S242">
        <v>2444</v>
      </c>
      <c r="T242">
        <v>2446</v>
      </c>
    </row>
    <row r="243" spans="1:20" x14ac:dyDescent="0.35">
      <c r="A243" s="7" t="s">
        <v>340</v>
      </c>
      <c r="B243" s="12" t="s">
        <v>140</v>
      </c>
      <c r="C243">
        <v>260540413.61252543</v>
      </c>
      <c r="D243">
        <v>272314398.1910587</v>
      </c>
      <c r="E243">
        <v>253603.603603603</v>
      </c>
      <c r="F243">
        <v>1213963.963963967</v>
      </c>
      <c r="G243">
        <v>30</v>
      </c>
      <c r="H243">
        <v>48</v>
      </c>
      <c r="I243">
        <v>5</v>
      </c>
      <c r="K243">
        <v>63</v>
      </c>
      <c r="L243">
        <v>59</v>
      </c>
      <c r="M243">
        <v>42460810.810810819</v>
      </c>
      <c r="N243">
        <v>50660900.900900893</v>
      </c>
      <c r="O243">
        <v>69847360.360360354</v>
      </c>
      <c r="P243">
        <v>80406439.639639631</v>
      </c>
      <c r="Q243">
        <v>42653693.693693697</v>
      </c>
      <c r="R243">
        <v>45039459.459459454</v>
      </c>
      <c r="S243">
        <v>8592</v>
      </c>
      <c r="T243">
        <v>8834</v>
      </c>
    </row>
    <row r="244" spans="1:20" x14ac:dyDescent="0.35">
      <c r="A244" s="7" t="s">
        <v>341</v>
      </c>
      <c r="B244" s="12" t="s">
        <v>134</v>
      </c>
      <c r="C244">
        <v>32780195.709228434</v>
      </c>
      <c r="D244">
        <v>29027748.205039211</v>
      </c>
      <c r="E244">
        <v>5405.4054054059998</v>
      </c>
      <c r="F244">
        <v>54054.054054054002</v>
      </c>
      <c r="G244">
        <v>13</v>
      </c>
      <c r="H244">
        <v>7</v>
      </c>
      <c r="K244">
        <v>15</v>
      </c>
      <c r="L244">
        <v>7</v>
      </c>
      <c r="M244">
        <v>1221621.6216216211</v>
      </c>
      <c r="N244">
        <v>1045045.045045046</v>
      </c>
      <c r="O244">
        <v>2736396.3963963971</v>
      </c>
      <c r="P244">
        <v>2678909.9099099101</v>
      </c>
      <c r="Q244">
        <v>950720.72072072094</v>
      </c>
      <c r="R244">
        <v>717117.11711711704</v>
      </c>
      <c r="S244">
        <v>1299</v>
      </c>
      <c r="T244">
        <v>1336</v>
      </c>
    </row>
    <row r="245" spans="1:20" x14ac:dyDescent="0.35">
      <c r="A245" s="7" t="s">
        <v>342</v>
      </c>
      <c r="B245" s="12" t="s">
        <v>121</v>
      </c>
      <c r="C245">
        <v>1573712.8401163791</v>
      </c>
      <c r="D245">
        <v>828351.76883526996</v>
      </c>
      <c r="G245">
        <v>2</v>
      </c>
      <c r="H245">
        <v>2</v>
      </c>
      <c r="K245">
        <v>5</v>
      </c>
      <c r="L245">
        <v>4</v>
      </c>
      <c r="O245">
        <v>709639.63963963999</v>
      </c>
      <c r="P245">
        <v>341216.21621621598</v>
      </c>
      <c r="S245">
        <v>408</v>
      </c>
      <c r="T245">
        <v>362</v>
      </c>
    </row>
    <row r="246" spans="1:20" x14ac:dyDescent="0.35">
      <c r="A246" s="7" t="s">
        <v>5</v>
      </c>
      <c r="B246" s="12" t="s">
        <v>158</v>
      </c>
      <c r="C246">
        <v>95687851.178230345</v>
      </c>
      <c r="D246">
        <v>104448780.247059</v>
      </c>
      <c r="E246">
        <v>1286936.936936937</v>
      </c>
      <c r="F246">
        <v>156756.75675675701</v>
      </c>
      <c r="G246">
        <v>9</v>
      </c>
      <c r="H246">
        <v>12</v>
      </c>
      <c r="K246">
        <v>10</v>
      </c>
      <c r="L246">
        <v>12</v>
      </c>
      <c r="M246">
        <v>6415945.9459459446</v>
      </c>
      <c r="N246">
        <v>8091891.8918918902</v>
      </c>
      <c r="O246">
        <v>42826216.216216214</v>
      </c>
      <c r="P246">
        <v>43144108.108108111</v>
      </c>
      <c r="Q246">
        <v>5231711.7117117122</v>
      </c>
      <c r="R246">
        <v>7683153.1531531541</v>
      </c>
      <c r="S246">
        <v>3124</v>
      </c>
      <c r="T246">
        <v>2709</v>
      </c>
    </row>
    <row r="247" spans="1:20" x14ac:dyDescent="0.35">
      <c r="A247" s="7" t="s">
        <v>343</v>
      </c>
      <c r="B247" s="12" t="s">
        <v>304</v>
      </c>
      <c r="C247">
        <v>11111321.5553149</v>
      </c>
      <c r="D247">
        <v>13682898.966228208</v>
      </c>
      <c r="E247">
        <v>900.900900901</v>
      </c>
      <c r="F247">
        <v>900900.90090090095</v>
      </c>
      <c r="G247">
        <v>13</v>
      </c>
      <c r="H247">
        <v>7</v>
      </c>
      <c r="K247">
        <v>15</v>
      </c>
      <c r="L247">
        <v>10</v>
      </c>
      <c r="M247">
        <v>900.900900901</v>
      </c>
      <c r="N247">
        <v>900900.90090090095</v>
      </c>
      <c r="O247">
        <v>2143963.963963964</v>
      </c>
      <c r="P247">
        <v>2240054.054054054</v>
      </c>
      <c r="Q247">
        <v>328108.10810810799</v>
      </c>
      <c r="R247">
        <v>218018.01801801799</v>
      </c>
      <c r="S247">
        <v>558</v>
      </c>
      <c r="T247">
        <v>493</v>
      </c>
    </row>
    <row r="248" spans="1:20" x14ac:dyDescent="0.35">
      <c r="A248" s="7" t="s">
        <v>344</v>
      </c>
      <c r="B248" s="12" t="s">
        <v>105</v>
      </c>
      <c r="C248">
        <v>211190224.85971701</v>
      </c>
      <c r="D248">
        <v>203453255.71400267</v>
      </c>
      <c r="E248">
        <v>174774.774774775</v>
      </c>
      <c r="F248">
        <v>1323873.873873875</v>
      </c>
      <c r="G248">
        <v>50</v>
      </c>
      <c r="H248">
        <v>34</v>
      </c>
      <c r="I248">
        <v>1</v>
      </c>
      <c r="K248">
        <v>56</v>
      </c>
      <c r="L248">
        <v>52</v>
      </c>
      <c r="M248">
        <v>26100180.180180181</v>
      </c>
      <c r="N248">
        <v>31176396.396396395</v>
      </c>
      <c r="O248">
        <v>52992333.333333336</v>
      </c>
      <c r="P248">
        <v>50162900.900900893</v>
      </c>
      <c r="Q248">
        <v>26227117.117117114</v>
      </c>
      <c r="R248">
        <v>27007927.927927922</v>
      </c>
      <c r="S248">
        <v>5890</v>
      </c>
      <c r="T248">
        <v>6232</v>
      </c>
    </row>
    <row r="249" spans="1:20" x14ac:dyDescent="0.35">
      <c r="A249" s="7" t="s">
        <v>345</v>
      </c>
      <c r="B249" s="12" t="s">
        <v>87</v>
      </c>
      <c r="C249">
        <v>62944708.998972327</v>
      </c>
      <c r="D249">
        <v>62464380.38863124</v>
      </c>
      <c r="E249">
        <v>30635192.792792797</v>
      </c>
      <c r="F249">
        <v>19377818.918918919</v>
      </c>
      <c r="G249">
        <v>35</v>
      </c>
      <c r="H249">
        <v>24</v>
      </c>
      <c r="I249">
        <v>1</v>
      </c>
      <c r="K249">
        <v>39</v>
      </c>
      <c r="L249">
        <v>30</v>
      </c>
      <c r="M249">
        <v>12991891.891891891</v>
      </c>
      <c r="N249">
        <v>16887387.387387387</v>
      </c>
      <c r="O249">
        <v>14310067.567567568</v>
      </c>
      <c r="P249">
        <v>16028083.783783784</v>
      </c>
      <c r="Q249">
        <v>9336756.7567567565</v>
      </c>
      <c r="R249">
        <v>12721394.594594592</v>
      </c>
      <c r="S249">
        <v>2225</v>
      </c>
      <c r="T249">
        <v>2297</v>
      </c>
    </row>
    <row r="250" spans="1:20" x14ac:dyDescent="0.35">
      <c r="A250" s="7" t="s">
        <v>346</v>
      </c>
      <c r="B250" s="12" t="s">
        <v>87</v>
      </c>
      <c r="C250">
        <v>193307233.96028543</v>
      </c>
      <c r="D250">
        <v>174536347.69712418</v>
      </c>
      <c r="E250">
        <v>258558.55855856001</v>
      </c>
      <c r="F250">
        <v>2488288.2882882901</v>
      </c>
      <c r="G250">
        <v>121</v>
      </c>
      <c r="H250">
        <v>119</v>
      </c>
      <c r="I250">
        <v>1</v>
      </c>
      <c r="K250">
        <v>150</v>
      </c>
      <c r="L250">
        <v>142</v>
      </c>
      <c r="M250">
        <v>16352252.252252253</v>
      </c>
      <c r="N250">
        <v>19960360.360360362</v>
      </c>
      <c r="O250">
        <v>29485391.891891889</v>
      </c>
      <c r="P250">
        <v>30286792.792792793</v>
      </c>
      <c r="Q250">
        <v>13292702.702702705</v>
      </c>
      <c r="R250">
        <v>14817297.297297299</v>
      </c>
      <c r="S250">
        <v>7134</v>
      </c>
      <c r="T250">
        <v>6216</v>
      </c>
    </row>
    <row r="251" spans="1:20" x14ac:dyDescent="0.35">
      <c r="A251" s="7" t="s">
        <v>347</v>
      </c>
      <c r="B251" s="12" t="s">
        <v>87</v>
      </c>
      <c r="C251">
        <v>4773502.8612915482</v>
      </c>
      <c r="D251">
        <v>5471398.9394462248</v>
      </c>
      <c r="G251">
        <v>2</v>
      </c>
      <c r="H251">
        <v>12</v>
      </c>
      <c r="K251">
        <v>6</v>
      </c>
      <c r="L251">
        <v>15</v>
      </c>
      <c r="O251">
        <v>2524504.5045045051</v>
      </c>
      <c r="P251">
        <v>2132558.558558559</v>
      </c>
      <c r="S251">
        <v>733</v>
      </c>
      <c r="T251">
        <v>808</v>
      </c>
    </row>
    <row r="252" spans="1:20" x14ac:dyDescent="0.35">
      <c r="A252" s="7" t="s">
        <v>348</v>
      </c>
      <c r="B252" s="12" t="s">
        <v>87</v>
      </c>
      <c r="C252">
        <v>1779906.151533209</v>
      </c>
      <c r="D252">
        <v>2563034.9381078822</v>
      </c>
      <c r="H252">
        <v>1</v>
      </c>
      <c r="L252">
        <v>1</v>
      </c>
      <c r="O252">
        <v>298108.10810810799</v>
      </c>
      <c r="P252">
        <v>1092477.4774774781</v>
      </c>
      <c r="S252">
        <v>160</v>
      </c>
      <c r="T252">
        <v>201</v>
      </c>
    </row>
    <row r="253" spans="1:20" x14ac:dyDescent="0.35">
      <c r="A253" s="7" t="s">
        <v>349</v>
      </c>
      <c r="B253" s="12" t="s">
        <v>87</v>
      </c>
      <c r="C253">
        <v>2074276.7265314821</v>
      </c>
      <c r="D253">
        <v>2110923.2687531449</v>
      </c>
      <c r="G253">
        <v>1</v>
      </c>
      <c r="H253">
        <v>5</v>
      </c>
      <c r="K253">
        <v>2</v>
      </c>
      <c r="L253">
        <v>7</v>
      </c>
      <c r="O253">
        <v>847162.16216216201</v>
      </c>
      <c r="P253">
        <v>1219108.1081081079</v>
      </c>
      <c r="S253">
        <v>621</v>
      </c>
      <c r="T253">
        <v>604</v>
      </c>
    </row>
    <row r="254" spans="1:20" x14ac:dyDescent="0.35">
      <c r="A254" s="7" t="s">
        <v>350</v>
      </c>
      <c r="B254" s="12" t="s">
        <v>87</v>
      </c>
      <c r="C254">
        <v>51213977.212240145</v>
      </c>
      <c r="D254">
        <v>56004110.177135907</v>
      </c>
      <c r="E254">
        <v>4504.5045045050001</v>
      </c>
      <c r="F254">
        <v>101801.801801803</v>
      </c>
      <c r="G254">
        <v>26</v>
      </c>
      <c r="H254">
        <v>18</v>
      </c>
      <c r="K254">
        <v>30</v>
      </c>
      <c r="L254">
        <v>22</v>
      </c>
      <c r="M254">
        <v>4699099.0990990996</v>
      </c>
      <c r="N254">
        <v>4556756.7567567592</v>
      </c>
      <c r="O254">
        <v>10052612.612612613</v>
      </c>
      <c r="P254">
        <v>10745045.045045044</v>
      </c>
      <c r="Q254">
        <v>4007207.207207208</v>
      </c>
      <c r="R254">
        <v>3931531.5315315309</v>
      </c>
      <c r="S254">
        <v>1778</v>
      </c>
      <c r="T254">
        <v>2086</v>
      </c>
    </row>
    <row r="255" spans="1:20" x14ac:dyDescent="0.35">
      <c r="A255" s="7" t="s">
        <v>351</v>
      </c>
      <c r="B255" s="12" t="s">
        <v>50</v>
      </c>
      <c r="C255">
        <v>141756418.93122819</v>
      </c>
      <c r="D255">
        <v>151143774.53492945</v>
      </c>
      <c r="E255">
        <v>240540.54054054199</v>
      </c>
      <c r="F255">
        <v>2194594.5945945978</v>
      </c>
      <c r="G255">
        <v>18</v>
      </c>
      <c r="H255">
        <v>50</v>
      </c>
      <c r="K255">
        <v>19</v>
      </c>
      <c r="L255">
        <v>55</v>
      </c>
      <c r="M255">
        <v>21095945.945945945</v>
      </c>
      <c r="N255">
        <v>19403423.423423424</v>
      </c>
      <c r="O255">
        <v>55015630.630630635</v>
      </c>
      <c r="P255">
        <v>58358004.504504502</v>
      </c>
      <c r="Q255">
        <v>20356396.396396399</v>
      </c>
      <c r="R255">
        <v>17384234.234234236</v>
      </c>
      <c r="S255">
        <v>5730</v>
      </c>
      <c r="T255">
        <v>5676</v>
      </c>
    </row>
    <row r="256" spans="1:20" x14ac:dyDescent="0.35">
      <c r="A256" s="7" t="s">
        <v>352</v>
      </c>
      <c r="B256" s="12" t="s">
        <v>123</v>
      </c>
      <c r="C256">
        <v>933832.98631014</v>
      </c>
      <c r="D256">
        <v>905798.83107166097</v>
      </c>
      <c r="H256">
        <v>1</v>
      </c>
      <c r="K256">
        <v>1</v>
      </c>
      <c r="L256">
        <v>1</v>
      </c>
      <c r="O256">
        <v>371891.89189189201</v>
      </c>
      <c r="P256">
        <v>363648.64864864899</v>
      </c>
      <c r="S256">
        <v>127</v>
      </c>
      <c r="T256">
        <v>112</v>
      </c>
    </row>
    <row r="257" spans="1:20" x14ac:dyDescent="0.35">
      <c r="A257" s="7" t="s">
        <v>353</v>
      </c>
      <c r="B257" s="12" t="s">
        <v>354</v>
      </c>
      <c r="C257">
        <v>277947304.1824739</v>
      </c>
      <c r="D257">
        <v>258839970.26630387</v>
      </c>
      <c r="E257">
        <v>122637047.74774775</v>
      </c>
      <c r="F257">
        <v>222515794.5945946</v>
      </c>
      <c r="G257">
        <v>101</v>
      </c>
      <c r="H257">
        <v>176</v>
      </c>
      <c r="K257">
        <v>182</v>
      </c>
      <c r="L257">
        <v>467</v>
      </c>
      <c r="M257">
        <v>130230270.27027027</v>
      </c>
      <c r="N257">
        <v>199276666.66666666</v>
      </c>
      <c r="O257">
        <v>158983736.93693691</v>
      </c>
      <c r="P257">
        <v>153583594.5945946</v>
      </c>
      <c r="Q257">
        <v>110933243.24324325</v>
      </c>
      <c r="R257">
        <v>220796036.03603604</v>
      </c>
      <c r="S257">
        <v>9972</v>
      </c>
      <c r="T257">
        <v>9765</v>
      </c>
    </row>
    <row r="258" spans="1:20" x14ac:dyDescent="0.35">
      <c r="A258" s="7" t="s">
        <v>355</v>
      </c>
      <c r="B258" s="12" t="s">
        <v>48</v>
      </c>
      <c r="C258">
        <v>183529907.7424432</v>
      </c>
      <c r="D258">
        <v>175379311.76144016</v>
      </c>
      <c r="E258">
        <v>208108.10810810901</v>
      </c>
      <c r="F258">
        <v>468468.46846846899</v>
      </c>
      <c r="G258">
        <v>37</v>
      </c>
      <c r="H258">
        <v>15</v>
      </c>
      <c r="K258">
        <v>43</v>
      </c>
      <c r="L258">
        <v>17</v>
      </c>
      <c r="M258">
        <v>1740720.7207207179</v>
      </c>
      <c r="N258">
        <v>486486.48648648697</v>
      </c>
      <c r="O258">
        <v>12507954.954954954</v>
      </c>
      <c r="P258">
        <v>13010684.684684685</v>
      </c>
      <c r="Q258">
        <v>855135.135135132</v>
      </c>
      <c r="R258">
        <v>377027.02702702698</v>
      </c>
      <c r="S258">
        <v>5856</v>
      </c>
      <c r="T258">
        <v>5812</v>
      </c>
    </row>
    <row r="259" spans="1:20" x14ac:dyDescent="0.35">
      <c r="A259" s="7" t="s">
        <v>356</v>
      </c>
      <c r="B259" s="12" t="s">
        <v>123</v>
      </c>
      <c r="C259">
        <v>205621014.35725236</v>
      </c>
      <c r="D259">
        <v>188153286.9258948</v>
      </c>
      <c r="E259">
        <v>63963.963963964998</v>
      </c>
      <c r="F259">
        <v>75675.675675677005</v>
      </c>
      <c r="G259">
        <v>44</v>
      </c>
      <c r="H259">
        <v>37</v>
      </c>
      <c r="K259">
        <v>45</v>
      </c>
      <c r="L259">
        <v>41</v>
      </c>
      <c r="M259">
        <v>5602342.3423423432</v>
      </c>
      <c r="N259">
        <v>10001711.711711712</v>
      </c>
      <c r="O259">
        <v>45516115.315315314</v>
      </c>
      <c r="P259">
        <v>42760153.153153151</v>
      </c>
      <c r="Q259">
        <v>6629369.3693693699</v>
      </c>
      <c r="R259">
        <v>9330000</v>
      </c>
      <c r="S259">
        <v>5828</v>
      </c>
      <c r="T259">
        <v>5599</v>
      </c>
    </row>
    <row r="260" spans="1:20" x14ac:dyDescent="0.35">
      <c r="A260" s="7" t="s">
        <v>357</v>
      </c>
      <c r="B260" s="12" t="s">
        <v>62</v>
      </c>
      <c r="C260">
        <v>113064559.70265704</v>
      </c>
      <c r="D260">
        <v>109638149.5935694</v>
      </c>
      <c r="E260">
        <v>677477.477477476</v>
      </c>
      <c r="F260">
        <v>1336936.9369369389</v>
      </c>
      <c r="G260">
        <v>18</v>
      </c>
      <c r="H260">
        <v>10</v>
      </c>
      <c r="K260">
        <v>19</v>
      </c>
      <c r="L260">
        <v>14</v>
      </c>
      <c r="M260">
        <v>11170810.81081081</v>
      </c>
      <c r="N260">
        <v>17990810.810810808</v>
      </c>
      <c r="O260">
        <v>30229729.729729727</v>
      </c>
      <c r="P260">
        <v>29634171.17117117</v>
      </c>
      <c r="Q260">
        <v>11500180.180180185</v>
      </c>
      <c r="R260">
        <v>17989639.639639638</v>
      </c>
      <c r="S260">
        <v>4003</v>
      </c>
      <c r="T260">
        <v>3738</v>
      </c>
    </row>
    <row r="261" spans="1:20" x14ac:dyDescent="0.35">
      <c r="A261" s="7" t="s">
        <v>358</v>
      </c>
      <c r="B261" s="12" t="s">
        <v>315</v>
      </c>
      <c r="C261">
        <v>4691808.9646293698</v>
      </c>
      <c r="D261">
        <v>2899746.4895722419</v>
      </c>
      <c r="G261">
        <v>10</v>
      </c>
      <c r="H261">
        <v>3</v>
      </c>
      <c r="K261">
        <v>10</v>
      </c>
      <c r="L261">
        <v>3</v>
      </c>
      <c r="O261">
        <v>2457477.4774774769</v>
      </c>
      <c r="P261">
        <v>1101936.936936937</v>
      </c>
      <c r="S261">
        <v>381</v>
      </c>
      <c r="T261">
        <v>562</v>
      </c>
    </row>
    <row r="262" spans="1:20" x14ac:dyDescent="0.35">
      <c r="A262" s="7" t="s">
        <v>359</v>
      </c>
      <c r="B262" s="12" t="s">
        <v>315</v>
      </c>
      <c r="C262">
        <v>131123112.87378994</v>
      </c>
      <c r="D262">
        <v>104558855.18609184</v>
      </c>
      <c r="E262">
        <v>8636936.9369369373</v>
      </c>
      <c r="F262">
        <v>49415315.315315314</v>
      </c>
      <c r="G262">
        <v>34</v>
      </c>
      <c r="H262">
        <v>28</v>
      </c>
      <c r="K262">
        <v>37</v>
      </c>
      <c r="L262">
        <v>34</v>
      </c>
      <c r="M262">
        <v>19191441.441441443</v>
      </c>
      <c r="N262">
        <v>15856756.756756756</v>
      </c>
      <c r="O262">
        <v>47539684.684684686</v>
      </c>
      <c r="P262">
        <v>39354720.720720723</v>
      </c>
      <c r="Q262">
        <v>28371351.351351351</v>
      </c>
      <c r="R262">
        <v>16576936.936936935</v>
      </c>
      <c r="S262">
        <v>3300</v>
      </c>
      <c r="T262">
        <v>3079</v>
      </c>
    </row>
    <row r="263" spans="1:20" x14ac:dyDescent="0.35">
      <c r="A263" s="7" t="s">
        <v>360</v>
      </c>
      <c r="B263" s="12" t="s">
        <v>92</v>
      </c>
      <c r="C263">
        <v>203847588.62110421</v>
      </c>
      <c r="D263">
        <v>199690355.62374002</v>
      </c>
      <c r="E263">
        <v>1439009.009009009</v>
      </c>
      <c r="F263">
        <v>4920720.7207207195</v>
      </c>
      <c r="G263">
        <v>46</v>
      </c>
      <c r="H263">
        <v>129</v>
      </c>
      <c r="K263">
        <v>57</v>
      </c>
      <c r="L263">
        <v>191</v>
      </c>
      <c r="M263">
        <v>22520450.450450446</v>
      </c>
      <c r="N263">
        <v>43044144.144144148</v>
      </c>
      <c r="O263">
        <v>57876477.477477483</v>
      </c>
      <c r="P263">
        <v>61596953.153153151</v>
      </c>
      <c r="Q263">
        <v>24895315.315315321</v>
      </c>
      <c r="R263">
        <v>39162475.675675683</v>
      </c>
      <c r="S263">
        <v>6235</v>
      </c>
      <c r="T263">
        <v>6770</v>
      </c>
    </row>
    <row r="264" spans="1:20" x14ac:dyDescent="0.35">
      <c r="A264" s="7" t="s">
        <v>361</v>
      </c>
      <c r="B264" s="12" t="s">
        <v>58</v>
      </c>
      <c r="C264">
        <v>416366269.07519245</v>
      </c>
      <c r="D264">
        <v>391641182.21701175</v>
      </c>
      <c r="E264">
        <v>2175675.6756756771</v>
      </c>
      <c r="F264">
        <v>14705405.405405408</v>
      </c>
      <c r="G264">
        <v>55</v>
      </c>
      <c r="H264">
        <v>68</v>
      </c>
      <c r="K264">
        <v>62</v>
      </c>
      <c r="L264">
        <v>83</v>
      </c>
      <c r="M264">
        <v>24801801.801801801</v>
      </c>
      <c r="N264">
        <v>20269369.369369373</v>
      </c>
      <c r="O264">
        <v>62069549.54954955</v>
      </c>
      <c r="P264">
        <v>61831545.045045041</v>
      </c>
      <c r="Q264">
        <v>17348288.288288288</v>
      </c>
      <c r="R264">
        <v>14245045.045045044</v>
      </c>
      <c r="S264">
        <v>13137</v>
      </c>
      <c r="T264">
        <v>12889</v>
      </c>
    </row>
    <row r="265" spans="1:20" x14ac:dyDescent="0.35">
      <c r="A265" s="7" t="s">
        <v>362</v>
      </c>
      <c r="B265" s="12" t="s">
        <v>48</v>
      </c>
      <c r="C265">
        <v>146067757.00771126</v>
      </c>
      <c r="D265">
        <v>139800761.80573875</v>
      </c>
      <c r="E265">
        <v>75380975.675675675</v>
      </c>
      <c r="F265">
        <v>109652521.62162161</v>
      </c>
      <c r="G265">
        <v>3</v>
      </c>
      <c r="H265">
        <v>5</v>
      </c>
      <c r="K265">
        <v>4</v>
      </c>
      <c r="L265">
        <v>6</v>
      </c>
      <c r="M265">
        <v>6048468.4684684677</v>
      </c>
      <c r="N265">
        <v>31611891.891891897</v>
      </c>
      <c r="O265">
        <v>24310225.225225225</v>
      </c>
      <c r="P265">
        <v>23145819.819819819</v>
      </c>
      <c r="Q265">
        <v>7560990.9909909926</v>
      </c>
      <c r="R265">
        <v>17057387.387387387</v>
      </c>
      <c r="S265">
        <v>3832</v>
      </c>
      <c r="T265">
        <v>3801</v>
      </c>
    </row>
    <row r="266" spans="1:20" x14ac:dyDescent="0.35">
      <c r="A266" s="7" t="s">
        <v>363</v>
      </c>
      <c r="B266" s="12" t="s">
        <v>52</v>
      </c>
      <c r="C266">
        <v>57612665.023303121</v>
      </c>
      <c r="D266">
        <v>58644534.090135582</v>
      </c>
      <c r="E266">
        <v>197387.38738738801</v>
      </c>
      <c r="F266">
        <v>128828.82882882901</v>
      </c>
      <c r="G266">
        <v>6</v>
      </c>
      <c r="H266">
        <v>16</v>
      </c>
      <c r="K266">
        <v>8</v>
      </c>
      <c r="L266">
        <v>20</v>
      </c>
      <c r="M266">
        <v>1873063.063063062</v>
      </c>
      <c r="N266">
        <v>804504.50450450496</v>
      </c>
      <c r="O266">
        <v>27130225.225225225</v>
      </c>
      <c r="P266">
        <v>28208828.828828827</v>
      </c>
      <c r="Q266">
        <v>1303153.153153152</v>
      </c>
      <c r="R266">
        <v>1087657.6576576571</v>
      </c>
      <c r="S266">
        <v>2359</v>
      </c>
      <c r="T266">
        <v>2584</v>
      </c>
    </row>
    <row r="267" spans="1:20" x14ac:dyDescent="0.35">
      <c r="A267" s="7" t="s">
        <v>364</v>
      </c>
      <c r="B267" s="12" t="s">
        <v>52</v>
      </c>
      <c r="C267">
        <v>46697242.56281276</v>
      </c>
      <c r="D267">
        <v>45264481.554965474</v>
      </c>
      <c r="E267">
        <v>1200450.4504504511</v>
      </c>
      <c r="F267">
        <v>1883783.7837837851</v>
      </c>
      <c r="G267">
        <v>9</v>
      </c>
      <c r="H267">
        <v>29</v>
      </c>
      <c r="K267">
        <v>14</v>
      </c>
      <c r="L267">
        <v>124</v>
      </c>
      <c r="M267">
        <v>5403153.1531531513</v>
      </c>
      <c r="N267">
        <v>4577477.4774774769</v>
      </c>
      <c r="O267">
        <v>25565432.432432432</v>
      </c>
      <c r="P267">
        <v>25328864.864864863</v>
      </c>
      <c r="Q267">
        <v>5418468.4684684677</v>
      </c>
      <c r="R267">
        <v>9300900.9009009041</v>
      </c>
      <c r="S267">
        <v>2357</v>
      </c>
      <c r="T267">
        <v>2397</v>
      </c>
    </row>
    <row r="268" spans="1:20" x14ac:dyDescent="0.35">
      <c r="A268" s="7" t="s">
        <v>365</v>
      </c>
      <c r="B268" s="12" t="s">
        <v>52</v>
      </c>
      <c r="C268">
        <v>493390844.33671153</v>
      </c>
      <c r="D268">
        <v>524472679.52424705</v>
      </c>
      <c r="E268">
        <v>91065225.225225225</v>
      </c>
      <c r="F268">
        <v>161502017.11711711</v>
      </c>
      <c r="G268">
        <v>114</v>
      </c>
      <c r="H268">
        <v>181</v>
      </c>
      <c r="K268">
        <v>144</v>
      </c>
      <c r="L268">
        <v>337</v>
      </c>
      <c r="M268">
        <v>23267297.297297295</v>
      </c>
      <c r="N268">
        <v>25281081.081081089</v>
      </c>
      <c r="O268">
        <v>173072680.18018019</v>
      </c>
      <c r="P268">
        <v>189976359.45945945</v>
      </c>
      <c r="Q268">
        <v>25554234.234234232</v>
      </c>
      <c r="R268">
        <v>46886126.126126125</v>
      </c>
      <c r="S268">
        <v>21313</v>
      </c>
      <c r="T268">
        <v>20742</v>
      </c>
    </row>
    <row r="269" spans="1:20" x14ac:dyDescent="0.35">
      <c r="A269" s="7" t="s">
        <v>366</v>
      </c>
      <c r="B269" s="12" t="s">
        <v>293</v>
      </c>
      <c r="C269">
        <v>320945919.142928</v>
      </c>
      <c r="D269">
        <v>289295333.68673927</v>
      </c>
      <c r="E269">
        <v>5738738.7387387436</v>
      </c>
      <c r="F269">
        <v>60522702.702702701</v>
      </c>
      <c r="G269">
        <v>65</v>
      </c>
      <c r="H269">
        <v>80</v>
      </c>
      <c r="I269">
        <v>2</v>
      </c>
      <c r="K269">
        <v>82</v>
      </c>
      <c r="L269">
        <v>161</v>
      </c>
      <c r="M269">
        <v>33939819.819819815</v>
      </c>
      <c r="N269">
        <v>24039279.27927928</v>
      </c>
      <c r="O269">
        <v>100417117.11711712</v>
      </c>
      <c r="P269">
        <v>93123301.801801801</v>
      </c>
      <c r="Q269">
        <v>26569459.459459458</v>
      </c>
      <c r="R269">
        <v>28536396.396396387</v>
      </c>
      <c r="S269">
        <v>11409</v>
      </c>
      <c r="T269">
        <v>10643</v>
      </c>
    </row>
    <row r="270" spans="1:20" x14ac:dyDescent="0.35">
      <c r="A270" s="7" t="s">
        <v>367</v>
      </c>
      <c r="B270" s="12" t="s">
        <v>368</v>
      </c>
      <c r="C270">
        <v>135974365.13714305</v>
      </c>
      <c r="D270">
        <v>122087435.62801984</v>
      </c>
      <c r="E270">
        <v>31310954.054054052</v>
      </c>
      <c r="F270">
        <v>31644606.306306314</v>
      </c>
      <c r="G270">
        <v>22</v>
      </c>
      <c r="H270">
        <v>25</v>
      </c>
      <c r="K270">
        <v>23</v>
      </c>
      <c r="L270">
        <v>29</v>
      </c>
      <c r="M270">
        <v>20809189.189189184</v>
      </c>
      <c r="N270">
        <v>30296036.036036033</v>
      </c>
      <c r="O270">
        <v>54887025.225225225</v>
      </c>
      <c r="P270">
        <v>50282936.936936937</v>
      </c>
      <c r="Q270">
        <v>18437927.927927922</v>
      </c>
      <c r="R270">
        <v>33756306.30630631</v>
      </c>
      <c r="S270">
        <v>4026</v>
      </c>
      <c r="T270">
        <v>3820</v>
      </c>
    </row>
    <row r="271" spans="1:20" x14ac:dyDescent="0.35">
      <c r="A271" s="7" t="s">
        <v>369</v>
      </c>
      <c r="B271" s="12" t="s">
        <v>70</v>
      </c>
      <c r="C271">
        <v>35810013.381890669</v>
      </c>
      <c r="D271">
        <v>36113938.833566897</v>
      </c>
      <c r="E271">
        <v>28904763.063063063</v>
      </c>
      <c r="F271">
        <v>32845149.549549554</v>
      </c>
      <c r="G271">
        <v>8</v>
      </c>
      <c r="H271">
        <v>25</v>
      </c>
      <c r="K271">
        <v>9</v>
      </c>
      <c r="L271">
        <v>34</v>
      </c>
      <c r="M271">
        <v>45577743.243243247</v>
      </c>
      <c r="N271">
        <v>44231541.441441439</v>
      </c>
      <c r="O271">
        <v>11870495.495495496</v>
      </c>
      <c r="P271">
        <v>12214837.837837838</v>
      </c>
      <c r="Q271">
        <v>6320990.9909909908</v>
      </c>
      <c r="R271">
        <v>6808378.3783783782</v>
      </c>
      <c r="S271">
        <v>1153</v>
      </c>
      <c r="T271">
        <v>1187</v>
      </c>
    </row>
    <row r="272" spans="1:20" x14ac:dyDescent="0.35">
      <c r="A272" s="7" t="s">
        <v>370</v>
      </c>
      <c r="B272" s="12" t="s">
        <v>50</v>
      </c>
      <c r="C272">
        <v>77185578.264632449</v>
      </c>
      <c r="D272">
        <v>76238149.182175547</v>
      </c>
      <c r="E272">
        <v>481081.08108108101</v>
      </c>
      <c r="F272">
        <v>877477.47747747798</v>
      </c>
      <c r="G272">
        <v>10</v>
      </c>
      <c r="H272">
        <v>18</v>
      </c>
      <c r="K272">
        <v>11</v>
      </c>
      <c r="L272">
        <v>21</v>
      </c>
      <c r="M272">
        <v>7078108.1081081079</v>
      </c>
      <c r="N272">
        <v>6954144.144144143</v>
      </c>
      <c r="O272">
        <v>35198234.234234236</v>
      </c>
      <c r="P272">
        <v>33428666.666666668</v>
      </c>
      <c r="Q272">
        <v>7142342.3423423432</v>
      </c>
      <c r="R272">
        <v>5409369.369369369</v>
      </c>
      <c r="S272">
        <v>3546</v>
      </c>
      <c r="T272">
        <v>2798</v>
      </c>
    </row>
    <row r="273" spans="1:20" x14ac:dyDescent="0.35">
      <c r="A273" s="7" t="s">
        <v>371</v>
      </c>
      <c r="B273" s="12" t="s">
        <v>121</v>
      </c>
      <c r="C273">
        <v>79053279.241240025</v>
      </c>
      <c r="D273">
        <v>77661162.292269453</v>
      </c>
      <c r="E273">
        <v>121621.62162162201</v>
      </c>
      <c r="F273">
        <v>602702.702702704</v>
      </c>
      <c r="G273">
        <v>28</v>
      </c>
      <c r="H273">
        <v>33</v>
      </c>
      <c r="K273">
        <v>32</v>
      </c>
      <c r="L273">
        <v>42</v>
      </c>
      <c r="M273">
        <v>346846.84684684698</v>
      </c>
      <c r="N273">
        <v>4364864.8648648653</v>
      </c>
      <c r="O273">
        <v>7170990.9909909908</v>
      </c>
      <c r="P273">
        <v>8182900.9009009013</v>
      </c>
      <c r="Q273">
        <v>718558.55855855905</v>
      </c>
      <c r="R273">
        <v>1903333.333333334</v>
      </c>
      <c r="S273">
        <v>2850</v>
      </c>
      <c r="T273">
        <v>2766</v>
      </c>
    </row>
    <row r="274" spans="1:20" x14ac:dyDescent="0.35">
      <c r="A274" s="7" t="s">
        <v>372</v>
      </c>
      <c r="B274" s="12" t="s">
        <v>373</v>
      </c>
      <c r="C274">
        <v>206997685.18672913</v>
      </c>
      <c r="D274">
        <v>171653421.74054381</v>
      </c>
      <c r="E274">
        <v>21263663.063063063</v>
      </c>
      <c r="F274">
        <v>30150927.02702703</v>
      </c>
      <c r="G274">
        <v>320</v>
      </c>
      <c r="H274">
        <v>29</v>
      </c>
      <c r="I274">
        <v>1</v>
      </c>
      <c r="K274">
        <v>342</v>
      </c>
      <c r="L274">
        <v>34</v>
      </c>
      <c r="M274">
        <v>27164144.144144148</v>
      </c>
      <c r="N274">
        <v>33368468.468468469</v>
      </c>
      <c r="O274">
        <v>81986245.945945948</v>
      </c>
      <c r="P274">
        <v>63347603.603603601</v>
      </c>
      <c r="Q274">
        <v>33897070.270270273</v>
      </c>
      <c r="R274">
        <v>25470720.72072072</v>
      </c>
      <c r="S274">
        <v>10111</v>
      </c>
      <c r="T274">
        <v>9750</v>
      </c>
    </row>
    <row r="275" spans="1:20" x14ac:dyDescent="0.35">
      <c r="A275" s="7" t="s">
        <v>374</v>
      </c>
      <c r="B275" s="12" t="s">
        <v>66</v>
      </c>
      <c r="C275">
        <v>125906722.21557802</v>
      </c>
      <c r="D275">
        <v>125514309.36852844</v>
      </c>
      <c r="E275">
        <v>68468.468468470004</v>
      </c>
      <c r="F275">
        <v>4343243.2432432482</v>
      </c>
      <c r="G275">
        <v>45</v>
      </c>
      <c r="H275">
        <v>38</v>
      </c>
      <c r="K275">
        <v>58</v>
      </c>
      <c r="L275">
        <v>46</v>
      </c>
      <c r="M275">
        <v>17500630.630630631</v>
      </c>
      <c r="N275">
        <v>160861261.26126125</v>
      </c>
      <c r="O275">
        <v>45855450.45045045</v>
      </c>
      <c r="P275">
        <v>45433765.765765771</v>
      </c>
      <c r="Q275">
        <v>15762792.792792793</v>
      </c>
      <c r="R275">
        <v>58841621.621621624</v>
      </c>
      <c r="S275">
        <v>7053</v>
      </c>
      <c r="T275">
        <v>7212</v>
      </c>
    </row>
    <row r="276" spans="1:20" x14ac:dyDescent="0.35">
      <c r="A276" s="7" t="s">
        <v>375</v>
      </c>
      <c r="B276" s="12" t="s">
        <v>354</v>
      </c>
      <c r="C276">
        <v>193970228.05857933</v>
      </c>
      <c r="D276">
        <v>190809711.5685333</v>
      </c>
      <c r="E276">
        <v>22000450.45045045</v>
      </c>
      <c r="F276">
        <v>20294594.594594598</v>
      </c>
      <c r="G276">
        <v>301</v>
      </c>
      <c r="H276">
        <v>291</v>
      </c>
      <c r="K276">
        <v>311</v>
      </c>
      <c r="L276">
        <v>298</v>
      </c>
      <c r="M276">
        <v>40658243.24324324</v>
      </c>
      <c r="N276">
        <v>44214324.324324325</v>
      </c>
      <c r="O276">
        <v>115582198.1981982</v>
      </c>
      <c r="P276">
        <v>116013810.81081082</v>
      </c>
      <c r="Q276">
        <v>35129099.0990991</v>
      </c>
      <c r="R276">
        <v>38545945.945945941</v>
      </c>
      <c r="S276">
        <v>7186</v>
      </c>
      <c r="T276">
        <v>6777</v>
      </c>
    </row>
    <row r="277" spans="1:20" x14ac:dyDescent="0.35">
      <c r="A277" s="7" t="s">
        <v>376</v>
      </c>
      <c r="B277" s="12" t="s">
        <v>66</v>
      </c>
      <c r="C277">
        <v>68662322.748583913</v>
      </c>
      <c r="D277">
        <v>73016581.00443688</v>
      </c>
      <c r="E277">
        <v>36936.936936938</v>
      </c>
      <c r="F277">
        <v>572972.97297297395</v>
      </c>
      <c r="G277">
        <v>18</v>
      </c>
      <c r="H277">
        <v>29</v>
      </c>
      <c r="K277">
        <v>22</v>
      </c>
      <c r="L277">
        <v>37</v>
      </c>
      <c r="M277">
        <v>3627837.8378378348</v>
      </c>
      <c r="N277">
        <v>4344144.1441441458</v>
      </c>
      <c r="O277">
        <v>29905556.756756756</v>
      </c>
      <c r="P277">
        <v>34572427.927927926</v>
      </c>
      <c r="Q277">
        <v>6850540.5405405359</v>
      </c>
      <c r="R277">
        <v>6412072.0720720738</v>
      </c>
      <c r="S277">
        <v>4889</v>
      </c>
      <c r="T277">
        <v>5389</v>
      </c>
    </row>
    <row r="278" spans="1:20" x14ac:dyDescent="0.35">
      <c r="A278" s="7" t="s">
        <v>377</v>
      </c>
      <c r="B278" s="12" t="s">
        <v>260</v>
      </c>
      <c r="C278">
        <v>66640739.926553912</v>
      </c>
      <c r="D278">
        <v>62960345.06914027</v>
      </c>
      <c r="E278">
        <v>180180.18018018</v>
      </c>
      <c r="F278">
        <v>13513.513513514001</v>
      </c>
      <c r="G278">
        <v>2</v>
      </c>
      <c r="H278">
        <v>4</v>
      </c>
      <c r="K278">
        <v>2</v>
      </c>
      <c r="L278">
        <v>4</v>
      </c>
      <c r="M278">
        <v>630630.630630631</v>
      </c>
      <c r="N278">
        <v>3752252.2522522518</v>
      </c>
      <c r="O278">
        <v>10299684.684684685</v>
      </c>
      <c r="P278">
        <v>10410162.162162164</v>
      </c>
      <c r="Q278">
        <v>4637567.5675675683</v>
      </c>
      <c r="R278">
        <v>570720.72072072094</v>
      </c>
      <c r="S278">
        <v>1678</v>
      </c>
      <c r="T278">
        <v>1652</v>
      </c>
    </row>
    <row r="279" spans="1:20" x14ac:dyDescent="0.35">
      <c r="A279" s="7" t="s">
        <v>378</v>
      </c>
      <c r="B279" s="12" t="s">
        <v>354</v>
      </c>
      <c r="C279">
        <v>164987422.39904976</v>
      </c>
      <c r="D279">
        <v>159897806.92282143</v>
      </c>
      <c r="E279">
        <v>1185135.1351351361</v>
      </c>
      <c r="F279">
        <v>2273873.8738738759</v>
      </c>
      <c r="G279">
        <v>31</v>
      </c>
      <c r="H279">
        <v>34</v>
      </c>
      <c r="K279">
        <v>35</v>
      </c>
      <c r="L279">
        <v>40</v>
      </c>
      <c r="M279">
        <v>36897297.297297299</v>
      </c>
      <c r="N279">
        <v>30226036.036036037</v>
      </c>
      <c r="O279">
        <v>84556666.666666672</v>
      </c>
      <c r="P279">
        <v>88131142.342342332</v>
      </c>
      <c r="Q279">
        <v>36158648.648648649</v>
      </c>
      <c r="R279">
        <v>30188558.558558561</v>
      </c>
      <c r="S279">
        <v>4845</v>
      </c>
      <c r="T279">
        <v>4699</v>
      </c>
    </row>
    <row r="280" spans="1:20" x14ac:dyDescent="0.35">
      <c r="A280" s="7" t="s">
        <v>379</v>
      </c>
      <c r="B280" s="12" t="s">
        <v>87</v>
      </c>
      <c r="C280">
        <v>3452802.0532167731</v>
      </c>
      <c r="D280">
        <v>4599258.0722976364</v>
      </c>
      <c r="H280">
        <v>1</v>
      </c>
      <c r="L280">
        <v>2</v>
      </c>
      <c r="O280">
        <v>144819.81981982</v>
      </c>
      <c r="P280">
        <v>251036.03603603601</v>
      </c>
      <c r="S280">
        <v>141</v>
      </c>
      <c r="T280">
        <v>198</v>
      </c>
    </row>
    <row r="281" spans="1:20" x14ac:dyDescent="0.35">
      <c r="A281" s="7" t="s">
        <v>380</v>
      </c>
      <c r="B281" s="12" t="s">
        <v>87</v>
      </c>
      <c r="C281">
        <v>13206517.464139866</v>
      </c>
      <c r="D281">
        <v>6071261.2819279088</v>
      </c>
      <c r="E281">
        <v>10810.810810810999</v>
      </c>
      <c r="G281">
        <v>155</v>
      </c>
      <c r="H281">
        <v>12</v>
      </c>
      <c r="K281">
        <v>158</v>
      </c>
      <c r="L281">
        <v>17</v>
      </c>
      <c r="M281">
        <v>78378.378378377995</v>
      </c>
      <c r="O281">
        <v>3139639.6396396402</v>
      </c>
      <c r="P281">
        <v>810774.77477477503</v>
      </c>
      <c r="Q281">
        <v>67567.567567567996</v>
      </c>
      <c r="S281">
        <v>523</v>
      </c>
      <c r="T281">
        <v>348</v>
      </c>
    </row>
    <row r="282" spans="1:20" x14ac:dyDescent="0.35">
      <c r="A282" s="7" t="s">
        <v>381</v>
      </c>
      <c r="B282" s="12" t="s">
        <v>80</v>
      </c>
      <c r="C282">
        <v>1109794332.4695783</v>
      </c>
      <c r="D282">
        <v>1091307232.8832672</v>
      </c>
      <c r="E282">
        <v>986133638.73873866</v>
      </c>
      <c r="F282">
        <v>592960109.90990984</v>
      </c>
      <c r="G282">
        <v>289</v>
      </c>
      <c r="H282">
        <v>324</v>
      </c>
      <c r="I282">
        <v>1</v>
      </c>
      <c r="K282">
        <v>351</v>
      </c>
      <c r="L282">
        <v>467</v>
      </c>
      <c r="M282">
        <v>131410360.36036034</v>
      </c>
      <c r="N282">
        <v>122849549.54954953</v>
      </c>
      <c r="O282">
        <v>264635455.85585585</v>
      </c>
      <c r="P282">
        <v>280413615.31531531</v>
      </c>
      <c r="Q282">
        <v>109596486.48648648</v>
      </c>
      <c r="R282">
        <v>104770450.45045045</v>
      </c>
      <c r="S282">
        <v>36957</v>
      </c>
      <c r="T282">
        <v>37341</v>
      </c>
    </row>
    <row r="283" spans="1:20" x14ac:dyDescent="0.35">
      <c r="A283" s="7" t="s">
        <v>382</v>
      </c>
      <c r="B283" s="12" t="s">
        <v>80</v>
      </c>
      <c r="C283">
        <v>296530593.08819377</v>
      </c>
      <c r="D283">
        <v>298797752.02049619</v>
      </c>
      <c r="E283">
        <v>2220720.72072072</v>
      </c>
      <c r="F283">
        <v>2998423.4234234281</v>
      </c>
      <c r="G283">
        <v>65</v>
      </c>
      <c r="H283">
        <v>71</v>
      </c>
      <c r="I283">
        <v>1</v>
      </c>
      <c r="K283">
        <v>77</v>
      </c>
      <c r="L283">
        <v>157</v>
      </c>
      <c r="M283">
        <v>58390540.540540539</v>
      </c>
      <c r="N283">
        <v>56386486.486486487</v>
      </c>
      <c r="O283">
        <v>120489077.47747748</v>
      </c>
      <c r="P283">
        <v>118713944.5945946</v>
      </c>
      <c r="Q283">
        <v>52886126.126126125</v>
      </c>
      <c r="R283">
        <v>47742248.648648649</v>
      </c>
      <c r="S283">
        <v>9872</v>
      </c>
      <c r="T283">
        <v>10619</v>
      </c>
    </row>
    <row r="284" spans="1:20" x14ac:dyDescent="0.35">
      <c r="A284" s="7" t="s">
        <v>383</v>
      </c>
      <c r="B284" s="12" t="s">
        <v>80</v>
      </c>
      <c r="C284">
        <v>414214252.72755444</v>
      </c>
      <c r="D284">
        <v>378118248.98216367</v>
      </c>
      <c r="E284">
        <v>52252.252252252998</v>
      </c>
      <c r="F284">
        <v>373943.24324324401</v>
      </c>
      <c r="G284">
        <v>77</v>
      </c>
      <c r="H284">
        <v>51</v>
      </c>
      <c r="K284">
        <v>87</v>
      </c>
      <c r="L284">
        <v>58</v>
      </c>
      <c r="M284">
        <v>19844864.864864863</v>
      </c>
      <c r="N284">
        <v>17511310.810810812</v>
      </c>
      <c r="O284">
        <v>75017295.495495483</v>
      </c>
      <c r="P284">
        <v>75745612.612612605</v>
      </c>
      <c r="Q284">
        <v>16529459.459459459</v>
      </c>
      <c r="R284">
        <v>19543693.693693694</v>
      </c>
      <c r="S284">
        <v>9666</v>
      </c>
      <c r="T284">
        <v>9074</v>
      </c>
    </row>
    <row r="285" spans="1:20" x14ac:dyDescent="0.35">
      <c r="A285" s="7" t="s">
        <v>384</v>
      </c>
      <c r="B285" s="12" t="s">
        <v>68</v>
      </c>
      <c r="C285">
        <v>170352332.94047862</v>
      </c>
      <c r="D285">
        <v>166679915.59244597</v>
      </c>
      <c r="E285">
        <v>60558079.279279277</v>
      </c>
      <c r="F285">
        <v>83504954.954954967</v>
      </c>
      <c r="G285">
        <v>42</v>
      </c>
      <c r="H285">
        <v>38</v>
      </c>
      <c r="K285">
        <v>46</v>
      </c>
      <c r="L285">
        <v>43</v>
      </c>
      <c r="M285">
        <v>9463333.3333333321</v>
      </c>
      <c r="N285">
        <v>8254054.0540540544</v>
      </c>
      <c r="O285">
        <v>21661288.288288288</v>
      </c>
      <c r="P285">
        <v>23629927.927927926</v>
      </c>
      <c r="Q285">
        <v>7294954.9549549539</v>
      </c>
      <c r="R285">
        <v>5812972.9729729723</v>
      </c>
      <c r="S285">
        <v>5065</v>
      </c>
      <c r="T285">
        <v>4955</v>
      </c>
    </row>
    <row r="286" spans="1:20" x14ac:dyDescent="0.35">
      <c r="A286" s="7" t="s">
        <v>385</v>
      </c>
      <c r="B286" s="12" t="s">
        <v>167</v>
      </c>
      <c r="C286">
        <v>58341892.19999703</v>
      </c>
      <c r="D286">
        <v>61242579.635144241</v>
      </c>
      <c r="E286">
        <v>18918.918918921001</v>
      </c>
      <c r="F286">
        <v>401801.80180180201</v>
      </c>
      <c r="G286">
        <v>24</v>
      </c>
      <c r="H286">
        <v>22</v>
      </c>
      <c r="K286">
        <v>29</v>
      </c>
      <c r="L286">
        <v>26</v>
      </c>
      <c r="M286">
        <v>4530630.6306306319</v>
      </c>
      <c r="N286">
        <v>16353153.153153153</v>
      </c>
      <c r="O286">
        <v>24482745.945945945</v>
      </c>
      <c r="P286">
        <v>25459027.02702703</v>
      </c>
      <c r="Q286">
        <v>6993513.5135135138</v>
      </c>
      <c r="R286">
        <v>11001351.351351351</v>
      </c>
      <c r="S286">
        <v>2421</v>
      </c>
      <c r="T286">
        <v>2421</v>
      </c>
    </row>
    <row r="287" spans="1:20" x14ac:dyDescent="0.35">
      <c r="A287" s="7" t="s">
        <v>386</v>
      </c>
      <c r="B287" s="12" t="s">
        <v>94</v>
      </c>
      <c r="C287">
        <v>322837726.37749189</v>
      </c>
      <c r="D287">
        <v>340798103.09929109</v>
      </c>
      <c r="E287">
        <v>1253153.1531531529</v>
      </c>
      <c r="F287">
        <v>612612.61261261394</v>
      </c>
      <c r="G287">
        <v>67</v>
      </c>
      <c r="H287">
        <v>72</v>
      </c>
      <c r="I287">
        <v>1</v>
      </c>
      <c r="K287">
        <v>74</v>
      </c>
      <c r="L287">
        <v>83</v>
      </c>
      <c r="M287">
        <v>12228828.828828828</v>
      </c>
      <c r="N287">
        <v>15864864.864864865</v>
      </c>
      <c r="O287">
        <v>36650176.576576576</v>
      </c>
      <c r="P287">
        <v>42168855.855855852</v>
      </c>
      <c r="Q287">
        <v>9041441.4414414428</v>
      </c>
      <c r="R287">
        <v>12100090.09009009</v>
      </c>
      <c r="S287">
        <v>8379</v>
      </c>
      <c r="T287">
        <v>9088</v>
      </c>
    </row>
    <row r="288" spans="1:20" x14ac:dyDescent="0.35">
      <c r="A288" s="7" t="s">
        <v>387</v>
      </c>
      <c r="B288" s="12" t="s">
        <v>214</v>
      </c>
      <c r="C288">
        <v>52529921.918828942</v>
      </c>
      <c r="D288">
        <v>55643332.773686521</v>
      </c>
      <c r="E288">
        <v>17117.117117116999</v>
      </c>
      <c r="F288">
        <v>632432.43243243301</v>
      </c>
      <c r="G288">
        <v>16</v>
      </c>
      <c r="H288">
        <v>24</v>
      </c>
      <c r="K288">
        <v>18</v>
      </c>
      <c r="L288">
        <v>26</v>
      </c>
      <c r="M288">
        <v>107207.207207207</v>
      </c>
      <c r="N288">
        <v>2434234.2342342339</v>
      </c>
      <c r="O288">
        <v>24731351.351351351</v>
      </c>
      <c r="P288">
        <v>26092837.837837841</v>
      </c>
      <c r="R288">
        <v>1555405.405405405</v>
      </c>
      <c r="S288">
        <v>2304</v>
      </c>
      <c r="T288">
        <v>2319</v>
      </c>
    </row>
    <row r="289" spans="1:20" x14ac:dyDescent="0.35">
      <c r="A289" s="7" t="s">
        <v>388</v>
      </c>
      <c r="B289" s="12" t="s">
        <v>117</v>
      </c>
      <c r="C289">
        <v>25130793.097072888</v>
      </c>
      <c r="D289">
        <v>23773650.402349267</v>
      </c>
      <c r="E289">
        <v>29729.729729729999</v>
      </c>
      <c r="F289">
        <v>447747.74774775002</v>
      </c>
      <c r="G289">
        <v>12</v>
      </c>
      <c r="H289">
        <v>9</v>
      </c>
      <c r="K289">
        <v>16</v>
      </c>
      <c r="L289">
        <v>17</v>
      </c>
      <c r="M289">
        <v>1654954.954954952</v>
      </c>
      <c r="N289">
        <v>8781196.3963963967</v>
      </c>
      <c r="O289">
        <v>11216711.711711712</v>
      </c>
      <c r="P289">
        <v>10160549.549549548</v>
      </c>
      <c r="Q289">
        <v>1374774.774774771</v>
      </c>
      <c r="R289">
        <v>6295495.4954954963</v>
      </c>
      <c r="S289">
        <v>1956</v>
      </c>
      <c r="T289">
        <v>1796</v>
      </c>
    </row>
    <row r="290" spans="1:20" x14ac:dyDescent="0.35">
      <c r="A290" s="7" t="s">
        <v>669</v>
      </c>
      <c r="B290" s="12" t="s">
        <v>117</v>
      </c>
      <c r="E290">
        <v>16328828.828828828</v>
      </c>
      <c r="F290">
        <v>4617117.1171171172</v>
      </c>
      <c r="M290">
        <v>3567792.7927927929</v>
      </c>
      <c r="N290">
        <v>1416216.2162162161</v>
      </c>
    </row>
    <row r="291" spans="1:20" x14ac:dyDescent="0.35">
      <c r="A291" s="7" t="s">
        <v>389</v>
      </c>
      <c r="B291" s="12" t="s">
        <v>315</v>
      </c>
      <c r="C291">
        <v>110045255.45455992</v>
      </c>
      <c r="D291">
        <v>102304321.6253444</v>
      </c>
      <c r="E291">
        <v>2890540.5405405411</v>
      </c>
      <c r="F291">
        <v>381081.08108108101</v>
      </c>
      <c r="G291">
        <v>14</v>
      </c>
      <c r="H291">
        <v>10</v>
      </c>
      <c r="K291">
        <v>15</v>
      </c>
      <c r="L291">
        <v>10</v>
      </c>
      <c r="M291">
        <v>6854504.5045045046</v>
      </c>
      <c r="N291">
        <v>3804504.5045045051</v>
      </c>
      <c r="O291">
        <v>20989189.189189188</v>
      </c>
      <c r="P291">
        <v>21194711.711711712</v>
      </c>
      <c r="Q291">
        <v>4824414.4144144151</v>
      </c>
      <c r="R291">
        <v>4243603.6036036033</v>
      </c>
      <c r="S291">
        <v>2703</v>
      </c>
      <c r="T291">
        <v>2598</v>
      </c>
    </row>
    <row r="292" spans="1:20" x14ac:dyDescent="0.35">
      <c r="A292" s="7" t="s">
        <v>390</v>
      </c>
      <c r="B292" s="12" t="s">
        <v>224</v>
      </c>
      <c r="C292">
        <v>54087974.011975683</v>
      </c>
      <c r="D292">
        <v>43208725.337585181</v>
      </c>
      <c r="G292">
        <v>37</v>
      </c>
      <c r="H292">
        <v>6</v>
      </c>
      <c r="K292">
        <v>38</v>
      </c>
      <c r="L292">
        <v>6</v>
      </c>
      <c r="O292">
        <v>10566972.972972972</v>
      </c>
      <c r="P292">
        <v>7844009.0090090092</v>
      </c>
      <c r="S292">
        <v>1532</v>
      </c>
      <c r="T292">
        <v>1444</v>
      </c>
    </row>
    <row r="293" spans="1:20" x14ac:dyDescent="0.35">
      <c r="A293" s="7" t="s">
        <v>6</v>
      </c>
      <c r="B293" s="12" t="s">
        <v>193</v>
      </c>
      <c r="C293">
        <v>386035644.57403898</v>
      </c>
      <c r="D293">
        <v>361405266.55862594</v>
      </c>
      <c r="E293">
        <v>6196846.8468468413</v>
      </c>
      <c r="F293">
        <v>5558222.5225225314</v>
      </c>
      <c r="G293">
        <v>169</v>
      </c>
      <c r="H293">
        <v>130</v>
      </c>
      <c r="I293">
        <v>2</v>
      </c>
      <c r="K293">
        <v>508</v>
      </c>
      <c r="L293">
        <v>582</v>
      </c>
      <c r="M293">
        <v>169915765.76576576</v>
      </c>
      <c r="N293">
        <v>160513183.78378376</v>
      </c>
      <c r="O293">
        <v>254528423.42342341</v>
      </c>
      <c r="P293">
        <v>247654351.35135135</v>
      </c>
      <c r="Q293">
        <v>141584414.41441441</v>
      </c>
      <c r="R293">
        <v>141395945.94594595</v>
      </c>
      <c r="S293">
        <v>13236</v>
      </c>
      <c r="T293">
        <v>12909</v>
      </c>
    </row>
    <row r="294" spans="1:20" x14ac:dyDescent="0.35">
      <c r="A294" s="7" t="s">
        <v>391</v>
      </c>
      <c r="B294" s="12" t="s">
        <v>121</v>
      </c>
      <c r="C294">
        <v>12055102.133191947</v>
      </c>
      <c r="D294">
        <v>17559015.183115754</v>
      </c>
      <c r="E294">
        <v>9009.0090090089998</v>
      </c>
      <c r="G294">
        <v>7</v>
      </c>
      <c r="H294">
        <v>7</v>
      </c>
      <c r="K294">
        <v>8</v>
      </c>
      <c r="L294">
        <v>7</v>
      </c>
      <c r="M294">
        <v>9009.0090090089998</v>
      </c>
      <c r="O294">
        <v>790090.09009008994</v>
      </c>
      <c r="P294">
        <v>845495.49549549504</v>
      </c>
      <c r="S294">
        <v>526</v>
      </c>
      <c r="T294">
        <v>515</v>
      </c>
    </row>
    <row r="295" spans="1:20" x14ac:dyDescent="0.35">
      <c r="A295" s="7" t="s">
        <v>392</v>
      </c>
      <c r="B295" s="12" t="s">
        <v>134</v>
      </c>
      <c r="C295">
        <v>49037064.788989536</v>
      </c>
      <c r="D295">
        <v>50386331.985653281</v>
      </c>
      <c r="F295">
        <v>13513.513513514001</v>
      </c>
      <c r="G295">
        <v>10</v>
      </c>
      <c r="H295">
        <v>10</v>
      </c>
      <c r="K295">
        <v>11</v>
      </c>
      <c r="L295">
        <v>15</v>
      </c>
      <c r="M295">
        <v>5054054.0540540526</v>
      </c>
      <c r="N295">
        <v>3301801.8018018012</v>
      </c>
      <c r="O295">
        <v>9747565.7657657638</v>
      </c>
      <c r="P295">
        <v>10670196.396396397</v>
      </c>
      <c r="Q295">
        <v>2328378.3783783801</v>
      </c>
      <c r="R295">
        <v>744774.77477477596</v>
      </c>
      <c r="S295">
        <v>3514</v>
      </c>
      <c r="T295">
        <v>3494</v>
      </c>
    </row>
    <row r="296" spans="1:20" x14ac:dyDescent="0.35">
      <c r="A296" s="7" t="s">
        <v>393</v>
      </c>
      <c r="B296" s="12" t="s">
        <v>58</v>
      </c>
      <c r="C296">
        <v>255954790.16007304</v>
      </c>
      <c r="D296">
        <v>241479416.94436035</v>
      </c>
      <c r="E296">
        <v>7428378.3783783792</v>
      </c>
      <c r="F296">
        <v>7398873.8738738773</v>
      </c>
      <c r="G296">
        <v>95</v>
      </c>
      <c r="H296">
        <v>87</v>
      </c>
      <c r="K296">
        <v>121</v>
      </c>
      <c r="L296">
        <v>102</v>
      </c>
      <c r="M296">
        <v>32059009.009009007</v>
      </c>
      <c r="N296">
        <v>28609909.909909911</v>
      </c>
      <c r="O296">
        <v>37929297.297297299</v>
      </c>
      <c r="P296">
        <v>39546968.468468465</v>
      </c>
      <c r="Q296">
        <v>24170630.630630631</v>
      </c>
      <c r="R296">
        <v>22863513.513513517</v>
      </c>
      <c r="S296">
        <v>9117</v>
      </c>
      <c r="T296">
        <v>9082</v>
      </c>
    </row>
    <row r="297" spans="1:20" x14ac:dyDescent="0.35">
      <c r="A297" s="7" t="s">
        <v>394</v>
      </c>
      <c r="B297" s="12" t="s">
        <v>134</v>
      </c>
      <c r="C297">
        <v>89623574.792916805</v>
      </c>
      <c r="D297">
        <v>82491437.212005869</v>
      </c>
      <c r="E297">
        <v>17117.117117117999</v>
      </c>
      <c r="F297">
        <v>396396.39639639697</v>
      </c>
      <c r="G297">
        <v>21</v>
      </c>
      <c r="H297">
        <v>19</v>
      </c>
      <c r="K297">
        <v>24</v>
      </c>
      <c r="L297">
        <v>27</v>
      </c>
      <c r="M297">
        <v>7449549.549549548</v>
      </c>
      <c r="N297">
        <v>11585585.585585585</v>
      </c>
      <c r="O297">
        <v>15701052.252252253</v>
      </c>
      <c r="P297">
        <v>14747432.432432432</v>
      </c>
      <c r="Q297">
        <v>4471891.891891893</v>
      </c>
      <c r="R297">
        <v>7391261.261261262</v>
      </c>
      <c r="S297">
        <v>3798</v>
      </c>
      <c r="T297">
        <v>5420</v>
      </c>
    </row>
    <row r="298" spans="1:20" x14ac:dyDescent="0.35">
      <c r="A298" s="7" t="s">
        <v>395</v>
      </c>
      <c r="B298" s="12" t="s">
        <v>54</v>
      </c>
      <c r="C298">
        <v>37260969.163483582</v>
      </c>
      <c r="D298">
        <v>34660397.408807352</v>
      </c>
      <c r="E298">
        <v>273873.87387387402</v>
      </c>
      <c r="F298">
        <v>27927.927927928002</v>
      </c>
      <c r="G298">
        <v>6</v>
      </c>
      <c r="H298">
        <v>6</v>
      </c>
      <c r="K298">
        <v>6</v>
      </c>
      <c r="L298">
        <v>6</v>
      </c>
      <c r="M298">
        <v>2661261.2612612601</v>
      </c>
      <c r="N298">
        <v>2109009.0090090092</v>
      </c>
      <c r="O298">
        <v>6402162.1621621624</v>
      </c>
      <c r="P298">
        <v>5462279.2792792786</v>
      </c>
      <c r="Q298">
        <v>2388738.7387387389</v>
      </c>
      <c r="R298">
        <v>2185135.1351351342</v>
      </c>
      <c r="S298">
        <v>1620</v>
      </c>
      <c r="T298">
        <v>1635</v>
      </c>
    </row>
    <row r="299" spans="1:20" x14ac:dyDescent="0.35">
      <c r="A299" s="7" t="s">
        <v>396</v>
      </c>
      <c r="B299" s="12" t="s">
        <v>397</v>
      </c>
      <c r="C299">
        <v>260175876.56538063</v>
      </c>
      <c r="D299">
        <v>252567951.4673681</v>
      </c>
      <c r="E299">
        <v>16877657.657657657</v>
      </c>
      <c r="F299">
        <v>1504504.504504506</v>
      </c>
      <c r="G299">
        <v>119</v>
      </c>
      <c r="H299">
        <v>86</v>
      </c>
      <c r="K299">
        <v>138</v>
      </c>
      <c r="L299">
        <v>192</v>
      </c>
      <c r="M299">
        <v>24897522.52252252</v>
      </c>
      <c r="N299">
        <v>26485135.135135137</v>
      </c>
      <c r="O299">
        <v>48497989.189189181</v>
      </c>
      <c r="P299">
        <v>47604984.684684686</v>
      </c>
      <c r="Q299">
        <v>26466891.891891897</v>
      </c>
      <c r="R299">
        <v>24217927.927927926</v>
      </c>
      <c r="S299">
        <v>9631</v>
      </c>
      <c r="T299">
        <v>9338</v>
      </c>
    </row>
    <row r="300" spans="1:20" x14ac:dyDescent="0.35">
      <c r="A300" s="7" t="s">
        <v>398</v>
      </c>
      <c r="B300" s="12" t="s">
        <v>399</v>
      </c>
      <c r="C300">
        <v>310649848.42671859</v>
      </c>
      <c r="D300">
        <v>269906621.59836614</v>
      </c>
      <c r="E300">
        <v>366666.66666666698</v>
      </c>
      <c r="F300">
        <v>3918693.6936936951</v>
      </c>
      <c r="G300">
        <v>72</v>
      </c>
      <c r="H300">
        <v>58</v>
      </c>
      <c r="I300">
        <v>1</v>
      </c>
      <c r="K300">
        <v>79</v>
      </c>
      <c r="L300">
        <v>68</v>
      </c>
      <c r="M300">
        <v>107663513.51351352</v>
      </c>
      <c r="N300">
        <v>37605405.40540541</v>
      </c>
      <c r="O300">
        <v>54714340.540540546</v>
      </c>
      <c r="P300">
        <v>50076981.981981985</v>
      </c>
      <c r="Q300">
        <v>103770270.27027027</v>
      </c>
      <c r="R300">
        <v>33254054.054054055</v>
      </c>
      <c r="S300">
        <v>11437</v>
      </c>
      <c r="T300">
        <v>11267</v>
      </c>
    </row>
    <row r="301" spans="1:20" x14ac:dyDescent="0.35">
      <c r="A301" s="7" t="s">
        <v>400</v>
      </c>
      <c r="B301" s="12" t="s">
        <v>140</v>
      </c>
      <c r="C301">
        <v>93567708.966886297</v>
      </c>
      <c r="D301">
        <v>88278114.304841205</v>
      </c>
      <c r="E301">
        <v>24409909.909909911</v>
      </c>
      <c r="F301">
        <v>948648.64864865004</v>
      </c>
      <c r="G301">
        <v>26</v>
      </c>
      <c r="H301">
        <v>31</v>
      </c>
      <c r="K301">
        <v>33</v>
      </c>
      <c r="L301">
        <v>34</v>
      </c>
      <c r="M301">
        <v>22426576.576576576</v>
      </c>
      <c r="N301">
        <v>19612342.342342343</v>
      </c>
      <c r="O301">
        <v>27263513.513513513</v>
      </c>
      <c r="P301">
        <v>28199792.792792793</v>
      </c>
      <c r="Q301">
        <v>16107207.207207208</v>
      </c>
      <c r="R301">
        <v>18373153.153153151</v>
      </c>
      <c r="S301">
        <v>3375</v>
      </c>
      <c r="T301">
        <v>3172</v>
      </c>
    </row>
    <row r="302" spans="1:20" x14ac:dyDescent="0.35">
      <c r="A302" s="7" t="s">
        <v>401</v>
      </c>
      <c r="B302" s="12" t="s">
        <v>121</v>
      </c>
      <c r="C302">
        <v>27010751.170503039</v>
      </c>
      <c r="D302">
        <v>23006077.439729445</v>
      </c>
      <c r="E302">
        <v>1801.801801802</v>
      </c>
      <c r="F302">
        <v>360360.36036036001</v>
      </c>
      <c r="G302">
        <v>16</v>
      </c>
      <c r="H302">
        <v>11</v>
      </c>
      <c r="K302">
        <v>19</v>
      </c>
      <c r="L302">
        <v>16</v>
      </c>
      <c r="M302">
        <v>1801.801801802</v>
      </c>
      <c r="N302">
        <v>2162162.1621621619</v>
      </c>
      <c r="O302">
        <v>1947297.297297297</v>
      </c>
      <c r="P302">
        <v>2378198.1981981979</v>
      </c>
      <c r="Q302">
        <v>718108.10810810805</v>
      </c>
      <c r="R302">
        <v>690720.72072072094</v>
      </c>
      <c r="S302">
        <v>1151</v>
      </c>
      <c r="T302">
        <v>1087</v>
      </c>
    </row>
    <row r="303" spans="1:20" x14ac:dyDescent="0.35">
      <c r="A303" s="7" t="s">
        <v>402</v>
      </c>
      <c r="B303" s="12" t="s">
        <v>290</v>
      </c>
      <c r="C303">
        <v>49975805.621746376</v>
      </c>
      <c r="D303">
        <v>37677531.435687743</v>
      </c>
      <c r="E303">
        <v>64775945.945945941</v>
      </c>
      <c r="F303">
        <v>92141632.432432428</v>
      </c>
      <c r="G303">
        <v>37</v>
      </c>
      <c r="H303">
        <v>7</v>
      </c>
      <c r="K303">
        <v>39</v>
      </c>
      <c r="L303">
        <v>9</v>
      </c>
      <c r="M303">
        <v>14510756.756756756</v>
      </c>
      <c r="N303">
        <v>15277807.207207208</v>
      </c>
      <c r="O303">
        <v>6696306.3063063053</v>
      </c>
      <c r="P303">
        <v>4354090.0900900904</v>
      </c>
      <c r="Q303">
        <v>2687657.6576576568</v>
      </c>
      <c r="R303">
        <v>1705675.675675675</v>
      </c>
      <c r="S303">
        <v>1707</v>
      </c>
      <c r="T303">
        <v>1651</v>
      </c>
    </row>
    <row r="304" spans="1:20" x14ac:dyDescent="0.35">
      <c r="A304" s="7" t="s">
        <v>403</v>
      </c>
      <c r="B304" s="12" t="s">
        <v>121</v>
      </c>
      <c r="C304">
        <v>44674518.058395065</v>
      </c>
      <c r="D304">
        <v>42625065.836239293</v>
      </c>
      <c r="F304">
        <v>55630.630630631</v>
      </c>
      <c r="G304">
        <v>5</v>
      </c>
      <c r="H304">
        <v>8</v>
      </c>
      <c r="K304">
        <v>5</v>
      </c>
      <c r="L304">
        <v>10</v>
      </c>
      <c r="N304">
        <v>58558.558558559002</v>
      </c>
      <c r="O304">
        <v>3186756.7567567569</v>
      </c>
      <c r="P304">
        <v>3312252.2522522518</v>
      </c>
      <c r="S304">
        <v>1082</v>
      </c>
      <c r="T304">
        <v>1079</v>
      </c>
    </row>
    <row r="305" spans="1:20" x14ac:dyDescent="0.35">
      <c r="A305" s="7" t="s">
        <v>404</v>
      </c>
      <c r="B305" s="12" t="s">
        <v>368</v>
      </c>
      <c r="C305">
        <v>107140252.94572493</v>
      </c>
      <c r="D305">
        <v>98317253.51643002</v>
      </c>
      <c r="E305">
        <v>109909.909909911</v>
      </c>
      <c r="F305">
        <v>29757207.207207207</v>
      </c>
      <c r="G305">
        <v>21</v>
      </c>
      <c r="H305">
        <v>26</v>
      </c>
      <c r="I305">
        <v>1</v>
      </c>
      <c r="K305">
        <v>24</v>
      </c>
      <c r="L305">
        <v>83</v>
      </c>
      <c r="M305">
        <v>4931531.5315315314</v>
      </c>
      <c r="N305">
        <v>22039639.639639638</v>
      </c>
      <c r="O305">
        <v>33968265.765765764</v>
      </c>
      <c r="P305">
        <v>35690288.288288288</v>
      </c>
      <c r="Q305">
        <v>4013963.9639639631</v>
      </c>
      <c r="R305">
        <v>21626306.306306303</v>
      </c>
      <c r="S305">
        <v>4274</v>
      </c>
      <c r="T305">
        <v>4326</v>
      </c>
    </row>
    <row r="306" spans="1:20" x14ac:dyDescent="0.35">
      <c r="A306" s="7" t="s">
        <v>405</v>
      </c>
      <c r="B306" s="12" t="s">
        <v>140</v>
      </c>
      <c r="C306">
        <v>51197278.086231463</v>
      </c>
      <c r="D306">
        <v>45936217.821607061</v>
      </c>
      <c r="E306">
        <v>13963.963963964001</v>
      </c>
      <c r="F306">
        <v>116891.89189189101</v>
      </c>
      <c r="G306">
        <v>2</v>
      </c>
      <c r="H306">
        <v>8</v>
      </c>
      <c r="K306">
        <v>3</v>
      </c>
      <c r="L306">
        <v>9</v>
      </c>
      <c r="M306">
        <v>4914864.8648648653</v>
      </c>
      <c r="N306">
        <v>7505765.7657657657</v>
      </c>
      <c r="O306">
        <v>12795180.180180181</v>
      </c>
      <c r="P306">
        <v>12269657.657657659</v>
      </c>
      <c r="Q306">
        <v>7286756.7567567574</v>
      </c>
      <c r="R306">
        <v>6673513.5135135129</v>
      </c>
      <c r="S306">
        <v>1463</v>
      </c>
      <c r="T306">
        <v>1355</v>
      </c>
    </row>
    <row r="307" spans="1:20" x14ac:dyDescent="0.35">
      <c r="A307" s="7" t="s">
        <v>406</v>
      </c>
      <c r="B307" s="12" t="s">
        <v>54</v>
      </c>
      <c r="C307">
        <v>65918739.349585526</v>
      </c>
      <c r="D307">
        <v>63478754.76974275</v>
      </c>
      <c r="E307">
        <v>250810.810810811</v>
      </c>
      <c r="F307">
        <v>1128828.82882883</v>
      </c>
      <c r="G307">
        <v>3</v>
      </c>
      <c r="H307">
        <v>15</v>
      </c>
      <c r="K307">
        <v>3</v>
      </c>
      <c r="L307">
        <v>63</v>
      </c>
      <c r="M307">
        <v>2963423.423423423</v>
      </c>
      <c r="N307">
        <v>6624324.3243243257</v>
      </c>
      <c r="O307">
        <v>13691036.036036037</v>
      </c>
      <c r="P307">
        <v>14209144.144144144</v>
      </c>
      <c r="Q307">
        <v>2796306.3063063058</v>
      </c>
      <c r="R307">
        <v>7032432.4324324308</v>
      </c>
      <c r="S307">
        <v>2220</v>
      </c>
      <c r="T307">
        <v>2174</v>
      </c>
    </row>
    <row r="308" spans="1:20" x14ac:dyDescent="0.35">
      <c r="A308" s="7" t="s">
        <v>407</v>
      </c>
      <c r="B308" s="12" t="s">
        <v>134</v>
      </c>
      <c r="C308">
        <v>26563667.12734228</v>
      </c>
      <c r="D308">
        <v>28757645.803572033</v>
      </c>
      <c r="E308">
        <v>12612.612612613</v>
      </c>
      <c r="G308">
        <v>6</v>
      </c>
      <c r="H308">
        <v>5</v>
      </c>
      <c r="K308">
        <v>7</v>
      </c>
      <c r="L308">
        <v>5</v>
      </c>
      <c r="M308">
        <v>1643243.2432432431</v>
      </c>
      <c r="N308">
        <v>756756.75675675704</v>
      </c>
      <c r="O308">
        <v>3019099.0990991001</v>
      </c>
      <c r="P308">
        <v>2975288.2882882892</v>
      </c>
      <c r="Q308">
        <v>1329189.1891891891</v>
      </c>
      <c r="R308">
        <v>747297.29729729705</v>
      </c>
      <c r="S308">
        <v>1341</v>
      </c>
      <c r="T308">
        <v>948</v>
      </c>
    </row>
    <row r="309" spans="1:20" x14ac:dyDescent="0.35">
      <c r="A309" s="7" t="s">
        <v>408</v>
      </c>
      <c r="B309" s="12" t="s">
        <v>290</v>
      </c>
      <c r="C309">
        <v>18819064.831858575</v>
      </c>
      <c r="D309">
        <v>15643284.326438827</v>
      </c>
      <c r="E309">
        <v>93693.693693694004</v>
      </c>
      <c r="F309">
        <v>334234.23423423502</v>
      </c>
      <c r="G309">
        <v>7</v>
      </c>
      <c r="H309">
        <v>8</v>
      </c>
      <c r="K309">
        <v>10</v>
      </c>
      <c r="L309">
        <v>8</v>
      </c>
      <c r="M309">
        <v>2372972.9729729728</v>
      </c>
      <c r="N309">
        <v>3120720.7207207209</v>
      </c>
      <c r="O309">
        <v>3581432.4324324322</v>
      </c>
      <c r="P309">
        <v>2749063.0630630632</v>
      </c>
      <c r="Q309">
        <v>1570180.1801801799</v>
      </c>
      <c r="R309">
        <v>2143873.8738738731</v>
      </c>
      <c r="S309">
        <v>861</v>
      </c>
      <c r="T309">
        <v>866</v>
      </c>
    </row>
    <row r="310" spans="1:20" x14ac:dyDescent="0.35">
      <c r="A310" s="7" t="s">
        <v>409</v>
      </c>
      <c r="B310" s="12" t="s">
        <v>178</v>
      </c>
      <c r="C310">
        <v>300297378.81288344</v>
      </c>
      <c r="D310">
        <v>278502186.41366631</v>
      </c>
      <c r="E310">
        <v>647972.97297297197</v>
      </c>
      <c r="F310">
        <v>863063.06306306401</v>
      </c>
      <c r="G310">
        <v>88</v>
      </c>
      <c r="H310">
        <v>54</v>
      </c>
      <c r="K310">
        <v>105</v>
      </c>
      <c r="L310">
        <v>202</v>
      </c>
      <c r="M310">
        <v>21926756.756756756</v>
      </c>
      <c r="N310">
        <v>31893774.774774775</v>
      </c>
      <c r="O310">
        <v>98684583.783783779</v>
      </c>
      <c r="P310">
        <v>97664000</v>
      </c>
      <c r="Q310">
        <v>25036576.576576579</v>
      </c>
      <c r="R310">
        <v>25888468.468468469</v>
      </c>
      <c r="S310">
        <v>9857</v>
      </c>
      <c r="T310">
        <v>13431</v>
      </c>
    </row>
    <row r="311" spans="1:20" x14ac:dyDescent="0.35">
      <c r="A311" s="7" t="s">
        <v>410</v>
      </c>
      <c r="B311" s="12" t="s">
        <v>54</v>
      </c>
      <c r="C311">
        <v>519521564.0418548</v>
      </c>
      <c r="D311">
        <v>523654569.18870223</v>
      </c>
      <c r="E311">
        <v>31707832.432432435</v>
      </c>
      <c r="F311">
        <v>109537223.42342342</v>
      </c>
      <c r="G311">
        <v>89</v>
      </c>
      <c r="H311">
        <v>150</v>
      </c>
      <c r="K311">
        <v>115</v>
      </c>
      <c r="L311">
        <v>196</v>
      </c>
      <c r="M311">
        <v>28838558.558558557</v>
      </c>
      <c r="N311">
        <v>35344144.144144148</v>
      </c>
      <c r="O311">
        <v>98556781.981981978</v>
      </c>
      <c r="P311">
        <v>108578261.26126127</v>
      </c>
      <c r="Q311">
        <v>29677971.17117117</v>
      </c>
      <c r="R311">
        <v>32468378.378378376</v>
      </c>
      <c r="S311">
        <v>18907</v>
      </c>
      <c r="T311">
        <v>19197</v>
      </c>
    </row>
    <row r="312" spans="1:20" x14ac:dyDescent="0.35">
      <c r="A312" s="7" t="s">
        <v>411</v>
      </c>
      <c r="B312" s="12" t="s">
        <v>224</v>
      </c>
      <c r="C312">
        <v>315121027.70831156</v>
      </c>
      <c r="D312">
        <v>255338772.24209234</v>
      </c>
      <c r="E312">
        <v>621981.98198198294</v>
      </c>
      <c r="F312">
        <v>1089189.189189194</v>
      </c>
      <c r="G312">
        <v>98</v>
      </c>
      <c r="H312">
        <v>75</v>
      </c>
      <c r="K312">
        <v>115</v>
      </c>
      <c r="L312">
        <v>96</v>
      </c>
      <c r="M312">
        <v>32651171.171171173</v>
      </c>
      <c r="N312">
        <v>26647747.747747749</v>
      </c>
      <c r="O312">
        <v>80294563.063063055</v>
      </c>
      <c r="P312">
        <v>76934322.522522524</v>
      </c>
      <c r="Q312">
        <v>31958288.288288288</v>
      </c>
      <c r="R312">
        <v>30620493.693693697</v>
      </c>
      <c r="S312">
        <v>15455</v>
      </c>
      <c r="T312">
        <v>13672</v>
      </c>
    </row>
    <row r="313" spans="1:20" x14ac:dyDescent="0.35">
      <c r="A313" s="7" t="s">
        <v>412</v>
      </c>
      <c r="B313" s="12" t="s">
        <v>413</v>
      </c>
      <c r="C313">
        <v>97825669.149824634</v>
      </c>
      <c r="D313">
        <v>104912740.12821737</v>
      </c>
      <c r="E313">
        <v>18458558.558558561</v>
      </c>
      <c r="F313">
        <v>3247297.2972972998</v>
      </c>
      <c r="G313">
        <v>22</v>
      </c>
      <c r="H313">
        <v>4</v>
      </c>
      <c r="K313">
        <v>26</v>
      </c>
      <c r="L313">
        <v>6</v>
      </c>
      <c r="M313">
        <v>3634954.9549549539</v>
      </c>
      <c r="N313">
        <v>4724234.234234238</v>
      </c>
      <c r="O313">
        <v>41599504.504504502</v>
      </c>
      <c r="P313">
        <v>40218765.765765771</v>
      </c>
      <c r="Q313">
        <v>2249909.9099099091</v>
      </c>
      <c r="R313">
        <v>2161711.7117117122</v>
      </c>
      <c r="S313">
        <v>4027</v>
      </c>
      <c r="T313">
        <v>3941</v>
      </c>
    </row>
    <row r="314" spans="1:20" x14ac:dyDescent="0.35">
      <c r="A314" s="7" t="s">
        <v>414</v>
      </c>
      <c r="B314" s="12" t="s">
        <v>214</v>
      </c>
      <c r="C314">
        <v>621510670.7143935</v>
      </c>
      <c r="D314">
        <v>663186293.03057241</v>
      </c>
      <c r="E314">
        <v>222997136.03603604</v>
      </c>
      <c r="F314">
        <v>317849939.63963962</v>
      </c>
      <c r="G314">
        <v>257</v>
      </c>
      <c r="H314">
        <v>841</v>
      </c>
      <c r="K314">
        <v>308</v>
      </c>
      <c r="L314">
        <v>994</v>
      </c>
      <c r="M314">
        <v>67614684.684684694</v>
      </c>
      <c r="N314">
        <v>98965225.22522521</v>
      </c>
      <c r="O314">
        <v>262849944.14414415</v>
      </c>
      <c r="P314">
        <v>305437224.32432437</v>
      </c>
      <c r="Q314">
        <v>77436936.936936945</v>
      </c>
      <c r="R314">
        <v>90927477.477477476</v>
      </c>
      <c r="S314">
        <v>23941</v>
      </c>
      <c r="T314">
        <v>23693</v>
      </c>
    </row>
    <row r="315" spans="1:20" x14ac:dyDescent="0.35">
      <c r="A315" s="7" t="s">
        <v>415</v>
      </c>
      <c r="B315" s="12" t="s">
        <v>413</v>
      </c>
      <c r="C315">
        <v>58506014.260941759</v>
      </c>
      <c r="D315">
        <v>58559497.797447093</v>
      </c>
      <c r="E315">
        <v>298198.19819819799</v>
      </c>
      <c r="F315">
        <v>140090.09009009099</v>
      </c>
      <c r="G315">
        <v>15</v>
      </c>
      <c r="H315">
        <v>15</v>
      </c>
      <c r="K315">
        <v>18</v>
      </c>
      <c r="L315">
        <v>20</v>
      </c>
      <c r="M315">
        <v>12194774.774774777</v>
      </c>
      <c r="N315">
        <v>9261261.261261262</v>
      </c>
      <c r="O315">
        <v>19092297.297297295</v>
      </c>
      <c r="P315">
        <v>21327441.441441439</v>
      </c>
      <c r="Q315">
        <v>7620630.630630631</v>
      </c>
      <c r="R315">
        <v>7769729.7297297316</v>
      </c>
      <c r="S315">
        <v>3027</v>
      </c>
      <c r="T315">
        <v>2932</v>
      </c>
    </row>
    <row r="316" spans="1:20" x14ac:dyDescent="0.35">
      <c r="A316" s="7" t="s">
        <v>416</v>
      </c>
      <c r="B316" s="12" t="s">
        <v>236</v>
      </c>
      <c r="C316">
        <v>434597040.5928095</v>
      </c>
      <c r="D316">
        <v>413619549.55785751</v>
      </c>
      <c r="E316">
        <v>261261.26126126401</v>
      </c>
      <c r="F316">
        <v>81266666.666666672</v>
      </c>
      <c r="G316">
        <v>152</v>
      </c>
      <c r="H316">
        <v>139</v>
      </c>
      <c r="I316">
        <v>2</v>
      </c>
      <c r="K316">
        <v>191</v>
      </c>
      <c r="L316">
        <v>274</v>
      </c>
      <c r="M316">
        <v>45907927.927927926</v>
      </c>
      <c r="N316">
        <v>49768018.018018015</v>
      </c>
      <c r="O316">
        <v>100786288.2882883</v>
      </c>
      <c r="P316">
        <v>100538000</v>
      </c>
      <c r="Q316">
        <v>33243783.78378379</v>
      </c>
      <c r="R316">
        <v>47169279.279279277</v>
      </c>
      <c r="S316">
        <v>10767</v>
      </c>
      <c r="T316">
        <v>11020</v>
      </c>
    </row>
    <row r="317" spans="1:20" x14ac:dyDescent="0.35">
      <c r="A317" s="7" t="s">
        <v>417</v>
      </c>
      <c r="B317" s="12" t="s">
        <v>117</v>
      </c>
      <c r="C317">
        <v>418517408.87028807</v>
      </c>
      <c r="D317">
        <v>402603334.66042775</v>
      </c>
      <c r="E317">
        <v>354645973.87387383</v>
      </c>
      <c r="F317">
        <v>208141563.06306309</v>
      </c>
      <c r="G317">
        <v>235</v>
      </c>
      <c r="H317">
        <v>188</v>
      </c>
      <c r="I317">
        <v>2</v>
      </c>
      <c r="K317">
        <v>414</v>
      </c>
      <c r="L317">
        <v>598</v>
      </c>
      <c r="M317">
        <v>81942612.612612605</v>
      </c>
      <c r="N317">
        <v>96864473.873873875</v>
      </c>
      <c r="O317">
        <v>180314675.67567569</v>
      </c>
      <c r="P317">
        <v>181865845.04504505</v>
      </c>
      <c r="Q317">
        <v>78629909.909909904</v>
      </c>
      <c r="R317">
        <v>94167297.297297299</v>
      </c>
      <c r="S317">
        <v>17614</v>
      </c>
      <c r="T317">
        <v>17464</v>
      </c>
    </row>
    <row r="318" spans="1:20" x14ac:dyDescent="0.35">
      <c r="A318" s="7" t="s">
        <v>418</v>
      </c>
      <c r="B318" s="12" t="s">
        <v>147</v>
      </c>
      <c r="C318">
        <v>11230699.831699433</v>
      </c>
      <c r="D318">
        <v>9571069.8373381682</v>
      </c>
      <c r="G318">
        <v>1</v>
      </c>
      <c r="H318">
        <v>2</v>
      </c>
      <c r="K318">
        <v>1</v>
      </c>
      <c r="L318">
        <v>2</v>
      </c>
      <c r="O318">
        <v>3473603.6036036052</v>
      </c>
      <c r="P318">
        <v>3695936.9369369368</v>
      </c>
      <c r="S318">
        <v>489</v>
      </c>
      <c r="T318">
        <v>773</v>
      </c>
    </row>
    <row r="319" spans="1:20" x14ac:dyDescent="0.35">
      <c r="A319" s="7" t="s">
        <v>419</v>
      </c>
      <c r="B319" s="12" t="s">
        <v>304</v>
      </c>
      <c r="C319">
        <v>88901981.663196117</v>
      </c>
      <c r="D319">
        <v>88352365.501528114</v>
      </c>
      <c r="E319">
        <v>445945.94594594801</v>
      </c>
      <c r="F319">
        <v>1588513.513513512</v>
      </c>
      <c r="G319">
        <v>35</v>
      </c>
      <c r="H319">
        <v>43</v>
      </c>
      <c r="K319">
        <v>44</v>
      </c>
      <c r="L319">
        <v>51</v>
      </c>
      <c r="M319">
        <v>14471171.171171168</v>
      </c>
      <c r="N319">
        <v>14098198.198198196</v>
      </c>
      <c r="O319">
        <v>16945945.945945948</v>
      </c>
      <c r="P319">
        <v>17560525.225225225</v>
      </c>
      <c r="Q319">
        <v>13697117.117117116</v>
      </c>
      <c r="R319">
        <v>15003963.963963963</v>
      </c>
      <c r="S319">
        <v>2507</v>
      </c>
      <c r="T319">
        <v>2393</v>
      </c>
    </row>
    <row r="320" spans="1:20" x14ac:dyDescent="0.35">
      <c r="A320" s="7" t="s">
        <v>420</v>
      </c>
      <c r="B320" s="12" t="s">
        <v>304</v>
      </c>
      <c r="C320">
        <v>105423105.75126733</v>
      </c>
      <c r="D320">
        <v>101634731.91200235</v>
      </c>
      <c r="E320">
        <v>412612.61261261301</v>
      </c>
      <c r="F320">
        <v>2012387.3873873849</v>
      </c>
      <c r="G320">
        <v>60</v>
      </c>
      <c r="H320">
        <v>58</v>
      </c>
      <c r="I320">
        <v>3</v>
      </c>
      <c r="K320">
        <v>88</v>
      </c>
      <c r="L320">
        <v>147</v>
      </c>
      <c r="M320">
        <v>14758558.558558553</v>
      </c>
      <c r="N320">
        <v>20628828.828828823</v>
      </c>
      <c r="O320">
        <v>22553962.162162159</v>
      </c>
      <c r="P320">
        <v>22375612.612612613</v>
      </c>
      <c r="Q320">
        <v>14896576.576576576</v>
      </c>
      <c r="R320">
        <v>15017207.207207199</v>
      </c>
      <c r="S320">
        <v>3115</v>
      </c>
      <c r="T320">
        <v>3014</v>
      </c>
    </row>
    <row r="321" spans="1:20" x14ac:dyDescent="0.35">
      <c r="A321" s="7" t="s">
        <v>421</v>
      </c>
      <c r="B321" s="12" t="s">
        <v>121</v>
      </c>
      <c r="C321">
        <v>8510156.7545572538</v>
      </c>
      <c r="D321">
        <v>3912410.6804645439</v>
      </c>
      <c r="E321">
        <v>12612.612612613</v>
      </c>
      <c r="F321">
        <v>13513.513513514001</v>
      </c>
      <c r="G321">
        <v>1</v>
      </c>
      <c r="H321">
        <v>2</v>
      </c>
      <c r="K321">
        <v>1</v>
      </c>
      <c r="L321">
        <v>3</v>
      </c>
      <c r="M321">
        <v>12612.612612613</v>
      </c>
      <c r="N321">
        <v>13513.513513514001</v>
      </c>
      <c r="O321">
        <v>778648.64864864899</v>
      </c>
      <c r="P321">
        <v>285486.48648648598</v>
      </c>
      <c r="S321">
        <v>367</v>
      </c>
      <c r="T321">
        <v>333</v>
      </c>
    </row>
    <row r="322" spans="1:20" x14ac:dyDescent="0.35">
      <c r="A322" s="7" t="s">
        <v>422</v>
      </c>
      <c r="B322" s="12" t="s">
        <v>60</v>
      </c>
      <c r="C322">
        <v>52664364.982662842</v>
      </c>
      <c r="D322">
        <v>50325395.713763207</v>
      </c>
      <c r="E322">
        <v>270270.27027027099</v>
      </c>
      <c r="F322">
        <v>720720.72072072199</v>
      </c>
      <c r="G322">
        <v>15</v>
      </c>
      <c r="H322">
        <v>34</v>
      </c>
      <c r="K322">
        <v>18</v>
      </c>
      <c r="L322">
        <v>37</v>
      </c>
      <c r="M322">
        <v>5985585.5855855849</v>
      </c>
      <c r="N322">
        <v>11376576.576576576</v>
      </c>
      <c r="O322">
        <v>17113648.648648649</v>
      </c>
      <c r="P322">
        <v>17776117.117117114</v>
      </c>
      <c r="Q322">
        <v>4165315.315315315</v>
      </c>
      <c r="R322">
        <v>9972432.4324324317</v>
      </c>
      <c r="S322">
        <v>2155</v>
      </c>
      <c r="T322">
        <v>2127</v>
      </c>
    </row>
    <row r="323" spans="1:20" x14ac:dyDescent="0.35">
      <c r="A323" s="7" t="s">
        <v>423</v>
      </c>
      <c r="B323" s="12" t="s">
        <v>181</v>
      </c>
      <c r="C323">
        <v>531434078.05773145</v>
      </c>
      <c r="D323">
        <v>511617861.86395246</v>
      </c>
      <c r="E323">
        <v>1559459.4594594659</v>
      </c>
      <c r="F323">
        <v>5940540.5405405471</v>
      </c>
      <c r="G323">
        <v>183</v>
      </c>
      <c r="H323">
        <v>184</v>
      </c>
      <c r="I323">
        <v>13</v>
      </c>
      <c r="K323">
        <v>230</v>
      </c>
      <c r="L323">
        <v>263</v>
      </c>
      <c r="M323">
        <v>46255315.315315306</v>
      </c>
      <c r="N323">
        <v>70122342.342342332</v>
      </c>
      <c r="O323">
        <v>142298045.04504505</v>
      </c>
      <c r="P323">
        <v>151612540.54054055</v>
      </c>
      <c r="Q323">
        <v>50750900.9009009</v>
      </c>
      <c r="R323">
        <v>65296396.396396391</v>
      </c>
      <c r="S323">
        <v>22804</v>
      </c>
      <c r="T323">
        <v>22109</v>
      </c>
    </row>
    <row r="324" spans="1:20" x14ac:dyDescent="0.35">
      <c r="A324" s="7" t="s">
        <v>424</v>
      </c>
      <c r="B324" s="12" t="s">
        <v>76</v>
      </c>
      <c r="C324">
        <v>21411152.044433389</v>
      </c>
      <c r="D324">
        <v>15210377.170301892</v>
      </c>
      <c r="E324">
        <v>2702.7027027029999</v>
      </c>
      <c r="F324">
        <v>13513.513513514001</v>
      </c>
      <c r="G324">
        <v>6</v>
      </c>
      <c r="K324">
        <v>7</v>
      </c>
      <c r="M324">
        <v>2615315.315315315</v>
      </c>
      <c r="N324">
        <v>914414.41441441397</v>
      </c>
      <c r="O324">
        <v>2108009.0090090092</v>
      </c>
      <c r="P324">
        <v>1374126.1261261259</v>
      </c>
      <c r="Q324">
        <v>1920180.1801801811</v>
      </c>
      <c r="R324">
        <v>1157207.2072072071</v>
      </c>
      <c r="S324">
        <v>901</v>
      </c>
      <c r="T324">
        <v>822</v>
      </c>
    </row>
    <row r="325" spans="1:20" x14ac:dyDescent="0.35">
      <c r="A325" s="7" t="s">
        <v>425</v>
      </c>
      <c r="B325" s="12" t="s">
        <v>76</v>
      </c>
      <c r="C325">
        <v>62059333.516198978</v>
      </c>
      <c r="D325">
        <v>59886149.01493971</v>
      </c>
      <c r="E325">
        <v>145045.04504504599</v>
      </c>
      <c r="F325">
        <v>99099.0990991</v>
      </c>
      <c r="G325">
        <v>25</v>
      </c>
      <c r="H325">
        <v>13</v>
      </c>
      <c r="K325">
        <v>28</v>
      </c>
      <c r="L325">
        <v>15</v>
      </c>
      <c r="M325">
        <v>7243243.2432432454</v>
      </c>
      <c r="N325">
        <v>7047657.6576576577</v>
      </c>
      <c r="O325">
        <v>14410405.405405406</v>
      </c>
      <c r="P325">
        <v>13538531.531531531</v>
      </c>
      <c r="Q325">
        <v>5209819.8198198201</v>
      </c>
      <c r="R325">
        <v>6150900.9009009013</v>
      </c>
      <c r="S325">
        <v>1488</v>
      </c>
      <c r="T325">
        <v>1530</v>
      </c>
    </row>
    <row r="326" spans="1:20" x14ac:dyDescent="0.35">
      <c r="A326" s="7" t="s">
        <v>426</v>
      </c>
      <c r="B326" s="12" t="s">
        <v>330</v>
      </c>
      <c r="C326">
        <v>295530953.43107003</v>
      </c>
      <c r="D326">
        <v>291684962.77531934</v>
      </c>
      <c r="E326">
        <v>685315.31531531899</v>
      </c>
      <c r="F326">
        <v>2225000.0000000028</v>
      </c>
      <c r="G326">
        <v>95</v>
      </c>
      <c r="H326">
        <v>104</v>
      </c>
      <c r="K326">
        <v>122</v>
      </c>
      <c r="L326">
        <v>132</v>
      </c>
      <c r="M326">
        <v>7189819.819819821</v>
      </c>
      <c r="N326">
        <v>16810810.810810808</v>
      </c>
      <c r="O326">
        <v>50080367.567567565</v>
      </c>
      <c r="P326">
        <v>52016963.963963971</v>
      </c>
      <c r="Q326">
        <v>9248918.9189189188</v>
      </c>
      <c r="R326">
        <v>11865315.315315314</v>
      </c>
      <c r="S326">
        <v>11800</v>
      </c>
      <c r="T326">
        <v>11702</v>
      </c>
    </row>
    <row r="327" spans="1:20" x14ac:dyDescent="0.35">
      <c r="A327" s="7" t="s">
        <v>427</v>
      </c>
      <c r="B327" s="12" t="s">
        <v>241</v>
      </c>
      <c r="C327">
        <v>77334016.947587654</v>
      </c>
      <c r="D327">
        <v>75744356.594461143</v>
      </c>
      <c r="E327">
        <v>1070270.2702702701</v>
      </c>
      <c r="F327">
        <v>501801.801801803</v>
      </c>
      <c r="G327">
        <v>36</v>
      </c>
      <c r="H327">
        <v>29</v>
      </c>
      <c r="I327">
        <v>1</v>
      </c>
      <c r="K327">
        <v>40</v>
      </c>
      <c r="L327">
        <v>31</v>
      </c>
      <c r="M327">
        <v>12921261.26126126</v>
      </c>
      <c r="N327">
        <v>8389639.6396396384</v>
      </c>
      <c r="O327">
        <v>29603882.882882878</v>
      </c>
      <c r="P327">
        <v>27657180.180180181</v>
      </c>
      <c r="Q327">
        <v>13432342.342342339</v>
      </c>
      <c r="R327">
        <v>8886306.3063063025</v>
      </c>
      <c r="S327">
        <v>5230</v>
      </c>
      <c r="T327">
        <v>5243</v>
      </c>
    </row>
    <row r="328" spans="1:20" x14ac:dyDescent="0.35">
      <c r="A328" s="7" t="s">
        <v>670</v>
      </c>
      <c r="B328" s="12" t="s">
        <v>54</v>
      </c>
      <c r="E328">
        <v>22500000</v>
      </c>
      <c r="F328">
        <v>51430180.180180177</v>
      </c>
      <c r="M328">
        <v>1012612.612612613</v>
      </c>
      <c r="N328">
        <v>189189.189189189</v>
      </c>
    </row>
    <row r="329" spans="1:20" x14ac:dyDescent="0.35">
      <c r="A329" s="7" t="s">
        <v>428</v>
      </c>
      <c r="B329" s="12" t="s">
        <v>283</v>
      </c>
      <c r="C329">
        <v>32887356.290415488</v>
      </c>
      <c r="D329">
        <v>32629109.676178351</v>
      </c>
      <c r="E329">
        <v>39639.639639640001</v>
      </c>
      <c r="F329">
        <v>466666.66666666802</v>
      </c>
      <c r="G329">
        <v>15</v>
      </c>
      <c r="H329">
        <v>3</v>
      </c>
      <c r="K329">
        <v>16</v>
      </c>
      <c r="L329">
        <v>30</v>
      </c>
      <c r="M329">
        <v>2210810.8108108109</v>
      </c>
      <c r="N329">
        <v>11295495.495495496</v>
      </c>
      <c r="O329">
        <v>6087207.2072072066</v>
      </c>
      <c r="P329">
        <v>6869981.9819819815</v>
      </c>
      <c r="Q329">
        <v>1113513.5135135129</v>
      </c>
      <c r="R329">
        <v>12299549.54954955</v>
      </c>
      <c r="S329">
        <v>1278</v>
      </c>
      <c r="T329">
        <v>1135</v>
      </c>
    </row>
    <row r="330" spans="1:20" x14ac:dyDescent="0.35">
      <c r="A330" s="7" t="s">
        <v>429</v>
      </c>
      <c r="B330" s="12" t="s">
        <v>283</v>
      </c>
      <c r="C330">
        <v>9754125.415337408</v>
      </c>
      <c r="D330">
        <v>10649350.402856328</v>
      </c>
      <c r="E330">
        <v>9909.9099099100004</v>
      </c>
      <c r="F330">
        <v>207207.20720720699</v>
      </c>
      <c r="M330">
        <v>145045.045045045</v>
      </c>
      <c r="N330">
        <v>3090090.090090089</v>
      </c>
      <c r="O330">
        <v>948153.15315315302</v>
      </c>
      <c r="P330">
        <v>596036.03603603598</v>
      </c>
      <c r="Q330">
        <v>163513.51351351399</v>
      </c>
      <c r="R330">
        <v>2856126.1261261259</v>
      </c>
      <c r="S330">
        <v>469</v>
      </c>
      <c r="T330">
        <v>498</v>
      </c>
    </row>
    <row r="331" spans="1:20" x14ac:dyDescent="0.35">
      <c r="A331" s="7" t="s">
        <v>430</v>
      </c>
      <c r="B331" s="12" t="s">
        <v>283</v>
      </c>
      <c r="C331">
        <v>18954023.339390684</v>
      </c>
      <c r="D331">
        <v>23169522.611529402</v>
      </c>
      <c r="E331">
        <v>9009.0090090089998</v>
      </c>
      <c r="F331">
        <v>189189.189189189</v>
      </c>
      <c r="G331">
        <v>4</v>
      </c>
      <c r="H331">
        <v>4</v>
      </c>
      <c r="K331">
        <v>4</v>
      </c>
      <c r="L331">
        <v>4</v>
      </c>
      <c r="M331">
        <v>9009.0090090089998</v>
      </c>
      <c r="N331">
        <v>279279.279279279</v>
      </c>
      <c r="O331">
        <v>1569504.5045045039</v>
      </c>
      <c r="P331">
        <v>2344234.2342342339</v>
      </c>
      <c r="R331">
        <v>173423.423423423</v>
      </c>
      <c r="S331">
        <v>807</v>
      </c>
      <c r="T331">
        <v>828</v>
      </c>
    </row>
    <row r="332" spans="1:20" x14ac:dyDescent="0.35">
      <c r="A332" s="7" t="s">
        <v>431</v>
      </c>
      <c r="B332" s="12" t="s">
        <v>78</v>
      </c>
      <c r="C332">
        <v>133232403.11830945</v>
      </c>
      <c r="D332">
        <v>130533303.14207783</v>
      </c>
      <c r="E332">
        <v>803603.60360360402</v>
      </c>
      <c r="F332">
        <v>1270270.2702702719</v>
      </c>
      <c r="G332">
        <v>20</v>
      </c>
      <c r="H332">
        <v>103</v>
      </c>
      <c r="K332">
        <v>21</v>
      </c>
      <c r="L332">
        <v>152</v>
      </c>
      <c r="M332">
        <v>11961261.26126126</v>
      </c>
      <c r="N332">
        <v>9729729.7297297306</v>
      </c>
      <c r="O332">
        <v>54792432.432432435</v>
      </c>
      <c r="P332">
        <v>55222360.360360362</v>
      </c>
      <c r="Q332">
        <v>11659369.369369367</v>
      </c>
      <c r="R332">
        <v>10458918.918918921</v>
      </c>
      <c r="S332">
        <v>6445</v>
      </c>
      <c r="T332">
        <v>6788</v>
      </c>
    </row>
    <row r="333" spans="1:20" x14ac:dyDescent="0.35">
      <c r="A333" s="7" t="s">
        <v>432</v>
      </c>
      <c r="B333" s="12" t="s">
        <v>105</v>
      </c>
      <c r="C333">
        <v>116444922.66304034</v>
      </c>
      <c r="D333">
        <v>115437888.89997716</v>
      </c>
      <c r="E333">
        <v>15822522.522522524</v>
      </c>
      <c r="F333">
        <v>322522.52252252202</v>
      </c>
      <c r="G333">
        <v>16</v>
      </c>
      <c r="H333">
        <v>14</v>
      </c>
      <c r="K333">
        <v>19</v>
      </c>
      <c r="L333">
        <v>15</v>
      </c>
      <c r="M333">
        <v>9930540.5405405406</v>
      </c>
      <c r="N333">
        <v>15504909.90990991</v>
      </c>
      <c r="O333">
        <v>26965619.819819819</v>
      </c>
      <c r="P333">
        <v>27687693.693693697</v>
      </c>
      <c r="Q333">
        <v>10203513.513513513</v>
      </c>
      <c r="R333">
        <v>16468513.513513517</v>
      </c>
      <c r="S333">
        <v>3561</v>
      </c>
      <c r="T333">
        <v>3466</v>
      </c>
    </row>
    <row r="334" spans="1:20" x14ac:dyDescent="0.35">
      <c r="A334" s="7" t="s">
        <v>433</v>
      </c>
      <c r="B334" s="12" t="s">
        <v>72</v>
      </c>
      <c r="C334">
        <v>673083619.50966346</v>
      </c>
      <c r="D334">
        <v>651211236.64828992</v>
      </c>
      <c r="E334">
        <v>1024774.774774781</v>
      </c>
      <c r="F334">
        <v>4249549.5495495647</v>
      </c>
      <c r="G334">
        <v>168</v>
      </c>
      <c r="H334">
        <v>171</v>
      </c>
      <c r="I334">
        <v>1</v>
      </c>
      <c r="K334">
        <v>261</v>
      </c>
      <c r="L334">
        <v>275</v>
      </c>
      <c r="M334">
        <v>95977927.927927926</v>
      </c>
      <c r="N334">
        <v>93346846.846846849</v>
      </c>
      <c r="O334">
        <v>137174448.64864865</v>
      </c>
      <c r="P334">
        <v>136136914.41441441</v>
      </c>
      <c r="Q334">
        <v>72182612.612612605</v>
      </c>
      <c r="R334">
        <v>73591171.171171173</v>
      </c>
      <c r="S334">
        <v>18306</v>
      </c>
      <c r="T334">
        <v>18340</v>
      </c>
    </row>
    <row r="335" spans="1:20" x14ac:dyDescent="0.35">
      <c r="A335" s="7" t="s">
        <v>434</v>
      </c>
      <c r="B335" s="12" t="s">
        <v>72</v>
      </c>
      <c r="C335">
        <v>471070523.31738836</v>
      </c>
      <c r="D335">
        <v>447806119.60722727</v>
      </c>
      <c r="E335">
        <v>33821621.621621624</v>
      </c>
      <c r="F335">
        <v>28752477.477477483</v>
      </c>
      <c r="G335">
        <v>91</v>
      </c>
      <c r="H335">
        <v>110</v>
      </c>
      <c r="K335">
        <v>103</v>
      </c>
      <c r="L335">
        <v>120</v>
      </c>
      <c r="M335">
        <v>51022522.522522509</v>
      </c>
      <c r="N335">
        <v>56010360.360360362</v>
      </c>
      <c r="O335">
        <v>81040274.77477479</v>
      </c>
      <c r="P335">
        <v>84010468.468468457</v>
      </c>
      <c r="Q335">
        <v>40186306.306306303</v>
      </c>
      <c r="R335">
        <v>35618288.288288295</v>
      </c>
      <c r="S335">
        <v>13805</v>
      </c>
      <c r="T335">
        <v>13962</v>
      </c>
    </row>
    <row r="336" spans="1:20" x14ac:dyDescent="0.35">
      <c r="A336" s="7" t="s">
        <v>435</v>
      </c>
      <c r="B336" s="12" t="s">
        <v>94</v>
      </c>
      <c r="C336">
        <v>35425439.791126005</v>
      </c>
      <c r="D336">
        <v>31355675.859314714</v>
      </c>
      <c r="E336">
        <v>900.900900901</v>
      </c>
      <c r="G336">
        <v>6</v>
      </c>
      <c r="H336">
        <v>2</v>
      </c>
      <c r="K336">
        <v>6</v>
      </c>
      <c r="L336">
        <v>2</v>
      </c>
      <c r="M336">
        <v>541441.44144144095</v>
      </c>
      <c r="N336">
        <v>180180.18018018</v>
      </c>
      <c r="O336">
        <v>8007072.072072072</v>
      </c>
      <c r="P336">
        <v>7012378.3783783782</v>
      </c>
      <c r="Q336">
        <v>75765.765765766002</v>
      </c>
      <c r="R336">
        <v>132432.43243243199</v>
      </c>
      <c r="S336">
        <v>920</v>
      </c>
      <c r="T336">
        <v>894</v>
      </c>
    </row>
    <row r="337" spans="1:20" x14ac:dyDescent="0.35">
      <c r="A337" s="7" t="s">
        <v>436</v>
      </c>
      <c r="B337" s="12" t="s">
        <v>89</v>
      </c>
      <c r="C337">
        <v>161496738.17798015</v>
      </c>
      <c r="D337">
        <v>161921212.96943718</v>
      </c>
      <c r="E337">
        <v>872252.25225225196</v>
      </c>
      <c r="F337">
        <v>1991891.8918918951</v>
      </c>
      <c r="G337">
        <v>41</v>
      </c>
      <c r="H337">
        <v>54</v>
      </c>
      <c r="K337">
        <v>43</v>
      </c>
      <c r="L337">
        <v>58</v>
      </c>
      <c r="M337">
        <v>17115495.495495491</v>
      </c>
      <c r="N337">
        <v>24847387.387387387</v>
      </c>
      <c r="O337">
        <v>67610090.090090081</v>
      </c>
      <c r="P337">
        <v>71199148.648648649</v>
      </c>
      <c r="Q337">
        <v>18795765.765765768</v>
      </c>
      <c r="R337">
        <v>21215585.585585587</v>
      </c>
      <c r="S337">
        <v>5216</v>
      </c>
      <c r="T337">
        <v>5153</v>
      </c>
    </row>
    <row r="338" spans="1:20" x14ac:dyDescent="0.35">
      <c r="A338" s="7" t="s">
        <v>437</v>
      </c>
      <c r="B338" s="12" t="s">
        <v>70</v>
      </c>
      <c r="C338">
        <v>5290338.3467635186</v>
      </c>
      <c r="D338">
        <v>4968203.0559493918</v>
      </c>
      <c r="G338">
        <v>9</v>
      </c>
      <c r="H338">
        <v>5</v>
      </c>
      <c r="K338">
        <v>9</v>
      </c>
      <c r="L338">
        <v>5</v>
      </c>
      <c r="O338">
        <v>2870135.1351351342</v>
      </c>
      <c r="P338">
        <v>3367333.333333333</v>
      </c>
      <c r="S338">
        <v>1279</v>
      </c>
      <c r="T338">
        <v>2084</v>
      </c>
    </row>
    <row r="339" spans="1:20" x14ac:dyDescent="0.35">
      <c r="A339" s="7" t="s">
        <v>438</v>
      </c>
      <c r="B339" s="12" t="s">
        <v>195</v>
      </c>
      <c r="C339">
        <v>786149972.31694937</v>
      </c>
      <c r="D339">
        <v>765812769.06111717</v>
      </c>
      <c r="E339">
        <v>87660098.198198214</v>
      </c>
      <c r="F339">
        <v>97755530.630630627</v>
      </c>
      <c r="G339">
        <v>177</v>
      </c>
      <c r="H339">
        <v>188</v>
      </c>
      <c r="K339">
        <v>218</v>
      </c>
      <c r="L339">
        <v>257</v>
      </c>
      <c r="M339">
        <v>73721171.171171173</v>
      </c>
      <c r="N339">
        <v>64658018.018018022</v>
      </c>
      <c r="O339">
        <v>124172351.35135137</v>
      </c>
      <c r="P339">
        <v>132970806.3063063</v>
      </c>
      <c r="Q339">
        <v>64860000</v>
      </c>
      <c r="R339">
        <v>60245585.585585594</v>
      </c>
      <c r="S339">
        <v>20824</v>
      </c>
      <c r="T339">
        <v>20398</v>
      </c>
    </row>
    <row r="340" spans="1:20" x14ac:dyDescent="0.35">
      <c r="A340" s="7" t="s">
        <v>439</v>
      </c>
      <c r="B340" s="12" t="s">
        <v>178</v>
      </c>
      <c r="C340">
        <v>375216069.61951232</v>
      </c>
      <c r="D340">
        <v>380564722.23092633</v>
      </c>
      <c r="E340">
        <v>631801.80180180096</v>
      </c>
      <c r="F340">
        <v>1686486.486486489</v>
      </c>
      <c r="G340">
        <v>67</v>
      </c>
      <c r="H340">
        <v>44</v>
      </c>
      <c r="I340">
        <v>1</v>
      </c>
      <c r="K340">
        <v>82</v>
      </c>
      <c r="L340">
        <v>117</v>
      </c>
      <c r="M340">
        <v>68356306.306306317</v>
      </c>
      <c r="N340">
        <v>67863188.288288295</v>
      </c>
      <c r="O340">
        <v>144376522.52252254</v>
      </c>
      <c r="P340">
        <v>154047833.33333334</v>
      </c>
      <c r="Q340">
        <v>59706846.846846849</v>
      </c>
      <c r="R340">
        <v>62495630.630630627</v>
      </c>
      <c r="S340">
        <v>14493</v>
      </c>
      <c r="T340">
        <v>14520</v>
      </c>
    </row>
    <row r="341" spans="1:20" x14ac:dyDescent="0.35">
      <c r="A341" s="7" t="s">
        <v>440</v>
      </c>
      <c r="B341" s="12" t="s">
        <v>78</v>
      </c>
      <c r="C341">
        <v>161211656.24503228</v>
      </c>
      <c r="D341">
        <v>167550021.14463961</v>
      </c>
      <c r="E341">
        <v>1225855.855855857</v>
      </c>
      <c r="F341">
        <v>2541441.4414414428</v>
      </c>
      <c r="G341">
        <v>22</v>
      </c>
      <c r="H341">
        <v>36</v>
      </c>
      <c r="K341">
        <v>32</v>
      </c>
      <c r="L341">
        <v>50</v>
      </c>
      <c r="M341">
        <v>10982612.612612611</v>
      </c>
      <c r="N341">
        <v>17316216.216216218</v>
      </c>
      <c r="O341">
        <v>32007396.396396395</v>
      </c>
      <c r="P341">
        <v>33435216.216216218</v>
      </c>
      <c r="Q341">
        <v>12717297.297297295</v>
      </c>
      <c r="R341">
        <v>16072702.702702705</v>
      </c>
      <c r="S341">
        <v>4874</v>
      </c>
      <c r="T341">
        <v>4893</v>
      </c>
    </row>
    <row r="342" spans="1:20" x14ac:dyDescent="0.35">
      <c r="A342" s="7" t="s">
        <v>441</v>
      </c>
      <c r="B342" s="12" t="s">
        <v>78</v>
      </c>
      <c r="C342">
        <v>72490267.832598463</v>
      </c>
      <c r="D342">
        <v>68571262.303174332</v>
      </c>
      <c r="E342">
        <v>332432.432432434</v>
      </c>
      <c r="F342">
        <v>1252252.2522522539</v>
      </c>
      <c r="G342">
        <v>16</v>
      </c>
      <c r="H342">
        <v>14</v>
      </c>
      <c r="K342">
        <v>17</v>
      </c>
      <c r="L342">
        <v>21</v>
      </c>
      <c r="M342">
        <v>13197297.297297299</v>
      </c>
      <c r="N342">
        <v>14873873.873873873</v>
      </c>
      <c r="O342">
        <v>14057297.297297299</v>
      </c>
      <c r="P342">
        <v>14870828.828828828</v>
      </c>
      <c r="Q342">
        <v>14559909.909909911</v>
      </c>
      <c r="R342">
        <v>15795405.405405408</v>
      </c>
      <c r="S342">
        <v>2337</v>
      </c>
      <c r="T342">
        <v>2424</v>
      </c>
    </row>
    <row r="343" spans="1:20" x14ac:dyDescent="0.35">
      <c r="A343" s="7" t="s">
        <v>442</v>
      </c>
      <c r="B343" s="12" t="s">
        <v>123</v>
      </c>
      <c r="C343">
        <v>1103325.073670422</v>
      </c>
      <c r="D343">
        <v>1264946.836492362</v>
      </c>
      <c r="G343">
        <v>1</v>
      </c>
      <c r="K343">
        <v>1</v>
      </c>
      <c r="O343">
        <v>443963.96396396402</v>
      </c>
      <c r="P343">
        <v>456531.531531532</v>
      </c>
      <c r="S343">
        <v>396</v>
      </c>
      <c r="T343">
        <v>333</v>
      </c>
    </row>
    <row r="344" spans="1:20" x14ac:dyDescent="0.35">
      <c r="A344" s="7" t="s">
        <v>443</v>
      </c>
      <c r="B344" s="12" t="s">
        <v>140</v>
      </c>
      <c r="C344">
        <v>163455004.2873975</v>
      </c>
      <c r="D344">
        <v>168974555.53856656</v>
      </c>
      <c r="E344">
        <v>727927.92792792805</v>
      </c>
      <c r="F344">
        <v>650900.90090089897</v>
      </c>
      <c r="G344">
        <v>15</v>
      </c>
      <c r="H344">
        <v>30</v>
      </c>
      <c r="I344">
        <v>1</v>
      </c>
      <c r="K344">
        <v>17</v>
      </c>
      <c r="L344">
        <v>37</v>
      </c>
      <c r="M344">
        <v>16804054.054054055</v>
      </c>
      <c r="N344">
        <v>18318378.378378376</v>
      </c>
      <c r="O344">
        <v>40316441.441441439</v>
      </c>
      <c r="P344">
        <v>45279324.324324317</v>
      </c>
      <c r="Q344">
        <v>14953333.333333334</v>
      </c>
      <c r="R344">
        <v>15921261.26126126</v>
      </c>
      <c r="S344">
        <v>5833</v>
      </c>
      <c r="T344">
        <v>5438</v>
      </c>
    </row>
    <row r="345" spans="1:20" x14ac:dyDescent="0.35">
      <c r="A345" s="7" t="s">
        <v>444</v>
      </c>
      <c r="B345" s="12" t="s">
        <v>76</v>
      </c>
      <c r="C345">
        <v>18258224.569582697</v>
      </c>
      <c r="D345">
        <v>18563896.913448405</v>
      </c>
      <c r="E345">
        <v>40540.540540540998</v>
      </c>
      <c r="F345">
        <v>160360.36036036001</v>
      </c>
      <c r="G345">
        <v>5</v>
      </c>
      <c r="H345">
        <v>2</v>
      </c>
      <c r="K345">
        <v>7</v>
      </c>
      <c r="L345">
        <v>3</v>
      </c>
      <c r="M345">
        <v>7238738.7387387399</v>
      </c>
      <c r="N345">
        <v>3358558.5585585581</v>
      </c>
      <c r="O345">
        <v>3846846.8468468469</v>
      </c>
      <c r="P345">
        <v>3790693.6936936942</v>
      </c>
      <c r="Q345">
        <v>4764054.0540540526</v>
      </c>
      <c r="R345">
        <v>2473153.1531531541</v>
      </c>
      <c r="S345">
        <v>593</v>
      </c>
      <c r="T345">
        <v>574</v>
      </c>
    </row>
    <row r="346" spans="1:20" x14ac:dyDescent="0.35">
      <c r="A346" s="7" t="s">
        <v>445</v>
      </c>
      <c r="B346" s="12" t="s">
        <v>89</v>
      </c>
      <c r="C346">
        <v>511105185.35820711</v>
      </c>
      <c r="D346">
        <v>515881828.59839642</v>
      </c>
      <c r="E346">
        <v>60632030.630630635</v>
      </c>
      <c r="F346">
        <v>403757114.41441441</v>
      </c>
      <c r="G346">
        <v>94</v>
      </c>
      <c r="H346">
        <v>109</v>
      </c>
      <c r="I346">
        <v>2</v>
      </c>
      <c r="K346">
        <v>109</v>
      </c>
      <c r="L346">
        <v>476</v>
      </c>
      <c r="M346">
        <v>52326756.756756753</v>
      </c>
      <c r="N346">
        <v>231411891.8918919</v>
      </c>
      <c r="O346">
        <v>152487783.78378376</v>
      </c>
      <c r="P346">
        <v>167369349.54954955</v>
      </c>
      <c r="Q346">
        <v>53992612.612612605</v>
      </c>
      <c r="R346">
        <v>126465225.22522523</v>
      </c>
      <c r="S346">
        <v>16353</v>
      </c>
      <c r="T346">
        <v>16267</v>
      </c>
    </row>
    <row r="347" spans="1:20" x14ac:dyDescent="0.35">
      <c r="A347" s="7" t="s">
        <v>446</v>
      </c>
      <c r="B347" s="12" t="s">
        <v>48</v>
      </c>
      <c r="C347">
        <v>52338021.765669174</v>
      </c>
      <c r="D347">
        <v>50024791.274155088</v>
      </c>
      <c r="E347">
        <v>701801.80180180201</v>
      </c>
      <c r="F347">
        <v>612612.61261261301</v>
      </c>
      <c r="H347">
        <v>3</v>
      </c>
      <c r="L347">
        <v>9</v>
      </c>
      <c r="M347">
        <v>5892792.7927927934</v>
      </c>
      <c r="N347">
        <v>14992972.972972972</v>
      </c>
      <c r="O347">
        <v>17375180.180180181</v>
      </c>
      <c r="P347">
        <v>16804225.225225225</v>
      </c>
      <c r="Q347">
        <v>5737117.1171171172</v>
      </c>
      <c r="R347">
        <v>14803153.153153151</v>
      </c>
      <c r="S347">
        <v>1100</v>
      </c>
      <c r="T347">
        <v>1071</v>
      </c>
    </row>
    <row r="348" spans="1:20" x14ac:dyDescent="0.35">
      <c r="A348" s="7" t="s">
        <v>447</v>
      </c>
      <c r="B348" s="12" t="s">
        <v>448</v>
      </c>
      <c r="C348">
        <v>102474082.64449117</v>
      </c>
      <c r="D348">
        <v>98812830.18496339</v>
      </c>
      <c r="E348">
        <v>677477.47747747903</v>
      </c>
      <c r="F348">
        <v>2714414.414414417</v>
      </c>
      <c r="G348">
        <v>520</v>
      </c>
      <c r="H348">
        <v>104</v>
      </c>
      <c r="K348">
        <v>545</v>
      </c>
      <c r="L348">
        <v>163</v>
      </c>
      <c r="M348">
        <v>6472522.5225225231</v>
      </c>
      <c r="N348">
        <v>8346846.8468468487</v>
      </c>
      <c r="O348">
        <v>41524144.144144148</v>
      </c>
      <c r="P348">
        <v>40811306.306306303</v>
      </c>
      <c r="Q348">
        <v>6664324.3243243247</v>
      </c>
      <c r="R348">
        <v>7663153.1531531559</v>
      </c>
      <c r="S348">
        <v>5608</v>
      </c>
      <c r="T348">
        <v>5569</v>
      </c>
    </row>
    <row r="349" spans="1:20" x14ac:dyDescent="0.35">
      <c r="A349" s="7" t="s">
        <v>449</v>
      </c>
      <c r="B349" s="12" t="s">
        <v>76</v>
      </c>
      <c r="C349">
        <v>26055834.435610689</v>
      </c>
      <c r="D349">
        <v>23591985.766223893</v>
      </c>
      <c r="E349">
        <v>16216.216216217001</v>
      </c>
      <c r="F349">
        <v>307207.20720720798</v>
      </c>
      <c r="G349">
        <v>7</v>
      </c>
      <c r="H349">
        <v>18</v>
      </c>
      <c r="K349">
        <v>8</v>
      </c>
      <c r="L349">
        <v>19</v>
      </c>
      <c r="M349">
        <v>4497297.297297298</v>
      </c>
      <c r="N349">
        <v>8872792.7927927934</v>
      </c>
      <c r="O349">
        <v>9289774.7747747768</v>
      </c>
      <c r="P349">
        <v>8694736.9369369373</v>
      </c>
      <c r="Q349">
        <v>3991531.5315315318</v>
      </c>
      <c r="R349">
        <v>6453423.4234234244</v>
      </c>
      <c r="S349">
        <v>1865</v>
      </c>
      <c r="T349">
        <v>1857</v>
      </c>
    </row>
    <row r="350" spans="1:20" x14ac:dyDescent="0.35">
      <c r="A350" s="7" t="s">
        <v>450</v>
      </c>
      <c r="B350" s="12" t="s">
        <v>83</v>
      </c>
      <c r="C350">
        <v>928200818.52003241</v>
      </c>
      <c r="D350">
        <v>925986311.08791625</v>
      </c>
      <c r="E350">
        <v>556394511.71171176</v>
      </c>
      <c r="F350">
        <v>261018738.73873875</v>
      </c>
      <c r="G350">
        <v>185</v>
      </c>
      <c r="H350">
        <v>203</v>
      </c>
      <c r="I350">
        <v>5</v>
      </c>
      <c r="K350">
        <v>200</v>
      </c>
      <c r="L350">
        <v>234</v>
      </c>
      <c r="M350">
        <v>98675855.855855852</v>
      </c>
      <c r="N350">
        <v>123946846.84684685</v>
      </c>
      <c r="O350">
        <v>190689180.18018019</v>
      </c>
      <c r="P350">
        <v>196179292.7927928</v>
      </c>
      <c r="Q350">
        <v>89660090.090090081</v>
      </c>
      <c r="R350">
        <v>112280810.81081082</v>
      </c>
      <c r="S350">
        <v>31299</v>
      </c>
      <c r="T350">
        <v>31090</v>
      </c>
    </row>
    <row r="351" spans="1:20" x14ac:dyDescent="0.35">
      <c r="A351" s="7" t="s">
        <v>451</v>
      </c>
      <c r="B351" s="12" t="s">
        <v>70</v>
      </c>
      <c r="C351">
        <v>63032334.369662799</v>
      </c>
      <c r="D351">
        <v>60046807.003031746</v>
      </c>
      <c r="E351">
        <v>415315.31531531498</v>
      </c>
      <c r="F351">
        <v>48648.648648649003</v>
      </c>
      <c r="G351">
        <v>17</v>
      </c>
      <c r="H351">
        <v>9</v>
      </c>
      <c r="K351">
        <v>17</v>
      </c>
      <c r="L351">
        <v>11</v>
      </c>
      <c r="M351">
        <v>739639.63963963999</v>
      </c>
      <c r="N351">
        <v>888288.28828828898</v>
      </c>
      <c r="O351">
        <v>37204639.639639638</v>
      </c>
      <c r="P351">
        <v>36395351.351351351</v>
      </c>
      <c r="Q351">
        <v>1428648.6486486499</v>
      </c>
      <c r="R351">
        <v>1154144.1441441451</v>
      </c>
      <c r="S351">
        <v>2785</v>
      </c>
      <c r="T351">
        <v>2921</v>
      </c>
    </row>
    <row r="352" spans="1:20" x14ac:dyDescent="0.35">
      <c r="A352" s="7" t="s">
        <v>452</v>
      </c>
      <c r="B352" s="12" t="s">
        <v>167</v>
      </c>
      <c r="C352">
        <v>74376218.206887141</v>
      </c>
      <c r="D352">
        <v>71844444.886553302</v>
      </c>
      <c r="E352">
        <v>39639.639639640001</v>
      </c>
      <c r="F352">
        <v>495495.49549549498</v>
      </c>
      <c r="G352">
        <v>3</v>
      </c>
      <c r="H352">
        <v>4</v>
      </c>
      <c r="I352">
        <v>1</v>
      </c>
      <c r="K352">
        <v>4</v>
      </c>
      <c r="L352">
        <v>4</v>
      </c>
      <c r="M352">
        <v>4309549.5495495507</v>
      </c>
      <c r="N352">
        <v>720720.72072072001</v>
      </c>
      <c r="O352">
        <v>12085225.225225223</v>
      </c>
      <c r="P352">
        <v>13008666.666666666</v>
      </c>
      <c r="Q352">
        <v>4635585.5855855858</v>
      </c>
      <c r="R352">
        <v>2347027.0270270272</v>
      </c>
      <c r="S352">
        <v>2885</v>
      </c>
      <c r="T352">
        <v>2755</v>
      </c>
    </row>
    <row r="353" spans="1:20" x14ac:dyDescent="0.35">
      <c r="A353" s="7" t="s">
        <v>453</v>
      </c>
      <c r="B353" s="12" t="s">
        <v>121</v>
      </c>
      <c r="C353">
        <v>4603184.3370552361</v>
      </c>
      <c r="D353">
        <v>3235128.1299501518</v>
      </c>
      <c r="E353">
        <v>14414.414414413999</v>
      </c>
      <c r="F353">
        <v>34234.234234233998</v>
      </c>
      <c r="G353">
        <v>3</v>
      </c>
      <c r="K353">
        <v>3</v>
      </c>
      <c r="M353">
        <v>14414.414414413999</v>
      </c>
      <c r="N353">
        <v>36036.036036035999</v>
      </c>
      <c r="O353">
        <v>464819.81981982</v>
      </c>
      <c r="P353">
        <v>285360.36036036001</v>
      </c>
      <c r="S353">
        <v>126</v>
      </c>
      <c r="T353">
        <v>131</v>
      </c>
    </row>
    <row r="354" spans="1:20" x14ac:dyDescent="0.35">
      <c r="A354" s="7" t="s">
        <v>454</v>
      </c>
      <c r="B354" s="12" t="s">
        <v>224</v>
      </c>
      <c r="C354">
        <v>28547329.530087527</v>
      </c>
      <c r="D354">
        <v>22928158.484882377</v>
      </c>
      <c r="G354">
        <v>1</v>
      </c>
      <c r="K354">
        <v>1</v>
      </c>
      <c r="L354">
        <v>1</v>
      </c>
      <c r="O354">
        <v>4993423.4234234244</v>
      </c>
      <c r="P354">
        <v>5096342.3423423432</v>
      </c>
      <c r="Q354">
        <v>135585.585585586</v>
      </c>
      <c r="R354">
        <v>138828.82882882899</v>
      </c>
      <c r="S354">
        <v>1183</v>
      </c>
      <c r="T354">
        <v>1270</v>
      </c>
    </row>
    <row r="355" spans="1:20" x14ac:dyDescent="0.35">
      <c r="A355" s="7" t="s">
        <v>455</v>
      </c>
      <c r="B355" s="12" t="s">
        <v>94</v>
      </c>
      <c r="C355">
        <v>31899736.131523222</v>
      </c>
      <c r="D355">
        <v>40833769.15990968</v>
      </c>
      <c r="E355">
        <v>200000</v>
      </c>
      <c r="F355">
        <v>400900.90090090199</v>
      </c>
      <c r="G355">
        <v>12</v>
      </c>
      <c r="H355">
        <v>14</v>
      </c>
      <c r="K355">
        <v>14</v>
      </c>
      <c r="L355">
        <v>15</v>
      </c>
      <c r="M355">
        <v>4691891.8918918921</v>
      </c>
      <c r="N355">
        <v>15860360.36036036</v>
      </c>
      <c r="O355">
        <v>6555630.6306306301</v>
      </c>
      <c r="P355">
        <v>9680067.5675675683</v>
      </c>
      <c r="Q355">
        <v>4886216.2162162159</v>
      </c>
      <c r="R355">
        <v>15320270.270270271</v>
      </c>
      <c r="S355">
        <v>1867</v>
      </c>
      <c r="T355">
        <v>1882</v>
      </c>
    </row>
    <row r="356" spans="1:20" x14ac:dyDescent="0.35">
      <c r="A356" s="7" t="s">
        <v>456</v>
      </c>
      <c r="B356" s="12" t="s">
        <v>60</v>
      </c>
      <c r="C356">
        <v>7144779.1640596073</v>
      </c>
      <c r="D356">
        <v>5449006.4287810959</v>
      </c>
      <c r="E356">
        <v>295495.49549549498</v>
      </c>
      <c r="F356">
        <v>124324.324324324</v>
      </c>
      <c r="G356">
        <v>5</v>
      </c>
      <c r="H356">
        <v>2</v>
      </c>
      <c r="K356">
        <v>5</v>
      </c>
      <c r="L356">
        <v>3</v>
      </c>
      <c r="M356">
        <v>926126.12612612604</v>
      </c>
      <c r="N356">
        <v>1160360.36036036</v>
      </c>
      <c r="O356">
        <v>4183018.018018018</v>
      </c>
      <c r="P356">
        <v>2270036.036036036</v>
      </c>
      <c r="Q356">
        <v>850000</v>
      </c>
      <c r="R356">
        <v>578378.37837837799</v>
      </c>
      <c r="S356">
        <v>652</v>
      </c>
      <c r="T356">
        <v>543</v>
      </c>
    </row>
    <row r="357" spans="1:20" x14ac:dyDescent="0.35">
      <c r="A357" s="7" t="s">
        <v>671</v>
      </c>
      <c r="B357" s="12" t="s">
        <v>214</v>
      </c>
      <c r="E357">
        <v>11486486.486486485</v>
      </c>
      <c r="F357">
        <v>2477477.4774774769</v>
      </c>
      <c r="M357">
        <v>243243.24324324299</v>
      </c>
      <c r="N357">
        <v>19819.819819820001</v>
      </c>
    </row>
    <row r="358" spans="1:20" x14ac:dyDescent="0.35">
      <c r="A358" s="7" t="s">
        <v>457</v>
      </c>
      <c r="B358" s="12" t="s">
        <v>214</v>
      </c>
      <c r="C358">
        <v>91447499.582741588</v>
      </c>
      <c r="D358">
        <v>100435101.3722664</v>
      </c>
      <c r="F358">
        <v>297297.29729729699</v>
      </c>
      <c r="G358">
        <v>14</v>
      </c>
      <c r="H358">
        <v>21</v>
      </c>
      <c r="K358">
        <v>16</v>
      </c>
      <c r="L358">
        <v>35</v>
      </c>
      <c r="M358">
        <v>450450.45045045001</v>
      </c>
      <c r="N358">
        <v>837837.83783783799</v>
      </c>
      <c r="O358">
        <v>46895045.045045048</v>
      </c>
      <c r="P358">
        <v>50874882.882882878</v>
      </c>
      <c r="Q358">
        <v>432432.43243243202</v>
      </c>
      <c r="R358">
        <v>1704504.5045045051</v>
      </c>
      <c r="S358">
        <v>2897</v>
      </c>
      <c r="T358">
        <v>2944</v>
      </c>
    </row>
    <row r="359" spans="1:20" x14ac:dyDescent="0.35">
      <c r="A359" s="7" t="s">
        <v>458</v>
      </c>
      <c r="B359" s="12" t="s">
        <v>459</v>
      </c>
      <c r="C359">
        <v>408134218.05717385</v>
      </c>
      <c r="D359">
        <v>387828018.99115855</v>
      </c>
      <c r="E359">
        <v>1516036.0360360381</v>
      </c>
      <c r="F359">
        <v>5977927.9279279336</v>
      </c>
      <c r="G359">
        <v>164</v>
      </c>
      <c r="H359">
        <v>158</v>
      </c>
      <c r="I359">
        <v>2</v>
      </c>
      <c r="K359">
        <v>237</v>
      </c>
      <c r="L359">
        <v>200</v>
      </c>
      <c r="M359">
        <v>44145495.495495491</v>
      </c>
      <c r="N359">
        <v>103550720.72072072</v>
      </c>
      <c r="O359">
        <v>132155567.56756757</v>
      </c>
      <c r="P359">
        <v>140129425.67567569</v>
      </c>
      <c r="Q359">
        <v>38128738.738738738</v>
      </c>
      <c r="R359">
        <v>72467027.027027041</v>
      </c>
      <c r="S359">
        <v>25491</v>
      </c>
      <c r="T359">
        <v>24490</v>
      </c>
    </row>
    <row r="360" spans="1:20" x14ac:dyDescent="0.35">
      <c r="A360" s="7" t="s">
        <v>460</v>
      </c>
      <c r="B360" s="12" t="s">
        <v>459</v>
      </c>
      <c r="C360">
        <v>685341910.79049253</v>
      </c>
      <c r="D360">
        <v>1263690278.9238479</v>
      </c>
      <c r="E360">
        <v>6321801.8018018063</v>
      </c>
      <c r="F360">
        <v>7599099.0990991052</v>
      </c>
      <c r="G360">
        <v>324</v>
      </c>
      <c r="H360">
        <v>264</v>
      </c>
      <c r="I360">
        <v>1</v>
      </c>
      <c r="K360">
        <v>407</v>
      </c>
      <c r="L360">
        <v>350</v>
      </c>
      <c r="M360">
        <v>44997522.522522517</v>
      </c>
      <c r="N360">
        <v>62494954.954954945</v>
      </c>
      <c r="O360">
        <v>181095702.7027027</v>
      </c>
      <c r="P360">
        <v>795075950.45045042</v>
      </c>
      <c r="Q360">
        <v>41131396.396396399</v>
      </c>
      <c r="R360">
        <v>59198108.108108096</v>
      </c>
      <c r="S360">
        <v>31383</v>
      </c>
      <c r="T360">
        <v>30319</v>
      </c>
    </row>
    <row r="361" spans="1:20" x14ac:dyDescent="0.35">
      <c r="A361" s="7" t="s">
        <v>461</v>
      </c>
      <c r="B361" s="12" t="s">
        <v>459</v>
      </c>
      <c r="C361">
        <v>603769943.96747828</v>
      </c>
      <c r="D361">
        <v>623449663.76701236</v>
      </c>
      <c r="E361">
        <v>1045495.495495497</v>
      </c>
      <c r="F361">
        <v>5392792.792792798</v>
      </c>
      <c r="G361">
        <v>246</v>
      </c>
      <c r="H361">
        <v>200</v>
      </c>
      <c r="I361">
        <v>4</v>
      </c>
      <c r="K361">
        <v>307</v>
      </c>
      <c r="L361">
        <v>303</v>
      </c>
      <c r="M361">
        <v>792636846.84684682</v>
      </c>
      <c r="N361">
        <v>570950090.09009016</v>
      </c>
      <c r="O361">
        <v>157267355.85585588</v>
      </c>
      <c r="P361">
        <v>173695891.8918919</v>
      </c>
      <c r="Q361">
        <v>752781891.89189184</v>
      </c>
      <c r="R361">
        <v>98989459.459459454</v>
      </c>
      <c r="S361">
        <v>23334</v>
      </c>
      <c r="T361">
        <v>24258</v>
      </c>
    </row>
    <row r="362" spans="1:20" x14ac:dyDescent="0.35">
      <c r="A362" s="7" t="s">
        <v>462</v>
      </c>
      <c r="B362" s="12" t="s">
        <v>459</v>
      </c>
      <c r="C362">
        <v>453731672.70264584</v>
      </c>
      <c r="D362">
        <v>449725118.43157518</v>
      </c>
      <c r="E362">
        <v>215675.67567568101</v>
      </c>
      <c r="F362">
        <v>1820720.720720724</v>
      </c>
      <c r="G362">
        <v>106</v>
      </c>
      <c r="H362">
        <v>146</v>
      </c>
      <c r="K362">
        <v>125</v>
      </c>
      <c r="L362">
        <v>197</v>
      </c>
      <c r="M362">
        <v>22719099.0990991</v>
      </c>
      <c r="N362">
        <v>72038918.918918908</v>
      </c>
      <c r="O362">
        <v>98790169.369369358</v>
      </c>
      <c r="P362">
        <v>103103162.16216215</v>
      </c>
      <c r="Q362">
        <v>25723153.153153155</v>
      </c>
      <c r="R362">
        <v>36971981.981981978</v>
      </c>
      <c r="S362">
        <v>19763</v>
      </c>
      <c r="T362">
        <v>18801</v>
      </c>
    </row>
    <row r="363" spans="1:20" x14ac:dyDescent="0.35">
      <c r="A363" s="7" t="s">
        <v>463</v>
      </c>
      <c r="B363" s="12" t="s">
        <v>459</v>
      </c>
      <c r="C363">
        <v>431785661.70392543</v>
      </c>
      <c r="D363">
        <v>439975244.57308936</v>
      </c>
      <c r="E363">
        <v>782882.88288288598</v>
      </c>
      <c r="F363">
        <v>6675000.0000000056</v>
      </c>
      <c r="G363">
        <v>138</v>
      </c>
      <c r="H363">
        <v>242</v>
      </c>
      <c r="K363">
        <v>181</v>
      </c>
      <c r="L363">
        <v>368</v>
      </c>
      <c r="M363">
        <v>29336216.21621621</v>
      </c>
      <c r="N363">
        <v>135726486.48648649</v>
      </c>
      <c r="O363">
        <v>159686711.7117117</v>
      </c>
      <c r="P363">
        <v>174685608.1081081</v>
      </c>
      <c r="Q363">
        <v>27811441.441441432</v>
      </c>
      <c r="R363">
        <v>65174324.324324317</v>
      </c>
      <c r="S363">
        <v>26722</v>
      </c>
      <c r="T363">
        <v>26162</v>
      </c>
    </row>
    <row r="364" spans="1:20" x14ac:dyDescent="0.35">
      <c r="A364" s="7" t="s">
        <v>464</v>
      </c>
      <c r="B364" s="12" t="s">
        <v>459</v>
      </c>
      <c r="C364">
        <v>482260965.95050114</v>
      </c>
      <c r="D364">
        <v>506068274.9328745</v>
      </c>
      <c r="E364">
        <v>1244136365.7657659</v>
      </c>
      <c r="F364">
        <v>1666487444.1441441</v>
      </c>
      <c r="G364">
        <v>218</v>
      </c>
      <c r="H364">
        <v>150</v>
      </c>
      <c r="K364">
        <v>249</v>
      </c>
      <c r="L364">
        <v>201</v>
      </c>
      <c r="M364">
        <v>65638153.153153151</v>
      </c>
      <c r="N364">
        <v>78920031.531531513</v>
      </c>
      <c r="O364">
        <v>209686682.88288289</v>
      </c>
      <c r="P364">
        <v>215228002.25225225</v>
      </c>
      <c r="Q364">
        <v>60403873.873873882</v>
      </c>
      <c r="R364">
        <v>69403153.153153151</v>
      </c>
      <c r="S364">
        <v>28820</v>
      </c>
      <c r="T364">
        <v>28482</v>
      </c>
    </row>
    <row r="365" spans="1:20" x14ac:dyDescent="0.35">
      <c r="A365" s="7" t="s">
        <v>465</v>
      </c>
      <c r="B365" s="12" t="s">
        <v>54</v>
      </c>
      <c r="C365">
        <v>34349123.442110524</v>
      </c>
      <c r="D365">
        <v>32597060.952245049</v>
      </c>
      <c r="E365">
        <v>10810.810810810999</v>
      </c>
      <c r="F365">
        <v>97297.297297298996</v>
      </c>
      <c r="G365">
        <v>3</v>
      </c>
      <c r="H365">
        <v>7</v>
      </c>
      <c r="K365">
        <v>4</v>
      </c>
      <c r="L365">
        <v>10</v>
      </c>
      <c r="M365">
        <v>2255855.8558558561</v>
      </c>
      <c r="N365">
        <v>2676396.3963963981</v>
      </c>
      <c r="O365">
        <v>7033603.6036036042</v>
      </c>
      <c r="P365">
        <v>6848594.594594595</v>
      </c>
      <c r="Q365">
        <v>2744594.5945945941</v>
      </c>
      <c r="R365">
        <v>2803333.3333333321</v>
      </c>
      <c r="S365">
        <v>1201</v>
      </c>
      <c r="T365">
        <v>1193</v>
      </c>
    </row>
    <row r="366" spans="1:20" x14ac:dyDescent="0.35">
      <c r="A366" s="7" t="s">
        <v>466</v>
      </c>
      <c r="B366" s="12" t="s">
        <v>87</v>
      </c>
      <c r="C366">
        <v>1499577.7326695281</v>
      </c>
      <c r="D366">
        <v>1249866.136528916</v>
      </c>
      <c r="O366">
        <v>300000</v>
      </c>
      <c r="P366">
        <v>283783.78378378402</v>
      </c>
      <c r="S366">
        <v>88</v>
      </c>
      <c r="T366">
        <v>67</v>
      </c>
    </row>
    <row r="367" spans="1:20" x14ac:dyDescent="0.35">
      <c r="A367" s="7" t="s">
        <v>467</v>
      </c>
      <c r="B367" s="12" t="s">
        <v>143</v>
      </c>
      <c r="C367">
        <v>170511616.58359352</v>
      </c>
      <c r="D367">
        <v>161379833.22111952</v>
      </c>
      <c r="E367">
        <v>63963.963963964001</v>
      </c>
      <c r="F367">
        <v>37068468.468468472</v>
      </c>
      <c r="G367">
        <v>47</v>
      </c>
      <c r="H367">
        <v>47</v>
      </c>
      <c r="K367">
        <v>54</v>
      </c>
      <c r="L367">
        <v>57</v>
      </c>
      <c r="M367">
        <v>11672072.072072072</v>
      </c>
      <c r="N367">
        <v>8401801.8018018026</v>
      </c>
      <c r="O367">
        <v>27475891.891891893</v>
      </c>
      <c r="P367">
        <v>24585572.97297297</v>
      </c>
      <c r="Q367">
        <v>8903423.4234234244</v>
      </c>
      <c r="R367">
        <v>6163423.4234234216</v>
      </c>
      <c r="S367">
        <v>4913</v>
      </c>
      <c r="T367">
        <v>4984</v>
      </c>
    </row>
    <row r="368" spans="1:20" x14ac:dyDescent="0.35">
      <c r="A368" s="7" t="s">
        <v>468</v>
      </c>
      <c r="B368" s="12" t="s">
        <v>80</v>
      </c>
      <c r="C368">
        <v>148486818.59091616</v>
      </c>
      <c r="D368">
        <v>137869892.97588611</v>
      </c>
      <c r="E368">
        <v>10810.810810810999</v>
      </c>
      <c r="F368">
        <v>31081.081081082</v>
      </c>
      <c r="G368">
        <v>21</v>
      </c>
      <c r="H368">
        <v>20</v>
      </c>
      <c r="K368">
        <v>24</v>
      </c>
      <c r="L368">
        <v>23</v>
      </c>
      <c r="M368">
        <v>3842342.3423423432</v>
      </c>
      <c r="N368">
        <v>3488738.7387387389</v>
      </c>
      <c r="O368">
        <v>54861322.522522517</v>
      </c>
      <c r="P368">
        <v>51289855.855855852</v>
      </c>
      <c r="Q368">
        <v>4644864.8648648644</v>
      </c>
      <c r="R368">
        <v>2398738.7387387399</v>
      </c>
      <c r="S368">
        <v>5299</v>
      </c>
      <c r="T368">
        <v>4330</v>
      </c>
    </row>
    <row r="369" spans="1:20" x14ac:dyDescent="0.35">
      <c r="A369" s="7" t="s">
        <v>469</v>
      </c>
      <c r="B369" s="12" t="s">
        <v>470</v>
      </c>
      <c r="C369">
        <v>161740436.40118647</v>
      </c>
      <c r="D369">
        <v>165169721.57566574</v>
      </c>
      <c r="E369">
        <v>1006036.036036036</v>
      </c>
      <c r="F369">
        <v>1205405.4054054059</v>
      </c>
      <c r="G369">
        <v>39</v>
      </c>
      <c r="H369">
        <v>15</v>
      </c>
      <c r="K369">
        <v>40</v>
      </c>
      <c r="L369">
        <v>16</v>
      </c>
      <c r="M369">
        <v>6627657.6576576568</v>
      </c>
      <c r="N369">
        <v>12592792.792792792</v>
      </c>
      <c r="O369">
        <v>49118558.558558561</v>
      </c>
      <c r="P369">
        <v>50565108.108108103</v>
      </c>
      <c r="Q369">
        <v>6915045.0450450452</v>
      </c>
      <c r="R369">
        <v>13605315.315315315</v>
      </c>
      <c r="S369">
        <v>5377</v>
      </c>
      <c r="T369">
        <v>5594</v>
      </c>
    </row>
    <row r="370" spans="1:20" x14ac:dyDescent="0.35">
      <c r="A370" s="7" t="s">
        <v>471</v>
      </c>
      <c r="B370" s="12" t="s">
        <v>470</v>
      </c>
      <c r="C370">
        <v>15180817.189143181</v>
      </c>
      <c r="D370">
        <v>12570314.239538029</v>
      </c>
      <c r="E370">
        <v>12301801.801801803</v>
      </c>
      <c r="F370">
        <v>83225225.225225225</v>
      </c>
      <c r="G370">
        <v>1</v>
      </c>
      <c r="K370">
        <v>1</v>
      </c>
      <c r="M370">
        <v>8618918.9189189188</v>
      </c>
      <c r="N370">
        <v>2077927.927927928</v>
      </c>
      <c r="O370">
        <v>1141531.5315315321</v>
      </c>
      <c r="P370">
        <v>1253198.1981981981</v>
      </c>
      <c r="R370">
        <v>1823423.4234234239</v>
      </c>
      <c r="S370">
        <v>632</v>
      </c>
      <c r="T370">
        <v>641</v>
      </c>
    </row>
    <row r="371" spans="1:20" x14ac:dyDescent="0.35">
      <c r="A371" s="7" t="s">
        <v>472</v>
      </c>
      <c r="B371" s="12" t="s">
        <v>470</v>
      </c>
      <c r="C371">
        <v>2184498.1806785539</v>
      </c>
      <c r="D371">
        <v>1762805.730269192</v>
      </c>
      <c r="E371">
        <v>1801.801801802</v>
      </c>
      <c r="F371">
        <v>201801.80180180201</v>
      </c>
      <c r="M371">
        <v>1801.801801802</v>
      </c>
      <c r="N371">
        <v>1895495.4954954961</v>
      </c>
      <c r="O371">
        <v>322522.52252252301</v>
      </c>
      <c r="P371">
        <v>375090.09009009</v>
      </c>
      <c r="Q371">
        <v>136936.93693693701</v>
      </c>
      <c r="R371">
        <v>1693693.693693694</v>
      </c>
      <c r="S371">
        <v>463</v>
      </c>
      <c r="T371">
        <v>304</v>
      </c>
    </row>
    <row r="372" spans="1:20" x14ac:dyDescent="0.35">
      <c r="A372" s="7" t="s">
        <v>473</v>
      </c>
      <c r="B372" s="12" t="s">
        <v>470</v>
      </c>
      <c r="C372">
        <v>55141379.254730873</v>
      </c>
      <c r="D372">
        <v>59012399.96438469</v>
      </c>
      <c r="E372">
        <v>190090.09009009</v>
      </c>
      <c r="F372">
        <v>219819.81981982</v>
      </c>
      <c r="G372">
        <v>11</v>
      </c>
      <c r="H372">
        <v>9</v>
      </c>
      <c r="K372">
        <v>14</v>
      </c>
      <c r="L372">
        <v>10</v>
      </c>
      <c r="M372">
        <v>379279.279279279</v>
      </c>
      <c r="N372">
        <v>2093693.693693694</v>
      </c>
      <c r="O372">
        <v>7593459.4594594594</v>
      </c>
      <c r="P372">
        <v>8582423.4234234225</v>
      </c>
      <c r="Q372">
        <v>4435405.405405405</v>
      </c>
      <c r="R372">
        <v>10881441.441441443</v>
      </c>
      <c r="S372">
        <v>2159</v>
      </c>
      <c r="T372">
        <v>1941</v>
      </c>
    </row>
    <row r="373" spans="1:20" x14ac:dyDescent="0.35">
      <c r="A373" s="7" t="s">
        <v>474</v>
      </c>
      <c r="B373" s="12" t="s">
        <v>470</v>
      </c>
      <c r="C373">
        <v>80642094.647788644</v>
      </c>
      <c r="D373">
        <v>82343029.283580586</v>
      </c>
      <c r="E373">
        <v>35675.675675676001</v>
      </c>
      <c r="F373">
        <v>449549.54954954999</v>
      </c>
      <c r="G373">
        <v>19</v>
      </c>
      <c r="H373">
        <v>20</v>
      </c>
      <c r="K373">
        <v>21</v>
      </c>
      <c r="L373">
        <v>23</v>
      </c>
      <c r="M373">
        <v>2415135.1351351361</v>
      </c>
      <c r="N373">
        <v>5981081.0810810812</v>
      </c>
      <c r="O373">
        <v>18147018.018018015</v>
      </c>
      <c r="P373">
        <v>18014810.810810812</v>
      </c>
      <c r="Q373">
        <v>2324954.9549549571</v>
      </c>
      <c r="R373">
        <v>6182252.2522522537</v>
      </c>
      <c r="S373">
        <v>2316</v>
      </c>
      <c r="T373">
        <v>2379</v>
      </c>
    </row>
    <row r="374" spans="1:20" x14ac:dyDescent="0.35">
      <c r="A374" s="7" t="s">
        <v>475</v>
      </c>
      <c r="B374" s="12" t="s">
        <v>470</v>
      </c>
      <c r="C374">
        <v>30777473.062113207</v>
      </c>
      <c r="D374">
        <v>30724571.749564715</v>
      </c>
      <c r="E374">
        <v>5405.4054054050002</v>
      </c>
      <c r="F374">
        <v>303603.60360360402</v>
      </c>
      <c r="G374">
        <v>5</v>
      </c>
      <c r="H374">
        <v>3</v>
      </c>
      <c r="K374">
        <v>5</v>
      </c>
      <c r="L374">
        <v>3</v>
      </c>
      <c r="M374">
        <v>1415675.6756756769</v>
      </c>
      <c r="N374">
        <v>5240540.5405405425</v>
      </c>
      <c r="O374">
        <v>6516081.0810810821</v>
      </c>
      <c r="P374">
        <v>6420016.2162162159</v>
      </c>
      <c r="Q374">
        <v>1761621.6216216229</v>
      </c>
      <c r="R374">
        <v>4602342.3423423423</v>
      </c>
      <c r="S374">
        <v>1398</v>
      </c>
      <c r="T374">
        <v>1384</v>
      </c>
    </row>
    <row r="375" spans="1:20" x14ac:dyDescent="0.35">
      <c r="A375" s="7" t="s">
        <v>476</v>
      </c>
      <c r="B375" s="12" t="s">
        <v>470</v>
      </c>
      <c r="C375">
        <v>299291793.62460673</v>
      </c>
      <c r="D375">
        <v>309383676.76094073</v>
      </c>
      <c r="E375">
        <v>1376711.711711714</v>
      </c>
      <c r="F375">
        <v>5898198.1981982067</v>
      </c>
      <c r="G375">
        <v>68</v>
      </c>
      <c r="H375">
        <v>118</v>
      </c>
      <c r="K375">
        <v>77</v>
      </c>
      <c r="L375">
        <v>220</v>
      </c>
      <c r="M375">
        <v>48221261.261261262</v>
      </c>
      <c r="N375">
        <v>83740270.270270273</v>
      </c>
      <c r="O375">
        <v>72809607.207207203</v>
      </c>
      <c r="P375">
        <v>79192043.243243247</v>
      </c>
      <c r="Q375">
        <v>50729999.999999993</v>
      </c>
      <c r="R375">
        <v>81882882.882882878</v>
      </c>
      <c r="S375">
        <v>16066</v>
      </c>
      <c r="T375">
        <v>15971</v>
      </c>
    </row>
    <row r="376" spans="1:20" x14ac:dyDescent="0.35">
      <c r="A376" s="7" t="s">
        <v>477</v>
      </c>
      <c r="B376" s="12" t="s">
        <v>260</v>
      </c>
      <c r="C376">
        <v>357726380.37078023</v>
      </c>
      <c r="D376">
        <v>377259982.54114312</v>
      </c>
      <c r="E376">
        <v>698288.28828828898</v>
      </c>
      <c r="F376">
        <v>1604729.7297297299</v>
      </c>
      <c r="G376">
        <v>70</v>
      </c>
      <c r="H376">
        <v>59</v>
      </c>
      <c r="K376">
        <v>76</v>
      </c>
      <c r="L376">
        <v>68</v>
      </c>
      <c r="M376">
        <v>40982072.072072074</v>
      </c>
      <c r="N376">
        <v>44988288.288288288</v>
      </c>
      <c r="O376">
        <v>87407288.288288295</v>
      </c>
      <c r="P376">
        <v>97104031.531531543</v>
      </c>
      <c r="Q376">
        <v>42422702.702702701</v>
      </c>
      <c r="R376">
        <v>43754504.504504502</v>
      </c>
      <c r="S376">
        <v>11508</v>
      </c>
      <c r="T376">
        <v>10875</v>
      </c>
    </row>
    <row r="377" spans="1:20" x14ac:dyDescent="0.35">
      <c r="A377" s="7" t="s">
        <v>478</v>
      </c>
      <c r="B377" s="12" t="s">
        <v>479</v>
      </c>
      <c r="C377">
        <v>28542378.764270406</v>
      </c>
      <c r="D377">
        <v>23007255.062705379</v>
      </c>
      <c r="E377">
        <v>532432.43243243196</v>
      </c>
      <c r="F377">
        <v>379279.27927927999</v>
      </c>
      <c r="G377">
        <v>10</v>
      </c>
      <c r="H377">
        <v>6</v>
      </c>
      <c r="K377">
        <v>10</v>
      </c>
      <c r="L377">
        <v>7</v>
      </c>
      <c r="M377">
        <v>14963963.963963963</v>
      </c>
      <c r="N377">
        <v>9481531.5315315314</v>
      </c>
      <c r="O377">
        <v>6915855.8558558561</v>
      </c>
      <c r="P377">
        <v>5551846.8468468469</v>
      </c>
      <c r="Q377">
        <v>15151351.351351352</v>
      </c>
      <c r="R377">
        <v>9406306.3063063063</v>
      </c>
      <c r="S377">
        <v>902</v>
      </c>
      <c r="T377">
        <v>656</v>
      </c>
    </row>
    <row r="378" spans="1:20" x14ac:dyDescent="0.35">
      <c r="A378" s="7" t="s">
        <v>480</v>
      </c>
      <c r="B378" s="12" t="s">
        <v>123</v>
      </c>
      <c r="C378">
        <v>198752974.75588396</v>
      </c>
      <c r="D378">
        <v>190240132.06616259</v>
      </c>
      <c r="E378">
        <v>1288738.7387387389</v>
      </c>
      <c r="F378">
        <v>912612.61261261394</v>
      </c>
      <c r="G378">
        <v>29</v>
      </c>
      <c r="H378">
        <v>36</v>
      </c>
      <c r="K378">
        <v>39</v>
      </c>
      <c r="L378">
        <v>40</v>
      </c>
      <c r="M378">
        <v>12032162.162162161</v>
      </c>
      <c r="N378">
        <v>13007657.657657657</v>
      </c>
      <c r="O378">
        <v>74880180.180180177</v>
      </c>
      <c r="P378">
        <v>71555400.9009009</v>
      </c>
      <c r="Q378">
        <v>12915225.225225223</v>
      </c>
      <c r="R378">
        <v>12991531.531531531</v>
      </c>
      <c r="S378">
        <v>5657</v>
      </c>
      <c r="T378">
        <v>5669</v>
      </c>
    </row>
    <row r="379" spans="1:20" x14ac:dyDescent="0.35">
      <c r="A379" s="7" t="s">
        <v>481</v>
      </c>
      <c r="B379" s="12" t="s">
        <v>470</v>
      </c>
      <c r="C379">
        <v>16126272.059978712</v>
      </c>
      <c r="D379">
        <v>15507070.081501924</v>
      </c>
      <c r="E379">
        <v>41632899.0990991</v>
      </c>
      <c r="F379">
        <v>87977281.981981978</v>
      </c>
      <c r="G379">
        <v>3</v>
      </c>
      <c r="H379">
        <v>2</v>
      </c>
      <c r="K379">
        <v>3</v>
      </c>
      <c r="L379">
        <v>3</v>
      </c>
      <c r="M379">
        <v>9252862.1621621624</v>
      </c>
      <c r="N379">
        <v>24569965.765765764</v>
      </c>
      <c r="O379">
        <v>2627108.1081081079</v>
      </c>
      <c r="P379">
        <v>2607117.1171171172</v>
      </c>
      <c r="Q379">
        <v>463963.96396396402</v>
      </c>
      <c r="R379">
        <v>572702.70270270295</v>
      </c>
      <c r="S379">
        <v>608</v>
      </c>
      <c r="T379">
        <v>611</v>
      </c>
    </row>
    <row r="380" spans="1:20" x14ac:dyDescent="0.35">
      <c r="A380" s="7" t="s">
        <v>482</v>
      </c>
      <c r="B380" s="12" t="s">
        <v>167</v>
      </c>
      <c r="C380">
        <v>161592824.48697937</v>
      </c>
      <c r="D380">
        <v>155775514.73332745</v>
      </c>
      <c r="E380">
        <v>349549.54954955098</v>
      </c>
      <c r="F380">
        <v>1378378.378378381</v>
      </c>
      <c r="G380">
        <v>92</v>
      </c>
      <c r="H380">
        <v>90</v>
      </c>
      <c r="K380">
        <v>133</v>
      </c>
      <c r="L380">
        <v>117</v>
      </c>
      <c r="M380">
        <v>12182882.882882882</v>
      </c>
      <c r="N380">
        <v>12996396.3963964</v>
      </c>
      <c r="O380">
        <v>64776347.747747742</v>
      </c>
      <c r="P380">
        <v>66093626.126126125</v>
      </c>
      <c r="Q380">
        <v>12905765.765765764</v>
      </c>
      <c r="R380">
        <v>14644864.864864867</v>
      </c>
      <c r="S380">
        <v>9151</v>
      </c>
      <c r="T380">
        <v>8397</v>
      </c>
    </row>
    <row r="381" spans="1:20" x14ac:dyDescent="0.35">
      <c r="A381" s="7" t="s">
        <v>483</v>
      </c>
      <c r="B381" s="12" t="s">
        <v>167</v>
      </c>
      <c r="C381">
        <v>160243240.76059696</v>
      </c>
      <c r="D381">
        <v>175055176.03917858</v>
      </c>
      <c r="E381">
        <v>227588087.38738739</v>
      </c>
      <c r="F381">
        <v>258618520.72072074</v>
      </c>
      <c r="G381">
        <v>168</v>
      </c>
      <c r="H381">
        <v>91</v>
      </c>
      <c r="K381">
        <v>358</v>
      </c>
      <c r="L381">
        <v>139</v>
      </c>
      <c r="M381">
        <v>29854954.954954956</v>
      </c>
      <c r="N381">
        <v>26488288.288288292</v>
      </c>
      <c r="O381">
        <v>63915450.45045045</v>
      </c>
      <c r="P381">
        <v>66097412.612612605</v>
      </c>
      <c r="Q381">
        <v>29596216.216216218</v>
      </c>
      <c r="R381">
        <v>24529502.702702705</v>
      </c>
      <c r="S381">
        <v>9057</v>
      </c>
      <c r="T381">
        <v>9480</v>
      </c>
    </row>
    <row r="382" spans="1:20" x14ac:dyDescent="0.35">
      <c r="A382" s="7" t="s">
        <v>484</v>
      </c>
      <c r="B382" s="12" t="s">
        <v>50</v>
      </c>
      <c r="C382">
        <v>112703133.13887094</v>
      </c>
      <c r="D382">
        <v>107932314.78684266</v>
      </c>
      <c r="E382">
        <v>898738.73873873998</v>
      </c>
      <c r="F382">
        <v>1186486.486486489</v>
      </c>
      <c r="G382">
        <v>43</v>
      </c>
      <c r="H382">
        <v>28</v>
      </c>
      <c r="K382">
        <v>44</v>
      </c>
      <c r="L382">
        <v>31</v>
      </c>
      <c r="M382">
        <v>18304684.684684683</v>
      </c>
      <c r="N382">
        <v>15885045.045045044</v>
      </c>
      <c r="O382">
        <v>48424279.279279277</v>
      </c>
      <c r="P382">
        <v>47223522.522522517</v>
      </c>
      <c r="Q382">
        <v>18366666.666666664</v>
      </c>
      <c r="R382">
        <v>13825585.585585585</v>
      </c>
      <c r="S382">
        <v>3795</v>
      </c>
      <c r="T382">
        <v>3430</v>
      </c>
    </row>
    <row r="383" spans="1:20" x14ac:dyDescent="0.35">
      <c r="A383" s="7" t="s">
        <v>485</v>
      </c>
      <c r="B383" s="12" t="s">
        <v>134</v>
      </c>
      <c r="C383">
        <v>156546256.67265028</v>
      </c>
      <c r="D383">
        <v>146049333.69666991</v>
      </c>
      <c r="E383">
        <v>334234.23423423502</v>
      </c>
      <c r="F383">
        <v>709909.90990991099</v>
      </c>
      <c r="G383">
        <v>44</v>
      </c>
      <c r="H383">
        <v>23</v>
      </c>
      <c r="K383">
        <v>53</v>
      </c>
      <c r="L383">
        <v>24</v>
      </c>
      <c r="M383">
        <v>20329729.729729727</v>
      </c>
      <c r="N383">
        <v>19443243.243243244</v>
      </c>
      <c r="O383">
        <v>26632027.02702703</v>
      </c>
      <c r="P383">
        <v>28373556.756756756</v>
      </c>
      <c r="Q383">
        <v>12772972.972972972</v>
      </c>
      <c r="R383">
        <v>13277027.027027028</v>
      </c>
      <c r="S383">
        <v>4687</v>
      </c>
      <c r="T383">
        <v>4639</v>
      </c>
    </row>
    <row r="384" spans="1:20" x14ac:dyDescent="0.35">
      <c r="A384" s="7" t="s">
        <v>486</v>
      </c>
      <c r="B384" s="12" t="s">
        <v>76</v>
      </c>
      <c r="C384">
        <v>38405539.023658082</v>
      </c>
      <c r="D384">
        <v>29351434.952220447</v>
      </c>
      <c r="E384">
        <v>697297.29729729798</v>
      </c>
      <c r="F384">
        <v>675675.67567567597</v>
      </c>
      <c r="G384">
        <v>6</v>
      </c>
      <c r="H384">
        <v>8</v>
      </c>
      <c r="K384">
        <v>6</v>
      </c>
      <c r="L384">
        <v>9</v>
      </c>
      <c r="M384">
        <v>7796396.3963963958</v>
      </c>
      <c r="N384">
        <v>6289999.9999999991</v>
      </c>
      <c r="O384">
        <v>14502896.396396397</v>
      </c>
      <c r="P384">
        <v>11424248.648648648</v>
      </c>
      <c r="Q384">
        <v>7255045.0450450452</v>
      </c>
      <c r="R384">
        <v>6166032.4324324308</v>
      </c>
      <c r="S384">
        <v>1487</v>
      </c>
      <c r="T384">
        <v>1459</v>
      </c>
    </row>
    <row r="385" spans="1:20" x14ac:dyDescent="0.35">
      <c r="A385" s="7" t="s">
        <v>487</v>
      </c>
      <c r="B385" s="12" t="s">
        <v>307</v>
      </c>
      <c r="C385">
        <v>236264575.07802859</v>
      </c>
      <c r="D385">
        <v>246930283.59795022</v>
      </c>
      <c r="E385">
        <v>208108.10810810901</v>
      </c>
      <c r="F385">
        <v>2111711.7117117159</v>
      </c>
      <c r="G385">
        <v>75</v>
      </c>
      <c r="H385">
        <v>85</v>
      </c>
      <c r="K385">
        <v>94</v>
      </c>
      <c r="L385">
        <v>123</v>
      </c>
      <c r="M385">
        <v>37457837.83783783</v>
      </c>
      <c r="N385">
        <v>84029594.594594598</v>
      </c>
      <c r="O385">
        <v>95959675.675675675</v>
      </c>
      <c r="P385">
        <v>105284288.2882883</v>
      </c>
      <c r="Q385">
        <v>33591351.351351351</v>
      </c>
      <c r="R385">
        <v>48622387.387387387</v>
      </c>
      <c r="S385">
        <v>11126</v>
      </c>
      <c r="T385">
        <v>12167</v>
      </c>
    </row>
    <row r="386" spans="1:20" x14ac:dyDescent="0.35">
      <c r="A386" s="7" t="s">
        <v>666</v>
      </c>
      <c r="B386" s="12" t="s">
        <v>181</v>
      </c>
      <c r="E386">
        <v>78288288.288288295</v>
      </c>
      <c r="M386">
        <v>8302252.2522522518</v>
      </c>
      <c r="N386">
        <v>1742342.342342342</v>
      </c>
    </row>
    <row r="387" spans="1:20" x14ac:dyDescent="0.35">
      <c r="A387" s="7" t="s">
        <v>488</v>
      </c>
      <c r="B387" s="12" t="s">
        <v>315</v>
      </c>
      <c r="C387">
        <v>65863519.314583778</v>
      </c>
      <c r="D387">
        <v>53154606.993187442</v>
      </c>
      <c r="E387">
        <v>25391265.765765768</v>
      </c>
      <c r="F387">
        <v>61253218.018018015</v>
      </c>
      <c r="G387">
        <v>17</v>
      </c>
      <c r="H387">
        <v>4</v>
      </c>
      <c r="K387">
        <v>17</v>
      </c>
      <c r="L387">
        <v>5</v>
      </c>
      <c r="M387">
        <v>52522522.522522517</v>
      </c>
      <c r="N387">
        <v>24665945.945945945</v>
      </c>
      <c r="O387">
        <v>27346342.342342343</v>
      </c>
      <c r="P387">
        <v>22197585.585585583</v>
      </c>
      <c r="Q387">
        <v>20957297.297297295</v>
      </c>
      <c r="R387">
        <v>22751981.981981985</v>
      </c>
      <c r="S387">
        <v>1656</v>
      </c>
      <c r="T387">
        <v>1653</v>
      </c>
    </row>
    <row r="388" spans="1:20" x14ac:dyDescent="0.35">
      <c r="A388" s="7" t="s">
        <v>489</v>
      </c>
      <c r="B388" s="12" t="s">
        <v>181</v>
      </c>
      <c r="C388">
        <v>136580387.30860576</v>
      </c>
      <c r="D388">
        <v>129966414.60722367</v>
      </c>
      <c r="E388">
        <v>64864.864864866002</v>
      </c>
      <c r="F388">
        <v>869819.81981982198</v>
      </c>
      <c r="G388">
        <v>78</v>
      </c>
      <c r="H388">
        <v>62</v>
      </c>
      <c r="K388">
        <v>89</v>
      </c>
      <c r="L388">
        <v>108</v>
      </c>
      <c r="M388">
        <v>8018468.4684684677</v>
      </c>
      <c r="N388">
        <v>8639639.6396396384</v>
      </c>
      <c r="O388">
        <v>36576927.927927926</v>
      </c>
      <c r="P388">
        <v>38869036.036036029</v>
      </c>
      <c r="Q388">
        <v>7001621.6216216199</v>
      </c>
      <c r="R388">
        <v>8258558.5585585581</v>
      </c>
      <c r="S388">
        <v>6169</v>
      </c>
      <c r="T388">
        <v>6103</v>
      </c>
    </row>
    <row r="389" spans="1:20" x14ac:dyDescent="0.35">
      <c r="A389" s="7" t="s">
        <v>490</v>
      </c>
      <c r="B389" s="12" t="s">
        <v>220</v>
      </c>
      <c r="C389">
        <v>80510542.231302038</v>
      </c>
      <c r="D389">
        <v>73273323.148081079</v>
      </c>
      <c r="E389">
        <v>294887389.1891892</v>
      </c>
      <c r="F389">
        <v>287964019.81981981</v>
      </c>
      <c r="G389">
        <v>31</v>
      </c>
      <c r="H389">
        <v>23</v>
      </c>
      <c r="K389">
        <v>36</v>
      </c>
      <c r="L389">
        <v>32</v>
      </c>
      <c r="M389">
        <v>11128108.108108109</v>
      </c>
      <c r="N389">
        <v>6957657.6576576568</v>
      </c>
      <c r="O389">
        <v>19946918.918918919</v>
      </c>
      <c r="P389">
        <v>17956304.504504506</v>
      </c>
      <c r="Q389">
        <v>1677387.3873873891</v>
      </c>
      <c r="R389">
        <v>699549.54954955005</v>
      </c>
      <c r="S389">
        <v>4056</v>
      </c>
      <c r="T389">
        <v>4009</v>
      </c>
    </row>
    <row r="390" spans="1:20" x14ac:dyDescent="0.35">
      <c r="A390" s="7" t="s">
        <v>491</v>
      </c>
      <c r="B390" s="12" t="s">
        <v>220</v>
      </c>
      <c r="C390">
        <v>22326447.689546775</v>
      </c>
      <c r="D390">
        <v>24679454.050299898</v>
      </c>
      <c r="E390">
        <v>9009.0090090089998</v>
      </c>
      <c r="F390">
        <v>411711.711711713</v>
      </c>
      <c r="G390">
        <v>16</v>
      </c>
      <c r="H390">
        <v>13</v>
      </c>
      <c r="K390">
        <v>19</v>
      </c>
      <c r="L390">
        <v>15</v>
      </c>
      <c r="M390">
        <v>7231531.5315315304</v>
      </c>
      <c r="N390">
        <v>15244594.594594596</v>
      </c>
      <c r="O390">
        <v>7301126.1261261264</v>
      </c>
      <c r="P390">
        <v>7347837.8378378367</v>
      </c>
      <c r="Q390">
        <v>6379189.1891891882</v>
      </c>
      <c r="R390">
        <v>14416036.036036037</v>
      </c>
      <c r="S390">
        <v>1202</v>
      </c>
      <c r="T390">
        <v>1462</v>
      </c>
    </row>
    <row r="391" spans="1:20" x14ac:dyDescent="0.35">
      <c r="A391" s="7" t="s">
        <v>492</v>
      </c>
      <c r="B391" s="12" t="s">
        <v>60</v>
      </c>
      <c r="C391">
        <v>96934645.552698806</v>
      </c>
      <c r="D391">
        <v>85199398.748027399</v>
      </c>
      <c r="E391">
        <v>883783.78378378495</v>
      </c>
      <c r="F391">
        <v>2370270.2702702768</v>
      </c>
      <c r="G391">
        <v>24</v>
      </c>
      <c r="H391">
        <v>19</v>
      </c>
      <c r="K391">
        <v>27</v>
      </c>
      <c r="L391">
        <v>70</v>
      </c>
      <c r="M391">
        <v>21824324.324324325</v>
      </c>
      <c r="N391">
        <v>20827207.207207207</v>
      </c>
      <c r="O391">
        <v>41469099.0990991</v>
      </c>
      <c r="P391">
        <v>38822450.45045045</v>
      </c>
      <c r="Q391">
        <v>19269009.009009007</v>
      </c>
      <c r="R391">
        <v>17918828.828828827</v>
      </c>
      <c r="S391">
        <v>3733</v>
      </c>
      <c r="T391">
        <v>3692</v>
      </c>
    </row>
    <row r="392" spans="1:20" x14ac:dyDescent="0.35">
      <c r="A392" s="7" t="s">
        <v>493</v>
      </c>
      <c r="B392" s="12" t="s">
        <v>448</v>
      </c>
      <c r="C392">
        <v>113530955.23763949</v>
      </c>
      <c r="D392">
        <v>103919141.43212119</v>
      </c>
      <c r="E392">
        <v>102702.702702704</v>
      </c>
      <c r="F392">
        <v>140540.540540541</v>
      </c>
      <c r="G392">
        <v>64</v>
      </c>
      <c r="H392">
        <v>77</v>
      </c>
      <c r="K392">
        <v>70</v>
      </c>
      <c r="L392">
        <v>81</v>
      </c>
      <c r="M392">
        <v>11372297.297297295</v>
      </c>
      <c r="N392">
        <v>9000900.9009009004</v>
      </c>
      <c r="O392">
        <v>41069369.369369365</v>
      </c>
      <c r="P392">
        <v>37815612.612612613</v>
      </c>
      <c r="Q392">
        <v>11959954.954954954</v>
      </c>
      <c r="R392">
        <v>8929549.5495495498</v>
      </c>
      <c r="S392">
        <v>5100</v>
      </c>
      <c r="T392">
        <v>7155</v>
      </c>
    </row>
    <row r="393" spans="1:20" x14ac:dyDescent="0.35">
      <c r="A393" s="7" t="s">
        <v>7</v>
      </c>
      <c r="B393" s="12" t="s">
        <v>193</v>
      </c>
      <c r="C393">
        <v>83668354.935841709</v>
      </c>
      <c r="D393">
        <v>86972398.432286739</v>
      </c>
      <c r="E393">
        <v>122011481.08108109</v>
      </c>
      <c r="F393">
        <v>236740580.18018019</v>
      </c>
      <c r="G393">
        <v>25</v>
      </c>
      <c r="H393">
        <v>27</v>
      </c>
      <c r="K393">
        <v>27</v>
      </c>
      <c r="L393">
        <v>37</v>
      </c>
      <c r="M393">
        <v>20006756.75675676</v>
      </c>
      <c r="N393">
        <v>16386486.486486485</v>
      </c>
      <c r="O393">
        <v>56276891.891891897</v>
      </c>
      <c r="P393">
        <v>61090756.75675676</v>
      </c>
      <c r="Q393">
        <v>18890360.360360365</v>
      </c>
      <c r="R393">
        <v>19394594.594594598</v>
      </c>
      <c r="S393">
        <v>4757</v>
      </c>
      <c r="T393">
        <v>4815</v>
      </c>
    </row>
    <row r="394" spans="1:20" x14ac:dyDescent="0.35">
      <c r="A394" s="7" t="s">
        <v>494</v>
      </c>
      <c r="B394" s="12" t="s">
        <v>330</v>
      </c>
      <c r="C394">
        <v>105397455.78408445</v>
      </c>
      <c r="D394">
        <v>102971888.20666453</v>
      </c>
      <c r="E394">
        <v>14414.414414413999</v>
      </c>
      <c r="F394">
        <v>181981.98198198201</v>
      </c>
      <c r="G394">
        <v>49</v>
      </c>
      <c r="H394">
        <v>45</v>
      </c>
      <c r="K394">
        <v>57</v>
      </c>
      <c r="L394">
        <v>60</v>
      </c>
      <c r="M394">
        <v>5167567.5675675683</v>
      </c>
      <c r="N394">
        <v>4803603.6036036024</v>
      </c>
      <c r="O394">
        <v>26953324.324324325</v>
      </c>
      <c r="P394">
        <v>25601126.126126129</v>
      </c>
      <c r="Q394">
        <v>5350450.4504504511</v>
      </c>
      <c r="R394">
        <v>4886036.036036036</v>
      </c>
      <c r="S394">
        <v>6284</v>
      </c>
      <c r="T394">
        <v>6200</v>
      </c>
    </row>
    <row r="395" spans="1:20" x14ac:dyDescent="0.35">
      <c r="A395" s="7" t="s">
        <v>495</v>
      </c>
      <c r="B395" s="12" t="s">
        <v>330</v>
      </c>
      <c r="C395">
        <v>177047055.71165577</v>
      </c>
      <c r="D395">
        <v>175215677.80850726</v>
      </c>
      <c r="E395">
        <v>51351.351351352001</v>
      </c>
      <c r="F395">
        <v>814189.18918919296</v>
      </c>
      <c r="G395">
        <v>58</v>
      </c>
      <c r="H395">
        <v>87</v>
      </c>
      <c r="K395">
        <v>64</v>
      </c>
      <c r="L395">
        <v>98</v>
      </c>
      <c r="M395">
        <v>5623423.4234234216</v>
      </c>
      <c r="N395">
        <v>5108108.1081081089</v>
      </c>
      <c r="O395">
        <v>37235693.693693697</v>
      </c>
      <c r="P395">
        <v>42381108.108108111</v>
      </c>
      <c r="Q395">
        <v>5648108.1081081089</v>
      </c>
      <c r="R395">
        <v>4563513.5135135157</v>
      </c>
      <c r="S395">
        <v>7000</v>
      </c>
      <c r="T395">
        <v>6736</v>
      </c>
    </row>
    <row r="396" spans="1:20" x14ac:dyDescent="0.35">
      <c r="A396" s="7" t="s">
        <v>496</v>
      </c>
      <c r="B396" s="12" t="s">
        <v>330</v>
      </c>
      <c r="C396">
        <v>184336080.15538502</v>
      </c>
      <c r="D396">
        <v>176953260.01304814</v>
      </c>
      <c r="E396">
        <v>383783.783783786</v>
      </c>
      <c r="F396">
        <v>2543018.0180180208</v>
      </c>
      <c r="G396">
        <v>93</v>
      </c>
      <c r="H396">
        <v>75</v>
      </c>
      <c r="K396">
        <v>110</v>
      </c>
      <c r="L396">
        <v>88</v>
      </c>
      <c r="M396">
        <v>10698918.918918919</v>
      </c>
      <c r="N396">
        <v>23113513.513513517</v>
      </c>
      <c r="O396">
        <v>40012000</v>
      </c>
      <c r="P396">
        <v>38775540.540540546</v>
      </c>
      <c r="Q396">
        <v>10328648.648648648</v>
      </c>
      <c r="R396">
        <v>23869549.549549554</v>
      </c>
      <c r="S396">
        <v>8396</v>
      </c>
      <c r="T396">
        <v>8617</v>
      </c>
    </row>
    <row r="397" spans="1:20" x14ac:dyDescent="0.35">
      <c r="A397" s="7" t="s">
        <v>497</v>
      </c>
      <c r="B397" s="12" t="s">
        <v>330</v>
      </c>
      <c r="C397">
        <v>745889460.01575494</v>
      </c>
      <c r="D397">
        <v>669940238.86205697</v>
      </c>
      <c r="E397">
        <v>691366838.73873866</v>
      </c>
      <c r="F397">
        <v>668277764.86486495</v>
      </c>
      <c r="G397">
        <v>231</v>
      </c>
      <c r="H397">
        <v>425</v>
      </c>
      <c r="I397">
        <v>23</v>
      </c>
      <c r="K397">
        <v>286</v>
      </c>
      <c r="L397">
        <v>673</v>
      </c>
      <c r="M397">
        <v>124997927.92792794</v>
      </c>
      <c r="N397">
        <v>173515540.54054055</v>
      </c>
      <c r="O397">
        <v>134719270.27027026</v>
      </c>
      <c r="P397">
        <v>142702279.27927929</v>
      </c>
      <c r="Q397">
        <v>125854954.95495497</v>
      </c>
      <c r="R397">
        <v>122006846.84684685</v>
      </c>
      <c r="S397">
        <v>29539</v>
      </c>
      <c r="T397">
        <v>28231</v>
      </c>
    </row>
    <row r="398" spans="1:20" x14ac:dyDescent="0.35">
      <c r="A398" s="7" t="s">
        <v>498</v>
      </c>
      <c r="B398" s="12" t="s">
        <v>330</v>
      </c>
      <c r="C398">
        <v>572643805.64393151</v>
      </c>
      <c r="D398">
        <v>539188180.21437788</v>
      </c>
      <c r="E398">
        <v>1428558.5585585609</v>
      </c>
      <c r="F398">
        <v>3280630.6306306389</v>
      </c>
      <c r="G398">
        <v>163</v>
      </c>
      <c r="H398">
        <v>210</v>
      </c>
      <c r="I398">
        <v>1</v>
      </c>
      <c r="K398">
        <v>206</v>
      </c>
      <c r="L398">
        <v>268</v>
      </c>
      <c r="M398">
        <v>142823153.15315315</v>
      </c>
      <c r="N398">
        <v>135311261.26126125</v>
      </c>
      <c r="O398">
        <v>133609261.26126127</v>
      </c>
      <c r="P398">
        <v>133159693.6936937</v>
      </c>
      <c r="Q398">
        <v>138821261.26126125</v>
      </c>
      <c r="R398">
        <v>55032972.972972974</v>
      </c>
      <c r="S398">
        <v>28072</v>
      </c>
      <c r="T398">
        <v>25985</v>
      </c>
    </row>
    <row r="399" spans="1:20" x14ac:dyDescent="0.35">
      <c r="A399" s="7" t="s">
        <v>499</v>
      </c>
      <c r="B399" s="12" t="s">
        <v>143</v>
      </c>
      <c r="C399">
        <v>225074720.79975191</v>
      </c>
      <c r="D399">
        <v>230293555.45358437</v>
      </c>
      <c r="E399">
        <v>70350902.702702701</v>
      </c>
      <c r="F399">
        <v>72607654.954954967</v>
      </c>
      <c r="G399">
        <v>51</v>
      </c>
      <c r="H399">
        <v>61</v>
      </c>
      <c r="K399">
        <v>66</v>
      </c>
      <c r="L399">
        <v>73</v>
      </c>
      <c r="M399">
        <v>26367567.567567568</v>
      </c>
      <c r="N399">
        <v>32640540.540540539</v>
      </c>
      <c r="O399">
        <v>33406063.063063063</v>
      </c>
      <c r="P399">
        <v>36834466.666666664</v>
      </c>
      <c r="Q399">
        <v>13173873.873873876</v>
      </c>
      <c r="R399">
        <v>14959009.009009006</v>
      </c>
      <c r="S399">
        <v>8063</v>
      </c>
      <c r="T399">
        <v>8234</v>
      </c>
    </row>
    <row r="400" spans="1:20" x14ac:dyDescent="0.35">
      <c r="A400" s="7" t="s">
        <v>500</v>
      </c>
      <c r="B400" s="12" t="s">
        <v>220</v>
      </c>
      <c r="C400">
        <v>266390735.15531537</v>
      </c>
      <c r="D400">
        <v>267885504.42644545</v>
      </c>
      <c r="E400">
        <v>7790990.9909909936</v>
      </c>
      <c r="F400">
        <v>92066891.891891897</v>
      </c>
      <c r="G400">
        <v>115</v>
      </c>
      <c r="H400">
        <v>103</v>
      </c>
      <c r="I400">
        <v>1</v>
      </c>
      <c r="K400">
        <v>143</v>
      </c>
      <c r="L400">
        <v>139</v>
      </c>
      <c r="M400">
        <v>99824639.639639646</v>
      </c>
      <c r="N400">
        <v>144174954.95495495</v>
      </c>
      <c r="O400">
        <v>78825342.342342332</v>
      </c>
      <c r="P400">
        <v>81250833.333333328</v>
      </c>
      <c r="Q400">
        <v>51248558.558558561</v>
      </c>
      <c r="R400">
        <v>141024414.41441441</v>
      </c>
      <c r="S400">
        <v>11934</v>
      </c>
      <c r="T400">
        <v>11673</v>
      </c>
    </row>
    <row r="401" spans="1:20" x14ac:dyDescent="0.35">
      <c r="A401" s="7" t="s">
        <v>501</v>
      </c>
      <c r="B401" s="12" t="s">
        <v>397</v>
      </c>
      <c r="C401">
        <v>747321166.581936</v>
      </c>
      <c r="D401">
        <v>768750646.5667752</v>
      </c>
      <c r="E401">
        <v>214425890.09009007</v>
      </c>
      <c r="F401">
        <v>6278855.8558558635</v>
      </c>
      <c r="G401">
        <v>228</v>
      </c>
      <c r="H401">
        <v>242</v>
      </c>
      <c r="K401">
        <v>267</v>
      </c>
      <c r="L401">
        <v>322</v>
      </c>
      <c r="M401">
        <v>101090360.36036037</v>
      </c>
      <c r="N401">
        <v>86971846.846846849</v>
      </c>
      <c r="O401">
        <v>152217708.1081081</v>
      </c>
      <c r="P401">
        <v>164721592.7927928</v>
      </c>
      <c r="Q401">
        <v>94263063.06306307</v>
      </c>
      <c r="R401">
        <v>77163378.378378361</v>
      </c>
      <c r="S401">
        <v>26825</v>
      </c>
      <c r="T401">
        <v>27146</v>
      </c>
    </row>
    <row r="402" spans="1:20" x14ac:dyDescent="0.35">
      <c r="A402" s="7" t="s">
        <v>502</v>
      </c>
      <c r="B402" s="12" t="s">
        <v>70</v>
      </c>
      <c r="C402">
        <v>11478188.728621932</v>
      </c>
      <c r="D402">
        <v>11560191.425685447</v>
      </c>
      <c r="F402">
        <v>113513.513513514</v>
      </c>
      <c r="G402">
        <v>5</v>
      </c>
      <c r="H402">
        <v>2</v>
      </c>
      <c r="K402">
        <v>5</v>
      </c>
      <c r="L402">
        <v>3</v>
      </c>
      <c r="M402">
        <v>129729.72972973</v>
      </c>
      <c r="N402">
        <v>389189.18918918999</v>
      </c>
      <c r="O402">
        <v>8388738.7387387399</v>
      </c>
      <c r="P402">
        <v>7943504.5045045046</v>
      </c>
      <c r="Q402">
        <v>1142342.342342342</v>
      </c>
      <c r="R402">
        <v>287837.83783783799</v>
      </c>
      <c r="S402">
        <v>685</v>
      </c>
      <c r="T402">
        <v>682</v>
      </c>
    </row>
    <row r="403" spans="1:20" x14ac:dyDescent="0.35">
      <c r="A403" s="7" t="s">
        <v>503</v>
      </c>
      <c r="B403" s="12" t="s">
        <v>330</v>
      </c>
      <c r="C403">
        <v>315983117.87926322</v>
      </c>
      <c r="D403">
        <v>316942351.76104426</v>
      </c>
      <c r="E403">
        <v>1018018.018018021</v>
      </c>
      <c r="F403">
        <v>2694369.3693693709</v>
      </c>
      <c r="G403">
        <v>90</v>
      </c>
      <c r="H403">
        <v>111</v>
      </c>
      <c r="K403">
        <v>109</v>
      </c>
      <c r="L403">
        <v>157</v>
      </c>
      <c r="M403">
        <v>22900900.9009009</v>
      </c>
      <c r="N403">
        <v>32880180.180180181</v>
      </c>
      <c r="O403">
        <v>79851673.873873875</v>
      </c>
      <c r="P403">
        <v>82598768.018018022</v>
      </c>
      <c r="Q403">
        <v>22158288.288288288</v>
      </c>
      <c r="R403">
        <v>29745315.315315317</v>
      </c>
      <c r="S403">
        <v>15972</v>
      </c>
      <c r="T403">
        <v>17907</v>
      </c>
    </row>
    <row r="404" spans="1:20" x14ac:dyDescent="0.35">
      <c r="A404" s="7" t="s">
        <v>504</v>
      </c>
      <c r="B404" s="12" t="s">
        <v>283</v>
      </c>
      <c r="C404">
        <v>96638289.599915594</v>
      </c>
      <c r="D404">
        <v>100179537.77286281</v>
      </c>
      <c r="E404">
        <v>298198.19819819799</v>
      </c>
      <c r="F404">
        <v>215315.31531531599</v>
      </c>
      <c r="G404">
        <v>37</v>
      </c>
      <c r="H404">
        <v>13</v>
      </c>
      <c r="K404">
        <v>40</v>
      </c>
      <c r="L404">
        <v>16</v>
      </c>
      <c r="M404">
        <v>7109009.0090090092</v>
      </c>
      <c r="N404">
        <v>10413513.513513517</v>
      </c>
      <c r="O404">
        <v>17626036.036036037</v>
      </c>
      <c r="P404">
        <v>18367963.963963963</v>
      </c>
      <c r="Q404">
        <v>8148648.6486486495</v>
      </c>
      <c r="R404">
        <v>10516396.396396397</v>
      </c>
      <c r="S404">
        <v>3152</v>
      </c>
      <c r="T404">
        <v>2932</v>
      </c>
    </row>
    <row r="405" spans="1:20" x14ac:dyDescent="0.35">
      <c r="A405" s="7" t="s">
        <v>505</v>
      </c>
      <c r="B405" s="12" t="s">
        <v>260</v>
      </c>
      <c r="C405">
        <v>59144512.19778832</v>
      </c>
      <c r="D405">
        <v>59487257.504827335</v>
      </c>
      <c r="E405">
        <v>9009.0090090089998</v>
      </c>
      <c r="F405">
        <v>40540.540540540998</v>
      </c>
      <c r="G405">
        <v>3</v>
      </c>
      <c r="H405">
        <v>3</v>
      </c>
      <c r="I405">
        <v>1</v>
      </c>
      <c r="K405">
        <v>4</v>
      </c>
      <c r="L405">
        <v>5</v>
      </c>
      <c r="M405">
        <v>1360360.36036036</v>
      </c>
      <c r="N405">
        <v>1842342.342342342</v>
      </c>
      <c r="O405">
        <v>13591171.171171172</v>
      </c>
      <c r="P405">
        <v>12441621.621621622</v>
      </c>
      <c r="Q405">
        <v>1118918.9189189191</v>
      </c>
      <c r="R405">
        <v>1231081.0810810809</v>
      </c>
      <c r="S405">
        <v>2251</v>
      </c>
      <c r="T405">
        <v>2229</v>
      </c>
    </row>
    <row r="406" spans="1:20" x14ac:dyDescent="0.35">
      <c r="A406" s="7" t="s">
        <v>506</v>
      </c>
      <c r="B406" s="12" t="s">
        <v>236</v>
      </c>
      <c r="C406">
        <v>153211895.32154384</v>
      </c>
      <c r="D406">
        <v>146137398.43832609</v>
      </c>
      <c r="E406">
        <v>43388464.864864863</v>
      </c>
      <c r="F406">
        <v>7896944.1441441467</v>
      </c>
      <c r="G406">
        <v>36</v>
      </c>
      <c r="H406">
        <v>11</v>
      </c>
      <c r="K406">
        <v>88</v>
      </c>
      <c r="L406">
        <v>70</v>
      </c>
      <c r="M406">
        <v>46439279.279279277</v>
      </c>
      <c r="N406">
        <v>51254594.59459459</v>
      </c>
      <c r="O406">
        <v>34525653.153153151</v>
      </c>
      <c r="P406">
        <v>32335018.018018015</v>
      </c>
      <c r="Q406">
        <v>22335315.315315317</v>
      </c>
      <c r="R406">
        <v>28771081.081081081</v>
      </c>
      <c r="S406">
        <v>4870</v>
      </c>
      <c r="T406">
        <v>4587</v>
      </c>
    </row>
    <row r="407" spans="1:20" x14ac:dyDescent="0.35">
      <c r="A407" s="7" t="s">
        <v>507</v>
      </c>
      <c r="B407" s="12" t="s">
        <v>134</v>
      </c>
      <c r="C407">
        <v>23385760.347736705</v>
      </c>
      <c r="D407">
        <v>13102350.200954748</v>
      </c>
      <c r="O407">
        <v>3701036.036036036</v>
      </c>
      <c r="P407">
        <v>2369270.2702702698</v>
      </c>
      <c r="S407">
        <v>1285</v>
      </c>
      <c r="T407">
        <v>1249</v>
      </c>
    </row>
    <row r="408" spans="1:20" x14ac:dyDescent="0.35">
      <c r="A408" s="7" t="s">
        <v>508</v>
      </c>
      <c r="B408" s="12" t="s">
        <v>397</v>
      </c>
      <c r="C408">
        <v>158352943.62298018</v>
      </c>
      <c r="D408">
        <v>153330118.74800849</v>
      </c>
      <c r="E408">
        <v>19369.369369370001</v>
      </c>
      <c r="F408">
        <v>608108.10810810898</v>
      </c>
      <c r="G408">
        <v>25</v>
      </c>
      <c r="H408">
        <v>21</v>
      </c>
      <c r="K408">
        <v>31</v>
      </c>
      <c r="L408">
        <v>50</v>
      </c>
      <c r="M408">
        <v>16038738.73873874</v>
      </c>
      <c r="N408">
        <v>13888738.738738738</v>
      </c>
      <c r="O408">
        <v>22849234.234234232</v>
      </c>
      <c r="P408">
        <v>24467504.504504506</v>
      </c>
      <c r="Q408">
        <v>12855315.315315315</v>
      </c>
      <c r="R408">
        <v>14066036.036036037</v>
      </c>
      <c r="S408">
        <v>4533</v>
      </c>
      <c r="T408">
        <v>4453</v>
      </c>
    </row>
    <row r="409" spans="1:20" x14ac:dyDescent="0.35">
      <c r="A409" s="7" t="s">
        <v>509</v>
      </c>
      <c r="B409" s="12" t="s">
        <v>134</v>
      </c>
      <c r="C409">
        <v>171683487.65231702</v>
      </c>
      <c r="D409">
        <v>172486324.6272091</v>
      </c>
      <c r="E409">
        <v>718918.91891892196</v>
      </c>
      <c r="F409">
        <v>1038738.738738742</v>
      </c>
      <c r="G409">
        <v>50</v>
      </c>
      <c r="H409">
        <v>48</v>
      </c>
      <c r="I409">
        <v>1</v>
      </c>
      <c r="K409">
        <v>52</v>
      </c>
      <c r="L409">
        <v>58</v>
      </c>
      <c r="M409">
        <v>16354054.054054055</v>
      </c>
      <c r="N409">
        <v>17709909.909909911</v>
      </c>
      <c r="O409">
        <v>27560281.981981985</v>
      </c>
      <c r="P409">
        <v>27878078.828828827</v>
      </c>
      <c r="Q409">
        <v>13465495.495495496</v>
      </c>
      <c r="R409">
        <v>15070090.090090089</v>
      </c>
      <c r="S409">
        <v>5604</v>
      </c>
      <c r="T409">
        <v>5497</v>
      </c>
    </row>
    <row r="410" spans="1:20" x14ac:dyDescent="0.35">
      <c r="A410" s="7" t="s">
        <v>510</v>
      </c>
      <c r="B410" s="12" t="s">
        <v>134</v>
      </c>
      <c r="C410">
        <v>474089391.15299302</v>
      </c>
      <c r="D410">
        <v>474776088.87115711</v>
      </c>
      <c r="E410">
        <v>1208288.2882882941</v>
      </c>
      <c r="F410">
        <v>2870270.2702702791</v>
      </c>
      <c r="G410">
        <v>172</v>
      </c>
      <c r="H410">
        <v>96</v>
      </c>
      <c r="I410">
        <v>10</v>
      </c>
      <c r="K410">
        <v>205</v>
      </c>
      <c r="L410">
        <v>152</v>
      </c>
      <c r="M410">
        <v>29515585.585585583</v>
      </c>
      <c r="N410">
        <v>33413513.513513513</v>
      </c>
      <c r="O410">
        <v>51689945.945945941</v>
      </c>
      <c r="P410">
        <v>49105873.873873875</v>
      </c>
      <c r="Q410">
        <v>28550720.72072072</v>
      </c>
      <c r="R410">
        <v>33139909.909909911</v>
      </c>
      <c r="S410">
        <v>16563</v>
      </c>
      <c r="T410">
        <v>16535</v>
      </c>
    </row>
    <row r="411" spans="1:20" x14ac:dyDescent="0.35">
      <c r="A411" s="7" t="s">
        <v>8</v>
      </c>
      <c r="B411" s="12" t="s">
        <v>158</v>
      </c>
      <c r="C411">
        <v>123842733.04007414</v>
      </c>
      <c r="D411">
        <v>119799170.40359288</v>
      </c>
      <c r="E411">
        <v>1381981.981981985</v>
      </c>
      <c r="F411">
        <v>1610810.810810813</v>
      </c>
      <c r="G411">
        <v>11</v>
      </c>
      <c r="H411">
        <v>3</v>
      </c>
      <c r="K411">
        <v>13</v>
      </c>
      <c r="L411">
        <v>4</v>
      </c>
      <c r="M411">
        <v>18324324.324324325</v>
      </c>
      <c r="N411">
        <v>13435135.135135137</v>
      </c>
      <c r="O411">
        <v>35619099.0990991</v>
      </c>
      <c r="P411">
        <v>35431072.072072074</v>
      </c>
      <c r="Q411">
        <v>16995945.945945945</v>
      </c>
      <c r="R411">
        <v>13637207.207207205</v>
      </c>
      <c r="S411">
        <v>3721</v>
      </c>
      <c r="T411">
        <v>3738</v>
      </c>
    </row>
    <row r="412" spans="1:20" x14ac:dyDescent="0.35">
      <c r="A412" s="7" t="s">
        <v>511</v>
      </c>
      <c r="B412" s="12" t="s">
        <v>134</v>
      </c>
      <c r="C412">
        <v>77135474.675639778</v>
      </c>
      <c r="D412">
        <v>88612289.318401769</v>
      </c>
      <c r="E412">
        <v>900.900900901</v>
      </c>
      <c r="F412">
        <v>328828.82882882899</v>
      </c>
      <c r="G412">
        <v>10</v>
      </c>
      <c r="H412">
        <v>6</v>
      </c>
      <c r="K412">
        <v>85</v>
      </c>
      <c r="L412">
        <v>7</v>
      </c>
      <c r="M412">
        <v>2703603.6036036038</v>
      </c>
      <c r="N412">
        <v>5734234.2342342352</v>
      </c>
      <c r="O412">
        <v>11174090.090090089</v>
      </c>
      <c r="P412">
        <v>12668666.666666668</v>
      </c>
      <c r="Q412">
        <v>2149549.5495495498</v>
      </c>
      <c r="R412">
        <v>2829639.6396396402</v>
      </c>
      <c r="S412">
        <v>3858</v>
      </c>
      <c r="T412">
        <v>3934</v>
      </c>
    </row>
    <row r="413" spans="1:20" x14ac:dyDescent="0.35">
      <c r="A413" s="7" t="s">
        <v>512</v>
      </c>
      <c r="B413" s="12" t="s">
        <v>62</v>
      </c>
      <c r="C413">
        <v>405863473.18874013</v>
      </c>
      <c r="D413">
        <v>392788759.8158024</v>
      </c>
      <c r="E413">
        <v>1911711.7117117119</v>
      </c>
      <c r="F413">
        <v>2395495.4954954991</v>
      </c>
      <c r="G413">
        <v>92</v>
      </c>
      <c r="H413">
        <v>93</v>
      </c>
      <c r="K413">
        <v>106</v>
      </c>
      <c r="L413">
        <v>153</v>
      </c>
      <c r="M413">
        <v>16767207.207207205</v>
      </c>
      <c r="N413">
        <v>27264954.954954956</v>
      </c>
      <c r="O413">
        <v>77295612.612612605</v>
      </c>
      <c r="P413">
        <v>80968367.567567572</v>
      </c>
      <c r="Q413">
        <v>15548828.828828828</v>
      </c>
      <c r="R413">
        <v>24208738.738738745</v>
      </c>
      <c r="S413">
        <v>14480</v>
      </c>
      <c r="T413">
        <v>14478</v>
      </c>
    </row>
    <row r="414" spans="1:20" x14ac:dyDescent="0.35">
      <c r="A414" s="7" t="s">
        <v>513</v>
      </c>
      <c r="B414" s="12" t="s">
        <v>117</v>
      </c>
      <c r="C414">
        <v>46209209.690705821</v>
      </c>
      <c r="D414">
        <v>38112921.245054379</v>
      </c>
      <c r="E414">
        <v>9909.9099099110008</v>
      </c>
      <c r="F414">
        <v>218018.01801801799</v>
      </c>
      <c r="G414">
        <v>61</v>
      </c>
      <c r="H414">
        <v>23</v>
      </c>
      <c r="K414">
        <v>61</v>
      </c>
      <c r="L414">
        <v>24</v>
      </c>
      <c r="M414">
        <v>3089729.7297297278</v>
      </c>
      <c r="N414">
        <v>1917207.207207208</v>
      </c>
      <c r="O414">
        <v>22871081.081081081</v>
      </c>
      <c r="P414">
        <v>16073486.486486485</v>
      </c>
      <c r="Q414">
        <v>2548288.2882882869</v>
      </c>
      <c r="R414">
        <v>1153693.6936936949</v>
      </c>
      <c r="S414">
        <v>2101</v>
      </c>
      <c r="T414">
        <v>2044</v>
      </c>
    </row>
    <row r="415" spans="1:20" x14ac:dyDescent="0.35">
      <c r="A415" s="7" t="s">
        <v>514</v>
      </c>
      <c r="B415" s="12" t="s">
        <v>304</v>
      </c>
      <c r="C415">
        <v>79917397.632507488</v>
      </c>
      <c r="D415">
        <v>73453659.713017926</v>
      </c>
      <c r="E415">
        <v>151351.351351352</v>
      </c>
      <c r="F415">
        <v>486486.48648648802</v>
      </c>
      <c r="G415">
        <v>28</v>
      </c>
      <c r="H415">
        <v>39</v>
      </c>
      <c r="K415">
        <v>30</v>
      </c>
      <c r="L415">
        <v>41</v>
      </c>
      <c r="M415">
        <v>1025225.225225225</v>
      </c>
      <c r="N415">
        <v>8256306.3063063063</v>
      </c>
      <c r="O415">
        <v>6873918.9189189179</v>
      </c>
      <c r="P415">
        <v>7676531.5315315314</v>
      </c>
      <c r="Q415">
        <v>2126756.7567567569</v>
      </c>
      <c r="R415">
        <v>9031351.3513513524</v>
      </c>
      <c r="S415">
        <v>1572</v>
      </c>
      <c r="T415">
        <v>1354</v>
      </c>
    </row>
    <row r="416" spans="1:20" x14ac:dyDescent="0.35">
      <c r="A416" s="7" t="s">
        <v>515</v>
      </c>
      <c r="B416" s="12" t="s">
        <v>304</v>
      </c>
      <c r="C416">
        <v>22786688.878358193</v>
      </c>
      <c r="D416">
        <v>18005138.168634396</v>
      </c>
      <c r="E416">
        <v>188648.648648648</v>
      </c>
      <c r="F416">
        <v>183783.78378378399</v>
      </c>
      <c r="G416">
        <v>4</v>
      </c>
      <c r="H416">
        <v>4</v>
      </c>
      <c r="K416">
        <v>4</v>
      </c>
      <c r="L416">
        <v>5</v>
      </c>
      <c r="M416">
        <v>2846306.3063063049</v>
      </c>
      <c r="N416">
        <v>1999999.9999999991</v>
      </c>
      <c r="O416">
        <v>2996846.8468468469</v>
      </c>
      <c r="P416">
        <v>2849693.6936936928</v>
      </c>
      <c r="Q416">
        <v>2765945.945945946</v>
      </c>
      <c r="R416">
        <v>1518918.9189189179</v>
      </c>
      <c r="S416">
        <v>614</v>
      </c>
      <c r="T416">
        <v>582</v>
      </c>
    </row>
    <row r="417" spans="1:20" x14ac:dyDescent="0.35">
      <c r="A417" s="7" t="s">
        <v>516</v>
      </c>
      <c r="B417" s="12" t="s">
        <v>304</v>
      </c>
      <c r="C417">
        <v>43248243.99415499</v>
      </c>
      <c r="D417">
        <v>45161589.328253314</v>
      </c>
      <c r="E417">
        <v>14054.054054054001</v>
      </c>
      <c r="F417">
        <v>599099.09909909801</v>
      </c>
      <c r="G417">
        <v>17</v>
      </c>
      <c r="H417">
        <v>26</v>
      </c>
      <c r="K417">
        <v>19</v>
      </c>
      <c r="L417">
        <v>28</v>
      </c>
      <c r="M417">
        <v>2743783.7837837832</v>
      </c>
      <c r="N417">
        <v>2599999.9999999991</v>
      </c>
      <c r="O417">
        <v>5822342.3423423432</v>
      </c>
      <c r="P417">
        <v>6861027.0270270268</v>
      </c>
      <c r="Q417">
        <v>2475315.315315316</v>
      </c>
      <c r="R417">
        <v>2345405.4054054059</v>
      </c>
      <c r="S417">
        <v>1124</v>
      </c>
      <c r="T417">
        <v>1069</v>
      </c>
    </row>
    <row r="418" spans="1:20" x14ac:dyDescent="0.35">
      <c r="A418" s="7" t="s">
        <v>517</v>
      </c>
      <c r="B418" s="12" t="s">
        <v>304</v>
      </c>
      <c r="C418">
        <v>35671530.100099742</v>
      </c>
      <c r="D418">
        <v>33978521.80243203</v>
      </c>
      <c r="E418">
        <v>13513.513513514001</v>
      </c>
      <c r="F418">
        <v>94594.594594594993</v>
      </c>
      <c r="G418">
        <v>6</v>
      </c>
      <c r="H418">
        <v>13</v>
      </c>
      <c r="K418">
        <v>6</v>
      </c>
      <c r="L418">
        <v>14</v>
      </c>
      <c r="M418">
        <v>1283783.7837837851</v>
      </c>
      <c r="N418">
        <v>950450.450450451</v>
      </c>
      <c r="O418">
        <v>4481216.2162162159</v>
      </c>
      <c r="P418">
        <v>4637387.3873873884</v>
      </c>
      <c r="Q418">
        <v>939639.63963963895</v>
      </c>
      <c r="R418">
        <v>558828.82882882899</v>
      </c>
      <c r="S418">
        <v>881</v>
      </c>
      <c r="T418">
        <v>792</v>
      </c>
    </row>
    <row r="419" spans="1:20" x14ac:dyDescent="0.35">
      <c r="A419" s="7" t="s">
        <v>518</v>
      </c>
      <c r="B419" s="12" t="s">
        <v>448</v>
      </c>
      <c r="C419">
        <v>35724841.384531751</v>
      </c>
      <c r="D419">
        <v>33823141.795782082</v>
      </c>
      <c r="E419">
        <v>72972.972972973002</v>
      </c>
      <c r="F419">
        <v>246846.84684684701</v>
      </c>
      <c r="G419">
        <v>17</v>
      </c>
      <c r="H419">
        <v>7</v>
      </c>
      <c r="K419">
        <v>23</v>
      </c>
      <c r="L419">
        <v>9</v>
      </c>
      <c r="M419">
        <v>2530180.180180179</v>
      </c>
      <c r="N419">
        <v>1585135.1351351349</v>
      </c>
      <c r="O419">
        <v>12324180.180180181</v>
      </c>
      <c r="P419">
        <v>11415704.954954956</v>
      </c>
      <c r="Q419">
        <v>2021441.441441441</v>
      </c>
      <c r="R419">
        <v>2391711.7117117122</v>
      </c>
      <c r="S419">
        <v>1841</v>
      </c>
      <c r="T419">
        <v>1710</v>
      </c>
    </row>
    <row r="420" spans="1:20" x14ac:dyDescent="0.35">
      <c r="A420" s="7" t="s">
        <v>519</v>
      </c>
      <c r="B420" s="12" t="s">
        <v>85</v>
      </c>
      <c r="C420">
        <v>107925645.1449641</v>
      </c>
      <c r="D420">
        <v>107112261.89217417</v>
      </c>
      <c r="E420">
        <v>200900.900900901</v>
      </c>
      <c r="F420">
        <v>837837.83783783903</v>
      </c>
      <c r="G420">
        <v>30</v>
      </c>
      <c r="H420">
        <v>13</v>
      </c>
      <c r="K420">
        <v>34</v>
      </c>
      <c r="L420">
        <v>17</v>
      </c>
      <c r="M420">
        <v>12534234.234234234</v>
      </c>
      <c r="N420">
        <v>21774774.774774775</v>
      </c>
      <c r="O420">
        <v>26905945.945945945</v>
      </c>
      <c r="P420">
        <v>27093666.666666668</v>
      </c>
      <c r="Q420">
        <v>7087837.8378378367</v>
      </c>
      <c r="R420">
        <v>19870313.513513513</v>
      </c>
      <c r="S420">
        <v>4176</v>
      </c>
      <c r="T420">
        <v>4074</v>
      </c>
    </row>
    <row r="421" spans="1:20" x14ac:dyDescent="0.35">
      <c r="A421" s="7" t="s">
        <v>520</v>
      </c>
      <c r="B421" s="12" t="s">
        <v>304</v>
      </c>
      <c r="C421">
        <v>55915862.73784472</v>
      </c>
      <c r="D421">
        <v>57528757.424209535</v>
      </c>
      <c r="E421">
        <v>5405.4054054059998</v>
      </c>
      <c r="F421">
        <v>44144.144144143997</v>
      </c>
      <c r="G421">
        <v>6</v>
      </c>
      <c r="H421">
        <v>8</v>
      </c>
      <c r="K421">
        <v>6</v>
      </c>
      <c r="L421">
        <v>9</v>
      </c>
      <c r="M421">
        <v>3843243.2432432431</v>
      </c>
      <c r="N421">
        <v>4180180.1801801799</v>
      </c>
      <c r="O421">
        <v>9226396.3963963967</v>
      </c>
      <c r="P421">
        <v>9093090.0900900904</v>
      </c>
      <c r="Q421">
        <v>2025405.4054054059</v>
      </c>
      <c r="R421">
        <v>1791711.711711711</v>
      </c>
      <c r="S421">
        <v>1459</v>
      </c>
      <c r="T421">
        <v>1378</v>
      </c>
    </row>
    <row r="422" spans="1:20" x14ac:dyDescent="0.35">
      <c r="A422" s="7" t="s">
        <v>521</v>
      </c>
      <c r="B422" s="12" t="s">
        <v>399</v>
      </c>
      <c r="C422">
        <v>398700991.48189712</v>
      </c>
      <c r="D422">
        <v>381864978.18612158</v>
      </c>
      <c r="E422">
        <v>194355197.2972973</v>
      </c>
      <c r="F422">
        <v>118305876.57657658</v>
      </c>
      <c r="G422">
        <v>94</v>
      </c>
      <c r="H422">
        <v>87</v>
      </c>
      <c r="K422">
        <v>102</v>
      </c>
      <c r="L422">
        <v>494</v>
      </c>
      <c r="M422">
        <v>100004189.18918918</v>
      </c>
      <c r="N422">
        <v>78391441.441441447</v>
      </c>
      <c r="O422">
        <v>92541171.171171173</v>
      </c>
      <c r="P422">
        <v>97333477.477477476</v>
      </c>
      <c r="Q422">
        <v>81116756.756756753</v>
      </c>
      <c r="R422">
        <v>65232522.522522531</v>
      </c>
      <c r="S422">
        <v>13733</v>
      </c>
      <c r="T422">
        <v>13955</v>
      </c>
    </row>
    <row r="423" spans="1:20" x14ac:dyDescent="0.35">
      <c r="A423" s="7" t="s">
        <v>522</v>
      </c>
      <c r="B423" s="12" t="s">
        <v>143</v>
      </c>
      <c r="C423">
        <v>114397120.82804483</v>
      </c>
      <c r="D423">
        <v>108219701.22177315</v>
      </c>
      <c r="E423">
        <v>15315.315315316</v>
      </c>
      <c r="F423">
        <v>243243.243243245</v>
      </c>
      <c r="G423">
        <v>25</v>
      </c>
      <c r="H423">
        <v>31</v>
      </c>
      <c r="K423">
        <v>27</v>
      </c>
      <c r="L423">
        <v>34</v>
      </c>
      <c r="M423">
        <v>6808108.1081081089</v>
      </c>
      <c r="N423">
        <v>4747747.7477477482</v>
      </c>
      <c r="O423">
        <v>13136882.882882884</v>
      </c>
      <c r="P423">
        <v>13874207.207207208</v>
      </c>
      <c r="Q423">
        <v>6432252.2522522528</v>
      </c>
      <c r="R423">
        <v>5521261.261261262</v>
      </c>
      <c r="S423">
        <v>2986</v>
      </c>
      <c r="T423">
        <v>3002</v>
      </c>
    </row>
    <row r="424" spans="1:20" x14ac:dyDescent="0.35">
      <c r="A424" s="7" t="s">
        <v>523</v>
      </c>
      <c r="B424" s="12" t="s">
        <v>66</v>
      </c>
      <c r="C424">
        <v>72977700.37079905</v>
      </c>
      <c r="D424">
        <v>73693914.863744259</v>
      </c>
      <c r="E424">
        <v>52170810.810810804</v>
      </c>
      <c r="F424">
        <v>189123423.42342341</v>
      </c>
      <c r="G424">
        <v>13</v>
      </c>
      <c r="H424">
        <v>16</v>
      </c>
      <c r="I424">
        <v>1</v>
      </c>
      <c r="K424">
        <v>16</v>
      </c>
      <c r="L424">
        <v>21</v>
      </c>
      <c r="M424">
        <v>23438243.243243244</v>
      </c>
      <c r="N424">
        <v>62941531.531531528</v>
      </c>
      <c r="O424">
        <v>35479729.729729727</v>
      </c>
      <c r="P424">
        <v>34820432.432432435</v>
      </c>
      <c r="Q424">
        <v>6237207.2072072057</v>
      </c>
      <c r="R424">
        <v>20934594.59459459</v>
      </c>
      <c r="S424">
        <v>3700</v>
      </c>
      <c r="T424">
        <v>3793</v>
      </c>
    </row>
    <row r="425" spans="1:20" x14ac:dyDescent="0.35">
      <c r="A425" s="7" t="s">
        <v>524</v>
      </c>
      <c r="B425" s="12" t="s">
        <v>220</v>
      </c>
      <c r="C425">
        <v>101970149.88927735</v>
      </c>
      <c r="D425">
        <v>95625238.090074956</v>
      </c>
      <c r="E425">
        <v>427027.02702702698</v>
      </c>
      <c r="F425">
        <v>441441.44144144101</v>
      </c>
      <c r="G425">
        <v>36</v>
      </c>
      <c r="H425">
        <v>27</v>
      </c>
      <c r="K425">
        <v>43</v>
      </c>
      <c r="L425">
        <v>33</v>
      </c>
      <c r="M425">
        <v>7615315.3153153136</v>
      </c>
      <c r="N425">
        <v>6872072.0720720729</v>
      </c>
      <c r="O425">
        <v>24703207.207207207</v>
      </c>
      <c r="P425">
        <v>23501126.126126125</v>
      </c>
      <c r="Q425">
        <v>5353423.4234234234</v>
      </c>
      <c r="R425">
        <v>4274954.9549549548</v>
      </c>
      <c r="S425">
        <v>4556</v>
      </c>
      <c r="T425">
        <v>4322</v>
      </c>
    </row>
    <row r="426" spans="1:20" x14ac:dyDescent="0.35">
      <c r="A426" s="7" t="s">
        <v>525</v>
      </c>
      <c r="B426" s="12" t="s">
        <v>413</v>
      </c>
      <c r="C426">
        <v>1089416016.8192108</v>
      </c>
      <c r="D426">
        <v>1049975454.6944414</v>
      </c>
      <c r="E426">
        <v>396708169.36936933</v>
      </c>
      <c r="F426">
        <v>202817114.41441444</v>
      </c>
      <c r="G426">
        <v>160</v>
      </c>
      <c r="H426">
        <v>146</v>
      </c>
      <c r="K426">
        <v>458</v>
      </c>
      <c r="L426">
        <v>715</v>
      </c>
      <c r="M426">
        <v>95899009.009009004</v>
      </c>
      <c r="N426">
        <v>87093783.783783793</v>
      </c>
      <c r="O426">
        <v>306618396.3963964</v>
      </c>
      <c r="P426">
        <v>309130148.64864862</v>
      </c>
      <c r="Q426">
        <v>79630854.054054052</v>
      </c>
      <c r="R426">
        <v>86965945.945945948</v>
      </c>
      <c r="S426">
        <v>32403</v>
      </c>
      <c r="T426">
        <v>32437</v>
      </c>
    </row>
    <row r="427" spans="1:20" x14ac:dyDescent="0.35">
      <c r="A427" s="7" t="s">
        <v>526</v>
      </c>
      <c r="B427" s="12" t="s">
        <v>413</v>
      </c>
      <c r="C427">
        <v>130047705.40669182</v>
      </c>
      <c r="D427">
        <v>119747437.03856125</v>
      </c>
      <c r="E427">
        <v>12612.612612613</v>
      </c>
      <c r="F427">
        <v>202027.027027028</v>
      </c>
      <c r="G427">
        <v>16</v>
      </c>
      <c r="H427">
        <v>18</v>
      </c>
      <c r="K427">
        <v>19</v>
      </c>
      <c r="L427">
        <v>24</v>
      </c>
      <c r="M427">
        <v>6229549.5495495489</v>
      </c>
      <c r="N427">
        <v>8048108.1081081098</v>
      </c>
      <c r="O427">
        <v>36468189.189189181</v>
      </c>
      <c r="P427">
        <v>38489279.279279277</v>
      </c>
      <c r="Q427">
        <v>4623333.3333333321</v>
      </c>
      <c r="R427">
        <v>6058648.6486486476</v>
      </c>
      <c r="S427">
        <v>4533</v>
      </c>
      <c r="T427">
        <v>4346</v>
      </c>
    </row>
    <row r="428" spans="1:20" x14ac:dyDescent="0.35">
      <c r="A428" s="7" t="s">
        <v>661</v>
      </c>
      <c r="B428" s="12" t="s">
        <v>189</v>
      </c>
      <c r="C428">
        <v>2308950.7610543929</v>
      </c>
      <c r="F428">
        <v>3603603.6036036038</v>
      </c>
      <c r="G428">
        <v>3</v>
      </c>
      <c r="K428">
        <v>3</v>
      </c>
      <c r="O428">
        <v>755405.40540540498</v>
      </c>
      <c r="S428">
        <v>130</v>
      </c>
    </row>
    <row r="429" spans="1:20" x14ac:dyDescent="0.35">
      <c r="A429" s="7" t="s">
        <v>527</v>
      </c>
      <c r="B429" s="12" t="s">
        <v>147</v>
      </c>
      <c r="C429">
        <v>260209904.70486003</v>
      </c>
      <c r="D429">
        <v>249072495.90544224</v>
      </c>
      <c r="E429">
        <v>66740965.765765771</v>
      </c>
      <c r="F429">
        <v>186825963.06306309</v>
      </c>
      <c r="G429">
        <v>30</v>
      </c>
      <c r="H429">
        <v>56</v>
      </c>
      <c r="K429">
        <v>35</v>
      </c>
      <c r="L429">
        <v>211</v>
      </c>
      <c r="M429">
        <v>13813693.693693688</v>
      </c>
      <c r="N429">
        <v>62065945.945945941</v>
      </c>
      <c r="O429">
        <v>79603954.954954967</v>
      </c>
      <c r="P429">
        <v>87017980.180180177</v>
      </c>
      <c r="Q429">
        <v>16061261.261261256</v>
      </c>
      <c r="R429">
        <v>60668108.108108103</v>
      </c>
      <c r="S429">
        <v>10048</v>
      </c>
      <c r="T429">
        <v>9784</v>
      </c>
    </row>
    <row r="430" spans="1:20" x14ac:dyDescent="0.35">
      <c r="A430" s="7" t="s">
        <v>528</v>
      </c>
      <c r="B430" s="12" t="s">
        <v>121</v>
      </c>
      <c r="C430">
        <v>27168589.406849395</v>
      </c>
      <c r="D430">
        <v>27640948.123429079</v>
      </c>
      <c r="E430">
        <v>50450.450450450997</v>
      </c>
      <c r="F430">
        <v>306306.30630630697</v>
      </c>
      <c r="G430">
        <v>14</v>
      </c>
      <c r="H430">
        <v>19</v>
      </c>
      <c r="K430">
        <v>17</v>
      </c>
      <c r="L430">
        <v>20</v>
      </c>
      <c r="M430">
        <v>509909.90990991</v>
      </c>
      <c r="N430">
        <v>2536036.0360360369</v>
      </c>
      <c r="O430">
        <v>3180090.0900900899</v>
      </c>
      <c r="P430">
        <v>3208346.8468468459</v>
      </c>
      <c r="Q430">
        <v>1096936.936936938</v>
      </c>
      <c r="R430">
        <v>1950000</v>
      </c>
      <c r="S430">
        <v>1014</v>
      </c>
      <c r="T430">
        <v>984</v>
      </c>
    </row>
    <row r="431" spans="1:20" x14ac:dyDescent="0.35">
      <c r="A431" s="7" t="s">
        <v>529</v>
      </c>
      <c r="B431" s="12" t="s">
        <v>448</v>
      </c>
      <c r="C431">
        <v>77117402.982508779</v>
      </c>
      <c r="D431">
        <v>43676431.634303004</v>
      </c>
      <c r="E431">
        <v>53686666.666666664</v>
      </c>
      <c r="F431">
        <v>193954954.95495495</v>
      </c>
      <c r="G431">
        <v>29</v>
      </c>
      <c r="H431">
        <v>6</v>
      </c>
      <c r="K431">
        <v>31</v>
      </c>
      <c r="L431">
        <v>7</v>
      </c>
      <c r="M431">
        <v>5548423.4234234253</v>
      </c>
      <c r="N431">
        <v>2974774.774774774</v>
      </c>
      <c r="O431">
        <v>30998441.441441439</v>
      </c>
      <c r="P431">
        <v>21342605.855855856</v>
      </c>
      <c r="Q431">
        <v>4633783.7837837841</v>
      </c>
      <c r="R431">
        <v>3579729.7297297288</v>
      </c>
      <c r="S431">
        <v>2501</v>
      </c>
      <c r="T431">
        <v>2117</v>
      </c>
    </row>
    <row r="432" spans="1:20" x14ac:dyDescent="0.35">
      <c r="A432" s="7" t="s">
        <v>530</v>
      </c>
      <c r="B432" s="12" t="s">
        <v>448</v>
      </c>
      <c r="C432">
        <v>116479872.29250461</v>
      </c>
      <c r="D432">
        <v>112748770.12282813</v>
      </c>
      <c r="E432">
        <v>85585.585585585999</v>
      </c>
      <c r="F432">
        <v>965765.76576576696</v>
      </c>
      <c r="G432">
        <v>58</v>
      </c>
      <c r="H432">
        <v>40</v>
      </c>
      <c r="K432">
        <v>67</v>
      </c>
      <c r="L432">
        <v>44</v>
      </c>
      <c r="M432">
        <v>4872702.702702703</v>
      </c>
      <c r="N432">
        <v>6420270.2702702712</v>
      </c>
      <c r="O432">
        <v>53811846.846846849</v>
      </c>
      <c r="P432">
        <v>50933540.540540546</v>
      </c>
      <c r="Q432">
        <v>6042792.7927927924</v>
      </c>
      <c r="R432">
        <v>5400720.7207207214</v>
      </c>
      <c r="S432">
        <v>5168</v>
      </c>
      <c r="T432">
        <v>5101</v>
      </c>
    </row>
    <row r="433" spans="1:20" x14ac:dyDescent="0.35">
      <c r="A433" s="7" t="s">
        <v>531</v>
      </c>
      <c r="B433" s="12" t="s">
        <v>123</v>
      </c>
      <c r="C433">
        <v>301165229.6269412</v>
      </c>
      <c r="D433">
        <v>307485005.99739879</v>
      </c>
      <c r="E433">
        <v>48069989.189189196</v>
      </c>
      <c r="F433">
        <v>234921879.27927929</v>
      </c>
      <c r="G433">
        <v>83</v>
      </c>
      <c r="H433">
        <v>109</v>
      </c>
      <c r="I433">
        <v>1</v>
      </c>
      <c r="K433">
        <v>107</v>
      </c>
      <c r="L433">
        <v>154</v>
      </c>
      <c r="M433">
        <v>53551351.351351351</v>
      </c>
      <c r="N433">
        <v>87244414.414414421</v>
      </c>
      <c r="O433">
        <v>103789658.55855855</v>
      </c>
      <c r="P433">
        <v>106339736.93693693</v>
      </c>
      <c r="Q433">
        <v>59834954.954954952</v>
      </c>
      <c r="R433">
        <v>91078648.648648635</v>
      </c>
      <c r="S433">
        <v>11321</v>
      </c>
      <c r="T433">
        <v>11448</v>
      </c>
    </row>
    <row r="434" spans="1:20" x14ac:dyDescent="0.35">
      <c r="A434" s="7" t="s">
        <v>532</v>
      </c>
      <c r="B434" s="12" t="s">
        <v>85</v>
      </c>
      <c r="C434">
        <v>97329228.452040985</v>
      </c>
      <c r="D434">
        <v>92033703.140487894</v>
      </c>
      <c r="E434">
        <v>1287387.3873873879</v>
      </c>
      <c r="F434">
        <v>136229729.72972974</v>
      </c>
      <c r="G434">
        <v>11</v>
      </c>
      <c r="H434">
        <v>13</v>
      </c>
      <c r="K434">
        <v>11</v>
      </c>
      <c r="L434">
        <v>39</v>
      </c>
      <c r="M434">
        <v>15350450.45045045</v>
      </c>
      <c r="N434">
        <v>10812252.252252253</v>
      </c>
      <c r="O434">
        <v>22209324.324324325</v>
      </c>
      <c r="P434">
        <v>20286396.396396395</v>
      </c>
      <c r="Q434">
        <v>9809009.0090090074</v>
      </c>
      <c r="R434">
        <v>6093243.2432432435</v>
      </c>
      <c r="S434">
        <v>3710</v>
      </c>
      <c r="T434">
        <v>3554</v>
      </c>
    </row>
    <row r="435" spans="1:20" x14ac:dyDescent="0.35">
      <c r="A435" s="7" t="s">
        <v>9</v>
      </c>
      <c r="B435" s="12" t="s">
        <v>158</v>
      </c>
      <c r="C435">
        <v>246647867.39175236</v>
      </c>
      <c r="D435">
        <v>235708710.59113604</v>
      </c>
      <c r="E435">
        <v>1240000.000000004</v>
      </c>
      <c r="F435">
        <v>3118266.6666666712</v>
      </c>
      <c r="G435">
        <v>40</v>
      </c>
      <c r="H435">
        <v>36</v>
      </c>
      <c r="I435">
        <v>4</v>
      </c>
      <c r="K435">
        <v>49</v>
      </c>
      <c r="L435">
        <v>39</v>
      </c>
      <c r="M435">
        <v>420557117.11711711</v>
      </c>
      <c r="N435">
        <v>279093860.36036032</v>
      </c>
      <c r="O435">
        <v>86826567.567567572</v>
      </c>
      <c r="P435">
        <v>86560072.072072059</v>
      </c>
      <c r="Q435">
        <v>340644684.68468469</v>
      </c>
      <c r="R435">
        <v>245110630.63063061</v>
      </c>
      <c r="S435">
        <v>7548</v>
      </c>
      <c r="T435">
        <v>7123</v>
      </c>
    </row>
    <row r="436" spans="1:20" x14ac:dyDescent="0.35">
      <c r="A436" s="7" t="s">
        <v>533</v>
      </c>
      <c r="B436" s="12" t="s">
        <v>94</v>
      </c>
      <c r="C436">
        <v>242959710.90985036</v>
      </c>
      <c r="D436">
        <v>233459155.74942407</v>
      </c>
      <c r="E436">
        <v>128828.82882883</v>
      </c>
      <c r="F436">
        <v>911711.71171171602</v>
      </c>
      <c r="G436">
        <v>42</v>
      </c>
      <c r="H436">
        <v>44</v>
      </c>
      <c r="I436">
        <v>1</v>
      </c>
      <c r="K436">
        <v>46</v>
      </c>
      <c r="L436">
        <v>51</v>
      </c>
      <c r="M436">
        <v>20547747.747747745</v>
      </c>
      <c r="N436">
        <v>19245045.045045044</v>
      </c>
      <c r="O436">
        <v>26727385.585585583</v>
      </c>
      <c r="P436">
        <v>31443639.639639638</v>
      </c>
      <c r="Q436">
        <v>13665495.495495496</v>
      </c>
      <c r="R436">
        <v>14088918.918918919</v>
      </c>
      <c r="S436">
        <v>6314</v>
      </c>
      <c r="T436">
        <v>6370</v>
      </c>
    </row>
    <row r="437" spans="1:20" x14ac:dyDescent="0.35">
      <c r="A437" s="7" t="s">
        <v>534</v>
      </c>
      <c r="B437" s="12" t="s">
        <v>304</v>
      </c>
      <c r="C437">
        <v>6558240.1388656972</v>
      </c>
      <c r="D437">
        <v>7129948.0801653424</v>
      </c>
      <c r="G437">
        <v>4</v>
      </c>
      <c r="H437">
        <v>1</v>
      </c>
      <c r="K437">
        <v>4</v>
      </c>
      <c r="L437">
        <v>1</v>
      </c>
      <c r="O437">
        <v>733918.91891891905</v>
      </c>
      <c r="P437">
        <v>1100360.36036036</v>
      </c>
      <c r="S437">
        <v>240</v>
      </c>
      <c r="T437">
        <v>410</v>
      </c>
    </row>
    <row r="438" spans="1:20" x14ac:dyDescent="0.35">
      <c r="A438" s="7" t="s">
        <v>535</v>
      </c>
      <c r="B438" s="12" t="s">
        <v>304</v>
      </c>
      <c r="C438">
        <v>101546812.07060194</v>
      </c>
      <c r="D438">
        <v>95872748.759376794</v>
      </c>
      <c r="E438">
        <v>20156110.810810812</v>
      </c>
      <c r="F438">
        <v>61789596.396396399</v>
      </c>
      <c r="G438">
        <v>18</v>
      </c>
      <c r="H438">
        <v>9</v>
      </c>
      <c r="K438">
        <v>21</v>
      </c>
      <c r="L438">
        <v>13</v>
      </c>
      <c r="M438">
        <v>37791891.891891889</v>
      </c>
      <c r="N438">
        <v>8103603.6036036042</v>
      </c>
      <c r="O438">
        <v>9046891.8918918911</v>
      </c>
      <c r="P438">
        <v>8831261.261261262</v>
      </c>
      <c r="Q438">
        <v>3687837.8378378381</v>
      </c>
      <c r="R438">
        <v>3113693.6936936928</v>
      </c>
      <c r="S438">
        <v>2756</v>
      </c>
      <c r="T438">
        <v>2710</v>
      </c>
    </row>
    <row r="439" spans="1:20" x14ac:dyDescent="0.35">
      <c r="A439" s="7" t="s">
        <v>536</v>
      </c>
      <c r="B439" s="12" t="s">
        <v>85</v>
      </c>
      <c r="C439">
        <v>83464610.603901625</v>
      </c>
      <c r="D439">
        <v>81053519.206663474</v>
      </c>
      <c r="E439">
        <v>200384614.41441441</v>
      </c>
      <c r="F439">
        <v>143331690.0900901</v>
      </c>
      <c r="G439">
        <v>43</v>
      </c>
      <c r="H439">
        <v>35</v>
      </c>
      <c r="K439">
        <v>47</v>
      </c>
      <c r="L439">
        <v>42</v>
      </c>
      <c r="M439">
        <v>27218018.018018018</v>
      </c>
      <c r="N439">
        <v>25511171.171171173</v>
      </c>
      <c r="O439">
        <v>38406891.891891889</v>
      </c>
      <c r="P439">
        <v>38684189.189189196</v>
      </c>
      <c r="Q439">
        <v>25159369.369369369</v>
      </c>
      <c r="R439">
        <v>23083333.333333336</v>
      </c>
      <c r="S439">
        <v>3115</v>
      </c>
      <c r="T439">
        <v>2974</v>
      </c>
    </row>
    <row r="440" spans="1:20" x14ac:dyDescent="0.35">
      <c r="A440" s="7" t="s">
        <v>537</v>
      </c>
      <c r="B440" s="12" t="s">
        <v>448</v>
      </c>
      <c r="C440">
        <v>117395539.50043094</v>
      </c>
      <c r="D440">
        <v>113434153.3707028</v>
      </c>
      <c r="E440">
        <v>159459.45945946101</v>
      </c>
      <c r="F440">
        <v>1181081.08108108</v>
      </c>
      <c r="G440">
        <v>61</v>
      </c>
      <c r="H440">
        <v>80</v>
      </c>
      <c r="K440">
        <v>64</v>
      </c>
      <c r="L440">
        <v>234</v>
      </c>
      <c r="M440">
        <v>4736936.9369369363</v>
      </c>
      <c r="N440">
        <v>2664864.8648648639</v>
      </c>
      <c r="O440">
        <v>33611738.738738738</v>
      </c>
      <c r="P440">
        <v>31090520.72072072</v>
      </c>
      <c r="Q440">
        <v>5078378.3783783782</v>
      </c>
      <c r="R440">
        <v>3082432.4324324308</v>
      </c>
      <c r="S440">
        <v>5114</v>
      </c>
      <c r="T440">
        <v>5290</v>
      </c>
    </row>
    <row r="441" spans="1:20" x14ac:dyDescent="0.35">
      <c r="A441" s="7" t="s">
        <v>538</v>
      </c>
      <c r="B441" s="12" t="s">
        <v>117</v>
      </c>
      <c r="C441">
        <v>263757700.00674742</v>
      </c>
      <c r="D441">
        <v>260518669.20345247</v>
      </c>
      <c r="E441">
        <v>1400270.2702702789</v>
      </c>
      <c r="F441">
        <v>4113513.5135135241</v>
      </c>
      <c r="G441">
        <v>109</v>
      </c>
      <c r="H441">
        <v>54</v>
      </c>
      <c r="K441">
        <v>176</v>
      </c>
      <c r="L441">
        <v>95</v>
      </c>
      <c r="M441">
        <v>45004054.054054052</v>
      </c>
      <c r="N441">
        <v>52174683.783783786</v>
      </c>
      <c r="O441">
        <v>140193558.55855855</v>
      </c>
      <c r="P441">
        <v>142695018.01801801</v>
      </c>
      <c r="Q441">
        <v>44036396.396396399</v>
      </c>
      <c r="R441">
        <v>43074234.234234229</v>
      </c>
      <c r="S441">
        <v>11263</v>
      </c>
      <c r="T441">
        <v>11222</v>
      </c>
    </row>
    <row r="442" spans="1:20" x14ac:dyDescent="0.35">
      <c r="A442" s="7" t="s">
        <v>539</v>
      </c>
      <c r="B442" s="12" t="s">
        <v>83</v>
      </c>
      <c r="C442">
        <v>835299954.63520539</v>
      </c>
      <c r="D442">
        <v>819922025.10355496</v>
      </c>
      <c r="E442">
        <v>18157657.657657661</v>
      </c>
      <c r="F442">
        <v>4027104.5045045079</v>
      </c>
      <c r="G442">
        <v>99</v>
      </c>
      <c r="H442">
        <v>183</v>
      </c>
      <c r="K442">
        <v>115</v>
      </c>
      <c r="L442">
        <v>213</v>
      </c>
      <c r="M442">
        <v>48911036.036036029</v>
      </c>
      <c r="N442">
        <v>48571252.252252258</v>
      </c>
      <c r="O442">
        <v>80758583.783783779</v>
      </c>
      <c r="P442">
        <v>88711498.648648635</v>
      </c>
      <c r="Q442">
        <v>40351484.684684686</v>
      </c>
      <c r="R442">
        <v>46649052.252252258</v>
      </c>
      <c r="S442">
        <v>21670</v>
      </c>
      <c r="T442">
        <v>21921</v>
      </c>
    </row>
    <row r="443" spans="1:20" x14ac:dyDescent="0.35">
      <c r="A443" s="7" t="s">
        <v>540</v>
      </c>
      <c r="B443" s="12" t="s">
        <v>315</v>
      </c>
      <c r="C443">
        <v>98201479.854812801</v>
      </c>
      <c r="D443">
        <v>99795476.844711974</v>
      </c>
      <c r="E443">
        <v>2217117.1171171172</v>
      </c>
      <c r="F443">
        <v>1178603.603603604</v>
      </c>
      <c r="G443">
        <v>12</v>
      </c>
      <c r="H443">
        <v>17</v>
      </c>
      <c r="K443">
        <v>12</v>
      </c>
      <c r="L443">
        <v>20</v>
      </c>
      <c r="M443">
        <v>11072972.972972972</v>
      </c>
      <c r="N443">
        <v>5731081.0810810803</v>
      </c>
      <c r="O443">
        <v>17261936.936936937</v>
      </c>
      <c r="P443">
        <v>20817396.396396395</v>
      </c>
      <c r="Q443">
        <v>7122882.8828828828</v>
      </c>
      <c r="R443">
        <v>5420360.3603603598</v>
      </c>
      <c r="S443">
        <v>2501</v>
      </c>
      <c r="T443">
        <v>2580</v>
      </c>
    </row>
    <row r="444" spans="1:20" x14ac:dyDescent="0.35">
      <c r="A444" s="7" t="s">
        <v>541</v>
      </c>
      <c r="B444" s="12" t="s">
        <v>169</v>
      </c>
      <c r="C444">
        <v>723693557.55262256</v>
      </c>
      <c r="D444">
        <v>675410622.79535556</v>
      </c>
      <c r="E444">
        <v>1726576.5765765761</v>
      </c>
      <c r="F444">
        <v>1593693.693693694</v>
      </c>
      <c r="G444">
        <v>74</v>
      </c>
      <c r="H444">
        <v>83</v>
      </c>
      <c r="K444">
        <v>86</v>
      </c>
      <c r="L444">
        <v>179</v>
      </c>
      <c r="M444">
        <v>32903693.693693686</v>
      </c>
      <c r="N444">
        <v>38299279.279279277</v>
      </c>
      <c r="O444">
        <v>252784108.1081081</v>
      </c>
      <c r="P444">
        <v>254191340.09009007</v>
      </c>
      <c r="Q444">
        <v>29544684.684684683</v>
      </c>
      <c r="R444">
        <v>40375225.225225225</v>
      </c>
      <c r="S444">
        <v>21379</v>
      </c>
      <c r="T444">
        <v>23966</v>
      </c>
    </row>
    <row r="445" spans="1:20" x14ac:dyDescent="0.35">
      <c r="A445" s="7" t="s">
        <v>542</v>
      </c>
      <c r="B445" s="12" t="s">
        <v>479</v>
      </c>
      <c r="C445">
        <v>221378412.51509312</v>
      </c>
      <c r="D445">
        <v>213443939.5285354</v>
      </c>
      <c r="E445">
        <v>1036936.936936937</v>
      </c>
      <c r="F445">
        <v>67567.567567570004</v>
      </c>
      <c r="G445">
        <v>20</v>
      </c>
      <c r="H445">
        <v>19</v>
      </c>
      <c r="K445">
        <v>23</v>
      </c>
      <c r="L445">
        <v>24</v>
      </c>
      <c r="M445">
        <v>2000900.9009009011</v>
      </c>
      <c r="N445">
        <v>76576.576576578998</v>
      </c>
      <c r="O445">
        <v>28049225.225225225</v>
      </c>
      <c r="P445">
        <v>27610207.207207207</v>
      </c>
      <c r="Q445">
        <v>1650000</v>
      </c>
      <c r="R445">
        <v>133063.063063062</v>
      </c>
      <c r="S445">
        <v>6403</v>
      </c>
      <c r="T445">
        <v>5432</v>
      </c>
    </row>
    <row r="446" spans="1:20" x14ac:dyDescent="0.35">
      <c r="A446" s="7" t="s">
        <v>543</v>
      </c>
      <c r="B446" s="12" t="s">
        <v>80</v>
      </c>
      <c r="C446">
        <v>60419125.657528549</v>
      </c>
      <c r="D446">
        <v>49430090.000946268</v>
      </c>
      <c r="E446">
        <v>46846.846846847999</v>
      </c>
      <c r="F446">
        <v>240990.99099099301</v>
      </c>
      <c r="G446">
        <v>15</v>
      </c>
      <c r="H446">
        <v>17</v>
      </c>
      <c r="K446">
        <v>17</v>
      </c>
      <c r="L446">
        <v>23</v>
      </c>
      <c r="M446">
        <v>5287387.3873873875</v>
      </c>
      <c r="N446">
        <v>5744144.1441441439</v>
      </c>
      <c r="O446">
        <v>21428063.063063063</v>
      </c>
      <c r="P446">
        <v>18531063.063063063</v>
      </c>
      <c r="Q446">
        <v>5535675.6756756762</v>
      </c>
      <c r="R446">
        <v>5429189.18918919</v>
      </c>
      <c r="S446">
        <v>2354</v>
      </c>
      <c r="T446">
        <v>2495</v>
      </c>
    </row>
    <row r="447" spans="1:20" x14ac:dyDescent="0.35">
      <c r="A447" s="7" t="s">
        <v>544</v>
      </c>
      <c r="B447" s="12" t="s">
        <v>169</v>
      </c>
      <c r="C447">
        <v>60969999.17809625</v>
      </c>
      <c r="D447">
        <v>50513210.174831711</v>
      </c>
      <c r="F447">
        <v>271171.17117117101</v>
      </c>
      <c r="G447">
        <v>15</v>
      </c>
      <c r="H447">
        <v>11</v>
      </c>
      <c r="K447">
        <v>15</v>
      </c>
      <c r="L447">
        <v>11</v>
      </c>
      <c r="M447">
        <v>1801801.801801801</v>
      </c>
      <c r="N447">
        <v>1172072.072072071</v>
      </c>
      <c r="O447">
        <v>25968007.207207207</v>
      </c>
      <c r="P447">
        <v>22932063.063063063</v>
      </c>
      <c r="Q447">
        <v>1512882.8828828831</v>
      </c>
      <c r="R447">
        <v>370900.900900901</v>
      </c>
      <c r="S447">
        <v>2498</v>
      </c>
      <c r="T447">
        <v>2434</v>
      </c>
    </row>
    <row r="448" spans="1:20" x14ac:dyDescent="0.35">
      <c r="A448" s="7" t="s">
        <v>545</v>
      </c>
      <c r="B448" s="12" t="s">
        <v>224</v>
      </c>
      <c r="C448">
        <v>17991.698024956</v>
      </c>
      <c r="D448">
        <v>3282.9748894660001</v>
      </c>
      <c r="O448">
        <v>10585.585585586001</v>
      </c>
    </row>
    <row r="449" spans="1:20" x14ac:dyDescent="0.35">
      <c r="A449" s="7" t="s">
        <v>546</v>
      </c>
      <c r="B449" s="12" t="s">
        <v>136</v>
      </c>
      <c r="C449">
        <v>142271971.24083304</v>
      </c>
      <c r="D449">
        <v>139346168.71179503</v>
      </c>
      <c r="E449">
        <v>328378.37837837799</v>
      </c>
      <c r="F449">
        <v>632432.43243243499</v>
      </c>
      <c r="G449">
        <v>54</v>
      </c>
      <c r="H449">
        <v>45</v>
      </c>
      <c r="K449">
        <v>58</v>
      </c>
      <c r="L449">
        <v>54</v>
      </c>
      <c r="M449">
        <v>28534954.954954952</v>
      </c>
      <c r="N449">
        <v>34941441.441441439</v>
      </c>
      <c r="O449">
        <v>45213819.819819823</v>
      </c>
      <c r="P449">
        <v>44573088.288288288</v>
      </c>
      <c r="Q449">
        <v>25950900.9009009</v>
      </c>
      <c r="R449">
        <v>25282162.162162162</v>
      </c>
      <c r="S449">
        <v>4411</v>
      </c>
      <c r="T449">
        <v>4381</v>
      </c>
    </row>
    <row r="450" spans="1:20" x14ac:dyDescent="0.35">
      <c r="A450" s="7" t="s">
        <v>547</v>
      </c>
      <c r="B450" s="12" t="s">
        <v>136</v>
      </c>
      <c r="C450">
        <v>260629339.59471616</v>
      </c>
      <c r="D450">
        <v>266664248.95898697</v>
      </c>
      <c r="E450">
        <v>99249744.144144148</v>
      </c>
      <c r="F450">
        <v>221496497.2972973</v>
      </c>
      <c r="G450">
        <v>131</v>
      </c>
      <c r="H450">
        <v>128</v>
      </c>
      <c r="K450">
        <v>144</v>
      </c>
      <c r="L450">
        <v>146</v>
      </c>
      <c r="M450">
        <v>60964414.414414406</v>
      </c>
      <c r="N450">
        <v>63809909.909909911</v>
      </c>
      <c r="O450">
        <v>78582295.495495498</v>
      </c>
      <c r="P450">
        <v>86453296.396396399</v>
      </c>
      <c r="Q450">
        <v>54290360.360360354</v>
      </c>
      <c r="R450">
        <v>56012742.342342347</v>
      </c>
      <c r="S450">
        <v>12647</v>
      </c>
      <c r="T450">
        <v>12419</v>
      </c>
    </row>
    <row r="451" spans="1:20" x14ac:dyDescent="0.35">
      <c r="A451" s="7" t="s">
        <v>548</v>
      </c>
      <c r="B451" s="12" t="s">
        <v>136</v>
      </c>
      <c r="C451">
        <v>292781752.44401175</v>
      </c>
      <c r="D451">
        <v>290624759.05396265</v>
      </c>
      <c r="E451">
        <v>909909.90990991099</v>
      </c>
      <c r="F451">
        <v>1957657.657657658</v>
      </c>
      <c r="G451">
        <v>84</v>
      </c>
      <c r="H451">
        <v>38</v>
      </c>
      <c r="K451">
        <v>89</v>
      </c>
      <c r="L451">
        <v>45</v>
      </c>
      <c r="M451">
        <v>11201801.801801804</v>
      </c>
      <c r="N451">
        <v>13011711.71171171</v>
      </c>
      <c r="O451">
        <v>45786342.342342347</v>
      </c>
      <c r="P451">
        <v>48773772.972972974</v>
      </c>
      <c r="Q451">
        <v>11501621.62162162</v>
      </c>
      <c r="R451">
        <v>11059369.369369371</v>
      </c>
      <c r="S451">
        <v>8124</v>
      </c>
      <c r="T451">
        <v>11183</v>
      </c>
    </row>
    <row r="452" spans="1:20" x14ac:dyDescent="0.35">
      <c r="A452" s="7" t="s">
        <v>549</v>
      </c>
      <c r="B452" s="12" t="s">
        <v>136</v>
      </c>
      <c r="C452">
        <v>139282127.64540789</v>
      </c>
      <c r="D452">
        <v>118904110.80866256</v>
      </c>
      <c r="E452">
        <v>25207207.207207207</v>
      </c>
      <c r="F452">
        <v>12846846.846846849</v>
      </c>
      <c r="G452">
        <v>35</v>
      </c>
      <c r="H452">
        <v>18</v>
      </c>
      <c r="K452">
        <v>40</v>
      </c>
      <c r="L452">
        <v>20</v>
      </c>
      <c r="M452">
        <v>8972972.9729729742</v>
      </c>
      <c r="N452">
        <v>11130630.630630627</v>
      </c>
      <c r="O452">
        <v>23475223.423423424</v>
      </c>
      <c r="P452">
        <v>20520558.558558561</v>
      </c>
      <c r="Q452">
        <v>9363827.0270270277</v>
      </c>
      <c r="R452">
        <v>7971891.8918918921</v>
      </c>
      <c r="S452">
        <v>3754</v>
      </c>
      <c r="T452">
        <v>3857</v>
      </c>
    </row>
    <row r="453" spans="1:20" x14ac:dyDescent="0.35">
      <c r="A453" s="7" t="s">
        <v>550</v>
      </c>
      <c r="B453" s="12" t="s">
        <v>87</v>
      </c>
      <c r="C453">
        <v>59262329.897895135</v>
      </c>
      <c r="D453">
        <v>48273808.238815345</v>
      </c>
      <c r="E453">
        <v>906306.30630630697</v>
      </c>
      <c r="F453">
        <v>89189.189189188997</v>
      </c>
      <c r="G453">
        <v>28</v>
      </c>
      <c r="H453">
        <v>18</v>
      </c>
      <c r="K453">
        <v>32</v>
      </c>
      <c r="L453">
        <v>22</v>
      </c>
      <c r="M453">
        <v>2955855.8558558561</v>
      </c>
      <c r="N453">
        <v>3018018.018018018</v>
      </c>
      <c r="O453">
        <v>9895430.6306306329</v>
      </c>
      <c r="P453">
        <v>7722108.1081081079</v>
      </c>
      <c r="Q453">
        <v>3039369.3693693699</v>
      </c>
      <c r="R453">
        <v>2688738.738738738</v>
      </c>
      <c r="S453">
        <v>1458</v>
      </c>
      <c r="T453">
        <v>1451</v>
      </c>
    </row>
    <row r="454" spans="1:20" x14ac:dyDescent="0.35">
      <c r="A454" s="7" t="s">
        <v>551</v>
      </c>
      <c r="B454" s="12" t="s">
        <v>87</v>
      </c>
      <c r="C454">
        <v>84755484.648799136</v>
      </c>
      <c r="D454">
        <v>75501019.993238106</v>
      </c>
      <c r="E454">
        <v>44144.144144143997</v>
      </c>
      <c r="F454">
        <v>211711.711711713</v>
      </c>
      <c r="G454">
        <v>61</v>
      </c>
      <c r="H454">
        <v>32</v>
      </c>
      <c r="I454">
        <v>1</v>
      </c>
      <c r="K454">
        <v>66</v>
      </c>
      <c r="L454">
        <v>40</v>
      </c>
      <c r="M454">
        <v>6800900.9009009013</v>
      </c>
      <c r="N454">
        <v>3514414.4144144151</v>
      </c>
      <c r="O454">
        <v>12049729.729729731</v>
      </c>
      <c r="P454">
        <v>8664944.1441441439</v>
      </c>
      <c r="Q454">
        <v>6940990.9909909917</v>
      </c>
      <c r="R454">
        <v>2917927.927927928</v>
      </c>
      <c r="S454">
        <v>2632</v>
      </c>
      <c r="T454">
        <v>2512</v>
      </c>
    </row>
    <row r="455" spans="1:20" x14ac:dyDescent="0.35">
      <c r="A455" s="7" t="s">
        <v>552</v>
      </c>
      <c r="B455" s="12" t="s">
        <v>66</v>
      </c>
      <c r="C455">
        <v>150418939.69670042</v>
      </c>
      <c r="D455">
        <v>145659750.47979715</v>
      </c>
      <c r="E455">
        <v>1875405.4054054071</v>
      </c>
      <c r="F455">
        <v>2972072.0720720738</v>
      </c>
      <c r="G455">
        <v>135</v>
      </c>
      <c r="H455">
        <v>40</v>
      </c>
      <c r="K455">
        <v>145</v>
      </c>
      <c r="L455">
        <v>51</v>
      </c>
      <c r="M455">
        <v>23229369.369369369</v>
      </c>
      <c r="N455">
        <v>175440900.9009009</v>
      </c>
      <c r="O455">
        <v>64274972.972972974</v>
      </c>
      <c r="P455">
        <v>61433921.171171166</v>
      </c>
      <c r="Q455">
        <v>23821261.261261258</v>
      </c>
      <c r="R455">
        <v>71080990.990990996</v>
      </c>
      <c r="S455">
        <v>8941</v>
      </c>
      <c r="T455">
        <v>8889</v>
      </c>
    </row>
    <row r="456" spans="1:20" x14ac:dyDescent="0.35">
      <c r="A456" s="7" t="s">
        <v>35</v>
      </c>
      <c r="B456" s="12" t="s">
        <v>158</v>
      </c>
      <c r="E456">
        <v>3378378.3783783782</v>
      </c>
      <c r="F456">
        <v>91959459.459459454</v>
      </c>
      <c r="M456">
        <v>23817117.117117114</v>
      </c>
      <c r="N456">
        <v>12688963.963963963</v>
      </c>
    </row>
    <row r="457" spans="1:20" x14ac:dyDescent="0.35">
      <c r="A457" s="7" t="s">
        <v>553</v>
      </c>
      <c r="B457" s="12" t="s">
        <v>554</v>
      </c>
      <c r="C457">
        <v>321000194.71250391</v>
      </c>
      <c r="D457">
        <v>294459828.70220912</v>
      </c>
      <c r="E457">
        <v>368468.46846846998</v>
      </c>
      <c r="F457">
        <v>8307657.6576576577</v>
      </c>
      <c r="G457">
        <v>119</v>
      </c>
      <c r="H457">
        <v>40</v>
      </c>
      <c r="I457">
        <v>1</v>
      </c>
      <c r="K457">
        <v>254</v>
      </c>
      <c r="L457">
        <v>59</v>
      </c>
      <c r="M457">
        <v>26679909.909909908</v>
      </c>
      <c r="N457">
        <v>109582882.88288288</v>
      </c>
      <c r="O457">
        <v>85600387.387387395</v>
      </c>
      <c r="P457">
        <v>80435234.234234244</v>
      </c>
      <c r="Q457">
        <v>24060270.270270269</v>
      </c>
      <c r="R457">
        <v>105263873.87387387</v>
      </c>
      <c r="S457">
        <v>9369</v>
      </c>
      <c r="T457">
        <v>9309</v>
      </c>
    </row>
    <row r="458" spans="1:20" x14ac:dyDescent="0.35">
      <c r="A458" s="7" t="s">
        <v>555</v>
      </c>
      <c r="B458" s="12" t="s">
        <v>554</v>
      </c>
      <c r="C458">
        <v>50012863.348962769</v>
      </c>
      <c r="D458">
        <v>45814494.607668974</v>
      </c>
      <c r="E458">
        <v>4555342.3423423441</v>
      </c>
      <c r="F458">
        <v>86444173.873873875</v>
      </c>
      <c r="G458">
        <v>28</v>
      </c>
      <c r="H458">
        <v>13</v>
      </c>
      <c r="K458">
        <v>29</v>
      </c>
      <c r="L458">
        <v>14</v>
      </c>
      <c r="M458">
        <v>10076216.216216216</v>
      </c>
      <c r="N458">
        <v>7252252.2522522518</v>
      </c>
      <c r="O458">
        <v>18493378.378378376</v>
      </c>
      <c r="P458">
        <v>16494675.675675675</v>
      </c>
      <c r="Q458">
        <v>5610810.81081081</v>
      </c>
      <c r="R458">
        <v>5599189.1891891882</v>
      </c>
      <c r="S458">
        <v>1628</v>
      </c>
      <c r="T458">
        <v>1536</v>
      </c>
    </row>
    <row r="459" spans="1:20" x14ac:dyDescent="0.35">
      <c r="A459" s="7" t="s">
        <v>556</v>
      </c>
      <c r="B459" s="12" t="s">
        <v>121</v>
      </c>
      <c r="C459">
        <v>35683678.792127468</v>
      </c>
      <c r="D459">
        <v>34962520.019397877</v>
      </c>
      <c r="F459">
        <v>180180.18018018</v>
      </c>
      <c r="G459">
        <v>22</v>
      </c>
      <c r="H459">
        <v>15</v>
      </c>
      <c r="K459">
        <v>25</v>
      </c>
      <c r="L459">
        <v>17</v>
      </c>
      <c r="N459">
        <v>180180.18018018</v>
      </c>
      <c r="O459">
        <v>2938873.873873875</v>
      </c>
      <c r="P459">
        <v>3227603.6036036038</v>
      </c>
      <c r="Q459">
        <v>151351.35135135101</v>
      </c>
      <c r="R459">
        <v>118918.91891891899</v>
      </c>
      <c r="S459">
        <v>1417</v>
      </c>
      <c r="T459">
        <v>1311</v>
      </c>
    </row>
    <row r="460" spans="1:20" x14ac:dyDescent="0.35">
      <c r="A460" s="7" t="s">
        <v>557</v>
      </c>
      <c r="B460" s="12" t="s">
        <v>70</v>
      </c>
      <c r="C460">
        <v>277354071.27132004</v>
      </c>
      <c r="D460">
        <v>275562724.18489867</v>
      </c>
      <c r="E460">
        <v>1065045.045045045</v>
      </c>
      <c r="F460">
        <v>3208108.108108114</v>
      </c>
      <c r="G460">
        <v>68</v>
      </c>
      <c r="H460">
        <v>65</v>
      </c>
      <c r="K460">
        <v>76</v>
      </c>
      <c r="L460">
        <v>74</v>
      </c>
      <c r="M460">
        <v>18178558.558558561</v>
      </c>
      <c r="N460">
        <v>42930630.630630635</v>
      </c>
      <c r="O460">
        <v>113350477.47747748</v>
      </c>
      <c r="P460">
        <v>114822747.74774775</v>
      </c>
      <c r="Q460">
        <v>31803873.873873878</v>
      </c>
      <c r="R460">
        <v>32491171.171171177</v>
      </c>
      <c r="S460">
        <v>10495</v>
      </c>
      <c r="T460">
        <v>10232</v>
      </c>
    </row>
    <row r="461" spans="1:20" x14ac:dyDescent="0.35">
      <c r="A461" s="7" t="s">
        <v>558</v>
      </c>
      <c r="B461" s="12" t="s">
        <v>62</v>
      </c>
      <c r="C461">
        <v>501340961.83435369</v>
      </c>
      <c r="D461">
        <v>499368001.07485449</v>
      </c>
      <c r="E461">
        <v>173887593.6936937</v>
      </c>
      <c r="F461">
        <v>274617267.56756759</v>
      </c>
      <c r="G461">
        <v>103</v>
      </c>
      <c r="H461">
        <v>146</v>
      </c>
      <c r="K461">
        <v>128</v>
      </c>
      <c r="L461">
        <v>251</v>
      </c>
      <c r="M461">
        <v>55284806.306306303</v>
      </c>
      <c r="N461">
        <v>116251386.48648648</v>
      </c>
      <c r="O461">
        <v>113734304.5045045</v>
      </c>
      <c r="P461">
        <v>113156788.2882883</v>
      </c>
      <c r="Q461">
        <v>33715945.945945941</v>
      </c>
      <c r="R461">
        <v>67247657.657657653</v>
      </c>
      <c r="S461">
        <v>18037</v>
      </c>
      <c r="T461">
        <v>18108</v>
      </c>
    </row>
    <row r="462" spans="1:20" x14ac:dyDescent="0.35">
      <c r="A462" s="7" t="s">
        <v>559</v>
      </c>
      <c r="B462" s="12" t="s">
        <v>479</v>
      </c>
      <c r="C462">
        <v>259913080.23457116</v>
      </c>
      <c r="D462">
        <v>229706588.78740999</v>
      </c>
      <c r="E462">
        <v>663963.963963966</v>
      </c>
      <c r="F462">
        <v>1989189.1891891961</v>
      </c>
      <c r="G462">
        <v>119</v>
      </c>
      <c r="H462">
        <v>74</v>
      </c>
      <c r="I462">
        <v>1</v>
      </c>
      <c r="K462">
        <v>130</v>
      </c>
      <c r="L462">
        <v>90</v>
      </c>
      <c r="M462">
        <v>23959909.909909911</v>
      </c>
      <c r="N462">
        <v>25781531.531531535</v>
      </c>
      <c r="O462">
        <v>73796998.198198199</v>
      </c>
      <c r="P462">
        <v>69690754.954954952</v>
      </c>
      <c r="Q462">
        <v>26356216.216216218</v>
      </c>
      <c r="R462">
        <v>27940720.72072072</v>
      </c>
      <c r="S462">
        <v>7918</v>
      </c>
      <c r="T462">
        <v>8980</v>
      </c>
    </row>
    <row r="463" spans="1:20" x14ac:dyDescent="0.35">
      <c r="A463" s="7" t="s">
        <v>560</v>
      </c>
      <c r="B463" s="12" t="s">
        <v>236</v>
      </c>
      <c r="C463">
        <v>38482799.093294397</v>
      </c>
      <c r="D463">
        <v>39182368.834623322</v>
      </c>
      <c r="E463">
        <v>35135.135135135999</v>
      </c>
      <c r="F463">
        <v>216216.216216217</v>
      </c>
      <c r="G463">
        <v>11</v>
      </c>
      <c r="H463">
        <v>14</v>
      </c>
      <c r="K463">
        <v>13</v>
      </c>
      <c r="L463">
        <v>16</v>
      </c>
      <c r="M463">
        <v>5016216.2162162168</v>
      </c>
      <c r="N463">
        <v>2579909.9099099091</v>
      </c>
      <c r="O463">
        <v>14863693.693693694</v>
      </c>
      <c r="P463">
        <v>13783684.684684685</v>
      </c>
      <c r="Q463">
        <v>4651261.2612612611</v>
      </c>
      <c r="R463">
        <v>3162252.2522522509</v>
      </c>
      <c r="S463">
        <v>2253</v>
      </c>
      <c r="T463">
        <v>2110</v>
      </c>
    </row>
    <row r="464" spans="1:20" x14ac:dyDescent="0.35">
      <c r="A464" s="7" t="s">
        <v>561</v>
      </c>
      <c r="B464" s="12" t="s">
        <v>60</v>
      </c>
      <c r="C464">
        <v>38664285.963937148</v>
      </c>
      <c r="D464">
        <v>38386772.585211553</v>
      </c>
      <c r="E464">
        <v>490540.540540541</v>
      </c>
      <c r="F464">
        <v>1080180.180180178</v>
      </c>
      <c r="G464">
        <v>9</v>
      </c>
      <c r="H464">
        <v>14</v>
      </c>
      <c r="K464">
        <v>9</v>
      </c>
      <c r="L464">
        <v>31</v>
      </c>
      <c r="M464">
        <v>7445495.4954954963</v>
      </c>
      <c r="N464">
        <v>11548648.648648648</v>
      </c>
      <c r="O464">
        <v>13856306.306306306</v>
      </c>
      <c r="P464">
        <v>14552900.9009009</v>
      </c>
      <c r="Q464">
        <v>7614504.5045045037</v>
      </c>
      <c r="R464">
        <v>11017207.207207208</v>
      </c>
      <c r="S464">
        <v>1272</v>
      </c>
      <c r="T464">
        <v>1267</v>
      </c>
    </row>
    <row r="465" spans="1:20" x14ac:dyDescent="0.35">
      <c r="A465" s="7" t="s">
        <v>562</v>
      </c>
      <c r="B465" s="12" t="s">
        <v>563</v>
      </c>
      <c r="C465">
        <v>206799368.84585491</v>
      </c>
      <c r="D465">
        <v>210725287.11446959</v>
      </c>
      <c r="E465">
        <v>66091084.684684686</v>
      </c>
      <c r="F465">
        <v>490872827.02702701</v>
      </c>
      <c r="G465">
        <v>123</v>
      </c>
      <c r="H465">
        <v>123</v>
      </c>
      <c r="K465">
        <v>453</v>
      </c>
      <c r="L465">
        <v>453</v>
      </c>
      <c r="M465">
        <v>87945855.855855852</v>
      </c>
      <c r="N465">
        <v>368702942.34234232</v>
      </c>
      <c r="O465">
        <v>86798513.51351352</v>
      </c>
      <c r="P465">
        <v>90754720.720720723</v>
      </c>
      <c r="Q465">
        <v>100563666.66666667</v>
      </c>
      <c r="R465">
        <v>166072821.62162164</v>
      </c>
      <c r="S465">
        <v>8019</v>
      </c>
      <c r="T465">
        <v>8601</v>
      </c>
    </row>
    <row r="466" spans="1:20" x14ac:dyDescent="0.35">
      <c r="A466" s="7" t="s">
        <v>564</v>
      </c>
      <c r="B466" s="12" t="s">
        <v>563</v>
      </c>
      <c r="C466">
        <v>301145278.40679711</v>
      </c>
      <c r="D466">
        <v>283176814.54909557</v>
      </c>
      <c r="E466">
        <v>1417027.02702703</v>
      </c>
      <c r="F466">
        <v>2567567.567567572</v>
      </c>
      <c r="G466">
        <v>76</v>
      </c>
      <c r="H466">
        <v>114</v>
      </c>
      <c r="K466">
        <v>95</v>
      </c>
      <c r="L466">
        <v>132</v>
      </c>
      <c r="M466">
        <v>31039189.189189188</v>
      </c>
      <c r="N466">
        <v>22533290.090090092</v>
      </c>
      <c r="O466">
        <v>117624099.0990991</v>
      </c>
      <c r="P466">
        <v>117100981.98198198</v>
      </c>
      <c r="Q466">
        <v>31458738.738738734</v>
      </c>
      <c r="R466">
        <v>23147522.522522524</v>
      </c>
      <c r="S466">
        <v>11764</v>
      </c>
      <c r="T466">
        <v>13092</v>
      </c>
    </row>
    <row r="467" spans="1:20" x14ac:dyDescent="0.35">
      <c r="A467" s="7" t="s">
        <v>565</v>
      </c>
      <c r="B467" s="12" t="s">
        <v>563</v>
      </c>
      <c r="C467">
        <v>206966093.26802844</v>
      </c>
      <c r="D467">
        <v>209756833.64464936</v>
      </c>
      <c r="E467">
        <v>611385.58558559197</v>
      </c>
      <c r="F467">
        <v>3111043.2432432459</v>
      </c>
      <c r="G467">
        <v>51</v>
      </c>
      <c r="H467">
        <v>161</v>
      </c>
      <c r="I467">
        <v>1</v>
      </c>
      <c r="K467">
        <v>77</v>
      </c>
      <c r="L467">
        <v>324</v>
      </c>
      <c r="M467">
        <v>18810450.450450446</v>
      </c>
      <c r="N467">
        <v>25993379.27927928</v>
      </c>
      <c r="O467">
        <v>86536162.162162155</v>
      </c>
      <c r="P467">
        <v>96994729.729729727</v>
      </c>
      <c r="Q467">
        <v>21259009.009009007</v>
      </c>
      <c r="R467">
        <v>23001711.711711712</v>
      </c>
      <c r="S467">
        <v>12087</v>
      </c>
      <c r="T467">
        <v>11567</v>
      </c>
    </row>
    <row r="468" spans="1:20" x14ac:dyDescent="0.35">
      <c r="A468" s="7" t="s">
        <v>566</v>
      </c>
      <c r="B468" s="12" t="s">
        <v>563</v>
      </c>
      <c r="C468">
        <v>136936031.03625122</v>
      </c>
      <c r="D468">
        <v>136450215.9780457</v>
      </c>
      <c r="E468">
        <v>277477.47747747798</v>
      </c>
      <c r="F468">
        <v>1933333.3333333379</v>
      </c>
      <c r="G468">
        <v>23</v>
      </c>
      <c r="H468">
        <v>11</v>
      </c>
      <c r="K468">
        <v>30</v>
      </c>
      <c r="L468">
        <v>18</v>
      </c>
      <c r="M468">
        <v>22917702.702702705</v>
      </c>
      <c r="N468">
        <v>22177538.738738734</v>
      </c>
      <c r="O468">
        <v>77217828.828828827</v>
      </c>
      <c r="P468">
        <v>81235774.774774775</v>
      </c>
      <c r="Q468">
        <v>21754549.549549554</v>
      </c>
      <c r="R468">
        <v>16212792.792792792</v>
      </c>
      <c r="S468">
        <v>6554</v>
      </c>
      <c r="T468">
        <v>6459</v>
      </c>
    </row>
    <row r="469" spans="1:20" x14ac:dyDescent="0.35">
      <c r="A469" s="7" t="s">
        <v>567</v>
      </c>
      <c r="B469" s="12" t="s">
        <v>563</v>
      </c>
      <c r="C469">
        <v>81043110.252482668</v>
      </c>
      <c r="D469">
        <v>81340489.849069759</v>
      </c>
      <c r="E469">
        <v>405855.85585585801</v>
      </c>
      <c r="F469">
        <v>1909009.009009013</v>
      </c>
      <c r="G469">
        <v>21</v>
      </c>
      <c r="H469">
        <v>22</v>
      </c>
      <c r="K469">
        <v>24</v>
      </c>
      <c r="L469">
        <v>28</v>
      </c>
      <c r="M469">
        <v>13781756.756756756</v>
      </c>
      <c r="N469">
        <v>16331929.729729729</v>
      </c>
      <c r="O469">
        <v>32601396.396396395</v>
      </c>
      <c r="P469">
        <v>33766081.081081077</v>
      </c>
      <c r="Q469">
        <v>17564909.909909908</v>
      </c>
      <c r="R469">
        <v>12163783.783783784</v>
      </c>
      <c r="S469">
        <v>4713</v>
      </c>
      <c r="T469">
        <v>5047</v>
      </c>
    </row>
    <row r="470" spans="1:20" x14ac:dyDescent="0.35">
      <c r="A470" s="7" t="s">
        <v>568</v>
      </c>
      <c r="B470" s="12" t="s">
        <v>48</v>
      </c>
      <c r="C470">
        <v>195609818.12283507</v>
      </c>
      <c r="D470">
        <v>181496309.93833402</v>
      </c>
      <c r="E470">
        <v>10360.36036036</v>
      </c>
      <c r="F470">
        <v>379279.279279279</v>
      </c>
      <c r="G470">
        <v>4</v>
      </c>
      <c r="H470">
        <v>4</v>
      </c>
      <c r="K470">
        <v>5</v>
      </c>
      <c r="L470">
        <v>5</v>
      </c>
      <c r="M470">
        <v>9920270.2702702712</v>
      </c>
      <c r="N470">
        <v>5784684.6846846836</v>
      </c>
      <c r="O470">
        <v>21926836.036036037</v>
      </c>
      <c r="P470">
        <v>21717025.225225225</v>
      </c>
      <c r="Q470">
        <v>7441261.2612612601</v>
      </c>
      <c r="R470">
        <v>6969459.4594594594</v>
      </c>
      <c r="S470">
        <v>6201</v>
      </c>
      <c r="T470">
        <v>5910</v>
      </c>
    </row>
    <row r="471" spans="1:20" x14ac:dyDescent="0.35">
      <c r="A471" s="7" t="s">
        <v>569</v>
      </c>
      <c r="B471" s="12" t="s">
        <v>169</v>
      </c>
      <c r="C471">
        <v>1633970277.2044592</v>
      </c>
      <c r="D471">
        <v>3374397243.4039373</v>
      </c>
      <c r="E471">
        <v>641718447.74774766</v>
      </c>
      <c r="F471">
        <v>2993126500.9009008</v>
      </c>
      <c r="G471">
        <v>564</v>
      </c>
      <c r="H471">
        <v>887</v>
      </c>
      <c r="I471">
        <v>5</v>
      </c>
      <c r="K471">
        <v>733</v>
      </c>
      <c r="L471">
        <v>1293</v>
      </c>
      <c r="M471">
        <v>306450900.9009009</v>
      </c>
      <c r="N471">
        <v>365610900.90090084</v>
      </c>
      <c r="O471">
        <v>554307142.34234238</v>
      </c>
      <c r="P471">
        <v>2510102616.2162161</v>
      </c>
      <c r="Q471">
        <v>280349369.36936939</v>
      </c>
      <c r="R471">
        <v>342271935.13513511</v>
      </c>
      <c r="S471">
        <v>57470</v>
      </c>
      <c r="T471">
        <v>56919</v>
      </c>
    </row>
    <row r="472" spans="1:20" x14ac:dyDescent="0.35">
      <c r="A472" s="7" t="s">
        <v>570</v>
      </c>
      <c r="B472" s="12" t="s">
        <v>220</v>
      </c>
      <c r="C472">
        <v>178722401.61271679</v>
      </c>
      <c r="D472">
        <v>164024828.16409668</v>
      </c>
      <c r="E472">
        <v>504504.50450450601</v>
      </c>
      <c r="F472">
        <v>639639.63963964104</v>
      </c>
      <c r="G472">
        <v>20</v>
      </c>
      <c r="H472">
        <v>13</v>
      </c>
      <c r="K472">
        <v>22</v>
      </c>
      <c r="L472">
        <v>16</v>
      </c>
      <c r="M472">
        <v>3000900.9009009022</v>
      </c>
      <c r="N472">
        <v>7808738.7387387352</v>
      </c>
      <c r="O472">
        <v>28380972.97297297</v>
      </c>
      <c r="P472">
        <v>26893531.531531528</v>
      </c>
      <c r="Q472">
        <v>3459189.189189191</v>
      </c>
      <c r="R472">
        <v>6851351.3513513478</v>
      </c>
      <c r="S472">
        <v>5124</v>
      </c>
      <c r="T472">
        <v>5141</v>
      </c>
    </row>
    <row r="473" spans="1:20" x14ac:dyDescent="0.35">
      <c r="A473" s="7" t="s">
        <v>571</v>
      </c>
      <c r="B473" s="12" t="s">
        <v>85</v>
      </c>
      <c r="C473">
        <v>200929545.59563664</v>
      </c>
      <c r="D473">
        <v>197907688.06120047</v>
      </c>
      <c r="E473">
        <v>677477.47747747705</v>
      </c>
      <c r="F473">
        <v>225225.22522522701</v>
      </c>
      <c r="G473">
        <v>23</v>
      </c>
      <c r="H473">
        <v>14</v>
      </c>
      <c r="K473">
        <v>23</v>
      </c>
      <c r="L473">
        <v>17</v>
      </c>
      <c r="M473">
        <v>5254054.0540540526</v>
      </c>
      <c r="N473">
        <v>19022522.522522528</v>
      </c>
      <c r="O473">
        <v>43456522.522522517</v>
      </c>
      <c r="P473">
        <v>45684529.729729727</v>
      </c>
      <c r="Q473">
        <v>6850090.0900900876</v>
      </c>
      <c r="R473">
        <v>14836216.21621622</v>
      </c>
      <c r="S473">
        <v>5018</v>
      </c>
      <c r="T473">
        <v>5109</v>
      </c>
    </row>
    <row r="474" spans="1:20" x14ac:dyDescent="0.35">
      <c r="A474" s="7" t="s">
        <v>572</v>
      </c>
      <c r="B474" s="12" t="s">
        <v>479</v>
      </c>
      <c r="C474">
        <v>97741082.442122638</v>
      </c>
      <c r="D474">
        <v>110810746.27626979</v>
      </c>
      <c r="E474">
        <v>12327927.927927932</v>
      </c>
      <c r="F474">
        <v>27241441.441441447</v>
      </c>
      <c r="G474">
        <v>46</v>
      </c>
      <c r="H474">
        <v>57</v>
      </c>
      <c r="K474">
        <v>59</v>
      </c>
      <c r="L474">
        <v>80</v>
      </c>
      <c r="M474">
        <v>17473198.198198196</v>
      </c>
      <c r="N474">
        <v>16612162.162162166</v>
      </c>
      <c r="O474">
        <v>34359594.59459459</v>
      </c>
      <c r="P474">
        <v>46296349.54954955</v>
      </c>
      <c r="Q474">
        <v>16057837.837837836</v>
      </c>
      <c r="R474">
        <v>15670270.270270271</v>
      </c>
      <c r="S474">
        <v>5244</v>
      </c>
      <c r="T474">
        <v>5104</v>
      </c>
    </row>
    <row r="475" spans="1:20" x14ac:dyDescent="0.35">
      <c r="A475" s="7" t="s">
        <v>573</v>
      </c>
      <c r="B475" s="12" t="s">
        <v>94</v>
      </c>
      <c r="C475">
        <v>289302440.57637095</v>
      </c>
      <c r="D475">
        <v>271392828.75839537</v>
      </c>
      <c r="E475">
        <v>1238738.7387387401</v>
      </c>
      <c r="F475">
        <v>1614414.4144144161</v>
      </c>
      <c r="G475">
        <v>60</v>
      </c>
      <c r="H475">
        <v>48</v>
      </c>
      <c r="K475">
        <v>75</v>
      </c>
      <c r="L475">
        <v>68</v>
      </c>
      <c r="M475">
        <v>468093693.6936937</v>
      </c>
      <c r="N475">
        <v>837740540.54054058</v>
      </c>
      <c r="O475">
        <v>63505743.243243247</v>
      </c>
      <c r="P475">
        <v>62972131.081081077</v>
      </c>
      <c r="Q475">
        <v>18113693.693693697</v>
      </c>
      <c r="R475">
        <v>25393063.063063063</v>
      </c>
      <c r="S475">
        <v>9726</v>
      </c>
      <c r="T475">
        <v>10580</v>
      </c>
    </row>
    <row r="476" spans="1:20" x14ac:dyDescent="0.35">
      <c r="A476" s="7" t="s">
        <v>574</v>
      </c>
      <c r="B476" s="12" t="s">
        <v>307</v>
      </c>
      <c r="C476">
        <v>623188429.92638063</v>
      </c>
      <c r="D476">
        <v>626454898.24197948</v>
      </c>
      <c r="E476">
        <v>112272072.07207207</v>
      </c>
      <c r="F476">
        <v>306614414.41441441</v>
      </c>
      <c r="G476">
        <v>147</v>
      </c>
      <c r="H476">
        <v>177</v>
      </c>
      <c r="K476">
        <v>173</v>
      </c>
      <c r="L476">
        <v>253</v>
      </c>
      <c r="M476">
        <v>57371891.891891889</v>
      </c>
      <c r="N476">
        <v>733526216.21621621</v>
      </c>
      <c r="O476">
        <v>243293936.93693691</v>
      </c>
      <c r="P476">
        <v>249679748.64864865</v>
      </c>
      <c r="Q476">
        <v>49156801.801801801</v>
      </c>
      <c r="R476">
        <v>106240090.0900901</v>
      </c>
      <c r="S476">
        <v>32325</v>
      </c>
      <c r="T476">
        <v>32246</v>
      </c>
    </row>
    <row r="477" spans="1:20" x14ac:dyDescent="0.35">
      <c r="A477" s="7" t="s">
        <v>10</v>
      </c>
      <c r="B477" s="12" t="s">
        <v>193</v>
      </c>
      <c r="C477">
        <v>104103916.74133453</v>
      </c>
      <c r="D477">
        <v>96854778.682209253</v>
      </c>
      <c r="G477">
        <v>9</v>
      </c>
      <c r="H477">
        <v>11</v>
      </c>
      <c r="K477">
        <v>9</v>
      </c>
      <c r="L477">
        <v>14</v>
      </c>
      <c r="O477">
        <v>59956126.126126125</v>
      </c>
      <c r="P477">
        <v>57423763.963963971</v>
      </c>
      <c r="R477">
        <v>19639.639639640001</v>
      </c>
      <c r="S477">
        <v>4028</v>
      </c>
      <c r="T477">
        <v>3517</v>
      </c>
    </row>
    <row r="478" spans="1:20" x14ac:dyDescent="0.35">
      <c r="A478" s="7" t="s">
        <v>575</v>
      </c>
      <c r="B478" s="12" t="s">
        <v>87</v>
      </c>
      <c r="C478">
        <v>2442991.4772381461</v>
      </c>
      <c r="D478">
        <v>2344801.111176224</v>
      </c>
      <c r="G478">
        <v>2</v>
      </c>
      <c r="H478">
        <v>10</v>
      </c>
      <c r="K478">
        <v>2</v>
      </c>
      <c r="L478">
        <v>12</v>
      </c>
      <c r="O478">
        <v>870720.72072072094</v>
      </c>
      <c r="P478">
        <v>844430.630630631</v>
      </c>
      <c r="S478">
        <v>261</v>
      </c>
      <c r="T478">
        <v>224</v>
      </c>
    </row>
    <row r="479" spans="1:20" x14ac:dyDescent="0.35">
      <c r="A479" s="7" t="s">
        <v>576</v>
      </c>
      <c r="B479" s="12" t="s">
        <v>283</v>
      </c>
      <c r="C479">
        <v>148071017.23213884</v>
      </c>
      <c r="D479">
        <v>142426259.09127709</v>
      </c>
      <c r="E479">
        <v>34234.234234233998</v>
      </c>
      <c r="F479">
        <v>242342.34234234199</v>
      </c>
      <c r="G479">
        <v>30</v>
      </c>
      <c r="H479">
        <v>15</v>
      </c>
      <c r="K479">
        <v>34</v>
      </c>
      <c r="L479">
        <v>15</v>
      </c>
      <c r="M479">
        <v>6070270.2702702703</v>
      </c>
      <c r="N479">
        <v>14098198.198198197</v>
      </c>
      <c r="O479">
        <v>21135225.225225225</v>
      </c>
      <c r="P479">
        <v>23249486.486486487</v>
      </c>
      <c r="Q479">
        <v>6717837.8378378367</v>
      </c>
      <c r="R479">
        <v>15124684.684684685</v>
      </c>
      <c r="S479">
        <v>3586</v>
      </c>
      <c r="T479">
        <v>3491</v>
      </c>
    </row>
    <row r="480" spans="1:20" x14ac:dyDescent="0.35">
      <c r="A480" s="7" t="s">
        <v>577</v>
      </c>
      <c r="B480" s="12" t="s">
        <v>307</v>
      </c>
      <c r="C480">
        <v>619449971.7089833</v>
      </c>
      <c r="D480">
        <v>593241348.20330095</v>
      </c>
      <c r="E480">
        <v>924594.59459459595</v>
      </c>
      <c r="F480">
        <v>5311261.2612612676</v>
      </c>
      <c r="G480">
        <v>237</v>
      </c>
      <c r="H480">
        <v>226</v>
      </c>
      <c r="K480">
        <v>303</v>
      </c>
      <c r="L480">
        <v>292</v>
      </c>
      <c r="M480">
        <v>46934099.0990991</v>
      </c>
      <c r="N480">
        <v>102799279.27927928</v>
      </c>
      <c r="O480">
        <v>236228108.1081081</v>
      </c>
      <c r="P480">
        <v>251926729.72972974</v>
      </c>
      <c r="Q480">
        <v>42213063.063063055</v>
      </c>
      <c r="R480">
        <v>62487387.387387395</v>
      </c>
      <c r="S480">
        <v>39522</v>
      </c>
      <c r="T480">
        <v>38432</v>
      </c>
    </row>
    <row r="481" spans="1:20" x14ac:dyDescent="0.35">
      <c r="A481" s="7" t="s">
        <v>578</v>
      </c>
      <c r="B481" s="12" t="s">
        <v>330</v>
      </c>
      <c r="C481">
        <v>596513659.66028023</v>
      </c>
      <c r="D481">
        <v>559380866.0124166</v>
      </c>
      <c r="E481">
        <v>1236036.036036039</v>
      </c>
      <c r="F481">
        <v>5323873.8738738801</v>
      </c>
      <c r="G481">
        <v>196</v>
      </c>
      <c r="H481">
        <v>217</v>
      </c>
      <c r="K481">
        <v>267</v>
      </c>
      <c r="L481">
        <v>269</v>
      </c>
      <c r="M481">
        <v>128162162.16216215</v>
      </c>
      <c r="N481">
        <v>46836936.936936937</v>
      </c>
      <c r="O481">
        <v>119064828.82882883</v>
      </c>
      <c r="P481">
        <v>123410195.94594595</v>
      </c>
      <c r="Q481">
        <v>125522342.34234233</v>
      </c>
      <c r="R481">
        <v>44414144.144144148</v>
      </c>
      <c r="S481">
        <v>28348</v>
      </c>
      <c r="T481">
        <v>27706</v>
      </c>
    </row>
    <row r="482" spans="1:20" x14ac:dyDescent="0.35">
      <c r="A482" s="7" t="s">
        <v>579</v>
      </c>
      <c r="B482" s="12" t="s">
        <v>66</v>
      </c>
      <c r="C482">
        <v>90363395.749904141</v>
      </c>
      <c r="D482">
        <v>84720123.421819732</v>
      </c>
      <c r="E482">
        <v>8558.5585585589997</v>
      </c>
      <c r="F482">
        <v>36936.936936938</v>
      </c>
      <c r="G482">
        <v>16</v>
      </c>
      <c r="H482">
        <v>11</v>
      </c>
      <c r="K482">
        <v>23</v>
      </c>
      <c r="L482">
        <v>15</v>
      </c>
      <c r="M482">
        <v>1691891.891891893</v>
      </c>
      <c r="N482">
        <v>2265765.7657657661</v>
      </c>
      <c r="O482">
        <v>22318513.513513513</v>
      </c>
      <c r="P482">
        <v>21342531.531531531</v>
      </c>
      <c r="Q482">
        <v>1641621.621621622</v>
      </c>
      <c r="R482">
        <v>2024324.324324325</v>
      </c>
      <c r="S482">
        <v>3335</v>
      </c>
      <c r="T482">
        <v>3368</v>
      </c>
    </row>
    <row r="483" spans="1:20" x14ac:dyDescent="0.35">
      <c r="A483" s="7" t="s">
        <v>580</v>
      </c>
      <c r="B483" s="12" t="s">
        <v>236</v>
      </c>
      <c r="C483">
        <v>3.9162587420000001</v>
      </c>
      <c r="D483">
        <v>12011.332970474001</v>
      </c>
    </row>
    <row r="484" spans="1:20" x14ac:dyDescent="0.35">
      <c r="A484" s="7" t="s">
        <v>581</v>
      </c>
      <c r="B484" s="12" t="s">
        <v>62</v>
      </c>
      <c r="C484">
        <v>227301238.48504913</v>
      </c>
      <c r="D484">
        <v>221438642.20165336</v>
      </c>
      <c r="E484">
        <v>1095945.945945946</v>
      </c>
      <c r="F484">
        <v>2267567.5675675781</v>
      </c>
      <c r="G484">
        <v>51</v>
      </c>
      <c r="H484">
        <v>151</v>
      </c>
      <c r="K484">
        <v>58</v>
      </c>
      <c r="L484">
        <v>155</v>
      </c>
      <c r="M484">
        <v>19490540.540540542</v>
      </c>
      <c r="N484">
        <v>20240000.000000004</v>
      </c>
      <c r="O484">
        <v>49287468.468468465</v>
      </c>
      <c r="P484">
        <v>49600486.486486487</v>
      </c>
      <c r="Q484">
        <v>18098918.918918923</v>
      </c>
      <c r="R484">
        <v>18261441.441441439</v>
      </c>
      <c r="S484">
        <v>6690</v>
      </c>
      <c r="T484">
        <v>6211</v>
      </c>
    </row>
    <row r="485" spans="1:20" x14ac:dyDescent="0.35">
      <c r="A485" s="7" t="s">
        <v>582</v>
      </c>
      <c r="B485" s="12" t="s">
        <v>48</v>
      </c>
      <c r="C485">
        <v>220266391.98208049</v>
      </c>
      <c r="D485">
        <v>207855636.16092262</v>
      </c>
      <c r="E485">
        <v>2365405.405405405</v>
      </c>
      <c r="F485">
        <v>58166261.261261262</v>
      </c>
      <c r="G485">
        <v>29</v>
      </c>
      <c r="H485">
        <v>25</v>
      </c>
      <c r="K485">
        <v>31</v>
      </c>
      <c r="L485">
        <v>38</v>
      </c>
      <c r="M485">
        <v>26243333.333333336</v>
      </c>
      <c r="N485">
        <v>47727927.927927926</v>
      </c>
      <c r="O485">
        <v>30809459.459459461</v>
      </c>
      <c r="P485">
        <v>29931927.927927926</v>
      </c>
      <c r="Q485">
        <v>18267297.297297295</v>
      </c>
      <c r="R485">
        <v>40256216.216216214</v>
      </c>
      <c r="S485">
        <v>5459</v>
      </c>
      <c r="T485">
        <v>5183</v>
      </c>
    </row>
    <row r="486" spans="1:20" x14ac:dyDescent="0.35">
      <c r="A486" s="7" t="s">
        <v>583</v>
      </c>
      <c r="B486" s="12" t="s">
        <v>54</v>
      </c>
      <c r="C486">
        <v>40028967.888150401</v>
      </c>
      <c r="D486">
        <v>39782886.263264328</v>
      </c>
      <c r="E486">
        <v>52252.252252252998</v>
      </c>
      <c r="F486">
        <v>386486.48648648598</v>
      </c>
      <c r="G486">
        <v>9</v>
      </c>
      <c r="H486">
        <v>12</v>
      </c>
      <c r="K486">
        <v>11</v>
      </c>
      <c r="L486">
        <v>28</v>
      </c>
      <c r="M486">
        <v>6563063.0630630599</v>
      </c>
      <c r="N486">
        <v>7479369.3693693671</v>
      </c>
      <c r="O486">
        <v>10239459.459459459</v>
      </c>
      <c r="P486">
        <v>9975819.8198198192</v>
      </c>
      <c r="Q486">
        <v>6370540.5405405397</v>
      </c>
      <c r="R486">
        <v>6202882.8828828828</v>
      </c>
      <c r="S486">
        <v>2246</v>
      </c>
      <c r="T486">
        <v>2071</v>
      </c>
    </row>
    <row r="487" spans="1:20" x14ac:dyDescent="0.35">
      <c r="A487" s="7" t="s">
        <v>584</v>
      </c>
      <c r="B487" s="12" t="s">
        <v>70</v>
      </c>
      <c r="C487">
        <v>104113171.54146181</v>
      </c>
      <c r="D487">
        <v>102656662.53539507</v>
      </c>
      <c r="E487">
        <v>729729.72972973005</v>
      </c>
      <c r="F487">
        <v>79279.279279280003</v>
      </c>
      <c r="G487">
        <v>11</v>
      </c>
      <c r="H487">
        <v>21</v>
      </c>
      <c r="K487">
        <v>16</v>
      </c>
      <c r="L487">
        <v>23</v>
      </c>
      <c r="M487">
        <v>1127927.927927929</v>
      </c>
      <c r="N487">
        <v>1037837.837837839</v>
      </c>
      <c r="O487">
        <v>44420540.540540546</v>
      </c>
      <c r="P487">
        <v>45894477.477477483</v>
      </c>
      <c r="Q487">
        <v>1187837.837837839</v>
      </c>
      <c r="R487">
        <v>1140090.0900900911</v>
      </c>
      <c r="S487">
        <v>3759</v>
      </c>
      <c r="T487">
        <v>3642</v>
      </c>
    </row>
    <row r="488" spans="1:20" x14ac:dyDescent="0.35">
      <c r="A488" s="7" t="s">
        <v>585</v>
      </c>
      <c r="B488" s="12" t="s">
        <v>330</v>
      </c>
      <c r="C488">
        <v>407557905.12252057</v>
      </c>
      <c r="D488">
        <v>380547549.77667695</v>
      </c>
      <c r="E488">
        <v>1015315.315315315</v>
      </c>
      <c r="F488">
        <v>3814414.4144144151</v>
      </c>
      <c r="G488">
        <v>142</v>
      </c>
      <c r="H488">
        <v>159</v>
      </c>
      <c r="K488">
        <v>176</v>
      </c>
      <c r="L488">
        <v>203</v>
      </c>
      <c r="M488">
        <v>20579279.279279277</v>
      </c>
      <c r="N488">
        <v>39207207.20720721</v>
      </c>
      <c r="O488">
        <v>97348864.864864871</v>
      </c>
      <c r="P488">
        <v>97958174.77477479</v>
      </c>
      <c r="Q488">
        <v>19655675.675675675</v>
      </c>
      <c r="R488">
        <v>34644054.054054052</v>
      </c>
      <c r="S488">
        <v>19823</v>
      </c>
      <c r="T488">
        <v>19703</v>
      </c>
    </row>
    <row r="489" spans="1:20" x14ac:dyDescent="0.35">
      <c r="A489" s="7" t="s">
        <v>586</v>
      </c>
      <c r="B489" s="12" t="s">
        <v>66</v>
      </c>
      <c r="C489">
        <v>190531565.75577927</v>
      </c>
      <c r="D489">
        <v>179812834.32689011</v>
      </c>
      <c r="E489">
        <v>96626477.477477476</v>
      </c>
      <c r="F489">
        <v>709937982.88288295</v>
      </c>
      <c r="G489">
        <v>67</v>
      </c>
      <c r="H489">
        <v>63</v>
      </c>
      <c r="K489">
        <v>81</v>
      </c>
      <c r="L489">
        <v>93</v>
      </c>
      <c r="M489">
        <v>19415405.405405398</v>
      </c>
      <c r="N489">
        <v>67280495.495495498</v>
      </c>
      <c r="O489">
        <v>90790387.387387395</v>
      </c>
      <c r="P489">
        <v>88548000</v>
      </c>
      <c r="Q489">
        <v>19254414.414414413</v>
      </c>
      <c r="R489">
        <v>31932567.567567568</v>
      </c>
      <c r="S489">
        <v>10924</v>
      </c>
      <c r="T489">
        <v>10630</v>
      </c>
    </row>
    <row r="490" spans="1:20" x14ac:dyDescent="0.35">
      <c r="A490" s="7" t="s">
        <v>11</v>
      </c>
      <c r="B490" s="12" t="s">
        <v>193</v>
      </c>
      <c r="C490">
        <v>83008869.968067467</v>
      </c>
      <c r="D490">
        <v>84167527.786440924</v>
      </c>
      <c r="E490">
        <v>338738.73873873899</v>
      </c>
      <c r="F490">
        <v>112612.612612615</v>
      </c>
      <c r="G490">
        <v>21</v>
      </c>
      <c r="H490">
        <v>19</v>
      </c>
      <c r="K490">
        <v>26</v>
      </c>
      <c r="L490">
        <v>24</v>
      </c>
      <c r="M490">
        <v>2565765.7657657671</v>
      </c>
      <c r="N490">
        <v>1914414.4144144161</v>
      </c>
      <c r="O490">
        <v>27014009.009009007</v>
      </c>
      <c r="P490">
        <v>28126621.62162162</v>
      </c>
      <c r="Q490">
        <v>3291441.44144144</v>
      </c>
      <c r="R490">
        <v>2269909.9099099101</v>
      </c>
      <c r="S490">
        <v>3908</v>
      </c>
      <c r="T490">
        <v>4005</v>
      </c>
    </row>
    <row r="491" spans="1:20" x14ac:dyDescent="0.35">
      <c r="A491" s="7" t="s">
        <v>12</v>
      </c>
      <c r="B491" s="12" t="s">
        <v>193</v>
      </c>
      <c r="C491">
        <v>58772469.522244863</v>
      </c>
      <c r="D491">
        <v>54138104.72908996</v>
      </c>
      <c r="E491">
        <v>59459.459459459998</v>
      </c>
      <c r="F491">
        <v>2306306.3063063091</v>
      </c>
      <c r="G491">
        <v>12</v>
      </c>
      <c r="H491">
        <v>7</v>
      </c>
      <c r="K491">
        <v>19</v>
      </c>
      <c r="L491">
        <v>7</v>
      </c>
      <c r="M491">
        <v>4592342.3423423423</v>
      </c>
      <c r="N491">
        <v>5459459.4594594613</v>
      </c>
      <c r="O491">
        <v>22144009.009009007</v>
      </c>
      <c r="P491">
        <v>21655936.936936937</v>
      </c>
      <c r="Q491">
        <v>2625675.6756756739</v>
      </c>
      <c r="R491">
        <v>6992522.5225225231</v>
      </c>
      <c r="S491">
        <v>2755</v>
      </c>
      <c r="T491">
        <v>2794</v>
      </c>
    </row>
    <row r="492" spans="1:20" x14ac:dyDescent="0.35">
      <c r="A492" s="7" t="s">
        <v>587</v>
      </c>
      <c r="B492" s="12" t="s">
        <v>60</v>
      </c>
      <c r="C492">
        <v>44922877.449472785</v>
      </c>
      <c r="D492">
        <v>47504079.210201189</v>
      </c>
      <c r="E492">
        <v>200900.90090090301</v>
      </c>
      <c r="F492">
        <v>393693.69369369402</v>
      </c>
      <c r="G492">
        <v>9</v>
      </c>
      <c r="H492">
        <v>13</v>
      </c>
      <c r="K492">
        <v>11</v>
      </c>
      <c r="L492">
        <v>25</v>
      </c>
      <c r="M492">
        <v>6227927.927927928</v>
      </c>
      <c r="N492">
        <v>8186486.4864864871</v>
      </c>
      <c r="O492">
        <v>16635090.090090092</v>
      </c>
      <c r="P492">
        <v>18074191.441441439</v>
      </c>
      <c r="Q492">
        <v>4815855.8558558561</v>
      </c>
      <c r="R492">
        <v>7777027.0270270268</v>
      </c>
      <c r="S492">
        <v>1833</v>
      </c>
      <c r="T492">
        <v>1841</v>
      </c>
    </row>
    <row r="493" spans="1:20" x14ac:dyDescent="0.35">
      <c r="A493" s="7" t="s">
        <v>588</v>
      </c>
      <c r="B493" s="12" t="s">
        <v>307</v>
      </c>
      <c r="C493">
        <v>1338904476.7971323</v>
      </c>
      <c r="D493">
        <v>1295355379.2309191</v>
      </c>
      <c r="E493">
        <v>670902424.32432437</v>
      </c>
      <c r="F493">
        <v>879652638.73873878</v>
      </c>
      <c r="G493">
        <v>465</v>
      </c>
      <c r="H493">
        <v>386</v>
      </c>
      <c r="I493">
        <v>1</v>
      </c>
      <c r="K493">
        <v>585</v>
      </c>
      <c r="L493">
        <v>557</v>
      </c>
      <c r="M493">
        <v>118418198.19819821</v>
      </c>
      <c r="N493">
        <v>435918513.51351357</v>
      </c>
      <c r="O493">
        <v>409162018.01801807</v>
      </c>
      <c r="P493">
        <v>414857536.03603601</v>
      </c>
      <c r="Q493">
        <v>111759369.36936937</v>
      </c>
      <c r="R493">
        <v>223082207.2072072</v>
      </c>
      <c r="S493">
        <v>64191</v>
      </c>
      <c r="T493">
        <v>64807</v>
      </c>
    </row>
    <row r="494" spans="1:20" x14ac:dyDescent="0.35">
      <c r="A494" s="7" t="s">
        <v>589</v>
      </c>
      <c r="B494" s="12" t="s">
        <v>52</v>
      </c>
      <c r="C494">
        <v>327924034.44968265</v>
      </c>
      <c r="D494">
        <v>308353304.8749702</v>
      </c>
      <c r="E494">
        <v>3731531.5315315318</v>
      </c>
      <c r="F494">
        <v>4901801.8018018063</v>
      </c>
      <c r="G494">
        <v>50</v>
      </c>
      <c r="H494">
        <v>85</v>
      </c>
      <c r="K494">
        <v>65</v>
      </c>
      <c r="L494">
        <v>187</v>
      </c>
      <c r="M494">
        <v>21653513.513513513</v>
      </c>
      <c r="N494">
        <v>86364819.819819823</v>
      </c>
      <c r="O494">
        <v>125801490.990991</v>
      </c>
      <c r="P494">
        <v>126333441.44144145</v>
      </c>
      <c r="Q494">
        <v>20520360.360360354</v>
      </c>
      <c r="R494">
        <v>101004819.81981982</v>
      </c>
      <c r="S494">
        <v>14674</v>
      </c>
      <c r="T494">
        <v>13762</v>
      </c>
    </row>
    <row r="495" spans="1:20" x14ac:dyDescent="0.35">
      <c r="A495" s="7" t="s">
        <v>590</v>
      </c>
      <c r="B495" s="12" t="s">
        <v>54</v>
      </c>
      <c r="C495">
        <v>26389728.412534252</v>
      </c>
      <c r="D495">
        <v>26845408.847657993</v>
      </c>
      <c r="E495">
        <v>347747.74774774798</v>
      </c>
      <c r="F495">
        <v>307207.20720720699</v>
      </c>
      <c r="G495">
        <v>5</v>
      </c>
      <c r="H495">
        <v>11</v>
      </c>
      <c r="K495">
        <v>5</v>
      </c>
      <c r="L495">
        <v>13</v>
      </c>
      <c r="M495">
        <v>6401801.8018018017</v>
      </c>
      <c r="N495">
        <v>5063963.9639639631</v>
      </c>
      <c r="O495">
        <v>8890936.9369369373</v>
      </c>
      <c r="P495">
        <v>8216495.4954954963</v>
      </c>
      <c r="Q495">
        <v>5348108.1081081079</v>
      </c>
      <c r="R495">
        <v>4373963.963963965</v>
      </c>
      <c r="S495">
        <v>1522</v>
      </c>
      <c r="T495">
        <v>1601</v>
      </c>
    </row>
    <row r="496" spans="1:20" x14ac:dyDescent="0.35">
      <c r="A496" s="7" t="s">
        <v>591</v>
      </c>
      <c r="B496" s="12" t="s">
        <v>169</v>
      </c>
      <c r="C496">
        <v>790332177.79676831</v>
      </c>
      <c r="D496">
        <v>734743752.08057797</v>
      </c>
      <c r="E496">
        <v>3190270.2702702722</v>
      </c>
      <c r="F496">
        <v>3988963.9639639668</v>
      </c>
      <c r="G496">
        <v>90</v>
      </c>
      <c r="H496">
        <v>57</v>
      </c>
      <c r="I496">
        <v>1</v>
      </c>
      <c r="K496">
        <v>102</v>
      </c>
      <c r="L496">
        <v>101</v>
      </c>
      <c r="M496">
        <v>117407837.83783785</v>
      </c>
      <c r="N496">
        <v>180459099.0990991</v>
      </c>
      <c r="O496">
        <v>259022513.51351351</v>
      </c>
      <c r="P496">
        <v>251195182.43243244</v>
      </c>
      <c r="Q496">
        <v>99699639.639639646</v>
      </c>
      <c r="R496">
        <v>143253963.96396396</v>
      </c>
      <c r="S496">
        <v>23501</v>
      </c>
      <c r="T496">
        <v>23265</v>
      </c>
    </row>
    <row r="497" spans="1:20" x14ac:dyDescent="0.35">
      <c r="A497" s="7" t="s">
        <v>592</v>
      </c>
      <c r="B497" s="12" t="s">
        <v>87</v>
      </c>
      <c r="C497">
        <v>4517752.7440580996</v>
      </c>
      <c r="D497">
        <v>3869618.6256525409</v>
      </c>
      <c r="H497">
        <v>2</v>
      </c>
      <c r="L497">
        <v>2</v>
      </c>
      <c r="M497">
        <v>108108.108108108</v>
      </c>
      <c r="N497">
        <v>594594.59459459502</v>
      </c>
      <c r="O497">
        <v>737288.28828828898</v>
      </c>
      <c r="P497">
        <v>867297.29729729798</v>
      </c>
      <c r="S497">
        <v>343</v>
      </c>
      <c r="T497">
        <v>282</v>
      </c>
    </row>
    <row r="498" spans="1:20" x14ac:dyDescent="0.35">
      <c r="A498" s="7" t="s">
        <v>593</v>
      </c>
      <c r="B498" s="12" t="s">
        <v>143</v>
      </c>
      <c r="C498">
        <v>56445209.737022683</v>
      </c>
      <c r="D498">
        <v>55446012.733300656</v>
      </c>
      <c r="E498">
        <v>16216.216216216</v>
      </c>
      <c r="F498">
        <v>156756.75675675899</v>
      </c>
      <c r="G498">
        <v>6</v>
      </c>
      <c r="H498">
        <v>20</v>
      </c>
      <c r="K498">
        <v>8</v>
      </c>
      <c r="L498">
        <v>22</v>
      </c>
      <c r="M498">
        <v>3331531.5315315309</v>
      </c>
      <c r="N498">
        <v>6733333.333333334</v>
      </c>
      <c r="O498">
        <v>5302162.1621621624</v>
      </c>
      <c r="P498">
        <v>5793558.5585585581</v>
      </c>
      <c r="Q498">
        <v>2196396.3963963962</v>
      </c>
      <c r="R498">
        <v>2777657.6576576568</v>
      </c>
      <c r="S498">
        <v>1586</v>
      </c>
      <c r="T498">
        <v>1616</v>
      </c>
    </row>
    <row r="499" spans="1:20" x14ac:dyDescent="0.35">
      <c r="A499" s="7" t="s">
        <v>594</v>
      </c>
      <c r="B499" s="12" t="s">
        <v>290</v>
      </c>
      <c r="C499">
        <v>16003559.235354345</v>
      </c>
      <c r="D499">
        <v>13602815.002649436</v>
      </c>
      <c r="G499">
        <v>1</v>
      </c>
      <c r="H499">
        <v>1</v>
      </c>
      <c r="K499">
        <v>1</v>
      </c>
      <c r="L499">
        <v>1</v>
      </c>
      <c r="O499">
        <v>610720.72072072094</v>
      </c>
      <c r="P499">
        <v>899324.32432432403</v>
      </c>
      <c r="S499">
        <v>589</v>
      </c>
      <c r="T499">
        <v>675</v>
      </c>
    </row>
    <row r="500" spans="1:20" x14ac:dyDescent="0.35">
      <c r="A500" s="7" t="s">
        <v>595</v>
      </c>
      <c r="B500" s="12" t="s">
        <v>92</v>
      </c>
      <c r="C500">
        <v>20102155.266539201</v>
      </c>
      <c r="D500">
        <v>17972493.986183792</v>
      </c>
      <c r="E500">
        <v>24324.324324325</v>
      </c>
      <c r="F500">
        <v>908108.10810810805</v>
      </c>
      <c r="G500">
        <v>7</v>
      </c>
      <c r="H500">
        <v>7</v>
      </c>
      <c r="K500">
        <v>7</v>
      </c>
      <c r="L500">
        <v>15</v>
      </c>
      <c r="M500">
        <v>98918.918918918993</v>
      </c>
      <c r="N500">
        <v>1899099.0990990989</v>
      </c>
      <c r="O500">
        <v>2997837.8378378381</v>
      </c>
      <c r="P500">
        <v>3381072.072072072</v>
      </c>
      <c r="Q500">
        <v>397477.47747747699</v>
      </c>
      <c r="R500">
        <v>2323153.1531531541</v>
      </c>
      <c r="S500">
        <v>517</v>
      </c>
      <c r="T500">
        <v>670</v>
      </c>
    </row>
    <row r="501" spans="1:20" x14ac:dyDescent="0.35">
      <c r="A501" s="7" t="s">
        <v>596</v>
      </c>
      <c r="B501" s="12" t="s">
        <v>50</v>
      </c>
      <c r="C501">
        <v>71752667.895111531</v>
      </c>
      <c r="D501">
        <v>63378240.203251727</v>
      </c>
      <c r="E501">
        <v>116881881.08108109</v>
      </c>
      <c r="F501">
        <v>182528700.9009009</v>
      </c>
      <c r="G501">
        <v>8</v>
      </c>
      <c r="H501">
        <v>6</v>
      </c>
      <c r="K501">
        <v>8</v>
      </c>
      <c r="L501">
        <v>7</v>
      </c>
      <c r="M501">
        <v>78205094.594594598</v>
      </c>
      <c r="N501">
        <v>89774324.324324325</v>
      </c>
      <c r="O501">
        <v>15034185.585585587</v>
      </c>
      <c r="P501">
        <v>13727807.207207208</v>
      </c>
      <c r="Q501">
        <v>4776396.3963963958</v>
      </c>
      <c r="R501">
        <v>2835765.7657657638</v>
      </c>
      <c r="S501">
        <v>1624</v>
      </c>
      <c r="T501">
        <v>1438</v>
      </c>
    </row>
    <row r="502" spans="1:20" x14ac:dyDescent="0.35">
      <c r="A502" s="7" t="s">
        <v>597</v>
      </c>
      <c r="B502" s="12" t="s">
        <v>89</v>
      </c>
      <c r="C502">
        <v>100391945.77886872</v>
      </c>
      <c r="D502">
        <v>100622175.97666408</v>
      </c>
      <c r="E502">
        <v>345945.94594594499</v>
      </c>
      <c r="F502">
        <v>1261261.261261265</v>
      </c>
      <c r="G502">
        <v>14</v>
      </c>
      <c r="H502">
        <v>18</v>
      </c>
      <c r="K502">
        <v>17</v>
      </c>
      <c r="L502">
        <v>64</v>
      </c>
      <c r="M502">
        <v>6092792.7927927878</v>
      </c>
      <c r="N502">
        <v>9620180.1801801752</v>
      </c>
      <c r="O502">
        <v>22696619.819819819</v>
      </c>
      <c r="P502">
        <v>24260459.459459461</v>
      </c>
      <c r="Q502">
        <v>5544324.3243243201</v>
      </c>
      <c r="R502">
        <v>8607297.2972972915</v>
      </c>
      <c r="S502">
        <v>3781</v>
      </c>
      <c r="T502">
        <v>3377</v>
      </c>
    </row>
    <row r="503" spans="1:20" x14ac:dyDescent="0.35">
      <c r="A503" s="7" t="s">
        <v>598</v>
      </c>
      <c r="B503" s="12" t="s">
        <v>143</v>
      </c>
      <c r="C503">
        <v>38876996.160627522</v>
      </c>
      <c r="D503">
        <v>39331480.246351361</v>
      </c>
      <c r="E503">
        <v>57657.657657657001</v>
      </c>
      <c r="F503">
        <v>333333.33333333302</v>
      </c>
      <c r="G503">
        <v>10</v>
      </c>
      <c r="H503">
        <v>1</v>
      </c>
      <c r="K503">
        <v>12</v>
      </c>
      <c r="L503">
        <v>3</v>
      </c>
      <c r="M503">
        <v>2877477.4774774769</v>
      </c>
      <c r="N503">
        <v>3936936.9369369368</v>
      </c>
      <c r="O503">
        <v>2509279.27927928</v>
      </c>
      <c r="P503">
        <v>3394018.018018018</v>
      </c>
      <c r="Q503">
        <v>2810540.5405405401</v>
      </c>
      <c r="R503">
        <v>2417837.8378378381</v>
      </c>
      <c r="S503">
        <v>1169</v>
      </c>
      <c r="T503">
        <v>1142</v>
      </c>
    </row>
    <row r="504" spans="1:20" x14ac:dyDescent="0.35">
      <c r="A504" s="7" t="s">
        <v>599</v>
      </c>
      <c r="B504" s="12" t="s">
        <v>125</v>
      </c>
      <c r="C504">
        <v>101835410.27678192</v>
      </c>
      <c r="D504">
        <v>96861993.148077518</v>
      </c>
      <c r="E504">
        <v>173423.423423423</v>
      </c>
      <c r="F504">
        <v>79279.279279281007</v>
      </c>
      <c r="G504">
        <v>7</v>
      </c>
      <c r="H504">
        <v>8</v>
      </c>
      <c r="K504">
        <v>9</v>
      </c>
      <c r="L504">
        <v>9</v>
      </c>
      <c r="M504">
        <v>17355945.945945945</v>
      </c>
      <c r="N504">
        <v>4855315.3153153174</v>
      </c>
      <c r="O504">
        <v>37038198.198198199</v>
      </c>
      <c r="P504">
        <v>36972801.801801801</v>
      </c>
      <c r="Q504">
        <v>17397297.297297295</v>
      </c>
      <c r="R504">
        <v>5072522.5225225231</v>
      </c>
      <c r="S504">
        <v>3353</v>
      </c>
      <c r="T504">
        <v>3383</v>
      </c>
    </row>
    <row r="505" spans="1:20" x14ac:dyDescent="0.35">
      <c r="A505" s="7" t="s">
        <v>600</v>
      </c>
      <c r="B505" s="12" t="s">
        <v>50</v>
      </c>
      <c r="C505">
        <v>242787886.61689961</v>
      </c>
      <c r="D505">
        <v>242606263.26414147</v>
      </c>
      <c r="E505">
        <v>1923063.063063063</v>
      </c>
      <c r="F505">
        <v>2448648.648648649</v>
      </c>
      <c r="G505">
        <v>30</v>
      </c>
      <c r="H505">
        <v>24</v>
      </c>
      <c r="I505">
        <v>1</v>
      </c>
      <c r="K505">
        <v>31</v>
      </c>
      <c r="L505">
        <v>26</v>
      </c>
      <c r="M505">
        <v>26930450.450450446</v>
      </c>
      <c r="N505">
        <v>28662432.432432432</v>
      </c>
      <c r="O505">
        <v>99858810.810810819</v>
      </c>
      <c r="P505">
        <v>101157783.78378378</v>
      </c>
      <c r="Q505">
        <v>23299099.099099096</v>
      </c>
      <c r="R505">
        <v>29656756.756756756</v>
      </c>
      <c r="S505">
        <v>6621</v>
      </c>
      <c r="T505">
        <v>7653</v>
      </c>
    </row>
    <row r="506" spans="1:20" x14ac:dyDescent="0.35">
      <c r="A506" s="7" t="s">
        <v>601</v>
      </c>
      <c r="B506" s="12" t="s">
        <v>89</v>
      </c>
      <c r="C506">
        <v>72118155.016671583</v>
      </c>
      <c r="D506">
        <v>72227055.603297099</v>
      </c>
      <c r="E506">
        <v>93693.693693694004</v>
      </c>
      <c r="F506">
        <v>81981.981981984005</v>
      </c>
      <c r="G506">
        <v>12</v>
      </c>
      <c r="H506">
        <v>8</v>
      </c>
      <c r="K506">
        <v>12</v>
      </c>
      <c r="L506">
        <v>8</v>
      </c>
      <c r="M506">
        <v>5989189.1891891882</v>
      </c>
      <c r="N506">
        <v>24401261.261261266</v>
      </c>
      <c r="O506">
        <v>20234774.774774775</v>
      </c>
      <c r="P506">
        <v>22170963.963963963</v>
      </c>
      <c r="Q506">
        <v>5793063.0630630627</v>
      </c>
      <c r="R506">
        <v>22837477.47747748</v>
      </c>
      <c r="S506">
        <v>2602</v>
      </c>
      <c r="T506">
        <v>2491</v>
      </c>
    </row>
    <row r="507" spans="1:20" x14ac:dyDescent="0.35">
      <c r="A507" s="7" t="s">
        <v>602</v>
      </c>
      <c r="B507" s="12" t="s">
        <v>87</v>
      </c>
      <c r="C507">
        <v>70514253.725434616</v>
      </c>
      <c r="D507">
        <v>64762546.447292656</v>
      </c>
      <c r="E507">
        <v>80180.180180181007</v>
      </c>
      <c r="F507">
        <v>234234.234234234</v>
      </c>
      <c r="G507">
        <v>8</v>
      </c>
      <c r="H507">
        <v>6</v>
      </c>
      <c r="K507">
        <v>8</v>
      </c>
      <c r="L507">
        <v>9</v>
      </c>
      <c r="M507">
        <v>936036.03603603598</v>
      </c>
      <c r="N507">
        <v>513513.51351351402</v>
      </c>
      <c r="O507">
        <v>5490628.8288288293</v>
      </c>
      <c r="P507">
        <v>4475990.9909909908</v>
      </c>
      <c r="Q507">
        <v>952295.49549549597</v>
      </c>
      <c r="R507">
        <v>561711.71171171195</v>
      </c>
      <c r="S507">
        <v>1274</v>
      </c>
      <c r="T507">
        <v>1294</v>
      </c>
    </row>
    <row r="508" spans="1:20" x14ac:dyDescent="0.35">
      <c r="A508" s="7" t="s">
        <v>603</v>
      </c>
      <c r="B508" s="12" t="s">
        <v>140</v>
      </c>
      <c r="C508">
        <v>504719689.8051548</v>
      </c>
      <c r="D508">
        <v>514687076.57684606</v>
      </c>
      <c r="E508">
        <v>417390145.94594592</v>
      </c>
      <c r="F508">
        <v>250797056.75675678</v>
      </c>
      <c r="G508">
        <v>111</v>
      </c>
      <c r="H508">
        <v>160</v>
      </c>
      <c r="I508">
        <v>3</v>
      </c>
      <c r="K508">
        <v>138</v>
      </c>
      <c r="L508">
        <v>273</v>
      </c>
      <c r="M508">
        <v>92844954.954954937</v>
      </c>
      <c r="N508">
        <v>84458738.738738731</v>
      </c>
      <c r="O508">
        <v>119121437.83783785</v>
      </c>
      <c r="P508">
        <v>128079936.93693694</v>
      </c>
      <c r="Q508">
        <v>85765675.675675675</v>
      </c>
      <c r="R508">
        <v>86819909.909909904</v>
      </c>
      <c r="S508">
        <v>18834</v>
      </c>
      <c r="T508">
        <v>19207</v>
      </c>
    </row>
    <row r="509" spans="1:20" x14ac:dyDescent="0.35">
      <c r="A509" s="7" t="s">
        <v>604</v>
      </c>
      <c r="B509" s="12" t="s">
        <v>224</v>
      </c>
      <c r="C509">
        <v>94258148.909599215</v>
      </c>
      <c r="D509">
        <v>86555394.037543029</v>
      </c>
      <c r="E509">
        <v>47307207.20720721</v>
      </c>
      <c r="F509">
        <v>58368108.108108111</v>
      </c>
      <c r="G509">
        <v>14</v>
      </c>
      <c r="H509">
        <v>17</v>
      </c>
      <c r="K509">
        <v>16</v>
      </c>
      <c r="L509">
        <v>17</v>
      </c>
      <c r="M509">
        <v>5315090.0900900904</v>
      </c>
      <c r="N509">
        <v>1672522.5225225219</v>
      </c>
      <c r="O509">
        <v>28729063.063063063</v>
      </c>
      <c r="P509">
        <v>28916738.738738742</v>
      </c>
      <c r="Q509">
        <v>1960360.36036036</v>
      </c>
      <c r="R509">
        <v>2800990.9909909898</v>
      </c>
      <c r="S509">
        <v>3759</v>
      </c>
      <c r="T509">
        <v>3609</v>
      </c>
    </row>
    <row r="510" spans="1:20" x14ac:dyDescent="0.35">
      <c r="A510" s="7" t="s">
        <v>605</v>
      </c>
      <c r="B510" s="12" t="s">
        <v>224</v>
      </c>
      <c r="C510">
        <v>60227337.700804673</v>
      </c>
      <c r="D510">
        <v>55477608.498962432</v>
      </c>
      <c r="E510">
        <v>5405.4054054050002</v>
      </c>
      <c r="F510">
        <v>35135.135135135002</v>
      </c>
      <c r="G510">
        <v>19</v>
      </c>
      <c r="H510">
        <v>14</v>
      </c>
      <c r="K510">
        <v>19</v>
      </c>
      <c r="L510">
        <v>14</v>
      </c>
      <c r="M510">
        <v>3609009.0090090092</v>
      </c>
      <c r="N510">
        <v>2737837.8378378381</v>
      </c>
      <c r="O510">
        <v>15487837.837837836</v>
      </c>
      <c r="P510">
        <v>16248891.891891891</v>
      </c>
      <c r="Q510">
        <v>3007927.927927928</v>
      </c>
      <c r="R510">
        <v>3265855.8558558561</v>
      </c>
      <c r="S510">
        <v>1260</v>
      </c>
      <c r="T510">
        <v>3112</v>
      </c>
    </row>
    <row r="511" spans="1:20" x14ac:dyDescent="0.35">
      <c r="A511" s="7" t="s">
        <v>606</v>
      </c>
      <c r="B511" s="12" t="s">
        <v>241</v>
      </c>
      <c r="C511">
        <v>51607081.939464353</v>
      </c>
      <c r="D511">
        <v>47249441.036595583</v>
      </c>
      <c r="E511">
        <v>9909.9099099100004</v>
      </c>
      <c r="F511">
        <v>39639.639639640001</v>
      </c>
      <c r="G511">
        <v>23</v>
      </c>
      <c r="H511">
        <v>27</v>
      </c>
      <c r="K511">
        <v>25</v>
      </c>
      <c r="L511">
        <v>28</v>
      </c>
      <c r="M511">
        <v>2927387.387387387</v>
      </c>
      <c r="N511">
        <v>2765765.7657657661</v>
      </c>
      <c r="O511">
        <v>14398018.018018018</v>
      </c>
      <c r="P511">
        <v>14559900.9009009</v>
      </c>
      <c r="Q511">
        <v>3643603.6036036029</v>
      </c>
      <c r="R511">
        <v>2593873.8738738741</v>
      </c>
      <c r="S511">
        <v>2414</v>
      </c>
      <c r="T511">
        <v>2326</v>
      </c>
    </row>
    <row r="512" spans="1:20" x14ac:dyDescent="0.35">
      <c r="A512" s="7" t="s">
        <v>607</v>
      </c>
      <c r="B512" s="12" t="s">
        <v>140</v>
      </c>
      <c r="C512">
        <v>14527968.109851472</v>
      </c>
      <c r="D512">
        <v>14653659.633999288</v>
      </c>
      <c r="F512">
        <v>2702.7027027029999</v>
      </c>
      <c r="H512">
        <v>4</v>
      </c>
      <c r="L512">
        <v>4</v>
      </c>
      <c r="M512">
        <v>452252.25225225202</v>
      </c>
      <c r="N512">
        <v>2702.7027027029999</v>
      </c>
      <c r="O512">
        <v>1916036.036036036</v>
      </c>
      <c r="P512">
        <v>1503639.63963964</v>
      </c>
      <c r="Q512">
        <v>401621.62162162102</v>
      </c>
      <c r="R512">
        <v>364054.05405405402</v>
      </c>
      <c r="S512">
        <v>305</v>
      </c>
      <c r="T512">
        <v>373</v>
      </c>
    </row>
    <row r="513" spans="1:20" x14ac:dyDescent="0.35">
      <c r="A513" s="7" t="s">
        <v>667</v>
      </c>
      <c r="B513" s="12" t="s">
        <v>189</v>
      </c>
      <c r="E513">
        <v>30184420.72072072</v>
      </c>
      <c r="F513">
        <v>27567205.405405402</v>
      </c>
      <c r="N513">
        <v>14729049.54954955</v>
      </c>
      <c r="S513">
        <v>1</v>
      </c>
      <c r="T513">
        <v>1</v>
      </c>
    </row>
    <row r="514" spans="1:20" x14ac:dyDescent="0.35">
      <c r="A514" s="7" t="s">
        <v>608</v>
      </c>
      <c r="B514" s="12" t="s">
        <v>189</v>
      </c>
      <c r="C514">
        <v>59733517.368476115</v>
      </c>
      <c r="D514">
        <v>54046217.173875719</v>
      </c>
      <c r="E514">
        <v>360360.36036036001</v>
      </c>
      <c r="F514">
        <v>774774.77477477503</v>
      </c>
      <c r="G514">
        <v>20</v>
      </c>
      <c r="H514">
        <v>38</v>
      </c>
      <c r="K514">
        <v>22</v>
      </c>
      <c r="L514">
        <v>42</v>
      </c>
      <c r="M514">
        <v>7602702.702702703</v>
      </c>
      <c r="N514">
        <v>6675675.6756756762</v>
      </c>
      <c r="O514">
        <v>11743756.756756756</v>
      </c>
      <c r="P514">
        <v>14195319.819819819</v>
      </c>
      <c r="Q514">
        <v>4890630.630630631</v>
      </c>
      <c r="R514">
        <v>4773153.1531531531</v>
      </c>
      <c r="S514">
        <v>1625</v>
      </c>
      <c r="T514">
        <v>1649</v>
      </c>
    </row>
    <row r="515" spans="1:20" x14ac:dyDescent="0.35">
      <c r="A515" s="7" t="s">
        <v>609</v>
      </c>
      <c r="B515" s="12" t="s">
        <v>189</v>
      </c>
      <c r="C515">
        <v>172277507.96026248</v>
      </c>
      <c r="D515">
        <v>160668900.32871103</v>
      </c>
      <c r="E515">
        <v>17117.117117116999</v>
      </c>
      <c r="F515">
        <v>369369.36936937098</v>
      </c>
      <c r="G515">
        <v>64</v>
      </c>
      <c r="H515">
        <v>46</v>
      </c>
      <c r="K515">
        <v>74</v>
      </c>
      <c r="L515">
        <v>52</v>
      </c>
      <c r="M515">
        <v>7107207.2072072057</v>
      </c>
      <c r="N515">
        <v>9243243.2432432435</v>
      </c>
      <c r="O515">
        <v>28454369.369369369</v>
      </c>
      <c r="P515">
        <v>28467198.198198199</v>
      </c>
      <c r="Q515">
        <v>5947657.6576576559</v>
      </c>
      <c r="R515">
        <v>4537387.3873873884</v>
      </c>
      <c r="S515">
        <v>5132</v>
      </c>
      <c r="T515">
        <v>4986</v>
      </c>
    </row>
    <row r="516" spans="1:20" x14ac:dyDescent="0.35">
      <c r="A516" s="7" t="s">
        <v>610</v>
      </c>
      <c r="B516" s="12" t="s">
        <v>189</v>
      </c>
      <c r="C516">
        <v>65469009.673387073</v>
      </c>
      <c r="D516">
        <v>62465682.159681745</v>
      </c>
      <c r="E516">
        <v>232432.43243243199</v>
      </c>
      <c r="F516">
        <v>493468.46846847102</v>
      </c>
      <c r="G516">
        <v>10</v>
      </c>
      <c r="H516">
        <v>12</v>
      </c>
      <c r="K516">
        <v>10</v>
      </c>
      <c r="L516">
        <v>14</v>
      </c>
      <c r="M516">
        <v>3887387.3873873879</v>
      </c>
      <c r="N516">
        <v>3941441.4414414419</v>
      </c>
      <c r="O516">
        <v>7279774.7747747749</v>
      </c>
      <c r="P516">
        <v>6762702.702702702</v>
      </c>
      <c r="Q516">
        <v>3114954.9549549548</v>
      </c>
      <c r="R516">
        <v>3202432.4324324322</v>
      </c>
      <c r="S516">
        <v>1708</v>
      </c>
      <c r="T516">
        <v>1703</v>
      </c>
    </row>
    <row r="517" spans="1:20" x14ac:dyDescent="0.35">
      <c r="A517" s="7" t="s">
        <v>611</v>
      </c>
      <c r="B517" s="12" t="s">
        <v>189</v>
      </c>
      <c r="C517">
        <v>19990365.342857186</v>
      </c>
      <c r="D517">
        <v>24174566.220211871</v>
      </c>
      <c r="E517">
        <v>9009.0090090089998</v>
      </c>
      <c r="F517">
        <v>134684.68468468499</v>
      </c>
      <c r="G517">
        <v>16</v>
      </c>
      <c r="H517">
        <v>8</v>
      </c>
      <c r="K517">
        <v>18</v>
      </c>
      <c r="L517">
        <v>10</v>
      </c>
      <c r="M517">
        <v>1595495.4954954949</v>
      </c>
      <c r="N517">
        <v>3518378.3783783792</v>
      </c>
      <c r="O517">
        <v>3553063.0630630632</v>
      </c>
      <c r="P517">
        <v>4516774.7747747749</v>
      </c>
      <c r="Q517">
        <v>813063.06306306296</v>
      </c>
      <c r="R517">
        <v>3010000</v>
      </c>
      <c r="S517">
        <v>904</v>
      </c>
      <c r="T517">
        <v>959</v>
      </c>
    </row>
    <row r="518" spans="1:20" x14ac:dyDescent="0.35">
      <c r="A518" s="7" t="s">
        <v>612</v>
      </c>
      <c r="B518" s="12" t="s">
        <v>143</v>
      </c>
      <c r="C518">
        <v>173321373.42721143</v>
      </c>
      <c r="D518">
        <v>178024076.41695035</v>
      </c>
      <c r="E518">
        <v>97963.963963964998</v>
      </c>
      <c r="F518">
        <v>779363.96396396402</v>
      </c>
      <c r="G518">
        <v>50</v>
      </c>
      <c r="H518">
        <v>46</v>
      </c>
      <c r="K518">
        <v>67</v>
      </c>
      <c r="L518">
        <v>76</v>
      </c>
      <c r="M518">
        <v>10016216.216216212</v>
      </c>
      <c r="N518">
        <v>7905405.405405405</v>
      </c>
      <c r="O518">
        <v>20921034.234234232</v>
      </c>
      <c r="P518">
        <v>22383878.378378376</v>
      </c>
      <c r="Q518">
        <v>16068018.018018017</v>
      </c>
      <c r="R518">
        <v>16403827.027027024</v>
      </c>
      <c r="S518">
        <v>6758</v>
      </c>
      <c r="T518">
        <v>6705</v>
      </c>
    </row>
    <row r="519" spans="1:20" x14ac:dyDescent="0.35">
      <c r="A519" s="7" t="s">
        <v>613</v>
      </c>
      <c r="B519" s="12" t="s">
        <v>189</v>
      </c>
      <c r="C519">
        <v>222508875.18270564</v>
      </c>
      <c r="D519">
        <v>204096145.33090994</v>
      </c>
      <c r="E519">
        <v>126126.126126128</v>
      </c>
      <c r="F519">
        <v>1184459.4594594629</v>
      </c>
      <c r="G519">
        <v>72</v>
      </c>
      <c r="H519">
        <v>64</v>
      </c>
      <c r="K519">
        <v>89</v>
      </c>
      <c r="L519">
        <v>84</v>
      </c>
      <c r="M519">
        <v>5690990.9909909908</v>
      </c>
      <c r="N519">
        <v>9870630.6306306329</v>
      </c>
      <c r="O519">
        <v>18957365.765765768</v>
      </c>
      <c r="P519">
        <v>19781754.954954956</v>
      </c>
      <c r="Q519">
        <v>4678825.225225226</v>
      </c>
      <c r="R519">
        <v>8604908.1081081089</v>
      </c>
      <c r="S519">
        <v>7668</v>
      </c>
      <c r="T519">
        <v>7351</v>
      </c>
    </row>
    <row r="520" spans="1:20" x14ac:dyDescent="0.35">
      <c r="A520" s="7" t="s">
        <v>614</v>
      </c>
      <c r="B520" s="12" t="s">
        <v>54</v>
      </c>
      <c r="C520">
        <v>151367321.29189223</v>
      </c>
      <c r="D520">
        <v>142479108.1240575</v>
      </c>
      <c r="E520">
        <v>1273423.423423426</v>
      </c>
      <c r="F520">
        <v>2111711.711711714</v>
      </c>
      <c r="G520">
        <v>34</v>
      </c>
      <c r="H520">
        <v>40</v>
      </c>
      <c r="K520">
        <v>38</v>
      </c>
      <c r="L520">
        <v>65</v>
      </c>
      <c r="M520">
        <v>19228378.37837838</v>
      </c>
      <c r="N520">
        <v>24607207.207207207</v>
      </c>
      <c r="O520">
        <v>42950990.990990989</v>
      </c>
      <c r="P520">
        <v>45521990.990990989</v>
      </c>
      <c r="Q520">
        <v>23814054.054054052</v>
      </c>
      <c r="R520">
        <v>22374324.324324325</v>
      </c>
      <c r="S520">
        <v>6514</v>
      </c>
      <c r="T520">
        <v>6103</v>
      </c>
    </row>
    <row r="521" spans="1:20" x14ac:dyDescent="0.35">
      <c r="A521" s="7" t="s">
        <v>615</v>
      </c>
      <c r="B521" s="12" t="s">
        <v>54</v>
      </c>
      <c r="C521">
        <v>78100828.240816176</v>
      </c>
      <c r="D521">
        <v>77171414.650924176</v>
      </c>
      <c r="E521">
        <v>24324.324324325</v>
      </c>
      <c r="F521">
        <v>193693.69369369399</v>
      </c>
      <c r="G521">
        <v>11</v>
      </c>
      <c r="H521">
        <v>9</v>
      </c>
      <c r="K521">
        <v>11</v>
      </c>
      <c r="L521">
        <v>12</v>
      </c>
      <c r="M521">
        <v>2764864.8648648649</v>
      </c>
      <c r="N521">
        <v>3346846.8468468469</v>
      </c>
      <c r="O521">
        <v>12769630.630630633</v>
      </c>
      <c r="P521">
        <v>12996828.828828828</v>
      </c>
      <c r="Q521">
        <v>3413333.333333334</v>
      </c>
      <c r="R521">
        <v>2631531.5315315318</v>
      </c>
      <c r="S521">
        <v>2787</v>
      </c>
      <c r="T521">
        <v>2872</v>
      </c>
    </row>
    <row r="522" spans="1:20" x14ac:dyDescent="0.35">
      <c r="A522" s="7" t="s">
        <v>616</v>
      </c>
      <c r="B522" s="12" t="s">
        <v>60</v>
      </c>
      <c r="C522">
        <v>122138231.0792644</v>
      </c>
      <c r="D522">
        <v>119469319.12675758</v>
      </c>
      <c r="E522">
        <v>175675.67567567699</v>
      </c>
      <c r="F522">
        <v>2108108.1081081131</v>
      </c>
      <c r="G522">
        <v>16</v>
      </c>
      <c r="H522">
        <v>51</v>
      </c>
      <c r="K522">
        <v>20</v>
      </c>
      <c r="L522">
        <v>108</v>
      </c>
      <c r="M522">
        <v>16478378.378378378</v>
      </c>
      <c r="N522">
        <v>17833153.153153155</v>
      </c>
      <c r="O522">
        <v>36635270.270270273</v>
      </c>
      <c r="P522">
        <v>38866144.144144148</v>
      </c>
      <c r="Q522">
        <v>13930000</v>
      </c>
      <c r="R522">
        <v>16370450.450450452</v>
      </c>
      <c r="S522">
        <v>4306</v>
      </c>
      <c r="T522">
        <v>4351</v>
      </c>
    </row>
    <row r="523" spans="1:20" x14ac:dyDescent="0.35">
      <c r="A523" s="7" t="s">
        <v>617</v>
      </c>
      <c r="B523" s="12" t="s">
        <v>60</v>
      </c>
      <c r="C523">
        <v>134166916.32389261</v>
      </c>
      <c r="D523">
        <v>126255136.73714526</v>
      </c>
      <c r="E523">
        <v>309909.90990991198</v>
      </c>
      <c r="F523">
        <v>754054.05405405501</v>
      </c>
      <c r="G523">
        <v>23</v>
      </c>
      <c r="H523">
        <v>35</v>
      </c>
      <c r="K523">
        <v>26</v>
      </c>
      <c r="L523">
        <v>39</v>
      </c>
      <c r="M523">
        <v>12814414.414414411</v>
      </c>
      <c r="N523">
        <v>16118018.018018017</v>
      </c>
      <c r="O523">
        <v>67933018.018018022</v>
      </c>
      <c r="P523">
        <v>66269387.387387387</v>
      </c>
      <c r="Q523">
        <v>13808828.828828828</v>
      </c>
      <c r="R523">
        <v>15347477.477477476</v>
      </c>
      <c r="S523">
        <v>5408</v>
      </c>
      <c r="T523">
        <v>5535</v>
      </c>
    </row>
    <row r="524" spans="1:20" x14ac:dyDescent="0.35">
      <c r="A524" s="7" t="s">
        <v>618</v>
      </c>
      <c r="B524" s="12" t="s">
        <v>60</v>
      </c>
      <c r="C524">
        <v>171500171.09108728</v>
      </c>
      <c r="D524">
        <v>162200220.39231411</v>
      </c>
      <c r="E524">
        <v>974774.77477477503</v>
      </c>
      <c r="F524">
        <v>1879279.279279287</v>
      </c>
      <c r="G524">
        <v>27</v>
      </c>
      <c r="H524">
        <v>26</v>
      </c>
      <c r="K524">
        <v>32</v>
      </c>
      <c r="L524">
        <v>31</v>
      </c>
      <c r="M524">
        <v>11199999.999999998</v>
      </c>
      <c r="N524">
        <v>24484684.684684686</v>
      </c>
      <c r="O524">
        <v>53434270.270270273</v>
      </c>
      <c r="P524">
        <v>53407259.459459454</v>
      </c>
      <c r="Q524">
        <v>8620360.3603603598</v>
      </c>
      <c r="R524">
        <v>22963153.153153155</v>
      </c>
      <c r="S524">
        <v>5687</v>
      </c>
      <c r="T524">
        <v>5537</v>
      </c>
    </row>
    <row r="525" spans="1:20" x14ac:dyDescent="0.35">
      <c r="A525" s="7" t="s">
        <v>619</v>
      </c>
      <c r="B525" s="12" t="s">
        <v>620</v>
      </c>
      <c r="C525">
        <v>197139257.05853665</v>
      </c>
      <c r="D525">
        <v>197076020.91498908</v>
      </c>
      <c r="E525">
        <v>1055585.5855855851</v>
      </c>
      <c r="F525">
        <v>2985360.3603603621</v>
      </c>
      <c r="G525">
        <v>71</v>
      </c>
      <c r="H525">
        <v>79</v>
      </c>
      <c r="I525">
        <v>2</v>
      </c>
      <c r="K525">
        <v>90</v>
      </c>
      <c r="L525">
        <v>180</v>
      </c>
      <c r="M525">
        <v>14933063.063063061</v>
      </c>
      <c r="N525">
        <v>8984684.6846846845</v>
      </c>
      <c r="O525">
        <v>23131477.477477476</v>
      </c>
      <c r="P525">
        <v>23083126.126126125</v>
      </c>
      <c r="Q525">
        <v>12878558.558558557</v>
      </c>
      <c r="R525">
        <v>12505225.225225225</v>
      </c>
      <c r="S525">
        <v>7201</v>
      </c>
      <c r="T525">
        <v>9124</v>
      </c>
    </row>
    <row r="526" spans="1:20" x14ac:dyDescent="0.35">
      <c r="A526" s="7" t="s">
        <v>621</v>
      </c>
      <c r="B526" s="12" t="s">
        <v>620</v>
      </c>
      <c r="C526">
        <v>154165401.28623608</v>
      </c>
      <c r="D526">
        <v>143777817.11474827</v>
      </c>
      <c r="E526">
        <v>611040.54054054106</v>
      </c>
      <c r="F526">
        <v>40288329.729729727</v>
      </c>
      <c r="G526">
        <v>56</v>
      </c>
      <c r="H526">
        <v>49</v>
      </c>
      <c r="I526">
        <v>2</v>
      </c>
      <c r="K526">
        <v>69</v>
      </c>
      <c r="L526">
        <v>66</v>
      </c>
      <c r="M526">
        <v>11658869.369369367</v>
      </c>
      <c r="N526">
        <v>13692719.819819819</v>
      </c>
      <c r="O526">
        <v>21200426.126126129</v>
      </c>
      <c r="P526">
        <v>23441411.711711712</v>
      </c>
      <c r="Q526">
        <v>11547117.117117113</v>
      </c>
      <c r="R526">
        <v>11181171.171171172</v>
      </c>
      <c r="S526">
        <v>6102</v>
      </c>
      <c r="T526">
        <v>5776</v>
      </c>
    </row>
    <row r="527" spans="1:20" x14ac:dyDescent="0.35">
      <c r="A527" s="7" t="s">
        <v>622</v>
      </c>
      <c r="B527" s="12" t="s">
        <v>620</v>
      </c>
      <c r="C527">
        <v>163552936.64993367</v>
      </c>
      <c r="D527">
        <v>150525435.11405858</v>
      </c>
      <c r="E527">
        <v>640540.54054054106</v>
      </c>
      <c r="F527">
        <v>1007207.207207208</v>
      </c>
      <c r="G527">
        <v>65</v>
      </c>
      <c r="H527">
        <v>55</v>
      </c>
      <c r="I527">
        <v>1</v>
      </c>
      <c r="K527">
        <v>82</v>
      </c>
      <c r="L527">
        <v>71</v>
      </c>
      <c r="M527">
        <v>11695495.495495494</v>
      </c>
      <c r="N527">
        <v>9461261.2612612601</v>
      </c>
      <c r="O527">
        <v>21615810.810810812</v>
      </c>
      <c r="P527">
        <v>23551382.882882886</v>
      </c>
      <c r="Q527">
        <v>10583286.486486487</v>
      </c>
      <c r="R527">
        <v>7199639.639639643</v>
      </c>
      <c r="S527">
        <v>5890</v>
      </c>
      <c r="T527">
        <v>5774</v>
      </c>
    </row>
    <row r="528" spans="1:20" x14ac:dyDescent="0.35">
      <c r="A528" s="7" t="s">
        <v>623</v>
      </c>
      <c r="B528" s="12" t="s">
        <v>620</v>
      </c>
      <c r="C528">
        <v>116058563.20441769</v>
      </c>
      <c r="D528">
        <v>109561728.77542578</v>
      </c>
      <c r="E528">
        <v>317117.11711711698</v>
      </c>
      <c r="F528">
        <v>314414.41441441502</v>
      </c>
      <c r="G528">
        <v>55</v>
      </c>
      <c r="H528">
        <v>25</v>
      </c>
      <c r="I528">
        <v>1</v>
      </c>
      <c r="K528">
        <v>65</v>
      </c>
      <c r="L528">
        <v>40</v>
      </c>
      <c r="M528">
        <v>11459459.459459459</v>
      </c>
      <c r="N528">
        <v>10979279.27927928</v>
      </c>
      <c r="O528">
        <v>13820765.765765768</v>
      </c>
      <c r="P528">
        <v>13938328.828828828</v>
      </c>
      <c r="Q528">
        <v>9296396.3963963967</v>
      </c>
      <c r="R528">
        <v>8644684.6846846845</v>
      </c>
      <c r="S528">
        <v>3841</v>
      </c>
      <c r="T528">
        <v>3590</v>
      </c>
    </row>
    <row r="529" spans="1:20" x14ac:dyDescent="0.35">
      <c r="A529" s="7" t="s">
        <v>624</v>
      </c>
      <c r="B529" s="12" t="s">
        <v>260</v>
      </c>
      <c r="C529">
        <v>63381255.004516207</v>
      </c>
      <c r="D529">
        <v>57537945.223480031</v>
      </c>
      <c r="E529">
        <v>18018.018018018</v>
      </c>
      <c r="F529">
        <v>241441.441441442</v>
      </c>
      <c r="G529">
        <v>7</v>
      </c>
      <c r="H529">
        <v>8</v>
      </c>
      <c r="K529">
        <v>7</v>
      </c>
      <c r="L529">
        <v>8</v>
      </c>
      <c r="M529">
        <v>10783783.783783784</v>
      </c>
      <c r="N529">
        <v>3585585.5855855858</v>
      </c>
      <c r="O529">
        <v>19929045.045045048</v>
      </c>
      <c r="P529">
        <v>18470549.549549554</v>
      </c>
      <c r="Q529">
        <v>6940810.8108108109</v>
      </c>
      <c r="R529">
        <v>5042432.4324324317</v>
      </c>
      <c r="S529">
        <v>2045</v>
      </c>
      <c r="T529">
        <v>2037</v>
      </c>
    </row>
    <row r="530" spans="1:20" x14ac:dyDescent="0.35">
      <c r="A530" s="7" t="s">
        <v>625</v>
      </c>
      <c r="B530" s="12" t="s">
        <v>52</v>
      </c>
      <c r="C530">
        <v>90394086.057834283</v>
      </c>
      <c r="D530">
        <v>89768817.592977583</v>
      </c>
      <c r="E530">
        <v>18198.198198197999</v>
      </c>
      <c r="F530">
        <v>62162.162162162997</v>
      </c>
      <c r="G530">
        <v>9</v>
      </c>
      <c r="H530">
        <v>29</v>
      </c>
      <c r="K530">
        <v>12</v>
      </c>
      <c r="L530">
        <v>50</v>
      </c>
      <c r="M530">
        <v>1208738.738738738</v>
      </c>
      <c r="N530">
        <v>1863963.963963964</v>
      </c>
      <c r="O530">
        <v>30626387.387387387</v>
      </c>
      <c r="P530">
        <v>32121270.270270273</v>
      </c>
      <c r="Q530">
        <v>1659909.9099099101</v>
      </c>
      <c r="R530">
        <v>1683963.963963964</v>
      </c>
      <c r="S530">
        <v>4366</v>
      </c>
      <c r="T530">
        <v>4462</v>
      </c>
    </row>
    <row r="531" spans="1:20" x14ac:dyDescent="0.35">
      <c r="A531" s="7" t="s">
        <v>626</v>
      </c>
      <c r="B531" s="12" t="s">
        <v>96</v>
      </c>
      <c r="C531">
        <v>224811854.84159833</v>
      </c>
      <c r="D531">
        <v>222658306.68583658</v>
      </c>
      <c r="E531">
        <v>1968828.8288288331</v>
      </c>
      <c r="F531">
        <v>3878378.3783783829</v>
      </c>
      <c r="G531">
        <v>109</v>
      </c>
      <c r="H531">
        <v>103</v>
      </c>
      <c r="I531">
        <v>1</v>
      </c>
      <c r="K531">
        <v>132</v>
      </c>
      <c r="L531">
        <v>130</v>
      </c>
      <c r="M531">
        <v>33520405.40540541</v>
      </c>
      <c r="N531">
        <v>56885045.045045048</v>
      </c>
      <c r="O531">
        <v>69354549.54954955</v>
      </c>
      <c r="P531">
        <v>71795365.315315306</v>
      </c>
      <c r="Q531">
        <v>35644954.954954959</v>
      </c>
      <c r="R531">
        <v>40767747.747747742</v>
      </c>
      <c r="S531">
        <v>10826</v>
      </c>
      <c r="T531">
        <v>10569</v>
      </c>
    </row>
    <row r="532" spans="1:20" x14ac:dyDescent="0.35">
      <c r="A532" s="7" t="s">
        <v>627</v>
      </c>
      <c r="B532" s="12" t="s">
        <v>96</v>
      </c>
      <c r="C532">
        <v>399053855.26865458</v>
      </c>
      <c r="D532">
        <v>371403726.81083477</v>
      </c>
      <c r="E532">
        <v>49983682.882882878</v>
      </c>
      <c r="F532">
        <v>87101258.558558553</v>
      </c>
      <c r="G532">
        <v>110</v>
      </c>
      <c r="H532">
        <v>68</v>
      </c>
      <c r="I532">
        <v>1</v>
      </c>
      <c r="K532">
        <v>135</v>
      </c>
      <c r="L532">
        <v>85</v>
      </c>
      <c r="M532">
        <v>58188468.468468472</v>
      </c>
      <c r="N532">
        <v>117535441.44144145</v>
      </c>
      <c r="O532">
        <v>154354198.1981982</v>
      </c>
      <c r="P532">
        <v>147355524.77477479</v>
      </c>
      <c r="Q532">
        <v>70279189.189189196</v>
      </c>
      <c r="R532">
        <v>90278648.648648635</v>
      </c>
      <c r="S532">
        <v>13768</v>
      </c>
      <c r="T532">
        <v>13460</v>
      </c>
    </row>
    <row r="533" spans="1:20" x14ac:dyDescent="0.35">
      <c r="A533" s="7" t="s">
        <v>628</v>
      </c>
      <c r="B533" s="12" t="s">
        <v>448</v>
      </c>
      <c r="C533">
        <v>286503203.56682241</v>
      </c>
      <c r="D533">
        <v>265584394.09132731</v>
      </c>
      <c r="E533">
        <v>135331364.86486486</v>
      </c>
      <c r="F533">
        <v>125773041.44144145</v>
      </c>
      <c r="G533">
        <v>139</v>
      </c>
      <c r="H533">
        <v>89</v>
      </c>
      <c r="K533">
        <v>159</v>
      </c>
      <c r="L533">
        <v>109</v>
      </c>
      <c r="M533">
        <v>66318468.468468465</v>
      </c>
      <c r="N533">
        <v>63251756.75675676</v>
      </c>
      <c r="O533">
        <v>82060468.468468457</v>
      </c>
      <c r="P533">
        <v>80544998.198198199</v>
      </c>
      <c r="Q533">
        <v>65373153.153153151</v>
      </c>
      <c r="R533">
        <v>58273018.018018015</v>
      </c>
      <c r="S533">
        <v>11539</v>
      </c>
      <c r="T533">
        <v>11193</v>
      </c>
    </row>
    <row r="534" spans="1:20" x14ac:dyDescent="0.35">
      <c r="A534" s="7" t="s">
        <v>629</v>
      </c>
      <c r="B534" s="12" t="s">
        <v>78</v>
      </c>
      <c r="C534">
        <v>12552758.170461874</v>
      </c>
      <c r="D534">
        <v>11936954.88718066</v>
      </c>
      <c r="E534">
        <v>185585.58558558501</v>
      </c>
      <c r="F534">
        <v>291891.89189189201</v>
      </c>
      <c r="G534">
        <v>2</v>
      </c>
      <c r="H534">
        <v>2</v>
      </c>
      <c r="K534">
        <v>2</v>
      </c>
      <c r="L534">
        <v>2</v>
      </c>
      <c r="M534">
        <v>509909.90990990901</v>
      </c>
      <c r="N534">
        <v>922522.52252252202</v>
      </c>
      <c r="O534">
        <v>3140135.1351351351</v>
      </c>
      <c r="P534">
        <v>3407189.1891891891</v>
      </c>
      <c r="Q534">
        <v>640720.72072072094</v>
      </c>
      <c r="R534">
        <v>767837.83783783799</v>
      </c>
      <c r="S534">
        <v>419</v>
      </c>
      <c r="T534">
        <v>341</v>
      </c>
    </row>
    <row r="535" spans="1:20" x14ac:dyDescent="0.35">
      <c r="A535" s="7" t="s">
        <v>630</v>
      </c>
      <c r="B535" s="12" t="s">
        <v>241</v>
      </c>
      <c r="C535">
        <v>75274065.146162644</v>
      </c>
      <c r="D535">
        <v>68180572.071547747</v>
      </c>
      <c r="E535">
        <v>63243.243243243996</v>
      </c>
      <c r="F535">
        <v>281756.75675675902</v>
      </c>
      <c r="G535">
        <v>37</v>
      </c>
      <c r="H535">
        <v>25</v>
      </c>
      <c r="K535">
        <v>43</v>
      </c>
      <c r="L535">
        <v>32</v>
      </c>
      <c r="M535">
        <v>11777747.747747747</v>
      </c>
      <c r="N535">
        <v>6579999.9999999972</v>
      </c>
      <c r="O535">
        <v>17827072.072072074</v>
      </c>
      <c r="P535">
        <v>14923063.063063065</v>
      </c>
      <c r="Q535">
        <v>12636396.396396397</v>
      </c>
      <c r="R535">
        <v>6670990.990990987</v>
      </c>
      <c r="S535">
        <v>2269</v>
      </c>
      <c r="T535">
        <v>2620</v>
      </c>
    </row>
    <row r="536" spans="1:20" x14ac:dyDescent="0.35">
      <c r="A536" s="7" t="s">
        <v>631</v>
      </c>
      <c r="B536" s="12" t="s">
        <v>68</v>
      </c>
      <c r="C536">
        <v>332358208.99940038</v>
      </c>
      <c r="D536">
        <v>313250011.77954394</v>
      </c>
      <c r="E536">
        <v>1566666.666666667</v>
      </c>
      <c r="F536">
        <v>3179504.5045045051</v>
      </c>
      <c r="G536">
        <v>155</v>
      </c>
      <c r="H536">
        <v>79</v>
      </c>
      <c r="K536">
        <v>166</v>
      </c>
      <c r="L536">
        <v>150</v>
      </c>
      <c r="M536">
        <v>32659639.639639638</v>
      </c>
      <c r="N536">
        <v>32167117.117117114</v>
      </c>
      <c r="O536">
        <v>54325945.945945941</v>
      </c>
      <c r="P536">
        <v>55192320.270270273</v>
      </c>
      <c r="Q536">
        <v>25563423.423423424</v>
      </c>
      <c r="R536">
        <v>26041981.981981985</v>
      </c>
      <c r="S536">
        <v>9040</v>
      </c>
      <c r="T536">
        <v>8973</v>
      </c>
    </row>
    <row r="537" spans="1:20" x14ac:dyDescent="0.35">
      <c r="A537" s="7" t="s">
        <v>632</v>
      </c>
      <c r="B537" s="12" t="s">
        <v>70</v>
      </c>
      <c r="C537">
        <v>2285227.7547180201</v>
      </c>
      <c r="D537">
        <v>2283167.514408398</v>
      </c>
      <c r="E537">
        <v>18018.018018018</v>
      </c>
      <c r="F537">
        <v>40540.540540540998</v>
      </c>
      <c r="G537">
        <v>2</v>
      </c>
      <c r="H537">
        <v>1</v>
      </c>
      <c r="K537">
        <v>2</v>
      </c>
      <c r="L537">
        <v>2</v>
      </c>
      <c r="M537">
        <v>18018.018018018</v>
      </c>
      <c r="N537">
        <v>40540.540540540998</v>
      </c>
      <c r="O537">
        <v>1281621.621621622</v>
      </c>
      <c r="P537">
        <v>1316486.4864864859</v>
      </c>
      <c r="Q537">
        <v>41261.261261261003</v>
      </c>
      <c r="R537">
        <v>164864.864864865</v>
      </c>
      <c r="S537">
        <v>64</v>
      </c>
      <c r="T537">
        <v>194</v>
      </c>
    </row>
    <row r="538" spans="1:20" x14ac:dyDescent="0.35">
      <c r="A538" s="7" t="s">
        <v>633</v>
      </c>
      <c r="B538" s="12" t="s">
        <v>60</v>
      </c>
      <c r="C538">
        <v>23957339.344829895</v>
      </c>
      <c r="D538">
        <v>24055544.249981757</v>
      </c>
      <c r="E538">
        <v>136936.93693693701</v>
      </c>
      <c r="F538">
        <v>2702.7027027029999</v>
      </c>
      <c r="G538">
        <v>4</v>
      </c>
      <c r="H538">
        <v>8</v>
      </c>
      <c r="K538">
        <v>4</v>
      </c>
      <c r="L538">
        <v>8</v>
      </c>
      <c r="M538">
        <v>560360.36036036001</v>
      </c>
      <c r="N538">
        <v>1227927.9279279271</v>
      </c>
      <c r="O538">
        <v>8771936.9369369373</v>
      </c>
      <c r="P538">
        <v>10404342.342342341</v>
      </c>
      <c r="Q538">
        <v>572972.97297297302</v>
      </c>
      <c r="R538">
        <v>175225.225225225</v>
      </c>
      <c r="S538">
        <v>1168</v>
      </c>
      <c r="T538">
        <v>1105</v>
      </c>
    </row>
    <row r="539" spans="1:20" x14ac:dyDescent="0.35">
      <c r="A539" s="7" t="s">
        <v>634</v>
      </c>
      <c r="B539" s="12" t="s">
        <v>80</v>
      </c>
      <c r="C539">
        <v>256510120.58770135</v>
      </c>
      <c r="D539">
        <v>246569449.68565062</v>
      </c>
      <c r="E539">
        <v>64061261.261261262</v>
      </c>
      <c r="F539">
        <v>30914414.414414417</v>
      </c>
      <c r="G539">
        <v>80</v>
      </c>
      <c r="H539">
        <v>28</v>
      </c>
      <c r="K539">
        <v>94</v>
      </c>
      <c r="L539">
        <v>29</v>
      </c>
      <c r="M539">
        <v>31627837.837837838</v>
      </c>
      <c r="N539">
        <v>28044144.144144144</v>
      </c>
      <c r="O539">
        <v>46340081.081081077</v>
      </c>
      <c r="P539">
        <v>49705536.036036029</v>
      </c>
      <c r="Q539">
        <v>31552972.97297297</v>
      </c>
      <c r="R539">
        <v>24362342.342342343</v>
      </c>
      <c r="S539">
        <v>6380</v>
      </c>
      <c r="T539">
        <v>6573</v>
      </c>
    </row>
    <row r="540" spans="1:20" x14ac:dyDescent="0.35">
      <c r="A540" s="7" t="s">
        <v>635</v>
      </c>
      <c r="B540" s="12" t="s">
        <v>134</v>
      </c>
      <c r="C540">
        <v>43994713.563024193</v>
      </c>
      <c r="D540">
        <v>44528787.551970936</v>
      </c>
      <c r="E540">
        <v>19819819.819819819</v>
      </c>
      <c r="F540">
        <v>14171171.171171172</v>
      </c>
      <c r="G540">
        <v>5</v>
      </c>
      <c r="H540">
        <v>7</v>
      </c>
      <c r="K540">
        <v>6</v>
      </c>
      <c r="L540">
        <v>7</v>
      </c>
      <c r="N540">
        <v>4144144.1441441448</v>
      </c>
      <c r="O540">
        <v>2553603.6036036029</v>
      </c>
      <c r="P540">
        <v>2542378.3783783792</v>
      </c>
      <c r="Q540">
        <v>747297.29729729705</v>
      </c>
      <c r="R540">
        <v>4205135.1351351347</v>
      </c>
      <c r="S540">
        <v>1445</v>
      </c>
      <c r="T540">
        <v>1611</v>
      </c>
    </row>
    <row r="541" spans="1:20" x14ac:dyDescent="0.35">
      <c r="A541" s="7" t="s">
        <v>636</v>
      </c>
      <c r="B541" s="12" t="s">
        <v>479</v>
      </c>
      <c r="C541">
        <v>146820303.69338328</v>
      </c>
      <c r="D541">
        <v>130932848.58323751</v>
      </c>
      <c r="E541">
        <v>62116326.126126125</v>
      </c>
      <c r="F541">
        <v>58890174.774774775</v>
      </c>
      <c r="G541">
        <v>29</v>
      </c>
      <c r="H541">
        <v>17</v>
      </c>
      <c r="K541">
        <v>30</v>
      </c>
      <c r="L541">
        <v>21</v>
      </c>
      <c r="M541">
        <v>18050000</v>
      </c>
      <c r="N541">
        <v>29298942.342342339</v>
      </c>
      <c r="O541">
        <v>48124500</v>
      </c>
      <c r="P541">
        <v>45354684.684684686</v>
      </c>
      <c r="Q541">
        <v>24982522.52252252</v>
      </c>
      <c r="R541">
        <v>31103243.243243244</v>
      </c>
      <c r="S541">
        <v>5824</v>
      </c>
      <c r="T541">
        <v>5782</v>
      </c>
    </row>
    <row r="542" spans="1:20" x14ac:dyDescent="0.35">
      <c r="A542" s="7" t="s">
        <v>637</v>
      </c>
      <c r="B542" s="12" t="s">
        <v>143</v>
      </c>
      <c r="C542">
        <v>234233636.12304956</v>
      </c>
      <c r="D542">
        <v>231416616.8321</v>
      </c>
      <c r="E542">
        <v>1078378.3783783789</v>
      </c>
      <c r="F542">
        <v>2829279.2792792828</v>
      </c>
      <c r="G542">
        <v>46</v>
      </c>
      <c r="H542">
        <v>39</v>
      </c>
      <c r="K542">
        <v>57</v>
      </c>
      <c r="L542">
        <v>73</v>
      </c>
      <c r="M542">
        <v>16625405.405405404</v>
      </c>
      <c r="N542">
        <v>16545045.045045048</v>
      </c>
      <c r="O542">
        <v>24152900.900900904</v>
      </c>
      <c r="P542">
        <v>28461587.837837838</v>
      </c>
      <c r="Q542">
        <v>13569189.189189188</v>
      </c>
      <c r="R542">
        <v>11468828.828828827</v>
      </c>
      <c r="S542">
        <v>9456</v>
      </c>
      <c r="T542">
        <v>9396</v>
      </c>
    </row>
    <row r="543" spans="1:20" x14ac:dyDescent="0.35">
      <c r="A543" s="7" t="s">
        <v>638</v>
      </c>
      <c r="B543" s="12" t="s">
        <v>241</v>
      </c>
      <c r="C543">
        <v>259912299.46882367</v>
      </c>
      <c r="D543">
        <v>240859301.93669057</v>
      </c>
      <c r="E543">
        <v>724324.32432432496</v>
      </c>
      <c r="F543">
        <v>1449549.549549551</v>
      </c>
      <c r="G543">
        <v>126</v>
      </c>
      <c r="H543">
        <v>133</v>
      </c>
      <c r="K543">
        <v>145</v>
      </c>
      <c r="L543">
        <v>153</v>
      </c>
      <c r="M543">
        <v>9926756.7567567565</v>
      </c>
      <c r="N543">
        <v>11740360.36036036</v>
      </c>
      <c r="O543">
        <v>83984342.342342332</v>
      </c>
      <c r="P543">
        <v>77542295.495495498</v>
      </c>
      <c r="Q543">
        <v>11632522.52252252</v>
      </c>
      <c r="R543">
        <v>10242162.162162164</v>
      </c>
      <c r="S543">
        <v>13048</v>
      </c>
      <c r="T543">
        <v>12601</v>
      </c>
    </row>
    <row r="544" spans="1:20" x14ac:dyDescent="0.35">
      <c r="A544" s="7" t="s">
        <v>639</v>
      </c>
      <c r="B544" s="12" t="s">
        <v>132</v>
      </c>
      <c r="C544">
        <v>107465469.52797301</v>
      </c>
      <c r="D544">
        <v>89334514.673559263</v>
      </c>
      <c r="E544">
        <v>5405.4054054059998</v>
      </c>
      <c r="F544">
        <v>48648.648648649003</v>
      </c>
      <c r="G544">
        <v>50</v>
      </c>
      <c r="H544">
        <v>36</v>
      </c>
      <c r="K544">
        <v>57</v>
      </c>
      <c r="L544">
        <v>44</v>
      </c>
      <c r="M544">
        <v>5681081.0810810812</v>
      </c>
      <c r="N544">
        <v>3055855.8558558561</v>
      </c>
      <c r="O544">
        <v>38528756.75675676</v>
      </c>
      <c r="P544">
        <v>32838477.47747748</v>
      </c>
      <c r="Q544">
        <v>5160000</v>
      </c>
      <c r="R544">
        <v>2280090.0900900899</v>
      </c>
      <c r="S544">
        <v>5599</v>
      </c>
      <c r="T544">
        <v>4750</v>
      </c>
    </row>
    <row r="545" spans="1:20" x14ac:dyDescent="0.35">
      <c r="A545" s="7" t="s">
        <v>640</v>
      </c>
      <c r="B545" s="12" t="s">
        <v>134</v>
      </c>
      <c r="C545">
        <v>300979402.20915711</v>
      </c>
      <c r="D545">
        <v>288373376.52060461</v>
      </c>
      <c r="E545">
        <v>616216.21621621796</v>
      </c>
      <c r="F545">
        <v>627927.92792793002</v>
      </c>
      <c r="G545">
        <v>55</v>
      </c>
      <c r="H545">
        <v>43</v>
      </c>
      <c r="K545">
        <v>59</v>
      </c>
      <c r="L545">
        <v>48</v>
      </c>
      <c r="M545">
        <v>21699099.0990991</v>
      </c>
      <c r="N545">
        <v>23940720.72072072</v>
      </c>
      <c r="O545">
        <v>34249435.135135137</v>
      </c>
      <c r="P545">
        <v>36722890.090090089</v>
      </c>
      <c r="Q545">
        <v>20256486.486486483</v>
      </c>
      <c r="R545">
        <v>18566529.729729727</v>
      </c>
      <c r="S545">
        <v>7513</v>
      </c>
      <c r="T545">
        <v>7494</v>
      </c>
    </row>
    <row r="546" spans="1:20" x14ac:dyDescent="0.35">
      <c r="A546" s="7" t="s">
        <v>641</v>
      </c>
      <c r="B546" s="12" t="s">
        <v>80</v>
      </c>
      <c r="C546">
        <v>153208470.71234468</v>
      </c>
      <c r="D546">
        <v>153411086.19557896</v>
      </c>
      <c r="E546">
        <v>1801.801801802</v>
      </c>
      <c r="F546">
        <v>1032432.4324324341</v>
      </c>
      <c r="G546">
        <v>26</v>
      </c>
      <c r="H546">
        <v>31</v>
      </c>
      <c r="I546">
        <v>1</v>
      </c>
      <c r="K546">
        <v>29</v>
      </c>
      <c r="L546">
        <v>34</v>
      </c>
      <c r="M546">
        <v>16760360.36036036</v>
      </c>
      <c r="N546">
        <v>14388288.288288288</v>
      </c>
      <c r="O546">
        <v>52309007.20720721</v>
      </c>
      <c r="P546">
        <v>54084193.693693697</v>
      </c>
      <c r="Q546">
        <v>13994864.864864863</v>
      </c>
      <c r="R546">
        <v>14024414.414414415</v>
      </c>
      <c r="S546">
        <v>4930</v>
      </c>
      <c r="T546">
        <v>4997</v>
      </c>
    </row>
    <row r="547" spans="1:20" x14ac:dyDescent="0.35">
      <c r="A547" s="7" t="s">
        <v>642</v>
      </c>
      <c r="B547" s="12" t="s">
        <v>169</v>
      </c>
      <c r="C547">
        <v>282732493.7574228</v>
      </c>
      <c r="D547">
        <v>245364074.6946606</v>
      </c>
      <c r="E547">
        <v>1562612.6126126121</v>
      </c>
      <c r="F547">
        <v>1048648.6486486499</v>
      </c>
      <c r="G547">
        <v>33</v>
      </c>
      <c r="H547">
        <v>24</v>
      </c>
      <c r="I547">
        <v>1</v>
      </c>
      <c r="K547">
        <v>33</v>
      </c>
      <c r="L547">
        <v>37</v>
      </c>
      <c r="M547">
        <v>18454504.504504506</v>
      </c>
      <c r="N547">
        <v>17129729.729729731</v>
      </c>
      <c r="O547">
        <v>92495657.657657653</v>
      </c>
      <c r="P547">
        <v>87634342.342342332</v>
      </c>
      <c r="Q547">
        <v>18070630.630630631</v>
      </c>
      <c r="R547">
        <v>19739639.639639638</v>
      </c>
      <c r="S547">
        <v>8867</v>
      </c>
      <c r="T547">
        <v>9104</v>
      </c>
    </row>
    <row r="548" spans="1:20" x14ac:dyDescent="0.35">
      <c r="A548" s="7" t="s">
        <v>643</v>
      </c>
      <c r="B548" s="12" t="s">
        <v>58</v>
      </c>
      <c r="C548">
        <v>445856617.18765986</v>
      </c>
      <c r="D548">
        <v>429229589.12014842</v>
      </c>
      <c r="E548">
        <v>1575225.225225226</v>
      </c>
      <c r="F548">
        <v>4356756.7567567583</v>
      </c>
      <c r="G548">
        <v>118</v>
      </c>
      <c r="H548">
        <v>103</v>
      </c>
      <c r="K548">
        <v>137</v>
      </c>
      <c r="L548">
        <v>131</v>
      </c>
      <c r="M548">
        <v>32866216.216216218</v>
      </c>
      <c r="N548">
        <v>29332882.882882878</v>
      </c>
      <c r="O548">
        <v>86619538.738738731</v>
      </c>
      <c r="P548">
        <v>89044815.315315306</v>
      </c>
      <c r="Q548">
        <v>33099639.639639638</v>
      </c>
      <c r="R548">
        <v>30526306.306306303</v>
      </c>
      <c r="S548">
        <v>17535</v>
      </c>
      <c r="T548">
        <v>17375</v>
      </c>
    </row>
    <row r="549" spans="1:20" x14ac:dyDescent="0.35">
      <c r="A549" s="7" t="s">
        <v>644</v>
      </c>
      <c r="B549" s="12" t="s">
        <v>58</v>
      </c>
      <c r="C549">
        <v>558412721.78296649</v>
      </c>
      <c r="D549">
        <v>544493182.08278227</v>
      </c>
      <c r="E549">
        <v>206364732.43243244</v>
      </c>
      <c r="F549">
        <v>7315765.7657657694</v>
      </c>
      <c r="G549">
        <v>151</v>
      </c>
      <c r="H549">
        <v>239</v>
      </c>
      <c r="K549">
        <v>189</v>
      </c>
      <c r="L549">
        <v>369</v>
      </c>
      <c r="M549">
        <v>92741891.891891882</v>
      </c>
      <c r="N549">
        <v>88624324.324324325</v>
      </c>
      <c r="O549">
        <v>146792781.98198199</v>
      </c>
      <c r="P549">
        <v>155496472.97297296</v>
      </c>
      <c r="Q549">
        <v>80437117.117117122</v>
      </c>
      <c r="R549">
        <v>81541531.531531513</v>
      </c>
      <c r="S549">
        <v>22504</v>
      </c>
      <c r="T549">
        <v>22904</v>
      </c>
    </row>
    <row r="550" spans="1:20" x14ac:dyDescent="0.35">
      <c r="A550" s="7" t="s">
        <v>645</v>
      </c>
      <c r="B550" s="12" t="s">
        <v>307</v>
      </c>
      <c r="C550">
        <v>171265680.33942422</v>
      </c>
      <c r="D550">
        <v>175409338.57611939</v>
      </c>
      <c r="E550">
        <v>1018918.9189189191</v>
      </c>
      <c r="F550">
        <v>992792.79279279301</v>
      </c>
      <c r="G550">
        <v>21</v>
      </c>
      <c r="H550">
        <v>12</v>
      </c>
      <c r="K550">
        <v>22</v>
      </c>
      <c r="L550">
        <v>16</v>
      </c>
      <c r="M550">
        <v>3881621.6216216208</v>
      </c>
      <c r="N550">
        <v>3145045.0450450452</v>
      </c>
      <c r="O550">
        <v>28153432.432432432</v>
      </c>
      <c r="P550">
        <v>29329076.576576576</v>
      </c>
      <c r="Q550">
        <v>3936756.7567567551</v>
      </c>
      <c r="R550">
        <v>2812342.3423423409</v>
      </c>
      <c r="S550">
        <v>5181</v>
      </c>
      <c r="T550">
        <v>5067</v>
      </c>
    </row>
    <row r="551" spans="1:20" x14ac:dyDescent="0.35">
      <c r="A551" s="7" t="s">
        <v>13</v>
      </c>
      <c r="B551" s="12" t="s">
        <v>158</v>
      </c>
      <c r="C551">
        <v>210926990.29368526</v>
      </c>
      <c r="D551">
        <v>197036699.86417374</v>
      </c>
      <c r="E551">
        <v>667117.11711711995</v>
      </c>
      <c r="F551">
        <v>1185585.5855855879</v>
      </c>
      <c r="G551">
        <v>53</v>
      </c>
      <c r="H551">
        <v>17</v>
      </c>
      <c r="I551">
        <v>1</v>
      </c>
      <c r="K551">
        <v>249</v>
      </c>
      <c r="L551">
        <v>106</v>
      </c>
      <c r="M551">
        <v>30298558.558558561</v>
      </c>
      <c r="N551">
        <v>46184324.324324317</v>
      </c>
      <c r="O551">
        <v>122539509.009009</v>
      </c>
      <c r="P551">
        <v>110696198.1981982</v>
      </c>
      <c r="Q551">
        <v>35131711.711711712</v>
      </c>
      <c r="R551">
        <v>45516756.756756753</v>
      </c>
      <c r="S551">
        <v>7424</v>
      </c>
      <c r="T551">
        <v>7098</v>
      </c>
    </row>
    <row r="552" spans="1:20" x14ac:dyDescent="0.35">
      <c r="A552" s="7" t="s">
        <v>646</v>
      </c>
      <c r="B552" s="12" t="s">
        <v>121</v>
      </c>
      <c r="C552">
        <v>135043605.78604633</v>
      </c>
      <c r="D552">
        <v>143225864.48586503</v>
      </c>
      <c r="E552">
        <v>900.900900901</v>
      </c>
      <c r="F552">
        <v>109009.00900900899</v>
      </c>
      <c r="G552">
        <v>35</v>
      </c>
      <c r="H552">
        <v>30</v>
      </c>
      <c r="K552">
        <v>38</v>
      </c>
      <c r="L552">
        <v>33</v>
      </c>
      <c r="M552">
        <v>181081.08108108101</v>
      </c>
      <c r="N552">
        <v>923423.42342342297</v>
      </c>
      <c r="O552">
        <v>11573621.621621622</v>
      </c>
      <c r="P552">
        <v>12042380.630630633</v>
      </c>
      <c r="Q552">
        <v>176126.12612612601</v>
      </c>
      <c r="R552">
        <v>574684.68468468497</v>
      </c>
      <c r="S552">
        <v>2961</v>
      </c>
      <c r="T552">
        <v>3936</v>
      </c>
    </row>
    <row r="553" spans="1:20" x14ac:dyDescent="0.35">
      <c r="A553" s="7" t="s">
        <v>647</v>
      </c>
      <c r="B553" s="12" t="s">
        <v>315</v>
      </c>
      <c r="C553">
        <v>52640572.328490727</v>
      </c>
      <c r="D553">
        <v>46290366.510835379</v>
      </c>
      <c r="E553">
        <v>461261.26126126101</v>
      </c>
      <c r="F553">
        <v>604504.50450450403</v>
      </c>
      <c r="G553">
        <v>14</v>
      </c>
      <c r="H553">
        <v>11</v>
      </c>
      <c r="K553">
        <v>16</v>
      </c>
      <c r="L553">
        <v>12</v>
      </c>
      <c r="M553">
        <v>4026576.576576577</v>
      </c>
      <c r="N553">
        <v>7885585.5855855839</v>
      </c>
      <c r="O553">
        <v>12894481.981981982</v>
      </c>
      <c r="P553">
        <v>11102945.945945946</v>
      </c>
      <c r="Q553">
        <v>4205585.585585583</v>
      </c>
      <c r="R553">
        <v>6854504.5045045046</v>
      </c>
      <c r="S553">
        <v>1335</v>
      </c>
      <c r="T553">
        <v>1223</v>
      </c>
    </row>
    <row r="554" spans="1:20" x14ac:dyDescent="0.35">
      <c r="A554" s="7" t="s">
        <v>648</v>
      </c>
      <c r="B554" s="12" t="s">
        <v>260</v>
      </c>
      <c r="C554">
        <v>131175636.65188447</v>
      </c>
      <c r="D554">
        <v>127458872.31583764</v>
      </c>
      <c r="E554">
        <v>149819.81981981901</v>
      </c>
      <c r="F554">
        <v>729954.95495495503</v>
      </c>
      <c r="G554">
        <v>39</v>
      </c>
      <c r="H554">
        <v>27</v>
      </c>
      <c r="K554">
        <v>41</v>
      </c>
      <c r="L554">
        <v>32</v>
      </c>
      <c r="M554">
        <v>20537207.207207207</v>
      </c>
      <c r="N554">
        <v>25702702.702702705</v>
      </c>
      <c r="O554">
        <v>41132792.79279279</v>
      </c>
      <c r="P554">
        <v>40572783.783783786</v>
      </c>
      <c r="Q554">
        <v>21146846.846846849</v>
      </c>
      <c r="R554">
        <v>24650000</v>
      </c>
      <c r="S554">
        <v>4280</v>
      </c>
      <c r="T554">
        <v>4329</v>
      </c>
    </row>
    <row r="555" spans="1:20" x14ac:dyDescent="0.35">
      <c r="A555" s="7" t="s">
        <v>649</v>
      </c>
      <c r="B555" s="12" t="s">
        <v>224</v>
      </c>
      <c r="C555">
        <v>137170753.20537055</v>
      </c>
      <c r="D555">
        <v>116074711.14912476</v>
      </c>
      <c r="E555">
        <v>69819.819819821001</v>
      </c>
      <c r="F555">
        <v>706981.98198198399</v>
      </c>
      <c r="G555">
        <v>23</v>
      </c>
      <c r="H555">
        <v>26</v>
      </c>
      <c r="K555">
        <v>26</v>
      </c>
      <c r="L555">
        <v>35</v>
      </c>
      <c r="M555">
        <v>7204414.4144144161</v>
      </c>
      <c r="N555">
        <v>9198558.5585585572</v>
      </c>
      <c r="O555">
        <v>27616261.261261258</v>
      </c>
      <c r="P555">
        <v>27335495.495495494</v>
      </c>
      <c r="Q555">
        <v>8047027.027027024</v>
      </c>
      <c r="R555">
        <v>9382882.8828828838</v>
      </c>
      <c r="S555">
        <v>5754</v>
      </c>
      <c r="T555">
        <v>5436</v>
      </c>
    </row>
    <row r="556" spans="1:20" x14ac:dyDescent="0.35">
      <c r="A556" s="7" t="s">
        <v>650</v>
      </c>
      <c r="B556" s="12" t="s">
        <v>224</v>
      </c>
      <c r="C556">
        <v>110427387.53495976</v>
      </c>
      <c r="D556">
        <v>94107386.517487481</v>
      </c>
      <c r="E556">
        <v>27027.027027027001</v>
      </c>
      <c r="F556">
        <v>36036.036036037003</v>
      </c>
      <c r="G556">
        <v>13</v>
      </c>
      <c r="H556">
        <v>19</v>
      </c>
      <c r="K556">
        <v>17</v>
      </c>
      <c r="L556">
        <v>27</v>
      </c>
      <c r="M556">
        <v>4628828.8288288284</v>
      </c>
      <c r="N556">
        <v>2999999.9999999991</v>
      </c>
      <c r="O556">
        <v>13809369.369369367</v>
      </c>
      <c r="P556">
        <v>14689540.540540541</v>
      </c>
      <c r="Q556">
        <v>3605135.1351351351</v>
      </c>
      <c r="R556">
        <v>2417207.207207208</v>
      </c>
      <c r="S556">
        <v>3035</v>
      </c>
      <c r="T556">
        <v>3077</v>
      </c>
    </row>
    <row r="557" spans="1:20" x14ac:dyDescent="0.35">
      <c r="A557" s="7" t="s">
        <v>651</v>
      </c>
      <c r="B557" s="12" t="s">
        <v>224</v>
      </c>
      <c r="C557">
        <v>425945005.33586645</v>
      </c>
      <c r="D557">
        <v>359479484.32271504</v>
      </c>
      <c r="E557">
        <v>96317252.252252251</v>
      </c>
      <c r="F557">
        <v>69490851.351351365</v>
      </c>
      <c r="G557">
        <v>129</v>
      </c>
      <c r="H557">
        <v>104</v>
      </c>
      <c r="I557">
        <v>3</v>
      </c>
      <c r="K557">
        <v>177</v>
      </c>
      <c r="L557">
        <v>175</v>
      </c>
      <c r="M557">
        <v>53726936.936936937</v>
      </c>
      <c r="N557">
        <v>60682882.882882878</v>
      </c>
      <c r="O557">
        <v>92995243.243243247</v>
      </c>
      <c r="P557">
        <v>90247720.720720723</v>
      </c>
      <c r="Q557">
        <v>47826486.486486487</v>
      </c>
      <c r="R557">
        <v>44843333.333333328</v>
      </c>
      <c r="S557">
        <v>18309</v>
      </c>
      <c r="T557">
        <v>20819</v>
      </c>
    </row>
    <row r="558" spans="1:20" x14ac:dyDescent="0.35">
      <c r="A558" s="7" t="s">
        <v>652</v>
      </c>
      <c r="B558" s="12" t="s">
        <v>224</v>
      </c>
      <c r="C558">
        <v>47493656.133672886</v>
      </c>
      <c r="D558">
        <v>47425894.93879699</v>
      </c>
      <c r="E558">
        <v>900.900900901</v>
      </c>
      <c r="F558">
        <v>207207.207207208</v>
      </c>
      <c r="G558">
        <v>15</v>
      </c>
      <c r="H558">
        <v>11</v>
      </c>
      <c r="K558">
        <v>16</v>
      </c>
      <c r="L558">
        <v>12</v>
      </c>
      <c r="M558">
        <v>1561981.981981982</v>
      </c>
      <c r="N558">
        <v>657657.65765765798</v>
      </c>
      <c r="O558">
        <v>7014729.7297297297</v>
      </c>
      <c r="P558">
        <v>7503099.0990990987</v>
      </c>
      <c r="Q558">
        <v>898648.64864865004</v>
      </c>
      <c r="R558">
        <v>763783.78378378297</v>
      </c>
      <c r="S558">
        <v>1818</v>
      </c>
      <c r="T558">
        <v>1783</v>
      </c>
    </row>
    <row r="559" spans="1:20" x14ac:dyDescent="0.35">
      <c r="A559" s="7" t="s">
        <v>653</v>
      </c>
      <c r="B559" s="12" t="s">
        <v>96</v>
      </c>
      <c r="C559">
        <v>254693280.77355385</v>
      </c>
      <c r="D559">
        <v>239986267.33757371</v>
      </c>
      <c r="E559">
        <v>15927927.92792793</v>
      </c>
      <c r="F559">
        <v>77126126.126126125</v>
      </c>
      <c r="G559">
        <v>58</v>
      </c>
      <c r="H559">
        <v>116</v>
      </c>
      <c r="K559">
        <v>66</v>
      </c>
      <c r="L559">
        <v>132</v>
      </c>
      <c r="M559">
        <v>9234234.2342342362</v>
      </c>
      <c r="N559">
        <v>7393243.2432432435</v>
      </c>
      <c r="O559">
        <v>31575531.531531531</v>
      </c>
      <c r="P559">
        <v>33348900.9009009</v>
      </c>
      <c r="Q559">
        <v>8112252.2522522528</v>
      </c>
      <c r="R559">
        <v>4294144.1441441439</v>
      </c>
      <c r="S559">
        <v>8715</v>
      </c>
      <c r="T559">
        <v>8734</v>
      </c>
    </row>
    <row r="560" spans="1:20" x14ac:dyDescent="0.35">
      <c r="A560" s="7" t="s">
        <v>654</v>
      </c>
      <c r="B560" s="12" t="s">
        <v>66</v>
      </c>
      <c r="C560">
        <v>149900225.14107355</v>
      </c>
      <c r="D560">
        <v>150190681.79436523</v>
      </c>
      <c r="E560">
        <v>1986486.4864864871</v>
      </c>
      <c r="F560">
        <v>2517117.1171171162</v>
      </c>
      <c r="G560">
        <v>50</v>
      </c>
      <c r="H560">
        <v>55</v>
      </c>
      <c r="K560">
        <v>53</v>
      </c>
      <c r="L560">
        <v>80</v>
      </c>
      <c r="M560">
        <v>15871801.801801804</v>
      </c>
      <c r="N560">
        <v>68933333.333333343</v>
      </c>
      <c r="O560">
        <v>94968828.828828827</v>
      </c>
      <c r="P560">
        <v>96377423.423423424</v>
      </c>
      <c r="Q560">
        <v>16055045.045045048</v>
      </c>
      <c r="R560">
        <v>35452522.522522524</v>
      </c>
      <c r="S560">
        <v>5318</v>
      </c>
      <c r="T560">
        <v>5286</v>
      </c>
    </row>
    <row r="561" spans="1:20" x14ac:dyDescent="0.35">
      <c r="A561" s="7" t="s">
        <v>655</v>
      </c>
      <c r="B561" s="12" t="s">
        <v>68</v>
      </c>
      <c r="C561">
        <v>260741878.31901342</v>
      </c>
      <c r="D561">
        <v>227408002.1806691</v>
      </c>
      <c r="E561">
        <v>395315.31531531602</v>
      </c>
      <c r="F561">
        <v>838738.73873874103</v>
      </c>
      <c r="G561">
        <v>69</v>
      </c>
      <c r="H561">
        <v>40</v>
      </c>
      <c r="I561">
        <v>4</v>
      </c>
      <c r="K561">
        <v>79</v>
      </c>
      <c r="L561">
        <v>46</v>
      </c>
      <c r="M561">
        <v>13364684.684684685</v>
      </c>
      <c r="N561">
        <v>9849099.0990990996</v>
      </c>
      <c r="O561">
        <v>33934698.198198199</v>
      </c>
      <c r="P561">
        <v>31671063.063063063</v>
      </c>
      <c r="Q561">
        <v>11661981.981981983</v>
      </c>
      <c r="R561">
        <v>8770990.9909909926</v>
      </c>
      <c r="S561">
        <v>7249</v>
      </c>
      <c r="T561">
        <v>6977</v>
      </c>
    </row>
    <row r="562" spans="1:20" x14ac:dyDescent="0.35">
      <c r="A562" s="7" t="s">
        <v>14</v>
      </c>
      <c r="B562" s="12" t="s">
        <v>158</v>
      </c>
      <c r="C562">
        <v>108223380.12343842</v>
      </c>
      <c r="D562">
        <v>100296543.21332584</v>
      </c>
      <c r="E562">
        <v>80180.180180184005</v>
      </c>
      <c r="F562">
        <v>761261.26126126305</v>
      </c>
      <c r="G562">
        <v>12</v>
      </c>
      <c r="H562">
        <v>17</v>
      </c>
      <c r="K562">
        <v>12</v>
      </c>
      <c r="L562">
        <v>20</v>
      </c>
      <c r="M562">
        <v>9575495.4954954963</v>
      </c>
      <c r="N562">
        <v>26668468.468468472</v>
      </c>
      <c r="O562">
        <v>36136927.927927926</v>
      </c>
      <c r="P562">
        <v>34566594.59459459</v>
      </c>
      <c r="Q562">
        <v>10787477.477477476</v>
      </c>
      <c r="R562">
        <v>29827837.837837841</v>
      </c>
      <c r="S562">
        <v>3875</v>
      </c>
      <c r="T562">
        <v>3903</v>
      </c>
    </row>
    <row r="563" spans="1:20" x14ac:dyDescent="0.35">
      <c r="A563" s="7" t="s">
        <v>656</v>
      </c>
      <c r="B563" s="12" t="s">
        <v>304</v>
      </c>
      <c r="C563">
        <v>97345831.891144991</v>
      </c>
      <c r="D563">
        <v>113965851.6861724</v>
      </c>
      <c r="E563">
        <v>40540.540540540998</v>
      </c>
      <c r="F563">
        <v>548648.64864864701</v>
      </c>
      <c r="G563">
        <v>34</v>
      </c>
      <c r="H563">
        <v>21</v>
      </c>
      <c r="K563">
        <v>37</v>
      </c>
      <c r="L563">
        <v>23</v>
      </c>
      <c r="M563">
        <v>18779279.27927928</v>
      </c>
      <c r="N563">
        <v>17389189.189189188</v>
      </c>
      <c r="O563">
        <v>29409495.495495494</v>
      </c>
      <c r="P563">
        <v>28581427.927927926</v>
      </c>
      <c r="Q563">
        <v>17971081.081081081</v>
      </c>
      <c r="R563">
        <v>16303873.873873873</v>
      </c>
      <c r="S563">
        <v>3214</v>
      </c>
      <c r="T563">
        <v>3070</v>
      </c>
    </row>
    <row r="564" spans="1:20" x14ac:dyDescent="0.35">
      <c r="A564" s="7" t="s">
        <v>657</v>
      </c>
      <c r="B564" s="12" t="s">
        <v>48</v>
      </c>
      <c r="C564">
        <v>158376541.60206157</v>
      </c>
      <c r="D564">
        <v>132784900.85197125</v>
      </c>
      <c r="E564">
        <v>482882.88288288302</v>
      </c>
      <c r="F564">
        <v>863963.96396396495</v>
      </c>
      <c r="G564">
        <v>7</v>
      </c>
      <c r="H564">
        <v>17</v>
      </c>
      <c r="K564">
        <v>10</v>
      </c>
      <c r="L564">
        <v>54</v>
      </c>
      <c r="M564">
        <v>20549909.909909911</v>
      </c>
      <c r="N564">
        <v>40626126.126126125</v>
      </c>
      <c r="O564">
        <v>46118324.324324325</v>
      </c>
      <c r="P564">
        <v>40483531.531531535</v>
      </c>
      <c r="Q564">
        <v>19670990.990990993</v>
      </c>
      <c r="R564">
        <v>35540450.45045045</v>
      </c>
      <c r="S564">
        <v>3391</v>
      </c>
      <c r="T564">
        <v>3157</v>
      </c>
    </row>
    <row r="565" spans="1:20" x14ac:dyDescent="0.35">
      <c r="A565" s="7" t="s">
        <v>658</v>
      </c>
      <c r="B565" s="12" t="s">
        <v>54</v>
      </c>
      <c r="C565">
        <v>44948519.785102539</v>
      </c>
      <c r="D565">
        <v>45241494.97365611</v>
      </c>
      <c r="E565">
        <v>194594.59459459499</v>
      </c>
      <c r="F565">
        <v>141441.441441442</v>
      </c>
      <c r="G565">
        <v>5</v>
      </c>
      <c r="K565">
        <v>5</v>
      </c>
      <c r="M565">
        <v>6259459.4594594594</v>
      </c>
      <c r="N565">
        <v>3947747.7477477482</v>
      </c>
      <c r="O565">
        <v>9834594.594594596</v>
      </c>
      <c r="P565">
        <v>10941036.036036037</v>
      </c>
      <c r="Q565">
        <v>4830090.0900900904</v>
      </c>
      <c r="R565">
        <v>3516936.9369369359</v>
      </c>
      <c r="S565">
        <v>1568</v>
      </c>
      <c r="T565">
        <v>1517</v>
      </c>
    </row>
    <row r="566" spans="1:20" x14ac:dyDescent="0.35">
      <c r="A566" s="7" t="s">
        <v>659</v>
      </c>
      <c r="B566" s="12" t="s">
        <v>50</v>
      </c>
      <c r="C566">
        <v>196881831.33776528</v>
      </c>
      <c r="D566">
        <v>196526241.59715411</v>
      </c>
      <c r="E566">
        <v>282612.61261261301</v>
      </c>
      <c r="F566">
        <v>609009.00900901004</v>
      </c>
      <c r="G566">
        <v>22</v>
      </c>
      <c r="H566">
        <v>32</v>
      </c>
      <c r="K566">
        <v>24</v>
      </c>
      <c r="L566">
        <v>41</v>
      </c>
      <c r="M566">
        <v>43913333.333333336</v>
      </c>
      <c r="N566">
        <v>45052432.432432435</v>
      </c>
      <c r="O566">
        <v>96035252.252252251</v>
      </c>
      <c r="P566">
        <v>95176072.072072059</v>
      </c>
      <c r="Q566">
        <v>44103063.063063063</v>
      </c>
      <c r="R566">
        <v>40815765.765765771</v>
      </c>
      <c r="S566">
        <v>6076</v>
      </c>
      <c r="T566">
        <v>6360</v>
      </c>
    </row>
    <row r="567" spans="1:20" x14ac:dyDescent="0.35">
      <c r="A567" s="7" t="s">
        <v>660</v>
      </c>
      <c r="B567" s="12" t="s">
        <v>83</v>
      </c>
      <c r="C567">
        <v>231671034.74589345</v>
      </c>
      <c r="D567">
        <v>242049746.00648004</v>
      </c>
      <c r="E567">
        <v>836126.12612612604</v>
      </c>
      <c r="F567">
        <v>1670062.162162164</v>
      </c>
      <c r="G567">
        <v>66</v>
      </c>
      <c r="H567">
        <v>64</v>
      </c>
      <c r="I567">
        <v>2</v>
      </c>
      <c r="K567">
        <v>72</v>
      </c>
      <c r="L567">
        <v>79</v>
      </c>
      <c r="M567">
        <v>29620810.810810812</v>
      </c>
      <c r="N567">
        <v>48679190.990990989</v>
      </c>
      <c r="O567">
        <v>55244792.79279279</v>
      </c>
      <c r="P567">
        <v>62403153.153153151</v>
      </c>
      <c r="Q567">
        <v>28316936.936936934</v>
      </c>
      <c r="R567">
        <v>21582027.02702703</v>
      </c>
      <c r="S567">
        <v>8808</v>
      </c>
      <c r="T567">
        <v>8963</v>
      </c>
    </row>
    <row r="568" spans="1:20" x14ac:dyDescent="0.35">
      <c r="A568" s="14" t="s">
        <v>665</v>
      </c>
      <c r="B568" s="15"/>
      <c r="C568" s="16">
        <v>100098099239.63071</v>
      </c>
      <c r="D568" s="16">
        <v>99720712980.016876</v>
      </c>
      <c r="E568" s="16">
        <v>15704833817.117104</v>
      </c>
      <c r="F568" s="16">
        <v>21964941242.34235</v>
      </c>
      <c r="G568" s="16">
        <v>27876</v>
      </c>
      <c r="H568" s="16">
        <v>28414</v>
      </c>
      <c r="I568" s="16">
        <v>278</v>
      </c>
      <c r="J568" s="16"/>
      <c r="K568" s="16">
        <v>35947</v>
      </c>
      <c r="L568" s="16">
        <v>44591</v>
      </c>
      <c r="M568" s="16">
        <v>15828626246.846834</v>
      </c>
      <c r="N568" s="16">
        <v>21150347964.864868</v>
      </c>
      <c r="O568" s="16">
        <v>26420142724.324314</v>
      </c>
      <c r="P568" s="16">
        <v>30102989706.756779</v>
      </c>
      <c r="Q568" s="16">
        <v>13641148418.018013</v>
      </c>
      <c r="R568" s="16">
        <v>14380217627.027027</v>
      </c>
      <c r="S568" s="16">
        <v>3719779</v>
      </c>
      <c r="T568" s="16">
        <v>3714782</v>
      </c>
    </row>
    <row r="569" spans="1:20" x14ac:dyDescent="0.35">
      <c r="A569" s="7" t="s">
        <v>659</v>
      </c>
      <c r="B569" s="12" t="s">
        <v>50</v>
      </c>
      <c r="C569">
        <v>168109190.33600447</v>
      </c>
      <c r="D569">
        <v>170032271.8803114</v>
      </c>
      <c r="E569">
        <v>280810.81081081199</v>
      </c>
      <c r="F569">
        <v>543243.24324324494</v>
      </c>
      <c r="G569">
        <v>19</v>
      </c>
      <c r="H569">
        <v>30</v>
      </c>
      <c r="K569">
        <v>21</v>
      </c>
      <c r="L569">
        <v>35</v>
      </c>
      <c r="M569">
        <v>42626846.846846849</v>
      </c>
      <c r="N569">
        <v>43302702.702702701</v>
      </c>
      <c r="O569">
        <v>81794351.351351365</v>
      </c>
      <c r="P569">
        <v>81295000</v>
      </c>
      <c r="Q569">
        <v>38337747.747747749</v>
      </c>
      <c r="R569">
        <v>36266306.306306303</v>
      </c>
      <c r="S569">
        <v>6170</v>
      </c>
      <c r="T569">
        <v>5641</v>
      </c>
    </row>
    <row r="570" spans="1:20" x14ac:dyDescent="0.35">
      <c r="A570" s="7" t="s">
        <v>660</v>
      </c>
      <c r="B570" s="12" t="s">
        <v>83</v>
      </c>
      <c r="C570">
        <v>196671866.89634708</v>
      </c>
      <c r="D570">
        <v>207231996.00953579</v>
      </c>
      <c r="E570">
        <v>826216.21621621598</v>
      </c>
      <c r="F570">
        <v>1480180.1801801811</v>
      </c>
      <c r="G570">
        <v>51</v>
      </c>
      <c r="H570">
        <v>59</v>
      </c>
      <c r="I570">
        <v>2</v>
      </c>
      <c r="K570">
        <v>60</v>
      </c>
      <c r="L570">
        <v>71</v>
      </c>
      <c r="M570">
        <v>18435225.225225225</v>
      </c>
      <c r="N570">
        <v>40600900.900900893</v>
      </c>
      <c r="O570">
        <v>46605783.783783786</v>
      </c>
      <c r="P570">
        <v>54347684.684684686</v>
      </c>
      <c r="Q570">
        <v>16014954.954954952</v>
      </c>
      <c r="R570">
        <v>18595315.315315317</v>
      </c>
      <c r="S570">
        <v>8698</v>
      </c>
      <c r="T570">
        <v>8836</v>
      </c>
    </row>
    <row r="571" spans="1:20" x14ac:dyDescent="0.35">
      <c r="A571" s="14" t="s">
        <v>665</v>
      </c>
      <c r="B571" s="15"/>
      <c r="C571" s="16">
        <v>85257453595.846848</v>
      </c>
      <c r="D571" s="16">
        <v>83300947386.079926</v>
      </c>
      <c r="E571" s="16">
        <v>14432464327.027033</v>
      </c>
      <c r="F571" s="16">
        <v>16755259302.702713</v>
      </c>
      <c r="G571" s="16">
        <v>22838</v>
      </c>
      <c r="H571" s="16">
        <v>22779</v>
      </c>
      <c r="I571" s="16">
        <v>217</v>
      </c>
      <c r="J571" s="16"/>
      <c r="K571" s="16">
        <v>30703</v>
      </c>
      <c r="L571" s="16">
        <v>35249</v>
      </c>
      <c r="M571" s="16">
        <v>14089062573.87388</v>
      </c>
      <c r="N571" s="16">
        <v>14893310771.171181</v>
      </c>
      <c r="O571" s="16">
        <v>22339609207.207211</v>
      </c>
      <c r="P571" s="16">
        <v>24015815115.765778</v>
      </c>
      <c r="Q571" s="16">
        <v>11687824677.477467</v>
      </c>
      <c r="R571" s="16">
        <v>11473442257.65765</v>
      </c>
      <c r="S571" s="16">
        <v>3711130</v>
      </c>
      <c r="T571" s="16">
        <v>3711152</v>
      </c>
    </row>
    <row r="572" spans="1:20" x14ac:dyDescent="0.35">
      <c r="A572" s="14" t="s">
        <v>665</v>
      </c>
      <c r="B572" s="15"/>
      <c r="C572" s="16">
        <v>55358547001.576622</v>
      </c>
      <c r="D572" s="16">
        <v>53437564264.043854</v>
      </c>
      <c r="E572" s="16">
        <v>8726350884.6846867</v>
      </c>
      <c r="F572" s="16">
        <v>11464027162.16217</v>
      </c>
      <c r="G572" s="16">
        <v>13062</v>
      </c>
      <c r="H572" s="16">
        <v>13456</v>
      </c>
      <c r="I572" s="16">
        <v>105</v>
      </c>
      <c r="J572" s="16"/>
      <c r="K572" s="16">
        <v>17425</v>
      </c>
      <c r="L572" s="16">
        <v>21377</v>
      </c>
      <c r="M572" s="16">
        <v>9406953593.6936951</v>
      </c>
      <c r="N572" s="16">
        <v>9090595687.387392</v>
      </c>
      <c r="O572" s="16">
        <v>14465865920.720705</v>
      </c>
      <c r="P572" s="16">
        <v>14948300250.900902</v>
      </c>
      <c r="Q572" s="16">
        <v>8290068868.4684687</v>
      </c>
      <c r="R572" s="16">
        <v>7345024007.207201</v>
      </c>
      <c r="S572" s="16">
        <v>3711109</v>
      </c>
      <c r="T572" s="16">
        <v>3718301</v>
      </c>
    </row>
    <row r="573" spans="1:20" x14ac:dyDescent="0.35">
      <c r="A573" s="14" t="s">
        <v>665</v>
      </c>
      <c r="B573" s="15"/>
      <c r="C573" s="16">
        <v>47673468058.648651</v>
      </c>
      <c r="D573" s="16">
        <v>45725668552.77359</v>
      </c>
      <c r="E573" s="16">
        <v>6750684932.4324331</v>
      </c>
      <c r="F573" s="16">
        <v>7278150781.0810843</v>
      </c>
      <c r="G573" s="16">
        <v>10880</v>
      </c>
      <c r="H573" s="16">
        <v>11314</v>
      </c>
      <c r="I573" s="16">
        <v>93</v>
      </c>
      <c r="J573" s="16"/>
      <c r="K573" s="16">
        <v>14629</v>
      </c>
      <c r="L573" s="16">
        <v>18019</v>
      </c>
      <c r="M573" s="16">
        <v>8400560054.9549551</v>
      </c>
      <c r="N573" s="16">
        <v>7754327600.9009027</v>
      </c>
      <c r="O573" s="16">
        <v>12448176926.126125</v>
      </c>
      <c r="P573" s="16">
        <v>12632864741.441456</v>
      </c>
      <c r="Q573" s="16">
        <v>7587006075.6756754</v>
      </c>
      <c r="R573" s="16">
        <v>6448169836.0360336</v>
      </c>
      <c r="S573" s="16">
        <v>3709889</v>
      </c>
      <c r="T573" s="16">
        <v>3720143</v>
      </c>
    </row>
    <row r="574" spans="1:20" x14ac:dyDescent="0.35">
      <c r="A574" s="14" t="s">
        <v>665</v>
      </c>
      <c r="B574" s="15"/>
      <c r="C574" s="16">
        <v>40153713895.621635</v>
      </c>
      <c r="D574" s="16">
        <v>38575779599.806999</v>
      </c>
      <c r="E574" s="16">
        <v>6502331295.4955006</v>
      </c>
      <c r="F574" s="16">
        <v>4247491559.4594607</v>
      </c>
      <c r="G574" s="16">
        <v>8785</v>
      </c>
      <c r="H574" s="16">
        <v>9286</v>
      </c>
      <c r="I574" s="16">
        <v>84</v>
      </c>
      <c r="J574" s="16"/>
      <c r="K574" s="16">
        <v>12137</v>
      </c>
      <c r="L574" s="16">
        <v>15079</v>
      </c>
      <c r="M574" s="16">
        <v>7666294559.4594593</v>
      </c>
      <c r="N574" s="16">
        <v>6241563141.4414463</v>
      </c>
      <c r="O574" s="16">
        <v>10443902275.675674</v>
      </c>
      <c r="P574" s="16">
        <v>10632147763.963968</v>
      </c>
      <c r="Q574" s="16">
        <v>6156623830.6306314</v>
      </c>
      <c r="R574" s="16">
        <v>5391210214.4144135</v>
      </c>
      <c r="S574" s="16">
        <v>3710814</v>
      </c>
      <c r="T574" s="16">
        <v>3726702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2026-09-15T07:27:44Z</dcterms:modified>
</cp:coreProperties>
</file>