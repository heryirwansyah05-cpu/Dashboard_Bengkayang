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MN-IOH\Documents\DASHBOARD MS\"/>
    </mc:Choice>
  </mc:AlternateContent>
  <bookViews>
    <workbookView xWindow="0" yWindow="0" windowWidth="19200" windowHeight="6640"/>
  </bookViews>
  <sheets>
    <sheet name="Sheet1" sheetId="1" r:id="rId1"/>
    <sheet name="MASTER" sheetId="2" r:id="rId2"/>
  </sheets>
  <definedNames>
    <definedName name="_xlnm._FilterDatabase" localSheetId="0" hidden="1">Sheet1!$A$5:$T$22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V7" i="1" l="1"/>
  <c r="V8" i="1"/>
  <c r="V9" i="1"/>
  <c r="V10" i="1"/>
  <c r="V11" i="1"/>
  <c r="V12" i="1"/>
  <c r="V13" i="1"/>
  <c r="V14" i="1"/>
  <c r="V15" i="1"/>
  <c r="V16" i="1"/>
  <c r="V17" i="1"/>
  <c r="V18" i="1"/>
  <c r="V19" i="1"/>
  <c r="V20" i="1"/>
  <c r="V21" i="1"/>
  <c r="V22" i="1"/>
  <c r="V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6" i="1"/>
  <c r="W13" i="1" l="1"/>
  <c r="W8" i="1"/>
  <c r="W7" i="1"/>
  <c r="W9" i="1"/>
  <c r="W11" i="1"/>
  <c r="W6" i="1"/>
  <c r="W10" i="1"/>
  <c r="W22" i="1"/>
  <c r="W21" i="1"/>
  <c r="W12" i="1"/>
  <c r="W20" i="1"/>
  <c r="W19" i="1"/>
  <c r="W17" i="1"/>
  <c r="W18" i="1"/>
  <c r="W16" i="1"/>
  <c r="W15" i="1"/>
  <c r="W14" i="1"/>
  <c r="R7" i="1"/>
  <c r="S7" i="1"/>
  <c r="R8" i="1"/>
  <c r="S8" i="1"/>
  <c r="R9" i="1"/>
  <c r="S9" i="1"/>
  <c r="R10" i="1"/>
  <c r="S10" i="1"/>
  <c r="R11" i="1"/>
  <c r="S11" i="1"/>
  <c r="R12" i="1"/>
  <c r="S12" i="1"/>
  <c r="R13" i="1"/>
  <c r="S13" i="1"/>
  <c r="R14" i="1"/>
  <c r="S14" i="1"/>
  <c r="R15" i="1"/>
  <c r="S15" i="1"/>
  <c r="R16" i="1"/>
  <c r="S16" i="1"/>
  <c r="R17" i="1"/>
  <c r="S17" i="1"/>
  <c r="R18" i="1"/>
  <c r="S18" i="1"/>
  <c r="R19" i="1"/>
  <c r="S19" i="1"/>
  <c r="R20" i="1"/>
  <c r="S20" i="1"/>
  <c r="R21" i="1"/>
  <c r="S21" i="1"/>
  <c r="R22" i="1"/>
  <c r="S22" i="1"/>
  <c r="O7" i="1"/>
  <c r="P7" i="1"/>
  <c r="O8" i="1"/>
  <c r="P8" i="1"/>
  <c r="O9" i="1"/>
  <c r="P9" i="1"/>
  <c r="O10" i="1"/>
  <c r="P10" i="1"/>
  <c r="O11" i="1"/>
  <c r="P11" i="1"/>
  <c r="O12" i="1"/>
  <c r="P12" i="1"/>
  <c r="O13" i="1"/>
  <c r="P13" i="1"/>
  <c r="O14" i="1"/>
  <c r="P14" i="1"/>
  <c r="O15" i="1"/>
  <c r="P15" i="1"/>
  <c r="O16" i="1"/>
  <c r="P16" i="1"/>
  <c r="O17" i="1"/>
  <c r="P17" i="1"/>
  <c r="O18" i="1"/>
  <c r="P18" i="1"/>
  <c r="O19" i="1"/>
  <c r="P19" i="1"/>
  <c r="O20" i="1"/>
  <c r="P20" i="1"/>
  <c r="O21" i="1"/>
  <c r="P21" i="1"/>
  <c r="O22" i="1"/>
  <c r="P22" i="1"/>
  <c r="L7" i="1"/>
  <c r="M7" i="1"/>
  <c r="L8" i="1"/>
  <c r="M8" i="1"/>
  <c r="L9" i="1"/>
  <c r="M9" i="1"/>
  <c r="L10" i="1"/>
  <c r="M10" i="1"/>
  <c r="L11" i="1"/>
  <c r="M11" i="1"/>
  <c r="L12" i="1"/>
  <c r="M12" i="1"/>
  <c r="L13" i="1"/>
  <c r="M13" i="1"/>
  <c r="L14" i="1"/>
  <c r="M14" i="1"/>
  <c r="L15" i="1"/>
  <c r="M15" i="1"/>
  <c r="L16" i="1"/>
  <c r="M16" i="1"/>
  <c r="L17" i="1"/>
  <c r="M17" i="1"/>
  <c r="L18" i="1"/>
  <c r="M18" i="1"/>
  <c r="L19" i="1"/>
  <c r="M19" i="1"/>
  <c r="L20" i="1"/>
  <c r="M20" i="1"/>
  <c r="L21" i="1"/>
  <c r="M21" i="1"/>
  <c r="L22" i="1"/>
  <c r="M22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R6" i="1"/>
  <c r="S6" i="1"/>
  <c r="P6" i="1"/>
  <c r="O6" i="1"/>
  <c r="M6" i="1"/>
  <c r="L6" i="1"/>
  <c r="J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6" i="1"/>
  <c r="C7" i="1"/>
  <c r="D7" i="1"/>
  <c r="C8" i="1"/>
  <c r="D8" i="1"/>
  <c r="C9" i="1"/>
  <c r="D9" i="1"/>
  <c r="C10" i="1"/>
  <c r="D10" i="1"/>
  <c r="C11" i="1"/>
  <c r="D11" i="1"/>
  <c r="C12" i="1"/>
  <c r="D12" i="1"/>
  <c r="C13" i="1"/>
  <c r="D13" i="1"/>
  <c r="C14" i="1"/>
  <c r="D14" i="1"/>
  <c r="C15" i="1"/>
  <c r="D15" i="1"/>
  <c r="C16" i="1"/>
  <c r="D16" i="1"/>
  <c r="C17" i="1"/>
  <c r="D17" i="1"/>
  <c r="C18" i="1"/>
  <c r="D18" i="1"/>
  <c r="C19" i="1"/>
  <c r="D19" i="1"/>
  <c r="C20" i="1"/>
  <c r="D20" i="1"/>
  <c r="C21" i="1"/>
  <c r="D21" i="1"/>
  <c r="C22" i="1"/>
  <c r="D22" i="1"/>
  <c r="D6" i="1"/>
  <c r="C6" i="1"/>
  <c r="T20" i="1" l="1"/>
  <c r="T22" i="1"/>
  <c r="K17" i="1"/>
  <c r="K16" i="1"/>
  <c r="T21" i="1"/>
  <c r="N21" i="1"/>
  <c r="N22" i="1"/>
  <c r="Q21" i="1"/>
  <c r="Q22" i="1"/>
  <c r="Q20" i="1"/>
  <c r="N20" i="1"/>
  <c r="K15" i="1"/>
  <c r="K13" i="1"/>
  <c r="K18" i="1"/>
  <c r="K12" i="1"/>
  <c r="K11" i="1"/>
  <c r="K22" i="1"/>
  <c r="K10" i="1"/>
  <c r="K21" i="1"/>
  <c r="K9" i="1"/>
  <c r="K14" i="1"/>
  <c r="K20" i="1"/>
  <c r="K8" i="1"/>
  <c r="K19" i="1"/>
  <c r="K7" i="1"/>
  <c r="K6" i="1"/>
  <c r="H19" i="1"/>
  <c r="H7" i="1"/>
  <c r="H20" i="1"/>
  <c r="H8" i="1"/>
  <c r="H22" i="1"/>
  <c r="H10" i="1"/>
  <c r="H21" i="1"/>
  <c r="H9" i="1"/>
  <c r="H18" i="1"/>
  <c r="H6" i="1"/>
  <c r="H17" i="1"/>
  <c r="H16" i="1"/>
  <c r="H15" i="1"/>
  <c r="H14" i="1"/>
  <c r="H13" i="1"/>
  <c r="H12" i="1"/>
  <c r="H11" i="1"/>
  <c r="E20" i="1"/>
  <c r="E8" i="1"/>
  <c r="E13" i="1"/>
  <c r="E7" i="1"/>
  <c r="E18" i="1"/>
  <c r="E19" i="1"/>
  <c r="E17" i="1"/>
  <c r="E16" i="1"/>
  <c r="E15" i="1"/>
  <c r="E21" i="1"/>
  <c r="E9" i="1"/>
  <c r="E14" i="1"/>
  <c r="E12" i="1"/>
  <c r="E22" i="1"/>
  <c r="E10" i="1"/>
  <c r="E11" i="1"/>
  <c r="T15" i="1"/>
  <c r="T17" i="1"/>
  <c r="T14" i="1" l="1"/>
  <c r="T19" i="1"/>
  <c r="T7" i="1"/>
  <c r="T18" i="1"/>
  <c r="T16" i="1"/>
  <c r="T10" i="1"/>
  <c r="T11" i="1"/>
  <c r="T9" i="1"/>
  <c r="T8" i="1"/>
  <c r="T13" i="1"/>
  <c r="T12" i="1"/>
  <c r="T6" i="1"/>
  <c r="Q12" i="1" l="1"/>
  <c r="Q14" i="1"/>
  <c r="Q15" i="1"/>
  <c r="Q17" i="1"/>
  <c r="N10" i="1"/>
  <c r="N12" i="1"/>
  <c r="N6" i="1"/>
  <c r="Q16" i="1" l="1"/>
  <c r="N11" i="1"/>
  <c r="N8" i="1"/>
  <c r="Q10" i="1"/>
  <c r="Q19" i="1"/>
  <c r="Q7" i="1"/>
  <c r="N9" i="1"/>
  <c r="Q13" i="1"/>
  <c r="Q8" i="1"/>
  <c r="Q9" i="1"/>
  <c r="N16" i="1"/>
  <c r="N15" i="1"/>
  <c r="N19" i="1"/>
  <c r="N7" i="1"/>
  <c r="Q11" i="1"/>
  <c r="Q18" i="1"/>
  <c r="N18" i="1"/>
  <c r="N17" i="1"/>
  <c r="N14" i="1"/>
  <c r="N13" i="1"/>
  <c r="Q6" i="1"/>
  <c r="E6" i="1"/>
</calcChain>
</file>

<file path=xl/sharedStrings.xml><?xml version="1.0" encoding="utf-8"?>
<sst xmlns="http://schemas.openxmlformats.org/spreadsheetml/2006/main" count="1233" uniqueCount="671">
  <si>
    <t>KECAMATAN</t>
  </si>
  <si>
    <t>BENGKAYANG|BENGKAYANG</t>
  </si>
  <si>
    <t>CAPKALA|BENGKAYANG</t>
  </si>
  <si>
    <t>JAGOI BABANG|BENGKAYANG</t>
  </si>
  <si>
    <t>LEDO|BENGKAYANG</t>
  </si>
  <si>
    <t>LUMAR|BENGKAYANG</t>
  </si>
  <si>
    <t>MONTERADO|BENGKAYANG</t>
  </si>
  <si>
    <t>SAMALANTAN|BENGKAYANG</t>
  </si>
  <si>
    <t>SANGGAU LEDO|BENGKAYANG</t>
  </si>
  <si>
    <t>SELUAS|BENGKAYANG</t>
  </si>
  <si>
    <t>SUNGAI BETUNG|BENGKAYANG</t>
  </si>
  <si>
    <t>SUNGAI RAYA KEPULAUAN|BENGKAYANG</t>
  </si>
  <si>
    <t>SUNGAI RAYA|BENGKAYANG</t>
  </si>
  <si>
    <t>TERIAK|BENGKAYANG</t>
  </si>
  <si>
    <t>TUJUH BELAS|BENGKAYANG</t>
  </si>
  <si>
    <t>PARTNER</t>
  </si>
  <si>
    <t>SDP JAGOI BABANG</t>
  </si>
  <si>
    <t>SDP MONTERADO</t>
  </si>
  <si>
    <t>REVENUE MTD</t>
  </si>
  <si>
    <t>PRIMARY MTD</t>
  </si>
  <si>
    <t>SECONDARY MTD</t>
  </si>
  <si>
    <t>TERTIARY B# MTD</t>
  </si>
  <si>
    <t>TRADE SUPPLY MTD</t>
  </si>
  <si>
    <t>REVENUE LMTD</t>
  </si>
  <si>
    <t>PRIMARY LMTD</t>
  </si>
  <si>
    <t>SECONDARY LMTD</t>
  </si>
  <si>
    <t>TERTIARY B# LMTD</t>
  </si>
  <si>
    <t>TRADE SUPPLY LMTD</t>
  </si>
  <si>
    <t>VLR SUBS MTD</t>
  </si>
  <si>
    <t>VLR SUBS LMTD</t>
  </si>
  <si>
    <t>VLR_SUBS</t>
  </si>
  <si>
    <t>MTD</t>
  </si>
  <si>
    <t>LMTD</t>
  </si>
  <si>
    <t>GROWTH</t>
  </si>
  <si>
    <t>LEMBAH BAWANG|BENGKAYANG</t>
  </si>
  <si>
    <t>SIDING|BENGKAYANG</t>
  </si>
  <si>
    <t>SUTI SEMARANG|BENGKAYANG</t>
  </si>
  <si>
    <t>parameter</t>
  </si>
  <si>
    <t>Prepaid Rev</t>
  </si>
  <si>
    <t>Primary</t>
  </si>
  <si>
    <t>QSC 100MB</t>
  </si>
  <si>
    <t>RGUGA-Trad</t>
  </si>
  <si>
    <t>Secondary</t>
  </si>
  <si>
    <t>Tertiary B#</t>
  </si>
  <si>
    <t>Trade Supply</t>
  </si>
  <si>
    <t>kec_unik</t>
  </si>
  <si>
    <t>pt_id</t>
  </si>
  <si>
    <t>AIR UPAS|KETAPANG</t>
  </si>
  <si>
    <t>PT-PEMAHAN</t>
  </si>
  <si>
    <t>ALALAK|BARITO KUALA</t>
  </si>
  <si>
    <t>PT-MEKAR SARI</t>
  </si>
  <si>
    <t>ALUH-ALUH|BANJAR</t>
  </si>
  <si>
    <t>PT-MARTAPURA</t>
  </si>
  <si>
    <t>AMUNTAI SELATAN|HULU SUNGAI UTARA</t>
  </si>
  <si>
    <t>PT-TANJUNG</t>
  </si>
  <si>
    <t>AMUNTAI TENGAH|HULU SUNGAI UTARA</t>
  </si>
  <si>
    <t>AMUNTAI UTARA|HULU SUNGAI UTARA</t>
  </si>
  <si>
    <t>ANGGANA|KUTAI KARTANEGARA</t>
  </si>
  <si>
    <t>PT-TENGGARONG</t>
  </si>
  <si>
    <t>ANGKINANG|HULU SUNGAI SELATAN</t>
  </si>
  <si>
    <t>PT-KANDANGAN</t>
  </si>
  <si>
    <t>ANGSANA|TANAH BUMBU</t>
  </si>
  <si>
    <t>PT-BATULICIN</t>
  </si>
  <si>
    <t>ANJIR MUARA|BARITO KUALA</t>
  </si>
  <si>
    <t>ANJIR PASAR|BARITO KUALA</t>
  </si>
  <si>
    <t>ANJONGAN|MEMPAWAH</t>
  </si>
  <si>
    <t>PT-MEMPAWAH</t>
  </si>
  <si>
    <t>ANTANG KALANG|KOTAWARINGIN TIMUR</t>
  </si>
  <si>
    <t>PT-ANTANG KALANG</t>
  </si>
  <si>
    <t>ARANIO|BANJAR</t>
  </si>
  <si>
    <t>PT-KARANG INTAN</t>
  </si>
  <si>
    <t>ARUT SELATAN|KOTAWARINGIN BARAT</t>
  </si>
  <si>
    <t>PT-PANGKALANBUN</t>
  </si>
  <si>
    <t>ARUT UTARA|KOTAWARINGIN BARAT</t>
  </si>
  <si>
    <t>ASTAMBUL|BANJAR</t>
  </si>
  <si>
    <t>AWANG|BARITO TIMUR</t>
  </si>
  <si>
    <t>PT-SOUTH BARITO</t>
  </si>
  <si>
    <t>AWAYAN|BALANGAN</t>
  </si>
  <si>
    <t>PT-BARABAI</t>
  </si>
  <si>
    <t>BAAMANG|KOTAWARINGIN TIMUR</t>
  </si>
  <si>
    <t>PT-SAMPIT</t>
  </si>
  <si>
    <t>BABIRIK|HULU SUNGAI UTARA</t>
  </si>
  <si>
    <t>BABULU|PENAJAM PASER UTARA</t>
  </si>
  <si>
    <t>PT-PENAJAM</t>
  </si>
  <si>
    <t>BADAU|KAPUAS HULU</t>
  </si>
  <si>
    <t>PT-BADAU KAPUAS</t>
  </si>
  <si>
    <t>BAHAU HULU|MALINAU</t>
  </si>
  <si>
    <t>PT-MALINAU BARAT</t>
  </si>
  <si>
    <t>BAJUIN|TANAH LAUT</t>
  </si>
  <si>
    <t>PT-PELAIHARI</t>
  </si>
  <si>
    <t>BAKARANGAN|TAPIN</t>
  </si>
  <si>
    <t>BAKUMPAI|BARITO KUALA</t>
  </si>
  <si>
    <t>PT-MARABAHAN</t>
  </si>
  <si>
    <t>BALAI RIAM|SUKAMARA</t>
  </si>
  <si>
    <t>PT-LAMANDAU</t>
  </si>
  <si>
    <t>BALAI|SANGGAU</t>
  </si>
  <si>
    <t>PT-TAYAN HILIR</t>
  </si>
  <si>
    <t>BALIKPAPAN BARAT|KOTA BALIKPAPAN</t>
  </si>
  <si>
    <t>PT-BALIKPAPAN</t>
  </si>
  <si>
    <t>BALIKPAPAN KOTA|KOTA BALIKPAPAN</t>
  </si>
  <si>
    <t>BALIKPAPAN SELATAN|KOTA BALIKPAPAN</t>
  </si>
  <si>
    <t>BALIKPAPAN TENGAH|KOTA BALIKPAPAN</t>
  </si>
  <si>
    <t>BALIKPAPAN TIMUR|KOTA BALIKPAPAN</t>
  </si>
  <si>
    <t>BALIKPAPAN UTARA|KOTA BALIKPAPAN</t>
  </si>
  <si>
    <t>BANAMA TINGANG|PULANG PISAU</t>
  </si>
  <si>
    <t>PT-PULANG PISAU</t>
  </si>
  <si>
    <t>BANJANG|HULU SUNGAI UTARA</t>
  </si>
  <si>
    <t>BANJARBARU SELATAN|KOTA BANJARBARU</t>
  </si>
  <si>
    <t>PT-BANJARBARU</t>
  </si>
  <si>
    <t>BANJARBARU UTARA|KOTA BANJARBARU</t>
  </si>
  <si>
    <t>BANJARMASIN BARAT|KOTA BANJARMASIN</t>
  </si>
  <si>
    <t>PT-BANJARMASIN</t>
  </si>
  <si>
    <t>BANJARMASIN SELATAN|KOTA BANJARMASIN</t>
  </si>
  <si>
    <t>BANJARMASIN TENGAH|KOTA BANJARMASIN</t>
  </si>
  <si>
    <t>BANJARMASIN TIMUR|KOTA BANJARMASIN</t>
  </si>
  <si>
    <t>BANJARMASIN UTARA|KOTA BANJARMASIN</t>
  </si>
  <si>
    <t>BANUA LAWAS|TABALONG</t>
  </si>
  <si>
    <t>PT-LANDAK</t>
  </si>
  <si>
    <t>BARABAI|HULU SUNGAI TENGAH</t>
  </si>
  <si>
    <t>BARAMBAI|BARITO KUALA</t>
  </si>
  <si>
    <t>BARONG TONGKOK|KUTAI BARAT</t>
  </si>
  <si>
    <t>PT-MELAK</t>
  </si>
  <si>
    <t>BASARANG|KAPUAS</t>
  </si>
  <si>
    <t>PT-KAPUAS</t>
  </si>
  <si>
    <t>BATAGUH|KAPUAS</t>
  </si>
  <si>
    <t>PT-KAPUAS KUALA</t>
  </si>
  <si>
    <t>BATANG ALAI SELATAN|HULU SUNGAI TENGAH</t>
  </si>
  <si>
    <t>BATANG ALAI TIMUR|HULU SUNGAI TENGAH</t>
  </si>
  <si>
    <t>BATANG ALAI UTARA|HULU SUNGAI TENGAH</t>
  </si>
  <si>
    <t>BATANG LUPAR|KAPUAS HULU</t>
  </si>
  <si>
    <t>BATI - BATI|TANAH LAUT</t>
  </si>
  <si>
    <t>BATU AMPAR|KUBU RAYA</t>
  </si>
  <si>
    <t>PT-BATU AMPAR</t>
  </si>
  <si>
    <t>BATU AMPAR|KUTAI TIMUR</t>
  </si>
  <si>
    <t>PT-SANGATTA UTARA</t>
  </si>
  <si>
    <t>BATU AMPAR|SERUYAN</t>
  </si>
  <si>
    <t>PT-SERUYAN</t>
  </si>
  <si>
    <t>BATU AMPAR|TANAH LAUT</t>
  </si>
  <si>
    <t>BATU BENAWA|HULU SUNGAI TENGAH</t>
  </si>
  <si>
    <t>BATU ENGAU|PASER</t>
  </si>
  <si>
    <t>PT-GROGOT</t>
  </si>
  <si>
    <t>BATU LICIN|TANAH BUMBU</t>
  </si>
  <si>
    <t>BATU PUTIH|BERAU</t>
  </si>
  <si>
    <t>PT-BATU PUTIH</t>
  </si>
  <si>
    <t>BATU SOPANG|PASER</t>
  </si>
  <si>
    <t>BATUMANDI|BALANGAN</t>
  </si>
  <si>
    <t>BEDUWAI|SANGGAU</t>
  </si>
  <si>
    <t>PT-KEMBAYAN</t>
  </si>
  <si>
    <t>BELANTIKAN RAYA|LAMANDAU</t>
  </si>
  <si>
    <t>BELAWANG|BARITO KUALA</t>
  </si>
  <si>
    <t>BELIMBING HULU|MELAWI</t>
  </si>
  <si>
    <t>PT-BELIMBING</t>
  </si>
  <si>
    <t>BELIMBING|MELAWI</t>
  </si>
  <si>
    <t>BELITANG HILIR|SEKADAU</t>
  </si>
  <si>
    <t>PT-BELITANG</t>
  </si>
  <si>
    <t>BELITANG HULU|SEKADAU</t>
  </si>
  <si>
    <t>BELITANG|SEKADAU</t>
  </si>
  <si>
    <t>BENGALON|KUTAI TIMUR</t>
  </si>
  <si>
    <t>PT-JAGOI BABANG</t>
  </si>
  <si>
    <t>BENTIAN BESAR|KUTAI BARAT</t>
  </si>
  <si>
    <t>BENUA KAYONG|KETAPANG</t>
  </si>
  <si>
    <t>PT-KETAPANG</t>
  </si>
  <si>
    <t>BENUA LIMA|BARITO TIMUR</t>
  </si>
  <si>
    <t>BERUNTUNG BARU|BANJAR</t>
  </si>
  <si>
    <t>BETAYAU|TANA TIDUNG</t>
  </si>
  <si>
    <t>BIATAN|BERAU</t>
  </si>
  <si>
    <t>BIKA|KAPUAS HULU</t>
  </si>
  <si>
    <t>PT-PUTUSSIBAU</t>
  </si>
  <si>
    <t>BINJAI HULU|SINTANG</t>
  </si>
  <si>
    <t>PT-SINTANG</t>
  </si>
  <si>
    <t>BINTANG ARA|TABALONG</t>
  </si>
  <si>
    <t>BINUANG|TAPIN</t>
  </si>
  <si>
    <t>BONGAN|KUTAI BARAT</t>
  </si>
  <si>
    <t>BONTANG BARAT|KOTA BONTANG</t>
  </si>
  <si>
    <t>PT-BONTANG</t>
  </si>
  <si>
    <t>BONTANG SELATAN|KOTA BONTANG</t>
  </si>
  <si>
    <t>BONTANG UTARA|KOTA BONTANG</t>
  </si>
  <si>
    <t>BONTI|SANGGAU</t>
  </si>
  <si>
    <t>PT-SANGGAU</t>
  </si>
  <si>
    <t>BOYAN TANJUNG|KAPUAS HULU</t>
  </si>
  <si>
    <t>BUKIT BATU|KOTA PALANGKARAYA</t>
  </si>
  <si>
    <t>PT-PALANGKARAYA</t>
  </si>
  <si>
    <t>BULIK TIMUR|LAMANDAU</t>
  </si>
  <si>
    <t>BULIK|LAMANDAU</t>
  </si>
  <si>
    <t>BUMI MAKMUR|TANAH LAUT</t>
  </si>
  <si>
    <t>BUNGUR|TAPIN</t>
  </si>
  <si>
    <t>BUNUT HILIR|KAPUAS HULU</t>
  </si>
  <si>
    <t>BUNUT HULU|KAPUAS HULU</t>
  </si>
  <si>
    <t>BUNYU|BULUNGAN</t>
  </si>
  <si>
    <t>PT-TANJUNG SELOR</t>
  </si>
  <si>
    <t>BUSANG|KUTAI TIMUR</t>
  </si>
  <si>
    <t>CANDI LARAS SELATAN|TAPIN</t>
  </si>
  <si>
    <t>CANDI LARAS UTARA|TAPIN</t>
  </si>
  <si>
    <t>PT-MONTERADO</t>
  </si>
  <si>
    <t>CEMPAGA HULU|KOTAWARINGIN TIMUR</t>
  </si>
  <si>
    <t>PT-PARENGGEAN</t>
  </si>
  <si>
    <t>CEMPAGA|KOTAWARINGIN TIMUR</t>
  </si>
  <si>
    <t>CEMPAKA|KOTA BANJARBARU</t>
  </si>
  <si>
    <t>CERBON|BARITO KUALA</t>
  </si>
  <si>
    <t>DADAHUP|KAPUAS</t>
  </si>
  <si>
    <t>DAHA SELATAN|HULU SUNGAI SELATAN</t>
  </si>
  <si>
    <t>DAHA UTARA|HULU SUNGAI SELATAN</t>
  </si>
  <si>
    <t>DAMAI|KUTAI BARAT</t>
  </si>
  <si>
    <t>DANAU PANGGANG|HULU SUNGAI UTARA</t>
  </si>
  <si>
    <t>DANAU SELULUK|SERUYAN</t>
  </si>
  <si>
    <t>DANAU SEMBULUH|SERUYAN</t>
  </si>
  <si>
    <t>DEDAI|SINTANG</t>
  </si>
  <si>
    <t>DELTA PAWAN|KETAPANG</t>
  </si>
  <si>
    <t>DUSUN HILIR|BARITO SELATAN</t>
  </si>
  <si>
    <t>DUSUN SELATAN|BARITO SELATAN</t>
  </si>
  <si>
    <t>DUSUN TENGAH|BARITO TIMUR</t>
  </si>
  <si>
    <t>DUSUN TIMUR|BARITO TIMUR</t>
  </si>
  <si>
    <t>DUSUN UTARA|BARITO SELATAN</t>
  </si>
  <si>
    <t>ELLA HILIR|MELAWI</t>
  </si>
  <si>
    <t>PT-MELAWI</t>
  </si>
  <si>
    <t>EMBALOH HILIR|KAPUAS HULU</t>
  </si>
  <si>
    <t>EMBALOH HULU|KAPUAS HULU</t>
  </si>
  <si>
    <t>EMPANANG|KAPUAS HULU</t>
  </si>
  <si>
    <t>ENTIKONG|SANGGAU</t>
  </si>
  <si>
    <t>GALING|SAMBAS</t>
  </si>
  <si>
    <t>PT-SAMBAS</t>
  </si>
  <si>
    <t>GAMBUT|BANJAR</t>
  </si>
  <si>
    <t>GUNUNG BINTANG AWAI|BARITO SELATAN</t>
  </si>
  <si>
    <t>GUNUNG PUREI|BARITO UTARA</t>
  </si>
  <si>
    <t>PT-NORTH BARITO</t>
  </si>
  <si>
    <t>GUNUNG TABUR|BERAU</t>
  </si>
  <si>
    <t>GUNUNG TIMANG|BARITO UTARA</t>
  </si>
  <si>
    <t>HALONG|BALANGAN</t>
  </si>
  <si>
    <t>HANAU|SERUYAN</t>
  </si>
  <si>
    <t>HANTAKAN|HULU SUNGAI TENGAH</t>
  </si>
  <si>
    <t>HARUAI|TABALONG</t>
  </si>
  <si>
    <t>HARUYAN|HULU SUNGAI TENGAH</t>
  </si>
  <si>
    <t>HATUNGUN|TAPIN</t>
  </si>
  <si>
    <t>HAUR GADING|HULU SUNGAI UTARA</t>
  </si>
  <si>
    <t>HULU GURUNG|KAPUAS HULU</t>
  </si>
  <si>
    <t>HULU SUNGAI|KETAPANG</t>
  </si>
  <si>
    <t>PT-SANDAI</t>
  </si>
  <si>
    <t>JABIREN RAYA|PULANG PISAU</t>
  </si>
  <si>
    <t>JANGKANG|SANGGAU</t>
  </si>
  <si>
    <t>JARO|TABALONG</t>
  </si>
  <si>
    <t>JAWAI SELATAN|SAMBAS</t>
  </si>
  <si>
    <t>PT-JAWAI</t>
  </si>
  <si>
    <t>JAWAI|SAMBAS</t>
  </si>
  <si>
    <t>JEJANGKIT|BARITO KUALA</t>
  </si>
  <si>
    <t>JEKAN RAYA|KOTA PALANGKARAYA</t>
  </si>
  <si>
    <t>JELAI HULU|KETAPANG</t>
  </si>
  <si>
    <t>JELAI|SUKAMARA</t>
  </si>
  <si>
    <t>JELIMPO|LANDAK</t>
  </si>
  <si>
    <t>JEMPANG|KUTAI BARAT</t>
  </si>
  <si>
    <t>JENAMAS|BARITO SELATAN</t>
  </si>
  <si>
    <t>JONGKONG|KAPUAS HULU</t>
  </si>
  <si>
    <t>JORONG|TANAH LAUT</t>
  </si>
  <si>
    <t>JUAI|BALANGAN</t>
  </si>
  <si>
    <t>KAHAYAN HILIR|PULANG PISAU</t>
  </si>
  <si>
    <t>KAHAYAN KUALA|PULANG PISAU</t>
  </si>
  <si>
    <t>KAHAYAN TENGAH|PULANG PISAU</t>
  </si>
  <si>
    <t>KALIORANG|KUTAI TIMUR</t>
  </si>
  <si>
    <t>KALIS|KAPUAS HULU</t>
  </si>
  <si>
    <t>KALUMPANG|HULU SUNGAI SELATAN</t>
  </si>
  <si>
    <t>KAMIPANG|KATINGAN</t>
  </si>
  <si>
    <t>PT-BUKIT RAYA</t>
  </si>
  <si>
    <t>KANDANGAN|HULU SUNGAI SELATAN</t>
  </si>
  <si>
    <t>KAPUAS BARAT|KAPUAS</t>
  </si>
  <si>
    <t>KAPUAS HILIR|KAPUAS</t>
  </si>
  <si>
    <t>KAPUAS KUALA|KAPUAS</t>
  </si>
  <si>
    <t>KAPUAS MURUNG|KAPUAS</t>
  </si>
  <si>
    <t>KAPUAS TIMUR|KAPUAS</t>
  </si>
  <si>
    <t>KAPUAS|SANGGAU</t>
  </si>
  <si>
    <t>KARANG BINTANG|TANAH BUMBU</t>
  </si>
  <si>
    <t>KARANG INTAN|BANJAR</t>
  </si>
  <si>
    <t>KARANGAN|KUTAI TIMUR</t>
  </si>
  <si>
    <t>KARAU KUALA|BARITO SELATAN</t>
  </si>
  <si>
    <t>KARUSEN JANANG|BARITO TIMUR</t>
  </si>
  <si>
    <t>KATINGAN HILIR|KATINGAN</t>
  </si>
  <si>
    <t>KATINGAN KUALA|KATINGAN</t>
  </si>
  <si>
    <t>KATINGAN TENGAH|KATINGAN</t>
  </si>
  <si>
    <t>KAUBUN|KUTAI TIMUR</t>
  </si>
  <si>
    <t>KAYAN HILIR|SINTANG</t>
  </si>
  <si>
    <t>KAYAN HULU|SINTANG</t>
  </si>
  <si>
    <t>KAYAN SELATAN|MALINAU</t>
  </si>
  <si>
    <t>KELAM PERMAI|SINTANG</t>
  </si>
  <si>
    <t>KELUA|TABALONG</t>
  </si>
  <si>
    <t>KELUMPANG BARAT|KOTABARU</t>
  </si>
  <si>
    <t>PT-KOTABARU</t>
  </si>
  <si>
    <t>KELUMPANG HILIR|KOTABARU</t>
  </si>
  <si>
    <t>KELUMPANG HULU|KOTABARU</t>
  </si>
  <si>
    <t>KELUMPANG SELATAN|KOTABARU</t>
  </si>
  <si>
    <t>KELUMPANG TENGAH|KOTABARU</t>
  </si>
  <si>
    <t>KELUMPANG UTARA|KOTABARU</t>
  </si>
  <si>
    <t>KEMBANG JANGGUT|KUTAI KARTANEGARA</t>
  </si>
  <si>
    <t>PT-MUARA KAMAN</t>
  </si>
  <si>
    <t>KEMBAYAN|SANGGAU</t>
  </si>
  <si>
    <t>KENDAWANGAN|KETAPANG</t>
  </si>
  <si>
    <t>PT-KENDAWANGAN</t>
  </si>
  <si>
    <t>KENOHAN|KUTAI KARTANEGARA</t>
  </si>
  <si>
    <t>KERTAK HANYAR|BANJAR</t>
  </si>
  <si>
    <t>KETUNGAU HILIR|SINTANG</t>
  </si>
  <si>
    <t>KETUNGAU TENGAH|SINTANG</t>
  </si>
  <si>
    <t>KINTAP|TANAH LAUT</t>
  </si>
  <si>
    <t>KONGBENG|KUTAI TIMUR</t>
  </si>
  <si>
    <t>KOTA BANGUN|KUTAI KARTANEGARA</t>
  </si>
  <si>
    <t>KOTA BESI|KOTAWARINGIN TIMUR</t>
  </si>
  <si>
    <t>KOTAWARINGIN LAMA|KOTAWARINGIN BARAT</t>
  </si>
  <si>
    <t>KRAYAN BARAT|NUNUKAN</t>
  </si>
  <si>
    <t>PT-NUNUKAN</t>
  </si>
  <si>
    <t>KUALA BEHE|LANDAK</t>
  </si>
  <si>
    <t>KUALA MANDOR-B|KUBU RAYA</t>
  </si>
  <si>
    <t>PT-KUBU RAYA</t>
  </si>
  <si>
    <t>KUARO|PASER</t>
  </si>
  <si>
    <t>KUBU|KUBU RAYA</t>
  </si>
  <si>
    <t>KUMAI|KOTAWARINGIN BARAT</t>
  </si>
  <si>
    <t>KURANJI|TANAH BUMBU</t>
  </si>
  <si>
    <t>KURAU|TANAH LAUT</t>
  </si>
  <si>
    <t>KURIPAN|BARITO KUALA</t>
  </si>
  <si>
    <t>KURUN|GUNUNG MAS</t>
  </si>
  <si>
    <t>PT-RUNGAN</t>
  </si>
  <si>
    <t>KUSAN HILIR|TANAH BUMBU</t>
  </si>
  <si>
    <t>KUSAN HULU|TANAH BUMBU</t>
  </si>
  <si>
    <t>LABUAN AMAS SELATAN|HULU SUNGAI TENGAH</t>
  </si>
  <si>
    <t>LABUAN AMAS UTARA|HULU SUNGAI TENGAH</t>
  </si>
  <si>
    <t>LAHAM|MAHAKAM ULU</t>
  </si>
  <si>
    <t>LAHEI BARAT|BARITO UTARA</t>
  </si>
  <si>
    <t>LAHEI|BARITO UTARA</t>
  </si>
  <si>
    <t>LAMPIHONG|BALANGAN</t>
  </si>
  <si>
    <t>LANDASAN ULIN|KOTA BANJARBARU</t>
  </si>
  <si>
    <t>LAUNG TUHUP|MURUNG RAYA</t>
  </si>
  <si>
    <t>LIANG ANGGANG|KOTA BANJARBARU</t>
  </si>
  <si>
    <t>LIMPASU|HULU SUNGAI TENGAH</t>
  </si>
  <si>
    <t>LINGGANG BIGUNG|KUTAI BARAT</t>
  </si>
  <si>
    <t>LOA JANAN ILIR|KOTA SAMARINDA</t>
  </si>
  <si>
    <t>PT-SAMARINDA</t>
  </si>
  <si>
    <t>LOA JANAN|KUTAI KARTANEGARA</t>
  </si>
  <si>
    <t>LOA KULU|KUTAI KARTANEGARA</t>
  </si>
  <si>
    <t>LOKPAIKAT|TAPIN</t>
  </si>
  <si>
    <t>LOKSADO|HULU SUNGAI SELATAN</t>
  </si>
  <si>
    <t>LONG APARI|MAHAKAM ULU</t>
  </si>
  <si>
    <t>LONG BAGUN|MAHAKAM ULU</t>
  </si>
  <si>
    <t>LONG HUBUNG|MAHAKAM ULU</t>
  </si>
  <si>
    <t>LONG IKIS|PASER</t>
  </si>
  <si>
    <t>LONG IRAM|KUTAI BARAT</t>
  </si>
  <si>
    <t>LONG KALI|PASER</t>
  </si>
  <si>
    <t>LONG MESANGAT|KUTAI TIMUR</t>
  </si>
  <si>
    <t>LONG PAHANGAI|MAHAKAM ULU</t>
  </si>
  <si>
    <t>LUMBIS|NUNUKAN</t>
  </si>
  <si>
    <t>MALIKU|PULANG PISAU</t>
  </si>
  <si>
    <t>MALINAU BARAT|MALINAU</t>
  </si>
  <si>
    <t>MALINAU KOTA|MALINAU</t>
  </si>
  <si>
    <t>MALINAU SELATAN HILIR|MALINAU</t>
  </si>
  <si>
    <t>MALINAU SELATAN HULU|MALINAU</t>
  </si>
  <si>
    <t>MALINAU SELATAN|MALINAU</t>
  </si>
  <si>
    <t>MALINAU UTARA|MALINAU</t>
  </si>
  <si>
    <t>MANDASTANA|BARITO KUALA</t>
  </si>
  <si>
    <t>MANDAU TALAWANG|KAPUAS</t>
  </si>
  <si>
    <t>MANDOR|LANDAK</t>
  </si>
  <si>
    <t>PT-MANDOR</t>
  </si>
  <si>
    <t>MANIS MATA|KETAPANG</t>
  </si>
  <si>
    <t>MANTANGAI|KAPUAS</t>
  </si>
  <si>
    <t>MANTEWE|TANAH BUMBU</t>
  </si>
  <si>
    <t>MANUHING RAYA|GUNUNG MAS</t>
  </si>
  <si>
    <t>MANUHING|GUNUNG MAS</t>
  </si>
  <si>
    <t>MARABAHAN|BARITO KUALA</t>
  </si>
  <si>
    <t>MARANG KAYU|KUTAI KARTANEGARA</t>
  </si>
  <si>
    <t>MARAU|KETAPANG</t>
  </si>
  <si>
    <t>MARTAPURA BARAT|BANJAR</t>
  </si>
  <si>
    <t>MARTAPURA TIMUR|BANJAR</t>
  </si>
  <si>
    <t>MARTAPURA|BANJAR</t>
  </si>
  <si>
    <t>MATAN HILIR SELATAN|KETAPANG</t>
  </si>
  <si>
    <t>MATAN HILIR UTARA|KETAPANG</t>
  </si>
  <si>
    <t>PT-MUARA PAWAN</t>
  </si>
  <si>
    <t>MATARAMAN|BANJAR</t>
  </si>
  <si>
    <t>MEKAR SARI|BARITO KUALA</t>
  </si>
  <si>
    <t>MELAK|KUTAI BARAT</t>
  </si>
  <si>
    <t>MELIAU|SANGGAU</t>
  </si>
  <si>
    <t>PT-MELIAU</t>
  </si>
  <si>
    <t>MEMPAWAH HILIR|MEMPAWAH</t>
  </si>
  <si>
    <t>MEMPAWAH HULU|LANDAK</t>
  </si>
  <si>
    <t>MEMPAWAH TIMUR|MEMPAWAH</t>
  </si>
  <si>
    <t>MENDAWAI|KATINGAN</t>
  </si>
  <si>
    <t>MENJALIN|LANDAK</t>
  </si>
  <si>
    <t>MENTARANG HULU|MALINAU</t>
  </si>
  <si>
    <t>MENTARANG|MALINAU</t>
  </si>
  <si>
    <t>MENTAWA BARU KETAPANG|KOTAWARINGIN TIMUR</t>
  </si>
  <si>
    <t>MENTAYA HILIR SELATAN|KOTAWARINGIN TIMUR</t>
  </si>
  <si>
    <t>MENTAYA HILIR UTARA|KOTAWARINGIN TIMUR</t>
  </si>
  <si>
    <t>MENTAYA HULU|KOTAWARINGIN TIMUR</t>
  </si>
  <si>
    <t>MENTEBAH|KAPUAS HULU</t>
  </si>
  <si>
    <t>MENTHOBI RAYA|LAMANDAU</t>
  </si>
  <si>
    <t>MENUKUNG|MELAWI</t>
  </si>
  <si>
    <t>MENYUKE|LANDAK</t>
  </si>
  <si>
    <t>MIHING RAYA|GUNUNG MAS</t>
  </si>
  <si>
    <t>MONTALLAT|BARITO UTARA</t>
  </si>
  <si>
    <t>MOOK MANAAR BULATN|KUTAI BARAT</t>
  </si>
  <si>
    <t>MUARA ANCALONG|KUTAI TIMUR</t>
  </si>
  <si>
    <t>MUARA BADAK|KUTAI KARTANEGARA</t>
  </si>
  <si>
    <t>MUARA BENGKAL|KUTAI TIMUR</t>
  </si>
  <si>
    <t>MUARA HARUS|TABALONG</t>
  </si>
  <si>
    <t>MUARA JAWA|KUTAI KARTANEGARA</t>
  </si>
  <si>
    <t>PT-SAMBOJA</t>
  </si>
  <si>
    <t>MUARA KAMAN|KUTAI KARTANEGARA</t>
  </si>
  <si>
    <t>PT-SEBULU</t>
  </si>
  <si>
    <t>MUARA KOMAM|PASER</t>
  </si>
  <si>
    <t>MUARA LAWA|KUTAI BARAT</t>
  </si>
  <si>
    <t>MUARA MUNTAI|KUTAI KARTANEGARA</t>
  </si>
  <si>
    <t>MUARA PAHU|KUTAI BARAT</t>
  </si>
  <si>
    <t>MUARA PAWAN|KETAPANG</t>
  </si>
  <si>
    <t>MUARA SAMU|PASER</t>
  </si>
  <si>
    <t>MUARA UYA|TABALONG</t>
  </si>
  <si>
    <t>MUARA WAHAU|KUTAI TIMUR</t>
  </si>
  <si>
    <t>MUARA WIS|KUTAI KARTANEGARA</t>
  </si>
  <si>
    <t>MUKOK|SANGGAU</t>
  </si>
  <si>
    <t>MURUNG PUDAK|TABALONG</t>
  </si>
  <si>
    <t>MURUNG|MURUNG RAYA</t>
  </si>
  <si>
    <t>NANGA MAHAP|SEKADAU</t>
  </si>
  <si>
    <t>PT-SEKADAU</t>
  </si>
  <si>
    <t>NANGA PINOH|MELAWI</t>
  </si>
  <si>
    <t>NANGA TAMAN|SEKADAU</t>
  </si>
  <si>
    <t>NANGA TAYAP|KETAPANG</t>
  </si>
  <si>
    <t>NGABANG|LANDAK</t>
  </si>
  <si>
    <t>NOYAN|SANGGAU</t>
  </si>
  <si>
    <t>NUNUKAN SELATAN|NUNUKAN</t>
  </si>
  <si>
    <t>NUNUKAN|NUNUKAN</t>
  </si>
  <si>
    <t>NYUATAN|KUTAI BARAT</t>
  </si>
  <si>
    <t>PADANG BATUNG|HULU SUNGAI SELATAN</t>
  </si>
  <si>
    <t>PAHANDUT|KOTA PALANGKARAYA</t>
  </si>
  <si>
    <t>PAJU EPAT|BARITO TIMUR</t>
  </si>
  <si>
    <t>PAKU|BARITO TIMUR</t>
  </si>
  <si>
    <t>PALARAN|KOTA SAMARINDA</t>
  </si>
  <si>
    <t>PALOH|SAMBAS</t>
  </si>
  <si>
    <t>PAMUKAN BARAT|KOTABARU</t>
  </si>
  <si>
    <t>PAMUKAN SELATAN|KOTABARU</t>
  </si>
  <si>
    <t>PAMUKAN UTARA|KOTABARU</t>
  </si>
  <si>
    <t>PANDAWAN|HULU SUNGAI TENGAH</t>
  </si>
  <si>
    <t>PANDIH BATU|PULANG PISAU</t>
  </si>
  <si>
    <t>PANGKALAN BANTENG|KOTAWARINGIN BARAT</t>
  </si>
  <si>
    <t>PANGKALAN LADA|KOTAWARINGIN BARAT</t>
  </si>
  <si>
    <t>PANTAI LUNCI|SUKAMARA</t>
  </si>
  <si>
    <t>PANYIPATAN|TANAH LAUT</t>
  </si>
  <si>
    <t>PARAMASAN|BANJAR</t>
  </si>
  <si>
    <t>PARENGGEAN|KOTAWARINGIN TIMUR</t>
  </si>
  <si>
    <t>PARINDU|SANGGAU</t>
  </si>
  <si>
    <t>PARINGIN SELATAN|BALANGAN</t>
  </si>
  <si>
    <t>PARINGIN|BALANGAN</t>
  </si>
  <si>
    <t>PASAK TALAWANG|KAPUAS</t>
  </si>
  <si>
    <t>PASER BELENGKONG|PASER</t>
  </si>
  <si>
    <t>PATANGKEP TUTUI|BARITO TIMUR</t>
  </si>
  <si>
    <t>PELAIHARI|TANAH LAUT</t>
  </si>
  <si>
    <t>PEMAHAN|KETAPANG</t>
  </si>
  <si>
    <t>PEMANGKAT|SAMBAS</t>
  </si>
  <si>
    <t>PT-PEMANGKAT</t>
  </si>
  <si>
    <t>PEMATANG KARAU|BARITO TIMUR</t>
  </si>
  <si>
    <t>PENAJAM|PENAJAM PASER UTARA</t>
  </si>
  <si>
    <t>PENGARON|BANJAR</t>
  </si>
  <si>
    <t>PENGKADAN|KAPUAS HULU</t>
  </si>
  <si>
    <t>PENYINGGAHAN|KUTAI BARAT</t>
  </si>
  <si>
    <t>PERMATA INTAN|MURUNG RAYA</t>
  </si>
  <si>
    <t>PERMATA KECUBUNG|SUKAMARA</t>
  </si>
  <si>
    <t>PIANI|TAPIN</t>
  </si>
  <si>
    <t>PINOH UTARA|MELAWI</t>
  </si>
  <si>
    <t>PONTIANAK BARAT|KOTA PONTIANAK</t>
  </si>
  <si>
    <t>PT-PONTIANAK</t>
  </si>
  <si>
    <t>PONTIANAK KOTA|KOTA PONTIANAK</t>
  </si>
  <si>
    <t>PONTIANAK SELATAN|KOTA PONTIANAK</t>
  </si>
  <si>
    <t>PONTIANAK TENGGARA|KOTA PONTIANAK</t>
  </si>
  <si>
    <t>PONTIANAK TIMUR|KOTA PONTIANAK</t>
  </si>
  <si>
    <t>PONTIANAK UTARA|KOTA PONTIANAK</t>
  </si>
  <si>
    <t>PUGAAN|TABALONG</t>
  </si>
  <si>
    <t>PUJUNGAN|MALINAU</t>
  </si>
  <si>
    <t>PULAU DERAWAN|BERAU</t>
  </si>
  <si>
    <t>PULAU HANAUT|KOTAWARINGIN TIMUR</t>
  </si>
  <si>
    <t>PULAU LAUT BARAT|KOTABARU</t>
  </si>
  <si>
    <t>PT-PULAU LAUT UTARA</t>
  </si>
  <si>
    <t>PULAU LAUT KEPULAUAN|KOTABARU</t>
  </si>
  <si>
    <t>PULAU LAUT SELATAN|KOTABARU</t>
  </si>
  <si>
    <t>PULAU LAUT TANJUNG SELAYAR|KOTABARU</t>
  </si>
  <si>
    <t>PULAU LAUT TENGAH|KOTABARU</t>
  </si>
  <si>
    <t>PULAU LAUT TIMUR|KOTABARU</t>
  </si>
  <si>
    <t>PULAU LAUT UTARA|KOTABARU</t>
  </si>
  <si>
    <t>PULAU MALAN|KATINGAN</t>
  </si>
  <si>
    <t>PULAU MAYA|KAYONG UTARA</t>
  </si>
  <si>
    <t>PT-KAYONG UTARA</t>
  </si>
  <si>
    <t>PULAU PETAK|KAPUAS</t>
  </si>
  <si>
    <t>PULAU SEBUKU|KOTABARU</t>
  </si>
  <si>
    <t>PUTUSSIBAU SELATAN|KAPUAS HULU</t>
  </si>
  <si>
    <t>PUTUSSIBAU UTARA|KAPUAS HULU</t>
  </si>
  <si>
    <t>RANTAU BADAUH|BARITO KUALA</t>
  </si>
  <si>
    <t>RANTAU PULUNG|KUTAI TIMUR</t>
  </si>
  <si>
    <t>RAREN BATUAH|BARITO TIMUR</t>
  </si>
  <si>
    <t>RASAU JAYA|KUBU RAYA</t>
  </si>
  <si>
    <t>RUNGAN|GUNUNG MAS</t>
  </si>
  <si>
    <t>SABANGAU|KOTA PALANGKARAYA</t>
  </si>
  <si>
    <t>SAJAD|SAMBAS</t>
  </si>
  <si>
    <t>SAJINGAN BESAR|SAMBAS</t>
  </si>
  <si>
    <t>SALAM BABARIS|TAPIN</t>
  </si>
  <si>
    <t>SALATIGA|SAMBAS</t>
  </si>
  <si>
    <t>SAMARINDA ILIR|KOTA SAMARINDA</t>
  </si>
  <si>
    <t>SAMARINDA KOTA|KOTA SAMARINDA</t>
  </si>
  <si>
    <t>SAMARINDA SEBERANG|KOTA SAMARINDA</t>
  </si>
  <si>
    <t>SAMARINDA ULU|KOTA SAMARINDA</t>
  </si>
  <si>
    <t>SAMARINDA UTARA|KOTA SAMARINDA</t>
  </si>
  <si>
    <t>SAMBALIUNG|BERAU</t>
  </si>
  <si>
    <t>SAMBAS|SAMBAS</t>
  </si>
  <si>
    <t>SAMBOJA|KUTAI KARTANEGARA</t>
  </si>
  <si>
    <t>SAMBUNG MAKMUR|BANJAR</t>
  </si>
  <si>
    <t>SAMBUTAN|KOTA SAMARINDA</t>
  </si>
  <si>
    <t>SAMPANAHAN|KOTABARU</t>
  </si>
  <si>
    <t>SANAMAN MANTIKEI|KATINGAN</t>
  </si>
  <si>
    <t>SANDAI|KETAPANG</t>
  </si>
  <si>
    <t>SANDARAN|KUTAI TIMUR</t>
  </si>
  <si>
    <t>SANGASANGA|KUTAI KARTANEGARA</t>
  </si>
  <si>
    <t>SANGATTA SELATAN|KUTAI TIMUR</t>
  </si>
  <si>
    <t>SANGATTA UTARA|KUTAI TIMUR</t>
  </si>
  <si>
    <t>SANGKULIRANG|KUTAI TIMUR</t>
  </si>
  <si>
    <t>SATUI|TANAH BUMBU</t>
  </si>
  <si>
    <t>SEBANGKI|LANDAK</t>
  </si>
  <si>
    <t>SEBATIK BARAT|NUNUKAN</t>
  </si>
  <si>
    <t>SEBATIK TIMUR|NUNUKAN</t>
  </si>
  <si>
    <t>SEBATIK UTARA|NUNUKAN</t>
  </si>
  <si>
    <t>SEBATIK|NUNUKAN</t>
  </si>
  <si>
    <t>SEBAWI|SAMBAS</t>
  </si>
  <si>
    <t>SEBERUANG|KAPUAS HULU</t>
  </si>
  <si>
    <t>SEBUKU|NUNUKAN</t>
  </si>
  <si>
    <t>SEBULU|KUTAI KARTANEGARA</t>
  </si>
  <si>
    <t>SEGAH|BERAU</t>
  </si>
  <si>
    <t>SEGEDONG|MEMPAWAH</t>
  </si>
  <si>
    <t>SEJANGKUNG|SAMBAS</t>
  </si>
  <si>
    <t>SEKADAU HILIR|SEKADAU</t>
  </si>
  <si>
    <t>SEKADAU HULU|SEKADAU</t>
  </si>
  <si>
    <t>SEKAYAM|SANGGAU</t>
  </si>
  <si>
    <t>SEKOLAQ DARAT|KUTAI BARAT</t>
  </si>
  <si>
    <t>SELAKAU TIMUR|SAMBAS</t>
  </si>
  <si>
    <t>SELAKAU|SAMBAS</t>
  </si>
  <si>
    <t>SELAT|KAPUAS</t>
  </si>
  <si>
    <t>SELIMBAU|KAPUAS HULU</t>
  </si>
  <si>
    <t>SEMATU JAYA|LAMANDAU</t>
  </si>
  <si>
    <t>SEMBAKUNG ATULAI|NUNUKAN</t>
  </si>
  <si>
    <t>SEMBAKUNG|NUNUKAN</t>
  </si>
  <si>
    <t>SEMITAU|KAPUAS HULU</t>
  </si>
  <si>
    <t>SEMPARUK|SAMBAS</t>
  </si>
  <si>
    <t>SENGAH TEMILA|LANDAK</t>
  </si>
  <si>
    <t>SEPAKU|PENAJAM PASER UTARA</t>
  </si>
  <si>
    <t>SEPANG SIMIN|GUNUNG MAS</t>
  </si>
  <si>
    <t>SEPAUK|SINTANG</t>
  </si>
  <si>
    <t>SEPONTI|KAYONG UTARA</t>
  </si>
  <si>
    <t>SERANAU|KOTAWARINGIN TIMUR</t>
  </si>
  <si>
    <t>SERAWAI|SINTANG</t>
  </si>
  <si>
    <t>SERIBU RIAM|MURUNG RAYA</t>
  </si>
  <si>
    <t>SERUYAN HILIR TIMUR|SERUYAN</t>
  </si>
  <si>
    <t>SERUYAN HILIR|SERUYAN</t>
  </si>
  <si>
    <t>SERUYAN RAYA|SERUYAN</t>
  </si>
  <si>
    <t>SERUYAN TENGAH|SERUYAN</t>
  </si>
  <si>
    <t>SESAYAP HILIR|TANA TIDUNG</t>
  </si>
  <si>
    <t>SESAYAP|TANA TIDUNG</t>
  </si>
  <si>
    <t>SIANTAN|MEMPAWAH</t>
  </si>
  <si>
    <t>SILAT HILIR|KAPUAS HULU</t>
  </si>
  <si>
    <t>PT-SILAT HILIR</t>
  </si>
  <si>
    <t>SILAT HULU|KAPUAS HULU</t>
  </si>
  <si>
    <t>SILUQ NGURAI|KUTAI BARAT</t>
  </si>
  <si>
    <t>SIMPANG EMPAT|BANJAR</t>
  </si>
  <si>
    <t>SIMPANG EMPAT|TANAH BUMBU</t>
  </si>
  <si>
    <t>SIMPANG HILIR|KAYONG UTARA</t>
  </si>
  <si>
    <t>SIMPANG HULU|KETAPANG</t>
  </si>
  <si>
    <t>SIMPUR|HULU SUNGAI SELATAN</t>
  </si>
  <si>
    <t>SINGKAWANG BARAT|KOTA SINGKAWANG</t>
  </si>
  <si>
    <t>PT-SINGKAWANG</t>
  </si>
  <si>
    <t>SINGKAWANG SELATAN|KOTA SINGKAWANG</t>
  </si>
  <si>
    <t>SINGKAWANG TENGAH|KOTA SINGKAWANG</t>
  </si>
  <si>
    <t>SINGKAWANG TIMUR|KOTA SINGKAWANG</t>
  </si>
  <si>
    <t>SINGKAWANG UTARA|KOTA SINGKAWANG</t>
  </si>
  <si>
    <t>SINGKUP|KETAPANG</t>
  </si>
  <si>
    <t>SINTANG|SINTANG</t>
  </si>
  <si>
    <t>SUBAH|SAMBAS</t>
  </si>
  <si>
    <t>SUHAID|KAPUAS HULU</t>
  </si>
  <si>
    <t>SUKADANA|KAYONG UTARA</t>
  </si>
  <si>
    <t>SUKAMARA|SUKAMARA</t>
  </si>
  <si>
    <t>SUNGAI AMBAWANG|KUBU RAYA</t>
  </si>
  <si>
    <t>SUNGAI BOH|MALINAU</t>
  </si>
  <si>
    <t>SUNGAI DURIAN|KOTABARU</t>
  </si>
  <si>
    <t>SUNGAI KAKAP|KUBU RAYA</t>
  </si>
  <si>
    <t>SUNGAI KUNJANG|KOTA SAMARINDA</t>
  </si>
  <si>
    <t>SUNGAI KUNYIT|MEMPAWAH</t>
  </si>
  <si>
    <t>SUNGAI LAUR|KETAPANG</t>
  </si>
  <si>
    <t>SUNGAI LOBAN|TANAH BUMBU</t>
  </si>
  <si>
    <t>SUNGAI MELAYU RAYAK|KETAPANG</t>
  </si>
  <si>
    <t>SUNGAI PANDAN|HULU SUNGAI UTARA</t>
  </si>
  <si>
    <t>SUNGAI PINANG|BANJAR</t>
  </si>
  <si>
    <t>SUNGAI PINANG|KOTA SAMARINDA</t>
  </si>
  <si>
    <t>SUNGAI PINYUH|MEMPAWAH</t>
  </si>
  <si>
    <t>SUNGAI RAYA|HULU SUNGAI SELATAN</t>
  </si>
  <si>
    <t>SUNGAI RAYA|KUBU RAYA</t>
  </si>
  <si>
    <t>SUNGAI TABUK|BANJAR</t>
  </si>
  <si>
    <t>SUNGAI TABUKAN|HULU SUNGAI UTARA</t>
  </si>
  <si>
    <t>SUNGAI TEBELIAN|SINTANG</t>
  </si>
  <si>
    <t>SUNGAI TUBU|MALINAU</t>
  </si>
  <si>
    <t>TABALAR|BERAU</t>
  </si>
  <si>
    <t>TABANG|KUTAI KARTANEGARA</t>
  </si>
  <si>
    <t>TABUKAN|BARITO KUALA</t>
  </si>
  <si>
    <t>TABUNGANEN|BARITO KUALA</t>
  </si>
  <si>
    <t>TAKISUNG|TANAH LAUT</t>
  </si>
  <si>
    <t>TALISAYAN|BERAU</t>
  </si>
  <si>
    <t>TAMBAN CATUR|KAPUAS</t>
  </si>
  <si>
    <t>TAMBAN|BARITO KUALA</t>
  </si>
  <si>
    <t>TAMBANG ULANG|TANAH LAUT</t>
  </si>
  <si>
    <t>TANA LIA|TANA TIDUNG</t>
  </si>
  <si>
    <t>TANAH GROGOT|PASER</t>
  </si>
  <si>
    <t>TANAH SIANG SELATAN|MURUNG RAYA</t>
  </si>
  <si>
    <t>TANAH SIANG|MURUNG RAYA</t>
  </si>
  <si>
    <t>TANGARAN|SAMBAS</t>
  </si>
  <si>
    <t>TANJUNG HARAPAN|PASER</t>
  </si>
  <si>
    <t>TANJUNG PALAS TENGAH|BULUNGAN</t>
  </si>
  <si>
    <t>TANJUNG PALAS TIMUR|BULUNGAN</t>
  </si>
  <si>
    <t>TANJUNG PALAS UTARA|BULUNGAN</t>
  </si>
  <si>
    <t>TANJUNG PALAS|BULUNGAN</t>
  </si>
  <si>
    <t>TANJUNG REDEB|BERAU</t>
  </si>
  <si>
    <t>TANJUNG SELOR|BULUNGAN</t>
  </si>
  <si>
    <t>TANJUNG|TABALONG</t>
  </si>
  <si>
    <t>TANTA|TABALONG</t>
  </si>
  <si>
    <t>TAPIN SELATAN|TAPIN</t>
  </si>
  <si>
    <t>TAPIN TENGAH|TAPIN</t>
  </si>
  <si>
    <t>TAPIN UTARA|TAPIN</t>
  </si>
  <si>
    <t>TARAKAN BARAT|KOTA TARAKAN</t>
  </si>
  <si>
    <t>PT-TARAKAN BARAT</t>
  </si>
  <si>
    <t>TARAKAN TENGAH|KOTA TARAKAN</t>
  </si>
  <si>
    <t>TARAKAN TIMUR|KOTA TARAKAN</t>
  </si>
  <si>
    <t>TARAKAN UTARA|KOTA TARAKAN</t>
  </si>
  <si>
    <t>TASIK PAYAWAN|KATINGAN</t>
  </si>
  <si>
    <t>TATAH MAKMUR|BANJAR</t>
  </si>
  <si>
    <t>TAYAN HILIR|SANGGAU</t>
  </si>
  <si>
    <t>TAYAN HULU|SANGGAU</t>
  </si>
  <si>
    <t>TEBAS|SAMBAS</t>
  </si>
  <si>
    <t>TEBING TINGGI|BALANGAN</t>
  </si>
  <si>
    <t>TEKARANG|SAMBAS</t>
  </si>
  <si>
    <t>TELAGA ANTANG|KOTAWARINGIN TIMUR</t>
  </si>
  <si>
    <t>TELAGA BAUNTUNG|BANJAR</t>
  </si>
  <si>
    <t>TELAGA LANGSAT|HULU SUNGAI SELATAN</t>
  </si>
  <si>
    <t>TELAWANG|KOTAWARINGIN TIMUR</t>
  </si>
  <si>
    <t>TELEN|KUTAI TIMUR</t>
  </si>
  <si>
    <t>TELUK BATANG|KAYONG UTARA</t>
  </si>
  <si>
    <t>TELUK BAYUR|BERAU</t>
  </si>
  <si>
    <t>TELUK KERAMAT|SAMBAS</t>
  </si>
  <si>
    <t>TELUK PAKEDAI|KUBU RAYA</t>
  </si>
  <si>
    <t>TELUK PANDAN|KUTAI TIMUR</t>
  </si>
  <si>
    <t>TELUK SAMPIT|KOTAWARINGIN TIMUR</t>
  </si>
  <si>
    <t>TEMPUNAK|SINTANG</t>
  </si>
  <si>
    <t>TENGGARONG SEBERANG|KUTAI KARTANEGARA</t>
  </si>
  <si>
    <t>TENGGARONG|KUTAI KARTANEGARA</t>
  </si>
  <si>
    <t>TERENTANG|KUBU RAYA</t>
  </si>
  <si>
    <t>TERING|KUTAI BARAT</t>
  </si>
  <si>
    <t>TEWAH|GUNUNG MAS</t>
  </si>
  <si>
    <t>TEWANG SANGALANG GARING|KATINGAN</t>
  </si>
  <si>
    <t>TEWEH BARU|BARITO UTARA</t>
  </si>
  <si>
    <t>TEWEH SELATAN|BARITO UTARA</t>
  </si>
  <si>
    <t>TEWEH TENGAH|BARITO UTARA</t>
  </si>
  <si>
    <t>TEWEH TIMUR|BARITO UTARA</t>
  </si>
  <si>
    <t>TOBA|SANGGAU</t>
  </si>
  <si>
    <t>TOHO|MEMPAWAH</t>
  </si>
  <si>
    <t>TUALAN HULU|KOTAWARINGIN TIMUR</t>
  </si>
  <si>
    <t>TULIN ONSOI|NUNUKAN</t>
  </si>
  <si>
    <t>TUMBANG TITI|KETAPANG</t>
  </si>
  <si>
    <t>UPAU|TABALONG</t>
  </si>
  <si>
    <t>WANARAYA|BARITO KUALA</t>
  </si>
  <si>
    <t>WARU|PENAJAM PASER UTARA</t>
  </si>
  <si>
    <t>Total</t>
  </si>
  <si>
    <t>SEKATAK|BULUNGAN</t>
  </si>
  <si>
    <t>MURUK RIAN|TANA TIDUNG</t>
  </si>
  <si>
    <t>RGUGA TRADE MTD</t>
  </si>
  <si>
    <t>RGUGA TRADE LMTD</t>
  </si>
  <si>
    <t>BATANG KAWA|LAMANDAU</t>
  </si>
  <si>
    <t>RAKUMPIT|KOTA PALANGKARAYA</t>
  </si>
  <si>
    <t>TANJUNG PALAS BARAT|BULUNGAN</t>
  </si>
  <si>
    <t>BUKIT SANTUAI|KOTAWARINGIN TIMUR</t>
  </si>
  <si>
    <t>SERUYAN HULU|SERUYAN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</si>
</sst>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9" x14ac:knownFonts="1">
    <font>
      <sz val="11"/>
      <color theme="1"/>
      <name val="Calibri"/>
      <family val="2"/>
      <scheme val="minor"/>
    </font>
    <font>
      <sz val="14"/>
      <color indexed="8"/>
      <name val="Century Gothic"/>
      <family val="2"/>
    </font>
    <font>
      <sz val="14"/>
      <color theme="1"/>
      <name val="Calibri"/>
      <family val="2"/>
      <scheme val="minor"/>
    </font>
    <font>
      <b/>
      <sz val="14"/>
      <color indexed="9"/>
      <name val="Century Gothic"/>
      <family val="2"/>
    </font>
    <font>
      <sz val="11"/>
      <color theme="1"/>
      <name val="Calibri"/>
      <family val="2"/>
      <scheme val="minor"/>
    </font>
    <font>
      <sz val="11"/>
      <color indexed="8"/>
      <name val="Century Gothic"/>
      <family val="2"/>
    </font>
    <font>
      <b/>
      <sz val="11"/>
      <name val="Calibri"/>
      <family val="2"/>
    </font>
    <font>
      <b/>
      <sz val="11"/>
      <name val="Calibri"/>
    </font>
    <font>
      <sz val="14"/>
      <color theme="1"/>
      <name val="Century Gothic"/>
      <family val="2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595959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thin">
        <color auto="1"/>
      </right>
      <top/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19">
    <xf numFmtId="0" fontId="0" fillId="0" borderId="0" xfId="0"/>
    <xf numFmtId="0" fontId="1" fillId="3" borderId="1" xfId="0" applyNumberFormat="1" applyFont="1" applyFill="1" applyBorder="1" applyAlignment="1" applyProtection="1">
      <alignment horizontal="center" vertical="center"/>
    </xf>
    <xf numFmtId="0" fontId="2" fillId="2" borderId="0" xfId="0" applyFont="1" applyFill="1" applyAlignment="1">
      <alignment vertical="center"/>
    </xf>
    <xf numFmtId="0" fontId="3" fillId="4" borderId="1" xfId="0" applyNumberFormat="1" applyFont="1" applyFill="1" applyBorder="1" applyAlignment="1" applyProtection="1">
      <alignment horizontal="center" vertical="center"/>
    </xf>
    <xf numFmtId="3" fontId="1" fillId="3" borderId="1" xfId="0" applyNumberFormat="1" applyFont="1" applyFill="1" applyBorder="1" applyAlignment="1" applyProtection="1">
      <alignment horizontal="center" vertical="center"/>
    </xf>
    <xf numFmtId="0" fontId="2" fillId="2" borderId="0" xfId="0" applyFont="1" applyFill="1" applyAlignment="1">
      <alignment horizontal="center" vertical="center"/>
    </xf>
    <xf numFmtId="3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vertical="top"/>
    </xf>
    <xf numFmtId="0" fontId="0" fillId="0" borderId="2" xfId="0" applyBorder="1"/>
    <xf numFmtId="10" fontId="1" fillId="3" borderId="1" xfId="1" applyNumberFormat="1" applyFont="1" applyFill="1" applyBorder="1" applyAlignment="1" applyProtection="1">
      <alignment horizontal="center" vertical="center"/>
    </xf>
    <xf numFmtId="0" fontId="5" fillId="3" borderId="3" xfId="0" applyNumberFormat="1" applyFont="1" applyFill="1" applyBorder="1" applyAlignment="1" applyProtection="1">
      <alignment horizontal="right" vertical="center" indent="1"/>
    </xf>
    <xf numFmtId="0" fontId="0" fillId="0" borderId="0" xfId="0" applyAlignment="1"/>
    <xf numFmtId="0" fontId="0" fillId="0" borderId="4" xfId="0" applyBorder="1"/>
    <xf numFmtId="0" fontId="6" fillId="0" borderId="0" xfId="0" applyFont="1" applyAlignment="1">
      <alignment vertical="top"/>
    </xf>
    <xf numFmtId="0" fontId="0" fillId="0" borderId="4" xfId="0" applyBorder="1" applyAlignment="1"/>
    <xf numFmtId="0" fontId="6" fillId="0" borderId="0" xfId="0" applyFont="1"/>
    <xf numFmtId="0" fontId="7" fillId="0" borderId="0" xfId="0" applyFont="1" applyAlignment="1">
      <alignment vertical="top"/>
    </xf>
    <xf numFmtId="0" fontId="7" fillId="0" borderId="0" xfId="0" applyFont="1"/>
    <xf numFmtId="0" fontId="8" fillId="2" borderId="1" xfId="0" applyFont="1" applyFill="1" applyBorder="1" applyAlignment="1">
      <alignment horizontal="center" vertical="center"/>
    </xf>
  </cellXfs>
  <cellStyles count="2">
    <cellStyle name="Normal" xfId="0" builtinId="0"/>
    <cellStyle name="Percent" xfId="1" builtinId="5"/>
  </cellStyles>
  <dxfs count="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4:W22"/>
  <sheetViews>
    <sheetView tabSelected="1" zoomScale="44" workbookViewId="0">
      <pane xSplit="1" ySplit="5" topLeftCell="U6" activePane="bottomRight" state="frozen"/>
      <selection pane="topRight" activeCell="B1" sqref="B1"/>
      <selection pane="bottomLeft" activeCell="A6" sqref="A6"/>
      <selection pane="bottomRight" activeCell="U6" sqref="U6:W22"/>
    </sheetView>
  </sheetViews>
  <sheetFormatPr defaultColWidth="11.7265625" defaultRowHeight="64.5" customHeight="1" x14ac:dyDescent="0.35"/>
  <cols>
    <col min="1" max="1" width="60.6328125" style="2" bestFit="1" customWidth="1"/>
    <col min="2" max="2" width="29.54296875" style="5" bestFit="1" customWidth="1"/>
    <col min="3" max="17" width="28.6328125" style="5" customWidth="1"/>
    <col min="18" max="18" width="18" style="2" bestFit="1" customWidth="1"/>
    <col min="19" max="19" width="19.08984375" style="2" bestFit="1" customWidth="1"/>
    <col min="20" max="20" width="25.453125" style="2" customWidth="1"/>
    <col min="21" max="23" width="34.90625" style="5" customWidth="1"/>
    <col min="24" max="25" width="34.90625" style="2" customWidth="1"/>
    <col min="26" max="16384" width="11.7265625" style="2"/>
  </cols>
  <sheetData>
    <row r="4" spans="1:23" ht="64.5" customHeight="1" x14ac:dyDescent="0.35"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</row>
    <row r="5" spans="1:23" ht="64.5" customHeight="1" x14ac:dyDescent="0.35">
      <c r="A5" s="3" t="s">
        <v>0</v>
      </c>
      <c r="B5" s="3" t="s">
        <v>15</v>
      </c>
      <c r="C5" s="3" t="s">
        <v>18</v>
      </c>
      <c r="D5" s="3" t="s">
        <v>23</v>
      </c>
      <c r="E5" s="3" t="s">
        <v>33</v>
      </c>
      <c r="F5" s="3" t="s">
        <v>19</v>
      </c>
      <c r="G5" s="3" t="s">
        <v>24</v>
      </c>
      <c r="H5" s="3" t="s">
        <v>33</v>
      </c>
      <c r="I5" s="3" t="s">
        <v>20</v>
      </c>
      <c r="J5" s="3" t="s">
        <v>25</v>
      </c>
      <c r="K5" s="3" t="s">
        <v>33</v>
      </c>
      <c r="L5" s="3" t="s">
        <v>21</v>
      </c>
      <c r="M5" s="3" t="s">
        <v>26</v>
      </c>
      <c r="N5" s="3" t="s">
        <v>33</v>
      </c>
      <c r="O5" s="3" t="s">
        <v>22</v>
      </c>
      <c r="P5" s="3" t="s">
        <v>27</v>
      </c>
      <c r="Q5" s="3" t="s">
        <v>33</v>
      </c>
      <c r="R5" s="3" t="s">
        <v>28</v>
      </c>
      <c r="S5" s="3" t="s">
        <v>29</v>
      </c>
      <c r="T5" s="3" t="s">
        <v>33</v>
      </c>
      <c r="U5" s="3" t="s">
        <v>664</v>
      </c>
      <c r="V5" s="3" t="s">
        <v>665</v>
      </c>
      <c r="W5" s="3" t="s">
        <v>33</v>
      </c>
    </row>
    <row r="6" spans="1:23" ht="64.5" customHeight="1" x14ac:dyDescent="0.35">
      <c r="A6" s="10" t="s">
        <v>1</v>
      </c>
      <c r="B6" s="1" t="s">
        <v>16</v>
      </c>
      <c r="C6" s="4">
        <f>IFERROR(VLOOKUP($A:$A,MASTER!$A:$R,3,0),0)</f>
        <v>18467132.244020887</v>
      </c>
      <c r="D6" s="4">
        <f>IFERROR(VLOOKUP($A:$A,MASTER!$A:$R,4,0),0)</f>
        <v>17981597.549706604</v>
      </c>
      <c r="E6" s="9">
        <f>IFERROR(C6/D6-1,0)</f>
        <v>2.7001755153963192E-2</v>
      </c>
      <c r="F6" s="4">
        <f>IFERROR(VLOOKUP(A:A,MASTER!A:E,5,0),0)</f>
        <v>54525076.576576576</v>
      </c>
      <c r="G6" s="4">
        <f>IFERROR(VLOOKUP(A:A,MASTER!A:F,6,0),0)</f>
        <v>28846585.585585583</v>
      </c>
      <c r="H6" s="9">
        <f>IFERROR(F6/G6-1,0)</f>
        <v>0.89017436447737985</v>
      </c>
      <c r="I6" s="4">
        <f>IFERROR(VLOOKUP(A:A,MASTER!A:K,13,0),0)</f>
        <v>0</v>
      </c>
      <c r="J6" s="4">
        <f>IFERROR(VLOOKUP($A:$A,MASTER!$A:$R,14,0),0)</f>
        <v>8122441.441441441</v>
      </c>
      <c r="K6" s="9">
        <f>IFERROR(I6/J6-1,0)</f>
        <v>-1</v>
      </c>
      <c r="L6" s="4">
        <f>IFERROR(VLOOKUP($A:$A,MASTER!$A:$R,15,0),0)</f>
        <v>331171.17117117101</v>
      </c>
      <c r="M6" s="4">
        <f>IFERROR(VLOOKUP($A:$A,MASTER!$A:$R,16,0),0)</f>
        <v>1511801.8018018019</v>
      </c>
      <c r="N6" s="9">
        <f>IFERROR(L6/M6-1,0)</f>
        <v>-0.78094273285263105</v>
      </c>
      <c r="O6" s="4">
        <f>IFERROR(VLOOKUP($A:$A,MASTER!$A:$R,17,0),0)</f>
        <v>8247</v>
      </c>
      <c r="P6" s="4">
        <f>IFERROR(VLOOKUP($A:$A,MASTER!$A:$R,18,0),0)</f>
        <v>7665</v>
      </c>
      <c r="Q6" s="9">
        <f>IFERROR(O6/P6-1,0)</f>
        <v>7.5929549902152615E-2</v>
      </c>
      <c r="R6" s="4">
        <f>IFERROR(VLOOKUP($A:$A,MASTER!$A:$R,19,0),0)</f>
        <v>0</v>
      </c>
      <c r="S6" s="4">
        <f>IFERROR(VLOOKUP($A:$A,MASTER!$A:$R,20,0),0)</f>
        <v>0</v>
      </c>
      <c r="T6" s="9">
        <f>IFERROR(R6/S6-1,0)</f>
        <v>0</v>
      </c>
      <c r="U6" s="18">
        <f>IFERROR(VLOOKUP(A:A,MASTER!A:I,11,0),0)</f>
        <v>0</v>
      </c>
      <c r="V6" s="18">
        <f>IFERROR(VLOOKUP(A:A,MASTER!A:J,12,0),0)</f>
        <v>0</v>
      </c>
      <c r="W6" s="9">
        <f>IFERROR(U6/V6-1,0)</f>
        <v>0</v>
      </c>
    </row>
    <row r="7" spans="1:23" ht="64.5" customHeight="1" x14ac:dyDescent="0.35">
      <c r="A7" s="10" t="s">
        <v>2</v>
      </c>
      <c r="B7" s="1" t="s">
        <v>17</v>
      </c>
      <c r="C7" s="4">
        <f>IFERROR(VLOOKUP($A:$A,MASTER!$A:$R,3,0),0)</f>
        <v>2316695.8720910051</v>
      </c>
      <c r="D7" s="4">
        <f>IFERROR(VLOOKUP($A:$A,MASTER!$A:$R,4,0),0)</f>
        <v>2387423.083762663</v>
      </c>
      <c r="E7" s="9">
        <f t="shared" ref="E7:E22" si="0">IFERROR(C7/D7-1,0)</f>
        <v>-2.9624917406842366E-2</v>
      </c>
      <c r="F7" s="4">
        <f>IFERROR(VLOOKUP(A:A,MASTER!A:E,5,0),0)</f>
        <v>0</v>
      </c>
      <c r="G7" s="4">
        <f>IFERROR(VLOOKUP(A:A,MASTER!A:F,6,0),0)</f>
        <v>0</v>
      </c>
      <c r="H7" s="9">
        <f t="shared" ref="H7:H22" si="1">IFERROR(F7/G7-1,0)</f>
        <v>0</v>
      </c>
      <c r="I7" s="4">
        <f>IFERROR(VLOOKUP(A:A,MASTER!A:K,13,0),0)</f>
        <v>0</v>
      </c>
      <c r="J7" s="4">
        <f>IFERROR(VLOOKUP($A:$A,MASTER!$A:$R,14,0),0)</f>
        <v>1231486.4864864859</v>
      </c>
      <c r="K7" s="9">
        <f t="shared" ref="K7:K22" si="2">IFERROR(I7/J7-1,0)</f>
        <v>-1</v>
      </c>
      <c r="L7" s="4">
        <f>IFERROR(VLOOKUP($A:$A,MASTER!$A:$R,15,0),0)</f>
        <v>0</v>
      </c>
      <c r="M7" s="4">
        <f>IFERROR(VLOOKUP($A:$A,MASTER!$A:$R,16,0),0)</f>
        <v>157657.65765765801</v>
      </c>
      <c r="N7" s="9">
        <f t="shared" ref="N7:N22" si="3">IFERROR(L7/M7-1,0)</f>
        <v>-1</v>
      </c>
      <c r="O7" s="4">
        <f>IFERROR(VLOOKUP($A:$A,MASTER!$A:$R,17,0),0)</f>
        <v>1244</v>
      </c>
      <c r="P7" s="4">
        <f>IFERROR(VLOOKUP($A:$A,MASTER!$A:$R,18,0),0)</f>
        <v>1144</v>
      </c>
      <c r="Q7" s="9">
        <f t="shared" ref="Q7:Q22" si="4">IFERROR(O7/P7-1,0)</f>
        <v>8.7412587412587506E-2</v>
      </c>
      <c r="R7" s="4">
        <f>IFERROR(VLOOKUP($A:$A,MASTER!$A:$R,19,0),0)</f>
        <v>0</v>
      </c>
      <c r="S7" s="4">
        <f>IFERROR(VLOOKUP($A:$A,MASTER!$A:$R,20,0),0)</f>
        <v>0</v>
      </c>
      <c r="T7" s="9">
        <f t="shared" ref="T7:T22" si="5">IFERROR(R7/S7-1,0)</f>
        <v>0</v>
      </c>
      <c r="U7" s="18">
        <f>IFERROR(VLOOKUP(A:A,MASTER!A:I,11,0),0)</f>
        <v>0</v>
      </c>
      <c r="V7" s="18">
        <f>IFERROR(VLOOKUP(A:A,MASTER!A:J,12,0),0)</f>
        <v>0</v>
      </c>
      <c r="W7" s="9">
        <f t="shared" ref="W7:W22" si="6">IFERROR(U7/V7-1,0)</f>
        <v>0</v>
      </c>
    </row>
    <row r="8" spans="1:23" ht="64.5" customHeight="1" x14ac:dyDescent="0.35">
      <c r="A8" s="10" t="s">
        <v>3</v>
      </c>
      <c r="B8" s="1" t="s">
        <v>16</v>
      </c>
      <c r="C8" s="4">
        <f>IFERROR(VLOOKUP($A:$A,MASTER!$A:$R,3,0),0)</f>
        <v>13860411.770302469</v>
      </c>
      <c r="D8" s="4">
        <f>IFERROR(VLOOKUP($A:$A,MASTER!$A:$R,4,0),0)</f>
        <v>12254245.414095599</v>
      </c>
      <c r="E8" s="9">
        <f t="shared" si="0"/>
        <v>0.13107019664869424</v>
      </c>
      <c r="F8" s="4">
        <f>IFERROR(VLOOKUP(A:A,MASTER!A:E,5,0),0)</f>
        <v>4504.5045045050001</v>
      </c>
      <c r="G8" s="4">
        <f>IFERROR(VLOOKUP(A:A,MASTER!A:F,6,0),0)</f>
        <v>117117.117117118</v>
      </c>
      <c r="H8" s="9">
        <f t="shared" si="1"/>
        <v>-0.96153846153845757</v>
      </c>
      <c r="I8" s="4">
        <f>IFERROR(VLOOKUP(A:A,MASTER!A:K,13,0),0)</f>
        <v>0</v>
      </c>
      <c r="J8" s="4">
        <f>IFERROR(VLOOKUP($A:$A,MASTER!$A:$R,14,0),0)</f>
        <v>3621576.576576577</v>
      </c>
      <c r="K8" s="9">
        <f t="shared" si="2"/>
        <v>-1</v>
      </c>
      <c r="L8" s="4">
        <f>IFERROR(VLOOKUP($A:$A,MASTER!$A:$R,15,0),0)</f>
        <v>1431081.0810810809</v>
      </c>
      <c r="M8" s="4">
        <f>IFERROR(VLOOKUP($A:$A,MASTER!$A:$R,16,0),0)</f>
        <v>732072.07207207195</v>
      </c>
      <c r="N8" s="9">
        <f t="shared" si="3"/>
        <v>0.95483632783657413</v>
      </c>
      <c r="O8" s="4">
        <f>IFERROR(VLOOKUP($A:$A,MASTER!$A:$R,17,0),0)</f>
        <v>3623</v>
      </c>
      <c r="P8" s="4">
        <f>IFERROR(VLOOKUP($A:$A,MASTER!$A:$R,18,0),0)</f>
        <v>3738</v>
      </c>
      <c r="Q8" s="9">
        <f t="shared" si="4"/>
        <v>-3.0765115034777968E-2</v>
      </c>
      <c r="R8" s="4">
        <f>IFERROR(VLOOKUP($A:$A,MASTER!$A:$R,19,0),0)</f>
        <v>0</v>
      </c>
      <c r="S8" s="4">
        <f>IFERROR(VLOOKUP($A:$A,MASTER!$A:$R,20,0),0)</f>
        <v>0</v>
      </c>
      <c r="T8" s="9">
        <f t="shared" si="5"/>
        <v>0</v>
      </c>
      <c r="U8" s="18">
        <f>IFERROR(VLOOKUP(A:A,MASTER!A:I,11,0),0)</f>
        <v>0</v>
      </c>
      <c r="V8" s="18">
        <f>IFERROR(VLOOKUP(A:A,MASTER!A:J,12,0),0)</f>
        <v>0</v>
      </c>
      <c r="W8" s="9">
        <f t="shared" si="6"/>
        <v>0</v>
      </c>
    </row>
    <row r="9" spans="1:23" ht="64.5" customHeight="1" x14ac:dyDescent="0.35">
      <c r="A9" s="10" t="s">
        <v>4</v>
      </c>
      <c r="B9" s="1" t="s">
        <v>16</v>
      </c>
      <c r="C9" s="4">
        <f>IFERROR(VLOOKUP($A:$A,MASTER!$A:$R,3,0),0)</f>
        <v>8535734.9415696654</v>
      </c>
      <c r="D9" s="4">
        <f>IFERROR(VLOOKUP($A:$A,MASTER!$A:$R,4,0),0)</f>
        <v>8418990.3832208496</v>
      </c>
      <c r="E9" s="9">
        <f t="shared" si="0"/>
        <v>1.3866812175185483E-2</v>
      </c>
      <c r="F9" s="4">
        <f>IFERROR(VLOOKUP(A:A,MASTER!A:E,5,0),0)</f>
        <v>0</v>
      </c>
      <c r="G9" s="4">
        <f>IFERROR(VLOOKUP(A:A,MASTER!A:F,6,0),0)</f>
        <v>13513.513513514001</v>
      </c>
      <c r="H9" s="9">
        <f t="shared" si="1"/>
        <v>-1</v>
      </c>
      <c r="I9" s="4">
        <f>IFERROR(VLOOKUP(A:A,MASTER!A:K,13,0),0)</f>
        <v>0</v>
      </c>
      <c r="J9" s="4">
        <f>IFERROR(VLOOKUP($A:$A,MASTER!$A:$R,14,0),0)</f>
        <v>2728108.1081081079</v>
      </c>
      <c r="K9" s="9">
        <f t="shared" si="2"/>
        <v>-1</v>
      </c>
      <c r="L9" s="4">
        <f>IFERROR(VLOOKUP($A:$A,MASTER!$A:$R,15,0),0)</f>
        <v>1511711.7117117119</v>
      </c>
      <c r="M9" s="4">
        <f>IFERROR(VLOOKUP($A:$A,MASTER!$A:$R,16,0),0)</f>
        <v>818108.10810810898</v>
      </c>
      <c r="N9" s="9">
        <f t="shared" si="3"/>
        <v>0.8478141173879512</v>
      </c>
      <c r="O9" s="4">
        <f>IFERROR(VLOOKUP($A:$A,MASTER!$A:$R,17,0),0)</f>
        <v>3667</v>
      </c>
      <c r="P9" s="4">
        <f>IFERROR(VLOOKUP($A:$A,MASTER!$A:$R,18,0),0)</f>
        <v>3899</v>
      </c>
      <c r="Q9" s="9">
        <f t="shared" si="4"/>
        <v>-5.950243652218512E-2</v>
      </c>
      <c r="R9" s="4">
        <f>IFERROR(VLOOKUP($A:$A,MASTER!$A:$R,19,0),0)</f>
        <v>0</v>
      </c>
      <c r="S9" s="4">
        <f>IFERROR(VLOOKUP($A:$A,MASTER!$A:$R,20,0),0)</f>
        <v>0</v>
      </c>
      <c r="T9" s="9">
        <f t="shared" si="5"/>
        <v>0</v>
      </c>
      <c r="U9" s="18">
        <f>IFERROR(VLOOKUP(A:A,MASTER!A:I,11,0),0)</f>
        <v>0</v>
      </c>
      <c r="V9" s="18">
        <f>IFERROR(VLOOKUP(A:A,MASTER!A:J,12,0),0)</f>
        <v>0</v>
      </c>
      <c r="W9" s="9">
        <f t="shared" si="6"/>
        <v>0</v>
      </c>
    </row>
    <row r="10" spans="1:23" ht="64.5" customHeight="1" x14ac:dyDescent="0.35">
      <c r="A10" s="10" t="s">
        <v>34</v>
      </c>
      <c r="B10" s="1" t="s">
        <v>17</v>
      </c>
      <c r="C10" s="4">
        <f>IFERROR(VLOOKUP($A:$A,MASTER!$A:$R,3,0),0)</f>
        <v>0</v>
      </c>
      <c r="D10" s="4">
        <f>IFERROR(VLOOKUP($A:$A,MASTER!$A:$R,4,0),0)</f>
        <v>0</v>
      </c>
      <c r="E10" s="9">
        <f t="shared" si="0"/>
        <v>0</v>
      </c>
      <c r="F10" s="4">
        <f>IFERROR(VLOOKUP(A:A,MASTER!A:E,5,0),0)</f>
        <v>60082.882882883001</v>
      </c>
      <c r="G10" s="4">
        <f>IFERROR(VLOOKUP(A:A,MASTER!A:F,6,0),0)</f>
        <v>46184510.810810804</v>
      </c>
      <c r="H10" s="9">
        <f t="shared" si="1"/>
        <v>-0.9986990685442354</v>
      </c>
      <c r="I10" s="4">
        <f>IFERROR(VLOOKUP(A:A,MASTER!A:K,13,0),0)</f>
        <v>0</v>
      </c>
      <c r="J10" s="4">
        <f>IFERROR(VLOOKUP($A:$A,MASTER!$A:$R,14,0),0)</f>
        <v>0</v>
      </c>
      <c r="K10" s="9">
        <f t="shared" si="2"/>
        <v>0</v>
      </c>
      <c r="L10" s="4">
        <f>IFERROR(VLOOKUP($A:$A,MASTER!$A:$R,15,0),0)</f>
        <v>0</v>
      </c>
      <c r="M10" s="4">
        <f>IFERROR(VLOOKUP($A:$A,MASTER!$A:$R,16,0),0)</f>
        <v>0</v>
      </c>
      <c r="N10" s="9">
        <f t="shared" si="3"/>
        <v>0</v>
      </c>
      <c r="O10" s="4">
        <f>IFERROR(VLOOKUP($A:$A,MASTER!$A:$R,17,0),0)</f>
        <v>0</v>
      </c>
      <c r="P10" s="4">
        <f>IFERROR(VLOOKUP($A:$A,MASTER!$A:$R,18,0),0)</f>
        <v>0</v>
      </c>
      <c r="Q10" s="9">
        <f t="shared" si="4"/>
        <v>0</v>
      </c>
      <c r="R10" s="4">
        <f>IFERROR(VLOOKUP($A:$A,MASTER!$A:$R,19,0),0)</f>
        <v>0</v>
      </c>
      <c r="S10" s="4">
        <f>IFERROR(VLOOKUP($A:$A,MASTER!$A:$R,20,0),0)</f>
        <v>0</v>
      </c>
      <c r="T10" s="9">
        <f t="shared" si="5"/>
        <v>0</v>
      </c>
      <c r="U10" s="18">
        <f>IFERROR(VLOOKUP(A:A,MASTER!A:I,11,0),0)</f>
        <v>0</v>
      </c>
      <c r="V10" s="18">
        <f>IFERROR(VLOOKUP(A:A,MASTER!A:J,12,0),0)</f>
        <v>0</v>
      </c>
      <c r="W10" s="9">
        <f t="shared" si="6"/>
        <v>0</v>
      </c>
    </row>
    <row r="11" spans="1:23" ht="64.5" customHeight="1" x14ac:dyDescent="0.35">
      <c r="A11" s="10" t="s">
        <v>5</v>
      </c>
      <c r="B11" s="1" t="s">
        <v>16</v>
      </c>
      <c r="C11" s="4">
        <f>IFERROR(VLOOKUP($A:$A,MASTER!$A:$R,3,0),0)</f>
        <v>9286722.3745056763</v>
      </c>
      <c r="D11" s="4">
        <f>IFERROR(VLOOKUP($A:$A,MASTER!$A:$R,4,0),0)</f>
        <v>9099478.8792579994</v>
      </c>
      <c r="E11" s="9">
        <f t="shared" si="0"/>
        <v>2.0577386653920726E-2</v>
      </c>
      <c r="F11" s="4">
        <f>IFERROR(VLOOKUP(A:A,MASTER!A:E,5,0),0)</f>
        <v>900.900900901</v>
      </c>
      <c r="G11" s="4">
        <f>IFERROR(VLOOKUP(A:A,MASTER!A:F,6,0),0)</f>
        <v>27027.027027027001</v>
      </c>
      <c r="H11" s="9">
        <f t="shared" si="1"/>
        <v>-0.96666666666666301</v>
      </c>
      <c r="I11" s="4">
        <f>IFERROR(VLOOKUP(A:A,MASTER!A:K,13,0),0)</f>
        <v>0</v>
      </c>
      <c r="J11" s="4">
        <f>IFERROR(VLOOKUP($A:$A,MASTER!$A:$R,14,0),0)</f>
        <v>4081486.4864864862</v>
      </c>
      <c r="K11" s="9">
        <f t="shared" si="2"/>
        <v>-1</v>
      </c>
      <c r="L11" s="4">
        <f>IFERROR(VLOOKUP($A:$A,MASTER!$A:$R,15,0),0)</f>
        <v>366396.39639639598</v>
      </c>
      <c r="M11" s="4">
        <f>IFERROR(VLOOKUP($A:$A,MASTER!$A:$R,16,0),0)</f>
        <v>599549.549549549</v>
      </c>
      <c r="N11" s="9">
        <f t="shared" si="3"/>
        <v>-0.38888054094665681</v>
      </c>
      <c r="O11" s="4">
        <f>IFERROR(VLOOKUP($A:$A,MASTER!$A:$R,17,0),0)</f>
        <v>3165</v>
      </c>
      <c r="P11" s="4">
        <f>IFERROR(VLOOKUP($A:$A,MASTER!$A:$R,18,0),0)</f>
        <v>2942</v>
      </c>
      <c r="Q11" s="9">
        <f t="shared" si="4"/>
        <v>7.5798776342623997E-2</v>
      </c>
      <c r="R11" s="4">
        <f>IFERROR(VLOOKUP($A:$A,MASTER!$A:$R,19,0),0)</f>
        <v>0</v>
      </c>
      <c r="S11" s="4">
        <f>IFERROR(VLOOKUP($A:$A,MASTER!$A:$R,20,0),0)</f>
        <v>0</v>
      </c>
      <c r="T11" s="9">
        <f t="shared" si="5"/>
        <v>0</v>
      </c>
      <c r="U11" s="18">
        <f>IFERROR(VLOOKUP(A:A,MASTER!A:I,11,0),0)</f>
        <v>0</v>
      </c>
      <c r="V11" s="18">
        <f>IFERROR(VLOOKUP(A:A,MASTER!A:J,12,0),0)</f>
        <v>0</v>
      </c>
      <c r="W11" s="9">
        <f t="shared" si="6"/>
        <v>0</v>
      </c>
    </row>
    <row r="12" spans="1:23" ht="64.5" customHeight="1" x14ac:dyDescent="0.35">
      <c r="A12" s="10" t="s">
        <v>6</v>
      </c>
      <c r="B12" s="1" t="s">
        <v>17</v>
      </c>
      <c r="C12" s="4">
        <f>IFERROR(VLOOKUP($A:$A,MASTER!$A:$R,3,0),0)</f>
        <v>34294172.64090962</v>
      </c>
      <c r="D12" s="4">
        <f>IFERROR(VLOOKUP($A:$A,MASTER!$A:$R,4,0),0)</f>
        <v>30898812.108272817</v>
      </c>
      <c r="E12" s="9">
        <f t="shared" si="0"/>
        <v>0.10988644225995126</v>
      </c>
      <c r="F12" s="4">
        <f>IFERROR(VLOOKUP(A:A,MASTER!A:E,5,0),0)</f>
        <v>1801.801801802</v>
      </c>
      <c r="G12" s="4">
        <f>IFERROR(VLOOKUP(A:A,MASTER!A:F,6,0),0)</f>
        <v>27027.027027028002</v>
      </c>
      <c r="H12" s="9">
        <f t="shared" si="1"/>
        <v>-0.93333333333332846</v>
      </c>
      <c r="I12" s="4">
        <f>IFERROR(VLOOKUP(A:A,MASTER!A:K,13,0),0)</f>
        <v>0</v>
      </c>
      <c r="J12" s="4">
        <f>IFERROR(VLOOKUP($A:$A,MASTER!$A:$R,14,0),0)</f>
        <v>20882576.576576576</v>
      </c>
      <c r="K12" s="9">
        <f t="shared" si="2"/>
        <v>-1</v>
      </c>
      <c r="L12" s="4">
        <f>IFERROR(VLOOKUP($A:$A,MASTER!$A:$R,15,0),0)</f>
        <v>7182702.7027027039</v>
      </c>
      <c r="M12" s="4">
        <f>IFERROR(VLOOKUP($A:$A,MASTER!$A:$R,16,0),0)</f>
        <v>14237927.927927934</v>
      </c>
      <c r="N12" s="9">
        <f t="shared" si="3"/>
        <v>-0.49552331357052926</v>
      </c>
      <c r="O12" s="4">
        <f>IFERROR(VLOOKUP($A:$A,MASTER!$A:$R,17,0),0)</f>
        <v>13595</v>
      </c>
      <c r="P12" s="4">
        <f>IFERROR(VLOOKUP($A:$A,MASTER!$A:$R,18,0),0)</f>
        <v>12864</v>
      </c>
      <c r="Q12" s="9">
        <f t="shared" si="4"/>
        <v>5.682524875621886E-2</v>
      </c>
      <c r="R12" s="4">
        <f>IFERROR(VLOOKUP($A:$A,MASTER!$A:$R,19,0),0)</f>
        <v>0</v>
      </c>
      <c r="S12" s="4">
        <f>IFERROR(VLOOKUP($A:$A,MASTER!$A:$R,20,0),0)</f>
        <v>0</v>
      </c>
      <c r="T12" s="9">
        <f t="shared" si="5"/>
        <v>0</v>
      </c>
      <c r="U12" s="18">
        <f>IFERROR(VLOOKUP(A:A,MASTER!A:I,11,0),0)</f>
        <v>0</v>
      </c>
      <c r="V12" s="18">
        <f>IFERROR(VLOOKUP(A:A,MASTER!A:J,12,0),0)</f>
        <v>0</v>
      </c>
      <c r="W12" s="9">
        <f t="shared" si="6"/>
        <v>0</v>
      </c>
    </row>
    <row r="13" spans="1:23" ht="64.5" customHeight="1" x14ac:dyDescent="0.35">
      <c r="A13" s="10" t="s">
        <v>7</v>
      </c>
      <c r="B13" s="1" t="s">
        <v>17</v>
      </c>
      <c r="C13" s="4">
        <f>IFERROR(VLOOKUP($A:$A,MASTER!$A:$R,3,0),0)</f>
        <v>7830684.2367545171</v>
      </c>
      <c r="D13" s="4">
        <f>IFERROR(VLOOKUP($A:$A,MASTER!$A:$R,4,0),0)</f>
        <v>7347494.8325105859</v>
      </c>
      <c r="E13" s="9">
        <f t="shared" si="0"/>
        <v>6.5762469420999725E-2</v>
      </c>
      <c r="F13" s="4">
        <f>IFERROR(VLOOKUP(A:A,MASTER!A:E,5,0),0)</f>
        <v>900.900900901</v>
      </c>
      <c r="G13" s="4">
        <f>IFERROR(VLOOKUP(A:A,MASTER!A:F,6,0),0)</f>
        <v>0</v>
      </c>
      <c r="H13" s="9">
        <f t="shared" si="1"/>
        <v>0</v>
      </c>
      <c r="I13" s="4">
        <f>IFERROR(VLOOKUP(A:A,MASTER!A:K,13,0),0)</f>
        <v>0</v>
      </c>
      <c r="J13" s="4">
        <f>IFERROR(VLOOKUP($A:$A,MASTER!$A:$R,14,0),0)</f>
        <v>6673603.6036036042</v>
      </c>
      <c r="K13" s="9">
        <f t="shared" si="2"/>
        <v>-1</v>
      </c>
      <c r="L13" s="4">
        <f>IFERROR(VLOOKUP($A:$A,MASTER!$A:$R,15,0),0)</f>
        <v>311261.26126126101</v>
      </c>
      <c r="M13" s="4">
        <f>IFERROR(VLOOKUP($A:$A,MASTER!$A:$R,16,0),0)</f>
        <v>353783.78378378402</v>
      </c>
      <c r="N13" s="9">
        <f t="shared" si="3"/>
        <v>-0.12019353195823912</v>
      </c>
      <c r="O13" s="4">
        <f>IFERROR(VLOOKUP($A:$A,MASTER!$A:$R,17,0),0)</f>
        <v>4952</v>
      </c>
      <c r="P13" s="4">
        <f>IFERROR(VLOOKUP($A:$A,MASTER!$A:$R,18,0),0)</f>
        <v>4763</v>
      </c>
      <c r="Q13" s="9">
        <f t="shared" si="4"/>
        <v>3.9680873399118299E-2</v>
      </c>
      <c r="R13" s="4">
        <f>IFERROR(VLOOKUP($A:$A,MASTER!$A:$R,19,0),0)</f>
        <v>0</v>
      </c>
      <c r="S13" s="4">
        <f>IFERROR(VLOOKUP($A:$A,MASTER!$A:$R,20,0),0)</f>
        <v>0</v>
      </c>
      <c r="T13" s="9">
        <f t="shared" si="5"/>
        <v>0</v>
      </c>
      <c r="U13" s="18">
        <f>IFERROR(VLOOKUP(A:A,MASTER!A:I,11,0),0)</f>
        <v>0</v>
      </c>
      <c r="V13" s="18">
        <f>IFERROR(VLOOKUP(A:A,MASTER!A:J,12,0),0)</f>
        <v>0</v>
      </c>
      <c r="W13" s="9">
        <f t="shared" si="6"/>
        <v>0</v>
      </c>
    </row>
    <row r="14" spans="1:23" ht="64.5" customHeight="1" x14ac:dyDescent="0.35">
      <c r="A14" s="10" t="s">
        <v>8</v>
      </c>
      <c r="B14" s="1" t="s">
        <v>16</v>
      </c>
      <c r="C14" s="4">
        <f>IFERROR(VLOOKUP($A:$A,MASTER!$A:$R,3,0),0)</f>
        <v>11320790.256762259</v>
      </c>
      <c r="D14" s="4">
        <f>IFERROR(VLOOKUP($A:$A,MASTER!$A:$R,4,0),0)</f>
        <v>9592930.6256546006</v>
      </c>
      <c r="E14" s="9">
        <f t="shared" si="0"/>
        <v>0.18011801591547028</v>
      </c>
      <c r="F14" s="4">
        <f>IFERROR(VLOOKUP(A:A,MASTER!A:E,5,0),0)</f>
        <v>0</v>
      </c>
      <c r="G14" s="4">
        <f>IFERROR(VLOOKUP(A:A,MASTER!A:F,6,0),0)</f>
        <v>13513.513513514001</v>
      </c>
      <c r="H14" s="9">
        <f t="shared" si="1"/>
        <v>-1</v>
      </c>
      <c r="I14" s="4">
        <f>IFERROR(VLOOKUP(A:A,MASTER!A:K,13,0),0)</f>
        <v>0</v>
      </c>
      <c r="J14" s="4">
        <f>IFERROR(VLOOKUP($A:$A,MASTER!$A:$R,14,0),0)</f>
        <v>2505855.8558558552</v>
      </c>
      <c r="K14" s="9">
        <f t="shared" si="2"/>
        <v>-1</v>
      </c>
      <c r="L14" s="4">
        <f>IFERROR(VLOOKUP($A:$A,MASTER!$A:$R,15,0),0)</f>
        <v>409459.459459459</v>
      </c>
      <c r="M14" s="4">
        <f>IFERROR(VLOOKUP($A:$A,MASTER!$A:$R,16,0),0)</f>
        <v>1863873.873873875</v>
      </c>
      <c r="N14" s="9">
        <f t="shared" si="3"/>
        <v>-0.78031804340470823</v>
      </c>
      <c r="O14" s="4">
        <f>IFERROR(VLOOKUP($A:$A,MASTER!$A:$R,17,0),0)</f>
        <v>3752</v>
      </c>
      <c r="P14" s="4">
        <f>IFERROR(VLOOKUP($A:$A,MASTER!$A:$R,18,0),0)</f>
        <v>2987</v>
      </c>
      <c r="Q14" s="9">
        <f t="shared" si="4"/>
        <v>0.25610980917308335</v>
      </c>
      <c r="R14" s="4">
        <f>IFERROR(VLOOKUP($A:$A,MASTER!$A:$R,19,0),0)</f>
        <v>0</v>
      </c>
      <c r="S14" s="4">
        <f>IFERROR(VLOOKUP($A:$A,MASTER!$A:$R,20,0),0)</f>
        <v>0</v>
      </c>
      <c r="T14" s="9">
        <f t="shared" si="5"/>
        <v>0</v>
      </c>
      <c r="U14" s="18">
        <f>IFERROR(VLOOKUP(A:A,MASTER!A:I,11,0),0)</f>
        <v>0</v>
      </c>
      <c r="V14" s="18">
        <f>IFERROR(VLOOKUP(A:A,MASTER!A:J,12,0),0)</f>
        <v>0</v>
      </c>
      <c r="W14" s="9">
        <f t="shared" si="6"/>
        <v>0</v>
      </c>
    </row>
    <row r="15" spans="1:23" ht="64.5" customHeight="1" x14ac:dyDescent="0.35">
      <c r="A15" s="10" t="s">
        <v>9</v>
      </c>
      <c r="B15" s="1" t="s">
        <v>16</v>
      </c>
      <c r="C15" s="4">
        <f>IFERROR(VLOOKUP($A:$A,MASTER!$A:$R,3,0),0)</f>
        <v>21268851.806217629</v>
      </c>
      <c r="D15" s="4">
        <f>IFERROR(VLOOKUP($A:$A,MASTER!$A:$R,4,0),0)</f>
        <v>19754918.718430173</v>
      </c>
      <c r="E15" s="9">
        <f t="shared" si="0"/>
        <v>7.6635753827478226E-2</v>
      </c>
      <c r="F15" s="4">
        <f>IFERROR(VLOOKUP(A:A,MASTER!A:E,5,0),0)</f>
        <v>900.900900901</v>
      </c>
      <c r="G15" s="4">
        <f>IFERROR(VLOOKUP(A:A,MASTER!A:F,6,0),0)</f>
        <v>13513.513513514001</v>
      </c>
      <c r="H15" s="9">
        <f t="shared" si="1"/>
        <v>-0.93333333333332846</v>
      </c>
      <c r="I15" s="4">
        <f>IFERROR(VLOOKUP(A:A,MASTER!A:K,13,0),0)</f>
        <v>0</v>
      </c>
      <c r="J15" s="4">
        <f>IFERROR(VLOOKUP($A:$A,MASTER!$A:$R,14,0),0)</f>
        <v>6844306.3063063063</v>
      </c>
      <c r="K15" s="9">
        <f t="shared" si="2"/>
        <v>-1</v>
      </c>
      <c r="L15" s="4">
        <f>IFERROR(VLOOKUP($A:$A,MASTER!$A:$R,15,0),0)</f>
        <v>30118648.648648649</v>
      </c>
      <c r="M15" s="4">
        <f>IFERROR(VLOOKUP($A:$A,MASTER!$A:$R,16,0),0)</f>
        <v>28542792.792792793</v>
      </c>
      <c r="N15" s="9">
        <f t="shared" si="3"/>
        <v>5.5210289592046102E-2</v>
      </c>
      <c r="O15" s="4">
        <f>IFERROR(VLOOKUP($A:$A,MASTER!$A:$R,17,0),0)</f>
        <v>7429</v>
      </c>
      <c r="P15" s="4">
        <f>IFERROR(VLOOKUP($A:$A,MASTER!$A:$R,18,0),0)</f>
        <v>7038</v>
      </c>
      <c r="Q15" s="9">
        <f t="shared" si="4"/>
        <v>5.555555555555558E-2</v>
      </c>
      <c r="R15" s="4">
        <f>IFERROR(VLOOKUP($A:$A,MASTER!$A:$R,19,0),0)</f>
        <v>0</v>
      </c>
      <c r="S15" s="4">
        <f>IFERROR(VLOOKUP($A:$A,MASTER!$A:$R,20,0),0)</f>
        <v>0</v>
      </c>
      <c r="T15" s="9">
        <f t="shared" si="5"/>
        <v>0</v>
      </c>
      <c r="U15" s="18">
        <f>IFERROR(VLOOKUP(A:A,MASTER!A:I,11,0),0)</f>
        <v>0</v>
      </c>
      <c r="V15" s="18">
        <f>IFERROR(VLOOKUP(A:A,MASTER!A:J,12,0),0)</f>
        <v>0</v>
      </c>
      <c r="W15" s="9">
        <f t="shared" si="6"/>
        <v>0</v>
      </c>
    </row>
    <row r="16" spans="1:23" ht="64.5" customHeight="1" x14ac:dyDescent="0.35">
      <c r="A16" s="10" t="s">
        <v>35</v>
      </c>
      <c r="B16" s="1" t="s">
        <v>16</v>
      </c>
      <c r="C16" s="4">
        <f>IFERROR(VLOOKUP($A:$A,MASTER!$A:$R,3,0),0)</f>
        <v>0</v>
      </c>
      <c r="D16" s="4">
        <f>IFERROR(VLOOKUP($A:$A,MASTER!$A:$R,4,0),0)</f>
        <v>0</v>
      </c>
      <c r="E16" s="9">
        <f t="shared" si="0"/>
        <v>0</v>
      </c>
      <c r="F16" s="4">
        <f>IFERROR(VLOOKUP(A:A,MASTER!A:E,5,0),0)</f>
        <v>0</v>
      </c>
      <c r="G16" s="4">
        <f>IFERROR(VLOOKUP(A:A,MASTER!A:F,6,0),0)</f>
        <v>0</v>
      </c>
      <c r="H16" s="9">
        <f t="shared" si="1"/>
        <v>0</v>
      </c>
      <c r="I16" s="4">
        <f>IFERROR(VLOOKUP(A:A,MASTER!A:K,13,0),0)</f>
        <v>0</v>
      </c>
      <c r="J16" s="4">
        <f>IFERROR(VLOOKUP($A:$A,MASTER!$A:$R,14,0),0)</f>
        <v>0</v>
      </c>
      <c r="K16" s="9">
        <f t="shared" si="2"/>
        <v>0</v>
      </c>
      <c r="L16" s="4">
        <f>IFERROR(VLOOKUP($A:$A,MASTER!$A:$R,15,0),0)</f>
        <v>0</v>
      </c>
      <c r="M16" s="4">
        <f>IFERROR(VLOOKUP($A:$A,MASTER!$A:$R,16,0),0)</f>
        <v>0</v>
      </c>
      <c r="N16" s="9">
        <f t="shared" si="3"/>
        <v>0</v>
      </c>
      <c r="O16" s="4">
        <f>IFERROR(VLOOKUP($A:$A,MASTER!$A:$R,17,0),0)</f>
        <v>0</v>
      </c>
      <c r="P16" s="4">
        <f>IFERROR(VLOOKUP($A:$A,MASTER!$A:$R,18,0),0)</f>
        <v>0</v>
      </c>
      <c r="Q16" s="9">
        <f t="shared" si="4"/>
        <v>0</v>
      </c>
      <c r="R16" s="4">
        <f>IFERROR(VLOOKUP($A:$A,MASTER!$A:$R,19,0),0)</f>
        <v>0</v>
      </c>
      <c r="S16" s="4">
        <f>IFERROR(VLOOKUP($A:$A,MASTER!$A:$R,20,0),0)</f>
        <v>0</v>
      </c>
      <c r="T16" s="9">
        <f t="shared" si="5"/>
        <v>0</v>
      </c>
      <c r="U16" s="18">
        <f>IFERROR(VLOOKUP(A:A,MASTER!A:I,11,0),0)</f>
        <v>0</v>
      </c>
      <c r="V16" s="18">
        <f>IFERROR(VLOOKUP(A:A,MASTER!A:J,12,0),0)</f>
        <v>0</v>
      </c>
      <c r="W16" s="9">
        <f t="shared" si="6"/>
        <v>0</v>
      </c>
    </row>
    <row r="17" spans="1:23" ht="64.5" customHeight="1" x14ac:dyDescent="0.35">
      <c r="A17" s="10" t="s">
        <v>10</v>
      </c>
      <c r="B17" s="1" t="s">
        <v>17</v>
      </c>
      <c r="C17" s="4">
        <f>IFERROR(VLOOKUP($A:$A,MASTER!$A:$R,3,0),0)</f>
        <v>9255350.794303596</v>
      </c>
      <c r="D17" s="4">
        <f>IFERROR(VLOOKUP($A:$A,MASTER!$A:$R,4,0),0)</f>
        <v>8044755.6096885325</v>
      </c>
      <c r="E17" s="9">
        <f t="shared" si="0"/>
        <v>0.15048253089964714</v>
      </c>
      <c r="F17" s="4">
        <f>IFERROR(VLOOKUP(A:A,MASTER!A:E,5,0),0)</f>
        <v>0</v>
      </c>
      <c r="G17" s="4">
        <f>IFERROR(VLOOKUP(A:A,MASTER!A:F,6,0),0)</f>
        <v>0</v>
      </c>
      <c r="H17" s="9">
        <f t="shared" si="1"/>
        <v>0</v>
      </c>
      <c r="I17" s="4">
        <f>IFERROR(VLOOKUP(A:A,MASTER!A:K,13,0),0)</f>
        <v>0</v>
      </c>
      <c r="J17" s="4">
        <f>IFERROR(VLOOKUP($A:$A,MASTER!$A:$R,14,0),0)</f>
        <v>5197252.2522522518</v>
      </c>
      <c r="K17" s="9">
        <f t="shared" si="2"/>
        <v>-1</v>
      </c>
      <c r="L17" s="4">
        <f>IFERROR(VLOOKUP($A:$A,MASTER!$A:$R,15,0),0)</f>
        <v>0</v>
      </c>
      <c r="M17" s="4">
        <f>IFERROR(VLOOKUP($A:$A,MASTER!$A:$R,16,0),0)</f>
        <v>0</v>
      </c>
      <c r="N17" s="9">
        <f t="shared" si="3"/>
        <v>0</v>
      </c>
      <c r="O17" s="4">
        <f>IFERROR(VLOOKUP($A:$A,MASTER!$A:$R,17,0),0)</f>
        <v>3778</v>
      </c>
      <c r="P17" s="4">
        <f>IFERROR(VLOOKUP($A:$A,MASTER!$A:$R,18,0),0)</f>
        <v>3507</v>
      </c>
      <c r="Q17" s="9">
        <f t="shared" si="4"/>
        <v>7.7274023381807888E-2</v>
      </c>
      <c r="R17" s="4">
        <f>IFERROR(VLOOKUP($A:$A,MASTER!$A:$R,19,0),0)</f>
        <v>0</v>
      </c>
      <c r="S17" s="4">
        <f>IFERROR(VLOOKUP($A:$A,MASTER!$A:$R,20,0),0)</f>
        <v>0</v>
      </c>
      <c r="T17" s="9">
        <f t="shared" si="5"/>
        <v>0</v>
      </c>
      <c r="U17" s="18">
        <f>IFERROR(VLOOKUP(A:A,MASTER!A:I,11,0),0)</f>
        <v>0</v>
      </c>
      <c r="V17" s="18">
        <f>IFERROR(VLOOKUP(A:A,MASTER!A:J,12,0),0)</f>
        <v>0</v>
      </c>
      <c r="W17" s="9">
        <f t="shared" si="6"/>
        <v>0</v>
      </c>
    </row>
    <row r="18" spans="1:23" ht="64.5" customHeight="1" x14ac:dyDescent="0.35">
      <c r="A18" s="10" t="s">
        <v>11</v>
      </c>
      <c r="B18" s="1" t="s">
        <v>17</v>
      </c>
      <c r="C18" s="4">
        <f>IFERROR(VLOOKUP($A:$A,MASTER!$A:$R,3,0),0)</f>
        <v>7101104.5798382489</v>
      </c>
      <c r="D18" s="4">
        <f>IFERROR(VLOOKUP($A:$A,MASTER!$A:$R,4,0),0)</f>
        <v>6729376.5264457641</v>
      </c>
      <c r="E18" s="9">
        <f t="shared" si="0"/>
        <v>5.5239597893152803E-2</v>
      </c>
      <c r="F18" s="4">
        <f>IFERROR(VLOOKUP(A:A,MASTER!A:E,5,0),0)</f>
        <v>72072.072072071998</v>
      </c>
      <c r="G18" s="4">
        <f>IFERROR(VLOOKUP(A:A,MASTER!A:F,6,0),0)</f>
        <v>0</v>
      </c>
      <c r="H18" s="9">
        <f t="shared" si="1"/>
        <v>0</v>
      </c>
      <c r="I18" s="4">
        <f>IFERROR(VLOOKUP(A:A,MASTER!A:K,13,0),0)</f>
        <v>0</v>
      </c>
      <c r="J18" s="4">
        <f>IFERROR(VLOOKUP($A:$A,MASTER!$A:$R,14,0),0)</f>
        <v>2675900.9009009022</v>
      </c>
      <c r="K18" s="9">
        <f t="shared" si="2"/>
        <v>-1</v>
      </c>
      <c r="L18" s="4">
        <f>IFERROR(VLOOKUP($A:$A,MASTER!$A:$R,15,0),0)</f>
        <v>687837.83783783903</v>
      </c>
      <c r="M18" s="4">
        <f>IFERROR(VLOOKUP($A:$A,MASTER!$A:$R,16,0),0)</f>
        <v>636036.03603603703</v>
      </c>
      <c r="N18" s="9">
        <f t="shared" si="3"/>
        <v>8.1444759206799056E-2</v>
      </c>
      <c r="O18" s="4">
        <f>IFERROR(VLOOKUP($A:$A,MASTER!$A:$R,17,0),0)</f>
        <v>3920</v>
      </c>
      <c r="P18" s="4">
        <f>IFERROR(VLOOKUP($A:$A,MASTER!$A:$R,18,0),0)</f>
        <v>3891</v>
      </c>
      <c r="Q18" s="9">
        <f t="shared" si="4"/>
        <v>7.4530968902595252E-3</v>
      </c>
      <c r="R18" s="4">
        <f>IFERROR(VLOOKUP($A:$A,MASTER!$A:$R,19,0),0)</f>
        <v>0</v>
      </c>
      <c r="S18" s="4">
        <f>IFERROR(VLOOKUP($A:$A,MASTER!$A:$R,20,0),0)</f>
        <v>0</v>
      </c>
      <c r="T18" s="9">
        <f t="shared" si="5"/>
        <v>0</v>
      </c>
      <c r="U18" s="18">
        <f>IFERROR(VLOOKUP(A:A,MASTER!A:I,11,0),0)</f>
        <v>0</v>
      </c>
      <c r="V18" s="18">
        <f>IFERROR(VLOOKUP(A:A,MASTER!A:J,12,0),0)</f>
        <v>0</v>
      </c>
      <c r="W18" s="9">
        <f t="shared" si="6"/>
        <v>0</v>
      </c>
    </row>
    <row r="19" spans="1:23" ht="64.5" customHeight="1" x14ac:dyDescent="0.35">
      <c r="A19" s="10" t="s">
        <v>12</v>
      </c>
      <c r="B19" s="1" t="s">
        <v>17</v>
      </c>
      <c r="C19" s="4">
        <f>IFERROR(VLOOKUP($A:$A,MASTER!$A:$R,3,0),0)</f>
        <v>4989934.2371629393</v>
      </c>
      <c r="D19" s="4">
        <f>IFERROR(VLOOKUP($A:$A,MASTER!$A:$R,4,0),0)</f>
        <v>4323570.4512758711</v>
      </c>
      <c r="E19" s="9">
        <f t="shared" si="0"/>
        <v>0.15412349431947536</v>
      </c>
      <c r="F19" s="4">
        <f>IFERROR(VLOOKUP(A:A,MASTER!A:E,5,0),0)</f>
        <v>0</v>
      </c>
      <c r="G19" s="4">
        <f>IFERROR(VLOOKUP(A:A,MASTER!A:F,6,0),0)</f>
        <v>0</v>
      </c>
      <c r="H19" s="9">
        <f t="shared" si="1"/>
        <v>0</v>
      </c>
      <c r="I19" s="4">
        <f>IFERROR(VLOOKUP(A:A,MASTER!A:K,13,0),0)</f>
        <v>0</v>
      </c>
      <c r="J19" s="4">
        <f>IFERROR(VLOOKUP($A:$A,MASTER!$A:$R,14,0),0)</f>
        <v>2233468.4684684682</v>
      </c>
      <c r="K19" s="9">
        <f t="shared" si="2"/>
        <v>-1</v>
      </c>
      <c r="L19" s="4">
        <f>IFERROR(VLOOKUP($A:$A,MASTER!$A:$R,15,0),0)</f>
        <v>215315.31531531501</v>
      </c>
      <c r="M19" s="4">
        <f>IFERROR(VLOOKUP($A:$A,MASTER!$A:$R,16,0),0)</f>
        <v>771171.17117117206</v>
      </c>
      <c r="N19" s="9">
        <f t="shared" si="3"/>
        <v>-0.72079439252336519</v>
      </c>
      <c r="O19" s="4">
        <f>IFERROR(VLOOKUP($A:$A,MASTER!$A:$R,17,0),0)</f>
        <v>2856</v>
      </c>
      <c r="P19" s="4">
        <f>IFERROR(VLOOKUP($A:$A,MASTER!$A:$R,18,0),0)</f>
        <v>2953</v>
      </c>
      <c r="Q19" s="9">
        <f t="shared" si="4"/>
        <v>-3.2847951236031125E-2</v>
      </c>
      <c r="R19" s="4">
        <f>IFERROR(VLOOKUP($A:$A,MASTER!$A:$R,19,0),0)</f>
        <v>0</v>
      </c>
      <c r="S19" s="4">
        <f>IFERROR(VLOOKUP($A:$A,MASTER!$A:$R,20,0),0)</f>
        <v>0</v>
      </c>
      <c r="T19" s="9">
        <f t="shared" si="5"/>
        <v>0</v>
      </c>
      <c r="U19" s="18">
        <f>IFERROR(VLOOKUP(A:A,MASTER!A:I,11,0),0)</f>
        <v>0</v>
      </c>
      <c r="V19" s="18">
        <f>IFERROR(VLOOKUP(A:A,MASTER!A:J,12,0),0)</f>
        <v>0</v>
      </c>
      <c r="W19" s="9">
        <f t="shared" si="6"/>
        <v>0</v>
      </c>
    </row>
    <row r="20" spans="1:23" ht="64.5" customHeight="1" x14ac:dyDescent="0.35">
      <c r="A20" s="10" t="s">
        <v>36</v>
      </c>
      <c r="B20" s="1" t="s">
        <v>16</v>
      </c>
      <c r="C20" s="4">
        <f>IFERROR(VLOOKUP($A:$A,MASTER!$A:$R,3,0),0)</f>
        <v>0</v>
      </c>
      <c r="D20" s="4">
        <f>IFERROR(VLOOKUP($A:$A,MASTER!$A:$R,4,0),0)</f>
        <v>0</v>
      </c>
      <c r="E20" s="9">
        <f t="shared" si="0"/>
        <v>0</v>
      </c>
      <c r="F20" s="4">
        <f>IFERROR(VLOOKUP(A:A,MASTER!A:E,5,0),0)</f>
        <v>0</v>
      </c>
      <c r="G20" s="4">
        <f>IFERROR(VLOOKUP(A:A,MASTER!A:F,6,0),0)</f>
        <v>0</v>
      </c>
      <c r="H20" s="9">
        <f t="shared" si="1"/>
        <v>0</v>
      </c>
      <c r="I20" s="4">
        <f>IFERROR(VLOOKUP(A:A,MASTER!A:K,13,0),0)</f>
        <v>0</v>
      </c>
      <c r="J20" s="4">
        <f>IFERROR(VLOOKUP($A:$A,MASTER!$A:$R,14,0),0)</f>
        <v>0</v>
      </c>
      <c r="K20" s="9">
        <f t="shared" si="2"/>
        <v>0</v>
      </c>
      <c r="L20" s="4">
        <f>IFERROR(VLOOKUP($A:$A,MASTER!$A:$R,15,0),0)</f>
        <v>0</v>
      </c>
      <c r="M20" s="4">
        <f>IFERROR(VLOOKUP($A:$A,MASTER!$A:$R,16,0),0)</f>
        <v>0</v>
      </c>
      <c r="N20" s="9">
        <f t="shared" si="3"/>
        <v>0</v>
      </c>
      <c r="O20" s="4">
        <f>IFERROR(VLOOKUP($A:$A,MASTER!$A:$R,17,0),0)</f>
        <v>0</v>
      </c>
      <c r="P20" s="4">
        <f>IFERROR(VLOOKUP($A:$A,MASTER!$A:$R,18,0),0)</f>
        <v>0</v>
      </c>
      <c r="Q20" s="9">
        <f t="shared" si="4"/>
        <v>0</v>
      </c>
      <c r="R20" s="4">
        <f>IFERROR(VLOOKUP($A:$A,MASTER!$A:$R,19,0),0)</f>
        <v>0</v>
      </c>
      <c r="S20" s="4">
        <f>IFERROR(VLOOKUP($A:$A,MASTER!$A:$R,20,0),0)</f>
        <v>0</v>
      </c>
      <c r="T20" s="9">
        <f t="shared" si="5"/>
        <v>0</v>
      </c>
      <c r="U20" s="18">
        <f>IFERROR(VLOOKUP(A:A,MASTER!A:I,11,0),0)</f>
        <v>0</v>
      </c>
      <c r="V20" s="18">
        <f>IFERROR(VLOOKUP(A:A,MASTER!A:J,12,0),0)</f>
        <v>0</v>
      </c>
      <c r="W20" s="9">
        <f t="shared" si="6"/>
        <v>0</v>
      </c>
    </row>
    <row r="21" spans="1:23" ht="64.5" customHeight="1" x14ac:dyDescent="0.35">
      <c r="A21" s="10" t="s">
        <v>13</v>
      </c>
      <c r="B21" s="1" t="s">
        <v>16</v>
      </c>
      <c r="C21" s="4">
        <f>IFERROR(VLOOKUP($A:$A,MASTER!$A:$R,3,0),0)</f>
        <v>17362317.311545219</v>
      </c>
      <c r="D21" s="4">
        <f>IFERROR(VLOOKUP($A:$A,MASTER!$A:$R,4,0),0)</f>
        <v>16553568.53640694</v>
      </c>
      <c r="E21" s="9">
        <f t="shared" si="0"/>
        <v>4.8856460971515858E-2</v>
      </c>
      <c r="F21" s="4">
        <f>IFERROR(VLOOKUP(A:A,MASTER!A:E,5,0),0)</f>
        <v>0</v>
      </c>
      <c r="G21" s="4">
        <f>IFERROR(VLOOKUP(A:A,MASTER!A:F,6,0),0)</f>
        <v>13513.513513514001</v>
      </c>
      <c r="H21" s="9">
        <f t="shared" si="1"/>
        <v>-1</v>
      </c>
      <c r="I21" s="4">
        <f>IFERROR(VLOOKUP(A:A,MASTER!A:K,13,0),0)</f>
        <v>0</v>
      </c>
      <c r="J21" s="4">
        <f>IFERROR(VLOOKUP($A:$A,MASTER!$A:$R,14,0),0)</f>
        <v>9771702.7027027011</v>
      </c>
      <c r="K21" s="9">
        <f t="shared" si="2"/>
        <v>-1</v>
      </c>
      <c r="L21" s="4">
        <f>IFERROR(VLOOKUP($A:$A,MASTER!$A:$R,15,0),0)</f>
        <v>3112612.612612613</v>
      </c>
      <c r="M21" s="4">
        <f>IFERROR(VLOOKUP($A:$A,MASTER!$A:$R,16,0),0)</f>
        <v>1587657.6576576601</v>
      </c>
      <c r="N21" s="9">
        <f t="shared" si="3"/>
        <v>0.96050615672700168</v>
      </c>
      <c r="O21" s="4">
        <f>IFERROR(VLOOKUP($A:$A,MASTER!$A:$R,17,0),0)</f>
        <v>7533</v>
      </c>
      <c r="P21" s="4">
        <f>IFERROR(VLOOKUP($A:$A,MASTER!$A:$R,18,0),0)</f>
        <v>7239</v>
      </c>
      <c r="Q21" s="9">
        <f t="shared" si="4"/>
        <v>4.0613344384583527E-2</v>
      </c>
      <c r="R21" s="4">
        <f>IFERROR(VLOOKUP($A:$A,MASTER!$A:$R,19,0),0)</f>
        <v>0</v>
      </c>
      <c r="S21" s="4">
        <f>IFERROR(VLOOKUP($A:$A,MASTER!$A:$R,20,0),0)</f>
        <v>0</v>
      </c>
      <c r="T21" s="9">
        <f t="shared" si="5"/>
        <v>0</v>
      </c>
      <c r="U21" s="18">
        <f>IFERROR(VLOOKUP(A:A,MASTER!A:I,11,0),0)</f>
        <v>0</v>
      </c>
      <c r="V21" s="18">
        <f>IFERROR(VLOOKUP(A:A,MASTER!A:J,12,0),0)</f>
        <v>0</v>
      </c>
      <c r="W21" s="9">
        <f t="shared" si="6"/>
        <v>0</v>
      </c>
    </row>
    <row r="22" spans="1:23" ht="64.5" customHeight="1" x14ac:dyDescent="0.35">
      <c r="A22" s="10" t="s">
        <v>14</v>
      </c>
      <c r="B22" s="1" t="s">
        <v>16</v>
      </c>
      <c r="C22" s="4">
        <f>IFERROR(VLOOKUP($A:$A,MASTER!$A:$R,3,0),0)</f>
        <v>9341729.8790541776</v>
      </c>
      <c r="D22" s="4">
        <f>IFERROR(VLOOKUP($A:$A,MASTER!$A:$R,4,0),0)</f>
        <v>8580398.6492547989</v>
      </c>
      <c r="E22" s="9">
        <f t="shared" si="0"/>
        <v>8.8729120979186726E-2</v>
      </c>
      <c r="F22" s="4">
        <f>IFERROR(VLOOKUP(A:A,MASTER!A:E,5,0),0)</f>
        <v>900.900900901</v>
      </c>
      <c r="G22" s="4">
        <f>IFERROR(VLOOKUP(A:A,MASTER!A:F,6,0),0)</f>
        <v>0</v>
      </c>
      <c r="H22" s="9">
        <f t="shared" si="1"/>
        <v>0</v>
      </c>
      <c r="I22" s="4">
        <f>IFERROR(VLOOKUP(A:A,MASTER!A:K,13,0),0)</f>
        <v>0</v>
      </c>
      <c r="J22" s="4">
        <f>IFERROR(VLOOKUP($A:$A,MASTER!$A:$R,14,0),0)</f>
        <v>3376621.6216216208</v>
      </c>
      <c r="K22" s="9">
        <f t="shared" si="2"/>
        <v>-1</v>
      </c>
      <c r="L22" s="4">
        <f>IFERROR(VLOOKUP($A:$A,MASTER!$A:$R,15,0),0)</f>
        <v>681081.081081082</v>
      </c>
      <c r="M22" s="4">
        <f>IFERROR(VLOOKUP($A:$A,MASTER!$A:$R,16,0),0)</f>
        <v>1000270.2702702699</v>
      </c>
      <c r="N22" s="9">
        <f t="shared" si="3"/>
        <v>-0.31910294514995829</v>
      </c>
      <c r="O22" s="4">
        <f>IFERROR(VLOOKUP($A:$A,MASTER!$A:$R,17,0),0)</f>
        <v>4055</v>
      </c>
      <c r="P22" s="4">
        <f>IFERROR(VLOOKUP($A:$A,MASTER!$A:$R,18,0),0)</f>
        <v>4061</v>
      </c>
      <c r="Q22" s="9">
        <f t="shared" si="4"/>
        <v>-1.4774686037921647E-3</v>
      </c>
      <c r="R22" s="4">
        <f>IFERROR(VLOOKUP($A:$A,MASTER!$A:$R,19,0),0)</f>
        <v>0</v>
      </c>
      <c r="S22" s="4">
        <f>IFERROR(VLOOKUP($A:$A,MASTER!$A:$R,20,0),0)</f>
        <v>0</v>
      </c>
      <c r="T22" s="9">
        <f t="shared" si="5"/>
        <v>0</v>
      </c>
      <c r="U22" s="18">
        <f>IFERROR(VLOOKUP(A:A,MASTER!A:I,11,0),0)</f>
        <v>0</v>
      </c>
      <c r="V22" s="18">
        <f>IFERROR(VLOOKUP(A:A,MASTER!A:J,12,0),0)</f>
        <v>0</v>
      </c>
      <c r="W22" s="9">
        <f t="shared" si="6"/>
        <v>0</v>
      </c>
    </row>
  </sheetData>
  <autoFilter ref="A5:T22"/>
  <conditionalFormatting sqref="E6:E22">
    <cfRule type="cellIs" dxfId="6" priority="12" operator="lessThan">
      <formula>0</formula>
    </cfRule>
  </conditionalFormatting>
  <conditionalFormatting sqref="H6:H22">
    <cfRule type="cellIs" dxfId="5" priority="6" operator="lessThan">
      <formula>0</formula>
    </cfRule>
  </conditionalFormatting>
  <conditionalFormatting sqref="K6:K22">
    <cfRule type="cellIs" dxfId="4" priority="5" operator="lessThan">
      <formula>0</formula>
    </cfRule>
  </conditionalFormatting>
  <conditionalFormatting sqref="N6:N22">
    <cfRule type="cellIs" dxfId="3" priority="4" operator="lessThan">
      <formula>0</formula>
    </cfRule>
  </conditionalFormatting>
  <conditionalFormatting sqref="Q6:Q22">
    <cfRule type="cellIs" dxfId="2" priority="3" operator="lessThan">
      <formula>0</formula>
    </cfRule>
  </conditionalFormatting>
  <conditionalFormatting sqref="T6:T22">
    <cfRule type="cellIs" dxfId="1" priority="2" operator="lessThan">
      <formula>0</formula>
    </cfRule>
  </conditionalFormatting>
  <conditionalFormatting sqref="W6:W22">
    <cfRule type="cellIs" dxfId="0" priority="1" operator="lessThan">
      <formula>0</formula>
    </cfRule>
  </conditionalFormatting>
  <pageMargins left="0.7" right="0.7" top="0.75" bottom="0.75" header="0.3" footer="0.3"/>
  <pageSetup orientation="portrait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576"/>
  <sheetViews>
    <sheetView workbookViewId="0">
      <pane xSplit="1" ySplit="2" topLeftCell="H3" activePane="bottomRight" state="frozen"/>
      <selection pane="topRight" activeCell="B1" sqref="B1"/>
      <selection pane="bottomLeft" activeCell="A3" sqref="A3"/>
      <selection pane="bottomRight" activeCell="A3" sqref="A3:R568"/>
    </sheetView>
  </sheetViews>
  <sheetFormatPr defaultRowHeight="14.5" x14ac:dyDescent="0.35"/>
  <cols>
    <col min="1" max="1" width="36.90625" bestFit="1" customWidth="1"/>
    <col min="2" max="2" width="19.36328125" bestFit="1" customWidth="1"/>
    <col min="3" max="3" width="25.81640625" bestFit="1" customWidth="1"/>
    <col min="4" max="4" width="17.6328125" bestFit="1" customWidth="1"/>
    <col min="5" max="5" width="18.6328125" bestFit="1" customWidth="1"/>
    <col min="6" max="6" width="11.81640625" bestFit="1" customWidth="1"/>
    <col min="7" max="8" width="10.453125" bestFit="1" customWidth="1"/>
    <col min="9" max="10" width="11.36328125" bestFit="1" customWidth="1"/>
    <col min="11" max="16" width="11.81640625" bestFit="1" customWidth="1"/>
  </cols>
  <sheetData>
    <row r="1" spans="1:18" x14ac:dyDescent="0.35">
      <c r="J1" s="7"/>
      <c r="K1" s="7"/>
    </row>
    <row r="2" spans="1:18" x14ac:dyDescent="0.35">
      <c r="A2" s="7" t="s">
        <v>37</v>
      </c>
      <c r="B2" s="11"/>
      <c r="C2" s="7" t="s">
        <v>38</v>
      </c>
      <c r="D2" s="7" t="s">
        <v>38</v>
      </c>
      <c r="E2" s="7" t="s">
        <v>39</v>
      </c>
      <c r="F2" s="7" t="s">
        <v>39</v>
      </c>
      <c r="G2" s="7" t="s">
        <v>40</v>
      </c>
      <c r="H2" s="7" t="s">
        <v>40</v>
      </c>
      <c r="I2" s="7" t="s">
        <v>41</v>
      </c>
      <c r="J2" s="7" t="s">
        <v>41</v>
      </c>
      <c r="K2" s="7" t="s">
        <v>42</v>
      </c>
      <c r="L2" s="7" t="s">
        <v>42</v>
      </c>
      <c r="M2" s="7" t="s">
        <v>43</v>
      </c>
      <c r="N2" s="7" t="s">
        <v>43</v>
      </c>
      <c r="O2" s="7" t="s">
        <v>44</v>
      </c>
      <c r="P2" s="7" t="s">
        <v>44</v>
      </c>
      <c r="Q2" s="7" t="s">
        <v>30</v>
      </c>
      <c r="R2" s="7" t="s">
        <v>30</v>
      </c>
    </row>
    <row r="3" spans="1:18" x14ac:dyDescent="0.35">
      <c r="A3" s="8" t="s">
        <v>45</v>
      </c>
      <c r="B3" s="8" t="s">
        <v>46</v>
      </c>
      <c r="C3" s="8" t="s">
        <v>31</v>
      </c>
      <c r="D3" s="8" t="s">
        <v>32</v>
      </c>
      <c r="E3" s="8" t="s">
        <v>31</v>
      </c>
      <c r="F3" s="8" t="s">
        <v>32</v>
      </c>
      <c r="G3" s="8" t="s">
        <v>31</v>
      </c>
      <c r="H3" s="8" t="s">
        <v>32</v>
      </c>
      <c r="I3" s="8" t="s">
        <v>31</v>
      </c>
      <c r="J3" s="8" t="s">
        <v>32</v>
      </c>
      <c r="K3" s="8" t="s">
        <v>31</v>
      </c>
      <c r="L3" s="8" t="s">
        <v>32</v>
      </c>
      <c r="M3" s="8" t="s">
        <v>31</v>
      </c>
      <c r="N3" s="8" t="s">
        <v>32</v>
      </c>
      <c r="O3" s="8" t="s">
        <v>31</v>
      </c>
      <c r="P3" s="8" t="s">
        <v>32</v>
      </c>
      <c r="Q3" s="8" t="s">
        <v>31</v>
      </c>
      <c r="R3" s="8" t="s">
        <v>32</v>
      </c>
    </row>
    <row r="4" spans="1:18" x14ac:dyDescent="0.35">
      <c r="A4" s="7" t="s">
        <v>47</v>
      </c>
      <c r="B4" s="12" t="s">
        <v>48</v>
      </c>
      <c r="C4">
        <v>26663680.691191096</v>
      </c>
      <c r="D4">
        <v>27579467.955230128</v>
      </c>
      <c r="E4">
        <v>1801.801801802</v>
      </c>
      <c r="G4">
        <v>1</v>
      </c>
      <c r="I4">
        <v>2</v>
      </c>
      <c r="K4">
        <v>319639.63963963703</v>
      </c>
      <c r="M4">
        <v>3056981.981981982</v>
      </c>
      <c r="N4">
        <v>2679144.144144143</v>
      </c>
      <c r="O4">
        <v>593243.24324324005</v>
      </c>
      <c r="P4">
        <v>637477.47747747705</v>
      </c>
      <c r="Q4">
        <v>8401</v>
      </c>
      <c r="R4">
        <v>8201</v>
      </c>
    </row>
    <row r="5" spans="1:18" x14ac:dyDescent="0.35">
      <c r="A5" s="7" t="s">
        <v>49</v>
      </c>
      <c r="B5" s="12" t="s">
        <v>50</v>
      </c>
      <c r="C5">
        <v>43325755.02558893</v>
      </c>
      <c r="D5">
        <v>44137322.326057002</v>
      </c>
      <c r="E5">
        <v>11711.711711713</v>
      </c>
      <c r="F5">
        <v>243243.24324324599</v>
      </c>
      <c r="G5">
        <v>11</v>
      </c>
      <c r="H5">
        <v>3</v>
      </c>
      <c r="I5">
        <v>17</v>
      </c>
      <c r="J5">
        <v>16</v>
      </c>
      <c r="K5">
        <v>31839639.639639635</v>
      </c>
      <c r="L5">
        <v>17408468.468468469</v>
      </c>
      <c r="M5">
        <v>12103558.558558555</v>
      </c>
      <c r="N5">
        <v>12720387.387387387</v>
      </c>
      <c r="O5">
        <v>29961981.981981978</v>
      </c>
      <c r="P5">
        <v>14442792.79279279</v>
      </c>
      <c r="Q5">
        <v>20779</v>
      </c>
      <c r="R5">
        <v>19786</v>
      </c>
    </row>
    <row r="6" spans="1:18" x14ac:dyDescent="0.35">
      <c r="A6" s="7" t="s">
        <v>51</v>
      </c>
      <c r="B6" s="12" t="s">
        <v>52</v>
      </c>
      <c r="C6">
        <v>10669903.677637547</v>
      </c>
      <c r="D6">
        <v>9297692.2622714192</v>
      </c>
      <c r="F6">
        <v>202702.70270270301</v>
      </c>
      <c r="G6">
        <v>2</v>
      </c>
      <c r="H6">
        <v>8</v>
      </c>
      <c r="I6">
        <v>3</v>
      </c>
      <c r="J6">
        <v>8</v>
      </c>
      <c r="K6">
        <v>540540.54054054106</v>
      </c>
      <c r="L6">
        <v>1072072.0720720741</v>
      </c>
      <c r="M6">
        <v>3122252.2522522518</v>
      </c>
      <c r="N6">
        <v>3021126.1261261259</v>
      </c>
      <c r="O6">
        <v>2617117.1171171181</v>
      </c>
      <c r="P6">
        <v>1020270.270270273</v>
      </c>
      <c r="Q6">
        <v>4494</v>
      </c>
      <c r="R6">
        <v>4734</v>
      </c>
    </row>
    <row r="7" spans="1:18" x14ac:dyDescent="0.35">
      <c r="A7" s="7" t="s">
        <v>53</v>
      </c>
      <c r="B7" s="12" t="s">
        <v>54</v>
      </c>
      <c r="C7">
        <v>5901303.2741222139</v>
      </c>
      <c r="D7">
        <v>6392427.1020930484</v>
      </c>
      <c r="E7">
        <v>900.900900901</v>
      </c>
      <c r="F7">
        <v>54054.054054054999</v>
      </c>
      <c r="G7">
        <v>1</v>
      </c>
      <c r="H7">
        <v>1</v>
      </c>
      <c r="I7">
        <v>1</v>
      </c>
      <c r="J7">
        <v>1</v>
      </c>
      <c r="K7">
        <v>361261.26126126101</v>
      </c>
      <c r="L7">
        <v>507027.02702702797</v>
      </c>
      <c r="M7">
        <v>1878459.4594594589</v>
      </c>
      <c r="N7">
        <v>1670441.4414414431</v>
      </c>
      <c r="O7">
        <v>436936.93693693599</v>
      </c>
      <c r="P7">
        <v>457117.11711711698</v>
      </c>
      <c r="Q7">
        <v>3657</v>
      </c>
      <c r="R7">
        <v>3724</v>
      </c>
    </row>
    <row r="8" spans="1:18" x14ac:dyDescent="0.35">
      <c r="A8" s="7" t="s">
        <v>55</v>
      </c>
      <c r="B8" s="12" t="s">
        <v>54</v>
      </c>
      <c r="C8">
        <v>9817618.5317094717</v>
      </c>
      <c r="D8">
        <v>9729124.1690195743</v>
      </c>
      <c r="E8">
        <v>1801.801801802</v>
      </c>
      <c r="F8">
        <v>67567.567567570004</v>
      </c>
      <c r="H8">
        <v>3</v>
      </c>
      <c r="I8">
        <v>17</v>
      </c>
      <c r="J8">
        <v>5</v>
      </c>
      <c r="K8">
        <v>1046846.846846846</v>
      </c>
      <c r="L8">
        <v>2246306.3063063091</v>
      </c>
      <c r="M8">
        <v>1889846.8468468471</v>
      </c>
      <c r="N8">
        <v>2784585.5855855858</v>
      </c>
      <c r="O8">
        <v>995945.94594594499</v>
      </c>
      <c r="P8">
        <v>3285405.4054054078</v>
      </c>
      <c r="Q8">
        <v>4530</v>
      </c>
      <c r="R8">
        <v>4420</v>
      </c>
    </row>
    <row r="9" spans="1:18" x14ac:dyDescent="0.35">
      <c r="A9" s="7" t="s">
        <v>56</v>
      </c>
      <c r="B9" s="12" t="s">
        <v>54</v>
      </c>
      <c r="C9">
        <v>5139125.7468863931</v>
      </c>
      <c r="D9">
        <v>4596896.1975087486</v>
      </c>
      <c r="F9">
        <v>40540.540540542002</v>
      </c>
      <c r="H9">
        <v>2</v>
      </c>
      <c r="I9">
        <v>1</v>
      </c>
      <c r="J9">
        <v>3</v>
      </c>
      <c r="K9">
        <v>310810.810810811</v>
      </c>
      <c r="L9">
        <v>1211711.7117117131</v>
      </c>
      <c r="M9">
        <v>1578063.063063063</v>
      </c>
      <c r="N9">
        <v>1165225.2252252251</v>
      </c>
      <c r="O9">
        <v>427927.92792792898</v>
      </c>
      <c r="P9">
        <v>147747.747747749</v>
      </c>
      <c r="Q9">
        <v>2097</v>
      </c>
      <c r="R9">
        <v>1959</v>
      </c>
    </row>
    <row r="10" spans="1:18" x14ac:dyDescent="0.35">
      <c r="A10" s="7" t="s">
        <v>57</v>
      </c>
      <c r="B10" s="12" t="s">
        <v>58</v>
      </c>
      <c r="C10">
        <v>12844160.950546224</v>
      </c>
      <c r="D10">
        <v>12748792.416849883</v>
      </c>
      <c r="E10">
        <v>900.900900901</v>
      </c>
      <c r="G10">
        <v>2</v>
      </c>
      <c r="H10">
        <v>3</v>
      </c>
      <c r="I10">
        <v>3</v>
      </c>
      <c r="J10">
        <v>5</v>
      </c>
      <c r="K10">
        <v>900.900900901</v>
      </c>
      <c r="M10">
        <v>1965135.1351351349</v>
      </c>
      <c r="N10">
        <v>2122792.792792792</v>
      </c>
      <c r="O10">
        <v>86936.936936936996</v>
      </c>
      <c r="P10">
        <v>80180.180180181007</v>
      </c>
      <c r="Q10">
        <v>5594</v>
      </c>
      <c r="R10">
        <v>5438</v>
      </c>
    </row>
    <row r="11" spans="1:18" x14ac:dyDescent="0.35">
      <c r="A11" s="7" t="s">
        <v>59</v>
      </c>
      <c r="B11" s="12" t="s">
        <v>60</v>
      </c>
      <c r="C11">
        <v>5603436.0517915757</v>
      </c>
      <c r="D11">
        <v>4610946.3205582192</v>
      </c>
      <c r="E11">
        <v>2702.7027027029999</v>
      </c>
      <c r="F11">
        <v>27027.027027028002</v>
      </c>
      <c r="H11">
        <v>1</v>
      </c>
      <c r="J11">
        <v>2</v>
      </c>
      <c r="K11">
        <v>1263963.9639639631</v>
      </c>
      <c r="L11">
        <v>1018018.018018018</v>
      </c>
      <c r="M11">
        <v>2826702.702702702</v>
      </c>
      <c r="N11">
        <v>1787045.045045045</v>
      </c>
      <c r="O11">
        <v>437657.65765765699</v>
      </c>
      <c r="P11">
        <v>435585.58558558498</v>
      </c>
      <c r="Q11">
        <v>2924</v>
      </c>
      <c r="R11">
        <v>2342</v>
      </c>
    </row>
    <row r="12" spans="1:18" x14ac:dyDescent="0.35">
      <c r="A12" s="7" t="s">
        <v>61</v>
      </c>
      <c r="B12" s="12" t="s">
        <v>62</v>
      </c>
      <c r="C12">
        <v>25142131.128868598</v>
      </c>
      <c r="D12">
        <v>23930222.804448832</v>
      </c>
      <c r="E12">
        <v>22650370.270270273</v>
      </c>
      <c r="F12">
        <v>1608554.9549549569</v>
      </c>
      <c r="G12">
        <v>5</v>
      </c>
      <c r="H12">
        <v>2</v>
      </c>
      <c r="I12">
        <v>6</v>
      </c>
      <c r="J12">
        <v>3</v>
      </c>
      <c r="K12">
        <v>12338049.54954955</v>
      </c>
      <c r="L12">
        <v>11248941.441441443</v>
      </c>
      <c r="M12">
        <v>2156711.7117117122</v>
      </c>
      <c r="N12">
        <v>2225765.7657657638</v>
      </c>
      <c r="O12">
        <v>125225.22522522599</v>
      </c>
      <c r="P12">
        <v>1358108.1081081079</v>
      </c>
      <c r="Q12">
        <v>8878</v>
      </c>
      <c r="R12">
        <v>8682</v>
      </c>
    </row>
    <row r="13" spans="1:18" x14ac:dyDescent="0.35">
      <c r="A13" s="7" t="s">
        <v>63</v>
      </c>
      <c r="B13" s="12" t="s">
        <v>50</v>
      </c>
      <c r="C13">
        <v>13373723.876097407</v>
      </c>
      <c r="D13">
        <v>13401546.126808183</v>
      </c>
      <c r="F13">
        <v>202702.702702704</v>
      </c>
      <c r="J13">
        <v>6</v>
      </c>
      <c r="K13">
        <v>2071621.6216216229</v>
      </c>
      <c r="L13">
        <v>5283783.7837837832</v>
      </c>
      <c r="M13">
        <v>4187207.2072072071</v>
      </c>
      <c r="N13">
        <v>4376495.4954954954</v>
      </c>
      <c r="O13">
        <v>1888108.1081081079</v>
      </c>
      <c r="P13">
        <v>5698918.918918916</v>
      </c>
      <c r="Q13">
        <v>5567</v>
      </c>
      <c r="R13">
        <v>5510</v>
      </c>
    </row>
    <row r="14" spans="1:18" x14ac:dyDescent="0.35">
      <c r="A14" s="7" t="s">
        <v>64</v>
      </c>
      <c r="B14" s="12" t="s">
        <v>50</v>
      </c>
      <c r="C14">
        <v>13572823.631879101</v>
      </c>
      <c r="D14">
        <v>13293245.453694684</v>
      </c>
      <c r="E14">
        <v>272972.97297297302</v>
      </c>
      <c r="F14">
        <v>270270.27027027099</v>
      </c>
      <c r="G14">
        <v>1</v>
      </c>
      <c r="H14">
        <v>1</v>
      </c>
      <c r="I14">
        <v>1</v>
      </c>
      <c r="J14">
        <v>2</v>
      </c>
      <c r="K14">
        <v>1173873.8738738741</v>
      </c>
      <c r="L14">
        <v>1450450.4504504499</v>
      </c>
      <c r="M14">
        <v>4490657.6576576568</v>
      </c>
      <c r="N14">
        <v>3850963.963963964</v>
      </c>
      <c r="O14">
        <v>916756.75675675704</v>
      </c>
      <c r="P14">
        <v>2164954.9549549529</v>
      </c>
      <c r="Q14">
        <v>5443</v>
      </c>
      <c r="R14">
        <v>5568</v>
      </c>
    </row>
    <row r="15" spans="1:18" x14ac:dyDescent="0.35">
      <c r="A15" s="7" t="s">
        <v>65</v>
      </c>
      <c r="B15" s="12" t="s">
        <v>66</v>
      </c>
      <c r="C15">
        <v>13652152.987133021</v>
      </c>
      <c r="D15">
        <v>12612232.384954983</v>
      </c>
      <c r="E15">
        <v>2702.7027027029999</v>
      </c>
      <c r="F15">
        <v>108108.108108111</v>
      </c>
      <c r="G15">
        <v>2</v>
      </c>
      <c r="H15">
        <v>3</v>
      </c>
      <c r="I15">
        <v>4</v>
      </c>
      <c r="J15">
        <v>3</v>
      </c>
      <c r="K15">
        <v>2702.7027027029999</v>
      </c>
      <c r="L15">
        <v>797297.29729729902</v>
      </c>
      <c r="M15">
        <v>6506621.6216216218</v>
      </c>
      <c r="N15">
        <v>6241351.3513513505</v>
      </c>
      <c r="O15">
        <v>501171.17117117101</v>
      </c>
      <c r="P15">
        <v>1149639.6396396409</v>
      </c>
      <c r="Q15">
        <v>6331</v>
      </c>
      <c r="R15">
        <v>5702</v>
      </c>
    </row>
    <row r="16" spans="1:18" x14ac:dyDescent="0.35">
      <c r="A16" s="7" t="s">
        <v>67</v>
      </c>
      <c r="B16" s="12" t="s">
        <v>68</v>
      </c>
      <c r="C16">
        <v>6647785.0533888033</v>
      </c>
      <c r="D16">
        <v>7298073.2611365272</v>
      </c>
      <c r="E16">
        <v>900.900900901</v>
      </c>
      <c r="G16">
        <v>2</v>
      </c>
      <c r="H16">
        <v>1</v>
      </c>
      <c r="I16">
        <v>2</v>
      </c>
      <c r="J16">
        <v>2</v>
      </c>
      <c r="K16">
        <v>595495.49549549504</v>
      </c>
      <c r="L16">
        <v>4585585.5855855839</v>
      </c>
      <c r="M16">
        <v>2106441.4414414419</v>
      </c>
      <c r="N16">
        <v>2144495.4954954959</v>
      </c>
      <c r="O16">
        <v>1578018.0180180189</v>
      </c>
      <c r="P16">
        <v>1481171.1711711709</v>
      </c>
      <c r="Q16">
        <v>3350</v>
      </c>
      <c r="R16">
        <v>3163</v>
      </c>
    </row>
    <row r="17" spans="1:18" x14ac:dyDescent="0.35">
      <c r="A17" s="7" t="s">
        <v>69</v>
      </c>
      <c r="B17" s="12" t="s">
        <v>70</v>
      </c>
      <c r="C17">
        <v>539609.65956698102</v>
      </c>
      <c r="D17">
        <v>609029.815568825</v>
      </c>
      <c r="M17">
        <v>95225.225225225004</v>
      </c>
      <c r="N17">
        <v>375855.85585585597</v>
      </c>
      <c r="P17">
        <v>124324.324324324</v>
      </c>
      <c r="Q17">
        <v>341</v>
      </c>
      <c r="R17">
        <v>806</v>
      </c>
    </row>
    <row r="18" spans="1:18" x14ac:dyDescent="0.35">
      <c r="A18" s="7" t="s">
        <v>71</v>
      </c>
      <c r="B18" s="12" t="s">
        <v>72</v>
      </c>
      <c r="C18">
        <v>97730227.42090863</v>
      </c>
      <c r="D18">
        <v>98432127.308020309</v>
      </c>
      <c r="E18">
        <v>231573922.52252254</v>
      </c>
      <c r="F18">
        <v>1601791.8918919021</v>
      </c>
      <c r="G18">
        <v>23</v>
      </c>
      <c r="H18">
        <v>10</v>
      </c>
      <c r="I18">
        <v>31</v>
      </c>
      <c r="J18">
        <v>49</v>
      </c>
      <c r="K18">
        <v>10424324.324324319</v>
      </c>
      <c r="L18">
        <v>17193700.900900908</v>
      </c>
      <c r="M18">
        <v>21147567.567567568</v>
      </c>
      <c r="N18">
        <v>22099891.891891893</v>
      </c>
      <c r="O18">
        <v>10571441.441441445</v>
      </c>
      <c r="P18">
        <v>14869369.369369388</v>
      </c>
      <c r="Q18">
        <v>45504</v>
      </c>
      <c r="R18">
        <v>46575</v>
      </c>
    </row>
    <row r="19" spans="1:18" x14ac:dyDescent="0.35">
      <c r="A19" s="7" t="s">
        <v>73</v>
      </c>
      <c r="B19" s="12" t="s">
        <v>72</v>
      </c>
      <c r="C19">
        <v>9701496.8747334424</v>
      </c>
      <c r="D19">
        <v>10150342.771094641</v>
      </c>
      <c r="I19">
        <v>1</v>
      </c>
      <c r="J19">
        <v>1</v>
      </c>
      <c r="M19">
        <v>1118513.5135135129</v>
      </c>
      <c r="N19">
        <v>1413189.1891891891</v>
      </c>
      <c r="P19">
        <v>414864.86486486503</v>
      </c>
      <c r="Q19">
        <v>3701</v>
      </c>
      <c r="R19">
        <v>3507</v>
      </c>
    </row>
    <row r="20" spans="1:18" x14ac:dyDescent="0.35">
      <c r="A20" s="7" t="s">
        <v>74</v>
      </c>
      <c r="B20" s="12" t="s">
        <v>70</v>
      </c>
      <c r="C20">
        <v>10204531.407801123</v>
      </c>
      <c r="D20">
        <v>11244007.004372008</v>
      </c>
      <c r="F20">
        <v>364864.86486486899</v>
      </c>
      <c r="G20">
        <v>2</v>
      </c>
      <c r="H20">
        <v>2</v>
      </c>
      <c r="I20">
        <v>2</v>
      </c>
      <c r="J20">
        <v>3</v>
      </c>
      <c r="K20">
        <v>1974774.7747747761</v>
      </c>
      <c r="L20">
        <v>1114414.4144144191</v>
      </c>
      <c r="M20">
        <v>3428243.243243244</v>
      </c>
      <c r="N20">
        <v>4083423.4234234239</v>
      </c>
      <c r="O20">
        <v>1550900.900900902</v>
      </c>
      <c r="P20">
        <v>1192072.0720720729</v>
      </c>
      <c r="Q20">
        <v>4374</v>
      </c>
      <c r="R20">
        <v>4247</v>
      </c>
    </row>
    <row r="21" spans="1:18" x14ac:dyDescent="0.35">
      <c r="A21" s="7" t="s">
        <v>75</v>
      </c>
      <c r="B21" s="12" t="s">
        <v>76</v>
      </c>
      <c r="C21">
        <v>3480362.39609857</v>
      </c>
      <c r="D21">
        <v>3632588.5895691612</v>
      </c>
      <c r="E21">
        <v>900.900900901</v>
      </c>
      <c r="F21">
        <v>13513.513513514001</v>
      </c>
      <c r="G21">
        <v>1</v>
      </c>
      <c r="I21">
        <v>1</v>
      </c>
      <c r="K21">
        <v>1081981.9819819811</v>
      </c>
      <c r="L21">
        <v>27927.927927928002</v>
      </c>
      <c r="M21">
        <v>892477.47747747798</v>
      </c>
      <c r="N21">
        <v>626666.66666666698</v>
      </c>
      <c r="O21">
        <v>532252.25225225196</v>
      </c>
      <c r="P21">
        <v>29729.729729729999</v>
      </c>
      <c r="Q21">
        <v>1528</v>
      </c>
      <c r="R21">
        <v>1491</v>
      </c>
    </row>
    <row r="22" spans="1:18" x14ac:dyDescent="0.35">
      <c r="A22" s="7" t="s">
        <v>77</v>
      </c>
      <c r="B22" s="12" t="s">
        <v>78</v>
      </c>
      <c r="C22">
        <v>7403708.2100159954</v>
      </c>
      <c r="D22">
        <v>6902894.0961389607</v>
      </c>
      <c r="E22">
        <v>1801.801801802</v>
      </c>
      <c r="F22">
        <v>13513.513513514001</v>
      </c>
      <c r="G22">
        <v>1</v>
      </c>
      <c r="I22">
        <v>1</v>
      </c>
      <c r="J22">
        <v>1</v>
      </c>
      <c r="K22">
        <v>1001801.801801801</v>
      </c>
      <c r="L22">
        <v>734234.23423423502</v>
      </c>
      <c r="M22">
        <v>2305180.1801801808</v>
      </c>
      <c r="N22">
        <v>2012162.1621621631</v>
      </c>
      <c r="O22">
        <v>764774.77477477503</v>
      </c>
      <c r="P22">
        <v>821981.98198198201</v>
      </c>
      <c r="Q22">
        <v>2533</v>
      </c>
      <c r="R22">
        <v>2554</v>
      </c>
    </row>
    <row r="23" spans="1:18" x14ac:dyDescent="0.35">
      <c r="A23" s="7" t="s">
        <v>79</v>
      </c>
      <c r="B23" s="12" t="s">
        <v>80</v>
      </c>
      <c r="C23">
        <v>60975822.287893169</v>
      </c>
      <c r="D23">
        <v>58287760.977428995</v>
      </c>
      <c r="E23">
        <v>7207.207207208</v>
      </c>
      <c r="F23">
        <v>261261.26126126599</v>
      </c>
      <c r="G23">
        <v>15</v>
      </c>
      <c r="H23">
        <v>13</v>
      </c>
      <c r="I23">
        <v>26</v>
      </c>
      <c r="J23">
        <v>26</v>
      </c>
      <c r="K23">
        <v>142187387.38738737</v>
      </c>
      <c r="L23">
        <v>7207207.2072072076</v>
      </c>
      <c r="M23">
        <v>16668225.225225223</v>
      </c>
      <c r="N23">
        <v>14426396.396396397</v>
      </c>
      <c r="O23">
        <v>6840000.0000000028</v>
      </c>
      <c r="P23">
        <v>4580900.9009009004</v>
      </c>
      <c r="Q23">
        <v>26316</v>
      </c>
      <c r="R23">
        <v>27559</v>
      </c>
    </row>
    <row r="24" spans="1:18" x14ac:dyDescent="0.35">
      <c r="A24" s="7" t="s">
        <v>81</v>
      </c>
      <c r="B24" s="12" t="s">
        <v>54</v>
      </c>
      <c r="C24">
        <v>1904884.876925515</v>
      </c>
      <c r="D24">
        <v>2029022.1645433099</v>
      </c>
      <c r="E24">
        <v>900.900900901</v>
      </c>
      <c r="F24">
        <v>13513.513513514001</v>
      </c>
      <c r="K24">
        <v>9909.9099099100004</v>
      </c>
      <c r="L24">
        <v>13513.513513514001</v>
      </c>
      <c r="M24">
        <v>364639.639639639</v>
      </c>
      <c r="N24">
        <v>454945.94594594598</v>
      </c>
      <c r="O24">
        <v>145945.945945946</v>
      </c>
      <c r="Q24">
        <v>1321</v>
      </c>
      <c r="R24">
        <v>1438</v>
      </c>
    </row>
    <row r="25" spans="1:18" x14ac:dyDescent="0.35">
      <c r="A25" s="7" t="s">
        <v>82</v>
      </c>
      <c r="B25" s="12" t="s">
        <v>83</v>
      </c>
      <c r="C25">
        <v>47168038.384778999</v>
      </c>
      <c r="D25">
        <v>46306957.109464802</v>
      </c>
      <c r="E25">
        <v>273873.87387387402</v>
      </c>
      <c r="F25">
        <v>297297.297297301</v>
      </c>
      <c r="G25">
        <v>4</v>
      </c>
      <c r="H25">
        <v>7</v>
      </c>
      <c r="I25">
        <v>6</v>
      </c>
      <c r="J25">
        <v>9</v>
      </c>
      <c r="K25">
        <v>5025225.2252252242</v>
      </c>
      <c r="L25">
        <v>27391891.891891897</v>
      </c>
      <c r="M25">
        <v>11956495.495495496</v>
      </c>
      <c r="N25">
        <v>11634837.837837838</v>
      </c>
      <c r="O25">
        <v>5243963.963963965</v>
      </c>
      <c r="P25">
        <v>4046036.0360360388</v>
      </c>
      <c r="Q25">
        <v>14931</v>
      </c>
      <c r="R25">
        <v>15691</v>
      </c>
    </row>
    <row r="26" spans="1:18" x14ac:dyDescent="0.35">
      <c r="A26" s="7" t="s">
        <v>84</v>
      </c>
      <c r="B26" s="12" t="s">
        <v>85</v>
      </c>
      <c r="C26">
        <v>4226594.5093279621</v>
      </c>
      <c r="D26">
        <v>4087430.9260573522</v>
      </c>
      <c r="E26">
        <v>2702.7027027029999</v>
      </c>
      <c r="F26">
        <v>94594.594594594993</v>
      </c>
      <c r="I26">
        <v>2</v>
      </c>
      <c r="J26">
        <v>1</v>
      </c>
      <c r="K26">
        <v>10543243.243243244</v>
      </c>
      <c r="L26">
        <v>545045.04504504497</v>
      </c>
      <c r="M26">
        <v>1279054.054054054</v>
      </c>
      <c r="N26">
        <v>1260594.594594595</v>
      </c>
      <c r="O26">
        <v>1806306.3063063051</v>
      </c>
      <c r="P26">
        <v>246936.93693693701</v>
      </c>
      <c r="Q26">
        <v>2294</v>
      </c>
      <c r="R26">
        <v>2211</v>
      </c>
    </row>
    <row r="27" spans="1:18" x14ac:dyDescent="0.35">
      <c r="A27" s="7" t="s">
        <v>86</v>
      </c>
      <c r="B27" s="12" t="s">
        <v>87</v>
      </c>
      <c r="C27">
        <v>171201.33897071</v>
      </c>
      <c r="D27">
        <v>121220.8326949</v>
      </c>
      <c r="G27">
        <v>1</v>
      </c>
      <c r="I27">
        <v>1</v>
      </c>
      <c r="M27">
        <v>81936.936936936996</v>
      </c>
      <c r="N27">
        <v>156351.35135135101</v>
      </c>
      <c r="Q27">
        <v>170</v>
      </c>
      <c r="R27">
        <v>173</v>
      </c>
    </row>
    <row r="28" spans="1:18" x14ac:dyDescent="0.35">
      <c r="A28" s="7" t="s">
        <v>88</v>
      </c>
      <c r="B28" s="12" t="s">
        <v>89</v>
      </c>
      <c r="C28">
        <v>9098538.9788579084</v>
      </c>
      <c r="D28">
        <v>9093651.7119664159</v>
      </c>
      <c r="F28">
        <v>13513.513513514001</v>
      </c>
      <c r="G28">
        <v>1</v>
      </c>
      <c r="I28">
        <v>1</v>
      </c>
      <c r="J28">
        <v>1</v>
      </c>
      <c r="K28">
        <v>1711711.711711711</v>
      </c>
      <c r="L28">
        <v>193693.69369369399</v>
      </c>
      <c r="M28">
        <v>2687972.9729729728</v>
      </c>
      <c r="N28">
        <v>3092567.5675675678</v>
      </c>
      <c r="O28">
        <v>771621.62162162096</v>
      </c>
      <c r="P28">
        <v>714954.95495495503</v>
      </c>
      <c r="Q28">
        <v>3422</v>
      </c>
      <c r="R28">
        <v>3254</v>
      </c>
    </row>
    <row r="29" spans="1:18" x14ac:dyDescent="0.35">
      <c r="A29" s="7" t="s">
        <v>90</v>
      </c>
      <c r="B29" s="12" t="s">
        <v>60</v>
      </c>
      <c r="C29">
        <v>2881972.1835869788</v>
      </c>
      <c r="D29">
        <v>3419863.0849500308</v>
      </c>
      <c r="H29">
        <v>1</v>
      </c>
      <c r="J29">
        <v>35</v>
      </c>
      <c r="L29">
        <v>270270.27027027</v>
      </c>
      <c r="M29">
        <v>1335000</v>
      </c>
      <c r="N29">
        <v>2041216.216216217</v>
      </c>
      <c r="P29">
        <v>50450.45045045</v>
      </c>
      <c r="Q29">
        <v>1559</v>
      </c>
      <c r="R29">
        <v>1611</v>
      </c>
    </row>
    <row r="30" spans="1:18" x14ac:dyDescent="0.35">
      <c r="A30" s="7" t="s">
        <v>91</v>
      </c>
      <c r="B30" s="12" t="s">
        <v>92</v>
      </c>
      <c r="C30">
        <v>2597284.7906578099</v>
      </c>
      <c r="D30">
        <v>2387511.6177629149</v>
      </c>
      <c r="H30">
        <v>1</v>
      </c>
      <c r="I30">
        <v>1</v>
      </c>
      <c r="J30">
        <v>1</v>
      </c>
      <c r="K30">
        <v>952702.70270270295</v>
      </c>
      <c r="M30">
        <v>796936.93693693704</v>
      </c>
      <c r="N30">
        <v>642459.45945945894</v>
      </c>
      <c r="Q30">
        <v>1035</v>
      </c>
      <c r="R30">
        <v>997</v>
      </c>
    </row>
    <row r="31" spans="1:18" x14ac:dyDescent="0.35">
      <c r="A31" s="7" t="s">
        <v>93</v>
      </c>
      <c r="B31" s="12" t="s">
        <v>94</v>
      </c>
      <c r="C31">
        <v>10395535.454210652</v>
      </c>
      <c r="D31">
        <v>10595201.515887544</v>
      </c>
      <c r="E31">
        <v>900.900900901</v>
      </c>
      <c r="J31">
        <v>2</v>
      </c>
      <c r="K31">
        <v>451351.35135135101</v>
      </c>
      <c r="L31">
        <v>1333333.333333333</v>
      </c>
      <c r="M31">
        <v>1572207.2072072059</v>
      </c>
      <c r="N31">
        <v>1504909.9099099101</v>
      </c>
      <c r="O31">
        <v>1023873.873873875</v>
      </c>
      <c r="P31">
        <v>1499189.189189187</v>
      </c>
      <c r="Q31">
        <v>4434</v>
      </c>
      <c r="R31">
        <v>4346</v>
      </c>
    </row>
    <row r="32" spans="1:18" x14ac:dyDescent="0.35">
      <c r="A32" s="7" t="s">
        <v>95</v>
      </c>
      <c r="B32" s="12" t="s">
        <v>96</v>
      </c>
      <c r="C32">
        <v>12150541.037469264</v>
      </c>
      <c r="D32">
        <v>11486432.26634833</v>
      </c>
      <c r="F32">
        <v>27027.027027028002</v>
      </c>
      <c r="G32">
        <v>2</v>
      </c>
      <c r="H32">
        <v>5</v>
      </c>
      <c r="I32">
        <v>2</v>
      </c>
      <c r="J32">
        <v>6</v>
      </c>
      <c r="K32">
        <v>1891891.8918918921</v>
      </c>
      <c r="L32">
        <v>5545945.9459459456</v>
      </c>
      <c r="M32">
        <v>5303684.6846846826</v>
      </c>
      <c r="N32">
        <v>5063396.3963963958</v>
      </c>
      <c r="O32">
        <v>1955585.585585586</v>
      </c>
      <c r="P32">
        <v>1006036.036036036</v>
      </c>
      <c r="Q32">
        <v>6060</v>
      </c>
      <c r="R32">
        <v>5919</v>
      </c>
    </row>
    <row r="33" spans="1:18" x14ac:dyDescent="0.35">
      <c r="A33" s="7" t="s">
        <v>97</v>
      </c>
      <c r="B33" s="12" t="s">
        <v>98</v>
      </c>
      <c r="C33">
        <v>46265245.28544572</v>
      </c>
      <c r="D33">
        <v>44755294.413885631</v>
      </c>
      <c r="E33">
        <v>150450.450450451</v>
      </c>
      <c r="F33">
        <v>162162.162162163</v>
      </c>
      <c r="G33">
        <v>12</v>
      </c>
      <c r="H33">
        <v>10</v>
      </c>
      <c r="I33">
        <v>19</v>
      </c>
      <c r="J33">
        <v>17</v>
      </c>
      <c r="K33">
        <v>4341441.4414414391</v>
      </c>
      <c r="L33">
        <v>10527297.297297295</v>
      </c>
      <c r="M33">
        <v>11178468.468468469</v>
      </c>
      <c r="N33">
        <v>11532639.63963964</v>
      </c>
      <c r="O33">
        <v>4360360.3603603598</v>
      </c>
      <c r="P33">
        <v>7070990.9909909917</v>
      </c>
      <c r="Q33">
        <v>22481</v>
      </c>
      <c r="R33">
        <v>21650</v>
      </c>
    </row>
    <row r="34" spans="1:18" x14ac:dyDescent="0.35">
      <c r="A34" s="7" t="s">
        <v>99</v>
      </c>
      <c r="B34" s="12" t="s">
        <v>98</v>
      </c>
      <c r="C34">
        <v>74941482.045303002</v>
      </c>
      <c r="D34">
        <v>73992046.476274535</v>
      </c>
      <c r="E34">
        <v>23618.018018019</v>
      </c>
      <c r="F34">
        <v>444169.36936936999</v>
      </c>
      <c r="G34">
        <v>15</v>
      </c>
      <c r="H34">
        <v>15</v>
      </c>
      <c r="I34">
        <v>31</v>
      </c>
      <c r="J34">
        <v>34</v>
      </c>
      <c r="K34">
        <v>3981081.0810810798</v>
      </c>
      <c r="L34">
        <v>5779279.2792792786</v>
      </c>
      <c r="M34">
        <v>13378175.675675677</v>
      </c>
      <c r="N34">
        <v>14347630.630630633</v>
      </c>
      <c r="O34">
        <v>3138738.738738738</v>
      </c>
      <c r="P34">
        <v>3699459.4594594589</v>
      </c>
      <c r="Q34">
        <v>28177</v>
      </c>
      <c r="R34">
        <v>30439</v>
      </c>
    </row>
    <row r="35" spans="1:18" x14ac:dyDescent="0.35">
      <c r="A35" s="7" t="s">
        <v>100</v>
      </c>
      <c r="B35" s="12" t="s">
        <v>98</v>
      </c>
      <c r="C35">
        <v>72880073.85721682</v>
      </c>
      <c r="D35">
        <v>71107897.595434681</v>
      </c>
      <c r="E35">
        <v>13513.513513514999</v>
      </c>
      <c r="F35">
        <v>189189.18918919199</v>
      </c>
      <c r="G35">
        <v>9</v>
      </c>
      <c r="H35">
        <v>11</v>
      </c>
      <c r="I35">
        <v>88</v>
      </c>
      <c r="J35">
        <v>21</v>
      </c>
      <c r="K35">
        <v>3171846.8468468469</v>
      </c>
      <c r="L35">
        <v>11779279.27927928</v>
      </c>
      <c r="M35">
        <v>13213603.603603603</v>
      </c>
      <c r="N35">
        <v>14249603.603603609</v>
      </c>
      <c r="O35">
        <v>2857612.612612613</v>
      </c>
      <c r="P35">
        <v>8794954.9549549557</v>
      </c>
      <c r="Q35">
        <v>33301</v>
      </c>
      <c r="R35">
        <v>32994</v>
      </c>
    </row>
    <row r="36" spans="1:18" x14ac:dyDescent="0.35">
      <c r="A36" s="7" t="s">
        <v>101</v>
      </c>
      <c r="B36" s="12" t="s">
        <v>98</v>
      </c>
      <c r="C36">
        <v>43531544.499508992</v>
      </c>
      <c r="D36">
        <v>42169505.210994385</v>
      </c>
      <c r="E36">
        <v>5405.4054054059998</v>
      </c>
      <c r="F36">
        <v>81081.081081081997</v>
      </c>
      <c r="G36">
        <v>11</v>
      </c>
      <c r="H36">
        <v>8</v>
      </c>
      <c r="I36">
        <v>19</v>
      </c>
      <c r="J36">
        <v>15</v>
      </c>
      <c r="K36">
        <v>2284684.684684684</v>
      </c>
      <c r="L36">
        <v>4720720.7207207186</v>
      </c>
      <c r="M36">
        <v>8487027.0270270258</v>
      </c>
      <c r="N36">
        <v>10035324.324324325</v>
      </c>
      <c r="O36">
        <v>2115135.1351351351</v>
      </c>
      <c r="P36">
        <v>3695855.8558558561</v>
      </c>
      <c r="Q36">
        <v>21445</v>
      </c>
      <c r="R36">
        <v>21387</v>
      </c>
    </row>
    <row r="37" spans="1:18" x14ac:dyDescent="0.35">
      <c r="A37" s="7" t="s">
        <v>102</v>
      </c>
      <c r="B37" s="12" t="s">
        <v>98</v>
      </c>
      <c r="C37">
        <v>47985338.088944606</v>
      </c>
      <c r="D37">
        <v>47565790.777342521</v>
      </c>
      <c r="E37">
        <v>274774.77477477503</v>
      </c>
      <c r="F37">
        <v>288288.28828828997</v>
      </c>
      <c r="G37">
        <v>4</v>
      </c>
      <c r="H37">
        <v>5</v>
      </c>
      <c r="I37">
        <v>7</v>
      </c>
      <c r="J37">
        <v>9</v>
      </c>
      <c r="K37">
        <v>23895945.945945945</v>
      </c>
      <c r="L37">
        <v>6334684.6846846836</v>
      </c>
      <c r="M37">
        <v>12607117.117117116</v>
      </c>
      <c r="N37">
        <v>12460639.639639633</v>
      </c>
      <c r="O37">
        <v>3402702.7027027011</v>
      </c>
      <c r="P37">
        <v>3119099.0990990992</v>
      </c>
      <c r="Q37">
        <v>25145</v>
      </c>
      <c r="R37">
        <v>25095</v>
      </c>
    </row>
    <row r="38" spans="1:18" x14ac:dyDescent="0.35">
      <c r="A38" s="7" t="s">
        <v>103</v>
      </c>
      <c r="B38" s="12" t="s">
        <v>98</v>
      </c>
      <c r="C38">
        <v>125365557.05504237</v>
      </c>
      <c r="D38">
        <v>121404086.20763928</v>
      </c>
      <c r="E38">
        <v>276466.66666667</v>
      </c>
      <c r="F38">
        <v>874242.34234234795</v>
      </c>
      <c r="G38">
        <v>29</v>
      </c>
      <c r="H38">
        <v>24</v>
      </c>
      <c r="I38">
        <v>50</v>
      </c>
      <c r="J38">
        <v>39</v>
      </c>
      <c r="K38">
        <v>9382882.8828828819</v>
      </c>
      <c r="L38">
        <v>9865765.7657657675</v>
      </c>
      <c r="M38">
        <v>24977243.243243244</v>
      </c>
      <c r="N38">
        <v>24050387.387387384</v>
      </c>
      <c r="O38">
        <v>7588198.1981981974</v>
      </c>
      <c r="P38">
        <v>9502432.4324324317</v>
      </c>
      <c r="Q38">
        <v>55594</v>
      </c>
      <c r="R38">
        <v>55374</v>
      </c>
    </row>
    <row r="39" spans="1:18" x14ac:dyDescent="0.35">
      <c r="A39" s="7" t="s">
        <v>104</v>
      </c>
      <c r="B39" s="12" t="s">
        <v>105</v>
      </c>
      <c r="C39">
        <v>8956096.5362549853</v>
      </c>
      <c r="D39">
        <v>7723254.4302681377</v>
      </c>
      <c r="F39">
        <v>292792.79279279301</v>
      </c>
      <c r="G39">
        <v>3</v>
      </c>
      <c r="I39">
        <v>3</v>
      </c>
      <c r="J39">
        <v>1</v>
      </c>
      <c r="L39">
        <v>292792.79279279301</v>
      </c>
      <c r="M39">
        <v>1483648.648648649</v>
      </c>
      <c r="N39">
        <v>1674504.5045045039</v>
      </c>
      <c r="O39">
        <v>130990.99099099101</v>
      </c>
      <c r="Q39">
        <v>2507</v>
      </c>
      <c r="R39">
        <v>2462</v>
      </c>
    </row>
    <row r="40" spans="1:18" x14ac:dyDescent="0.35">
      <c r="A40" s="7" t="s">
        <v>106</v>
      </c>
      <c r="B40" s="12" t="s">
        <v>54</v>
      </c>
      <c r="C40">
        <v>2984147.852574137</v>
      </c>
      <c r="D40">
        <v>2911085.4381063092</v>
      </c>
      <c r="K40">
        <v>270270.27027027</v>
      </c>
      <c r="M40">
        <v>574819.81981982</v>
      </c>
      <c r="N40">
        <v>710846.84684684605</v>
      </c>
      <c r="O40">
        <v>446936.93693693698</v>
      </c>
      <c r="P40">
        <v>85135.135135135002</v>
      </c>
      <c r="Q40">
        <v>1386</v>
      </c>
      <c r="R40">
        <v>1416</v>
      </c>
    </row>
    <row r="41" spans="1:18" x14ac:dyDescent="0.35">
      <c r="A41" s="7" t="s">
        <v>107</v>
      </c>
      <c r="B41" s="12" t="s">
        <v>108</v>
      </c>
      <c r="C41">
        <v>23363728.098730464</v>
      </c>
      <c r="D41">
        <v>23618786.634669706</v>
      </c>
      <c r="E41">
        <v>6306.3063063070003</v>
      </c>
      <c r="F41">
        <v>108108.10810810899</v>
      </c>
      <c r="G41">
        <v>4</v>
      </c>
      <c r="H41">
        <v>3</v>
      </c>
      <c r="I41">
        <v>12</v>
      </c>
      <c r="J41">
        <v>6</v>
      </c>
      <c r="K41">
        <v>2447747.7477477482</v>
      </c>
      <c r="L41">
        <v>3657657.6576576568</v>
      </c>
      <c r="M41">
        <v>4859369.3693693699</v>
      </c>
      <c r="N41">
        <v>5666180.1801801799</v>
      </c>
      <c r="O41">
        <v>1978378.3783783789</v>
      </c>
      <c r="P41">
        <v>1744324.324324325</v>
      </c>
      <c r="Q41">
        <v>9876</v>
      </c>
      <c r="R41">
        <v>10272</v>
      </c>
    </row>
    <row r="42" spans="1:18" x14ac:dyDescent="0.35">
      <c r="A42" s="7" t="s">
        <v>109</v>
      </c>
      <c r="B42" s="12" t="s">
        <v>108</v>
      </c>
      <c r="C42">
        <v>31876374.912333801</v>
      </c>
      <c r="D42">
        <v>33508526.052923743</v>
      </c>
      <c r="E42">
        <v>139639.63963963999</v>
      </c>
      <c r="F42">
        <v>126126.126126128</v>
      </c>
      <c r="G42">
        <v>5</v>
      </c>
      <c r="H42">
        <v>4</v>
      </c>
      <c r="I42">
        <v>8</v>
      </c>
      <c r="J42">
        <v>11</v>
      </c>
      <c r="K42">
        <v>2746846.846846845</v>
      </c>
      <c r="L42">
        <v>3135135.1351351351</v>
      </c>
      <c r="M42">
        <v>8534954.9549549539</v>
      </c>
      <c r="N42">
        <v>8771720.7207207214</v>
      </c>
      <c r="O42">
        <v>2417207.2072072071</v>
      </c>
      <c r="P42">
        <v>3946126.1261261269</v>
      </c>
      <c r="Q42">
        <v>13646</v>
      </c>
      <c r="R42">
        <v>14266</v>
      </c>
    </row>
    <row r="43" spans="1:18" x14ac:dyDescent="0.35">
      <c r="A43" s="7" t="s">
        <v>110</v>
      </c>
      <c r="B43" s="12" t="s">
        <v>111</v>
      </c>
      <c r="C43">
        <v>38341092.465371422</v>
      </c>
      <c r="D43">
        <v>37056667.389243655</v>
      </c>
      <c r="E43">
        <v>50450.450450450997</v>
      </c>
      <c r="F43">
        <v>283783.78378378402</v>
      </c>
      <c r="G43">
        <v>7</v>
      </c>
      <c r="H43">
        <v>5</v>
      </c>
      <c r="I43">
        <v>8</v>
      </c>
      <c r="J43">
        <v>10</v>
      </c>
      <c r="K43">
        <v>2397927.9279279271</v>
      </c>
      <c r="L43">
        <v>6410114.4144144142</v>
      </c>
      <c r="M43">
        <v>11641216.216216216</v>
      </c>
      <c r="N43">
        <v>11489243.243243244</v>
      </c>
      <c r="O43">
        <v>2124144.1441441448</v>
      </c>
      <c r="P43">
        <v>5906936.9369369363</v>
      </c>
      <c r="Q43">
        <v>19108</v>
      </c>
      <c r="R43">
        <v>18958</v>
      </c>
    </row>
    <row r="44" spans="1:18" x14ac:dyDescent="0.35">
      <c r="A44" s="7" t="s">
        <v>112</v>
      </c>
      <c r="B44" s="12" t="s">
        <v>111</v>
      </c>
      <c r="C44">
        <v>47720801.715961441</v>
      </c>
      <c r="D44">
        <v>48486547.763324857</v>
      </c>
      <c r="E44">
        <v>684684.68468468601</v>
      </c>
      <c r="F44">
        <v>171171.17117117401</v>
      </c>
      <c r="G44">
        <v>12</v>
      </c>
      <c r="H44">
        <v>15</v>
      </c>
      <c r="I44">
        <v>21</v>
      </c>
      <c r="J44">
        <v>26</v>
      </c>
      <c r="K44">
        <v>3261711.7117117108</v>
      </c>
      <c r="L44">
        <v>12164156.756756756</v>
      </c>
      <c r="M44">
        <v>14518648.648648646</v>
      </c>
      <c r="N44">
        <v>17657657.657657657</v>
      </c>
      <c r="O44">
        <v>1987927.927927928</v>
      </c>
      <c r="P44">
        <v>10843873.873873873</v>
      </c>
      <c r="Q44">
        <v>27163</v>
      </c>
      <c r="R44">
        <v>28310</v>
      </c>
    </row>
    <row r="45" spans="1:18" x14ac:dyDescent="0.35">
      <c r="A45" s="7" t="s">
        <v>113</v>
      </c>
      <c r="B45" s="12" t="s">
        <v>111</v>
      </c>
      <c r="C45">
        <v>33057456.560053758</v>
      </c>
      <c r="D45">
        <v>33059007.437835906</v>
      </c>
      <c r="E45">
        <v>167567.567567569</v>
      </c>
      <c r="F45">
        <v>121621.621621623</v>
      </c>
      <c r="G45">
        <v>7</v>
      </c>
      <c r="H45">
        <v>5</v>
      </c>
      <c r="I45">
        <v>15</v>
      </c>
      <c r="J45">
        <v>9</v>
      </c>
      <c r="K45">
        <v>1075675.6756756769</v>
      </c>
      <c r="L45">
        <v>8910197.297297297</v>
      </c>
      <c r="M45">
        <v>10267963.963963963</v>
      </c>
      <c r="N45">
        <v>10291783.78378378</v>
      </c>
      <c r="O45">
        <v>1199819.8198198189</v>
      </c>
      <c r="P45">
        <v>9618198.1981981974</v>
      </c>
      <c r="Q45">
        <v>14866</v>
      </c>
      <c r="R45">
        <v>15105</v>
      </c>
    </row>
    <row r="46" spans="1:18" x14ac:dyDescent="0.35">
      <c r="A46" s="7" t="s">
        <v>114</v>
      </c>
      <c r="B46" s="12" t="s">
        <v>111</v>
      </c>
      <c r="C46">
        <v>38962139.122772336</v>
      </c>
      <c r="D46">
        <v>38101316.355402797</v>
      </c>
      <c r="E46">
        <v>139639.63963963999</v>
      </c>
      <c r="F46">
        <v>387387.38738739199</v>
      </c>
      <c r="G46">
        <v>5</v>
      </c>
      <c r="H46">
        <v>9</v>
      </c>
      <c r="I46">
        <v>9</v>
      </c>
      <c r="J46">
        <v>17</v>
      </c>
      <c r="K46">
        <v>3630630.6306306301</v>
      </c>
      <c r="L46">
        <v>3729729.729729732</v>
      </c>
      <c r="M46">
        <v>10573288.28828829</v>
      </c>
      <c r="N46">
        <v>11331045.045045044</v>
      </c>
      <c r="O46">
        <v>3243333.333333333</v>
      </c>
      <c r="P46">
        <v>2110990.9909909931</v>
      </c>
      <c r="Q46">
        <v>20439</v>
      </c>
      <c r="R46">
        <v>20893</v>
      </c>
    </row>
    <row r="47" spans="1:18" x14ac:dyDescent="0.35">
      <c r="A47" s="7" t="s">
        <v>115</v>
      </c>
      <c r="B47" s="12" t="s">
        <v>111</v>
      </c>
      <c r="C47">
        <v>49245058.658158854</v>
      </c>
      <c r="D47">
        <v>44612721.095657378</v>
      </c>
      <c r="E47">
        <v>512294.59459459397</v>
      </c>
      <c r="F47">
        <v>1520448.6486486541</v>
      </c>
      <c r="G47">
        <v>10</v>
      </c>
      <c r="H47">
        <v>8</v>
      </c>
      <c r="I47">
        <v>19</v>
      </c>
      <c r="J47">
        <v>37</v>
      </c>
      <c r="K47">
        <v>3654954.9549549492</v>
      </c>
      <c r="L47">
        <v>12781231.531531533</v>
      </c>
      <c r="M47">
        <v>11888108.108108109</v>
      </c>
      <c r="N47">
        <v>12018585.585585587</v>
      </c>
      <c r="O47">
        <v>5660990.990990987</v>
      </c>
      <c r="P47">
        <v>15722522.522522524</v>
      </c>
      <c r="Q47">
        <v>24498</v>
      </c>
      <c r="R47">
        <v>22507</v>
      </c>
    </row>
    <row r="48" spans="1:18" x14ac:dyDescent="0.35">
      <c r="A48" s="7" t="s">
        <v>116</v>
      </c>
      <c r="B48" s="12" t="s">
        <v>54</v>
      </c>
      <c r="C48">
        <v>2751426.2230832861</v>
      </c>
      <c r="D48">
        <v>2533599.9061429868</v>
      </c>
      <c r="E48">
        <v>900.900900901</v>
      </c>
      <c r="F48">
        <v>103603.603603604</v>
      </c>
      <c r="K48">
        <v>811711.71171171102</v>
      </c>
      <c r="L48">
        <v>103603.603603604</v>
      </c>
      <c r="M48">
        <v>601486.48648648697</v>
      </c>
      <c r="N48">
        <v>803063.06306306296</v>
      </c>
      <c r="O48">
        <v>34234.234234233998</v>
      </c>
      <c r="P48">
        <v>338378.37837837898</v>
      </c>
      <c r="Q48">
        <v>1026</v>
      </c>
      <c r="R48">
        <v>998</v>
      </c>
    </row>
    <row r="49" spans="1:18" x14ac:dyDescent="0.35">
      <c r="A49" s="7" t="s">
        <v>118</v>
      </c>
      <c r="B49" s="12" t="s">
        <v>78</v>
      </c>
      <c r="C49">
        <v>23284995.188459259</v>
      </c>
      <c r="D49">
        <v>22114702.191871282</v>
      </c>
      <c r="E49">
        <v>276230.63063063199</v>
      </c>
      <c r="F49">
        <v>523710.81081081199</v>
      </c>
      <c r="G49">
        <v>2</v>
      </c>
      <c r="H49">
        <v>4</v>
      </c>
      <c r="I49">
        <v>8</v>
      </c>
      <c r="J49">
        <v>11</v>
      </c>
      <c r="K49">
        <v>1485585.5855855851</v>
      </c>
      <c r="L49">
        <v>21331081.081081081</v>
      </c>
      <c r="M49">
        <v>7544774.774774774</v>
      </c>
      <c r="N49">
        <v>9508693.6936936919</v>
      </c>
      <c r="O49">
        <v>1794504.5045045069</v>
      </c>
      <c r="P49">
        <v>3389099.0990990978</v>
      </c>
      <c r="Q49">
        <v>12162</v>
      </c>
      <c r="R49">
        <v>11402</v>
      </c>
    </row>
    <row r="50" spans="1:18" x14ac:dyDescent="0.35">
      <c r="A50" s="7" t="s">
        <v>119</v>
      </c>
      <c r="B50" s="12" t="s">
        <v>50</v>
      </c>
      <c r="C50">
        <v>7125486.1112827314</v>
      </c>
      <c r="D50">
        <v>6701280.8347378997</v>
      </c>
      <c r="F50">
        <v>117117.117117118</v>
      </c>
      <c r="G50">
        <v>2</v>
      </c>
      <c r="H50">
        <v>2</v>
      </c>
      <c r="I50">
        <v>2</v>
      </c>
      <c r="J50">
        <v>3</v>
      </c>
      <c r="K50">
        <v>2587837.83783784</v>
      </c>
      <c r="L50">
        <v>1738738.7387387389</v>
      </c>
      <c r="M50">
        <v>1868828.8288288291</v>
      </c>
      <c r="N50">
        <v>2357432.4324324322</v>
      </c>
      <c r="O50">
        <v>2018468.46846847</v>
      </c>
      <c r="P50">
        <v>1772072.072072071</v>
      </c>
      <c r="Q50">
        <v>2487</v>
      </c>
      <c r="R50">
        <v>2471</v>
      </c>
    </row>
    <row r="51" spans="1:18" x14ac:dyDescent="0.35">
      <c r="A51" s="7" t="s">
        <v>120</v>
      </c>
      <c r="B51" s="12" t="s">
        <v>121</v>
      </c>
      <c r="C51">
        <v>27780675.126627386</v>
      </c>
      <c r="D51">
        <v>19741076.148532022</v>
      </c>
      <c r="E51">
        <v>6306.3063063070003</v>
      </c>
      <c r="F51">
        <v>175675.675675679</v>
      </c>
      <c r="G51">
        <v>9</v>
      </c>
      <c r="H51">
        <v>8</v>
      </c>
      <c r="I51">
        <v>15</v>
      </c>
      <c r="J51">
        <v>13</v>
      </c>
      <c r="K51">
        <v>6306.3063063070003</v>
      </c>
      <c r="L51">
        <v>635135.13513513806</v>
      </c>
      <c r="M51">
        <v>2005297.297297297</v>
      </c>
      <c r="N51">
        <v>2095378.3783783789</v>
      </c>
      <c r="O51">
        <v>817387.38738738804</v>
      </c>
      <c r="P51">
        <v>875675.67567567597</v>
      </c>
      <c r="Q51">
        <v>8265</v>
      </c>
      <c r="R51">
        <v>8068</v>
      </c>
    </row>
    <row r="52" spans="1:18" x14ac:dyDescent="0.35">
      <c r="A52" s="7" t="s">
        <v>122</v>
      </c>
      <c r="B52" s="12" t="s">
        <v>123</v>
      </c>
      <c r="C52">
        <v>10881681.633605352</v>
      </c>
      <c r="D52">
        <v>10811131.565654732</v>
      </c>
      <c r="F52">
        <v>13513.513513514001</v>
      </c>
      <c r="H52">
        <v>2</v>
      </c>
      <c r="I52">
        <v>2</v>
      </c>
      <c r="J52">
        <v>3</v>
      </c>
      <c r="K52">
        <v>1666666.666666666</v>
      </c>
      <c r="L52">
        <v>2495495.4954954968</v>
      </c>
      <c r="M52">
        <v>5368333.333333333</v>
      </c>
      <c r="N52">
        <v>4272270.2702702703</v>
      </c>
      <c r="O52">
        <v>1941981.9819819829</v>
      </c>
      <c r="P52">
        <v>1829729.7297297299</v>
      </c>
      <c r="Q52">
        <v>4614</v>
      </c>
      <c r="R52">
        <v>4364</v>
      </c>
    </row>
    <row r="53" spans="1:18" x14ac:dyDescent="0.35">
      <c r="A53" s="7" t="s">
        <v>124</v>
      </c>
      <c r="B53" s="12" t="s">
        <v>125</v>
      </c>
      <c r="C53">
        <v>16163989.635811802</v>
      </c>
      <c r="D53">
        <v>15745527.252481615</v>
      </c>
      <c r="E53">
        <v>1801.801801802</v>
      </c>
      <c r="F53">
        <v>27027.027027028002</v>
      </c>
      <c r="G53">
        <v>2</v>
      </c>
      <c r="H53">
        <v>1</v>
      </c>
      <c r="I53">
        <v>2</v>
      </c>
      <c r="J53">
        <v>2</v>
      </c>
      <c r="K53">
        <v>1947747.7477477461</v>
      </c>
      <c r="L53">
        <v>2488288.2882882892</v>
      </c>
      <c r="M53">
        <v>4007612.612612613</v>
      </c>
      <c r="N53">
        <v>4073990.9909909908</v>
      </c>
      <c r="O53">
        <v>2426756.7567567569</v>
      </c>
      <c r="P53">
        <v>3008378.3783783792</v>
      </c>
      <c r="Q53">
        <v>6494</v>
      </c>
      <c r="R53">
        <v>6787</v>
      </c>
    </row>
    <row r="54" spans="1:18" x14ac:dyDescent="0.35">
      <c r="A54" s="7" t="s">
        <v>126</v>
      </c>
      <c r="B54" s="12" t="s">
        <v>78</v>
      </c>
      <c r="C54">
        <v>11560992.101892987</v>
      </c>
      <c r="D54">
        <v>9527196.0415661838</v>
      </c>
      <c r="H54">
        <v>1</v>
      </c>
      <c r="I54">
        <v>1</v>
      </c>
      <c r="J54">
        <v>3</v>
      </c>
      <c r="K54">
        <v>1531531.53153153</v>
      </c>
      <c r="L54">
        <v>450450.45045045001</v>
      </c>
      <c r="M54">
        <v>3787459.4594594589</v>
      </c>
      <c r="N54">
        <v>4318378.3783783792</v>
      </c>
      <c r="O54">
        <v>2381441.441441441</v>
      </c>
      <c r="P54">
        <v>1002342.342342342</v>
      </c>
      <c r="Q54">
        <v>4968</v>
      </c>
      <c r="R54">
        <v>4738</v>
      </c>
    </row>
    <row r="55" spans="1:18" x14ac:dyDescent="0.35">
      <c r="A55" s="7" t="s">
        <v>127</v>
      </c>
      <c r="B55" s="12" t="s">
        <v>78</v>
      </c>
      <c r="C55">
        <v>1877194.122339902</v>
      </c>
      <c r="D55">
        <v>1312673.923430054</v>
      </c>
      <c r="E55">
        <v>1801.801801802</v>
      </c>
      <c r="F55">
        <v>13513.513513514001</v>
      </c>
      <c r="G55">
        <v>1</v>
      </c>
      <c r="I55">
        <v>1</v>
      </c>
      <c r="K55">
        <v>1801.801801802</v>
      </c>
      <c r="L55">
        <v>13513.513513514001</v>
      </c>
      <c r="M55">
        <v>767522.52252252295</v>
      </c>
      <c r="N55">
        <v>619954.95495495503</v>
      </c>
      <c r="O55">
        <v>317747.74774774699</v>
      </c>
      <c r="P55">
        <v>244234.23423423499</v>
      </c>
      <c r="Q55">
        <v>1252</v>
      </c>
      <c r="R55">
        <v>1177</v>
      </c>
    </row>
    <row r="56" spans="1:18" x14ac:dyDescent="0.35">
      <c r="A56" s="7" t="s">
        <v>128</v>
      </c>
      <c r="B56" s="12" t="s">
        <v>78</v>
      </c>
      <c r="C56">
        <v>10506056.293816401</v>
      </c>
      <c r="D56">
        <v>10030373.144742804</v>
      </c>
      <c r="E56">
        <v>900.900900901</v>
      </c>
      <c r="F56">
        <v>103603.603603604</v>
      </c>
      <c r="G56">
        <v>3</v>
      </c>
      <c r="H56">
        <v>3</v>
      </c>
      <c r="I56">
        <v>5</v>
      </c>
      <c r="J56">
        <v>6</v>
      </c>
      <c r="K56">
        <v>3406306.3063063049</v>
      </c>
      <c r="L56">
        <v>337837.83783783799</v>
      </c>
      <c r="M56">
        <v>3307675.6756756762</v>
      </c>
      <c r="N56">
        <v>3708909.9099099101</v>
      </c>
      <c r="O56">
        <v>706666.66666666605</v>
      </c>
      <c r="P56">
        <v>1612972.9729729721</v>
      </c>
      <c r="Q56">
        <v>5790</v>
      </c>
      <c r="R56">
        <v>5706</v>
      </c>
    </row>
    <row r="57" spans="1:18" x14ac:dyDescent="0.35">
      <c r="A57" s="7" t="s">
        <v>666</v>
      </c>
      <c r="B57" s="12" t="s">
        <v>94</v>
      </c>
      <c r="K57">
        <v>378378.37837837799</v>
      </c>
      <c r="L57">
        <v>312162.16216216201</v>
      </c>
    </row>
    <row r="58" spans="1:18" x14ac:dyDescent="0.35">
      <c r="A58" s="7" t="s">
        <v>129</v>
      </c>
      <c r="B58" s="12" t="s">
        <v>85</v>
      </c>
      <c r="C58">
        <v>3150441.9004332069</v>
      </c>
      <c r="D58">
        <v>3146360.0219254228</v>
      </c>
      <c r="E58">
        <v>58824701.801801801</v>
      </c>
      <c r="F58">
        <v>815339.63963963999</v>
      </c>
      <c r="J58">
        <v>1</v>
      </c>
      <c r="K58">
        <v>639639.63963963895</v>
      </c>
      <c r="L58">
        <v>157657.65765765801</v>
      </c>
      <c r="M58">
        <v>1451396.396396396</v>
      </c>
      <c r="N58">
        <v>1310261.261261262</v>
      </c>
      <c r="O58">
        <v>229189.189189189</v>
      </c>
      <c r="P58">
        <v>145135.135135135</v>
      </c>
      <c r="Q58">
        <v>1434</v>
      </c>
      <c r="R58">
        <v>1460</v>
      </c>
    </row>
    <row r="59" spans="1:18" x14ac:dyDescent="0.35">
      <c r="A59" s="7" t="s">
        <v>130</v>
      </c>
      <c r="B59" s="12" t="s">
        <v>89</v>
      </c>
      <c r="C59">
        <v>29227138.585228279</v>
      </c>
      <c r="D59">
        <v>28200419.460839979</v>
      </c>
      <c r="E59">
        <v>900.900900901</v>
      </c>
      <c r="F59">
        <v>27027.027027028002</v>
      </c>
      <c r="G59">
        <v>1</v>
      </c>
      <c r="H59">
        <v>1</v>
      </c>
      <c r="I59">
        <v>2</v>
      </c>
      <c r="J59">
        <v>4</v>
      </c>
      <c r="K59">
        <v>900.900900901</v>
      </c>
      <c r="L59">
        <v>36036.036036037003</v>
      </c>
      <c r="M59">
        <v>8258243.2432432454</v>
      </c>
      <c r="N59">
        <v>8860423.4234234225</v>
      </c>
      <c r="O59">
        <v>1346666.666666667</v>
      </c>
      <c r="P59">
        <v>1092702.702702703</v>
      </c>
      <c r="Q59">
        <v>10652</v>
      </c>
      <c r="R59">
        <v>10368</v>
      </c>
    </row>
    <row r="60" spans="1:18" x14ac:dyDescent="0.35">
      <c r="A60" s="7" t="s">
        <v>131</v>
      </c>
      <c r="B60" s="12" t="s">
        <v>132</v>
      </c>
      <c r="C60">
        <v>15270578.260974346</v>
      </c>
      <c r="D60">
        <v>14783745.693694212</v>
      </c>
      <c r="E60">
        <v>13558605.405405406</v>
      </c>
      <c r="F60">
        <v>199763.06306306299</v>
      </c>
      <c r="G60">
        <v>3</v>
      </c>
      <c r="H60">
        <v>2</v>
      </c>
      <c r="I60">
        <v>6</v>
      </c>
      <c r="J60">
        <v>4</v>
      </c>
      <c r="K60">
        <v>3192342.3423423432</v>
      </c>
      <c r="L60">
        <v>1282882.8828828831</v>
      </c>
      <c r="M60">
        <v>4513864.8648648662</v>
      </c>
      <c r="N60">
        <v>3823378.3783783759</v>
      </c>
      <c r="O60">
        <v>1350090.0900900911</v>
      </c>
      <c r="P60">
        <v>653603.60360360402</v>
      </c>
      <c r="Q60">
        <v>6307</v>
      </c>
      <c r="R60">
        <v>7452</v>
      </c>
    </row>
    <row r="61" spans="1:18" x14ac:dyDescent="0.35">
      <c r="A61" s="7" t="s">
        <v>133</v>
      </c>
      <c r="B61" s="12" t="s">
        <v>134</v>
      </c>
      <c r="C61">
        <v>2113532.4572449001</v>
      </c>
      <c r="D61">
        <v>1013370.055462689</v>
      </c>
      <c r="M61">
        <v>370045.04504504497</v>
      </c>
      <c r="N61">
        <v>118243.24324324301</v>
      </c>
      <c r="Q61">
        <v>2282</v>
      </c>
      <c r="R61">
        <v>2126</v>
      </c>
    </row>
    <row r="62" spans="1:18" x14ac:dyDescent="0.35">
      <c r="A62" s="7" t="s">
        <v>135</v>
      </c>
      <c r="B62" s="12" t="s">
        <v>136</v>
      </c>
      <c r="C62">
        <v>11284853.598925576</v>
      </c>
      <c r="D62">
        <v>11514678.403972661</v>
      </c>
      <c r="G62">
        <v>2</v>
      </c>
      <c r="I62">
        <v>2</v>
      </c>
      <c r="K62">
        <v>450450.45045045001</v>
      </c>
      <c r="L62">
        <v>900900.90090090095</v>
      </c>
      <c r="M62">
        <v>1426666.666666666</v>
      </c>
      <c r="N62">
        <v>1143225.2252252251</v>
      </c>
      <c r="O62">
        <v>479099.09909909999</v>
      </c>
      <c r="P62">
        <v>581081.08108108002</v>
      </c>
      <c r="Q62">
        <v>3528</v>
      </c>
      <c r="R62">
        <v>3439</v>
      </c>
    </row>
    <row r="63" spans="1:18" x14ac:dyDescent="0.35">
      <c r="A63" s="7" t="s">
        <v>137</v>
      </c>
      <c r="B63" s="12" t="s">
        <v>89</v>
      </c>
      <c r="C63">
        <v>14633222.304663377</v>
      </c>
      <c r="D63">
        <v>14333580.358459257</v>
      </c>
      <c r="E63">
        <v>1801.801801802</v>
      </c>
      <c r="G63">
        <v>2</v>
      </c>
      <c r="H63">
        <v>1</v>
      </c>
      <c r="I63">
        <v>3</v>
      </c>
      <c r="J63">
        <v>1</v>
      </c>
      <c r="K63">
        <v>824864.86486486404</v>
      </c>
      <c r="L63">
        <v>1531531.53153153</v>
      </c>
      <c r="M63">
        <v>4422747.7477477491</v>
      </c>
      <c r="N63">
        <v>4602711.7117117122</v>
      </c>
      <c r="O63">
        <v>1378918.9189189179</v>
      </c>
      <c r="P63">
        <v>740810.810810811</v>
      </c>
      <c r="Q63">
        <v>4886</v>
      </c>
      <c r="R63">
        <v>4773</v>
      </c>
    </row>
    <row r="64" spans="1:18" x14ac:dyDescent="0.35">
      <c r="A64" s="7" t="s">
        <v>138</v>
      </c>
      <c r="B64" s="12" t="s">
        <v>78</v>
      </c>
      <c r="C64">
        <v>9946827.0468423925</v>
      </c>
      <c r="D64">
        <v>9782925.3999564853</v>
      </c>
      <c r="E64">
        <v>3603.603603604</v>
      </c>
      <c r="F64">
        <v>319819.81981982198</v>
      </c>
      <c r="G64">
        <v>3</v>
      </c>
      <c r="H64">
        <v>2</v>
      </c>
      <c r="I64">
        <v>4</v>
      </c>
      <c r="J64">
        <v>7</v>
      </c>
      <c r="K64">
        <v>1102702.702702702</v>
      </c>
      <c r="L64">
        <v>319819.81981982198</v>
      </c>
      <c r="M64">
        <v>3792252.2522522509</v>
      </c>
      <c r="N64">
        <v>4165189.1891891882</v>
      </c>
      <c r="O64">
        <v>1052792.7927927941</v>
      </c>
      <c r="P64">
        <v>1191441.4414414419</v>
      </c>
      <c r="Q64">
        <v>5359</v>
      </c>
      <c r="R64">
        <v>5413</v>
      </c>
    </row>
    <row r="65" spans="1:18" x14ac:dyDescent="0.35">
      <c r="A65" s="7" t="s">
        <v>139</v>
      </c>
      <c r="B65" s="12" t="s">
        <v>140</v>
      </c>
      <c r="C65">
        <v>14230511.912831303</v>
      </c>
      <c r="D65">
        <v>14951004.60290622</v>
      </c>
      <c r="E65">
        <v>317117.11711711698</v>
      </c>
      <c r="F65">
        <v>13513.513513514001</v>
      </c>
      <c r="G65">
        <v>1</v>
      </c>
      <c r="I65">
        <v>2</v>
      </c>
      <c r="K65">
        <v>947747.74774774804</v>
      </c>
      <c r="L65">
        <v>13513.513513514001</v>
      </c>
      <c r="M65">
        <v>2511261.2612612611</v>
      </c>
      <c r="N65">
        <v>2590225.225225226</v>
      </c>
      <c r="O65">
        <v>1506936.936936938</v>
      </c>
      <c r="P65">
        <v>994594.59459459397</v>
      </c>
      <c r="Q65">
        <v>4655</v>
      </c>
      <c r="R65">
        <v>5571</v>
      </c>
    </row>
    <row r="66" spans="1:18" x14ac:dyDescent="0.35">
      <c r="A66" s="7" t="s">
        <v>141</v>
      </c>
      <c r="B66" s="12" t="s">
        <v>62</v>
      </c>
      <c r="C66">
        <v>8953031.9834068045</v>
      </c>
      <c r="D66">
        <v>9120243.1854417045</v>
      </c>
      <c r="E66">
        <v>136036.03603603601</v>
      </c>
      <c r="F66">
        <v>40540.540540540998</v>
      </c>
      <c r="G66">
        <v>3</v>
      </c>
      <c r="I66">
        <v>7</v>
      </c>
      <c r="K66">
        <v>5198468.4684684658</v>
      </c>
      <c r="L66">
        <v>8509729.7297297288</v>
      </c>
      <c r="M66">
        <v>2108828.8288288279</v>
      </c>
      <c r="N66">
        <v>1722297.297297297</v>
      </c>
      <c r="O66">
        <v>5021441.441441441</v>
      </c>
      <c r="P66">
        <v>8386486.4864864862</v>
      </c>
      <c r="Q66">
        <v>3920</v>
      </c>
      <c r="R66">
        <v>3876</v>
      </c>
    </row>
    <row r="67" spans="1:18" x14ac:dyDescent="0.35">
      <c r="A67" s="7" t="s">
        <v>142</v>
      </c>
      <c r="B67" s="12" t="s">
        <v>143</v>
      </c>
      <c r="C67">
        <v>191392.238510025</v>
      </c>
      <c r="D67">
        <v>81898.586593189</v>
      </c>
      <c r="H67">
        <v>1</v>
      </c>
      <c r="J67">
        <v>1</v>
      </c>
      <c r="N67">
        <v>4504.5045045050001</v>
      </c>
      <c r="Q67">
        <v>253</v>
      </c>
      <c r="R67">
        <v>137</v>
      </c>
    </row>
    <row r="68" spans="1:18" x14ac:dyDescent="0.35">
      <c r="A68" s="7" t="s">
        <v>144</v>
      </c>
      <c r="B68" s="12" t="s">
        <v>140</v>
      </c>
      <c r="C68">
        <v>19950054.175466653</v>
      </c>
      <c r="D68">
        <v>20088792.579473555</v>
      </c>
      <c r="E68">
        <v>1801.801801802</v>
      </c>
      <c r="F68">
        <v>67567.567567567996</v>
      </c>
      <c r="G68">
        <v>5</v>
      </c>
      <c r="H68">
        <v>4</v>
      </c>
      <c r="I68">
        <v>7</v>
      </c>
      <c r="J68">
        <v>4</v>
      </c>
      <c r="K68">
        <v>3106756.7567567551</v>
      </c>
      <c r="L68">
        <v>3222522.5225225179</v>
      </c>
      <c r="M68">
        <v>3161801.8018017998</v>
      </c>
      <c r="N68">
        <v>3944783.7837837841</v>
      </c>
      <c r="O68">
        <v>1468198.1981981981</v>
      </c>
      <c r="P68">
        <v>2220630.6306306301</v>
      </c>
      <c r="Q68">
        <v>7576</v>
      </c>
      <c r="R68">
        <v>7568</v>
      </c>
    </row>
    <row r="69" spans="1:18" x14ac:dyDescent="0.35">
      <c r="A69" s="7" t="s">
        <v>145</v>
      </c>
      <c r="B69" s="12" t="s">
        <v>78</v>
      </c>
      <c r="C69">
        <v>13849360.961015357</v>
      </c>
      <c r="D69">
        <v>14271557.511622736</v>
      </c>
      <c r="G69">
        <v>3</v>
      </c>
      <c r="H69">
        <v>4</v>
      </c>
      <c r="I69">
        <v>3</v>
      </c>
      <c r="J69">
        <v>5</v>
      </c>
      <c r="K69">
        <v>810810.81081080996</v>
      </c>
      <c r="L69">
        <v>1180180.1801801799</v>
      </c>
      <c r="M69">
        <v>3159189.18918919</v>
      </c>
      <c r="N69">
        <v>3748783.7837837832</v>
      </c>
      <c r="O69">
        <v>951621.62162162201</v>
      </c>
      <c r="P69">
        <v>774414.41441441595</v>
      </c>
      <c r="Q69">
        <v>6446</v>
      </c>
      <c r="R69">
        <v>6443</v>
      </c>
    </row>
    <row r="70" spans="1:18" x14ac:dyDescent="0.35">
      <c r="A70" s="7" t="s">
        <v>146</v>
      </c>
      <c r="B70" s="12" t="s">
        <v>147</v>
      </c>
      <c r="C70">
        <v>9039815.3741585407</v>
      </c>
      <c r="D70">
        <v>8281060.9869773434</v>
      </c>
      <c r="E70">
        <v>4504.5045045050001</v>
      </c>
      <c r="F70">
        <v>22522.522522522999</v>
      </c>
      <c r="G70">
        <v>1</v>
      </c>
      <c r="H70">
        <v>1</v>
      </c>
      <c r="I70">
        <v>2</v>
      </c>
      <c r="J70">
        <v>1</v>
      </c>
      <c r="K70">
        <v>1218198.1981981981</v>
      </c>
      <c r="L70">
        <v>1373873.8738738741</v>
      </c>
      <c r="M70">
        <v>2479234.2342342339</v>
      </c>
      <c r="N70">
        <v>2327072.072072072</v>
      </c>
      <c r="O70">
        <v>1130180.180180179</v>
      </c>
      <c r="P70">
        <v>719819.81981982</v>
      </c>
      <c r="Q70">
        <v>3714</v>
      </c>
      <c r="R70">
        <v>3634</v>
      </c>
    </row>
    <row r="71" spans="1:18" x14ac:dyDescent="0.35">
      <c r="A71" s="7" t="s">
        <v>148</v>
      </c>
      <c r="B71" s="12" t="s">
        <v>94</v>
      </c>
      <c r="D71">
        <v>2.6129428219999999</v>
      </c>
      <c r="R71">
        <v>6</v>
      </c>
    </row>
    <row r="72" spans="1:18" x14ac:dyDescent="0.35">
      <c r="A72" s="7" t="s">
        <v>149</v>
      </c>
      <c r="B72" s="12" t="s">
        <v>50</v>
      </c>
      <c r="C72">
        <v>8072413.7919952348</v>
      </c>
      <c r="D72">
        <v>8642255.2178074028</v>
      </c>
      <c r="H72">
        <v>2</v>
      </c>
      <c r="J72">
        <v>2</v>
      </c>
      <c r="K72">
        <v>850450.450450451</v>
      </c>
      <c r="L72">
        <v>135135.135135135</v>
      </c>
      <c r="M72">
        <v>3203288.2882882878</v>
      </c>
      <c r="N72">
        <v>3471288.2882882892</v>
      </c>
      <c r="O72">
        <v>1000720.7207207209</v>
      </c>
      <c r="P72">
        <v>141441.441441442</v>
      </c>
      <c r="Q72">
        <v>3489</v>
      </c>
      <c r="R72">
        <v>3566</v>
      </c>
    </row>
    <row r="73" spans="1:18" x14ac:dyDescent="0.35">
      <c r="A73" s="7" t="s">
        <v>150</v>
      </c>
      <c r="B73" s="12" t="s">
        <v>151</v>
      </c>
      <c r="C73">
        <v>2537900.4271304929</v>
      </c>
      <c r="D73">
        <v>2303305.4207183002</v>
      </c>
      <c r="E73">
        <v>194909.90990991</v>
      </c>
      <c r="F73">
        <v>536439.63963963999</v>
      </c>
      <c r="I73">
        <v>1</v>
      </c>
      <c r="K73">
        <v>16420495.495495496</v>
      </c>
      <c r="L73">
        <v>17567567.567567568</v>
      </c>
      <c r="M73">
        <v>704729.72972973005</v>
      </c>
      <c r="N73">
        <v>550216.21621621598</v>
      </c>
      <c r="P73">
        <v>2892432.4324324322</v>
      </c>
      <c r="Q73">
        <v>672</v>
      </c>
      <c r="R73">
        <v>983</v>
      </c>
    </row>
    <row r="74" spans="1:18" x14ac:dyDescent="0.35">
      <c r="A74" s="7" t="s">
        <v>152</v>
      </c>
      <c r="B74" s="12" t="s">
        <v>151</v>
      </c>
      <c r="C74">
        <v>23931948.252635144</v>
      </c>
      <c r="D74">
        <v>21049515.366772667</v>
      </c>
      <c r="E74">
        <v>281081.081081082</v>
      </c>
      <c r="F74">
        <v>67567.567567569</v>
      </c>
      <c r="G74">
        <v>8</v>
      </c>
      <c r="H74">
        <v>1</v>
      </c>
      <c r="I74">
        <v>10</v>
      </c>
      <c r="J74">
        <v>1</v>
      </c>
      <c r="K74">
        <v>17519819.819819819</v>
      </c>
      <c r="L74">
        <v>11418918.918918921</v>
      </c>
      <c r="M74">
        <v>7257513.5135135129</v>
      </c>
      <c r="N74">
        <v>7482378.3783783792</v>
      </c>
      <c r="O74">
        <v>11268378.378378376</v>
      </c>
      <c r="P74">
        <v>2068558.5585585581</v>
      </c>
      <c r="Q74">
        <v>8330</v>
      </c>
      <c r="R74">
        <v>7466</v>
      </c>
    </row>
    <row r="75" spans="1:18" x14ac:dyDescent="0.35">
      <c r="A75" s="7" t="s">
        <v>153</v>
      </c>
      <c r="B75" s="12" t="s">
        <v>154</v>
      </c>
      <c r="C75">
        <v>18450104.319231313</v>
      </c>
      <c r="D75">
        <v>19718440.44854065</v>
      </c>
      <c r="F75">
        <v>22522.522522522999</v>
      </c>
      <c r="H75">
        <v>1</v>
      </c>
      <c r="J75">
        <v>1</v>
      </c>
      <c r="K75">
        <v>1801801.8018018019</v>
      </c>
      <c r="L75">
        <v>5563063.0630630637</v>
      </c>
      <c r="M75">
        <v>8179864.8648648662</v>
      </c>
      <c r="N75">
        <v>7074549.5495495498</v>
      </c>
      <c r="O75">
        <v>1481981.9819819811</v>
      </c>
      <c r="P75">
        <v>2704054.054054054</v>
      </c>
      <c r="Q75">
        <v>7232</v>
      </c>
      <c r="R75">
        <v>7015</v>
      </c>
    </row>
    <row r="76" spans="1:18" x14ac:dyDescent="0.35">
      <c r="A76" s="7" t="s">
        <v>155</v>
      </c>
      <c r="B76" s="12" t="s">
        <v>154</v>
      </c>
      <c r="C76">
        <v>2304197.6183442711</v>
      </c>
      <c r="D76">
        <v>2752620.2972804429</v>
      </c>
      <c r="G76">
        <v>1</v>
      </c>
      <c r="I76">
        <v>1</v>
      </c>
      <c r="M76">
        <v>554549.54954955005</v>
      </c>
      <c r="N76">
        <v>470135.13513513497</v>
      </c>
      <c r="O76">
        <v>29729.729729729999</v>
      </c>
      <c r="Q76">
        <v>2079</v>
      </c>
      <c r="R76">
        <v>1973</v>
      </c>
    </row>
    <row r="77" spans="1:18" x14ac:dyDescent="0.35">
      <c r="A77" s="7" t="s">
        <v>156</v>
      </c>
      <c r="B77" s="12" t="s">
        <v>154</v>
      </c>
      <c r="C77">
        <v>23731711.416921794</v>
      </c>
      <c r="D77">
        <v>21024904.477973893</v>
      </c>
      <c r="E77">
        <v>69731.531531532004</v>
      </c>
      <c r="F77">
        <v>774372.07207207195</v>
      </c>
      <c r="G77">
        <v>2</v>
      </c>
      <c r="H77">
        <v>2</v>
      </c>
      <c r="I77">
        <v>2</v>
      </c>
      <c r="J77">
        <v>2</v>
      </c>
      <c r="K77">
        <v>3198198.1981981979</v>
      </c>
      <c r="L77">
        <v>3793468.4684684691</v>
      </c>
      <c r="M77">
        <v>9614054.0540540554</v>
      </c>
      <c r="N77">
        <v>8296846.8468468469</v>
      </c>
      <c r="O77">
        <v>3755135.1351351351</v>
      </c>
      <c r="P77">
        <v>5249009.0090090083</v>
      </c>
      <c r="Q77">
        <v>8158</v>
      </c>
      <c r="R77">
        <v>11222</v>
      </c>
    </row>
    <row r="78" spans="1:18" x14ac:dyDescent="0.35">
      <c r="A78" s="7" t="s">
        <v>157</v>
      </c>
      <c r="B78" s="12" t="s">
        <v>134</v>
      </c>
      <c r="C78">
        <v>11706638.709627433</v>
      </c>
      <c r="D78">
        <v>10464592.049880572</v>
      </c>
      <c r="F78">
        <v>27027.027027027001</v>
      </c>
      <c r="G78">
        <v>1</v>
      </c>
      <c r="H78">
        <v>2</v>
      </c>
      <c r="I78">
        <v>1</v>
      </c>
      <c r="J78">
        <v>2</v>
      </c>
      <c r="K78">
        <v>900900.90090090001</v>
      </c>
      <c r="L78">
        <v>477477.47747747699</v>
      </c>
      <c r="M78">
        <v>981936.93693693599</v>
      </c>
      <c r="N78">
        <v>1423783.783783783</v>
      </c>
      <c r="O78">
        <v>309189.189189189</v>
      </c>
      <c r="P78">
        <v>306306.30630630598</v>
      </c>
      <c r="Q78">
        <v>4415</v>
      </c>
      <c r="R78">
        <v>4444</v>
      </c>
    </row>
    <row r="79" spans="1:18" x14ac:dyDescent="0.35">
      <c r="A79" s="7" t="s">
        <v>1</v>
      </c>
      <c r="B79" s="12" t="s">
        <v>158</v>
      </c>
      <c r="C79">
        <v>18467132.244020887</v>
      </c>
      <c r="D79">
        <v>17981597.549706604</v>
      </c>
      <c r="E79">
        <v>54525076.576576576</v>
      </c>
      <c r="F79">
        <v>28846585.585585583</v>
      </c>
      <c r="G79">
        <v>2</v>
      </c>
      <c r="H79">
        <v>1</v>
      </c>
      <c r="I79">
        <v>2</v>
      </c>
      <c r="J79">
        <v>1</v>
      </c>
      <c r="K79">
        <v>589189.189189189</v>
      </c>
      <c r="L79">
        <v>3475225.2252252251</v>
      </c>
      <c r="M79">
        <v>7972882.8828828838</v>
      </c>
      <c r="N79">
        <v>8122441.441441441</v>
      </c>
      <c r="O79">
        <v>331171.17117117101</v>
      </c>
      <c r="P79">
        <v>1511801.8018018019</v>
      </c>
      <c r="Q79">
        <v>8247</v>
      </c>
      <c r="R79">
        <v>7665</v>
      </c>
    </row>
    <row r="80" spans="1:18" x14ac:dyDescent="0.35">
      <c r="A80" s="7" t="s">
        <v>159</v>
      </c>
      <c r="B80" s="12" t="s">
        <v>121</v>
      </c>
      <c r="C80">
        <v>1053050.5052368341</v>
      </c>
      <c r="D80">
        <v>678236.76020096499</v>
      </c>
      <c r="M80">
        <v>189909.90990991</v>
      </c>
      <c r="N80">
        <v>34684.684684685002</v>
      </c>
      <c r="Q80">
        <v>568</v>
      </c>
      <c r="R80">
        <v>489</v>
      </c>
    </row>
    <row r="81" spans="1:18" x14ac:dyDescent="0.35">
      <c r="A81" s="7" t="s">
        <v>160</v>
      </c>
      <c r="B81" s="12" t="s">
        <v>161</v>
      </c>
      <c r="C81">
        <v>8901737.9553039037</v>
      </c>
      <c r="D81">
        <v>10353072.139076576</v>
      </c>
      <c r="E81">
        <v>18051930.630630631</v>
      </c>
      <c r="F81">
        <v>422034.23423423502</v>
      </c>
      <c r="G81">
        <v>1</v>
      </c>
      <c r="H81">
        <v>1</v>
      </c>
      <c r="I81">
        <v>4</v>
      </c>
      <c r="J81">
        <v>1</v>
      </c>
      <c r="K81">
        <v>2893153.1531531522</v>
      </c>
      <c r="L81">
        <v>4944315.3153153164</v>
      </c>
      <c r="M81">
        <v>3708459.4594594589</v>
      </c>
      <c r="N81">
        <v>3823333.3333333349</v>
      </c>
      <c r="O81">
        <v>4356756.7567567574</v>
      </c>
      <c r="P81">
        <v>1234414.4144144161</v>
      </c>
      <c r="Q81">
        <v>5871</v>
      </c>
      <c r="R81">
        <v>5873</v>
      </c>
    </row>
    <row r="82" spans="1:18" x14ac:dyDescent="0.35">
      <c r="A82" s="7" t="s">
        <v>162</v>
      </c>
      <c r="B82" s="12" t="s">
        <v>76</v>
      </c>
      <c r="C82">
        <v>4668802.5652208393</v>
      </c>
      <c r="D82">
        <v>5487538.9364653844</v>
      </c>
      <c r="G82">
        <v>1</v>
      </c>
      <c r="I82">
        <v>3</v>
      </c>
      <c r="M82">
        <v>336396.39639639598</v>
      </c>
      <c r="N82">
        <v>342657.65765765699</v>
      </c>
      <c r="O82">
        <v>80630.630630631</v>
      </c>
      <c r="P82">
        <v>24324.324324323999</v>
      </c>
      <c r="Q82">
        <v>966</v>
      </c>
      <c r="R82">
        <v>910</v>
      </c>
    </row>
    <row r="83" spans="1:18" x14ac:dyDescent="0.35">
      <c r="A83" s="7" t="s">
        <v>163</v>
      </c>
      <c r="B83" s="12" t="s">
        <v>52</v>
      </c>
      <c r="C83">
        <v>3690981.9101967909</v>
      </c>
      <c r="D83">
        <v>3379049.5176883428</v>
      </c>
      <c r="E83">
        <v>136936.93693693701</v>
      </c>
      <c r="F83">
        <v>90090.090090090001</v>
      </c>
      <c r="H83">
        <v>5</v>
      </c>
      <c r="J83">
        <v>5</v>
      </c>
      <c r="K83">
        <v>154954.954954955</v>
      </c>
      <c r="L83">
        <v>90090.090090090001</v>
      </c>
      <c r="M83">
        <v>1468288.2882882881</v>
      </c>
      <c r="N83">
        <v>1849234.234234235</v>
      </c>
      <c r="O83">
        <v>88288.288288287993</v>
      </c>
      <c r="P83">
        <v>101891.891891892</v>
      </c>
      <c r="Q83">
        <v>1570</v>
      </c>
      <c r="R83">
        <v>1377</v>
      </c>
    </row>
    <row r="84" spans="1:18" x14ac:dyDescent="0.35">
      <c r="A84" s="7" t="s">
        <v>164</v>
      </c>
      <c r="B84" s="12" t="s">
        <v>87</v>
      </c>
      <c r="C84">
        <v>3237961.183417106</v>
      </c>
      <c r="D84">
        <v>2434492.8231250248</v>
      </c>
      <c r="E84">
        <v>27090804.504504506</v>
      </c>
      <c r="F84">
        <v>62550.45045045</v>
      </c>
      <c r="H84">
        <v>1</v>
      </c>
      <c r="I84">
        <v>1</v>
      </c>
      <c r="J84">
        <v>1</v>
      </c>
      <c r="K84">
        <v>1801.801801802</v>
      </c>
      <c r="L84">
        <v>81081.081081081007</v>
      </c>
      <c r="M84">
        <v>358333.33333333302</v>
      </c>
      <c r="N84">
        <v>130045.045045045</v>
      </c>
      <c r="Q84">
        <v>1177</v>
      </c>
      <c r="R84">
        <v>1218</v>
      </c>
    </row>
    <row r="85" spans="1:18" x14ac:dyDescent="0.35">
      <c r="A85" s="7" t="s">
        <v>165</v>
      </c>
      <c r="B85" s="12" t="s">
        <v>143</v>
      </c>
      <c r="C85">
        <v>658051.89321487304</v>
      </c>
      <c r="D85">
        <v>638976.99289738399</v>
      </c>
      <c r="G85">
        <v>1</v>
      </c>
      <c r="I85">
        <v>1</v>
      </c>
      <c r="J85">
        <v>1</v>
      </c>
      <c r="M85">
        <v>36936.936936937003</v>
      </c>
      <c r="N85">
        <v>54954.954954954999</v>
      </c>
      <c r="O85">
        <v>162162.16216216201</v>
      </c>
      <c r="Q85">
        <v>339</v>
      </c>
      <c r="R85">
        <v>367</v>
      </c>
    </row>
    <row r="86" spans="1:18" x14ac:dyDescent="0.35">
      <c r="A86" s="7" t="s">
        <v>166</v>
      </c>
      <c r="B86" s="12" t="s">
        <v>167</v>
      </c>
      <c r="C86">
        <v>2233030.889965828</v>
      </c>
      <c r="D86">
        <v>2822637.3993920479</v>
      </c>
      <c r="F86">
        <v>40540.540540540998</v>
      </c>
      <c r="H86">
        <v>1</v>
      </c>
      <c r="J86">
        <v>1</v>
      </c>
      <c r="L86">
        <v>40540.540540540998</v>
      </c>
      <c r="M86">
        <v>908198.19819819799</v>
      </c>
      <c r="N86">
        <v>1161225.2252252251</v>
      </c>
      <c r="O86">
        <v>166216.216216217</v>
      </c>
      <c r="Q86">
        <v>1379</v>
      </c>
      <c r="R86">
        <v>1407</v>
      </c>
    </row>
    <row r="87" spans="1:18" x14ac:dyDescent="0.35">
      <c r="A87" s="7" t="s">
        <v>168</v>
      </c>
      <c r="B87" s="12" t="s">
        <v>169</v>
      </c>
      <c r="C87">
        <v>8772961.1496232189</v>
      </c>
      <c r="D87">
        <v>9271715.3145535085</v>
      </c>
      <c r="E87">
        <v>3603.603603604</v>
      </c>
      <c r="J87">
        <v>1</v>
      </c>
      <c r="K87">
        <v>1064864.8648648639</v>
      </c>
      <c r="L87">
        <v>1031981.981981982</v>
      </c>
      <c r="M87">
        <v>2426756.7567567569</v>
      </c>
      <c r="N87">
        <v>2818801.8018018021</v>
      </c>
      <c r="O87">
        <v>1410990.9909909901</v>
      </c>
      <c r="P87">
        <v>1538288.288288289</v>
      </c>
      <c r="Q87">
        <v>6407</v>
      </c>
      <c r="R87">
        <v>5498</v>
      </c>
    </row>
    <row r="88" spans="1:18" x14ac:dyDescent="0.35">
      <c r="A88" s="7" t="s">
        <v>170</v>
      </c>
      <c r="B88" s="12" t="s">
        <v>54</v>
      </c>
      <c r="C88">
        <v>1659877.0987933539</v>
      </c>
      <c r="D88">
        <v>1795691.1603408621</v>
      </c>
      <c r="M88">
        <v>376261.26126126101</v>
      </c>
      <c r="N88">
        <v>237657.65765765699</v>
      </c>
      <c r="O88">
        <v>316666.66666666698</v>
      </c>
      <c r="P88">
        <v>80180.180180180003</v>
      </c>
      <c r="Q88">
        <v>714</v>
      </c>
      <c r="R88">
        <v>669</v>
      </c>
    </row>
    <row r="89" spans="1:18" x14ac:dyDescent="0.35">
      <c r="A89" s="7" t="s">
        <v>171</v>
      </c>
      <c r="B89" s="12" t="s">
        <v>60</v>
      </c>
      <c r="C89">
        <v>37858979.361950152</v>
      </c>
      <c r="D89">
        <v>34428812.043337651</v>
      </c>
      <c r="E89">
        <v>272972.97297297302</v>
      </c>
      <c r="F89">
        <v>490990.990990992</v>
      </c>
      <c r="G89">
        <v>3</v>
      </c>
      <c r="H89">
        <v>5</v>
      </c>
      <c r="I89">
        <v>6</v>
      </c>
      <c r="J89">
        <v>6</v>
      </c>
      <c r="K89">
        <v>801801.80180180096</v>
      </c>
      <c r="L89">
        <v>1433333.3333333349</v>
      </c>
      <c r="M89">
        <v>11896103.603603603</v>
      </c>
      <c r="N89">
        <v>11495270.270270269</v>
      </c>
      <c r="O89">
        <v>918468.46846846805</v>
      </c>
      <c r="P89">
        <v>1297567.567567572</v>
      </c>
      <c r="Q89">
        <v>12136</v>
      </c>
      <c r="R89">
        <v>11508</v>
      </c>
    </row>
    <row r="90" spans="1:18" x14ac:dyDescent="0.35">
      <c r="A90" s="7" t="s">
        <v>172</v>
      </c>
      <c r="B90" s="12" t="s">
        <v>121</v>
      </c>
      <c r="C90">
        <v>16438649.067403616</v>
      </c>
      <c r="D90">
        <v>17349354.761318743</v>
      </c>
      <c r="E90">
        <v>901801.80180180201</v>
      </c>
      <c r="F90">
        <v>94594.594594595997</v>
      </c>
      <c r="G90">
        <v>2</v>
      </c>
      <c r="H90">
        <v>5</v>
      </c>
      <c r="I90">
        <v>5</v>
      </c>
      <c r="J90">
        <v>6</v>
      </c>
      <c r="K90">
        <v>1667567.5675675671</v>
      </c>
      <c r="L90">
        <v>1490990.990990991</v>
      </c>
      <c r="M90">
        <v>1821126.1261261259</v>
      </c>
      <c r="N90">
        <v>1730936.9369369361</v>
      </c>
      <c r="O90">
        <v>610810.810810811</v>
      </c>
      <c r="P90">
        <v>437927.927927927</v>
      </c>
      <c r="Q90">
        <v>5774</v>
      </c>
      <c r="R90">
        <v>5776</v>
      </c>
    </row>
    <row r="91" spans="1:18" x14ac:dyDescent="0.35">
      <c r="A91" s="7" t="s">
        <v>173</v>
      </c>
      <c r="B91" s="12" t="s">
        <v>174</v>
      </c>
      <c r="C91">
        <v>12303486.241801342</v>
      </c>
      <c r="D91">
        <v>10812560.823829049</v>
      </c>
      <c r="E91">
        <v>103954.954954955</v>
      </c>
      <c r="F91">
        <v>486590.99099099101</v>
      </c>
      <c r="I91">
        <v>1</v>
      </c>
      <c r="K91">
        <v>950450.45045044995</v>
      </c>
      <c r="L91">
        <v>5292792.7927927924</v>
      </c>
      <c r="M91">
        <v>1280585.5855855851</v>
      </c>
      <c r="N91">
        <v>1399315.315315315</v>
      </c>
      <c r="O91">
        <v>747387.38738738699</v>
      </c>
      <c r="P91">
        <v>660090.09009008994</v>
      </c>
      <c r="Q91">
        <v>4589</v>
      </c>
      <c r="R91">
        <v>4663</v>
      </c>
    </row>
    <row r="92" spans="1:18" x14ac:dyDescent="0.35">
      <c r="A92" s="7" t="s">
        <v>175</v>
      </c>
      <c r="B92" s="12" t="s">
        <v>174</v>
      </c>
      <c r="C92">
        <v>18003145.189219732</v>
      </c>
      <c r="D92">
        <v>17523693.915445976</v>
      </c>
      <c r="E92">
        <v>187387.38738738801</v>
      </c>
      <c r="F92">
        <v>85585.585585587003</v>
      </c>
      <c r="G92">
        <v>5</v>
      </c>
      <c r="H92">
        <v>4</v>
      </c>
      <c r="I92">
        <v>9</v>
      </c>
      <c r="J92">
        <v>17</v>
      </c>
      <c r="K92">
        <v>1178378.378378378</v>
      </c>
      <c r="L92">
        <v>2563063.0630630618</v>
      </c>
      <c r="M92">
        <v>2540585.5855855858</v>
      </c>
      <c r="N92">
        <v>3066036.0360360369</v>
      </c>
      <c r="O92">
        <v>1460180.1801801799</v>
      </c>
      <c r="P92">
        <v>1142972.972972973</v>
      </c>
      <c r="Q92">
        <v>8491</v>
      </c>
      <c r="R92">
        <v>8489</v>
      </c>
    </row>
    <row r="93" spans="1:18" x14ac:dyDescent="0.35">
      <c r="A93" s="7" t="s">
        <v>176</v>
      </c>
      <c r="B93" s="12" t="s">
        <v>174</v>
      </c>
      <c r="C93">
        <v>24400927.481907159</v>
      </c>
      <c r="D93">
        <v>24096372.66700786</v>
      </c>
      <c r="E93">
        <v>5405.4054054059998</v>
      </c>
      <c r="F93">
        <v>54054.054054056003</v>
      </c>
      <c r="G93">
        <v>7</v>
      </c>
      <c r="H93">
        <v>1</v>
      </c>
      <c r="I93">
        <v>9</v>
      </c>
      <c r="J93">
        <v>5</v>
      </c>
      <c r="K93">
        <v>2663063.0630630618</v>
      </c>
      <c r="L93">
        <v>2459909.9099099091</v>
      </c>
      <c r="M93">
        <v>3880135.135135137</v>
      </c>
      <c r="N93">
        <v>3383198.1981981969</v>
      </c>
      <c r="O93">
        <v>1749639.63963964</v>
      </c>
      <c r="P93">
        <v>1653063.063063063</v>
      </c>
      <c r="Q93">
        <v>11788</v>
      </c>
      <c r="R93">
        <v>12436</v>
      </c>
    </row>
    <row r="94" spans="1:18" x14ac:dyDescent="0.35">
      <c r="A94" s="7" t="s">
        <v>177</v>
      </c>
      <c r="B94" s="12" t="s">
        <v>178</v>
      </c>
      <c r="C94">
        <v>8157840.2330602054</v>
      </c>
      <c r="D94">
        <v>6883131.2990343412</v>
      </c>
      <c r="G94">
        <v>2</v>
      </c>
      <c r="I94">
        <v>2</v>
      </c>
      <c r="K94">
        <v>1310630.6306306319</v>
      </c>
      <c r="L94">
        <v>305405.40540540603</v>
      </c>
      <c r="M94">
        <v>2214954.9549549548</v>
      </c>
      <c r="N94">
        <v>3186745.945945946</v>
      </c>
      <c r="O94">
        <v>431801.801801803</v>
      </c>
      <c r="P94">
        <v>413513.51351351402</v>
      </c>
      <c r="Q94">
        <v>3644</v>
      </c>
      <c r="R94">
        <v>3581</v>
      </c>
    </row>
    <row r="95" spans="1:18" x14ac:dyDescent="0.35">
      <c r="A95" s="7" t="s">
        <v>179</v>
      </c>
      <c r="B95" s="12" t="s">
        <v>167</v>
      </c>
      <c r="C95">
        <v>10342245.14468202</v>
      </c>
      <c r="D95">
        <v>9150643.4802390914</v>
      </c>
      <c r="E95">
        <v>3603.603603604</v>
      </c>
      <c r="F95">
        <v>270270.27027027</v>
      </c>
      <c r="I95">
        <v>3</v>
      </c>
      <c r="K95">
        <v>3603.603603604</v>
      </c>
      <c r="L95">
        <v>315315.31531531498</v>
      </c>
      <c r="M95">
        <v>2323063.0630630641</v>
      </c>
      <c r="N95">
        <v>2015981.981981982</v>
      </c>
      <c r="O95">
        <v>22072.072072071998</v>
      </c>
      <c r="P95">
        <v>145495.49549549501</v>
      </c>
      <c r="Q95">
        <v>4661</v>
      </c>
      <c r="R95">
        <v>4582</v>
      </c>
    </row>
    <row r="96" spans="1:18" x14ac:dyDescent="0.35">
      <c r="A96" s="7" t="s">
        <v>180</v>
      </c>
      <c r="B96" s="12" t="s">
        <v>181</v>
      </c>
      <c r="C96">
        <v>7093420.5288984962</v>
      </c>
      <c r="D96">
        <v>6683085.4339761771</v>
      </c>
      <c r="F96">
        <v>13513.513513514001</v>
      </c>
      <c r="G96">
        <v>2</v>
      </c>
      <c r="H96">
        <v>1</v>
      </c>
      <c r="I96">
        <v>2</v>
      </c>
      <c r="J96">
        <v>1</v>
      </c>
      <c r="L96">
        <v>13513.513513514001</v>
      </c>
      <c r="M96">
        <v>1329819.8198198201</v>
      </c>
      <c r="N96">
        <v>1506711.711711711</v>
      </c>
      <c r="O96">
        <v>666666.66666666698</v>
      </c>
      <c r="P96">
        <v>241711.71171171201</v>
      </c>
      <c r="Q96">
        <v>2994</v>
      </c>
      <c r="R96">
        <v>3275</v>
      </c>
    </row>
    <row r="97" spans="1:18" x14ac:dyDescent="0.35">
      <c r="A97" s="7" t="s">
        <v>669</v>
      </c>
      <c r="B97" s="12" t="s">
        <v>68</v>
      </c>
      <c r="R97">
        <v>3</v>
      </c>
    </row>
    <row r="98" spans="1:18" x14ac:dyDescent="0.35">
      <c r="A98" s="7" t="s">
        <v>182</v>
      </c>
      <c r="B98" s="12" t="s">
        <v>94</v>
      </c>
      <c r="C98">
        <v>6006569.1976285307</v>
      </c>
      <c r="D98">
        <v>8112463.6284510251</v>
      </c>
      <c r="E98">
        <v>135135.135135135</v>
      </c>
      <c r="I98">
        <v>1</v>
      </c>
      <c r="K98">
        <v>135135.135135135</v>
      </c>
      <c r="M98">
        <v>471261.261261262</v>
      </c>
      <c r="N98">
        <v>741081.08108108095</v>
      </c>
      <c r="O98">
        <v>121441.441441441</v>
      </c>
      <c r="P98">
        <v>84684.684684684995</v>
      </c>
      <c r="Q98">
        <v>3785</v>
      </c>
      <c r="R98">
        <v>3553</v>
      </c>
    </row>
    <row r="99" spans="1:18" x14ac:dyDescent="0.35">
      <c r="A99" s="7" t="s">
        <v>183</v>
      </c>
      <c r="B99" s="12" t="s">
        <v>94</v>
      </c>
      <c r="C99">
        <v>41461074.842891321</v>
      </c>
      <c r="D99">
        <v>36146416.751840621</v>
      </c>
      <c r="E99">
        <v>158879.279279279</v>
      </c>
      <c r="F99">
        <v>2598738.7387387399</v>
      </c>
      <c r="G99">
        <v>7</v>
      </c>
      <c r="H99">
        <v>6</v>
      </c>
      <c r="I99">
        <v>9</v>
      </c>
      <c r="J99">
        <v>11</v>
      </c>
      <c r="K99">
        <v>1348648.648648649</v>
      </c>
      <c r="L99">
        <v>9362162.1621621642</v>
      </c>
      <c r="M99">
        <v>4144684.684684685</v>
      </c>
      <c r="N99">
        <v>4612612.6126126116</v>
      </c>
      <c r="O99">
        <v>1882972.972972973</v>
      </c>
      <c r="P99">
        <v>8341801.8018018045</v>
      </c>
      <c r="Q99">
        <v>16938</v>
      </c>
      <c r="R99">
        <v>17867</v>
      </c>
    </row>
    <row r="100" spans="1:18" x14ac:dyDescent="0.35">
      <c r="A100" s="7" t="s">
        <v>184</v>
      </c>
      <c r="B100" s="12" t="s">
        <v>89</v>
      </c>
      <c r="C100">
        <v>4193997.2655331828</v>
      </c>
      <c r="D100">
        <v>3995642.8350338819</v>
      </c>
      <c r="F100">
        <v>58558.558558559002</v>
      </c>
      <c r="G100">
        <v>1</v>
      </c>
      <c r="H100">
        <v>1</v>
      </c>
      <c r="I100">
        <v>1</v>
      </c>
      <c r="J100">
        <v>1</v>
      </c>
      <c r="L100">
        <v>58558.558558559002</v>
      </c>
      <c r="M100">
        <v>1132342.3423423429</v>
      </c>
      <c r="N100">
        <v>1340495.4954954961</v>
      </c>
      <c r="O100">
        <v>67387.387387387993</v>
      </c>
      <c r="P100">
        <v>114054.054054055</v>
      </c>
      <c r="Q100">
        <v>1601</v>
      </c>
      <c r="R100">
        <v>1797</v>
      </c>
    </row>
    <row r="101" spans="1:18" x14ac:dyDescent="0.35">
      <c r="A101" s="7" t="s">
        <v>185</v>
      </c>
      <c r="B101" s="12" t="s">
        <v>60</v>
      </c>
      <c r="C101">
        <v>2692896.292899047</v>
      </c>
      <c r="D101">
        <v>2379528.7812502622</v>
      </c>
      <c r="E101">
        <v>270270.27027027</v>
      </c>
      <c r="F101">
        <v>202702.702702704</v>
      </c>
      <c r="H101">
        <v>1</v>
      </c>
      <c r="J101">
        <v>1</v>
      </c>
      <c r="K101">
        <v>270270.27027027</v>
      </c>
      <c r="L101">
        <v>202702.702702704</v>
      </c>
      <c r="M101">
        <v>965810.810810811</v>
      </c>
      <c r="N101">
        <v>751576.57657657703</v>
      </c>
      <c r="P101">
        <v>195855.855855856</v>
      </c>
      <c r="Q101">
        <v>830</v>
      </c>
      <c r="R101">
        <v>810</v>
      </c>
    </row>
    <row r="102" spans="1:18" x14ac:dyDescent="0.35">
      <c r="A102" s="7" t="s">
        <v>186</v>
      </c>
      <c r="B102" s="12" t="s">
        <v>167</v>
      </c>
      <c r="C102">
        <v>5009179.1911097337</v>
      </c>
      <c r="D102">
        <v>5296265.6622719038</v>
      </c>
      <c r="F102">
        <v>13513.513513514001</v>
      </c>
      <c r="L102">
        <v>13513.513513514001</v>
      </c>
      <c r="M102">
        <v>987477.47747747705</v>
      </c>
      <c r="N102">
        <v>1471990.990990991</v>
      </c>
      <c r="Q102">
        <v>2827</v>
      </c>
      <c r="R102">
        <v>2954</v>
      </c>
    </row>
    <row r="103" spans="1:18" x14ac:dyDescent="0.35">
      <c r="A103" s="7" t="s">
        <v>187</v>
      </c>
      <c r="B103" s="12" t="s">
        <v>167</v>
      </c>
      <c r="C103">
        <v>16204778.832223875</v>
      </c>
      <c r="D103">
        <v>16043064.9193362</v>
      </c>
      <c r="H103">
        <v>2</v>
      </c>
      <c r="J103">
        <v>2</v>
      </c>
      <c r="K103">
        <v>900900.90090090095</v>
      </c>
      <c r="M103">
        <v>2335270.2702702698</v>
      </c>
      <c r="N103">
        <v>3239909.9099099091</v>
      </c>
      <c r="O103">
        <v>326126.12612612598</v>
      </c>
      <c r="P103">
        <v>186936.93693693701</v>
      </c>
      <c r="Q103">
        <v>5987</v>
      </c>
      <c r="R103">
        <v>7082</v>
      </c>
    </row>
    <row r="104" spans="1:18" x14ac:dyDescent="0.35">
      <c r="A104" s="7" t="s">
        <v>188</v>
      </c>
      <c r="B104" s="12" t="s">
        <v>189</v>
      </c>
      <c r="C104">
        <v>8389888.3176668659</v>
      </c>
      <c r="D104">
        <v>7476111.052512235</v>
      </c>
      <c r="E104">
        <v>270270.27027027</v>
      </c>
      <c r="G104">
        <v>1</v>
      </c>
      <c r="H104">
        <v>3</v>
      </c>
      <c r="I104">
        <v>2</v>
      </c>
      <c r="J104">
        <v>3</v>
      </c>
      <c r="K104">
        <v>720720.72072072094</v>
      </c>
      <c r="M104">
        <v>1318108.1081081079</v>
      </c>
      <c r="N104">
        <v>475225.22522522602</v>
      </c>
      <c r="O104">
        <v>572972.97297297302</v>
      </c>
      <c r="P104">
        <v>50450.45045045</v>
      </c>
      <c r="Q104">
        <v>1755</v>
      </c>
      <c r="R104">
        <v>1692</v>
      </c>
    </row>
    <row r="105" spans="1:18" x14ac:dyDescent="0.35">
      <c r="A105" s="7" t="s">
        <v>190</v>
      </c>
      <c r="B105" s="12" t="s">
        <v>134</v>
      </c>
      <c r="C105">
        <v>1302677.706359508</v>
      </c>
      <c r="D105">
        <v>1595189.4670208329</v>
      </c>
      <c r="H105">
        <v>1</v>
      </c>
      <c r="I105">
        <v>1</v>
      </c>
      <c r="J105">
        <v>2</v>
      </c>
      <c r="M105">
        <v>19594.594594595001</v>
      </c>
      <c r="N105">
        <v>402252.25225225202</v>
      </c>
      <c r="Q105">
        <v>1016</v>
      </c>
      <c r="R105">
        <v>943</v>
      </c>
    </row>
    <row r="106" spans="1:18" x14ac:dyDescent="0.35">
      <c r="A106" s="7" t="s">
        <v>191</v>
      </c>
      <c r="B106" s="12" t="s">
        <v>60</v>
      </c>
      <c r="C106">
        <v>10277907.690252405</v>
      </c>
      <c r="D106">
        <v>9732074.0092960168</v>
      </c>
      <c r="M106">
        <v>2890405.405405405</v>
      </c>
      <c r="N106">
        <v>2526036.036036035</v>
      </c>
      <c r="O106">
        <v>827027.02702702605</v>
      </c>
      <c r="P106">
        <v>435765.76576576702</v>
      </c>
      <c r="Q106">
        <v>3916</v>
      </c>
      <c r="R106">
        <v>3894</v>
      </c>
    </row>
    <row r="107" spans="1:18" x14ac:dyDescent="0.35">
      <c r="A107" s="7" t="s">
        <v>192</v>
      </c>
      <c r="B107" s="12" t="s">
        <v>60</v>
      </c>
      <c r="C107">
        <v>17709815.323978093</v>
      </c>
      <c r="D107">
        <v>15823697.608610978</v>
      </c>
      <c r="F107">
        <v>180180.18018018</v>
      </c>
      <c r="K107">
        <v>1351351.351351351</v>
      </c>
      <c r="L107">
        <v>180180.18018018</v>
      </c>
      <c r="M107">
        <v>2762567.5675675678</v>
      </c>
      <c r="N107">
        <v>3158414.4144144142</v>
      </c>
      <c r="O107">
        <v>396036.03603603703</v>
      </c>
      <c r="P107">
        <v>440720.720720721</v>
      </c>
      <c r="Q107">
        <v>6565</v>
      </c>
      <c r="R107">
        <v>6336</v>
      </c>
    </row>
    <row r="108" spans="1:18" x14ac:dyDescent="0.35">
      <c r="A108" s="7" t="s">
        <v>2</v>
      </c>
      <c r="B108" s="12" t="s">
        <v>193</v>
      </c>
      <c r="C108">
        <v>2316695.8720910051</v>
      </c>
      <c r="D108">
        <v>2387423.083762663</v>
      </c>
      <c r="G108">
        <v>1</v>
      </c>
      <c r="H108">
        <v>1</v>
      </c>
      <c r="I108">
        <v>1</v>
      </c>
      <c r="J108">
        <v>1</v>
      </c>
      <c r="M108">
        <v>1145405.405405405</v>
      </c>
      <c r="N108">
        <v>1231486.4864864859</v>
      </c>
      <c r="P108">
        <v>157657.65765765801</v>
      </c>
      <c r="Q108">
        <v>1244</v>
      </c>
      <c r="R108">
        <v>1144</v>
      </c>
    </row>
    <row r="109" spans="1:18" x14ac:dyDescent="0.35">
      <c r="A109" s="7" t="s">
        <v>194</v>
      </c>
      <c r="B109" s="12" t="s">
        <v>195</v>
      </c>
      <c r="C109">
        <v>57590830.781461306</v>
      </c>
      <c r="D109">
        <v>56149247.019238465</v>
      </c>
      <c r="E109">
        <v>542342.34234234295</v>
      </c>
      <c r="F109">
        <v>67567.567567567996</v>
      </c>
      <c r="G109">
        <v>5</v>
      </c>
      <c r="H109">
        <v>2</v>
      </c>
      <c r="I109">
        <v>8</v>
      </c>
      <c r="J109">
        <v>4</v>
      </c>
      <c r="K109">
        <v>3776576.576576577</v>
      </c>
      <c r="L109">
        <v>1418918.9189189191</v>
      </c>
      <c r="M109">
        <v>11212342.342342343</v>
      </c>
      <c r="N109">
        <v>10835918.918918921</v>
      </c>
      <c r="O109">
        <v>1963783.783783782</v>
      </c>
      <c r="P109">
        <v>938918.91891891998</v>
      </c>
      <c r="Q109">
        <v>18241</v>
      </c>
      <c r="R109">
        <v>18457</v>
      </c>
    </row>
    <row r="110" spans="1:18" x14ac:dyDescent="0.35">
      <c r="A110" s="7" t="s">
        <v>196</v>
      </c>
      <c r="B110" s="12" t="s">
        <v>80</v>
      </c>
      <c r="C110">
        <v>17772225.968050912</v>
      </c>
      <c r="D110">
        <v>18186580.78179362</v>
      </c>
      <c r="E110">
        <v>2702.7027027029999</v>
      </c>
      <c r="F110">
        <v>27027.027027028002</v>
      </c>
      <c r="G110">
        <v>2</v>
      </c>
      <c r="H110">
        <v>2</v>
      </c>
      <c r="I110">
        <v>2</v>
      </c>
      <c r="J110">
        <v>2</v>
      </c>
      <c r="K110">
        <v>453153.15315315302</v>
      </c>
      <c r="L110">
        <v>1513513.5135135141</v>
      </c>
      <c r="M110">
        <v>4687783.7837837841</v>
      </c>
      <c r="N110">
        <v>5309090.0900900885</v>
      </c>
      <c r="O110">
        <v>779639.63963964104</v>
      </c>
      <c r="P110">
        <v>1775765.7657657671</v>
      </c>
      <c r="Q110">
        <v>6761</v>
      </c>
      <c r="R110">
        <v>6963</v>
      </c>
    </row>
    <row r="111" spans="1:18" x14ac:dyDescent="0.35">
      <c r="A111" s="7" t="s">
        <v>197</v>
      </c>
      <c r="B111" s="12" t="s">
        <v>108</v>
      </c>
      <c r="C111">
        <v>14390473.202039037</v>
      </c>
      <c r="D111">
        <v>15759577.26067128</v>
      </c>
      <c r="E111">
        <v>900.900900901</v>
      </c>
      <c r="F111">
        <v>67567.567567567996</v>
      </c>
      <c r="I111">
        <v>2</v>
      </c>
      <c r="J111">
        <v>1</v>
      </c>
      <c r="K111">
        <v>555855.85585585504</v>
      </c>
      <c r="L111">
        <v>346846.84684684698</v>
      </c>
      <c r="M111">
        <v>3168423.423423423</v>
      </c>
      <c r="N111">
        <v>4531729.7297297288</v>
      </c>
      <c r="O111">
        <v>351351.35135135101</v>
      </c>
      <c r="P111">
        <v>622072.072072073</v>
      </c>
      <c r="Q111">
        <v>7093</v>
      </c>
      <c r="R111">
        <v>12600</v>
      </c>
    </row>
    <row r="112" spans="1:18" x14ac:dyDescent="0.35">
      <c r="A112" s="7" t="s">
        <v>198</v>
      </c>
      <c r="B112" s="12" t="s">
        <v>92</v>
      </c>
      <c r="C112">
        <v>8247090.3616754552</v>
      </c>
      <c r="D112">
        <v>7499825.8275603298</v>
      </c>
      <c r="E112">
        <v>181081.08108108101</v>
      </c>
      <c r="F112">
        <v>63063.063063064001</v>
      </c>
      <c r="G112">
        <v>3</v>
      </c>
      <c r="H112">
        <v>2</v>
      </c>
      <c r="I112">
        <v>3</v>
      </c>
      <c r="J112">
        <v>2</v>
      </c>
      <c r="K112">
        <v>181081.08108108101</v>
      </c>
      <c r="L112">
        <v>63063.063063064001</v>
      </c>
      <c r="M112">
        <v>1895990.990990991</v>
      </c>
      <c r="N112">
        <v>1662558.558558559</v>
      </c>
      <c r="O112">
        <v>37387.387387387003</v>
      </c>
      <c r="P112">
        <v>127477.477477477</v>
      </c>
      <c r="Q112">
        <v>2868</v>
      </c>
      <c r="R112">
        <v>2708</v>
      </c>
    </row>
    <row r="113" spans="1:18" x14ac:dyDescent="0.35">
      <c r="A113" s="7" t="s">
        <v>199</v>
      </c>
      <c r="B113" s="12" t="s">
        <v>123</v>
      </c>
      <c r="C113">
        <v>8581994.9051843993</v>
      </c>
      <c r="D113">
        <v>6103980.317906769</v>
      </c>
      <c r="E113">
        <v>451351.35135135101</v>
      </c>
      <c r="G113">
        <v>3</v>
      </c>
      <c r="I113">
        <v>4</v>
      </c>
      <c r="K113">
        <v>471171.17117117101</v>
      </c>
      <c r="M113">
        <v>1843513.5135135141</v>
      </c>
      <c r="N113">
        <v>993774.77477477398</v>
      </c>
      <c r="O113">
        <v>231441.441441442</v>
      </c>
      <c r="P113">
        <v>12612.612612613</v>
      </c>
      <c r="Q113">
        <v>2561</v>
      </c>
      <c r="R113">
        <v>2416</v>
      </c>
    </row>
    <row r="114" spans="1:18" x14ac:dyDescent="0.35">
      <c r="A114" s="7" t="s">
        <v>200</v>
      </c>
      <c r="B114" s="12" t="s">
        <v>60</v>
      </c>
      <c r="C114">
        <v>5703984.6427697446</v>
      </c>
      <c r="D114">
        <v>5643103.6570254108</v>
      </c>
      <c r="E114">
        <v>1801.801801802</v>
      </c>
      <c r="F114">
        <v>40540.540540540998</v>
      </c>
      <c r="G114">
        <v>1</v>
      </c>
      <c r="I114">
        <v>3</v>
      </c>
      <c r="K114">
        <v>190990.99099099101</v>
      </c>
      <c r="L114">
        <v>40540.540540540998</v>
      </c>
      <c r="M114">
        <v>646666.66666666605</v>
      </c>
      <c r="N114">
        <v>931315.31531531503</v>
      </c>
      <c r="O114">
        <v>292792.79279279301</v>
      </c>
      <c r="P114">
        <v>172072.07207207201</v>
      </c>
      <c r="Q114">
        <v>3522</v>
      </c>
      <c r="R114">
        <v>3507</v>
      </c>
    </row>
    <row r="115" spans="1:18" x14ac:dyDescent="0.35">
      <c r="A115" s="7" t="s">
        <v>201</v>
      </c>
      <c r="B115" s="12" t="s">
        <v>60</v>
      </c>
      <c r="C115">
        <v>1878204.2380651771</v>
      </c>
      <c r="D115">
        <v>1922393.8280966619</v>
      </c>
      <c r="H115">
        <v>1</v>
      </c>
      <c r="I115">
        <v>1</v>
      </c>
      <c r="J115">
        <v>2</v>
      </c>
      <c r="M115">
        <v>1014639.63963964</v>
      </c>
      <c r="N115">
        <v>251981.98198198099</v>
      </c>
      <c r="Q115">
        <v>1117</v>
      </c>
      <c r="R115">
        <v>1103</v>
      </c>
    </row>
    <row r="116" spans="1:18" x14ac:dyDescent="0.35">
      <c r="A116" s="7" t="s">
        <v>202</v>
      </c>
      <c r="B116" s="12" t="s">
        <v>121</v>
      </c>
      <c r="C116">
        <v>4441398.1088740472</v>
      </c>
      <c r="D116">
        <v>2926436.8727855729</v>
      </c>
      <c r="E116">
        <v>1801.801801802</v>
      </c>
      <c r="G116">
        <v>3</v>
      </c>
      <c r="H116">
        <v>1</v>
      </c>
      <c r="I116">
        <v>4</v>
      </c>
      <c r="J116">
        <v>1</v>
      </c>
      <c r="K116">
        <v>1801.801801802</v>
      </c>
      <c r="M116">
        <v>304414.41441441502</v>
      </c>
      <c r="N116">
        <v>395720.720720721</v>
      </c>
      <c r="Q116">
        <v>1644</v>
      </c>
      <c r="R116">
        <v>1484</v>
      </c>
    </row>
    <row r="117" spans="1:18" x14ac:dyDescent="0.35">
      <c r="A117" s="7" t="s">
        <v>203</v>
      </c>
      <c r="B117" s="12" t="s">
        <v>54</v>
      </c>
      <c r="C117">
        <v>5616774.3449208355</v>
      </c>
      <c r="D117">
        <v>5534822.9621921293</v>
      </c>
      <c r="E117">
        <v>900.900900901</v>
      </c>
      <c r="G117">
        <v>2</v>
      </c>
      <c r="H117">
        <v>1</v>
      </c>
      <c r="I117">
        <v>3</v>
      </c>
      <c r="J117">
        <v>2</v>
      </c>
      <c r="K117">
        <v>1217117.117117116</v>
      </c>
      <c r="M117">
        <v>1110405.405405405</v>
      </c>
      <c r="N117">
        <v>1094882.882882884</v>
      </c>
      <c r="O117">
        <v>160630.630630631</v>
      </c>
      <c r="P117">
        <v>90450.450450449993</v>
      </c>
      <c r="Q117">
        <v>3867</v>
      </c>
      <c r="R117">
        <v>3945</v>
      </c>
    </row>
    <row r="118" spans="1:18" x14ac:dyDescent="0.35">
      <c r="A118" s="7" t="s">
        <v>204</v>
      </c>
      <c r="B118" s="12" t="s">
        <v>136</v>
      </c>
      <c r="C118">
        <v>19195584.796670865</v>
      </c>
      <c r="D118">
        <v>17549334.371296626</v>
      </c>
      <c r="E118">
        <v>900.900900901</v>
      </c>
      <c r="F118">
        <v>13513.513513514001</v>
      </c>
      <c r="G118">
        <v>3</v>
      </c>
      <c r="H118">
        <v>2</v>
      </c>
      <c r="I118">
        <v>3</v>
      </c>
      <c r="J118">
        <v>2</v>
      </c>
      <c r="K118">
        <v>2433333.333333334</v>
      </c>
      <c r="L118">
        <v>914414.41441441397</v>
      </c>
      <c r="M118">
        <v>2670720.7207207209</v>
      </c>
      <c r="N118">
        <v>3182693.6936936928</v>
      </c>
      <c r="O118">
        <v>837387.38738738699</v>
      </c>
      <c r="P118">
        <v>1797837.8378378381</v>
      </c>
      <c r="Q118">
        <v>5857</v>
      </c>
      <c r="R118">
        <v>6389</v>
      </c>
    </row>
    <row r="119" spans="1:18" x14ac:dyDescent="0.35">
      <c r="A119" s="7" t="s">
        <v>205</v>
      </c>
      <c r="B119" s="12" t="s">
        <v>136</v>
      </c>
      <c r="C119">
        <v>9836061.0916009247</v>
      </c>
      <c r="D119">
        <v>8811391.3950026929</v>
      </c>
      <c r="E119">
        <v>900.900900901</v>
      </c>
      <c r="G119">
        <v>1</v>
      </c>
      <c r="H119">
        <v>1</v>
      </c>
      <c r="I119">
        <v>2</v>
      </c>
      <c r="J119">
        <v>1</v>
      </c>
      <c r="K119">
        <v>900.900900901</v>
      </c>
      <c r="M119">
        <v>1874279.27927928</v>
      </c>
      <c r="N119">
        <v>1599486.4864864871</v>
      </c>
      <c r="O119">
        <v>43423.423423423999</v>
      </c>
      <c r="P119">
        <v>148828.82882882899</v>
      </c>
      <c r="Q119">
        <v>3178</v>
      </c>
      <c r="R119">
        <v>3102</v>
      </c>
    </row>
    <row r="120" spans="1:18" x14ac:dyDescent="0.35">
      <c r="A120" s="7" t="s">
        <v>206</v>
      </c>
      <c r="B120" s="12" t="s">
        <v>169</v>
      </c>
      <c r="C120">
        <v>16881700.672225296</v>
      </c>
      <c r="D120">
        <v>21179521.762307104</v>
      </c>
      <c r="F120">
        <v>40540.540540540998</v>
      </c>
      <c r="G120">
        <v>1</v>
      </c>
      <c r="I120">
        <v>1</v>
      </c>
      <c r="K120">
        <v>180180180.18018019</v>
      </c>
      <c r="L120">
        <v>40540.540540540998</v>
      </c>
      <c r="M120">
        <v>7980495.4954954963</v>
      </c>
      <c r="N120">
        <v>9577252.2522522528</v>
      </c>
      <c r="O120">
        <v>27871891.891891893</v>
      </c>
      <c r="P120">
        <v>111261.261261261</v>
      </c>
      <c r="Q120">
        <v>6472</v>
      </c>
      <c r="R120">
        <v>7298</v>
      </c>
    </row>
    <row r="121" spans="1:18" x14ac:dyDescent="0.35">
      <c r="A121" s="7" t="s">
        <v>207</v>
      </c>
      <c r="B121" s="12" t="s">
        <v>161</v>
      </c>
      <c r="C121">
        <v>23215342.947669446</v>
      </c>
      <c r="D121">
        <v>26548216.289804127</v>
      </c>
      <c r="E121">
        <v>272072.07207207201</v>
      </c>
      <c r="F121">
        <v>27027.027027028002</v>
      </c>
      <c r="G121">
        <v>2</v>
      </c>
      <c r="H121">
        <v>3</v>
      </c>
      <c r="I121">
        <v>7</v>
      </c>
      <c r="J121">
        <v>28</v>
      </c>
      <c r="K121">
        <v>3569369.3693693709</v>
      </c>
      <c r="L121">
        <v>4687837.8378378386</v>
      </c>
      <c r="M121">
        <v>6359639.6396396393</v>
      </c>
      <c r="N121">
        <v>8061243.2432432426</v>
      </c>
      <c r="O121">
        <v>4272522.5225225249</v>
      </c>
      <c r="P121">
        <v>1028918.9189189191</v>
      </c>
      <c r="Q121">
        <v>12085</v>
      </c>
      <c r="R121">
        <v>12731</v>
      </c>
    </row>
    <row r="122" spans="1:18" x14ac:dyDescent="0.35">
      <c r="A122" s="7" t="s">
        <v>208</v>
      </c>
      <c r="B122" s="12" t="s">
        <v>76</v>
      </c>
      <c r="C122">
        <v>999108.37675648998</v>
      </c>
      <c r="D122">
        <v>938603.41143774404</v>
      </c>
      <c r="M122">
        <v>131081.08108108101</v>
      </c>
      <c r="N122">
        <v>84684.684684684995</v>
      </c>
      <c r="Q122">
        <v>513</v>
      </c>
      <c r="R122">
        <v>1196</v>
      </c>
    </row>
    <row r="123" spans="1:18" x14ac:dyDescent="0.35">
      <c r="A123" s="7" t="s">
        <v>209</v>
      </c>
      <c r="B123" s="12" t="s">
        <v>76</v>
      </c>
      <c r="C123">
        <v>11865218.863901298</v>
      </c>
      <c r="D123">
        <v>13494067.373475829</v>
      </c>
      <c r="E123">
        <v>172461.26126126101</v>
      </c>
      <c r="F123">
        <v>185543.24324324401</v>
      </c>
      <c r="G123">
        <v>5</v>
      </c>
      <c r="H123">
        <v>1</v>
      </c>
      <c r="I123">
        <v>6</v>
      </c>
      <c r="J123">
        <v>4</v>
      </c>
      <c r="K123">
        <v>932342.34234234598</v>
      </c>
      <c r="L123">
        <v>2166216.2162162191</v>
      </c>
      <c r="M123">
        <v>1747072.0720720741</v>
      </c>
      <c r="N123">
        <v>1552000.0000000009</v>
      </c>
      <c r="O123">
        <v>930090.09009009402</v>
      </c>
      <c r="P123">
        <v>1926306.3063063121</v>
      </c>
      <c r="Q123">
        <v>4534</v>
      </c>
      <c r="R123">
        <v>4415</v>
      </c>
    </row>
    <row r="124" spans="1:18" x14ac:dyDescent="0.35">
      <c r="A124" s="7" t="s">
        <v>210</v>
      </c>
      <c r="B124" s="12" t="s">
        <v>76</v>
      </c>
      <c r="C124">
        <v>15404792.06405044</v>
      </c>
      <c r="D124">
        <v>16448949.621038347</v>
      </c>
      <c r="E124">
        <v>9909.9099099110008</v>
      </c>
      <c r="F124">
        <v>297297.29729729798</v>
      </c>
      <c r="G124">
        <v>4</v>
      </c>
      <c r="H124">
        <v>8</v>
      </c>
      <c r="I124">
        <v>11</v>
      </c>
      <c r="J124">
        <v>12</v>
      </c>
      <c r="K124">
        <v>2458558.558558559</v>
      </c>
      <c r="L124">
        <v>9572972.9729729742</v>
      </c>
      <c r="M124">
        <v>4391846.8468468459</v>
      </c>
      <c r="N124">
        <v>4500702.702702703</v>
      </c>
      <c r="O124">
        <v>1912612.6126126139</v>
      </c>
      <c r="P124">
        <v>8933243.2432432491</v>
      </c>
      <c r="Q124">
        <v>6947</v>
      </c>
      <c r="R124">
        <v>6909</v>
      </c>
    </row>
    <row r="125" spans="1:18" x14ac:dyDescent="0.35">
      <c r="A125" s="7" t="s">
        <v>211</v>
      </c>
      <c r="B125" s="12" t="s">
        <v>76</v>
      </c>
      <c r="C125">
        <v>10350135.146678817</v>
      </c>
      <c r="D125">
        <v>11812548.77417646</v>
      </c>
      <c r="E125">
        <v>1801.801801802</v>
      </c>
      <c r="F125">
        <v>27027.027027028002</v>
      </c>
      <c r="G125">
        <v>2</v>
      </c>
      <c r="H125">
        <v>3</v>
      </c>
      <c r="I125">
        <v>6</v>
      </c>
      <c r="J125">
        <v>3</v>
      </c>
      <c r="K125">
        <v>272072.07207207201</v>
      </c>
      <c r="L125">
        <v>27027.027027028002</v>
      </c>
      <c r="M125">
        <v>1719639.6396396391</v>
      </c>
      <c r="N125">
        <v>1082837.8378378369</v>
      </c>
      <c r="O125">
        <v>723423.42342342599</v>
      </c>
      <c r="P125">
        <v>501801.80180180201</v>
      </c>
      <c r="Q125">
        <v>4042</v>
      </c>
      <c r="R125">
        <v>3878</v>
      </c>
    </row>
    <row r="126" spans="1:18" x14ac:dyDescent="0.35">
      <c r="A126" s="7" t="s">
        <v>212</v>
      </c>
      <c r="B126" s="12" t="s">
        <v>76</v>
      </c>
      <c r="C126">
        <v>3971169.6504980009</v>
      </c>
      <c r="D126">
        <v>4768531.4953970024</v>
      </c>
      <c r="G126">
        <v>1</v>
      </c>
      <c r="I126">
        <v>1</v>
      </c>
      <c r="M126">
        <v>529639.63963963999</v>
      </c>
      <c r="N126">
        <v>501846.84684684599</v>
      </c>
      <c r="O126">
        <v>13513.513513514001</v>
      </c>
      <c r="P126">
        <v>46846.846846847002</v>
      </c>
      <c r="Q126">
        <v>1809</v>
      </c>
      <c r="R126">
        <v>2178</v>
      </c>
    </row>
    <row r="127" spans="1:18" x14ac:dyDescent="0.35">
      <c r="A127" s="7" t="s">
        <v>213</v>
      </c>
      <c r="B127" s="12" t="s">
        <v>214</v>
      </c>
      <c r="C127">
        <v>4114166.57033095</v>
      </c>
      <c r="D127">
        <v>4941116.1342341341</v>
      </c>
      <c r="I127">
        <v>2</v>
      </c>
      <c r="K127">
        <v>1819819.8198198201</v>
      </c>
      <c r="M127">
        <v>1700630.6306306301</v>
      </c>
      <c r="N127">
        <v>2037072.072072072</v>
      </c>
      <c r="O127">
        <v>185585.585585586</v>
      </c>
      <c r="P127">
        <v>125135.135135135</v>
      </c>
      <c r="Q127">
        <v>2282</v>
      </c>
      <c r="R127">
        <v>2269</v>
      </c>
    </row>
    <row r="128" spans="1:18" x14ac:dyDescent="0.35">
      <c r="A128" s="7" t="s">
        <v>215</v>
      </c>
      <c r="B128" s="12" t="s">
        <v>167</v>
      </c>
      <c r="C128">
        <v>3694948.7717067832</v>
      </c>
      <c r="D128">
        <v>5216920.1447911039</v>
      </c>
      <c r="I128">
        <v>1</v>
      </c>
      <c r="J128">
        <v>1</v>
      </c>
      <c r="K128">
        <v>27027.027027027001</v>
      </c>
      <c r="M128">
        <v>681486.48648648604</v>
      </c>
      <c r="N128">
        <v>1166792.792792792</v>
      </c>
      <c r="Q128">
        <v>1841</v>
      </c>
      <c r="R128">
        <v>1853</v>
      </c>
    </row>
    <row r="129" spans="1:18" x14ac:dyDescent="0.35">
      <c r="A129" s="7" t="s">
        <v>216</v>
      </c>
      <c r="B129" s="12" t="s">
        <v>85</v>
      </c>
      <c r="C129">
        <v>952149.06991861004</v>
      </c>
      <c r="D129">
        <v>1316512.751229998</v>
      </c>
      <c r="E129">
        <v>3603.603603604</v>
      </c>
      <c r="H129">
        <v>3</v>
      </c>
      <c r="J129">
        <v>3</v>
      </c>
      <c r="K129">
        <v>3603.603603604</v>
      </c>
      <c r="L129">
        <v>360360.36036036001</v>
      </c>
      <c r="M129">
        <v>273423.42342342302</v>
      </c>
      <c r="N129">
        <v>470450.450450451</v>
      </c>
      <c r="P129">
        <v>281531.531531532</v>
      </c>
      <c r="Q129">
        <v>648</v>
      </c>
      <c r="R129">
        <v>645</v>
      </c>
    </row>
    <row r="130" spans="1:18" x14ac:dyDescent="0.35">
      <c r="A130" s="7" t="s">
        <v>217</v>
      </c>
      <c r="B130" s="12" t="s">
        <v>85</v>
      </c>
      <c r="C130">
        <v>5874021.6193284132</v>
      </c>
      <c r="D130">
        <v>5191482.5546578234</v>
      </c>
      <c r="E130">
        <v>2702.7027027029999</v>
      </c>
      <c r="G130">
        <v>8</v>
      </c>
      <c r="H130">
        <v>1</v>
      </c>
      <c r="I130">
        <v>10</v>
      </c>
      <c r="J130">
        <v>1</v>
      </c>
      <c r="K130">
        <v>2702.7027027029999</v>
      </c>
      <c r="M130">
        <v>1124504.5045045051</v>
      </c>
      <c r="N130">
        <v>1262918.9189189191</v>
      </c>
      <c r="O130">
        <v>374594.59459459397</v>
      </c>
      <c r="P130">
        <v>214864.864864865</v>
      </c>
      <c r="Q130">
        <v>2613</v>
      </c>
      <c r="R130">
        <v>2354</v>
      </c>
    </row>
    <row r="131" spans="1:18" x14ac:dyDescent="0.35">
      <c r="A131" s="7" t="s">
        <v>218</v>
      </c>
      <c r="B131" s="12" t="s">
        <v>147</v>
      </c>
      <c r="C131">
        <v>5040359.0559651451</v>
      </c>
      <c r="D131">
        <v>4169701.6057163351</v>
      </c>
      <c r="F131">
        <v>13513.513513514001</v>
      </c>
      <c r="K131">
        <v>270270.27027027</v>
      </c>
      <c r="L131">
        <v>13513.513513514001</v>
      </c>
      <c r="M131">
        <v>1178405.405405405</v>
      </c>
      <c r="N131">
        <v>1229081.0810810809</v>
      </c>
      <c r="O131">
        <v>265765.76576576597</v>
      </c>
      <c r="P131">
        <v>320540.54054054001</v>
      </c>
      <c r="Q131">
        <v>2534</v>
      </c>
      <c r="R131">
        <v>2340</v>
      </c>
    </row>
    <row r="132" spans="1:18" x14ac:dyDescent="0.35">
      <c r="A132" s="7" t="s">
        <v>219</v>
      </c>
      <c r="B132" s="12" t="s">
        <v>220</v>
      </c>
      <c r="C132">
        <v>9885791.8064051885</v>
      </c>
      <c r="D132">
        <v>9043784.7927289922</v>
      </c>
      <c r="E132">
        <v>900.900900901</v>
      </c>
      <c r="F132">
        <v>27027.027027028002</v>
      </c>
      <c r="J132">
        <v>1</v>
      </c>
      <c r="K132">
        <v>12575675.675675672</v>
      </c>
      <c r="L132">
        <v>27027.027027028002</v>
      </c>
      <c r="M132">
        <v>2006702.702702702</v>
      </c>
      <c r="N132">
        <v>2175819.8198198192</v>
      </c>
      <c r="O132">
        <v>8181261.2612612592</v>
      </c>
      <c r="P132">
        <v>1272252.2522522521</v>
      </c>
      <c r="Q132">
        <v>6327</v>
      </c>
      <c r="R132">
        <v>6321</v>
      </c>
    </row>
    <row r="133" spans="1:18" x14ac:dyDescent="0.35">
      <c r="A133" s="7" t="s">
        <v>221</v>
      </c>
      <c r="B133" s="12" t="s">
        <v>52</v>
      </c>
      <c r="C133">
        <v>24931938.374431029</v>
      </c>
      <c r="D133">
        <v>23986243.982999086</v>
      </c>
      <c r="E133">
        <v>136936.93693693701</v>
      </c>
      <c r="F133">
        <v>234234.234234237</v>
      </c>
      <c r="G133">
        <v>1</v>
      </c>
      <c r="H133">
        <v>7</v>
      </c>
      <c r="I133">
        <v>3</v>
      </c>
      <c r="J133">
        <v>9</v>
      </c>
      <c r="K133">
        <v>462342.34234234103</v>
      </c>
      <c r="L133">
        <v>423423.42342342599</v>
      </c>
      <c r="M133">
        <v>7645360.3603603598</v>
      </c>
      <c r="N133">
        <v>7319153.153153155</v>
      </c>
      <c r="O133">
        <v>889549.54954955098</v>
      </c>
      <c r="P133">
        <v>910450.450450451</v>
      </c>
      <c r="Q133">
        <v>10885</v>
      </c>
      <c r="R133">
        <v>10889</v>
      </c>
    </row>
    <row r="134" spans="1:18" x14ac:dyDescent="0.35">
      <c r="A134" s="7" t="s">
        <v>222</v>
      </c>
      <c r="B134" s="12" t="s">
        <v>76</v>
      </c>
      <c r="C134">
        <v>19487042.001832727</v>
      </c>
      <c r="D134">
        <v>20388075.425099283</v>
      </c>
      <c r="E134">
        <v>2702.7027027029999</v>
      </c>
      <c r="F134">
        <v>40540.540540542002</v>
      </c>
      <c r="G134">
        <v>6</v>
      </c>
      <c r="H134">
        <v>3</v>
      </c>
      <c r="I134">
        <v>7</v>
      </c>
      <c r="J134">
        <v>6</v>
      </c>
      <c r="K134">
        <v>1173873.8738738741</v>
      </c>
      <c r="L134">
        <v>2157657.6576576582</v>
      </c>
      <c r="M134">
        <v>3224639.6396396388</v>
      </c>
      <c r="N134">
        <v>3071360.3603603621</v>
      </c>
      <c r="O134">
        <v>583693.69369369396</v>
      </c>
      <c r="P134">
        <v>2410900.9009009022</v>
      </c>
      <c r="Q134">
        <v>7114</v>
      </c>
      <c r="R134">
        <v>7026</v>
      </c>
    </row>
    <row r="135" spans="1:18" x14ac:dyDescent="0.35">
      <c r="A135" s="7" t="s">
        <v>223</v>
      </c>
      <c r="B135" s="12" t="s">
        <v>224</v>
      </c>
      <c r="C135">
        <v>2046425.5496065789</v>
      </c>
      <c r="D135">
        <v>1289426.9832671629</v>
      </c>
      <c r="M135">
        <v>219819.81981982</v>
      </c>
      <c r="N135">
        <v>264009.00900900899</v>
      </c>
      <c r="P135">
        <v>22162.162162162</v>
      </c>
      <c r="Q135">
        <v>824</v>
      </c>
      <c r="R135">
        <v>796</v>
      </c>
    </row>
    <row r="136" spans="1:18" x14ac:dyDescent="0.35">
      <c r="A136" s="7" t="s">
        <v>225</v>
      </c>
      <c r="B136" s="12" t="s">
        <v>143</v>
      </c>
      <c r="C136">
        <v>17969791.265098862</v>
      </c>
      <c r="D136">
        <v>15597550.713500621</v>
      </c>
      <c r="E136">
        <v>900.900900901</v>
      </c>
      <c r="F136">
        <v>54054.054054056003</v>
      </c>
      <c r="G136">
        <v>1</v>
      </c>
      <c r="H136">
        <v>1</v>
      </c>
      <c r="I136">
        <v>4</v>
      </c>
      <c r="J136">
        <v>4</v>
      </c>
      <c r="K136">
        <v>1703603.6036036031</v>
      </c>
      <c r="L136">
        <v>54054.054054056003</v>
      </c>
      <c r="M136">
        <v>1806477.4774774769</v>
      </c>
      <c r="N136">
        <v>1931432.432432432</v>
      </c>
      <c r="O136">
        <v>525225.22522522497</v>
      </c>
      <c r="P136">
        <v>548648.64864864899</v>
      </c>
      <c r="Q136">
        <v>6190</v>
      </c>
      <c r="R136">
        <v>5994</v>
      </c>
    </row>
    <row r="137" spans="1:18" x14ac:dyDescent="0.35">
      <c r="A137" s="7" t="s">
        <v>226</v>
      </c>
      <c r="B137" s="12" t="s">
        <v>224</v>
      </c>
      <c r="C137">
        <v>1888775.6557313211</v>
      </c>
      <c r="D137">
        <v>2491861.8004075838</v>
      </c>
      <c r="F137">
        <v>13513.513513514001</v>
      </c>
      <c r="L137">
        <v>13513.513513514001</v>
      </c>
      <c r="M137">
        <v>470360.36036036001</v>
      </c>
      <c r="N137">
        <v>422972.97297297302</v>
      </c>
      <c r="O137">
        <v>34954.954954954999</v>
      </c>
      <c r="P137">
        <v>22972.972972972999</v>
      </c>
      <c r="Q137">
        <v>792</v>
      </c>
      <c r="R137">
        <v>798</v>
      </c>
    </row>
    <row r="138" spans="1:18" x14ac:dyDescent="0.35">
      <c r="A138" s="7" t="s">
        <v>227</v>
      </c>
      <c r="B138" s="12" t="s">
        <v>78</v>
      </c>
      <c r="C138">
        <v>15062057.788259571</v>
      </c>
      <c r="D138">
        <v>15822375.872395055</v>
      </c>
      <c r="E138">
        <v>1801.801801802</v>
      </c>
      <c r="F138">
        <v>27027.027027028002</v>
      </c>
      <c r="G138">
        <v>4</v>
      </c>
      <c r="H138">
        <v>1</v>
      </c>
      <c r="I138">
        <v>4</v>
      </c>
      <c r="J138">
        <v>1</v>
      </c>
      <c r="K138">
        <v>3272072.072072072</v>
      </c>
      <c r="L138">
        <v>27027.027027028002</v>
      </c>
      <c r="M138">
        <v>5407027.0270270268</v>
      </c>
      <c r="N138">
        <v>5206054.0540540526</v>
      </c>
      <c r="O138">
        <v>952252.25225225196</v>
      </c>
      <c r="P138">
        <v>935675.67567567504</v>
      </c>
      <c r="Q138">
        <v>4980</v>
      </c>
      <c r="R138">
        <v>4915</v>
      </c>
    </row>
    <row r="139" spans="1:18" x14ac:dyDescent="0.35">
      <c r="A139" s="7" t="s">
        <v>228</v>
      </c>
      <c r="B139" s="12" t="s">
        <v>136</v>
      </c>
      <c r="C139">
        <v>18454857.858333632</v>
      </c>
      <c r="D139">
        <v>18869512.709890611</v>
      </c>
      <c r="E139">
        <v>8108.1081081089997</v>
      </c>
      <c r="F139">
        <v>13513.513513514001</v>
      </c>
      <c r="G139">
        <v>5</v>
      </c>
      <c r="H139">
        <v>1</v>
      </c>
      <c r="I139">
        <v>9</v>
      </c>
      <c r="J139">
        <v>4</v>
      </c>
      <c r="K139">
        <v>2080180.1801801799</v>
      </c>
      <c r="L139">
        <v>6860360.3603603579</v>
      </c>
      <c r="M139">
        <v>3491396.3963963971</v>
      </c>
      <c r="N139">
        <v>4836846.8468468459</v>
      </c>
      <c r="O139">
        <v>2484594.5945945922</v>
      </c>
      <c r="P139">
        <v>2449729.7297297269</v>
      </c>
      <c r="Q139">
        <v>7710</v>
      </c>
      <c r="R139">
        <v>9281</v>
      </c>
    </row>
    <row r="140" spans="1:18" x14ac:dyDescent="0.35">
      <c r="A140" s="7" t="s">
        <v>229</v>
      </c>
      <c r="B140" s="12" t="s">
        <v>78</v>
      </c>
      <c r="C140">
        <v>5512132.2049618755</v>
      </c>
      <c r="D140">
        <v>5951615.654643598</v>
      </c>
      <c r="F140">
        <v>13513.513513514001</v>
      </c>
      <c r="G140">
        <v>1</v>
      </c>
      <c r="H140">
        <v>1</v>
      </c>
      <c r="I140">
        <v>1</v>
      </c>
      <c r="J140">
        <v>1</v>
      </c>
      <c r="K140">
        <v>207207.20720720699</v>
      </c>
      <c r="L140">
        <v>463963.96396396402</v>
      </c>
      <c r="M140">
        <v>1789954.954954955</v>
      </c>
      <c r="N140">
        <v>1970279.27927928</v>
      </c>
      <c r="O140">
        <v>535045.04504504404</v>
      </c>
      <c r="P140">
        <v>478558.558558558</v>
      </c>
      <c r="Q140">
        <v>2554</v>
      </c>
      <c r="R140">
        <v>2623</v>
      </c>
    </row>
    <row r="141" spans="1:18" x14ac:dyDescent="0.35">
      <c r="A141" s="7" t="s">
        <v>230</v>
      </c>
      <c r="B141" s="12" t="s">
        <v>54</v>
      </c>
      <c r="C141">
        <v>16497581.936344258</v>
      </c>
      <c r="D141">
        <v>16407203.671978861</v>
      </c>
      <c r="F141">
        <v>40540.540540540998</v>
      </c>
      <c r="G141">
        <v>1</v>
      </c>
      <c r="H141">
        <v>2</v>
      </c>
      <c r="I141">
        <v>2</v>
      </c>
      <c r="J141">
        <v>3</v>
      </c>
      <c r="L141">
        <v>10918918.918918921</v>
      </c>
      <c r="M141">
        <v>3423333.333333333</v>
      </c>
      <c r="N141">
        <v>4192063.0630630641</v>
      </c>
      <c r="O141">
        <v>518738.73873873899</v>
      </c>
      <c r="P141">
        <v>14982342.342342343</v>
      </c>
      <c r="Q141">
        <v>6835</v>
      </c>
      <c r="R141">
        <v>6572</v>
      </c>
    </row>
    <row r="142" spans="1:18" x14ac:dyDescent="0.35">
      <c r="A142" s="7" t="s">
        <v>231</v>
      </c>
      <c r="B142" s="12" t="s">
        <v>78</v>
      </c>
      <c r="C142">
        <v>6294746.3068286562</v>
      </c>
      <c r="D142">
        <v>6416810.3663951717</v>
      </c>
      <c r="E142">
        <v>2702.7027027029999</v>
      </c>
      <c r="F142">
        <v>157657.657657659</v>
      </c>
      <c r="G142">
        <v>1</v>
      </c>
      <c r="I142">
        <v>2</v>
      </c>
      <c r="J142">
        <v>1</v>
      </c>
      <c r="K142">
        <v>227927.92792792799</v>
      </c>
      <c r="L142">
        <v>337837.83783783898</v>
      </c>
      <c r="M142">
        <v>2111351.3513513519</v>
      </c>
      <c r="N142">
        <v>2925099.0990990978</v>
      </c>
      <c r="O142">
        <v>1544954.954954956</v>
      </c>
      <c r="P142">
        <v>1174324.324324325</v>
      </c>
      <c r="Q142">
        <v>3939</v>
      </c>
      <c r="R142">
        <v>4237</v>
      </c>
    </row>
    <row r="143" spans="1:18" x14ac:dyDescent="0.35">
      <c r="A143" s="7" t="s">
        <v>232</v>
      </c>
      <c r="B143" s="12" t="s">
        <v>60</v>
      </c>
      <c r="C143">
        <v>5357889.3892333554</v>
      </c>
      <c r="D143">
        <v>5632098.4731573788</v>
      </c>
      <c r="G143">
        <v>2</v>
      </c>
      <c r="I143">
        <v>2</v>
      </c>
      <c r="J143">
        <v>1</v>
      </c>
      <c r="M143">
        <v>2349549.5495495498</v>
      </c>
      <c r="N143">
        <v>2518378.3783783792</v>
      </c>
      <c r="Q143">
        <v>1889</v>
      </c>
      <c r="R143">
        <v>2535</v>
      </c>
    </row>
    <row r="144" spans="1:18" x14ac:dyDescent="0.35">
      <c r="A144" s="7" t="s">
        <v>233</v>
      </c>
      <c r="B144" s="12" t="s">
        <v>54</v>
      </c>
      <c r="C144">
        <v>2433855.0750928521</v>
      </c>
      <c r="D144">
        <v>2369716.58928699</v>
      </c>
      <c r="E144">
        <v>9909.9099099100004</v>
      </c>
      <c r="H144">
        <v>1</v>
      </c>
      <c r="I144">
        <v>4</v>
      </c>
      <c r="J144">
        <v>1</v>
      </c>
      <c r="K144">
        <v>145045.045045045</v>
      </c>
      <c r="M144">
        <v>718243.24324324296</v>
      </c>
      <c r="N144">
        <v>396846.84684684599</v>
      </c>
      <c r="O144">
        <v>129099.099099099</v>
      </c>
      <c r="P144">
        <v>101981.981981982</v>
      </c>
      <c r="Q144">
        <v>1088</v>
      </c>
      <c r="R144">
        <v>988</v>
      </c>
    </row>
    <row r="145" spans="1:18" x14ac:dyDescent="0.35">
      <c r="A145" s="7" t="s">
        <v>234</v>
      </c>
      <c r="B145" s="12" t="s">
        <v>167</v>
      </c>
      <c r="C145">
        <v>10998539.552343745</v>
      </c>
      <c r="D145">
        <v>11443926.161862733</v>
      </c>
      <c r="L145">
        <v>1855855.855855858</v>
      </c>
      <c r="M145">
        <v>2714288.2882882869</v>
      </c>
      <c r="N145">
        <v>2953378.3783783792</v>
      </c>
      <c r="O145">
        <v>435495.49549549702</v>
      </c>
      <c r="P145">
        <v>140540.540540541</v>
      </c>
      <c r="Q145">
        <v>4708</v>
      </c>
      <c r="R145">
        <v>5149</v>
      </c>
    </row>
    <row r="146" spans="1:18" x14ac:dyDescent="0.35">
      <c r="A146" s="7" t="s">
        <v>235</v>
      </c>
      <c r="B146" s="12" t="s">
        <v>236</v>
      </c>
      <c r="C146">
        <v>28.758009647000002</v>
      </c>
      <c r="E146">
        <v>43211.711711712</v>
      </c>
      <c r="F146">
        <v>531039.63963963999</v>
      </c>
      <c r="K146">
        <v>16282432.432432432</v>
      </c>
      <c r="L146">
        <v>14414.414414413999</v>
      </c>
      <c r="Q146">
        <v>51</v>
      </c>
    </row>
    <row r="147" spans="1:18" x14ac:dyDescent="0.35">
      <c r="A147" s="7" t="s">
        <v>237</v>
      </c>
      <c r="B147" s="12" t="s">
        <v>105</v>
      </c>
      <c r="C147">
        <v>6856473.9624984758</v>
      </c>
      <c r="D147">
        <v>6138503.1690671081</v>
      </c>
      <c r="F147">
        <v>13513.513513514001</v>
      </c>
      <c r="H147">
        <v>1</v>
      </c>
      <c r="I147">
        <v>1</v>
      </c>
      <c r="J147">
        <v>1</v>
      </c>
      <c r="K147">
        <v>180180.18018018</v>
      </c>
      <c r="L147">
        <v>914414.41441441397</v>
      </c>
      <c r="M147">
        <v>1639909.909909911</v>
      </c>
      <c r="N147">
        <v>1533315.315315316</v>
      </c>
      <c r="O147">
        <v>214864.864864865</v>
      </c>
      <c r="P147">
        <v>482072.07207207201</v>
      </c>
      <c r="Q147">
        <v>1904</v>
      </c>
      <c r="R147">
        <v>1845</v>
      </c>
    </row>
    <row r="148" spans="1:18" x14ac:dyDescent="0.35">
      <c r="A148" s="7" t="s">
        <v>3</v>
      </c>
      <c r="B148" s="12" t="s">
        <v>158</v>
      </c>
      <c r="C148">
        <v>13860411.770302469</v>
      </c>
      <c r="D148">
        <v>12254245.414095599</v>
      </c>
      <c r="E148">
        <v>4504.5045045050001</v>
      </c>
      <c r="F148">
        <v>117117.117117118</v>
      </c>
      <c r="G148">
        <v>2</v>
      </c>
      <c r="I148">
        <v>3</v>
      </c>
      <c r="K148">
        <v>1815315.315315315</v>
      </c>
      <c r="L148">
        <v>117117.117117118</v>
      </c>
      <c r="M148">
        <v>3272567.5675675678</v>
      </c>
      <c r="N148">
        <v>3621576.576576577</v>
      </c>
      <c r="O148">
        <v>1431081.0810810809</v>
      </c>
      <c r="P148">
        <v>732072.07207207195</v>
      </c>
      <c r="Q148">
        <v>3623</v>
      </c>
      <c r="R148">
        <v>3738</v>
      </c>
    </row>
    <row r="149" spans="1:18" x14ac:dyDescent="0.35">
      <c r="A149" s="7" t="s">
        <v>238</v>
      </c>
      <c r="B149" s="12" t="s">
        <v>178</v>
      </c>
      <c r="C149">
        <v>12107911.427480031</v>
      </c>
      <c r="D149">
        <v>10976215.35848218</v>
      </c>
      <c r="E149">
        <v>900.900900901</v>
      </c>
      <c r="F149">
        <v>94594.594594594993</v>
      </c>
      <c r="G149">
        <v>1</v>
      </c>
      <c r="H149">
        <v>2</v>
      </c>
      <c r="I149">
        <v>1</v>
      </c>
      <c r="J149">
        <v>4</v>
      </c>
      <c r="K149">
        <v>1802702.702702703</v>
      </c>
      <c r="L149">
        <v>94594.594594594993</v>
      </c>
      <c r="M149">
        <v>4252162.1621621624</v>
      </c>
      <c r="N149">
        <v>3165621.6216216232</v>
      </c>
      <c r="O149">
        <v>1648648.648648649</v>
      </c>
      <c r="P149">
        <v>1042162.162162162</v>
      </c>
      <c r="Q149">
        <v>5585</v>
      </c>
      <c r="R149">
        <v>5161</v>
      </c>
    </row>
    <row r="150" spans="1:18" x14ac:dyDescent="0.35">
      <c r="A150" s="7" t="s">
        <v>239</v>
      </c>
      <c r="B150" s="12" t="s">
        <v>54</v>
      </c>
      <c r="C150">
        <v>8462724.9459622614</v>
      </c>
      <c r="D150">
        <v>8157284.1717645293</v>
      </c>
      <c r="F150">
        <v>81081.081081081997</v>
      </c>
      <c r="H150">
        <v>1</v>
      </c>
      <c r="J150">
        <v>1</v>
      </c>
      <c r="K150">
        <v>496396.39639639598</v>
      </c>
      <c r="L150">
        <v>126486.486486487</v>
      </c>
      <c r="M150">
        <v>1991351.351351351</v>
      </c>
      <c r="N150">
        <v>1900360.36036036</v>
      </c>
      <c r="O150">
        <v>682882.88288288296</v>
      </c>
      <c r="P150">
        <v>552702.70270270295</v>
      </c>
      <c r="Q150">
        <v>3494</v>
      </c>
      <c r="R150">
        <v>3376</v>
      </c>
    </row>
    <row r="151" spans="1:18" x14ac:dyDescent="0.35">
      <c r="A151" s="7" t="s">
        <v>240</v>
      </c>
      <c r="B151" s="12" t="s">
        <v>241</v>
      </c>
      <c r="C151">
        <v>7011218.3914397694</v>
      </c>
      <c r="D151">
        <v>6264878.6893554041</v>
      </c>
      <c r="E151">
        <v>27072874.774774775</v>
      </c>
      <c r="F151">
        <v>425968.46846846899</v>
      </c>
      <c r="G151">
        <v>3</v>
      </c>
      <c r="I151">
        <v>6</v>
      </c>
      <c r="K151">
        <v>27477.477477478002</v>
      </c>
      <c r="L151">
        <v>263513.51351351402</v>
      </c>
      <c r="M151">
        <v>1375450.4504504499</v>
      </c>
      <c r="N151">
        <v>1290989.1891891891</v>
      </c>
      <c r="O151">
        <v>4641891.8918918921</v>
      </c>
      <c r="P151">
        <v>660360.36036036001</v>
      </c>
      <c r="Q151">
        <v>2835</v>
      </c>
      <c r="R151">
        <v>2974</v>
      </c>
    </row>
    <row r="152" spans="1:18" x14ac:dyDescent="0.35">
      <c r="A152" s="7" t="s">
        <v>242</v>
      </c>
      <c r="B152" s="12" t="s">
        <v>241</v>
      </c>
      <c r="C152">
        <v>17403890.588787396</v>
      </c>
      <c r="D152">
        <v>16945078.805187065</v>
      </c>
      <c r="E152">
        <v>4504.5045045050001</v>
      </c>
      <c r="F152">
        <v>135135.13513513701</v>
      </c>
      <c r="G152">
        <v>4</v>
      </c>
      <c r="H152">
        <v>3</v>
      </c>
      <c r="I152">
        <v>5</v>
      </c>
      <c r="J152">
        <v>4</v>
      </c>
      <c r="K152">
        <v>5868648.6486486448</v>
      </c>
      <c r="L152">
        <v>162162.16216216399</v>
      </c>
      <c r="M152">
        <v>5075090.0900900885</v>
      </c>
      <c r="N152">
        <v>5109009.0090090083</v>
      </c>
      <c r="O152">
        <v>2311621.621621618</v>
      </c>
      <c r="P152">
        <v>522072.072072073</v>
      </c>
      <c r="Q152">
        <v>6882</v>
      </c>
      <c r="R152">
        <v>8961</v>
      </c>
    </row>
    <row r="153" spans="1:18" x14ac:dyDescent="0.35">
      <c r="A153" s="7" t="s">
        <v>243</v>
      </c>
      <c r="B153" s="12" t="s">
        <v>50</v>
      </c>
      <c r="C153">
        <v>3536632.7101468751</v>
      </c>
      <c r="D153">
        <v>3386053.3304316411</v>
      </c>
      <c r="E153">
        <v>180180.18018018</v>
      </c>
      <c r="K153">
        <v>180180.18018018</v>
      </c>
      <c r="M153">
        <v>690990.99099099101</v>
      </c>
      <c r="N153">
        <v>612153.15315315302</v>
      </c>
      <c r="O153">
        <v>14864.864864865</v>
      </c>
      <c r="P153">
        <v>61891.891891892003</v>
      </c>
      <c r="Q153">
        <v>1234</v>
      </c>
      <c r="R153">
        <v>1155</v>
      </c>
    </row>
    <row r="154" spans="1:18" x14ac:dyDescent="0.35">
      <c r="A154" s="7" t="s">
        <v>244</v>
      </c>
      <c r="B154" s="12" t="s">
        <v>181</v>
      </c>
      <c r="C154">
        <v>99903637.386491299</v>
      </c>
      <c r="D154">
        <v>82638342.709891707</v>
      </c>
      <c r="E154">
        <v>325534.23423423601</v>
      </c>
      <c r="F154">
        <v>1176118.9189189251</v>
      </c>
      <c r="G154">
        <v>25</v>
      </c>
      <c r="H154">
        <v>13</v>
      </c>
      <c r="I154">
        <v>52</v>
      </c>
      <c r="J154">
        <v>41</v>
      </c>
      <c r="K154">
        <v>9285585.5855855793</v>
      </c>
      <c r="L154">
        <v>14954054.054054055</v>
      </c>
      <c r="M154">
        <v>19511387.387387387</v>
      </c>
      <c r="N154">
        <v>17885405.40540541</v>
      </c>
      <c r="O154">
        <v>9127567.5675675645</v>
      </c>
      <c r="P154">
        <v>13553243.243243244</v>
      </c>
      <c r="Q154">
        <v>44145</v>
      </c>
      <c r="R154">
        <v>41717</v>
      </c>
    </row>
    <row r="155" spans="1:18" x14ac:dyDescent="0.35">
      <c r="A155" s="7" t="s">
        <v>245</v>
      </c>
      <c r="B155" s="12" t="s">
        <v>48</v>
      </c>
      <c r="C155">
        <v>4591154.0629622713</v>
      </c>
      <c r="D155">
        <v>4008083.1046495442</v>
      </c>
      <c r="G155">
        <v>1</v>
      </c>
      <c r="I155">
        <v>2</v>
      </c>
      <c r="K155">
        <v>90810.810810811003</v>
      </c>
      <c r="M155">
        <v>820810.810810811</v>
      </c>
      <c r="N155">
        <v>1047432.432432433</v>
      </c>
      <c r="O155">
        <v>536036.03603603703</v>
      </c>
      <c r="P155">
        <v>224324.324324324</v>
      </c>
      <c r="Q155">
        <v>1823</v>
      </c>
      <c r="R155">
        <v>1738</v>
      </c>
    </row>
    <row r="156" spans="1:18" x14ac:dyDescent="0.35">
      <c r="A156" s="7" t="s">
        <v>246</v>
      </c>
      <c r="B156" s="12" t="s">
        <v>94</v>
      </c>
      <c r="C156">
        <v>1576712.611815372</v>
      </c>
      <c r="D156">
        <v>1052571.6814688281</v>
      </c>
      <c r="M156">
        <v>182783.78378378399</v>
      </c>
      <c r="N156">
        <v>206702.70270270301</v>
      </c>
      <c r="Q156">
        <v>688</v>
      </c>
      <c r="R156">
        <v>727</v>
      </c>
    </row>
    <row r="157" spans="1:18" x14ac:dyDescent="0.35">
      <c r="A157" s="7" t="s">
        <v>247</v>
      </c>
      <c r="B157" s="12" t="s">
        <v>117</v>
      </c>
      <c r="C157">
        <v>3895007.236075385</v>
      </c>
      <c r="D157">
        <v>3344477.9222970642</v>
      </c>
      <c r="E157">
        <v>15151.351351351999</v>
      </c>
      <c r="F157">
        <v>5273.8738738740003</v>
      </c>
      <c r="H157">
        <v>1</v>
      </c>
      <c r="J157">
        <v>1</v>
      </c>
      <c r="K157">
        <v>1211441.441441441</v>
      </c>
      <c r="L157">
        <v>97297.297297297002</v>
      </c>
      <c r="M157">
        <v>1593783.7837837839</v>
      </c>
      <c r="N157">
        <v>1469045.045045045</v>
      </c>
      <c r="O157">
        <v>363423.42342342198</v>
      </c>
      <c r="P157">
        <v>292792.79279279301</v>
      </c>
      <c r="Q157">
        <v>1712</v>
      </c>
      <c r="R157">
        <v>1757</v>
      </c>
    </row>
    <row r="158" spans="1:18" x14ac:dyDescent="0.35">
      <c r="A158" s="7" t="s">
        <v>248</v>
      </c>
      <c r="B158" s="12" t="s">
        <v>121</v>
      </c>
      <c r="C158">
        <v>7371545.5597363086</v>
      </c>
      <c r="D158">
        <v>6769306.3184694666</v>
      </c>
      <c r="E158">
        <v>900.900900901</v>
      </c>
      <c r="F158">
        <v>54054.054054054002</v>
      </c>
      <c r="G158">
        <v>3</v>
      </c>
      <c r="H158">
        <v>2</v>
      </c>
      <c r="I158">
        <v>6</v>
      </c>
      <c r="J158">
        <v>4</v>
      </c>
      <c r="K158">
        <v>900.900900901</v>
      </c>
      <c r="L158">
        <v>504504.50450450397</v>
      </c>
      <c r="M158">
        <v>969180.18018018</v>
      </c>
      <c r="N158">
        <v>672162.16216216295</v>
      </c>
      <c r="O158">
        <v>207927.927927927</v>
      </c>
      <c r="P158">
        <v>290180.18018018</v>
      </c>
      <c r="Q158">
        <v>2340</v>
      </c>
      <c r="R158">
        <v>2332</v>
      </c>
    </row>
    <row r="159" spans="1:18" x14ac:dyDescent="0.35">
      <c r="A159" s="7" t="s">
        <v>249</v>
      </c>
      <c r="B159" s="12" t="s">
        <v>76</v>
      </c>
      <c r="C159">
        <v>2969992.901821984</v>
      </c>
      <c r="D159">
        <v>3463024.4941626121</v>
      </c>
      <c r="M159">
        <v>333450.45045045001</v>
      </c>
      <c r="N159">
        <v>212477.47747747801</v>
      </c>
      <c r="Q159">
        <v>1631</v>
      </c>
      <c r="R159">
        <v>1642</v>
      </c>
    </row>
    <row r="160" spans="1:18" x14ac:dyDescent="0.35">
      <c r="A160" s="7" t="s">
        <v>250</v>
      </c>
      <c r="B160" s="12" t="s">
        <v>167</v>
      </c>
      <c r="C160">
        <v>8853527.6255503837</v>
      </c>
      <c r="D160">
        <v>8272949.8313260302</v>
      </c>
      <c r="H160">
        <v>2</v>
      </c>
      <c r="J160">
        <v>2</v>
      </c>
      <c r="L160">
        <v>27027.027027028002</v>
      </c>
      <c r="M160">
        <v>1001126.126126126</v>
      </c>
      <c r="N160">
        <v>1221144.1441441439</v>
      </c>
      <c r="Q160">
        <v>3714</v>
      </c>
      <c r="R160">
        <v>3657</v>
      </c>
    </row>
    <row r="161" spans="1:18" x14ac:dyDescent="0.35">
      <c r="A161" s="7" t="s">
        <v>251</v>
      </c>
      <c r="B161" s="12" t="s">
        <v>89</v>
      </c>
      <c r="C161">
        <v>27372903.599209912</v>
      </c>
      <c r="D161">
        <v>28193654.641440924</v>
      </c>
      <c r="E161">
        <v>405405.40540540498</v>
      </c>
      <c r="F161">
        <v>220720.720720721</v>
      </c>
      <c r="G161">
        <v>1</v>
      </c>
      <c r="H161">
        <v>3</v>
      </c>
      <c r="I161">
        <v>3</v>
      </c>
      <c r="J161">
        <v>5</v>
      </c>
      <c r="K161">
        <v>1892792.792792791</v>
      </c>
      <c r="L161">
        <v>1359819.819819821</v>
      </c>
      <c r="M161">
        <v>5376079.2792792777</v>
      </c>
      <c r="N161">
        <v>6104990.9909909917</v>
      </c>
      <c r="O161">
        <v>3093963.9639639622</v>
      </c>
      <c r="P161">
        <v>1112972.9729729739</v>
      </c>
      <c r="Q161">
        <v>10318</v>
      </c>
      <c r="R161">
        <v>10722</v>
      </c>
    </row>
    <row r="162" spans="1:18" x14ac:dyDescent="0.35">
      <c r="A162" s="7" t="s">
        <v>252</v>
      </c>
      <c r="B162" s="12" t="s">
        <v>78</v>
      </c>
      <c r="C162">
        <v>8145037.8629995249</v>
      </c>
      <c r="D162">
        <v>8592795.3049153686</v>
      </c>
      <c r="G162">
        <v>2</v>
      </c>
      <c r="H162">
        <v>2</v>
      </c>
      <c r="I162">
        <v>2</v>
      </c>
      <c r="J162">
        <v>2</v>
      </c>
      <c r="M162">
        <v>2160405.4054054059</v>
      </c>
      <c r="N162">
        <v>1869918.9189189191</v>
      </c>
      <c r="O162">
        <v>508648.64864864899</v>
      </c>
      <c r="P162">
        <v>299279.279279279</v>
      </c>
      <c r="Q162">
        <v>2849</v>
      </c>
      <c r="R162">
        <v>2859</v>
      </c>
    </row>
    <row r="163" spans="1:18" x14ac:dyDescent="0.35">
      <c r="A163" s="7" t="s">
        <v>253</v>
      </c>
      <c r="B163" s="12" t="s">
        <v>105</v>
      </c>
      <c r="C163">
        <v>14853738.166857405</v>
      </c>
      <c r="D163">
        <v>13468663.267105091</v>
      </c>
      <c r="E163">
        <v>73981.081081081997</v>
      </c>
      <c r="F163">
        <v>389909.90990991198</v>
      </c>
      <c r="G163">
        <v>5</v>
      </c>
      <c r="H163">
        <v>5</v>
      </c>
      <c r="I163">
        <v>7</v>
      </c>
      <c r="J163">
        <v>7</v>
      </c>
      <c r="K163">
        <v>2686486.486486482</v>
      </c>
      <c r="L163">
        <v>3285945.9459459451</v>
      </c>
      <c r="M163">
        <v>4811711.7117117122</v>
      </c>
      <c r="N163">
        <v>3969135.1351351351</v>
      </c>
      <c r="O163">
        <v>1603153.1531531489</v>
      </c>
      <c r="P163">
        <v>2652432.4324324331</v>
      </c>
      <c r="Q163">
        <v>5307</v>
      </c>
      <c r="R163">
        <v>5124</v>
      </c>
    </row>
    <row r="164" spans="1:18" x14ac:dyDescent="0.35">
      <c r="A164" s="7" t="s">
        <v>254</v>
      </c>
      <c r="B164" s="12" t="s">
        <v>105</v>
      </c>
      <c r="C164">
        <v>10813709.868066464</v>
      </c>
      <c r="D164">
        <v>10137199.103366289</v>
      </c>
      <c r="F164">
        <v>180180.18018018</v>
      </c>
      <c r="G164">
        <v>1</v>
      </c>
      <c r="H164">
        <v>1</v>
      </c>
      <c r="I164">
        <v>1</v>
      </c>
      <c r="J164">
        <v>4</v>
      </c>
      <c r="L164">
        <v>180180.18018018</v>
      </c>
      <c r="M164">
        <v>3335450.4504504502</v>
      </c>
      <c r="N164">
        <v>3151927.9279279271</v>
      </c>
      <c r="O164">
        <v>570360.36036036001</v>
      </c>
      <c r="P164">
        <v>628828.82882883004</v>
      </c>
      <c r="Q164">
        <v>3821</v>
      </c>
      <c r="R164">
        <v>3681</v>
      </c>
    </row>
    <row r="165" spans="1:18" x14ac:dyDescent="0.35">
      <c r="A165" s="7" t="s">
        <v>255</v>
      </c>
      <c r="B165" s="12" t="s">
        <v>105</v>
      </c>
      <c r="C165">
        <v>8011128.1703128852</v>
      </c>
      <c r="D165">
        <v>7621245.631073379</v>
      </c>
      <c r="G165">
        <v>1</v>
      </c>
      <c r="I165">
        <v>1</v>
      </c>
      <c r="M165">
        <v>1607207.2072072059</v>
      </c>
      <c r="N165">
        <v>1850495.4954954949</v>
      </c>
      <c r="O165">
        <v>85855.855855856003</v>
      </c>
      <c r="Q165">
        <v>2248</v>
      </c>
      <c r="R165">
        <v>2166</v>
      </c>
    </row>
    <row r="166" spans="1:18" x14ac:dyDescent="0.35">
      <c r="A166" s="7" t="s">
        <v>256</v>
      </c>
      <c r="B166" s="12" t="s">
        <v>134</v>
      </c>
      <c r="C166">
        <v>14890661.470812716</v>
      </c>
      <c r="D166">
        <v>13459392.891901959</v>
      </c>
      <c r="F166">
        <v>13513.513513514001</v>
      </c>
      <c r="G166">
        <v>2</v>
      </c>
      <c r="H166">
        <v>1</v>
      </c>
      <c r="I166">
        <v>3</v>
      </c>
      <c r="J166">
        <v>1</v>
      </c>
      <c r="L166">
        <v>13513.513513514001</v>
      </c>
      <c r="M166">
        <v>1044684.684684685</v>
      </c>
      <c r="N166">
        <v>829855.85585585702</v>
      </c>
      <c r="O166">
        <v>16216.216216216</v>
      </c>
      <c r="Q166">
        <v>4194</v>
      </c>
      <c r="R166">
        <v>4135</v>
      </c>
    </row>
    <row r="167" spans="1:18" x14ac:dyDescent="0.35">
      <c r="A167" s="7" t="s">
        <v>257</v>
      </c>
      <c r="B167" s="12" t="s">
        <v>167</v>
      </c>
      <c r="C167">
        <v>5245121.5804482093</v>
      </c>
      <c r="D167">
        <v>4838465.4000456184</v>
      </c>
      <c r="I167">
        <v>1</v>
      </c>
      <c r="K167">
        <v>1376576.5765765789</v>
      </c>
      <c r="L167">
        <v>900900.90090090095</v>
      </c>
      <c r="M167">
        <v>1846621.621621622</v>
      </c>
      <c r="N167">
        <v>1433828.8288288291</v>
      </c>
      <c r="O167">
        <v>756216.21621621901</v>
      </c>
      <c r="P167">
        <v>197297.29729729699</v>
      </c>
      <c r="Q167">
        <v>2570</v>
      </c>
      <c r="R167">
        <v>2404</v>
      </c>
    </row>
    <row r="168" spans="1:18" x14ac:dyDescent="0.35">
      <c r="A168" s="7" t="s">
        <v>258</v>
      </c>
      <c r="B168" s="12" t="s">
        <v>60</v>
      </c>
      <c r="C168">
        <v>2009859.4278031541</v>
      </c>
      <c r="D168">
        <v>1601407.2216132779</v>
      </c>
      <c r="H168">
        <v>1</v>
      </c>
      <c r="J168">
        <v>2</v>
      </c>
      <c r="M168">
        <v>1001036.036036036</v>
      </c>
      <c r="N168">
        <v>487657.65765765798</v>
      </c>
      <c r="O168">
        <v>493693.69369369402</v>
      </c>
      <c r="P168">
        <v>186036.036036037</v>
      </c>
      <c r="Q168">
        <v>668</v>
      </c>
      <c r="R168">
        <v>652</v>
      </c>
    </row>
    <row r="169" spans="1:18" x14ac:dyDescent="0.35">
      <c r="A169" s="7" t="s">
        <v>259</v>
      </c>
      <c r="B169" s="12" t="s">
        <v>260</v>
      </c>
      <c r="C169">
        <v>827199.89394834498</v>
      </c>
      <c r="D169">
        <v>1184713.842900476</v>
      </c>
      <c r="G169">
        <v>1</v>
      </c>
      <c r="I169">
        <v>1</v>
      </c>
      <c r="M169">
        <v>215765.765765766</v>
      </c>
      <c r="N169">
        <v>173243.24324324299</v>
      </c>
      <c r="O169">
        <v>249639.63963963999</v>
      </c>
      <c r="P169">
        <v>78648.648648649003</v>
      </c>
      <c r="Q169">
        <v>548</v>
      </c>
      <c r="R169">
        <v>567</v>
      </c>
    </row>
    <row r="170" spans="1:18" x14ac:dyDescent="0.35">
      <c r="A170" s="7" t="s">
        <v>261</v>
      </c>
      <c r="B170" s="12" t="s">
        <v>60</v>
      </c>
      <c r="C170">
        <v>17812485.697783757</v>
      </c>
      <c r="D170">
        <v>17614794.472073726</v>
      </c>
      <c r="E170">
        <v>151648.64864864899</v>
      </c>
      <c r="F170">
        <v>245754.05405405699</v>
      </c>
      <c r="G170">
        <v>3</v>
      </c>
      <c r="H170">
        <v>9</v>
      </c>
      <c r="I170">
        <v>11</v>
      </c>
      <c r="J170">
        <v>16</v>
      </c>
      <c r="K170">
        <v>1355855.8558558549</v>
      </c>
      <c r="L170">
        <v>8295495.4954954991</v>
      </c>
      <c r="M170">
        <v>5981018.0180180157</v>
      </c>
      <c r="N170">
        <v>6898162.1621621624</v>
      </c>
      <c r="O170">
        <v>2382432.4324324331</v>
      </c>
      <c r="P170">
        <v>13708108.108108109</v>
      </c>
      <c r="Q170">
        <v>6664</v>
      </c>
      <c r="R170">
        <v>6855</v>
      </c>
    </row>
    <row r="171" spans="1:18" x14ac:dyDescent="0.35">
      <c r="A171" s="7" t="s">
        <v>262</v>
      </c>
      <c r="B171" s="12" t="s">
        <v>123</v>
      </c>
      <c r="C171">
        <v>13407596.936953168</v>
      </c>
      <c r="D171">
        <v>11791223.6039715</v>
      </c>
      <c r="G171">
        <v>2</v>
      </c>
      <c r="H171">
        <v>3</v>
      </c>
      <c r="I171">
        <v>3</v>
      </c>
      <c r="J171">
        <v>3</v>
      </c>
      <c r="L171">
        <v>450450.45045045001</v>
      </c>
      <c r="M171">
        <v>4776756.7567567574</v>
      </c>
      <c r="N171">
        <v>5104576.5765765756</v>
      </c>
      <c r="O171">
        <v>555765.76576576498</v>
      </c>
      <c r="P171">
        <v>490180.18018018099</v>
      </c>
      <c r="Q171">
        <v>5664</v>
      </c>
      <c r="R171">
        <v>5388</v>
      </c>
    </row>
    <row r="172" spans="1:18" x14ac:dyDescent="0.35">
      <c r="A172" s="7" t="s">
        <v>263</v>
      </c>
      <c r="B172" s="12" t="s">
        <v>123</v>
      </c>
      <c r="C172">
        <v>5687456.1878297394</v>
      </c>
      <c r="D172">
        <v>5311452.5097513897</v>
      </c>
      <c r="E172">
        <v>900.900900901</v>
      </c>
      <c r="F172">
        <v>13513.513513514001</v>
      </c>
      <c r="G172">
        <v>2</v>
      </c>
      <c r="H172">
        <v>3</v>
      </c>
      <c r="I172">
        <v>4</v>
      </c>
      <c r="J172">
        <v>3</v>
      </c>
      <c r="K172">
        <v>900.900900901</v>
      </c>
      <c r="L172">
        <v>4610630.6306306319</v>
      </c>
      <c r="M172">
        <v>2102693.6936936928</v>
      </c>
      <c r="N172">
        <v>2480891.8918918921</v>
      </c>
      <c r="O172">
        <v>469189.18918918801</v>
      </c>
      <c r="P172">
        <v>4978288.2882882887</v>
      </c>
      <c r="Q172">
        <v>2406</v>
      </c>
      <c r="R172">
        <v>2313</v>
      </c>
    </row>
    <row r="173" spans="1:18" x14ac:dyDescent="0.35">
      <c r="A173" s="7" t="s">
        <v>264</v>
      </c>
      <c r="B173" s="12" t="s">
        <v>125</v>
      </c>
      <c r="C173">
        <v>13549256.374880448</v>
      </c>
      <c r="D173">
        <v>13194177.832752056</v>
      </c>
      <c r="E173">
        <v>15518.918918919</v>
      </c>
      <c r="F173">
        <v>18590146.846846849</v>
      </c>
      <c r="H173">
        <v>1</v>
      </c>
      <c r="J173">
        <v>2</v>
      </c>
      <c r="K173">
        <v>825900.90090090001</v>
      </c>
      <c r="L173">
        <v>405180.18018018</v>
      </c>
      <c r="M173">
        <v>3991081.0810810821</v>
      </c>
      <c r="N173">
        <v>3842684.684684684</v>
      </c>
      <c r="O173">
        <v>402252.25225225103</v>
      </c>
      <c r="P173">
        <v>2327747.7477477472</v>
      </c>
      <c r="Q173">
        <v>4268</v>
      </c>
      <c r="R173">
        <v>4368</v>
      </c>
    </row>
    <row r="174" spans="1:18" x14ac:dyDescent="0.35">
      <c r="A174" s="7" t="s">
        <v>265</v>
      </c>
      <c r="B174" s="12" t="s">
        <v>123</v>
      </c>
      <c r="C174">
        <v>13537696.752599927</v>
      </c>
      <c r="D174">
        <v>12158124.21712766</v>
      </c>
      <c r="E174">
        <v>900.900900901</v>
      </c>
      <c r="G174">
        <v>2</v>
      </c>
      <c r="H174">
        <v>1</v>
      </c>
      <c r="I174">
        <v>2</v>
      </c>
      <c r="J174">
        <v>1</v>
      </c>
      <c r="K174">
        <v>900.900900901</v>
      </c>
      <c r="M174">
        <v>4281441.4414414419</v>
      </c>
      <c r="N174">
        <v>4019369.3693693699</v>
      </c>
      <c r="O174">
        <v>533063.06306306296</v>
      </c>
      <c r="P174">
        <v>703783.78378378402</v>
      </c>
      <c r="Q174">
        <v>4810</v>
      </c>
      <c r="R174">
        <v>4528</v>
      </c>
    </row>
    <row r="175" spans="1:18" x14ac:dyDescent="0.35">
      <c r="A175" s="7" t="s">
        <v>266</v>
      </c>
      <c r="B175" s="12" t="s">
        <v>123</v>
      </c>
      <c r="C175">
        <v>12895161.895014508</v>
      </c>
      <c r="D175">
        <v>12760571.196064144</v>
      </c>
      <c r="F175">
        <v>162162.16216216201</v>
      </c>
      <c r="G175">
        <v>1</v>
      </c>
      <c r="H175">
        <v>1</v>
      </c>
      <c r="I175">
        <v>1</v>
      </c>
      <c r="J175">
        <v>1</v>
      </c>
      <c r="K175">
        <v>2424684.6846846831</v>
      </c>
      <c r="L175">
        <v>612612.61261261196</v>
      </c>
      <c r="M175">
        <v>4589819.819819821</v>
      </c>
      <c r="N175">
        <v>5129315.3153153146</v>
      </c>
      <c r="O175">
        <v>1752342.342342342</v>
      </c>
      <c r="P175">
        <v>837837.83783783705</v>
      </c>
      <c r="Q175">
        <v>5475</v>
      </c>
      <c r="R175">
        <v>5404</v>
      </c>
    </row>
    <row r="176" spans="1:18" x14ac:dyDescent="0.35">
      <c r="A176" s="7" t="s">
        <v>267</v>
      </c>
      <c r="B176" s="12" t="s">
        <v>178</v>
      </c>
      <c r="C176">
        <v>68310742.508230641</v>
      </c>
      <c r="D176">
        <v>65886015.133365817</v>
      </c>
      <c r="E176">
        <v>239182.88288288401</v>
      </c>
      <c r="F176">
        <v>535003.60360360495</v>
      </c>
      <c r="G176">
        <v>12</v>
      </c>
      <c r="H176">
        <v>10</v>
      </c>
      <c r="I176">
        <v>15</v>
      </c>
      <c r="J176">
        <v>19</v>
      </c>
      <c r="K176">
        <v>7287477.4774774807</v>
      </c>
      <c r="L176">
        <v>13027252.252252255</v>
      </c>
      <c r="M176">
        <v>20045576.576576576</v>
      </c>
      <c r="N176">
        <v>18011045.045045044</v>
      </c>
      <c r="O176">
        <v>8348378.378378382</v>
      </c>
      <c r="P176">
        <v>7086756.7567567602</v>
      </c>
      <c r="Q176">
        <v>32708</v>
      </c>
      <c r="R176">
        <v>32815</v>
      </c>
    </row>
    <row r="177" spans="1:18" x14ac:dyDescent="0.35">
      <c r="A177" s="7" t="s">
        <v>268</v>
      </c>
      <c r="B177" s="12" t="s">
        <v>62</v>
      </c>
      <c r="C177">
        <v>11232491.821851406</v>
      </c>
      <c r="D177">
        <v>12425032.525511147</v>
      </c>
      <c r="E177">
        <v>316216.21621621598</v>
      </c>
      <c r="F177">
        <v>319819.81981982198</v>
      </c>
      <c r="J177">
        <v>1</v>
      </c>
      <c r="K177">
        <v>1084144.144144142</v>
      </c>
      <c r="L177">
        <v>1492792.7927927929</v>
      </c>
      <c r="M177">
        <v>3210225.2252252242</v>
      </c>
      <c r="N177">
        <v>3773072.072072072</v>
      </c>
      <c r="O177">
        <v>1170270.2702702689</v>
      </c>
      <c r="P177">
        <v>2586036.0360360341</v>
      </c>
      <c r="Q177">
        <v>4718</v>
      </c>
      <c r="R177">
        <v>4791</v>
      </c>
    </row>
    <row r="178" spans="1:18" x14ac:dyDescent="0.35">
      <c r="A178" s="7" t="s">
        <v>269</v>
      </c>
      <c r="B178" s="12" t="s">
        <v>70</v>
      </c>
      <c r="C178">
        <v>15627793.441396043</v>
      </c>
      <c r="D178">
        <v>15670598.4584895</v>
      </c>
      <c r="E178">
        <v>136036.03603603601</v>
      </c>
      <c r="F178">
        <v>76576.576576577005</v>
      </c>
      <c r="G178">
        <v>2</v>
      </c>
      <c r="H178">
        <v>4</v>
      </c>
      <c r="I178">
        <v>3</v>
      </c>
      <c r="J178">
        <v>7</v>
      </c>
      <c r="K178">
        <v>1142792.792792791</v>
      </c>
      <c r="L178">
        <v>1669369.369369366</v>
      </c>
      <c r="M178">
        <v>6143963.9639639631</v>
      </c>
      <c r="N178">
        <v>6643738.7387387361</v>
      </c>
      <c r="O178">
        <v>680180.18018017896</v>
      </c>
      <c r="P178">
        <v>1315315.3153153141</v>
      </c>
      <c r="Q178">
        <v>7042</v>
      </c>
      <c r="R178">
        <v>6861</v>
      </c>
    </row>
    <row r="179" spans="1:18" x14ac:dyDescent="0.35">
      <c r="A179" s="7" t="s">
        <v>270</v>
      </c>
      <c r="B179" s="12" t="s">
        <v>134</v>
      </c>
      <c r="C179">
        <v>146168.24429936701</v>
      </c>
      <c r="D179">
        <v>105517.41330698501</v>
      </c>
      <c r="N179">
        <v>13603.603603604</v>
      </c>
      <c r="Q179">
        <v>208</v>
      </c>
      <c r="R179">
        <v>195</v>
      </c>
    </row>
    <row r="180" spans="1:18" x14ac:dyDescent="0.35">
      <c r="A180" s="7" t="s">
        <v>271</v>
      </c>
      <c r="B180" s="12" t="s">
        <v>76</v>
      </c>
      <c r="C180">
        <v>7299030.9626858681</v>
      </c>
      <c r="D180">
        <v>8364847.82466543</v>
      </c>
      <c r="G180">
        <v>1</v>
      </c>
      <c r="H180">
        <v>3</v>
      </c>
      <c r="I180">
        <v>1</v>
      </c>
      <c r="J180">
        <v>3</v>
      </c>
      <c r="M180">
        <v>498738.738738738</v>
      </c>
      <c r="N180">
        <v>593603.60360360297</v>
      </c>
      <c r="P180">
        <v>72972.972972973002</v>
      </c>
      <c r="Q180">
        <v>2390</v>
      </c>
      <c r="R180">
        <v>2413</v>
      </c>
    </row>
    <row r="181" spans="1:18" x14ac:dyDescent="0.35">
      <c r="A181" s="7" t="s">
        <v>272</v>
      </c>
      <c r="B181" s="12" t="s">
        <v>76</v>
      </c>
      <c r="C181">
        <v>2656274.2373933559</v>
      </c>
      <c r="D181">
        <v>2810019.7513386249</v>
      </c>
      <c r="G181">
        <v>1</v>
      </c>
      <c r="I181">
        <v>3</v>
      </c>
      <c r="K181">
        <v>3058558.558558559</v>
      </c>
      <c r="M181">
        <v>1217702.702702703</v>
      </c>
      <c r="N181">
        <v>624639.63963963999</v>
      </c>
      <c r="O181">
        <v>620360.36036036105</v>
      </c>
      <c r="P181">
        <v>303603.60360360501</v>
      </c>
      <c r="Q181">
        <v>762</v>
      </c>
      <c r="R181">
        <v>766</v>
      </c>
    </row>
    <row r="182" spans="1:18" x14ac:dyDescent="0.35">
      <c r="A182" s="7" t="s">
        <v>273</v>
      </c>
      <c r="B182" s="12" t="s">
        <v>260</v>
      </c>
      <c r="C182">
        <v>50827576.177461505</v>
      </c>
      <c r="D182">
        <v>44883483.992261313</v>
      </c>
      <c r="E182">
        <v>410810.810810811</v>
      </c>
      <c r="F182">
        <v>635135.13513513701</v>
      </c>
      <c r="G182">
        <v>4</v>
      </c>
      <c r="H182">
        <v>9</v>
      </c>
      <c r="I182">
        <v>8</v>
      </c>
      <c r="J182">
        <v>12</v>
      </c>
      <c r="K182">
        <v>4104504.5045045051</v>
      </c>
      <c r="L182">
        <v>16265765.765765768</v>
      </c>
      <c r="M182">
        <v>12664819.819819819</v>
      </c>
      <c r="N182">
        <v>12664630.630630633</v>
      </c>
      <c r="O182">
        <v>5142702.7027027039</v>
      </c>
      <c r="P182">
        <v>2927837.83783784</v>
      </c>
      <c r="Q182">
        <v>19004</v>
      </c>
      <c r="R182">
        <v>18550</v>
      </c>
    </row>
    <row r="183" spans="1:18" x14ac:dyDescent="0.35">
      <c r="A183" s="7" t="s">
        <v>274</v>
      </c>
      <c r="B183" s="12" t="s">
        <v>260</v>
      </c>
      <c r="C183">
        <v>11447161.948005147</v>
      </c>
      <c r="D183">
        <v>10158009.066385048</v>
      </c>
      <c r="E183">
        <v>181081.08108108101</v>
      </c>
      <c r="G183">
        <v>2</v>
      </c>
      <c r="H183">
        <v>1</v>
      </c>
      <c r="I183">
        <v>2</v>
      </c>
      <c r="J183">
        <v>1</v>
      </c>
      <c r="K183">
        <v>811711.71171171102</v>
      </c>
      <c r="L183">
        <v>1351351.351351351</v>
      </c>
      <c r="M183">
        <v>2353873.8738738741</v>
      </c>
      <c r="N183">
        <v>1981495.4954954961</v>
      </c>
      <c r="O183">
        <v>376396.39639639598</v>
      </c>
      <c r="P183">
        <v>1033423.423423423</v>
      </c>
      <c r="Q183">
        <v>3835</v>
      </c>
      <c r="R183">
        <v>3654</v>
      </c>
    </row>
    <row r="184" spans="1:18" x14ac:dyDescent="0.35">
      <c r="A184" s="7" t="s">
        <v>275</v>
      </c>
      <c r="B184" s="12" t="s">
        <v>260</v>
      </c>
      <c r="C184">
        <v>13149189.893292185</v>
      </c>
      <c r="D184">
        <v>12336935.535200683</v>
      </c>
      <c r="E184">
        <v>18077349.549549554</v>
      </c>
      <c r="F184">
        <v>19476343.243243244</v>
      </c>
      <c r="G184">
        <v>1</v>
      </c>
      <c r="H184">
        <v>1</v>
      </c>
      <c r="I184">
        <v>1</v>
      </c>
      <c r="J184">
        <v>1</v>
      </c>
      <c r="K184">
        <v>953828.82882882794</v>
      </c>
      <c r="L184">
        <v>14694144.144144144</v>
      </c>
      <c r="M184">
        <v>2616351.3513513519</v>
      </c>
      <c r="N184">
        <v>2448054.0540540549</v>
      </c>
      <c r="O184">
        <v>219189.189189189</v>
      </c>
      <c r="P184">
        <v>5188018.0180180185</v>
      </c>
      <c r="Q184">
        <v>5966</v>
      </c>
      <c r="R184">
        <v>5990</v>
      </c>
    </row>
    <row r="185" spans="1:18" x14ac:dyDescent="0.35">
      <c r="A185" s="7" t="s">
        <v>276</v>
      </c>
      <c r="B185" s="12" t="s">
        <v>134</v>
      </c>
      <c r="C185">
        <v>15910485.14875241</v>
      </c>
      <c r="D185">
        <v>16729272.535616187</v>
      </c>
      <c r="E185">
        <v>900.900900901</v>
      </c>
      <c r="F185">
        <v>13513.513513514001</v>
      </c>
      <c r="G185">
        <v>3</v>
      </c>
      <c r="H185">
        <v>1</v>
      </c>
      <c r="I185">
        <v>3</v>
      </c>
      <c r="J185">
        <v>2</v>
      </c>
      <c r="K185">
        <v>900.900900901</v>
      </c>
      <c r="L185">
        <v>2716216.2162162168</v>
      </c>
      <c r="M185">
        <v>1592522.5225225219</v>
      </c>
      <c r="N185">
        <v>937108.10810810805</v>
      </c>
      <c r="O185">
        <v>336216.21621621598</v>
      </c>
      <c r="P185">
        <v>164864.86486486599</v>
      </c>
      <c r="Q185">
        <v>6176</v>
      </c>
      <c r="R185">
        <v>6148</v>
      </c>
    </row>
    <row r="186" spans="1:18" x14ac:dyDescent="0.35">
      <c r="A186" s="7" t="s">
        <v>277</v>
      </c>
      <c r="B186" s="12" t="s">
        <v>169</v>
      </c>
      <c r="C186">
        <v>11909246.343657328</v>
      </c>
      <c r="D186">
        <v>8936193.3094432727</v>
      </c>
      <c r="F186">
        <v>27027.027027027001</v>
      </c>
      <c r="H186">
        <v>2</v>
      </c>
      <c r="I186">
        <v>1</v>
      </c>
      <c r="J186">
        <v>2</v>
      </c>
      <c r="L186">
        <v>936936.93693693704</v>
      </c>
      <c r="M186">
        <v>4562297.297297298</v>
      </c>
      <c r="N186">
        <v>3579342.3423423418</v>
      </c>
      <c r="O186">
        <v>456576.57657657698</v>
      </c>
      <c r="P186">
        <v>748558.55855855905</v>
      </c>
      <c r="Q186">
        <v>3331</v>
      </c>
      <c r="R186">
        <v>2905</v>
      </c>
    </row>
    <row r="187" spans="1:18" x14ac:dyDescent="0.35">
      <c r="A187" s="7" t="s">
        <v>278</v>
      </c>
      <c r="B187" s="12" t="s">
        <v>169</v>
      </c>
      <c r="C187">
        <v>6428539.2168081906</v>
      </c>
      <c r="D187">
        <v>3366720.434773582</v>
      </c>
      <c r="I187">
        <v>1</v>
      </c>
      <c r="M187">
        <v>2049639.63963964</v>
      </c>
      <c r="N187">
        <v>1723108.1081081079</v>
      </c>
      <c r="O187">
        <v>145495.495495496</v>
      </c>
      <c r="P187">
        <v>142882.88288288299</v>
      </c>
      <c r="Q187">
        <v>2041</v>
      </c>
      <c r="R187">
        <v>1819</v>
      </c>
    </row>
    <row r="188" spans="1:18" x14ac:dyDescent="0.35">
      <c r="A188" s="7" t="s">
        <v>279</v>
      </c>
      <c r="B188" s="12" t="s">
        <v>87</v>
      </c>
      <c r="C188">
        <v>156188.55645351301</v>
      </c>
      <c r="D188">
        <v>141922.07094186501</v>
      </c>
      <c r="M188">
        <v>34234.234234233998</v>
      </c>
      <c r="N188">
        <v>56504.504504504999</v>
      </c>
      <c r="Q188">
        <v>204</v>
      </c>
      <c r="R188">
        <v>173</v>
      </c>
    </row>
    <row r="189" spans="1:18" x14ac:dyDescent="0.35">
      <c r="A189" s="7" t="s">
        <v>280</v>
      </c>
      <c r="B189" s="12" t="s">
        <v>169</v>
      </c>
      <c r="C189">
        <v>7983493.1243310487</v>
      </c>
      <c r="D189">
        <v>8264930.3364334283</v>
      </c>
      <c r="E189">
        <v>900.900900901</v>
      </c>
      <c r="F189">
        <v>27027.027027027001</v>
      </c>
      <c r="K189">
        <v>9909.9099099100004</v>
      </c>
      <c r="L189">
        <v>927927.92792792805</v>
      </c>
      <c r="M189">
        <v>3406396.3963963962</v>
      </c>
      <c r="N189">
        <v>3818243.2432432431</v>
      </c>
      <c r="O189">
        <v>473693.69369369402</v>
      </c>
      <c r="P189">
        <v>176666.66666666701</v>
      </c>
      <c r="Q189">
        <v>4951</v>
      </c>
      <c r="R189">
        <v>3900</v>
      </c>
    </row>
    <row r="190" spans="1:18" x14ac:dyDescent="0.35">
      <c r="A190" s="7" t="s">
        <v>281</v>
      </c>
      <c r="B190" s="12" t="s">
        <v>54</v>
      </c>
      <c r="C190">
        <v>7275129.8421486942</v>
      </c>
      <c r="D190">
        <v>7212941.1581570012</v>
      </c>
      <c r="F190">
        <v>13513.513513514001</v>
      </c>
      <c r="I190">
        <v>1</v>
      </c>
      <c r="J190">
        <v>3</v>
      </c>
      <c r="L190">
        <v>554054.05405405397</v>
      </c>
      <c r="M190">
        <v>1474594.594594595</v>
      </c>
      <c r="N190">
        <v>1206135.135135134</v>
      </c>
      <c r="O190">
        <v>369459.45945945999</v>
      </c>
      <c r="P190">
        <v>748018.01801801904</v>
      </c>
      <c r="Q190">
        <v>3672</v>
      </c>
      <c r="R190">
        <v>3617</v>
      </c>
    </row>
    <row r="191" spans="1:18" x14ac:dyDescent="0.35">
      <c r="A191" s="7" t="s">
        <v>282</v>
      </c>
      <c r="B191" s="12" t="s">
        <v>283</v>
      </c>
      <c r="C191">
        <v>11583023.250986988</v>
      </c>
      <c r="D191">
        <v>11575569.680849314</v>
      </c>
      <c r="G191">
        <v>8</v>
      </c>
      <c r="H191">
        <v>1</v>
      </c>
      <c r="I191">
        <v>9</v>
      </c>
      <c r="J191">
        <v>1</v>
      </c>
      <c r="M191">
        <v>1045495.495495495</v>
      </c>
      <c r="N191">
        <v>1708819.8198198201</v>
      </c>
      <c r="O191">
        <v>195495.495495496</v>
      </c>
      <c r="P191">
        <v>325945.94594594598</v>
      </c>
      <c r="Q191">
        <v>3218</v>
      </c>
      <c r="R191">
        <v>3174</v>
      </c>
    </row>
    <row r="192" spans="1:18" x14ac:dyDescent="0.35">
      <c r="A192" s="7" t="s">
        <v>284</v>
      </c>
      <c r="B192" s="12" t="s">
        <v>283</v>
      </c>
      <c r="C192">
        <v>19226457.169009268</v>
      </c>
      <c r="D192">
        <v>19659443.09837459</v>
      </c>
      <c r="F192">
        <v>13513.513513514001</v>
      </c>
      <c r="G192">
        <v>2</v>
      </c>
      <c r="H192">
        <v>3</v>
      </c>
      <c r="I192">
        <v>2</v>
      </c>
      <c r="J192">
        <v>3</v>
      </c>
      <c r="K192">
        <v>3333333.3333333321</v>
      </c>
      <c r="L192">
        <v>2040540.5405405411</v>
      </c>
      <c r="M192">
        <v>3854540.5405405411</v>
      </c>
      <c r="N192">
        <v>3157153.1531531541</v>
      </c>
      <c r="O192">
        <v>1869819.819819821</v>
      </c>
      <c r="P192">
        <v>1146126.1261261241</v>
      </c>
      <c r="Q192">
        <v>8082</v>
      </c>
      <c r="R192">
        <v>8002</v>
      </c>
    </row>
    <row r="193" spans="1:18" x14ac:dyDescent="0.35">
      <c r="A193" s="7" t="s">
        <v>285</v>
      </c>
      <c r="B193" s="12" t="s">
        <v>283</v>
      </c>
      <c r="C193">
        <v>9931690.5323754326</v>
      </c>
      <c r="D193">
        <v>9990063.3488743398</v>
      </c>
      <c r="E193">
        <v>138738.73873873899</v>
      </c>
      <c r="F193">
        <v>13513.513513514001</v>
      </c>
      <c r="G193">
        <v>2</v>
      </c>
      <c r="I193">
        <v>2</v>
      </c>
      <c r="K193">
        <v>1445045.045045044</v>
      </c>
      <c r="L193">
        <v>4788288.2882882869</v>
      </c>
      <c r="M193">
        <v>3014405.4054054059</v>
      </c>
      <c r="N193">
        <v>2756621.6216216232</v>
      </c>
      <c r="O193">
        <v>2023423.4234234239</v>
      </c>
      <c r="P193">
        <v>2265585.5855855872</v>
      </c>
      <c r="Q193">
        <v>4754</v>
      </c>
      <c r="R193">
        <v>4582</v>
      </c>
    </row>
    <row r="194" spans="1:18" x14ac:dyDescent="0.35">
      <c r="A194" s="7" t="s">
        <v>286</v>
      </c>
      <c r="B194" s="12" t="s">
        <v>283</v>
      </c>
      <c r="C194">
        <v>7845785.4634679956</v>
      </c>
      <c r="D194">
        <v>7931321.8419538597</v>
      </c>
      <c r="E194">
        <v>900.900900901</v>
      </c>
      <c r="F194">
        <v>13513.513513514001</v>
      </c>
      <c r="J194">
        <v>1</v>
      </c>
      <c r="K194">
        <v>900.900900901</v>
      </c>
      <c r="L194">
        <v>13513.513513514001</v>
      </c>
      <c r="M194">
        <v>1045180.18018018</v>
      </c>
      <c r="N194">
        <v>1379351.351351351</v>
      </c>
      <c r="O194">
        <v>277207.20720720798</v>
      </c>
      <c r="P194">
        <v>337387.38738738798</v>
      </c>
      <c r="Q194">
        <v>2578</v>
      </c>
      <c r="R194">
        <v>2623</v>
      </c>
    </row>
    <row r="195" spans="1:18" x14ac:dyDescent="0.35">
      <c r="A195" s="7" t="s">
        <v>287</v>
      </c>
      <c r="B195" s="12" t="s">
        <v>283</v>
      </c>
      <c r="C195">
        <v>2550356.2070419779</v>
      </c>
      <c r="D195">
        <v>3976495.531743573</v>
      </c>
      <c r="E195">
        <v>900.900900901</v>
      </c>
      <c r="F195">
        <v>27027.027027028002</v>
      </c>
      <c r="K195">
        <v>900.900900901</v>
      </c>
      <c r="L195">
        <v>27027.027027028002</v>
      </c>
      <c r="M195">
        <v>770855.85585585597</v>
      </c>
      <c r="N195">
        <v>629054.05405405501</v>
      </c>
      <c r="Q195">
        <v>1314</v>
      </c>
      <c r="R195">
        <v>1404</v>
      </c>
    </row>
    <row r="196" spans="1:18" x14ac:dyDescent="0.35">
      <c r="A196" s="7" t="s">
        <v>288</v>
      </c>
      <c r="B196" s="12" t="s">
        <v>283</v>
      </c>
      <c r="C196">
        <v>431836.80712550698</v>
      </c>
      <c r="D196">
        <v>637402.24042372801</v>
      </c>
      <c r="G196">
        <v>1</v>
      </c>
      <c r="I196">
        <v>1</v>
      </c>
      <c r="M196">
        <v>32432.432432432</v>
      </c>
      <c r="N196">
        <v>97297.297297297002</v>
      </c>
      <c r="Q196">
        <v>283</v>
      </c>
      <c r="R196">
        <v>289</v>
      </c>
    </row>
    <row r="197" spans="1:18" x14ac:dyDescent="0.35">
      <c r="A197" s="7" t="s">
        <v>289</v>
      </c>
      <c r="B197" s="12" t="s">
        <v>290</v>
      </c>
      <c r="C197">
        <v>9542097.5480821114</v>
      </c>
      <c r="D197">
        <v>8659040.3375222683</v>
      </c>
      <c r="E197">
        <v>3603.603603604</v>
      </c>
      <c r="G197">
        <v>3</v>
      </c>
      <c r="I197">
        <v>5</v>
      </c>
      <c r="K197">
        <v>904504.50450450496</v>
      </c>
      <c r="M197">
        <v>1164009.0090090099</v>
      </c>
      <c r="N197">
        <v>428369.36936937098</v>
      </c>
      <c r="O197">
        <v>152432.43243243199</v>
      </c>
      <c r="P197">
        <v>41891.891891892003</v>
      </c>
      <c r="Q197">
        <v>4294</v>
      </c>
      <c r="R197">
        <v>4479</v>
      </c>
    </row>
    <row r="198" spans="1:18" x14ac:dyDescent="0.35">
      <c r="A198" s="7" t="s">
        <v>291</v>
      </c>
      <c r="B198" s="12" t="s">
        <v>147</v>
      </c>
      <c r="C198">
        <v>17430086.185678419</v>
      </c>
      <c r="D198">
        <v>16651743.361477293</v>
      </c>
      <c r="E198">
        <v>42819.819819819997</v>
      </c>
      <c r="F198">
        <v>784421.62162162201</v>
      </c>
      <c r="G198">
        <v>4</v>
      </c>
      <c r="I198">
        <v>4</v>
      </c>
      <c r="J198">
        <v>1</v>
      </c>
      <c r="K198">
        <v>1509369.369369369</v>
      </c>
      <c r="L198">
        <v>3687387.3873873879</v>
      </c>
      <c r="M198">
        <v>5330630.6306306301</v>
      </c>
      <c r="N198">
        <v>6145936.9369369373</v>
      </c>
      <c r="O198">
        <v>1064594.5945945929</v>
      </c>
      <c r="P198">
        <v>4432882.8828828819</v>
      </c>
      <c r="Q198">
        <v>7596</v>
      </c>
      <c r="R198">
        <v>7755</v>
      </c>
    </row>
    <row r="199" spans="1:18" x14ac:dyDescent="0.35">
      <c r="A199" s="7" t="s">
        <v>292</v>
      </c>
      <c r="B199" s="12" t="s">
        <v>293</v>
      </c>
      <c r="C199">
        <v>9081182.1883456074</v>
      </c>
      <c r="D199">
        <v>8742214.1301083267</v>
      </c>
      <c r="E199">
        <v>18034981.081081081</v>
      </c>
      <c r="F199">
        <v>379390.09009009099</v>
      </c>
      <c r="K199">
        <v>2713513.5135135148</v>
      </c>
      <c r="L199">
        <v>1437837.8378378369</v>
      </c>
      <c r="M199">
        <v>936711.71171171102</v>
      </c>
      <c r="N199">
        <v>980756.75675675599</v>
      </c>
      <c r="O199">
        <v>2572342.3423423441</v>
      </c>
      <c r="P199">
        <v>1211171.171171169</v>
      </c>
      <c r="Q199">
        <v>3629</v>
      </c>
      <c r="R199">
        <v>3408</v>
      </c>
    </row>
    <row r="200" spans="1:18" x14ac:dyDescent="0.35">
      <c r="A200" s="7" t="s">
        <v>294</v>
      </c>
      <c r="B200" s="12" t="s">
        <v>290</v>
      </c>
      <c r="C200">
        <v>2823254.926555959</v>
      </c>
      <c r="D200">
        <v>2365139.5746931848</v>
      </c>
      <c r="E200">
        <v>900.900900901</v>
      </c>
      <c r="F200">
        <v>27027.027027027001</v>
      </c>
      <c r="H200">
        <v>1</v>
      </c>
      <c r="J200">
        <v>1</v>
      </c>
      <c r="K200">
        <v>900.900900901</v>
      </c>
      <c r="L200">
        <v>27027.027027027001</v>
      </c>
      <c r="M200">
        <v>469864.86486486398</v>
      </c>
      <c r="N200">
        <v>419954.95495495503</v>
      </c>
      <c r="O200">
        <v>207747.74774774801</v>
      </c>
      <c r="P200">
        <v>45045.045045045001</v>
      </c>
      <c r="Q200">
        <v>1273</v>
      </c>
      <c r="R200">
        <v>1264</v>
      </c>
    </row>
    <row r="201" spans="1:18" x14ac:dyDescent="0.35">
      <c r="A201" s="7" t="s">
        <v>295</v>
      </c>
      <c r="B201" s="12" t="s">
        <v>52</v>
      </c>
      <c r="C201">
        <v>26420682.154816806</v>
      </c>
      <c r="D201">
        <v>26402329.796277292</v>
      </c>
      <c r="E201">
        <v>3603.603603604</v>
      </c>
      <c r="F201">
        <v>148648.64864864899</v>
      </c>
      <c r="G201">
        <v>3</v>
      </c>
      <c r="H201">
        <v>5</v>
      </c>
      <c r="I201">
        <v>6</v>
      </c>
      <c r="J201">
        <v>9</v>
      </c>
      <c r="K201">
        <v>219819.81981982</v>
      </c>
      <c r="L201">
        <v>1319819.8198198201</v>
      </c>
      <c r="M201">
        <v>6284189.18918919</v>
      </c>
      <c r="N201">
        <v>6948639.6396396384</v>
      </c>
      <c r="O201">
        <v>251801.80180180201</v>
      </c>
      <c r="P201">
        <v>731981.98198198201</v>
      </c>
      <c r="Q201">
        <v>11650</v>
      </c>
      <c r="R201">
        <v>11819</v>
      </c>
    </row>
    <row r="202" spans="1:18" x14ac:dyDescent="0.35">
      <c r="A202" s="7" t="s">
        <v>296</v>
      </c>
      <c r="B202" s="12" t="s">
        <v>169</v>
      </c>
      <c r="C202">
        <v>7973494.7323312946</v>
      </c>
      <c r="D202">
        <v>8728005.9694266319</v>
      </c>
      <c r="I202">
        <v>1</v>
      </c>
      <c r="K202">
        <v>1801801.8018018019</v>
      </c>
      <c r="M202">
        <v>1493963.963963964</v>
      </c>
      <c r="N202">
        <v>1418666.666666667</v>
      </c>
      <c r="O202">
        <v>85585.585585584995</v>
      </c>
      <c r="P202">
        <v>58558.558558559002</v>
      </c>
      <c r="Q202">
        <v>4900</v>
      </c>
      <c r="R202">
        <v>4228</v>
      </c>
    </row>
    <row r="203" spans="1:18" x14ac:dyDescent="0.35">
      <c r="A203" s="7" t="s">
        <v>297</v>
      </c>
      <c r="B203" s="12" t="s">
        <v>169</v>
      </c>
      <c r="C203">
        <v>5128598.0968164355</v>
      </c>
      <c r="D203">
        <v>9014253.7839572281</v>
      </c>
      <c r="G203">
        <v>1</v>
      </c>
      <c r="H203">
        <v>1</v>
      </c>
      <c r="I203">
        <v>1</v>
      </c>
      <c r="J203">
        <v>1</v>
      </c>
      <c r="K203">
        <v>180180180.18018019</v>
      </c>
      <c r="L203">
        <v>185585585.58558559</v>
      </c>
      <c r="M203">
        <v>1687567.5675675671</v>
      </c>
      <c r="N203">
        <v>2791351.351351351</v>
      </c>
      <c r="O203">
        <v>27989142.342342343</v>
      </c>
      <c r="P203">
        <v>116392237.83783785</v>
      </c>
      <c r="Q203">
        <v>2648</v>
      </c>
      <c r="R203">
        <v>2654</v>
      </c>
    </row>
    <row r="204" spans="1:18" x14ac:dyDescent="0.35">
      <c r="A204" s="7" t="s">
        <v>298</v>
      </c>
      <c r="B204" s="12" t="s">
        <v>89</v>
      </c>
      <c r="C204">
        <v>31518119.731183585</v>
      </c>
      <c r="D204">
        <v>27404195.497862484</v>
      </c>
      <c r="E204">
        <v>900.900900901</v>
      </c>
      <c r="F204">
        <v>40540.540540542002</v>
      </c>
      <c r="G204">
        <v>2</v>
      </c>
      <c r="H204">
        <v>5</v>
      </c>
      <c r="I204">
        <v>2</v>
      </c>
      <c r="J204">
        <v>5</v>
      </c>
      <c r="K204">
        <v>879819.81981981895</v>
      </c>
      <c r="L204">
        <v>852792.79279279301</v>
      </c>
      <c r="M204">
        <v>4738558.558558559</v>
      </c>
      <c r="N204">
        <v>4525666.666666667</v>
      </c>
      <c r="O204">
        <v>2200360.3603603579</v>
      </c>
      <c r="P204">
        <v>1054414.414414413</v>
      </c>
      <c r="Q204">
        <v>10995</v>
      </c>
      <c r="R204">
        <v>10421</v>
      </c>
    </row>
    <row r="205" spans="1:18" x14ac:dyDescent="0.35">
      <c r="A205" s="7" t="s">
        <v>299</v>
      </c>
      <c r="B205" s="12" t="s">
        <v>134</v>
      </c>
      <c r="C205">
        <v>13217619.353990708</v>
      </c>
      <c r="D205">
        <v>15037862.382162221</v>
      </c>
      <c r="E205">
        <v>136036.03603603601</v>
      </c>
      <c r="F205">
        <v>40540.540540540998</v>
      </c>
      <c r="G205">
        <v>1</v>
      </c>
      <c r="I205">
        <v>2</v>
      </c>
      <c r="J205">
        <v>4</v>
      </c>
      <c r="K205">
        <v>946846.84684684605</v>
      </c>
      <c r="L205">
        <v>1176576.5765765761</v>
      </c>
      <c r="M205">
        <v>1542702.702702702</v>
      </c>
      <c r="N205">
        <v>1799297.2972973001</v>
      </c>
      <c r="O205">
        <v>1398828.8288288291</v>
      </c>
      <c r="P205">
        <v>938018.01801801706</v>
      </c>
      <c r="Q205">
        <v>6941</v>
      </c>
      <c r="R205">
        <v>6927</v>
      </c>
    </row>
    <row r="206" spans="1:18" x14ac:dyDescent="0.35">
      <c r="A206" s="7" t="s">
        <v>300</v>
      </c>
      <c r="B206" s="12" t="s">
        <v>290</v>
      </c>
      <c r="C206">
        <v>13682825.584963333</v>
      </c>
      <c r="D206">
        <v>11961520.140039815</v>
      </c>
      <c r="E206">
        <v>9909.9099099110008</v>
      </c>
      <c r="F206">
        <v>162162.16216216501</v>
      </c>
      <c r="G206">
        <v>11</v>
      </c>
      <c r="H206">
        <v>5</v>
      </c>
      <c r="I206">
        <v>16</v>
      </c>
      <c r="J206">
        <v>11</v>
      </c>
      <c r="K206">
        <v>2081981.9819819829</v>
      </c>
      <c r="L206">
        <v>162162.16216216501</v>
      </c>
      <c r="M206">
        <v>2255405.405405405</v>
      </c>
      <c r="N206">
        <v>2102918.918918917</v>
      </c>
      <c r="O206">
        <v>1156126.126126125</v>
      </c>
      <c r="P206">
        <v>426306.30630630598</v>
      </c>
      <c r="Q206">
        <v>4396</v>
      </c>
      <c r="R206">
        <v>4344</v>
      </c>
    </row>
    <row r="207" spans="1:18" x14ac:dyDescent="0.35">
      <c r="A207" s="7" t="s">
        <v>301</v>
      </c>
      <c r="B207" s="12" t="s">
        <v>80</v>
      </c>
      <c r="C207">
        <v>15163381.677303242</v>
      </c>
      <c r="D207">
        <v>14396775.829822265</v>
      </c>
      <c r="E207">
        <v>2702.7027027029999</v>
      </c>
      <c r="F207">
        <v>27027.027027027001</v>
      </c>
      <c r="G207">
        <v>2</v>
      </c>
      <c r="H207">
        <v>1</v>
      </c>
      <c r="I207">
        <v>2</v>
      </c>
      <c r="J207">
        <v>1</v>
      </c>
      <c r="K207">
        <v>2615315.3153153141</v>
      </c>
      <c r="L207">
        <v>1472072.072072072</v>
      </c>
      <c r="M207">
        <v>3581432.4324324331</v>
      </c>
      <c r="N207">
        <v>2636261.2612612629</v>
      </c>
      <c r="O207">
        <v>1577297.297297297</v>
      </c>
      <c r="P207">
        <v>1869549.5495495489</v>
      </c>
      <c r="Q207">
        <v>5375</v>
      </c>
      <c r="R207">
        <v>5664</v>
      </c>
    </row>
    <row r="208" spans="1:18" x14ac:dyDescent="0.35">
      <c r="A208" s="7" t="s">
        <v>302</v>
      </c>
      <c r="B208" s="12" t="s">
        <v>72</v>
      </c>
      <c r="C208">
        <v>22653609.710087378</v>
      </c>
      <c r="D208">
        <v>23269914.925836243</v>
      </c>
      <c r="E208">
        <v>4504.5045045050001</v>
      </c>
      <c r="F208">
        <v>27027.027027028002</v>
      </c>
      <c r="G208">
        <v>4</v>
      </c>
      <c r="H208">
        <v>1</v>
      </c>
      <c r="I208">
        <v>5</v>
      </c>
      <c r="J208">
        <v>1</v>
      </c>
      <c r="K208">
        <v>4504.5045045050001</v>
      </c>
      <c r="L208">
        <v>27027.027027028002</v>
      </c>
      <c r="M208">
        <v>2993459.4594594599</v>
      </c>
      <c r="N208">
        <v>3810027.0270270281</v>
      </c>
      <c r="O208">
        <v>700360.36036036001</v>
      </c>
      <c r="P208">
        <v>1593153.1531531541</v>
      </c>
      <c r="Q208">
        <v>9141</v>
      </c>
      <c r="R208">
        <v>9041</v>
      </c>
    </row>
    <row r="209" spans="1:18" x14ac:dyDescent="0.35">
      <c r="A209" s="7" t="s">
        <v>303</v>
      </c>
      <c r="B209" s="12" t="s">
        <v>304</v>
      </c>
      <c r="C209">
        <v>86780.637683430003</v>
      </c>
      <c r="D209">
        <v>90893.555803373005</v>
      </c>
      <c r="N209">
        <v>31531.531531532</v>
      </c>
      <c r="Q209">
        <v>64</v>
      </c>
      <c r="R209">
        <v>64</v>
      </c>
    </row>
    <row r="210" spans="1:18" x14ac:dyDescent="0.35">
      <c r="A210" s="7" t="s">
        <v>305</v>
      </c>
      <c r="B210" s="12" t="s">
        <v>117</v>
      </c>
      <c r="C210">
        <v>3557748.83777352</v>
      </c>
      <c r="D210">
        <v>2953230.1216833652</v>
      </c>
      <c r="M210">
        <v>1258333.333333333</v>
      </c>
      <c r="N210">
        <v>1640810.8108108109</v>
      </c>
      <c r="O210">
        <v>225225.225225225</v>
      </c>
      <c r="P210">
        <v>107657.65765765699</v>
      </c>
      <c r="Q210">
        <v>1897</v>
      </c>
      <c r="R210">
        <v>1723</v>
      </c>
    </row>
    <row r="211" spans="1:18" x14ac:dyDescent="0.35">
      <c r="A211" s="7" t="s">
        <v>306</v>
      </c>
      <c r="B211" s="12" t="s">
        <v>307</v>
      </c>
      <c r="C211">
        <v>3889254.8658651151</v>
      </c>
      <c r="D211">
        <v>3879572.4683684441</v>
      </c>
      <c r="H211">
        <v>1</v>
      </c>
      <c r="J211">
        <v>2</v>
      </c>
      <c r="M211">
        <v>1477612.6126126121</v>
      </c>
      <c r="N211">
        <v>1936756.7567567569</v>
      </c>
      <c r="P211">
        <v>15765.765765766</v>
      </c>
      <c r="Q211">
        <v>4342</v>
      </c>
      <c r="R211">
        <v>4399</v>
      </c>
    </row>
    <row r="212" spans="1:18" x14ac:dyDescent="0.35">
      <c r="A212" s="7" t="s">
        <v>308</v>
      </c>
      <c r="B212" s="12" t="s">
        <v>140</v>
      </c>
      <c r="C212">
        <v>27371135.139725961</v>
      </c>
      <c r="D212">
        <v>28590018.420695309</v>
      </c>
      <c r="E212">
        <v>900.900900901</v>
      </c>
      <c r="F212">
        <v>94594.594594597002</v>
      </c>
      <c r="G212">
        <v>1</v>
      </c>
      <c r="H212">
        <v>6</v>
      </c>
      <c r="I212">
        <v>1</v>
      </c>
      <c r="J212">
        <v>6</v>
      </c>
      <c r="K212">
        <v>5454054.0540540526</v>
      </c>
      <c r="L212">
        <v>4016036.0360360388</v>
      </c>
      <c r="M212">
        <v>4201981.9819819815</v>
      </c>
      <c r="N212">
        <v>6411783.7837837841</v>
      </c>
      <c r="O212">
        <v>1618558.5585585581</v>
      </c>
      <c r="P212">
        <v>3257387.3873873898</v>
      </c>
      <c r="Q212">
        <v>8176</v>
      </c>
      <c r="R212">
        <v>8020</v>
      </c>
    </row>
    <row r="213" spans="1:18" x14ac:dyDescent="0.35">
      <c r="A213" s="7" t="s">
        <v>309</v>
      </c>
      <c r="B213" s="12" t="s">
        <v>132</v>
      </c>
      <c r="C213">
        <v>28330957.886035018</v>
      </c>
      <c r="D213">
        <v>25191660.014723577</v>
      </c>
      <c r="E213">
        <v>405405.40540540498</v>
      </c>
      <c r="F213">
        <v>180180.18018018</v>
      </c>
      <c r="G213">
        <v>5</v>
      </c>
      <c r="H213">
        <v>4</v>
      </c>
      <c r="I213">
        <v>10</v>
      </c>
      <c r="J213">
        <v>5</v>
      </c>
      <c r="K213">
        <v>1306306.306306306</v>
      </c>
      <c r="L213">
        <v>180180.18018018</v>
      </c>
      <c r="M213">
        <v>6984864.8648648653</v>
      </c>
      <c r="N213">
        <v>5601603.6036036042</v>
      </c>
      <c r="O213">
        <v>1004234.234234235</v>
      </c>
      <c r="P213">
        <v>518198.19819819898</v>
      </c>
      <c r="Q213">
        <v>12087</v>
      </c>
      <c r="R213">
        <v>12049</v>
      </c>
    </row>
    <row r="214" spans="1:18" x14ac:dyDescent="0.35">
      <c r="A214" s="7" t="s">
        <v>310</v>
      </c>
      <c r="B214" s="12" t="s">
        <v>72</v>
      </c>
      <c r="C214">
        <v>40964976.415017501</v>
      </c>
      <c r="D214">
        <v>42964322.174230792</v>
      </c>
      <c r="E214">
        <v>138738.73873873899</v>
      </c>
      <c r="F214">
        <v>94594.594594597002</v>
      </c>
      <c r="G214">
        <v>4</v>
      </c>
      <c r="H214">
        <v>7</v>
      </c>
      <c r="I214">
        <v>5</v>
      </c>
      <c r="J214">
        <v>11</v>
      </c>
      <c r="K214">
        <v>4282882.88288288</v>
      </c>
      <c r="L214">
        <v>4842342.342342346</v>
      </c>
      <c r="M214">
        <v>10360450.450450452</v>
      </c>
      <c r="N214">
        <v>10535423.423423424</v>
      </c>
      <c r="O214">
        <v>3400360.3603603598</v>
      </c>
      <c r="P214">
        <v>6578738.7387387427</v>
      </c>
      <c r="Q214">
        <v>16593</v>
      </c>
      <c r="R214">
        <v>16526</v>
      </c>
    </row>
    <row r="215" spans="1:18" x14ac:dyDescent="0.35">
      <c r="A215" s="7" t="s">
        <v>311</v>
      </c>
      <c r="B215" s="12" t="s">
        <v>62</v>
      </c>
      <c r="C215">
        <v>7454178.9738974199</v>
      </c>
      <c r="D215">
        <v>7378906.3639050135</v>
      </c>
      <c r="E215">
        <v>1801.801801802</v>
      </c>
      <c r="F215">
        <v>13513.513513514001</v>
      </c>
      <c r="J215">
        <v>1</v>
      </c>
      <c r="K215">
        <v>1803603.603603604</v>
      </c>
      <c r="L215">
        <v>554054.05405405397</v>
      </c>
      <c r="M215">
        <v>1902252.2522522521</v>
      </c>
      <c r="N215">
        <v>2150495.4954954949</v>
      </c>
      <c r="O215">
        <v>1001891.891891893</v>
      </c>
      <c r="P215">
        <v>2345045.0450450452</v>
      </c>
      <c r="Q215">
        <v>2291</v>
      </c>
      <c r="R215">
        <v>2245</v>
      </c>
    </row>
    <row r="216" spans="1:18" x14ac:dyDescent="0.35">
      <c r="A216" s="7" t="s">
        <v>312</v>
      </c>
      <c r="B216" s="12" t="s">
        <v>89</v>
      </c>
      <c r="C216">
        <v>2618413.3446077011</v>
      </c>
      <c r="D216">
        <v>2428083.7899151612</v>
      </c>
      <c r="G216">
        <v>1</v>
      </c>
      <c r="H216">
        <v>1</v>
      </c>
      <c r="I216">
        <v>1</v>
      </c>
      <c r="J216">
        <v>1</v>
      </c>
      <c r="M216">
        <v>610090.09009008994</v>
      </c>
      <c r="N216">
        <v>695621.62162162096</v>
      </c>
      <c r="O216">
        <v>22072.072072071998</v>
      </c>
      <c r="P216">
        <v>224684.68468468499</v>
      </c>
      <c r="Q216">
        <v>1181</v>
      </c>
      <c r="R216">
        <v>1225</v>
      </c>
    </row>
    <row r="217" spans="1:18" x14ac:dyDescent="0.35">
      <c r="A217" s="7" t="s">
        <v>313</v>
      </c>
      <c r="B217" s="12" t="s">
        <v>92</v>
      </c>
      <c r="C217">
        <v>1210558.933257977</v>
      </c>
      <c r="D217">
        <v>1144755.761084957</v>
      </c>
      <c r="E217">
        <v>13553.153153153</v>
      </c>
      <c r="F217">
        <v>360696.39639639598</v>
      </c>
      <c r="M217">
        <v>101801.80180180199</v>
      </c>
      <c r="N217">
        <v>104819.81981982</v>
      </c>
      <c r="Q217">
        <v>582</v>
      </c>
      <c r="R217">
        <v>478</v>
      </c>
    </row>
    <row r="218" spans="1:18" x14ac:dyDescent="0.35">
      <c r="A218" s="7" t="s">
        <v>314</v>
      </c>
      <c r="B218" s="12" t="s">
        <v>315</v>
      </c>
      <c r="C218">
        <v>8718206.4718407914</v>
      </c>
      <c r="D218">
        <v>8201458.3558351416</v>
      </c>
      <c r="H218">
        <v>2</v>
      </c>
      <c r="I218">
        <v>1</v>
      </c>
      <c r="J218">
        <v>3</v>
      </c>
      <c r="L218">
        <v>1635135.1351351319</v>
      </c>
      <c r="M218">
        <v>1425315.315315316</v>
      </c>
      <c r="N218">
        <v>862486.48648648697</v>
      </c>
      <c r="O218">
        <v>726486.48648648604</v>
      </c>
      <c r="P218">
        <v>283783.78378378</v>
      </c>
      <c r="Q218">
        <v>3460</v>
      </c>
      <c r="R218">
        <v>3534</v>
      </c>
    </row>
    <row r="219" spans="1:18" x14ac:dyDescent="0.35">
      <c r="A219" s="7" t="s">
        <v>316</v>
      </c>
      <c r="B219" s="12" t="s">
        <v>62</v>
      </c>
      <c r="C219">
        <v>14067654.082339153</v>
      </c>
      <c r="D219">
        <v>15989858.245611899</v>
      </c>
      <c r="E219">
        <v>6306.3063063070003</v>
      </c>
      <c r="F219">
        <v>301801.80180180399</v>
      </c>
      <c r="G219">
        <v>2</v>
      </c>
      <c r="H219">
        <v>1</v>
      </c>
      <c r="I219">
        <v>5</v>
      </c>
      <c r="J219">
        <v>4</v>
      </c>
      <c r="K219">
        <v>894954.95495495503</v>
      </c>
      <c r="L219">
        <v>2090630.6306306301</v>
      </c>
      <c r="M219">
        <v>4390945.9459459437</v>
      </c>
      <c r="N219">
        <v>5007684.6846846864</v>
      </c>
      <c r="O219">
        <v>665315.31531531503</v>
      </c>
      <c r="P219">
        <v>1235855.8558558549</v>
      </c>
      <c r="Q219">
        <v>8796</v>
      </c>
      <c r="R219">
        <v>8896</v>
      </c>
    </row>
    <row r="220" spans="1:18" x14ac:dyDescent="0.35">
      <c r="A220" s="7" t="s">
        <v>317</v>
      </c>
      <c r="B220" s="12" t="s">
        <v>62</v>
      </c>
      <c r="C220">
        <v>14141964.870667247</v>
      </c>
      <c r="D220">
        <v>13142834.911088141</v>
      </c>
      <c r="F220">
        <v>40540.540540542002</v>
      </c>
      <c r="H220">
        <v>1</v>
      </c>
      <c r="J220">
        <v>1</v>
      </c>
      <c r="K220">
        <v>812252.25225225103</v>
      </c>
      <c r="L220">
        <v>986846.84684684803</v>
      </c>
      <c r="M220">
        <v>4046036.036036035</v>
      </c>
      <c r="N220">
        <v>4145972.9729729709</v>
      </c>
      <c r="O220">
        <v>1595135.135135134</v>
      </c>
      <c r="P220">
        <v>1103333.333333333</v>
      </c>
      <c r="Q220">
        <v>5490</v>
      </c>
      <c r="R220">
        <v>5573</v>
      </c>
    </row>
    <row r="221" spans="1:18" x14ac:dyDescent="0.35">
      <c r="A221" s="7" t="s">
        <v>318</v>
      </c>
      <c r="B221" s="12" t="s">
        <v>78</v>
      </c>
      <c r="C221">
        <v>15380715.38127877</v>
      </c>
      <c r="D221">
        <v>14752140.649110794</v>
      </c>
      <c r="E221">
        <v>275675.67567567597</v>
      </c>
      <c r="F221">
        <v>27027.027027028002</v>
      </c>
      <c r="G221">
        <v>2</v>
      </c>
      <c r="H221">
        <v>2</v>
      </c>
      <c r="I221">
        <v>4</v>
      </c>
      <c r="J221">
        <v>5</v>
      </c>
      <c r="K221">
        <v>1807207.2072072059</v>
      </c>
      <c r="L221">
        <v>2545045.0450450461</v>
      </c>
      <c r="M221">
        <v>5338684.6846846836</v>
      </c>
      <c r="N221">
        <v>6036738.7387387389</v>
      </c>
      <c r="O221">
        <v>3037567.5675675678</v>
      </c>
      <c r="P221">
        <v>4052522.5225225249</v>
      </c>
      <c r="Q221">
        <v>8704</v>
      </c>
      <c r="R221">
        <v>8682</v>
      </c>
    </row>
    <row r="222" spans="1:18" x14ac:dyDescent="0.35">
      <c r="A222" s="7" t="s">
        <v>319</v>
      </c>
      <c r="B222" s="12" t="s">
        <v>78</v>
      </c>
      <c r="C222">
        <v>9282711.4623731244</v>
      </c>
      <c r="D222">
        <v>9244751.749590246</v>
      </c>
      <c r="E222">
        <v>135135.135135135</v>
      </c>
      <c r="F222">
        <v>126126.126126127</v>
      </c>
      <c r="G222">
        <v>2</v>
      </c>
      <c r="H222">
        <v>3</v>
      </c>
      <c r="I222">
        <v>6</v>
      </c>
      <c r="J222">
        <v>7</v>
      </c>
      <c r="K222">
        <v>2837837.8378378358</v>
      </c>
      <c r="L222">
        <v>846846.84684684698</v>
      </c>
      <c r="M222">
        <v>2422954.9549549548</v>
      </c>
      <c r="N222">
        <v>3125684.684684684</v>
      </c>
      <c r="O222">
        <v>397117.11711711698</v>
      </c>
      <c r="P222">
        <v>667477.47747747903</v>
      </c>
      <c r="Q222">
        <v>5726</v>
      </c>
      <c r="R222">
        <v>5588</v>
      </c>
    </row>
    <row r="223" spans="1:18" x14ac:dyDescent="0.35">
      <c r="A223" s="7" t="s">
        <v>320</v>
      </c>
      <c r="B223" s="12" t="s">
        <v>121</v>
      </c>
      <c r="C223">
        <v>83821.236701905</v>
      </c>
      <c r="D223">
        <v>55275.583439987</v>
      </c>
      <c r="M223">
        <v>29729.729729729999</v>
      </c>
      <c r="Q223">
        <v>78</v>
      </c>
      <c r="R223">
        <v>53</v>
      </c>
    </row>
    <row r="224" spans="1:18" x14ac:dyDescent="0.35">
      <c r="A224" s="7" t="s">
        <v>321</v>
      </c>
      <c r="B224" s="12" t="s">
        <v>224</v>
      </c>
      <c r="C224">
        <v>11027611.005268233</v>
      </c>
      <c r="D224">
        <v>8480318.6718845591</v>
      </c>
      <c r="G224">
        <v>2</v>
      </c>
      <c r="H224">
        <v>2</v>
      </c>
      <c r="I224">
        <v>3</v>
      </c>
      <c r="J224">
        <v>2</v>
      </c>
      <c r="M224">
        <v>3344414.4144144142</v>
      </c>
      <c r="N224">
        <v>3514342.3423423418</v>
      </c>
      <c r="Q224">
        <v>3953</v>
      </c>
      <c r="R224">
        <v>3889</v>
      </c>
    </row>
    <row r="225" spans="1:18" x14ac:dyDescent="0.35">
      <c r="A225" s="7" t="s">
        <v>322</v>
      </c>
      <c r="B225" s="12" t="s">
        <v>224</v>
      </c>
      <c r="C225">
        <v>8056931.2313128375</v>
      </c>
      <c r="D225">
        <v>5808666.2310466692</v>
      </c>
      <c r="G225">
        <v>1</v>
      </c>
      <c r="I225">
        <v>1</v>
      </c>
      <c r="M225">
        <v>1999279.2792792791</v>
      </c>
      <c r="N225">
        <v>1317171.1711711709</v>
      </c>
      <c r="O225">
        <v>580270.27027026901</v>
      </c>
      <c r="P225">
        <v>357207.20720720798</v>
      </c>
      <c r="Q225">
        <v>2257</v>
      </c>
      <c r="R225">
        <v>2108</v>
      </c>
    </row>
    <row r="226" spans="1:18" x14ac:dyDescent="0.35">
      <c r="A226" s="7" t="s">
        <v>323</v>
      </c>
      <c r="B226" s="12" t="s">
        <v>78</v>
      </c>
      <c r="C226">
        <v>10734732.424370715</v>
      </c>
      <c r="D226">
        <v>11504343.971680479</v>
      </c>
      <c r="E226">
        <v>1801.801801802</v>
      </c>
      <c r="F226">
        <v>67567.567567569</v>
      </c>
      <c r="G226">
        <v>1</v>
      </c>
      <c r="H226">
        <v>4</v>
      </c>
      <c r="I226">
        <v>1</v>
      </c>
      <c r="J226">
        <v>5</v>
      </c>
      <c r="K226">
        <v>2254054.054054054</v>
      </c>
      <c r="L226">
        <v>2725225.225225226</v>
      </c>
      <c r="M226">
        <v>3049324.3243243238</v>
      </c>
      <c r="N226">
        <v>3227351.351351351</v>
      </c>
      <c r="O226">
        <v>1030720.72072072</v>
      </c>
      <c r="P226">
        <v>2067297.297297297</v>
      </c>
      <c r="Q226">
        <v>4590</v>
      </c>
      <c r="R226">
        <v>4528</v>
      </c>
    </row>
    <row r="227" spans="1:18" x14ac:dyDescent="0.35">
      <c r="A227" s="7" t="s">
        <v>324</v>
      </c>
      <c r="B227" s="12" t="s">
        <v>108</v>
      </c>
      <c r="C227">
        <v>50030938.231727608</v>
      </c>
      <c r="D227">
        <v>51223891.030629806</v>
      </c>
      <c r="E227">
        <v>120938.73873873999</v>
      </c>
      <c r="F227">
        <v>332448.64864864998</v>
      </c>
      <c r="G227">
        <v>10</v>
      </c>
      <c r="H227">
        <v>3</v>
      </c>
      <c r="I227">
        <v>27</v>
      </c>
      <c r="J227">
        <v>9</v>
      </c>
      <c r="K227">
        <v>2257657.6576576568</v>
      </c>
      <c r="L227">
        <v>3579099.099099095</v>
      </c>
      <c r="M227">
        <v>11290225.225225225</v>
      </c>
      <c r="N227">
        <v>12165864.864864867</v>
      </c>
      <c r="O227">
        <v>3907387.387387387</v>
      </c>
      <c r="P227">
        <v>6061531.5315315276</v>
      </c>
      <c r="Q227">
        <v>22133</v>
      </c>
      <c r="R227">
        <v>23877</v>
      </c>
    </row>
    <row r="228" spans="1:18" x14ac:dyDescent="0.35">
      <c r="A228" s="7" t="s">
        <v>325</v>
      </c>
      <c r="B228" s="12" t="s">
        <v>224</v>
      </c>
      <c r="C228">
        <v>10864559.254313463</v>
      </c>
      <c r="D228">
        <v>8828662.9423778988</v>
      </c>
      <c r="E228">
        <v>1801.801801802</v>
      </c>
      <c r="F228">
        <v>27027.027027027001</v>
      </c>
      <c r="G228">
        <v>2</v>
      </c>
      <c r="I228">
        <v>3</v>
      </c>
      <c r="K228">
        <v>2704504.5045045051</v>
      </c>
      <c r="L228">
        <v>1828828.8288288291</v>
      </c>
      <c r="M228">
        <v>1800810.8108108121</v>
      </c>
      <c r="N228">
        <v>1717045.045045045</v>
      </c>
      <c r="O228">
        <v>647297.29729729798</v>
      </c>
      <c r="P228">
        <v>1742702.702702703</v>
      </c>
      <c r="Q228">
        <v>4312</v>
      </c>
      <c r="R228">
        <v>3682</v>
      </c>
    </row>
    <row r="229" spans="1:18" x14ac:dyDescent="0.35">
      <c r="A229" s="7" t="s">
        <v>4</v>
      </c>
      <c r="B229" s="12" t="s">
        <v>158</v>
      </c>
      <c r="C229">
        <v>8535734.9415696654</v>
      </c>
      <c r="D229">
        <v>8418990.3832208496</v>
      </c>
      <c r="F229">
        <v>13513.513513514001</v>
      </c>
      <c r="L229">
        <v>1815315.315315315</v>
      </c>
      <c r="M229">
        <v>2895360.3603603588</v>
      </c>
      <c r="N229">
        <v>2728108.1081081079</v>
      </c>
      <c r="O229">
        <v>1511711.7117117119</v>
      </c>
      <c r="P229">
        <v>818108.10810810898</v>
      </c>
      <c r="Q229">
        <v>3667</v>
      </c>
      <c r="R229">
        <v>3899</v>
      </c>
    </row>
    <row r="230" spans="1:18" x14ac:dyDescent="0.35">
      <c r="A230" s="7" t="s">
        <v>34</v>
      </c>
      <c r="B230" s="12" t="s">
        <v>193</v>
      </c>
      <c r="E230">
        <v>60082.882882883001</v>
      </c>
      <c r="F230">
        <v>46184510.810810804</v>
      </c>
    </row>
    <row r="231" spans="1:18" x14ac:dyDescent="0.35">
      <c r="A231" s="7" t="s">
        <v>326</v>
      </c>
      <c r="B231" s="12" t="s">
        <v>108</v>
      </c>
      <c r="C231">
        <v>41207359.285589874</v>
      </c>
      <c r="D231">
        <v>42226869.862260155</v>
      </c>
      <c r="E231">
        <v>19819.819819822002</v>
      </c>
      <c r="F231">
        <v>351351.35135135398</v>
      </c>
      <c r="G231">
        <v>8</v>
      </c>
      <c r="H231">
        <v>9</v>
      </c>
      <c r="I231">
        <v>32</v>
      </c>
      <c r="J231">
        <v>14</v>
      </c>
      <c r="K231">
        <v>5160360.3603603579</v>
      </c>
      <c r="L231">
        <v>2513513.5135135162</v>
      </c>
      <c r="M231">
        <v>10632342.342342339</v>
      </c>
      <c r="N231">
        <v>12645981.981981983</v>
      </c>
      <c r="O231">
        <v>5804684.6846846836</v>
      </c>
      <c r="P231">
        <v>3045225.2252252279</v>
      </c>
      <c r="Q231">
        <v>20085</v>
      </c>
      <c r="R231">
        <v>19930</v>
      </c>
    </row>
    <row r="232" spans="1:18" x14ac:dyDescent="0.35">
      <c r="A232" s="7" t="s">
        <v>327</v>
      </c>
      <c r="B232" s="12" t="s">
        <v>78</v>
      </c>
      <c r="C232">
        <v>4198049.8155354317</v>
      </c>
      <c r="D232">
        <v>4224634.8491903888</v>
      </c>
      <c r="E232">
        <v>1801.801801802</v>
      </c>
      <c r="F232">
        <v>13513.513513514001</v>
      </c>
      <c r="G232">
        <v>1</v>
      </c>
      <c r="H232">
        <v>2</v>
      </c>
      <c r="I232">
        <v>2</v>
      </c>
      <c r="J232">
        <v>2</v>
      </c>
      <c r="K232">
        <v>1801.801801802</v>
      </c>
      <c r="L232">
        <v>13513.513513514001</v>
      </c>
      <c r="M232">
        <v>987567.56756756804</v>
      </c>
      <c r="N232">
        <v>1048144.144144145</v>
      </c>
      <c r="O232">
        <v>128198.19819819801</v>
      </c>
      <c r="P232">
        <v>177027.02702702599</v>
      </c>
      <c r="Q232">
        <v>2100</v>
      </c>
      <c r="R232">
        <v>1718</v>
      </c>
    </row>
    <row r="233" spans="1:18" x14ac:dyDescent="0.35">
      <c r="A233" s="7" t="s">
        <v>328</v>
      </c>
      <c r="B233" s="12" t="s">
        <v>121</v>
      </c>
      <c r="C233">
        <v>13487818.162544556</v>
      </c>
      <c r="D233">
        <v>9584663.0795193389</v>
      </c>
      <c r="E233">
        <v>6306.3063063070003</v>
      </c>
      <c r="F233">
        <v>40540.540540540998</v>
      </c>
      <c r="G233">
        <v>4</v>
      </c>
      <c r="H233">
        <v>5</v>
      </c>
      <c r="I233">
        <v>5</v>
      </c>
      <c r="J233">
        <v>6</v>
      </c>
      <c r="K233">
        <v>6306.3063063070003</v>
      </c>
      <c r="L233">
        <v>2581081.0810810798</v>
      </c>
      <c r="M233">
        <v>1929864.864864866</v>
      </c>
      <c r="N233">
        <v>1390675.675675676</v>
      </c>
      <c r="O233">
        <v>650180.18018017896</v>
      </c>
      <c r="P233">
        <v>824504.50450450403</v>
      </c>
      <c r="Q233">
        <v>4134</v>
      </c>
      <c r="R233">
        <v>3555</v>
      </c>
    </row>
    <row r="234" spans="1:18" x14ac:dyDescent="0.35">
      <c r="A234" s="7" t="s">
        <v>329</v>
      </c>
      <c r="B234" s="12" t="s">
        <v>330</v>
      </c>
      <c r="C234">
        <v>29522998.842147496</v>
      </c>
      <c r="D234">
        <v>25259639.825576872</v>
      </c>
      <c r="E234">
        <v>3603.603603604</v>
      </c>
      <c r="F234">
        <v>324324.32432432502</v>
      </c>
      <c r="G234">
        <v>3</v>
      </c>
      <c r="H234">
        <v>6</v>
      </c>
      <c r="I234">
        <v>7</v>
      </c>
      <c r="J234">
        <v>7</v>
      </c>
      <c r="K234">
        <v>2446846.8468468431</v>
      </c>
      <c r="L234">
        <v>1090090.0900900899</v>
      </c>
      <c r="M234">
        <v>4870945.9459459484</v>
      </c>
      <c r="N234">
        <v>5248504.5045045046</v>
      </c>
      <c r="O234">
        <v>1523873.8738738729</v>
      </c>
      <c r="P234">
        <v>917207.20720720605</v>
      </c>
      <c r="Q234">
        <v>14401</v>
      </c>
      <c r="R234">
        <v>13533</v>
      </c>
    </row>
    <row r="235" spans="1:18" x14ac:dyDescent="0.35">
      <c r="A235" s="7" t="s">
        <v>331</v>
      </c>
      <c r="B235" s="12" t="s">
        <v>290</v>
      </c>
      <c r="C235">
        <v>41982823.148827687</v>
      </c>
      <c r="D235">
        <v>39460897.850926675</v>
      </c>
      <c r="E235">
        <v>9009.0090090100002</v>
      </c>
      <c r="F235">
        <v>94594.594594597002</v>
      </c>
      <c r="G235">
        <v>3</v>
      </c>
      <c r="H235">
        <v>6</v>
      </c>
      <c r="I235">
        <v>8</v>
      </c>
      <c r="J235">
        <v>14</v>
      </c>
      <c r="K235">
        <v>2981981.9819819801</v>
      </c>
      <c r="L235">
        <v>3022522.5225225231</v>
      </c>
      <c r="M235">
        <v>7026666.666666667</v>
      </c>
      <c r="N235">
        <v>7004639.6396396402</v>
      </c>
      <c r="O235">
        <v>2641711.7117117122</v>
      </c>
      <c r="P235">
        <v>2524414.4144144151</v>
      </c>
      <c r="Q235">
        <v>16995</v>
      </c>
      <c r="R235">
        <v>16836</v>
      </c>
    </row>
    <row r="236" spans="1:18" x14ac:dyDescent="0.35">
      <c r="A236" s="7" t="s">
        <v>332</v>
      </c>
      <c r="B236" s="12" t="s">
        <v>290</v>
      </c>
      <c r="C236">
        <v>29158909.868000951</v>
      </c>
      <c r="D236">
        <v>30024190.310671404</v>
      </c>
      <c r="E236">
        <v>4504.5045045050001</v>
      </c>
      <c r="F236">
        <v>261261.26126126299</v>
      </c>
      <c r="G236">
        <v>3</v>
      </c>
      <c r="H236">
        <v>5</v>
      </c>
      <c r="I236">
        <v>5</v>
      </c>
      <c r="J236">
        <v>7</v>
      </c>
      <c r="K236">
        <v>1698198.1981981981</v>
      </c>
      <c r="L236">
        <v>2513513.5135135138</v>
      </c>
      <c r="M236">
        <v>5552297.297297298</v>
      </c>
      <c r="N236">
        <v>7281981.9819819806</v>
      </c>
      <c r="O236">
        <v>3082072.0720720729</v>
      </c>
      <c r="P236">
        <v>4330180.1801801817</v>
      </c>
      <c r="Q236">
        <v>14741</v>
      </c>
      <c r="R236">
        <v>14885</v>
      </c>
    </row>
    <row r="237" spans="1:18" x14ac:dyDescent="0.35">
      <c r="A237" s="7" t="s">
        <v>333</v>
      </c>
      <c r="B237" s="12" t="s">
        <v>60</v>
      </c>
      <c r="C237">
        <v>4027452.0377912251</v>
      </c>
      <c r="D237">
        <v>4294603.0530150672</v>
      </c>
      <c r="E237">
        <v>184684.68468468499</v>
      </c>
      <c r="F237">
        <v>256756.756756758</v>
      </c>
      <c r="H237">
        <v>4</v>
      </c>
      <c r="J237">
        <v>9</v>
      </c>
      <c r="K237">
        <v>1382882.8828828831</v>
      </c>
      <c r="L237">
        <v>436936.93693693797</v>
      </c>
      <c r="M237">
        <v>1219954.954954955</v>
      </c>
      <c r="N237">
        <v>1822396.396396396</v>
      </c>
      <c r="O237">
        <v>169369.369369369</v>
      </c>
      <c r="P237">
        <v>726036.03603603598</v>
      </c>
      <c r="Q237">
        <v>2001</v>
      </c>
      <c r="R237">
        <v>2008</v>
      </c>
    </row>
    <row r="238" spans="1:18" x14ac:dyDescent="0.35">
      <c r="A238" s="7" t="s">
        <v>334</v>
      </c>
      <c r="B238" s="12" t="s">
        <v>60</v>
      </c>
      <c r="C238">
        <v>623045.523070083</v>
      </c>
      <c r="D238">
        <v>949925.60311658704</v>
      </c>
      <c r="K238">
        <v>45945.945945945998</v>
      </c>
      <c r="M238">
        <v>254324.32432432499</v>
      </c>
      <c r="N238">
        <v>538243.24324324296</v>
      </c>
      <c r="O238">
        <v>21621.621621621998</v>
      </c>
      <c r="Q238">
        <v>943</v>
      </c>
      <c r="R238">
        <v>982</v>
      </c>
    </row>
    <row r="239" spans="1:18" x14ac:dyDescent="0.35">
      <c r="A239" s="7" t="s">
        <v>335</v>
      </c>
      <c r="B239" s="12" t="s">
        <v>121</v>
      </c>
      <c r="C239">
        <v>4913.2331034509998</v>
      </c>
      <c r="D239">
        <v>105576.390516827</v>
      </c>
      <c r="Q239">
        <v>97</v>
      </c>
      <c r="R239">
        <v>155</v>
      </c>
    </row>
    <row r="240" spans="1:18" x14ac:dyDescent="0.35">
      <c r="A240" s="7" t="s">
        <v>336</v>
      </c>
      <c r="B240" s="12" t="s">
        <v>121</v>
      </c>
      <c r="C240">
        <v>178847.930060329</v>
      </c>
      <c r="D240">
        <v>153549.32135384899</v>
      </c>
      <c r="E240">
        <v>72285.585585585999</v>
      </c>
      <c r="F240">
        <v>18082999.0990991</v>
      </c>
      <c r="L240">
        <v>652437.83783783799</v>
      </c>
      <c r="M240">
        <v>71891.891891891995</v>
      </c>
      <c r="Q240">
        <v>110</v>
      </c>
      <c r="R240">
        <v>185</v>
      </c>
    </row>
    <row r="241" spans="1:18" x14ac:dyDescent="0.35">
      <c r="A241" s="7" t="s">
        <v>337</v>
      </c>
      <c r="B241" s="12" t="s">
        <v>121</v>
      </c>
      <c r="C241">
        <v>137508.54909227099</v>
      </c>
      <c r="D241">
        <v>95441.343246728007</v>
      </c>
      <c r="Q241">
        <v>134</v>
      </c>
      <c r="R241">
        <v>125</v>
      </c>
    </row>
    <row r="242" spans="1:18" x14ac:dyDescent="0.35">
      <c r="A242" s="7" t="s">
        <v>338</v>
      </c>
      <c r="B242" s="12" t="s">
        <v>140</v>
      </c>
      <c r="C242">
        <v>46912202.913506471</v>
      </c>
      <c r="D242">
        <v>46268516.658790298</v>
      </c>
      <c r="E242">
        <v>900.900900901</v>
      </c>
      <c r="F242">
        <v>121621.621621623</v>
      </c>
      <c r="G242">
        <v>1</v>
      </c>
      <c r="H242">
        <v>2</v>
      </c>
      <c r="I242">
        <v>2</v>
      </c>
      <c r="J242">
        <v>9</v>
      </c>
      <c r="K242">
        <v>5660368.4684684677</v>
      </c>
      <c r="L242">
        <v>5135675.6756756762</v>
      </c>
      <c r="M242">
        <v>8737657.6576576587</v>
      </c>
      <c r="N242">
        <v>8627252.2522522528</v>
      </c>
      <c r="O242">
        <v>4470360.3603603607</v>
      </c>
      <c r="P242">
        <v>4527837.8378378367</v>
      </c>
      <c r="Q242">
        <v>16118</v>
      </c>
      <c r="R242">
        <v>16080</v>
      </c>
    </row>
    <row r="243" spans="1:18" x14ac:dyDescent="0.35">
      <c r="A243" s="7" t="s">
        <v>339</v>
      </c>
      <c r="B243" s="12" t="s">
        <v>121</v>
      </c>
      <c r="C243">
        <v>8735366.7406617906</v>
      </c>
      <c r="D243">
        <v>6220521.3298685886</v>
      </c>
      <c r="G243">
        <v>2</v>
      </c>
      <c r="I243">
        <v>2</v>
      </c>
      <c r="M243">
        <v>605765.76576576603</v>
      </c>
      <c r="N243">
        <v>268513.51351351303</v>
      </c>
      <c r="Q243">
        <v>2439</v>
      </c>
      <c r="R243">
        <v>3685</v>
      </c>
    </row>
    <row r="244" spans="1:18" x14ac:dyDescent="0.35">
      <c r="A244" s="7" t="s">
        <v>340</v>
      </c>
      <c r="B244" s="12" t="s">
        <v>140</v>
      </c>
      <c r="C244">
        <v>22541298.999976989</v>
      </c>
      <c r="D244">
        <v>25243513.817449342</v>
      </c>
      <c r="G244">
        <v>1</v>
      </c>
      <c r="I244">
        <v>1</v>
      </c>
      <c r="J244">
        <v>2</v>
      </c>
      <c r="K244">
        <v>2214414.4144144151</v>
      </c>
      <c r="L244">
        <v>1801801.8018018019</v>
      </c>
      <c r="M244">
        <v>4921351.3513513533</v>
      </c>
      <c r="N244">
        <v>7313162.1621621624</v>
      </c>
      <c r="O244">
        <v>3021441.441441441</v>
      </c>
      <c r="P244">
        <v>3364234.2342342348</v>
      </c>
      <c r="Q244">
        <v>8865</v>
      </c>
      <c r="R244">
        <v>9111</v>
      </c>
    </row>
    <row r="245" spans="1:18" x14ac:dyDescent="0.35">
      <c r="A245" s="7" t="s">
        <v>341</v>
      </c>
      <c r="B245" s="12" t="s">
        <v>134</v>
      </c>
      <c r="C245">
        <v>2358206.4542011959</v>
      </c>
      <c r="D245">
        <v>2383323.656815079</v>
      </c>
      <c r="F245">
        <v>27027.027027027001</v>
      </c>
      <c r="H245">
        <v>2</v>
      </c>
      <c r="J245">
        <v>2</v>
      </c>
      <c r="L245">
        <v>27027.027027027001</v>
      </c>
      <c r="M245">
        <v>425495.49549549603</v>
      </c>
      <c r="N245">
        <v>369414.41441441502</v>
      </c>
      <c r="O245">
        <v>192522.52252252301</v>
      </c>
      <c r="P245">
        <v>92792.792792793</v>
      </c>
      <c r="Q245">
        <v>1336</v>
      </c>
      <c r="R245">
        <v>1196</v>
      </c>
    </row>
    <row r="246" spans="1:18" x14ac:dyDescent="0.35">
      <c r="A246" s="7" t="s">
        <v>342</v>
      </c>
      <c r="B246" s="12" t="s">
        <v>121</v>
      </c>
      <c r="C246">
        <v>157710.81792885199</v>
      </c>
      <c r="D246">
        <v>125893.16639390599</v>
      </c>
      <c r="G246">
        <v>1</v>
      </c>
      <c r="I246">
        <v>2</v>
      </c>
      <c r="M246">
        <v>72972.972972973002</v>
      </c>
      <c r="N246">
        <v>19819.819819820001</v>
      </c>
      <c r="Q246">
        <v>408</v>
      </c>
      <c r="R246">
        <v>397</v>
      </c>
    </row>
    <row r="247" spans="1:18" x14ac:dyDescent="0.35">
      <c r="A247" s="7" t="s">
        <v>5</v>
      </c>
      <c r="B247" s="12" t="s">
        <v>158</v>
      </c>
      <c r="C247">
        <v>9286722.3745056763</v>
      </c>
      <c r="D247">
        <v>9099478.8792579994</v>
      </c>
      <c r="E247">
        <v>900.900900901</v>
      </c>
      <c r="F247">
        <v>27027.027027027001</v>
      </c>
      <c r="G247">
        <v>2</v>
      </c>
      <c r="H247">
        <v>1</v>
      </c>
      <c r="I247">
        <v>4</v>
      </c>
      <c r="J247">
        <v>1</v>
      </c>
      <c r="K247">
        <v>1622522.522522521</v>
      </c>
      <c r="L247">
        <v>837837.83783783705</v>
      </c>
      <c r="M247">
        <v>4049549.5495495489</v>
      </c>
      <c r="N247">
        <v>4081486.4864864862</v>
      </c>
      <c r="O247">
        <v>366396.39639639598</v>
      </c>
      <c r="P247">
        <v>599549.549549549</v>
      </c>
      <c r="Q247">
        <v>3165</v>
      </c>
      <c r="R247">
        <v>2942</v>
      </c>
    </row>
    <row r="248" spans="1:18" x14ac:dyDescent="0.35">
      <c r="A248" s="7" t="s">
        <v>343</v>
      </c>
      <c r="B248" s="12" t="s">
        <v>304</v>
      </c>
      <c r="C248">
        <v>919567.77882496896</v>
      </c>
      <c r="D248">
        <v>1455813.76850716</v>
      </c>
      <c r="E248">
        <v>77020.720720721001</v>
      </c>
      <c r="F248">
        <v>620575.67567567597</v>
      </c>
      <c r="G248">
        <v>1</v>
      </c>
      <c r="I248">
        <v>1</v>
      </c>
      <c r="J248">
        <v>3</v>
      </c>
      <c r="K248">
        <v>31485585.585585583</v>
      </c>
      <c r="M248">
        <v>79279.279279278999</v>
      </c>
      <c r="N248">
        <v>282432.43243243202</v>
      </c>
      <c r="O248">
        <v>13243.243243243</v>
      </c>
      <c r="P248">
        <v>10810.810810810999</v>
      </c>
      <c r="Q248">
        <v>531</v>
      </c>
      <c r="R248">
        <v>568</v>
      </c>
    </row>
    <row r="249" spans="1:18" x14ac:dyDescent="0.35">
      <c r="A249" s="7" t="s">
        <v>344</v>
      </c>
      <c r="B249" s="12" t="s">
        <v>105</v>
      </c>
      <c r="C249">
        <v>18604082.338714968</v>
      </c>
      <c r="D249">
        <v>17728992.204489321</v>
      </c>
      <c r="E249">
        <v>1801.801801802</v>
      </c>
      <c r="F249">
        <v>432432.43243243301</v>
      </c>
      <c r="G249">
        <v>2</v>
      </c>
      <c r="H249">
        <v>1</v>
      </c>
      <c r="I249">
        <v>3</v>
      </c>
      <c r="J249">
        <v>2</v>
      </c>
      <c r="K249">
        <v>100900.900900901</v>
      </c>
      <c r="L249">
        <v>3465090.0900900899</v>
      </c>
      <c r="M249">
        <v>4837882.8828828819</v>
      </c>
      <c r="N249">
        <v>3640225.2252252251</v>
      </c>
      <c r="O249">
        <v>1863063.063063063</v>
      </c>
      <c r="P249">
        <v>2334279.2792792791</v>
      </c>
      <c r="Q249">
        <v>5912</v>
      </c>
      <c r="R249">
        <v>5663</v>
      </c>
    </row>
    <row r="250" spans="1:18" x14ac:dyDescent="0.35">
      <c r="A250" s="7" t="s">
        <v>345</v>
      </c>
      <c r="B250" s="12" t="s">
        <v>87</v>
      </c>
      <c r="C250">
        <v>5713332.028073187</v>
      </c>
      <c r="D250">
        <v>6664259.9894637447</v>
      </c>
      <c r="E250">
        <v>272072.07207207201</v>
      </c>
      <c r="H250">
        <v>1</v>
      </c>
      <c r="I250">
        <v>2</v>
      </c>
      <c r="J250">
        <v>3</v>
      </c>
      <c r="K250">
        <v>1172972.972972973</v>
      </c>
      <c r="L250">
        <v>2702702.702702702</v>
      </c>
      <c r="M250">
        <v>832477.47747747798</v>
      </c>
      <c r="N250">
        <v>1794450.4504504511</v>
      </c>
      <c r="O250">
        <v>637927.927927927</v>
      </c>
      <c r="P250">
        <v>982702.70270270295</v>
      </c>
      <c r="Q250">
        <v>2204</v>
      </c>
      <c r="R250">
        <v>2342</v>
      </c>
    </row>
    <row r="251" spans="1:18" x14ac:dyDescent="0.35">
      <c r="A251" s="7" t="s">
        <v>346</v>
      </c>
      <c r="B251" s="12" t="s">
        <v>87</v>
      </c>
      <c r="C251">
        <v>17566299.0686615</v>
      </c>
      <c r="D251">
        <v>17142186.60649877</v>
      </c>
      <c r="E251">
        <v>3603.603603604</v>
      </c>
      <c r="F251">
        <v>94594.594594595997</v>
      </c>
      <c r="G251">
        <v>3</v>
      </c>
      <c r="H251">
        <v>8</v>
      </c>
      <c r="I251">
        <v>8</v>
      </c>
      <c r="J251">
        <v>18</v>
      </c>
      <c r="K251">
        <v>3603.603603604</v>
      </c>
      <c r="L251">
        <v>1626126.1261261259</v>
      </c>
      <c r="M251">
        <v>2016621.6216216229</v>
      </c>
      <c r="N251">
        <v>2315918.9189189188</v>
      </c>
      <c r="O251">
        <v>889639.63963963895</v>
      </c>
      <c r="P251">
        <v>795045.04504504602</v>
      </c>
      <c r="Q251">
        <v>6602</v>
      </c>
      <c r="R251">
        <v>6679</v>
      </c>
    </row>
    <row r="252" spans="1:18" x14ac:dyDescent="0.35">
      <c r="A252" s="7" t="s">
        <v>347</v>
      </c>
      <c r="B252" s="12" t="s">
        <v>87</v>
      </c>
      <c r="C252">
        <v>450679.15484643599</v>
      </c>
      <c r="D252">
        <v>547147.29924846196</v>
      </c>
      <c r="H252">
        <v>1</v>
      </c>
      <c r="J252">
        <v>1</v>
      </c>
      <c r="M252">
        <v>257432.43243243301</v>
      </c>
      <c r="N252">
        <v>86891.891891892999</v>
      </c>
      <c r="Q252">
        <v>800</v>
      </c>
      <c r="R252">
        <v>867</v>
      </c>
    </row>
    <row r="253" spans="1:18" x14ac:dyDescent="0.35">
      <c r="A253" s="7" t="s">
        <v>348</v>
      </c>
      <c r="B253" s="12" t="s">
        <v>87</v>
      </c>
      <c r="C253">
        <v>147431.31601304299</v>
      </c>
      <c r="D253">
        <v>233859.99035923899</v>
      </c>
      <c r="N253">
        <v>53243.243243243</v>
      </c>
      <c r="Q253">
        <v>187</v>
      </c>
      <c r="R253">
        <v>187</v>
      </c>
    </row>
    <row r="254" spans="1:18" x14ac:dyDescent="0.35">
      <c r="A254" s="7" t="s">
        <v>349</v>
      </c>
      <c r="B254" s="12" t="s">
        <v>87</v>
      </c>
      <c r="C254">
        <v>208502.87318559201</v>
      </c>
      <c r="D254">
        <v>186083.36178208399</v>
      </c>
      <c r="I254">
        <v>1</v>
      </c>
      <c r="M254">
        <v>84684.684684684995</v>
      </c>
      <c r="N254">
        <v>96846.846846846995</v>
      </c>
      <c r="Q254">
        <v>636</v>
      </c>
      <c r="R254">
        <v>545</v>
      </c>
    </row>
    <row r="255" spans="1:18" x14ac:dyDescent="0.35">
      <c r="A255" s="7" t="s">
        <v>350</v>
      </c>
      <c r="B255" s="12" t="s">
        <v>87</v>
      </c>
      <c r="C255">
        <v>5246874.5605157539</v>
      </c>
      <c r="D255">
        <v>4712936.0161662949</v>
      </c>
      <c r="E255">
        <v>1801.801801802</v>
      </c>
      <c r="G255">
        <v>1</v>
      </c>
      <c r="I255">
        <v>2</v>
      </c>
      <c r="J255">
        <v>1</v>
      </c>
      <c r="K255">
        <v>1801.801801802</v>
      </c>
      <c r="M255">
        <v>673063.06306306296</v>
      </c>
      <c r="N255">
        <v>746207.20720720699</v>
      </c>
      <c r="O255">
        <v>310720.720720721</v>
      </c>
      <c r="P255">
        <v>205675.67567567501</v>
      </c>
      <c r="Q255">
        <v>2063</v>
      </c>
      <c r="R255">
        <v>1822</v>
      </c>
    </row>
    <row r="256" spans="1:18" x14ac:dyDescent="0.35">
      <c r="A256" s="7" t="s">
        <v>351</v>
      </c>
      <c r="B256" s="12" t="s">
        <v>50</v>
      </c>
      <c r="C256">
        <v>10643682.813567944</v>
      </c>
      <c r="D256">
        <v>13549427.983477851</v>
      </c>
      <c r="E256">
        <v>2702.7027027029999</v>
      </c>
      <c r="F256">
        <v>103603.603603604</v>
      </c>
      <c r="H256">
        <v>5</v>
      </c>
      <c r="J256">
        <v>7</v>
      </c>
      <c r="K256">
        <v>1417117.11711712</v>
      </c>
      <c r="L256">
        <v>4878378.3783783773</v>
      </c>
      <c r="M256">
        <v>3899459.4594594589</v>
      </c>
      <c r="N256">
        <v>4845990.9909909908</v>
      </c>
      <c r="O256">
        <v>1812432.432432435</v>
      </c>
      <c r="P256">
        <v>4443423.4234234244</v>
      </c>
      <c r="Q256">
        <v>4417</v>
      </c>
      <c r="R256">
        <v>5368</v>
      </c>
    </row>
    <row r="257" spans="1:18" x14ac:dyDescent="0.35">
      <c r="A257" s="7" t="s">
        <v>352</v>
      </c>
      <c r="B257" s="12" t="s">
        <v>123</v>
      </c>
      <c r="C257">
        <v>79981.510087218005</v>
      </c>
      <c r="D257">
        <v>65779.553884152003</v>
      </c>
      <c r="M257">
        <v>10585.585585586001</v>
      </c>
      <c r="N257">
        <v>35585.585585585999</v>
      </c>
      <c r="Q257">
        <v>122</v>
      </c>
      <c r="R257">
        <v>133</v>
      </c>
    </row>
    <row r="258" spans="1:18" x14ac:dyDescent="0.35">
      <c r="A258" s="7" t="s">
        <v>353</v>
      </c>
      <c r="B258" s="12" t="s">
        <v>354</v>
      </c>
      <c r="C258">
        <v>21318068.06360269</v>
      </c>
      <c r="D258">
        <v>22308506.656495254</v>
      </c>
      <c r="E258">
        <v>63504.504504504999</v>
      </c>
      <c r="F258">
        <v>1320756.7567567569</v>
      </c>
      <c r="H258">
        <v>20</v>
      </c>
      <c r="I258">
        <v>1</v>
      </c>
      <c r="J258">
        <v>53</v>
      </c>
      <c r="K258">
        <v>3836216.2162162191</v>
      </c>
      <c r="L258">
        <v>5409234.2342342325</v>
      </c>
      <c r="M258">
        <v>10380270.270270271</v>
      </c>
      <c r="N258">
        <v>12705333.333333332</v>
      </c>
      <c r="O258">
        <v>3095765.7657657689</v>
      </c>
      <c r="P258">
        <v>5380450.4504504493</v>
      </c>
      <c r="Q258">
        <v>9161</v>
      </c>
      <c r="R258">
        <v>9851</v>
      </c>
    </row>
    <row r="259" spans="1:18" x14ac:dyDescent="0.35">
      <c r="A259" s="7" t="s">
        <v>355</v>
      </c>
      <c r="B259" s="12" t="s">
        <v>48</v>
      </c>
      <c r="C259">
        <v>15861987.153103139</v>
      </c>
      <c r="D259">
        <v>15136422.881670823</v>
      </c>
      <c r="G259">
        <v>1</v>
      </c>
      <c r="I259">
        <v>3</v>
      </c>
      <c r="J259">
        <v>1</v>
      </c>
      <c r="M259">
        <v>1106342.3423423429</v>
      </c>
      <c r="N259">
        <v>1350135.1351351361</v>
      </c>
      <c r="O259">
        <v>35495.495495495001</v>
      </c>
      <c r="P259">
        <v>21621.621621621998</v>
      </c>
      <c r="Q259">
        <v>5549</v>
      </c>
      <c r="R259">
        <v>5703</v>
      </c>
    </row>
    <row r="260" spans="1:18" x14ac:dyDescent="0.35">
      <c r="A260" s="7" t="s">
        <v>356</v>
      </c>
      <c r="B260" s="12" t="s">
        <v>123</v>
      </c>
      <c r="C260">
        <v>19099824.803719103</v>
      </c>
      <c r="D260">
        <v>15130977.73580192</v>
      </c>
      <c r="G260">
        <v>10</v>
      </c>
      <c r="H260">
        <v>1</v>
      </c>
      <c r="I260">
        <v>12</v>
      </c>
      <c r="J260">
        <v>1</v>
      </c>
      <c r="K260">
        <v>1127567.5675675659</v>
      </c>
      <c r="L260">
        <v>3828828.8288288289</v>
      </c>
      <c r="M260">
        <v>4193378.3783783792</v>
      </c>
      <c r="N260">
        <v>3197846.8468468459</v>
      </c>
      <c r="O260">
        <v>348198.198198197</v>
      </c>
      <c r="P260">
        <v>3997747.7477477482</v>
      </c>
      <c r="Q260">
        <v>6015</v>
      </c>
      <c r="R260">
        <v>5513</v>
      </c>
    </row>
    <row r="261" spans="1:18" x14ac:dyDescent="0.35">
      <c r="A261" s="7" t="s">
        <v>357</v>
      </c>
      <c r="B261" s="12" t="s">
        <v>62</v>
      </c>
      <c r="C261">
        <v>10426361.425900873</v>
      </c>
      <c r="D261">
        <v>9915598.2744074594</v>
      </c>
      <c r="G261">
        <v>1</v>
      </c>
      <c r="I261">
        <v>1</v>
      </c>
      <c r="K261">
        <v>2187027.0270270258</v>
      </c>
      <c r="L261">
        <v>90810.810810809999</v>
      </c>
      <c r="M261">
        <v>2685720.72072072</v>
      </c>
      <c r="N261">
        <v>2547837.8378378381</v>
      </c>
      <c r="O261">
        <v>2259189.1891891891</v>
      </c>
      <c r="P261">
        <v>661981.98198198003</v>
      </c>
      <c r="Q261">
        <v>3992</v>
      </c>
      <c r="R261">
        <v>3740</v>
      </c>
    </row>
    <row r="262" spans="1:18" x14ac:dyDescent="0.35">
      <c r="A262" s="7" t="s">
        <v>358</v>
      </c>
      <c r="B262" s="12" t="s">
        <v>315</v>
      </c>
      <c r="C262">
        <v>165834.32786044499</v>
      </c>
      <c r="D262">
        <v>8488.6845455799994</v>
      </c>
      <c r="I262">
        <v>1</v>
      </c>
      <c r="M262">
        <v>317612.61261261301</v>
      </c>
      <c r="Q262">
        <v>461</v>
      </c>
      <c r="R262">
        <v>387</v>
      </c>
    </row>
    <row r="263" spans="1:18" x14ac:dyDescent="0.35">
      <c r="A263" s="7" t="s">
        <v>359</v>
      </c>
      <c r="B263" s="12" t="s">
        <v>315</v>
      </c>
      <c r="C263">
        <v>11323942.490872862</v>
      </c>
      <c r="D263">
        <v>8641952.2449050788</v>
      </c>
      <c r="F263">
        <v>27027.027027028002</v>
      </c>
      <c r="H263">
        <v>1</v>
      </c>
      <c r="J263">
        <v>3</v>
      </c>
      <c r="L263">
        <v>27027.027027028002</v>
      </c>
      <c r="M263">
        <v>3595585.5855855858</v>
      </c>
      <c r="N263">
        <v>3548018.0180180171</v>
      </c>
      <c r="O263">
        <v>1058108.1081081079</v>
      </c>
      <c r="P263">
        <v>999999.99999999895</v>
      </c>
      <c r="Q263">
        <v>3223</v>
      </c>
      <c r="R263">
        <v>3942</v>
      </c>
    </row>
    <row r="264" spans="1:18" x14ac:dyDescent="0.35">
      <c r="A264" s="7" t="s">
        <v>360</v>
      </c>
      <c r="B264" s="12" t="s">
        <v>92</v>
      </c>
      <c r="C264">
        <v>18228666.486046668</v>
      </c>
      <c r="D264">
        <v>16842787.12619504</v>
      </c>
      <c r="E264">
        <v>138738.73873873899</v>
      </c>
      <c r="F264">
        <v>99099.099099098996</v>
      </c>
      <c r="G264">
        <v>5</v>
      </c>
      <c r="H264">
        <v>3</v>
      </c>
      <c r="I264">
        <v>9</v>
      </c>
      <c r="J264">
        <v>6</v>
      </c>
      <c r="K264">
        <v>480720.72072072403</v>
      </c>
      <c r="L264">
        <v>639639.63963963895</v>
      </c>
      <c r="M264">
        <v>4881666.666666666</v>
      </c>
      <c r="N264">
        <v>5095072.072072072</v>
      </c>
      <c r="O264">
        <v>765585.58558558905</v>
      </c>
      <c r="P264">
        <v>344954.95495495398</v>
      </c>
      <c r="Q264">
        <v>6801</v>
      </c>
      <c r="R264">
        <v>7537</v>
      </c>
    </row>
    <row r="265" spans="1:18" x14ac:dyDescent="0.35">
      <c r="A265" s="7" t="s">
        <v>361</v>
      </c>
      <c r="B265" s="12" t="s">
        <v>58</v>
      </c>
      <c r="C265">
        <v>39113656.75472977</v>
      </c>
      <c r="D265">
        <v>36455327.79178527</v>
      </c>
      <c r="E265">
        <v>1804504.5045045051</v>
      </c>
      <c r="F265">
        <v>27027.027027028002</v>
      </c>
      <c r="G265">
        <v>4</v>
      </c>
      <c r="H265">
        <v>4</v>
      </c>
      <c r="I265">
        <v>4</v>
      </c>
      <c r="J265">
        <v>6</v>
      </c>
      <c r="K265">
        <v>1804504.5045045051</v>
      </c>
      <c r="L265">
        <v>243243.24324324401</v>
      </c>
      <c r="M265">
        <v>4265360.3603603598</v>
      </c>
      <c r="N265">
        <v>5278801.8018018017</v>
      </c>
      <c r="O265">
        <v>870360.36036036001</v>
      </c>
      <c r="P265">
        <v>1048828.8288288291</v>
      </c>
      <c r="Q265">
        <v>12890</v>
      </c>
      <c r="R265">
        <v>12981</v>
      </c>
    </row>
    <row r="266" spans="1:18" x14ac:dyDescent="0.35">
      <c r="A266" s="7" t="s">
        <v>362</v>
      </c>
      <c r="B266" s="12" t="s">
        <v>48</v>
      </c>
      <c r="C266">
        <v>12328769.625534266</v>
      </c>
      <c r="D266">
        <v>11740257.365116332</v>
      </c>
      <c r="M266">
        <v>2233423.423423423</v>
      </c>
      <c r="N266">
        <v>1570225.225225226</v>
      </c>
      <c r="O266">
        <v>516576.57657657599</v>
      </c>
      <c r="P266">
        <v>375315.31531531602</v>
      </c>
      <c r="Q266">
        <v>3788</v>
      </c>
      <c r="R266">
        <v>3896</v>
      </c>
    </row>
    <row r="267" spans="1:18" x14ac:dyDescent="0.35">
      <c r="A267" s="7" t="s">
        <v>363</v>
      </c>
      <c r="B267" s="12" t="s">
        <v>52</v>
      </c>
      <c r="C267">
        <v>5132943.8438898372</v>
      </c>
      <c r="D267">
        <v>5528108.988594681</v>
      </c>
      <c r="E267">
        <v>900.900900901</v>
      </c>
      <c r="F267">
        <v>13513.513513514001</v>
      </c>
      <c r="G267">
        <v>2</v>
      </c>
      <c r="I267">
        <v>2</v>
      </c>
      <c r="J267">
        <v>1</v>
      </c>
      <c r="K267">
        <v>361261.26126126101</v>
      </c>
      <c r="L267">
        <v>294819.81981982</v>
      </c>
      <c r="M267">
        <v>2390675.6756756771</v>
      </c>
      <c r="N267">
        <v>2236486.4864864862</v>
      </c>
      <c r="O267">
        <v>150450.45045045001</v>
      </c>
      <c r="P267">
        <v>68018.018018018003</v>
      </c>
      <c r="Q267">
        <v>2389</v>
      </c>
      <c r="R267">
        <v>2387</v>
      </c>
    </row>
    <row r="268" spans="1:18" x14ac:dyDescent="0.35">
      <c r="A268" s="7" t="s">
        <v>364</v>
      </c>
      <c r="B268" s="12" t="s">
        <v>52</v>
      </c>
      <c r="C268">
        <v>3807858.9038071288</v>
      </c>
      <c r="D268">
        <v>4105911.3097142042</v>
      </c>
      <c r="E268">
        <v>900.900900901</v>
      </c>
      <c r="F268">
        <v>139639.63963964101</v>
      </c>
      <c r="G268">
        <v>1</v>
      </c>
      <c r="I268">
        <v>2</v>
      </c>
      <c r="J268">
        <v>1</v>
      </c>
      <c r="K268">
        <v>766666.66666666605</v>
      </c>
      <c r="L268">
        <v>148648.64864865001</v>
      </c>
      <c r="M268">
        <v>1910135.1351351349</v>
      </c>
      <c r="N268">
        <v>2184621.6216216208</v>
      </c>
      <c r="O268">
        <v>163153.153153152</v>
      </c>
      <c r="P268">
        <v>292612.61261261301</v>
      </c>
      <c r="Q268">
        <v>2418</v>
      </c>
      <c r="R268">
        <v>2263</v>
      </c>
    </row>
    <row r="269" spans="1:18" x14ac:dyDescent="0.35">
      <c r="A269" s="7" t="s">
        <v>365</v>
      </c>
      <c r="B269" s="12" t="s">
        <v>52</v>
      </c>
      <c r="C269">
        <v>45293758.495014414</v>
      </c>
      <c r="D269">
        <v>47848239.71319592</v>
      </c>
      <c r="E269">
        <v>57701.801801802998</v>
      </c>
      <c r="F269">
        <v>475127.927927932</v>
      </c>
      <c r="G269">
        <v>12</v>
      </c>
      <c r="H269">
        <v>21</v>
      </c>
      <c r="I269">
        <v>14</v>
      </c>
      <c r="J269">
        <v>38</v>
      </c>
      <c r="K269">
        <v>1126486.4864864859</v>
      </c>
      <c r="L269">
        <v>3171171.171171173</v>
      </c>
      <c r="M269">
        <v>13779369.369369367</v>
      </c>
      <c r="N269">
        <v>17059908.108108107</v>
      </c>
      <c r="O269">
        <v>946306.30630630604</v>
      </c>
      <c r="P269">
        <v>15639909.909909911</v>
      </c>
      <c r="Q269">
        <v>21309</v>
      </c>
      <c r="R269">
        <v>20996</v>
      </c>
    </row>
    <row r="270" spans="1:18" x14ac:dyDescent="0.35">
      <c r="A270" s="7" t="s">
        <v>366</v>
      </c>
      <c r="B270" s="12" t="s">
        <v>293</v>
      </c>
      <c r="C270">
        <v>25170000.223536145</v>
      </c>
      <c r="D270">
        <v>26367522.763548944</v>
      </c>
      <c r="F270">
        <v>193693.69369369399</v>
      </c>
      <c r="G270">
        <v>3</v>
      </c>
      <c r="H270">
        <v>3</v>
      </c>
      <c r="I270">
        <v>4</v>
      </c>
      <c r="J270">
        <v>5</v>
      </c>
      <c r="K270">
        <v>1216216.2162162149</v>
      </c>
      <c r="L270">
        <v>2626126.1261261259</v>
      </c>
      <c r="M270">
        <v>7480315.3153153146</v>
      </c>
      <c r="N270">
        <v>7878594.5945945941</v>
      </c>
      <c r="O270">
        <v>1445405.405405405</v>
      </c>
      <c r="P270">
        <v>2554234.2342342329</v>
      </c>
      <c r="Q270">
        <v>10980</v>
      </c>
      <c r="R270">
        <v>10714</v>
      </c>
    </row>
    <row r="271" spans="1:18" x14ac:dyDescent="0.35">
      <c r="A271" s="7" t="s">
        <v>367</v>
      </c>
      <c r="B271" s="12" t="s">
        <v>368</v>
      </c>
      <c r="C271">
        <v>11391319.014460208</v>
      </c>
      <c r="D271">
        <v>10657934.151440885</v>
      </c>
      <c r="E271">
        <v>1801.801801802</v>
      </c>
      <c r="G271">
        <v>1</v>
      </c>
      <c r="H271">
        <v>1</v>
      </c>
      <c r="I271">
        <v>2</v>
      </c>
      <c r="J271">
        <v>1</v>
      </c>
      <c r="K271">
        <v>1801.801801802</v>
      </c>
      <c r="L271">
        <v>766846.84684684197</v>
      </c>
      <c r="M271">
        <v>4195585.5855855839</v>
      </c>
      <c r="N271">
        <v>3807432.4324324322</v>
      </c>
      <c r="O271">
        <v>707657.65765765798</v>
      </c>
      <c r="P271">
        <v>894774.77477477002</v>
      </c>
      <c r="Q271">
        <v>4060</v>
      </c>
      <c r="R271">
        <v>3723</v>
      </c>
    </row>
    <row r="272" spans="1:18" x14ac:dyDescent="0.35">
      <c r="A272" s="7" t="s">
        <v>369</v>
      </c>
      <c r="B272" s="12" t="s">
        <v>70</v>
      </c>
      <c r="C272">
        <v>3053005.9878504449</v>
      </c>
      <c r="D272">
        <v>3504615.2008412378</v>
      </c>
      <c r="F272">
        <v>202702.70270270301</v>
      </c>
      <c r="K272">
        <v>579054.05405405397</v>
      </c>
      <c r="L272">
        <v>2721621.6216216218</v>
      </c>
      <c r="M272">
        <v>1077522.5225225231</v>
      </c>
      <c r="N272">
        <v>1106936.936936937</v>
      </c>
      <c r="O272">
        <v>362702.70270270301</v>
      </c>
      <c r="P272">
        <v>1068918.9189189191</v>
      </c>
      <c r="Q272">
        <v>1180</v>
      </c>
      <c r="R272">
        <v>1247</v>
      </c>
    </row>
    <row r="273" spans="1:18" x14ac:dyDescent="0.35">
      <c r="A273" s="7" t="s">
        <v>370</v>
      </c>
      <c r="B273" s="12" t="s">
        <v>50</v>
      </c>
      <c r="C273">
        <v>6822760.7399519728</v>
      </c>
      <c r="D273">
        <v>7289346.7409079289</v>
      </c>
      <c r="E273">
        <v>18202261.261261258</v>
      </c>
      <c r="F273">
        <v>2170330.6306306319</v>
      </c>
      <c r="K273">
        <v>75893563.06306307</v>
      </c>
      <c r="L273">
        <v>27027.027027028002</v>
      </c>
      <c r="M273">
        <v>2746666.666666667</v>
      </c>
      <c r="N273">
        <v>2585414.4144144151</v>
      </c>
      <c r="O273">
        <v>1012522.522522524</v>
      </c>
      <c r="P273">
        <v>201351.35135135101</v>
      </c>
      <c r="Q273">
        <v>2811</v>
      </c>
      <c r="R273">
        <v>2866</v>
      </c>
    </row>
    <row r="274" spans="1:18" x14ac:dyDescent="0.35">
      <c r="A274" s="7" t="s">
        <v>371</v>
      </c>
      <c r="B274" s="12" t="s">
        <v>121</v>
      </c>
      <c r="C274">
        <v>6805851.6472976906</v>
      </c>
      <c r="D274">
        <v>5681760.4120535078</v>
      </c>
      <c r="E274">
        <v>1801.801801802</v>
      </c>
      <c r="F274">
        <v>13513.513513514001</v>
      </c>
      <c r="H274">
        <v>1</v>
      </c>
      <c r="J274">
        <v>2</v>
      </c>
      <c r="K274">
        <v>1801.801801802</v>
      </c>
      <c r="L274">
        <v>842342.34234234202</v>
      </c>
      <c r="M274">
        <v>945675.67567567597</v>
      </c>
      <c r="N274">
        <v>895189.189189189</v>
      </c>
      <c r="O274">
        <v>87027.027027026998</v>
      </c>
      <c r="P274">
        <v>183783.78378378399</v>
      </c>
      <c r="Q274">
        <v>2665</v>
      </c>
      <c r="R274">
        <v>2811</v>
      </c>
    </row>
    <row r="275" spans="1:18" x14ac:dyDescent="0.35">
      <c r="A275" s="7" t="s">
        <v>372</v>
      </c>
      <c r="B275" s="12" t="s">
        <v>373</v>
      </c>
      <c r="C275">
        <v>16435086.065447606</v>
      </c>
      <c r="D275">
        <v>11882791.231320826</v>
      </c>
      <c r="E275">
        <v>19055.855855856</v>
      </c>
      <c r="F275">
        <v>175054.95495495599</v>
      </c>
      <c r="G275">
        <v>3</v>
      </c>
      <c r="H275">
        <v>3</v>
      </c>
      <c r="I275">
        <v>5</v>
      </c>
      <c r="J275">
        <v>5</v>
      </c>
      <c r="K275">
        <v>6003603.6036036042</v>
      </c>
      <c r="L275">
        <v>1310720.7207207161</v>
      </c>
      <c r="M275">
        <v>5367196.3963963939</v>
      </c>
      <c r="N275">
        <v>4553549.5495495498</v>
      </c>
      <c r="O275">
        <v>3467700.9009009008</v>
      </c>
      <c r="P275">
        <v>1517027.027027024</v>
      </c>
      <c r="Q275">
        <v>9613</v>
      </c>
      <c r="R275">
        <v>9844</v>
      </c>
    </row>
    <row r="276" spans="1:18" x14ac:dyDescent="0.35">
      <c r="A276" s="7" t="s">
        <v>374</v>
      </c>
      <c r="B276" s="12" t="s">
        <v>66</v>
      </c>
      <c r="C276">
        <v>9095400.8872547522</v>
      </c>
      <c r="D276">
        <v>10583058.77557374</v>
      </c>
      <c r="E276">
        <v>1801.801801802</v>
      </c>
      <c r="F276">
        <v>396396.39639639802</v>
      </c>
      <c r="G276">
        <v>5</v>
      </c>
      <c r="H276">
        <v>3</v>
      </c>
      <c r="I276">
        <v>7</v>
      </c>
      <c r="J276">
        <v>5</v>
      </c>
      <c r="K276">
        <v>1243243.243243241</v>
      </c>
      <c r="L276">
        <v>1447747.7477477491</v>
      </c>
      <c r="M276">
        <v>2862612.612612613</v>
      </c>
      <c r="N276">
        <v>3732783.783783786</v>
      </c>
      <c r="O276">
        <v>854594.59459459304</v>
      </c>
      <c r="P276">
        <v>692432.43243243301</v>
      </c>
      <c r="Q276">
        <v>6769</v>
      </c>
      <c r="R276">
        <v>7231</v>
      </c>
    </row>
    <row r="277" spans="1:18" x14ac:dyDescent="0.35">
      <c r="A277" s="7" t="s">
        <v>375</v>
      </c>
      <c r="B277" s="12" t="s">
        <v>354</v>
      </c>
      <c r="C277">
        <v>17253107.104979496</v>
      </c>
      <c r="D277">
        <v>15379120.8736067</v>
      </c>
      <c r="E277">
        <v>454054.05405405402</v>
      </c>
      <c r="F277">
        <v>13513.513513514001</v>
      </c>
      <c r="G277">
        <v>29</v>
      </c>
      <c r="I277">
        <v>29</v>
      </c>
      <c r="K277">
        <v>1490090.0900900899</v>
      </c>
      <c r="L277">
        <v>835135.13513513806</v>
      </c>
      <c r="M277">
        <v>9418828.8288288284</v>
      </c>
      <c r="N277">
        <v>10379198.198198197</v>
      </c>
      <c r="O277">
        <v>1451531.531531533</v>
      </c>
      <c r="P277">
        <v>2493513.5135135138</v>
      </c>
      <c r="Q277">
        <v>7131</v>
      </c>
      <c r="R277">
        <v>7016</v>
      </c>
    </row>
    <row r="278" spans="1:18" x14ac:dyDescent="0.35">
      <c r="A278" s="7" t="s">
        <v>376</v>
      </c>
      <c r="B278" s="12" t="s">
        <v>66</v>
      </c>
      <c r="C278">
        <v>5531827.022816781</v>
      </c>
      <c r="D278">
        <v>6106014.2231805399</v>
      </c>
      <c r="E278">
        <v>3603.603603604</v>
      </c>
      <c r="F278">
        <v>81081.081081081997</v>
      </c>
      <c r="G278">
        <v>1</v>
      </c>
      <c r="H278">
        <v>4</v>
      </c>
      <c r="I278">
        <v>2</v>
      </c>
      <c r="J278">
        <v>5</v>
      </c>
      <c r="K278">
        <v>230630.63063062899</v>
      </c>
      <c r="L278">
        <v>81081.081081081997</v>
      </c>
      <c r="M278">
        <v>2442612.6126126121</v>
      </c>
      <c r="N278">
        <v>3419099.0990990978</v>
      </c>
      <c r="O278">
        <v>663243.24324324203</v>
      </c>
      <c r="P278">
        <v>380180.18018018099</v>
      </c>
      <c r="Q278">
        <v>5235</v>
      </c>
      <c r="R278">
        <v>5058</v>
      </c>
    </row>
    <row r="279" spans="1:18" x14ac:dyDescent="0.35">
      <c r="A279" s="7" t="s">
        <v>377</v>
      </c>
      <c r="B279" s="12" t="s">
        <v>260</v>
      </c>
      <c r="C279">
        <v>5412447.0661604516</v>
      </c>
      <c r="D279">
        <v>4769208.1631236244</v>
      </c>
      <c r="F279">
        <v>13513.513513514001</v>
      </c>
      <c r="H279">
        <v>1</v>
      </c>
      <c r="J279">
        <v>1</v>
      </c>
      <c r="L279">
        <v>13513.513513514001</v>
      </c>
      <c r="M279">
        <v>1087117.1171171181</v>
      </c>
      <c r="N279">
        <v>736657.65765765705</v>
      </c>
      <c r="P279">
        <v>50450.45045045</v>
      </c>
      <c r="Q279">
        <v>1674</v>
      </c>
      <c r="R279">
        <v>1775</v>
      </c>
    </row>
    <row r="280" spans="1:18" x14ac:dyDescent="0.35">
      <c r="A280" s="7" t="s">
        <v>378</v>
      </c>
      <c r="B280" s="12" t="s">
        <v>354</v>
      </c>
      <c r="C280">
        <v>13960146.420721663</v>
      </c>
      <c r="D280">
        <v>12279516.225252995</v>
      </c>
      <c r="E280">
        <v>23423.423423423999</v>
      </c>
      <c r="F280">
        <v>270270.27027027</v>
      </c>
      <c r="G280">
        <v>2</v>
      </c>
      <c r="H280">
        <v>1</v>
      </c>
      <c r="I280">
        <v>2</v>
      </c>
      <c r="J280">
        <v>1</v>
      </c>
      <c r="K280">
        <v>8565765.7657657675</v>
      </c>
      <c r="L280">
        <v>2890450.4504504502</v>
      </c>
      <c r="M280">
        <v>6290585.5855855849</v>
      </c>
      <c r="N280">
        <v>7065846.8468468478</v>
      </c>
      <c r="O280">
        <v>6981261.2612612611</v>
      </c>
      <c r="P280">
        <v>2678648.648648649</v>
      </c>
      <c r="Q280">
        <v>4807</v>
      </c>
      <c r="R280">
        <v>4631</v>
      </c>
    </row>
    <row r="281" spans="1:18" x14ac:dyDescent="0.35">
      <c r="A281" s="7" t="s">
        <v>379</v>
      </c>
      <c r="B281" s="12" t="s">
        <v>87</v>
      </c>
      <c r="C281">
        <v>289673.89545172098</v>
      </c>
      <c r="D281">
        <v>420149.198979543</v>
      </c>
      <c r="M281">
        <v>6081.0810810809999</v>
      </c>
      <c r="N281">
        <v>41891.891891892003</v>
      </c>
      <c r="Q281">
        <v>147</v>
      </c>
      <c r="R281">
        <v>214</v>
      </c>
    </row>
    <row r="282" spans="1:18" x14ac:dyDescent="0.35">
      <c r="A282" s="7" t="s">
        <v>380</v>
      </c>
      <c r="B282" s="12" t="s">
        <v>87</v>
      </c>
      <c r="C282">
        <v>467605.24216691102</v>
      </c>
      <c r="D282">
        <v>737882.88227740501</v>
      </c>
      <c r="G282">
        <v>1</v>
      </c>
      <c r="I282">
        <v>2</v>
      </c>
      <c r="M282">
        <v>88063.063063063004</v>
      </c>
      <c r="Q282">
        <v>293</v>
      </c>
      <c r="R282">
        <v>355</v>
      </c>
    </row>
    <row r="283" spans="1:18" x14ac:dyDescent="0.35">
      <c r="A283" s="7" t="s">
        <v>381</v>
      </c>
      <c r="B283" s="12" t="s">
        <v>80</v>
      </c>
      <c r="C283">
        <v>91446198.32261689</v>
      </c>
      <c r="D283">
        <v>85655118.8508095</v>
      </c>
      <c r="E283">
        <v>285589443.24324322</v>
      </c>
      <c r="F283">
        <v>985621.62162162503</v>
      </c>
      <c r="G283">
        <v>11</v>
      </c>
      <c r="H283">
        <v>8</v>
      </c>
      <c r="I283">
        <v>22</v>
      </c>
      <c r="J283">
        <v>18</v>
      </c>
      <c r="K283">
        <v>14821621.621621616</v>
      </c>
      <c r="L283">
        <v>16144144.144144144</v>
      </c>
      <c r="M283">
        <v>22829538.738738742</v>
      </c>
      <c r="N283">
        <v>22037846.846846849</v>
      </c>
      <c r="O283">
        <v>11083333.333333332</v>
      </c>
      <c r="P283">
        <v>10440540.540540542</v>
      </c>
      <c r="Q283">
        <v>36644</v>
      </c>
      <c r="R283">
        <v>37196</v>
      </c>
    </row>
    <row r="284" spans="1:18" x14ac:dyDescent="0.35">
      <c r="A284" s="7" t="s">
        <v>382</v>
      </c>
      <c r="B284" s="12" t="s">
        <v>80</v>
      </c>
      <c r="C284">
        <v>24724981.207839359</v>
      </c>
      <c r="D284">
        <v>23957681.963761341</v>
      </c>
      <c r="E284">
        <v>135135.135135135</v>
      </c>
      <c r="F284">
        <v>234234.23423423601</v>
      </c>
      <c r="G284">
        <v>1</v>
      </c>
      <c r="H284">
        <v>2</v>
      </c>
      <c r="I284">
        <v>1</v>
      </c>
      <c r="J284">
        <v>3</v>
      </c>
      <c r="K284">
        <v>3569369.3693693681</v>
      </c>
      <c r="L284">
        <v>10074774.774774777</v>
      </c>
      <c r="M284">
        <v>9869900.9009009004</v>
      </c>
      <c r="N284">
        <v>9766664.8648648635</v>
      </c>
      <c r="O284">
        <v>4169819.8198198201</v>
      </c>
      <c r="P284">
        <v>3085448.648648649</v>
      </c>
      <c r="Q284">
        <v>9891</v>
      </c>
      <c r="R284">
        <v>9837</v>
      </c>
    </row>
    <row r="285" spans="1:18" x14ac:dyDescent="0.35">
      <c r="A285" s="7" t="s">
        <v>383</v>
      </c>
      <c r="B285" s="12" t="s">
        <v>80</v>
      </c>
      <c r="C285">
        <v>33426187.142063815</v>
      </c>
      <c r="D285">
        <v>29189810.507529441</v>
      </c>
      <c r="E285">
        <v>1801.801801802</v>
      </c>
      <c r="F285">
        <v>40540.540540540998</v>
      </c>
      <c r="G285">
        <v>6</v>
      </c>
      <c r="H285">
        <v>2</v>
      </c>
      <c r="I285">
        <v>8</v>
      </c>
      <c r="J285">
        <v>2</v>
      </c>
      <c r="K285">
        <v>1801.801801802</v>
      </c>
      <c r="L285">
        <v>207207.207207208</v>
      </c>
      <c r="M285">
        <v>6065045.0450450452</v>
      </c>
      <c r="N285">
        <v>5199243.2432432426</v>
      </c>
      <c r="O285">
        <v>1007387.387387387</v>
      </c>
      <c r="P285">
        <v>1664594.594594596</v>
      </c>
      <c r="Q285">
        <v>9920</v>
      </c>
      <c r="R285">
        <v>9126</v>
      </c>
    </row>
    <row r="286" spans="1:18" x14ac:dyDescent="0.35">
      <c r="A286" s="7" t="s">
        <v>384</v>
      </c>
      <c r="B286" s="12" t="s">
        <v>68</v>
      </c>
      <c r="C286">
        <v>13102760.851959366</v>
      </c>
      <c r="D286">
        <v>13362517.872849397</v>
      </c>
      <c r="E286">
        <v>71917.117117116999</v>
      </c>
      <c r="F286">
        <v>598075.67567567597</v>
      </c>
      <c r="G286">
        <v>3</v>
      </c>
      <c r="H286">
        <v>1</v>
      </c>
      <c r="I286">
        <v>6</v>
      </c>
      <c r="J286">
        <v>1</v>
      </c>
      <c r="K286">
        <v>900.900900901</v>
      </c>
      <c r="L286">
        <v>659459.45945945999</v>
      </c>
      <c r="M286">
        <v>1469864.8648648639</v>
      </c>
      <c r="N286">
        <v>2688108.1081081079</v>
      </c>
      <c r="O286">
        <v>199099.09909909801</v>
      </c>
      <c r="P286">
        <v>911891.891891893</v>
      </c>
      <c r="Q286">
        <v>4932</v>
      </c>
      <c r="R286">
        <v>4876</v>
      </c>
    </row>
    <row r="287" spans="1:18" x14ac:dyDescent="0.35">
      <c r="A287" s="7" t="s">
        <v>385</v>
      </c>
      <c r="B287" s="12" t="s">
        <v>167</v>
      </c>
      <c r="C287">
        <v>5000552.3026072662</v>
      </c>
      <c r="D287">
        <v>5285887.8765431456</v>
      </c>
      <c r="E287">
        <v>900.900900901</v>
      </c>
      <c r="H287">
        <v>2</v>
      </c>
      <c r="I287">
        <v>2</v>
      </c>
      <c r="J287">
        <v>2</v>
      </c>
      <c r="K287">
        <v>900.900900901</v>
      </c>
      <c r="L287">
        <v>470270.27027027297</v>
      </c>
      <c r="M287">
        <v>1916036.036036036</v>
      </c>
      <c r="N287">
        <v>2141657.6576576582</v>
      </c>
      <c r="O287">
        <v>1030000</v>
      </c>
      <c r="P287">
        <v>662252.25225225498</v>
      </c>
      <c r="Q287">
        <v>2460</v>
      </c>
      <c r="R287">
        <v>2464</v>
      </c>
    </row>
    <row r="288" spans="1:18" x14ac:dyDescent="0.35">
      <c r="A288" s="7" t="s">
        <v>386</v>
      </c>
      <c r="B288" s="12" t="s">
        <v>94</v>
      </c>
      <c r="C288">
        <v>25622538.133914139</v>
      </c>
      <c r="D288">
        <v>29546349.028118908</v>
      </c>
      <c r="E288">
        <v>900.900900901</v>
      </c>
      <c r="F288">
        <v>40540.540540540998</v>
      </c>
      <c r="G288">
        <v>1</v>
      </c>
      <c r="H288">
        <v>5</v>
      </c>
      <c r="I288">
        <v>1</v>
      </c>
      <c r="J288">
        <v>11</v>
      </c>
      <c r="K288">
        <v>901801.80180180201</v>
      </c>
      <c r="L288">
        <v>4418918.9189189188</v>
      </c>
      <c r="M288">
        <v>2865360.3603603612</v>
      </c>
      <c r="N288">
        <v>3914549.5495495498</v>
      </c>
      <c r="O288">
        <v>725045.04504504404</v>
      </c>
      <c r="P288">
        <v>5099099.0990990978</v>
      </c>
      <c r="Q288">
        <v>8310</v>
      </c>
      <c r="R288">
        <v>9112</v>
      </c>
    </row>
    <row r="289" spans="1:18" x14ac:dyDescent="0.35">
      <c r="A289" s="7" t="s">
        <v>387</v>
      </c>
      <c r="B289" s="12" t="s">
        <v>214</v>
      </c>
      <c r="C289">
        <v>3464747.0142184771</v>
      </c>
      <c r="D289">
        <v>4402086.683926845</v>
      </c>
      <c r="G289">
        <v>2</v>
      </c>
      <c r="H289">
        <v>1</v>
      </c>
      <c r="I289">
        <v>3</v>
      </c>
      <c r="J289">
        <v>1</v>
      </c>
      <c r="M289">
        <v>2465450.4504504502</v>
      </c>
      <c r="N289">
        <v>2298198.1981981979</v>
      </c>
      <c r="Q289">
        <v>2261</v>
      </c>
      <c r="R289">
        <v>2288</v>
      </c>
    </row>
    <row r="290" spans="1:18" x14ac:dyDescent="0.35">
      <c r="A290" s="7" t="s">
        <v>388</v>
      </c>
      <c r="B290" s="12" t="s">
        <v>117</v>
      </c>
      <c r="C290">
        <v>2181150.547751497</v>
      </c>
      <c r="D290">
        <v>1494582.642276821</v>
      </c>
      <c r="E290">
        <v>900.900900901</v>
      </c>
      <c r="F290">
        <v>13513.513513514001</v>
      </c>
      <c r="G290">
        <v>1</v>
      </c>
      <c r="I290">
        <v>1</v>
      </c>
      <c r="J290">
        <v>1</v>
      </c>
      <c r="K290">
        <v>900.900900901</v>
      </c>
      <c r="L290">
        <v>644144.14414414403</v>
      </c>
      <c r="M290">
        <v>809099.09909909905</v>
      </c>
      <c r="N290">
        <v>774603.60360360402</v>
      </c>
      <c r="P290">
        <v>482432.43243243202</v>
      </c>
      <c r="Q290">
        <v>1945</v>
      </c>
      <c r="R290">
        <v>1703</v>
      </c>
    </row>
    <row r="291" spans="1:18" x14ac:dyDescent="0.35">
      <c r="A291" s="7" t="s">
        <v>389</v>
      </c>
      <c r="B291" s="12" t="s">
        <v>315</v>
      </c>
      <c r="C291">
        <v>8886603.2683366947</v>
      </c>
      <c r="D291">
        <v>8683619.8595035803</v>
      </c>
      <c r="E291">
        <v>1081981.981981982</v>
      </c>
      <c r="G291">
        <v>2</v>
      </c>
      <c r="H291">
        <v>1</v>
      </c>
      <c r="I291">
        <v>2</v>
      </c>
      <c r="J291">
        <v>1</v>
      </c>
      <c r="K291">
        <v>1081981.981981982</v>
      </c>
      <c r="M291">
        <v>1498738.7387387389</v>
      </c>
      <c r="N291">
        <v>1958468.4684684691</v>
      </c>
      <c r="O291">
        <v>61261.261261261003</v>
      </c>
      <c r="Q291">
        <v>2625</v>
      </c>
      <c r="R291">
        <v>2723</v>
      </c>
    </row>
    <row r="292" spans="1:18" x14ac:dyDescent="0.35">
      <c r="A292" s="7" t="s">
        <v>390</v>
      </c>
      <c r="B292" s="12" t="s">
        <v>224</v>
      </c>
      <c r="C292">
        <v>4046879.4684746182</v>
      </c>
      <c r="D292">
        <v>4448438.718837779</v>
      </c>
      <c r="G292">
        <v>1</v>
      </c>
      <c r="I292">
        <v>1</v>
      </c>
      <c r="M292">
        <v>838558.55855855905</v>
      </c>
      <c r="N292">
        <v>591306.30630630604</v>
      </c>
      <c r="Q292">
        <v>1428</v>
      </c>
      <c r="R292">
        <v>1435</v>
      </c>
    </row>
    <row r="293" spans="1:18" x14ac:dyDescent="0.35">
      <c r="A293" s="7" t="s">
        <v>6</v>
      </c>
      <c r="B293" s="12" t="s">
        <v>193</v>
      </c>
      <c r="C293">
        <v>34294172.64090962</v>
      </c>
      <c r="D293">
        <v>30898812.108272817</v>
      </c>
      <c r="E293">
        <v>1801.801801802</v>
      </c>
      <c r="F293">
        <v>27027.027027028002</v>
      </c>
      <c r="G293">
        <v>6</v>
      </c>
      <c r="H293">
        <v>1</v>
      </c>
      <c r="I293">
        <v>85</v>
      </c>
      <c r="J293">
        <v>1</v>
      </c>
      <c r="K293">
        <v>5899099.0990991006</v>
      </c>
      <c r="L293">
        <v>12675675.675675675</v>
      </c>
      <c r="M293">
        <v>20972792.792792793</v>
      </c>
      <c r="N293">
        <v>20882576.576576576</v>
      </c>
      <c r="O293">
        <v>7182702.7027027039</v>
      </c>
      <c r="P293">
        <v>14237927.927927934</v>
      </c>
      <c r="Q293">
        <v>13595</v>
      </c>
      <c r="R293">
        <v>12864</v>
      </c>
    </row>
    <row r="294" spans="1:18" x14ac:dyDescent="0.35">
      <c r="A294" s="7" t="s">
        <v>391</v>
      </c>
      <c r="B294" s="12" t="s">
        <v>121</v>
      </c>
      <c r="C294">
        <v>1485475.8680976541</v>
      </c>
      <c r="D294">
        <v>1271643.0421391199</v>
      </c>
      <c r="G294">
        <v>1</v>
      </c>
      <c r="H294">
        <v>1</v>
      </c>
      <c r="I294">
        <v>1</v>
      </c>
      <c r="J294">
        <v>1</v>
      </c>
      <c r="M294">
        <v>37612.612612612997</v>
      </c>
      <c r="N294">
        <v>28378.378378378002</v>
      </c>
      <c r="Q294">
        <v>522</v>
      </c>
      <c r="R294">
        <v>517</v>
      </c>
    </row>
    <row r="295" spans="1:18" x14ac:dyDescent="0.35">
      <c r="A295" s="7" t="s">
        <v>392</v>
      </c>
      <c r="B295" s="12" t="s">
        <v>134</v>
      </c>
      <c r="C295">
        <v>3632478.5144441519</v>
      </c>
      <c r="D295">
        <v>4266757.8778243084</v>
      </c>
      <c r="F295">
        <v>13513.513513514001</v>
      </c>
      <c r="G295">
        <v>1</v>
      </c>
      <c r="H295">
        <v>2</v>
      </c>
      <c r="I295">
        <v>2</v>
      </c>
      <c r="J295">
        <v>2</v>
      </c>
      <c r="K295">
        <v>585585.58558558498</v>
      </c>
      <c r="L295">
        <v>283783.78378378402</v>
      </c>
      <c r="M295">
        <v>1222070.270270271</v>
      </c>
      <c r="N295">
        <v>484099.099099099</v>
      </c>
      <c r="O295">
        <v>61261.261261261003</v>
      </c>
      <c r="P295">
        <v>38738.738738738997</v>
      </c>
      <c r="Q295">
        <v>3491</v>
      </c>
      <c r="R295">
        <v>4317</v>
      </c>
    </row>
    <row r="296" spans="1:18" x14ac:dyDescent="0.35">
      <c r="A296" s="7" t="s">
        <v>393</v>
      </c>
      <c r="B296" s="12" t="s">
        <v>58</v>
      </c>
      <c r="C296">
        <v>23042371.034239579</v>
      </c>
      <c r="D296">
        <v>22457714.346486542</v>
      </c>
      <c r="E296">
        <v>1851351.351351351</v>
      </c>
      <c r="F296">
        <v>135135.135135135</v>
      </c>
      <c r="G296">
        <v>5</v>
      </c>
      <c r="H296">
        <v>1</v>
      </c>
      <c r="I296">
        <v>10</v>
      </c>
      <c r="J296">
        <v>2</v>
      </c>
      <c r="K296">
        <v>1851351.351351351</v>
      </c>
      <c r="L296">
        <v>405405.40540540498</v>
      </c>
      <c r="M296">
        <v>3320621.6216216218</v>
      </c>
      <c r="N296">
        <v>2845306.3063063058</v>
      </c>
      <c r="O296">
        <v>1324504.504504503</v>
      </c>
      <c r="P296">
        <v>2408828.828828827</v>
      </c>
      <c r="Q296">
        <v>8973</v>
      </c>
      <c r="R296">
        <v>9200</v>
      </c>
    </row>
    <row r="297" spans="1:18" x14ac:dyDescent="0.35">
      <c r="A297" s="7" t="s">
        <v>394</v>
      </c>
      <c r="B297" s="12" t="s">
        <v>134</v>
      </c>
      <c r="C297">
        <v>6323505.6717925696</v>
      </c>
      <c r="D297">
        <v>7203232.1753243487</v>
      </c>
      <c r="F297">
        <v>13513.513513514001</v>
      </c>
      <c r="I297">
        <v>1</v>
      </c>
      <c r="J297">
        <v>1</v>
      </c>
      <c r="K297">
        <v>315315.31531531498</v>
      </c>
      <c r="L297">
        <v>1995495.4954954961</v>
      </c>
      <c r="M297">
        <v>1026306.306306306</v>
      </c>
      <c r="N297">
        <v>1566711.711711711</v>
      </c>
      <c r="O297">
        <v>189369.36936936999</v>
      </c>
      <c r="P297">
        <v>483423.42342342401</v>
      </c>
      <c r="Q297">
        <v>3885</v>
      </c>
      <c r="R297">
        <v>4021</v>
      </c>
    </row>
    <row r="298" spans="1:18" x14ac:dyDescent="0.35">
      <c r="A298" s="7" t="s">
        <v>395</v>
      </c>
      <c r="B298" s="12" t="s">
        <v>54</v>
      </c>
      <c r="C298">
        <v>3393491.3050207398</v>
      </c>
      <c r="D298">
        <v>3210031.0341896061</v>
      </c>
      <c r="J298">
        <v>1</v>
      </c>
      <c r="K298">
        <v>450450.45045045001</v>
      </c>
      <c r="L298">
        <v>135135.135135135</v>
      </c>
      <c r="M298">
        <v>445045.04504504497</v>
      </c>
      <c r="N298">
        <v>596846.84684684698</v>
      </c>
      <c r="O298">
        <v>93693.693693693</v>
      </c>
      <c r="P298">
        <v>36036.036036035999</v>
      </c>
      <c r="Q298">
        <v>1662</v>
      </c>
      <c r="R298">
        <v>1501</v>
      </c>
    </row>
    <row r="299" spans="1:18" x14ac:dyDescent="0.35">
      <c r="A299" s="7" t="s">
        <v>396</v>
      </c>
      <c r="B299" s="12" t="s">
        <v>397</v>
      </c>
      <c r="C299">
        <v>23630426.564287711</v>
      </c>
      <c r="D299">
        <v>22341696.205549546</v>
      </c>
      <c r="E299">
        <v>139639.63963963999</v>
      </c>
      <c r="F299">
        <v>40540.540540540998</v>
      </c>
      <c r="G299">
        <v>3</v>
      </c>
      <c r="H299">
        <v>3</v>
      </c>
      <c r="I299">
        <v>7</v>
      </c>
      <c r="J299">
        <v>5</v>
      </c>
      <c r="K299">
        <v>1664864.8648648639</v>
      </c>
      <c r="L299">
        <v>2748198.1981982011</v>
      </c>
      <c r="M299">
        <v>3963018.018018018</v>
      </c>
      <c r="N299">
        <v>3190171.1711711721</v>
      </c>
      <c r="O299">
        <v>1536666.666666667</v>
      </c>
      <c r="P299">
        <v>1354234.2342342371</v>
      </c>
      <c r="Q299">
        <v>9513</v>
      </c>
      <c r="R299">
        <v>9198</v>
      </c>
    </row>
    <row r="300" spans="1:18" x14ac:dyDescent="0.35">
      <c r="A300" s="7" t="s">
        <v>398</v>
      </c>
      <c r="B300" s="12" t="s">
        <v>399</v>
      </c>
      <c r="C300">
        <v>28017890.698795967</v>
      </c>
      <c r="D300">
        <v>24834714.709654313</v>
      </c>
      <c r="E300">
        <v>77955.855855856003</v>
      </c>
      <c r="F300">
        <v>1142245.045045045</v>
      </c>
      <c r="G300">
        <v>4</v>
      </c>
      <c r="H300">
        <v>2</v>
      </c>
      <c r="I300">
        <v>6</v>
      </c>
      <c r="J300">
        <v>4</v>
      </c>
      <c r="K300">
        <v>864414.41441441502</v>
      </c>
      <c r="L300">
        <v>1571396.396396396</v>
      </c>
      <c r="M300">
        <v>4796666.666666667</v>
      </c>
      <c r="N300">
        <v>4484981.9819819843</v>
      </c>
      <c r="O300">
        <v>1450630.6306306331</v>
      </c>
      <c r="P300">
        <v>869909.90990990901</v>
      </c>
      <c r="Q300">
        <v>11614</v>
      </c>
      <c r="R300">
        <v>11251</v>
      </c>
    </row>
    <row r="301" spans="1:18" x14ac:dyDescent="0.35">
      <c r="A301" s="7" t="s">
        <v>400</v>
      </c>
      <c r="B301" s="12" t="s">
        <v>140</v>
      </c>
      <c r="C301">
        <v>8700602.6712262463</v>
      </c>
      <c r="D301">
        <v>8045719.829133274</v>
      </c>
      <c r="E301">
        <v>272972.97297297302</v>
      </c>
      <c r="F301">
        <v>54054.054054054999</v>
      </c>
      <c r="G301">
        <v>2</v>
      </c>
      <c r="H301">
        <v>2</v>
      </c>
      <c r="I301">
        <v>5</v>
      </c>
      <c r="J301">
        <v>2</v>
      </c>
      <c r="K301">
        <v>281981.98198198201</v>
      </c>
      <c r="L301">
        <v>54054.054054054999</v>
      </c>
      <c r="M301">
        <v>2025945.945945947</v>
      </c>
      <c r="N301">
        <v>2029729.729729729</v>
      </c>
      <c r="O301">
        <v>847117.11711711599</v>
      </c>
      <c r="P301">
        <v>827747.74774774804</v>
      </c>
      <c r="Q301">
        <v>3335</v>
      </c>
      <c r="R301">
        <v>3130</v>
      </c>
    </row>
    <row r="302" spans="1:18" x14ac:dyDescent="0.35">
      <c r="A302" s="7" t="s">
        <v>401</v>
      </c>
      <c r="B302" s="12" t="s">
        <v>121</v>
      </c>
      <c r="C302">
        <v>2867982.8015884352</v>
      </c>
      <c r="D302">
        <v>1260341.9274574739</v>
      </c>
      <c r="I302">
        <v>1</v>
      </c>
      <c r="M302">
        <v>141891.89189189201</v>
      </c>
      <c r="N302">
        <v>163288.28828828799</v>
      </c>
      <c r="O302">
        <v>55135.135135135002</v>
      </c>
      <c r="P302">
        <v>29729.729729729999</v>
      </c>
      <c r="Q302">
        <v>1097</v>
      </c>
      <c r="R302">
        <v>1034</v>
      </c>
    </row>
    <row r="303" spans="1:18" x14ac:dyDescent="0.35">
      <c r="A303" s="7" t="s">
        <v>402</v>
      </c>
      <c r="B303" s="12" t="s">
        <v>290</v>
      </c>
      <c r="C303">
        <v>4765679.162170684</v>
      </c>
      <c r="D303">
        <v>3443403.672712198</v>
      </c>
      <c r="E303">
        <v>2702.7027027029999</v>
      </c>
      <c r="F303">
        <v>13513.513513514001</v>
      </c>
      <c r="G303">
        <v>6</v>
      </c>
      <c r="I303">
        <v>6</v>
      </c>
      <c r="J303">
        <v>1</v>
      </c>
      <c r="K303">
        <v>227927.92792792799</v>
      </c>
      <c r="L303">
        <v>103603.603603604</v>
      </c>
      <c r="M303">
        <v>879189.189189189</v>
      </c>
      <c r="N303">
        <v>416765.76576576597</v>
      </c>
      <c r="O303">
        <v>322162.16216216102</v>
      </c>
      <c r="P303">
        <v>455225.22522522399</v>
      </c>
      <c r="Q303">
        <v>1655</v>
      </c>
      <c r="R303">
        <v>1593</v>
      </c>
    </row>
    <row r="304" spans="1:18" x14ac:dyDescent="0.35">
      <c r="A304" s="7" t="s">
        <v>403</v>
      </c>
      <c r="B304" s="12" t="s">
        <v>121</v>
      </c>
      <c r="C304">
        <v>3833303.1242325762</v>
      </c>
      <c r="D304">
        <v>3855017.3459788058</v>
      </c>
      <c r="G304">
        <v>1</v>
      </c>
      <c r="I304">
        <v>1</v>
      </c>
      <c r="M304">
        <v>305630.630630631</v>
      </c>
      <c r="N304">
        <v>189009.00900900899</v>
      </c>
      <c r="Q304">
        <v>1049</v>
      </c>
      <c r="R304">
        <v>1068</v>
      </c>
    </row>
    <row r="305" spans="1:18" x14ac:dyDescent="0.35">
      <c r="A305" s="7" t="s">
        <v>404</v>
      </c>
      <c r="B305" s="12" t="s">
        <v>368</v>
      </c>
      <c r="C305">
        <v>8836571.3735904228</v>
      </c>
      <c r="D305">
        <v>8201103.2073909417</v>
      </c>
      <c r="E305">
        <v>18997.297297296998</v>
      </c>
      <c r="F305">
        <v>282268.468468468</v>
      </c>
      <c r="G305">
        <v>1</v>
      </c>
      <c r="H305">
        <v>1</v>
      </c>
      <c r="I305">
        <v>1</v>
      </c>
      <c r="J305">
        <v>2</v>
      </c>
      <c r="L305">
        <v>1710270.2702702661</v>
      </c>
      <c r="M305">
        <v>2819189.1891891891</v>
      </c>
      <c r="N305">
        <v>2922936.9369369368</v>
      </c>
      <c r="O305">
        <v>183333.33333333401</v>
      </c>
      <c r="P305">
        <v>1710270.2702702661</v>
      </c>
      <c r="Q305">
        <v>4397</v>
      </c>
      <c r="R305">
        <v>4126</v>
      </c>
    </row>
    <row r="306" spans="1:18" x14ac:dyDescent="0.35">
      <c r="A306" s="7" t="s">
        <v>405</v>
      </c>
      <c r="B306" s="12" t="s">
        <v>140</v>
      </c>
      <c r="C306">
        <v>4791560.1759755192</v>
      </c>
      <c r="D306">
        <v>4119666.524936127</v>
      </c>
      <c r="F306">
        <v>13513.513513514001</v>
      </c>
      <c r="H306">
        <v>1</v>
      </c>
      <c r="J306">
        <v>1</v>
      </c>
      <c r="K306">
        <v>54504.504504504999</v>
      </c>
      <c r="L306">
        <v>171846.84684684701</v>
      </c>
      <c r="M306">
        <v>1017927.927927928</v>
      </c>
      <c r="N306">
        <v>834378.37837837799</v>
      </c>
      <c r="O306">
        <v>313963.96396396402</v>
      </c>
      <c r="P306">
        <v>178648.648648648</v>
      </c>
      <c r="Q306">
        <v>1484</v>
      </c>
      <c r="R306">
        <v>1470</v>
      </c>
    </row>
    <row r="307" spans="1:18" x14ac:dyDescent="0.35">
      <c r="A307" s="7" t="s">
        <v>406</v>
      </c>
      <c r="B307" s="12" t="s">
        <v>54</v>
      </c>
      <c r="C307">
        <v>5865043.4291442744</v>
      </c>
      <c r="D307">
        <v>5920903.8795761354</v>
      </c>
      <c r="E307">
        <v>900.900900901</v>
      </c>
      <c r="F307">
        <v>162162.162162163</v>
      </c>
      <c r="G307">
        <v>2</v>
      </c>
      <c r="H307">
        <v>5</v>
      </c>
      <c r="I307">
        <v>2</v>
      </c>
      <c r="J307">
        <v>21</v>
      </c>
      <c r="K307">
        <v>541441.441441442</v>
      </c>
      <c r="L307">
        <v>342342.34234234301</v>
      </c>
      <c r="M307">
        <v>1496216.2162162149</v>
      </c>
      <c r="N307">
        <v>1639225.2252252251</v>
      </c>
      <c r="O307">
        <v>536936.93693693704</v>
      </c>
      <c r="P307">
        <v>837837.83783783799</v>
      </c>
      <c r="Q307">
        <v>2212</v>
      </c>
      <c r="R307">
        <v>2390</v>
      </c>
    </row>
    <row r="308" spans="1:18" x14ac:dyDescent="0.35">
      <c r="A308" s="7" t="s">
        <v>407</v>
      </c>
      <c r="B308" s="12" t="s">
        <v>134</v>
      </c>
      <c r="C308">
        <v>2023851.8226986381</v>
      </c>
      <c r="D308">
        <v>2342541.0390647729</v>
      </c>
      <c r="L308">
        <v>756756.75675675704</v>
      </c>
      <c r="M308">
        <v>262882.88288288203</v>
      </c>
      <c r="N308">
        <v>82657.657657657997</v>
      </c>
      <c r="O308">
        <v>79099.099099098996</v>
      </c>
      <c r="P308">
        <v>72072.072072071998</v>
      </c>
      <c r="Q308">
        <v>942</v>
      </c>
      <c r="R308">
        <v>972</v>
      </c>
    </row>
    <row r="309" spans="1:18" x14ac:dyDescent="0.35">
      <c r="A309" s="7" t="s">
        <v>408</v>
      </c>
      <c r="B309" s="12" t="s">
        <v>290</v>
      </c>
      <c r="C309">
        <v>1710536.3095430729</v>
      </c>
      <c r="D309">
        <v>1594396.3263481089</v>
      </c>
      <c r="E309">
        <v>3603.603603604</v>
      </c>
      <c r="F309">
        <v>13513.513513514001</v>
      </c>
      <c r="G309">
        <v>1</v>
      </c>
      <c r="H309">
        <v>2</v>
      </c>
      <c r="I309">
        <v>1</v>
      </c>
      <c r="J309">
        <v>2</v>
      </c>
      <c r="K309">
        <v>3603.603603604</v>
      </c>
      <c r="L309">
        <v>13513.513513514001</v>
      </c>
      <c r="M309">
        <v>212882.88288288299</v>
      </c>
      <c r="N309">
        <v>167117.11711711701</v>
      </c>
      <c r="O309">
        <v>128378.37837837799</v>
      </c>
      <c r="P309">
        <v>41441.441441440998</v>
      </c>
      <c r="Q309">
        <v>887</v>
      </c>
      <c r="R309">
        <v>911</v>
      </c>
    </row>
    <row r="310" spans="1:18" x14ac:dyDescent="0.35">
      <c r="A310" s="7" t="s">
        <v>409</v>
      </c>
      <c r="B310" s="12" t="s">
        <v>178</v>
      </c>
      <c r="C310">
        <v>24162120.130092632</v>
      </c>
      <c r="D310">
        <v>22300951.358456902</v>
      </c>
      <c r="E310">
        <v>1801.801801802</v>
      </c>
      <c r="F310">
        <v>40540.540540540998</v>
      </c>
      <c r="G310">
        <v>3</v>
      </c>
      <c r="H310">
        <v>1</v>
      </c>
      <c r="I310">
        <v>4</v>
      </c>
      <c r="J310">
        <v>1</v>
      </c>
      <c r="K310">
        <v>1082882.8828828831</v>
      </c>
      <c r="L310">
        <v>1010360.360360362</v>
      </c>
      <c r="M310">
        <v>8061711.7117117131</v>
      </c>
      <c r="N310">
        <v>7148684.6846846854</v>
      </c>
      <c r="O310">
        <v>2135855.855855857</v>
      </c>
      <c r="P310">
        <v>590810.81081081298</v>
      </c>
      <c r="Q310">
        <v>9714</v>
      </c>
      <c r="R310">
        <v>10048</v>
      </c>
    </row>
    <row r="311" spans="1:18" x14ac:dyDescent="0.35">
      <c r="A311" s="7" t="s">
        <v>663</v>
      </c>
      <c r="B311" s="12" t="s">
        <v>87</v>
      </c>
      <c r="Q311">
        <v>1</v>
      </c>
    </row>
    <row r="312" spans="1:18" x14ac:dyDescent="0.35">
      <c r="A312" s="7" t="s">
        <v>410</v>
      </c>
      <c r="B312" s="12" t="s">
        <v>54</v>
      </c>
      <c r="C312">
        <v>46912438.152960166</v>
      </c>
      <c r="D312">
        <v>47437639.551036961</v>
      </c>
      <c r="E312">
        <v>466994.59459459601</v>
      </c>
      <c r="F312">
        <v>461946.84684684803</v>
      </c>
      <c r="G312">
        <v>1</v>
      </c>
      <c r="H312">
        <v>7</v>
      </c>
      <c r="I312">
        <v>7</v>
      </c>
      <c r="J312">
        <v>11</v>
      </c>
      <c r="K312">
        <v>3351351.3513513519</v>
      </c>
      <c r="L312">
        <v>1527027.0270270279</v>
      </c>
      <c r="M312">
        <v>8894099.0990991015</v>
      </c>
      <c r="N312">
        <v>8712576.5765765756</v>
      </c>
      <c r="O312">
        <v>1998198.1981981981</v>
      </c>
      <c r="P312">
        <v>2270090.0900900909</v>
      </c>
      <c r="Q312">
        <v>18951</v>
      </c>
      <c r="R312">
        <v>19656</v>
      </c>
    </row>
    <row r="313" spans="1:18" x14ac:dyDescent="0.35">
      <c r="A313" s="7" t="s">
        <v>411</v>
      </c>
      <c r="B313" s="12" t="s">
        <v>224</v>
      </c>
      <c r="C313">
        <v>26780072.76170427</v>
      </c>
      <c r="D313">
        <v>23576824.221788198</v>
      </c>
      <c r="E313">
        <v>2702.7027027029999</v>
      </c>
      <c r="F313">
        <v>135135.13513513701</v>
      </c>
      <c r="G313">
        <v>4</v>
      </c>
      <c r="H313">
        <v>7</v>
      </c>
      <c r="I313">
        <v>6</v>
      </c>
      <c r="J313">
        <v>15</v>
      </c>
      <c r="K313">
        <v>453153.15315315302</v>
      </c>
      <c r="L313">
        <v>4549549.5495495507</v>
      </c>
      <c r="M313">
        <v>6513468.4684684686</v>
      </c>
      <c r="N313">
        <v>11547944.144144144</v>
      </c>
      <c r="O313">
        <v>1681801.801801801</v>
      </c>
      <c r="P313">
        <v>5059142.3423423404</v>
      </c>
      <c r="Q313">
        <v>13665</v>
      </c>
      <c r="R313">
        <v>17490</v>
      </c>
    </row>
    <row r="314" spans="1:18" x14ac:dyDescent="0.35">
      <c r="A314" s="7" t="s">
        <v>412</v>
      </c>
      <c r="B314" s="12" t="s">
        <v>413</v>
      </c>
      <c r="C314">
        <v>8289075.6893538386</v>
      </c>
      <c r="D314">
        <v>8195671.7643803498</v>
      </c>
      <c r="K314">
        <v>1127927.9279279259</v>
      </c>
      <c r="M314">
        <v>3457459.4594594599</v>
      </c>
      <c r="N314">
        <v>2819108.1081081079</v>
      </c>
      <c r="O314">
        <v>686036.03603603505</v>
      </c>
      <c r="P314">
        <v>41891.891891892003</v>
      </c>
      <c r="Q314">
        <v>4101</v>
      </c>
      <c r="R314">
        <v>3972</v>
      </c>
    </row>
    <row r="315" spans="1:18" x14ac:dyDescent="0.35">
      <c r="A315" s="7" t="s">
        <v>414</v>
      </c>
      <c r="B315" s="12" t="s">
        <v>214</v>
      </c>
      <c r="C315">
        <v>52938631.972660109</v>
      </c>
      <c r="D315">
        <v>51245145.850714751</v>
      </c>
      <c r="E315">
        <v>348770.27027027099</v>
      </c>
      <c r="F315">
        <v>628954.95495495503</v>
      </c>
      <c r="G315">
        <v>13</v>
      </c>
      <c r="H315">
        <v>4</v>
      </c>
      <c r="I315">
        <v>20</v>
      </c>
      <c r="J315">
        <v>11</v>
      </c>
      <c r="K315">
        <v>5781351.3513513552</v>
      </c>
      <c r="L315">
        <v>4620180.1801801762</v>
      </c>
      <c r="M315">
        <v>20670711.711711712</v>
      </c>
      <c r="N315">
        <v>21847918.918918919</v>
      </c>
      <c r="O315">
        <v>5075495.4954954972</v>
      </c>
      <c r="P315">
        <v>6341711.7117117085</v>
      </c>
      <c r="Q315">
        <v>24160</v>
      </c>
      <c r="R315">
        <v>23329</v>
      </c>
    </row>
    <row r="316" spans="1:18" x14ac:dyDescent="0.35">
      <c r="A316" s="7" t="s">
        <v>415</v>
      </c>
      <c r="B316" s="12" t="s">
        <v>413</v>
      </c>
      <c r="C316">
        <v>4648224.9486152688</v>
      </c>
      <c r="D316">
        <v>4867408.7809596732</v>
      </c>
      <c r="F316">
        <v>54054.054054054002</v>
      </c>
      <c r="G316">
        <v>3</v>
      </c>
      <c r="H316">
        <v>1</v>
      </c>
      <c r="I316">
        <v>3</v>
      </c>
      <c r="J316">
        <v>2</v>
      </c>
      <c r="K316">
        <v>4912432.4324324299</v>
      </c>
      <c r="L316">
        <v>774774.77477477503</v>
      </c>
      <c r="M316">
        <v>1490810.8108108109</v>
      </c>
      <c r="N316">
        <v>1573333.333333334</v>
      </c>
      <c r="O316">
        <v>994864.86486486404</v>
      </c>
      <c r="P316">
        <v>513963.96396396402</v>
      </c>
      <c r="Q316">
        <v>3056</v>
      </c>
      <c r="R316">
        <v>2987</v>
      </c>
    </row>
    <row r="317" spans="1:18" x14ac:dyDescent="0.35">
      <c r="A317" s="7" t="s">
        <v>416</v>
      </c>
      <c r="B317" s="12" t="s">
        <v>236</v>
      </c>
      <c r="C317">
        <v>35368790.946017332</v>
      </c>
      <c r="D317">
        <v>35217543.284403615</v>
      </c>
      <c r="E317">
        <v>900.900900901</v>
      </c>
      <c r="G317">
        <v>1</v>
      </c>
      <c r="H317">
        <v>1</v>
      </c>
      <c r="I317">
        <v>4</v>
      </c>
      <c r="J317">
        <v>7</v>
      </c>
      <c r="K317">
        <v>10449549.549549552</v>
      </c>
      <c r="L317">
        <v>3913873.8738738731</v>
      </c>
      <c r="M317">
        <v>8900990.9909909908</v>
      </c>
      <c r="N317">
        <v>8186297.2972972961</v>
      </c>
      <c r="O317">
        <v>7112702.7027027057</v>
      </c>
      <c r="P317">
        <v>3417477.4774774769</v>
      </c>
      <c r="Q317">
        <v>10803</v>
      </c>
      <c r="R317">
        <v>10443</v>
      </c>
    </row>
    <row r="318" spans="1:18" x14ac:dyDescent="0.35">
      <c r="A318" s="7" t="s">
        <v>417</v>
      </c>
      <c r="B318" s="12" t="s">
        <v>117</v>
      </c>
      <c r="C318">
        <v>35365029.333907515</v>
      </c>
      <c r="D318">
        <v>30955475.837568194</v>
      </c>
      <c r="E318">
        <v>83057.657657659001</v>
      </c>
      <c r="F318">
        <v>215670.270270273</v>
      </c>
      <c r="G318">
        <v>8</v>
      </c>
      <c r="H318">
        <v>7</v>
      </c>
      <c r="I318">
        <v>21</v>
      </c>
      <c r="J318">
        <v>12</v>
      </c>
      <c r="K318">
        <v>6309549.5495495442</v>
      </c>
      <c r="L318">
        <v>9343243.2432432435</v>
      </c>
      <c r="M318">
        <v>14094369.369369367</v>
      </c>
      <c r="N318">
        <v>15065846.846846849</v>
      </c>
      <c r="O318">
        <v>4422432.4324324308</v>
      </c>
      <c r="P318">
        <v>6622522.5225225259</v>
      </c>
      <c r="Q318">
        <v>17710</v>
      </c>
      <c r="R318">
        <v>17344</v>
      </c>
    </row>
    <row r="319" spans="1:18" x14ac:dyDescent="0.35">
      <c r="A319" s="7" t="s">
        <v>418</v>
      </c>
      <c r="B319" s="12" t="s">
        <v>147</v>
      </c>
      <c r="C319">
        <v>977765.31082291703</v>
      </c>
      <c r="D319">
        <v>747998.572229855</v>
      </c>
      <c r="M319">
        <v>218693.693693693</v>
      </c>
      <c r="N319">
        <v>209819.81981982</v>
      </c>
      <c r="Q319">
        <v>516</v>
      </c>
      <c r="R319">
        <v>463</v>
      </c>
    </row>
    <row r="320" spans="1:18" x14ac:dyDescent="0.35">
      <c r="A320" s="7" t="s">
        <v>419</v>
      </c>
      <c r="B320" s="12" t="s">
        <v>304</v>
      </c>
      <c r="C320">
        <v>9091673.5937292557</v>
      </c>
      <c r="D320">
        <v>8109477.9176356085</v>
      </c>
      <c r="E320">
        <v>900.900900901</v>
      </c>
      <c r="F320">
        <v>27027.027027028002</v>
      </c>
      <c r="G320">
        <v>1</v>
      </c>
      <c r="H320">
        <v>3</v>
      </c>
      <c r="I320">
        <v>2</v>
      </c>
      <c r="J320">
        <v>3</v>
      </c>
      <c r="K320">
        <v>901801.80180180096</v>
      </c>
      <c r="L320">
        <v>1832432.4324324329</v>
      </c>
      <c r="M320">
        <v>1320585.5855855851</v>
      </c>
      <c r="N320">
        <v>1265801.8018018019</v>
      </c>
      <c r="O320">
        <v>990450.450450451</v>
      </c>
      <c r="P320">
        <v>1400540.5405405399</v>
      </c>
      <c r="Q320">
        <v>2424</v>
      </c>
      <c r="R320">
        <v>2253</v>
      </c>
    </row>
    <row r="321" spans="1:18" x14ac:dyDescent="0.35">
      <c r="A321" s="7" t="s">
        <v>420</v>
      </c>
      <c r="B321" s="12" t="s">
        <v>304</v>
      </c>
      <c r="C321">
        <v>9678334.1899552979</v>
      </c>
      <c r="D321">
        <v>9344200.7816147823</v>
      </c>
      <c r="E321">
        <v>3603.603603604</v>
      </c>
      <c r="F321">
        <v>27027.027027028002</v>
      </c>
      <c r="G321">
        <v>5</v>
      </c>
      <c r="H321">
        <v>1</v>
      </c>
      <c r="I321">
        <v>7</v>
      </c>
      <c r="J321">
        <v>5</v>
      </c>
      <c r="K321">
        <v>1264864.8648648639</v>
      </c>
      <c r="L321">
        <v>4897297.297297298</v>
      </c>
      <c r="M321">
        <v>1549279.2792792809</v>
      </c>
      <c r="N321">
        <v>1705405.405405405</v>
      </c>
      <c r="O321">
        <v>911891.891891893</v>
      </c>
      <c r="P321">
        <v>626936.93693693704</v>
      </c>
      <c r="Q321">
        <v>3042</v>
      </c>
      <c r="R321">
        <v>2967</v>
      </c>
    </row>
    <row r="322" spans="1:18" x14ac:dyDescent="0.35">
      <c r="A322" s="7" t="s">
        <v>421</v>
      </c>
      <c r="B322" s="12" t="s">
        <v>121</v>
      </c>
      <c r="C322">
        <v>802276.79717101296</v>
      </c>
      <c r="D322">
        <v>288315.031858559</v>
      </c>
      <c r="N322">
        <v>6081.0810810809999</v>
      </c>
      <c r="Q322">
        <v>335</v>
      </c>
      <c r="R322">
        <v>275</v>
      </c>
    </row>
    <row r="323" spans="1:18" x14ac:dyDescent="0.35">
      <c r="A323" s="7" t="s">
        <v>422</v>
      </c>
      <c r="B323" s="12" t="s">
        <v>60</v>
      </c>
      <c r="C323">
        <v>4800313.8233460533</v>
      </c>
      <c r="D323">
        <v>4867315.514317818</v>
      </c>
      <c r="G323">
        <v>1</v>
      </c>
      <c r="H323">
        <v>1</v>
      </c>
      <c r="I323">
        <v>2</v>
      </c>
      <c r="J323">
        <v>1</v>
      </c>
      <c r="K323">
        <v>1264864.8648648639</v>
      </c>
      <c r="L323">
        <v>999999.99999999895</v>
      </c>
      <c r="M323">
        <v>1142432.432432432</v>
      </c>
      <c r="N323">
        <v>1796882.8828828831</v>
      </c>
      <c r="O323">
        <v>107477.477477477</v>
      </c>
      <c r="P323">
        <v>500450.45045045001</v>
      </c>
      <c r="Q323">
        <v>2080</v>
      </c>
      <c r="R323">
        <v>2240</v>
      </c>
    </row>
    <row r="324" spans="1:18" x14ac:dyDescent="0.35">
      <c r="A324" s="7" t="s">
        <v>423</v>
      </c>
      <c r="B324" s="12" t="s">
        <v>181</v>
      </c>
      <c r="C324">
        <v>42977566.20222535</v>
      </c>
      <c r="D324">
        <v>40687337.620415203</v>
      </c>
      <c r="E324">
        <v>9009.0090090100002</v>
      </c>
      <c r="F324">
        <v>121621.621621624</v>
      </c>
      <c r="G324">
        <v>11</v>
      </c>
      <c r="H324">
        <v>9</v>
      </c>
      <c r="I324">
        <v>20</v>
      </c>
      <c r="J324">
        <v>15</v>
      </c>
      <c r="K324">
        <v>2267927.9279279248</v>
      </c>
      <c r="L324">
        <v>11842342.342342339</v>
      </c>
      <c r="M324">
        <v>12320846.846846847</v>
      </c>
      <c r="N324">
        <v>11643738.738738738</v>
      </c>
      <c r="O324">
        <v>3768918.918918916</v>
      </c>
      <c r="P324">
        <v>11119009.009009004</v>
      </c>
      <c r="Q324">
        <v>21298</v>
      </c>
      <c r="R324">
        <v>22270</v>
      </c>
    </row>
    <row r="325" spans="1:18" x14ac:dyDescent="0.35">
      <c r="A325" s="7" t="s">
        <v>424</v>
      </c>
      <c r="B325" s="12" t="s">
        <v>76</v>
      </c>
      <c r="C325">
        <v>2333572.624073667</v>
      </c>
      <c r="D325">
        <v>1643976.8808105909</v>
      </c>
      <c r="M325">
        <v>254279.279279279</v>
      </c>
      <c r="N325">
        <v>80855.855855856003</v>
      </c>
      <c r="O325">
        <v>204234.234234234</v>
      </c>
      <c r="P325">
        <v>148558.558558558</v>
      </c>
      <c r="Q325">
        <v>932</v>
      </c>
      <c r="R325">
        <v>876</v>
      </c>
    </row>
    <row r="326" spans="1:18" x14ac:dyDescent="0.35">
      <c r="A326" s="7" t="s">
        <v>425</v>
      </c>
      <c r="B326" s="12" t="s">
        <v>76</v>
      </c>
      <c r="C326">
        <v>5714879.2523787683</v>
      </c>
      <c r="D326">
        <v>5975205.9162004981</v>
      </c>
      <c r="E326">
        <v>900.900900901</v>
      </c>
      <c r="G326">
        <v>2</v>
      </c>
      <c r="H326">
        <v>1</v>
      </c>
      <c r="I326">
        <v>2</v>
      </c>
      <c r="J326">
        <v>1</v>
      </c>
      <c r="K326">
        <v>136036.03603603601</v>
      </c>
      <c r="L326">
        <v>2001801.801801801</v>
      </c>
      <c r="M326">
        <v>1375990.990990991</v>
      </c>
      <c r="N326">
        <v>1145540.5405405411</v>
      </c>
      <c r="O326">
        <v>221801.80180180099</v>
      </c>
      <c r="P326">
        <v>993963.96396396495</v>
      </c>
      <c r="Q326">
        <v>1495</v>
      </c>
      <c r="R326">
        <v>1476</v>
      </c>
    </row>
    <row r="327" spans="1:18" x14ac:dyDescent="0.35">
      <c r="A327" s="7" t="s">
        <v>426</v>
      </c>
      <c r="B327" s="12" t="s">
        <v>330</v>
      </c>
      <c r="C327">
        <v>27670347.849044368</v>
      </c>
      <c r="D327">
        <v>25905029.150295865</v>
      </c>
      <c r="E327">
        <v>183783.78378378399</v>
      </c>
      <c r="F327">
        <v>351351.35135135398</v>
      </c>
      <c r="G327">
        <v>3</v>
      </c>
      <c r="H327">
        <v>5</v>
      </c>
      <c r="I327">
        <v>10</v>
      </c>
      <c r="J327">
        <v>8</v>
      </c>
      <c r="K327">
        <v>1138738.738738738</v>
      </c>
      <c r="L327">
        <v>351351.35135135398</v>
      </c>
      <c r="M327">
        <v>4679819.8198198201</v>
      </c>
      <c r="N327">
        <v>4268801.8018018017</v>
      </c>
      <c r="O327">
        <v>565225.22522522602</v>
      </c>
      <c r="P327">
        <v>1300180.1801801799</v>
      </c>
      <c r="Q327">
        <v>11674</v>
      </c>
      <c r="R327">
        <v>11680</v>
      </c>
    </row>
    <row r="328" spans="1:18" x14ac:dyDescent="0.35">
      <c r="A328" s="7" t="s">
        <v>427</v>
      </c>
      <c r="B328" s="12" t="s">
        <v>241</v>
      </c>
      <c r="C328">
        <v>6337457.0605445057</v>
      </c>
      <c r="D328">
        <v>6533779.6711412948</v>
      </c>
      <c r="G328">
        <v>1</v>
      </c>
      <c r="I328">
        <v>1</v>
      </c>
      <c r="K328">
        <v>437837.83783784002</v>
      </c>
      <c r="M328">
        <v>1964594.594594595</v>
      </c>
      <c r="N328">
        <v>2518108.1081081089</v>
      </c>
      <c r="O328">
        <v>519369.36936937203</v>
      </c>
      <c r="P328">
        <v>184234.234234234</v>
      </c>
      <c r="Q328">
        <v>5334</v>
      </c>
      <c r="R328">
        <v>5980</v>
      </c>
    </row>
    <row r="329" spans="1:18" x14ac:dyDescent="0.35">
      <c r="A329" s="7" t="s">
        <v>428</v>
      </c>
      <c r="B329" s="12" t="s">
        <v>283</v>
      </c>
      <c r="C329">
        <v>2273363.866091636</v>
      </c>
      <c r="D329">
        <v>3524676.9633206059</v>
      </c>
      <c r="F329">
        <v>148648.64864865001</v>
      </c>
      <c r="G329">
        <v>1</v>
      </c>
      <c r="I329">
        <v>1</v>
      </c>
      <c r="J329">
        <v>15</v>
      </c>
      <c r="L329">
        <v>148648.64864865001</v>
      </c>
      <c r="M329">
        <v>418963.96396396402</v>
      </c>
      <c r="N329">
        <v>1342027.027027027</v>
      </c>
      <c r="O329">
        <v>84684.684684684995</v>
      </c>
      <c r="Q329">
        <v>1062</v>
      </c>
      <c r="R329">
        <v>1311</v>
      </c>
    </row>
    <row r="330" spans="1:18" x14ac:dyDescent="0.35">
      <c r="A330" s="7" t="s">
        <v>429</v>
      </c>
      <c r="B330" s="12" t="s">
        <v>283</v>
      </c>
      <c r="C330">
        <v>637650.92772473895</v>
      </c>
      <c r="D330">
        <v>961571.499483858</v>
      </c>
      <c r="F330">
        <v>27027.027027027001</v>
      </c>
      <c r="L330">
        <v>27027.027027027001</v>
      </c>
      <c r="M330">
        <v>56306.306306306004</v>
      </c>
      <c r="N330">
        <v>16396.396396396001</v>
      </c>
      <c r="Q330">
        <v>496</v>
      </c>
      <c r="R330">
        <v>476</v>
      </c>
    </row>
    <row r="331" spans="1:18" x14ac:dyDescent="0.35">
      <c r="A331" s="7" t="s">
        <v>430</v>
      </c>
      <c r="B331" s="12" t="s">
        <v>283</v>
      </c>
      <c r="C331">
        <v>1287025.2255090009</v>
      </c>
      <c r="D331">
        <v>1968420.8876269751</v>
      </c>
      <c r="F331">
        <v>90090.090090090001</v>
      </c>
      <c r="G331">
        <v>1</v>
      </c>
      <c r="I331">
        <v>1</v>
      </c>
      <c r="L331">
        <v>180180.18018018</v>
      </c>
      <c r="M331">
        <v>85675.675675674996</v>
      </c>
      <c r="N331">
        <v>269144.14414414502</v>
      </c>
      <c r="P331">
        <v>90090.090090090001</v>
      </c>
      <c r="Q331">
        <v>767</v>
      </c>
      <c r="R331">
        <v>809</v>
      </c>
    </row>
    <row r="332" spans="1:18" x14ac:dyDescent="0.35">
      <c r="A332" s="7" t="s">
        <v>431</v>
      </c>
      <c r="B332" s="12" t="s">
        <v>78</v>
      </c>
      <c r="C332">
        <v>12092420.751646236</v>
      </c>
      <c r="D332">
        <v>12940480.949393867</v>
      </c>
      <c r="E332">
        <v>141441.441441442</v>
      </c>
      <c r="F332">
        <v>130630.630630631</v>
      </c>
      <c r="G332">
        <v>1</v>
      </c>
      <c r="I332">
        <v>1</v>
      </c>
      <c r="J332">
        <v>1</v>
      </c>
      <c r="K332">
        <v>186486.486486487</v>
      </c>
      <c r="L332">
        <v>1166666.666666666</v>
      </c>
      <c r="M332">
        <v>4621306.3063063072</v>
      </c>
      <c r="N332">
        <v>4918954.9549549557</v>
      </c>
      <c r="O332">
        <v>623873.87387387396</v>
      </c>
      <c r="P332">
        <v>833873.87387387699</v>
      </c>
      <c r="Q332">
        <v>6332</v>
      </c>
      <c r="R332">
        <v>6690</v>
      </c>
    </row>
    <row r="333" spans="1:18" x14ac:dyDescent="0.35">
      <c r="A333" s="7" t="s">
        <v>432</v>
      </c>
      <c r="B333" s="12" t="s">
        <v>105</v>
      </c>
      <c r="C333">
        <v>8896724.8534841947</v>
      </c>
      <c r="D333">
        <v>10169244.088459142</v>
      </c>
      <c r="H333">
        <v>1</v>
      </c>
      <c r="I333">
        <v>1</v>
      </c>
      <c r="J333">
        <v>2</v>
      </c>
      <c r="K333">
        <v>3499099.0990990968</v>
      </c>
      <c r="L333">
        <v>675675.67567567597</v>
      </c>
      <c r="M333">
        <v>1778018.018018018</v>
      </c>
      <c r="N333">
        <v>2209090.0900900899</v>
      </c>
      <c r="O333">
        <v>277927.92792792799</v>
      </c>
      <c r="P333">
        <v>1591171.1711711721</v>
      </c>
      <c r="Q333">
        <v>3618</v>
      </c>
      <c r="R333">
        <v>3621</v>
      </c>
    </row>
    <row r="334" spans="1:18" x14ac:dyDescent="0.35">
      <c r="A334" s="7" t="s">
        <v>433</v>
      </c>
      <c r="B334" s="12" t="s">
        <v>72</v>
      </c>
      <c r="C334">
        <v>52422209.900199004</v>
      </c>
      <c r="D334">
        <v>52632379.788748786</v>
      </c>
      <c r="E334">
        <v>9909.9099099110008</v>
      </c>
      <c r="F334">
        <v>126126.126126127</v>
      </c>
      <c r="G334">
        <v>11</v>
      </c>
      <c r="H334">
        <v>6</v>
      </c>
      <c r="I334">
        <v>23</v>
      </c>
      <c r="J334">
        <v>7</v>
      </c>
      <c r="K334">
        <v>9854054.0540540535</v>
      </c>
      <c r="L334">
        <v>9115990.9909909889</v>
      </c>
      <c r="M334">
        <v>10932790.990990993</v>
      </c>
      <c r="N334">
        <v>10381675.675675673</v>
      </c>
      <c r="O334">
        <v>6920000</v>
      </c>
      <c r="P334">
        <v>8566036.0360360406</v>
      </c>
      <c r="Q334">
        <v>18272</v>
      </c>
      <c r="R334">
        <v>17843</v>
      </c>
    </row>
    <row r="335" spans="1:18" x14ac:dyDescent="0.35">
      <c r="A335" s="7" t="s">
        <v>434</v>
      </c>
      <c r="B335" s="12" t="s">
        <v>72</v>
      </c>
      <c r="C335">
        <v>35954894.145674363</v>
      </c>
      <c r="D335">
        <v>38882063.089242212</v>
      </c>
      <c r="E335">
        <v>2702.7027027029999</v>
      </c>
      <c r="F335">
        <v>337837.83783783799</v>
      </c>
      <c r="G335">
        <v>3</v>
      </c>
      <c r="H335">
        <v>11</v>
      </c>
      <c r="I335">
        <v>4</v>
      </c>
      <c r="J335">
        <v>15</v>
      </c>
      <c r="K335">
        <v>4148648.6486486481</v>
      </c>
      <c r="L335">
        <v>448648.64864865103</v>
      </c>
      <c r="M335">
        <v>6621216.2162162177</v>
      </c>
      <c r="N335">
        <v>8083774.774774774</v>
      </c>
      <c r="O335">
        <v>2286936.9369369368</v>
      </c>
      <c r="P335">
        <v>3375315.3153153211</v>
      </c>
      <c r="Q335">
        <v>13547</v>
      </c>
      <c r="R335">
        <v>13830</v>
      </c>
    </row>
    <row r="336" spans="1:18" x14ac:dyDescent="0.35">
      <c r="A336" s="7" t="s">
        <v>435</v>
      </c>
      <c r="B336" s="12" t="s">
        <v>94</v>
      </c>
      <c r="C336">
        <v>2699170.3919831011</v>
      </c>
      <c r="D336">
        <v>2384754.1245101169</v>
      </c>
      <c r="G336">
        <v>2</v>
      </c>
      <c r="I336">
        <v>2</v>
      </c>
      <c r="M336">
        <v>356486.48648648598</v>
      </c>
      <c r="N336">
        <v>748198.19819819799</v>
      </c>
      <c r="Q336">
        <v>901</v>
      </c>
      <c r="R336">
        <v>904</v>
      </c>
    </row>
    <row r="337" spans="1:18" x14ac:dyDescent="0.35">
      <c r="A337" s="7" t="s">
        <v>436</v>
      </c>
      <c r="B337" s="12" t="s">
        <v>89</v>
      </c>
      <c r="C337">
        <v>15198758.547446782</v>
      </c>
      <c r="D337">
        <v>15204190.830441143</v>
      </c>
      <c r="F337">
        <v>54054.054054054999</v>
      </c>
      <c r="G337">
        <v>1</v>
      </c>
      <c r="H337">
        <v>5</v>
      </c>
      <c r="I337">
        <v>1</v>
      </c>
      <c r="J337">
        <v>5</v>
      </c>
      <c r="K337">
        <v>90090.090090090001</v>
      </c>
      <c r="L337">
        <v>954954.95495495596</v>
      </c>
      <c r="M337">
        <v>6667027.0270270258</v>
      </c>
      <c r="N337">
        <v>5801180.180180179</v>
      </c>
      <c r="O337">
        <v>1734774.774774773</v>
      </c>
      <c r="P337">
        <v>1177837.8378378381</v>
      </c>
      <c r="Q337">
        <v>5496</v>
      </c>
      <c r="R337">
        <v>5924</v>
      </c>
    </row>
    <row r="338" spans="1:18" x14ac:dyDescent="0.35">
      <c r="A338" s="7" t="s">
        <v>437</v>
      </c>
      <c r="B338" s="12" t="s">
        <v>70</v>
      </c>
      <c r="C338">
        <v>534532.83622989</v>
      </c>
      <c r="D338">
        <v>423873.62421038799</v>
      </c>
      <c r="G338">
        <v>1</v>
      </c>
      <c r="H338">
        <v>1</v>
      </c>
      <c r="I338">
        <v>1</v>
      </c>
      <c r="J338">
        <v>1</v>
      </c>
      <c r="M338">
        <v>143423.42342342401</v>
      </c>
      <c r="N338">
        <v>239279.279279279</v>
      </c>
      <c r="Q338">
        <v>1216</v>
      </c>
      <c r="R338">
        <v>1122</v>
      </c>
    </row>
    <row r="339" spans="1:18" x14ac:dyDescent="0.35">
      <c r="A339" s="7" t="s">
        <v>438</v>
      </c>
      <c r="B339" s="12" t="s">
        <v>195</v>
      </c>
      <c r="C339">
        <v>64726304.445870057</v>
      </c>
      <c r="D339">
        <v>59965875.320821978</v>
      </c>
      <c r="E339">
        <v>30596145.045045044</v>
      </c>
      <c r="F339">
        <v>401168.46846847102</v>
      </c>
      <c r="G339">
        <v>10</v>
      </c>
      <c r="H339">
        <v>5</v>
      </c>
      <c r="I339">
        <v>15</v>
      </c>
      <c r="J339">
        <v>20</v>
      </c>
      <c r="K339">
        <v>3860360.3603603588</v>
      </c>
      <c r="L339">
        <v>7752252.2522522537</v>
      </c>
      <c r="M339">
        <v>10084936.936936935</v>
      </c>
      <c r="N339">
        <v>8942423.4234234244</v>
      </c>
      <c r="O339">
        <v>5694324.3243243229</v>
      </c>
      <c r="P339">
        <v>3138558.558558559</v>
      </c>
      <c r="Q339">
        <v>21291</v>
      </c>
      <c r="R339">
        <v>20198</v>
      </c>
    </row>
    <row r="340" spans="1:18" x14ac:dyDescent="0.35">
      <c r="A340" s="7" t="s">
        <v>439</v>
      </c>
      <c r="B340" s="12" t="s">
        <v>178</v>
      </c>
      <c r="C340">
        <v>31956336.747269653</v>
      </c>
      <c r="D340">
        <v>32773269.960905593</v>
      </c>
      <c r="E340">
        <v>2702.7027027029999</v>
      </c>
      <c r="F340">
        <v>117117.117117117</v>
      </c>
      <c r="G340">
        <v>2</v>
      </c>
      <c r="H340">
        <v>3</v>
      </c>
      <c r="I340">
        <v>2</v>
      </c>
      <c r="J340">
        <v>4</v>
      </c>
      <c r="K340">
        <v>6870090.0900900904</v>
      </c>
      <c r="L340">
        <v>1753603.6036036049</v>
      </c>
      <c r="M340">
        <v>11306126.126126125</v>
      </c>
      <c r="N340">
        <v>11457981.981981982</v>
      </c>
      <c r="O340">
        <v>4704684.6846846836</v>
      </c>
      <c r="P340">
        <v>4669639.6396396402</v>
      </c>
      <c r="Q340">
        <v>14843</v>
      </c>
      <c r="R340">
        <v>14554</v>
      </c>
    </row>
    <row r="341" spans="1:18" x14ac:dyDescent="0.35">
      <c r="A341" s="7" t="s">
        <v>440</v>
      </c>
      <c r="B341" s="12" t="s">
        <v>78</v>
      </c>
      <c r="C341">
        <v>14417916.900708135</v>
      </c>
      <c r="D341">
        <v>14497955.628741616</v>
      </c>
      <c r="E341">
        <v>137837.83783783799</v>
      </c>
      <c r="F341">
        <v>310810.81081081199</v>
      </c>
      <c r="G341">
        <v>2</v>
      </c>
      <c r="H341">
        <v>2</v>
      </c>
      <c r="I341">
        <v>4</v>
      </c>
      <c r="J341">
        <v>4</v>
      </c>
      <c r="K341">
        <v>948648.64864864806</v>
      </c>
      <c r="L341">
        <v>1941441.4414414419</v>
      </c>
      <c r="M341">
        <v>2814729.7297297288</v>
      </c>
      <c r="N341">
        <v>2363612.612612613</v>
      </c>
      <c r="O341">
        <v>832162.16216216399</v>
      </c>
      <c r="P341">
        <v>1732342.3423423429</v>
      </c>
      <c r="Q341">
        <v>4916</v>
      </c>
      <c r="R341">
        <v>4663</v>
      </c>
    </row>
    <row r="342" spans="1:18" x14ac:dyDescent="0.35">
      <c r="A342" s="7" t="s">
        <v>441</v>
      </c>
      <c r="B342" s="12" t="s">
        <v>78</v>
      </c>
      <c r="C342">
        <v>6328911.9321178924</v>
      </c>
      <c r="D342">
        <v>6026393.4942784533</v>
      </c>
      <c r="E342">
        <v>6306.3063063070003</v>
      </c>
      <c r="F342">
        <v>13513.513513514001</v>
      </c>
      <c r="G342">
        <v>3</v>
      </c>
      <c r="H342">
        <v>1</v>
      </c>
      <c r="I342">
        <v>3</v>
      </c>
      <c r="J342">
        <v>2</v>
      </c>
      <c r="K342">
        <v>6306.3063063070003</v>
      </c>
      <c r="L342">
        <v>689189.189189189</v>
      </c>
      <c r="M342">
        <v>1115270.2702702701</v>
      </c>
      <c r="N342">
        <v>1485684.684684685</v>
      </c>
      <c r="O342">
        <v>600900.90090090001</v>
      </c>
      <c r="P342">
        <v>346486.48648648697</v>
      </c>
      <c r="Q342">
        <v>2391</v>
      </c>
      <c r="R342">
        <v>2259</v>
      </c>
    </row>
    <row r="343" spans="1:18" x14ac:dyDescent="0.35">
      <c r="A343" s="7" t="s">
        <v>442</v>
      </c>
      <c r="B343" s="12" t="s">
        <v>123</v>
      </c>
      <c r="C343">
        <v>91085.572769614999</v>
      </c>
      <c r="D343">
        <v>101694.0358884</v>
      </c>
      <c r="M343">
        <v>14414.414414413999</v>
      </c>
      <c r="N343">
        <v>81306.306306305996</v>
      </c>
      <c r="Q343">
        <v>377</v>
      </c>
      <c r="R343">
        <v>344</v>
      </c>
    </row>
    <row r="344" spans="1:18" x14ac:dyDescent="0.35">
      <c r="A344" s="7" t="s">
        <v>443</v>
      </c>
      <c r="B344" s="12" t="s">
        <v>140</v>
      </c>
      <c r="C344">
        <v>14527686.868358675</v>
      </c>
      <c r="D344">
        <v>14220589.034054872</v>
      </c>
      <c r="F344">
        <v>13513.513513514001</v>
      </c>
      <c r="G344">
        <v>1</v>
      </c>
      <c r="H344">
        <v>2</v>
      </c>
      <c r="I344">
        <v>2</v>
      </c>
      <c r="J344">
        <v>3</v>
      </c>
      <c r="K344">
        <v>1257207.2072072059</v>
      </c>
      <c r="L344">
        <v>4701801.8018017979</v>
      </c>
      <c r="M344">
        <v>3102252.2522522518</v>
      </c>
      <c r="N344">
        <v>4517918.9189189188</v>
      </c>
      <c r="O344">
        <v>1423243.2432432419</v>
      </c>
      <c r="P344">
        <v>1489279.279279277</v>
      </c>
      <c r="Q344">
        <v>5598</v>
      </c>
      <c r="R344">
        <v>5529</v>
      </c>
    </row>
    <row r="345" spans="1:18" x14ac:dyDescent="0.35">
      <c r="A345" s="7" t="s">
        <v>444</v>
      </c>
      <c r="B345" s="12" t="s">
        <v>76</v>
      </c>
      <c r="C345">
        <v>1777153.591928072</v>
      </c>
      <c r="D345">
        <v>1893056.951689004</v>
      </c>
      <c r="E345">
        <v>1801.801801802</v>
      </c>
      <c r="G345">
        <v>1</v>
      </c>
      <c r="I345">
        <v>1</v>
      </c>
      <c r="K345">
        <v>3190990.9909909908</v>
      </c>
      <c r="L345">
        <v>450450.45045045001</v>
      </c>
      <c r="M345">
        <v>525450.45045044995</v>
      </c>
      <c r="N345">
        <v>300945.94594594598</v>
      </c>
      <c r="O345">
        <v>775495.49549549597</v>
      </c>
      <c r="P345">
        <v>626576.57657657599</v>
      </c>
      <c r="Q345">
        <v>645</v>
      </c>
      <c r="R345">
        <v>576</v>
      </c>
    </row>
    <row r="346" spans="1:18" x14ac:dyDescent="0.35">
      <c r="A346" s="7" t="s">
        <v>445</v>
      </c>
      <c r="B346" s="12" t="s">
        <v>89</v>
      </c>
      <c r="C346">
        <v>44726112.150239609</v>
      </c>
      <c r="D346">
        <v>45686955.372498162</v>
      </c>
      <c r="E346">
        <v>126107.207207207</v>
      </c>
      <c r="F346">
        <v>264321.621621623</v>
      </c>
      <c r="G346">
        <v>5</v>
      </c>
      <c r="H346">
        <v>5</v>
      </c>
      <c r="I346">
        <v>6</v>
      </c>
      <c r="J346">
        <v>9</v>
      </c>
      <c r="K346">
        <v>3659459.4594594561</v>
      </c>
      <c r="L346">
        <v>4100900.900900898</v>
      </c>
      <c r="M346">
        <v>10613018.01801802</v>
      </c>
      <c r="N346">
        <v>12974800</v>
      </c>
      <c r="O346">
        <v>4414054.0540540516</v>
      </c>
      <c r="P346">
        <v>3862072.072072072</v>
      </c>
      <c r="Q346">
        <v>16530</v>
      </c>
      <c r="R346">
        <v>15951</v>
      </c>
    </row>
    <row r="347" spans="1:18" x14ac:dyDescent="0.35">
      <c r="A347" s="7" t="s">
        <v>446</v>
      </c>
      <c r="B347" s="12" t="s">
        <v>48</v>
      </c>
      <c r="C347">
        <v>4146267.041929367</v>
      </c>
      <c r="D347">
        <v>4513594.7674913174</v>
      </c>
      <c r="E347">
        <v>18109355.855855856</v>
      </c>
      <c r="F347">
        <v>722422.52252252295</v>
      </c>
      <c r="K347">
        <v>160810.810810811</v>
      </c>
      <c r="L347">
        <v>802252.25225225196</v>
      </c>
      <c r="M347">
        <v>1143063.063063063</v>
      </c>
      <c r="N347">
        <v>1338153.1531531529</v>
      </c>
      <c r="O347">
        <v>7207.2072072069996</v>
      </c>
      <c r="Q347">
        <v>1105</v>
      </c>
      <c r="R347">
        <v>1057</v>
      </c>
    </row>
    <row r="348" spans="1:18" x14ac:dyDescent="0.35">
      <c r="A348" s="7" t="s">
        <v>447</v>
      </c>
      <c r="B348" s="12" t="s">
        <v>448</v>
      </c>
      <c r="C348">
        <v>8168297.6321375612</v>
      </c>
      <c r="D348">
        <v>8019284.2119189333</v>
      </c>
      <c r="E348">
        <v>1801.801801802</v>
      </c>
      <c r="F348">
        <v>90090.090090091995</v>
      </c>
      <c r="H348">
        <v>3</v>
      </c>
      <c r="I348">
        <v>2</v>
      </c>
      <c r="J348">
        <v>3</v>
      </c>
      <c r="K348">
        <v>1801.801801802</v>
      </c>
      <c r="L348">
        <v>90090.090090091995</v>
      </c>
      <c r="M348">
        <v>3447972.9729729719</v>
      </c>
      <c r="N348">
        <v>2910720.7207207191</v>
      </c>
      <c r="O348">
        <v>98738.738738739004</v>
      </c>
      <c r="P348">
        <v>131981.98198198201</v>
      </c>
      <c r="Q348">
        <v>5583</v>
      </c>
      <c r="R348">
        <v>5699</v>
      </c>
    </row>
    <row r="349" spans="1:18" x14ac:dyDescent="0.35">
      <c r="A349" s="7" t="s">
        <v>449</v>
      </c>
      <c r="B349" s="12" t="s">
        <v>76</v>
      </c>
      <c r="C349">
        <v>2251041.2619884871</v>
      </c>
      <c r="D349">
        <v>2190012.625653903</v>
      </c>
      <c r="E349">
        <v>900.900900901</v>
      </c>
      <c r="F349">
        <v>13513.513513514001</v>
      </c>
      <c r="K349">
        <v>900.900900901</v>
      </c>
      <c r="L349">
        <v>193693.69369369399</v>
      </c>
      <c r="M349">
        <v>785045.04504504497</v>
      </c>
      <c r="N349">
        <v>367387.38738738699</v>
      </c>
      <c r="O349">
        <v>265855.85585585597</v>
      </c>
      <c r="P349">
        <v>155855.855855856</v>
      </c>
      <c r="Q349">
        <v>1888</v>
      </c>
      <c r="R349">
        <v>1803</v>
      </c>
    </row>
    <row r="350" spans="1:18" x14ac:dyDescent="0.35">
      <c r="A350" s="7" t="s">
        <v>450</v>
      </c>
      <c r="B350" s="12" t="s">
        <v>83</v>
      </c>
      <c r="C350">
        <v>82017632.382807955</v>
      </c>
      <c r="D350">
        <v>85371119.850533798</v>
      </c>
      <c r="E350">
        <v>279596.39639639697</v>
      </c>
      <c r="F350">
        <v>844638.73873874405</v>
      </c>
      <c r="G350">
        <v>11</v>
      </c>
      <c r="H350">
        <v>15</v>
      </c>
      <c r="I350">
        <v>16</v>
      </c>
      <c r="J350">
        <v>21</v>
      </c>
      <c r="K350">
        <v>6930270.2702702619</v>
      </c>
      <c r="L350">
        <v>15524324.324324332</v>
      </c>
      <c r="M350">
        <v>14790828.828828828</v>
      </c>
      <c r="N350">
        <v>17128954.954954956</v>
      </c>
      <c r="O350">
        <v>6262882.882882881</v>
      </c>
      <c r="P350">
        <v>10689279.27927928</v>
      </c>
      <c r="Q350">
        <v>31293</v>
      </c>
      <c r="R350">
        <v>31687</v>
      </c>
    </row>
    <row r="351" spans="1:18" x14ac:dyDescent="0.35">
      <c r="A351" s="7" t="s">
        <v>451</v>
      </c>
      <c r="B351" s="12" t="s">
        <v>70</v>
      </c>
      <c r="C351">
        <v>5433277.3113217633</v>
      </c>
      <c r="D351">
        <v>4596958.9937278833</v>
      </c>
      <c r="M351">
        <v>2873423.423423423</v>
      </c>
      <c r="N351">
        <v>2544315.315315316</v>
      </c>
      <c r="O351">
        <v>98738.738738739004</v>
      </c>
      <c r="Q351">
        <v>2972</v>
      </c>
      <c r="R351">
        <v>2693</v>
      </c>
    </row>
    <row r="352" spans="1:18" x14ac:dyDescent="0.35">
      <c r="A352" s="7" t="s">
        <v>452</v>
      </c>
      <c r="B352" s="12" t="s">
        <v>167</v>
      </c>
      <c r="C352">
        <v>6210625.4345349316</v>
      </c>
      <c r="D352">
        <v>5990503.6739402702</v>
      </c>
      <c r="K352">
        <v>480720.72072072403</v>
      </c>
      <c r="L352">
        <v>225225.225225225</v>
      </c>
      <c r="M352">
        <v>774954.95495495503</v>
      </c>
      <c r="N352">
        <v>1181729.7297297299</v>
      </c>
      <c r="O352">
        <v>574324.32432432799</v>
      </c>
      <c r="P352">
        <v>538288.28828828805</v>
      </c>
      <c r="Q352">
        <v>2792</v>
      </c>
      <c r="R352">
        <v>2901</v>
      </c>
    </row>
    <row r="353" spans="1:18" x14ac:dyDescent="0.35">
      <c r="A353" s="7" t="s">
        <v>453</v>
      </c>
      <c r="B353" s="12" t="s">
        <v>121</v>
      </c>
      <c r="C353">
        <v>438830.22504727502</v>
      </c>
      <c r="D353">
        <v>318633.53676195903</v>
      </c>
      <c r="M353">
        <v>81531.531531532004</v>
      </c>
      <c r="N353">
        <v>29729.729729729999</v>
      </c>
      <c r="Q353">
        <v>135</v>
      </c>
      <c r="R353">
        <v>142</v>
      </c>
    </row>
    <row r="354" spans="1:18" x14ac:dyDescent="0.35">
      <c r="A354" s="7" t="s">
        <v>454</v>
      </c>
      <c r="B354" s="12" t="s">
        <v>224</v>
      </c>
      <c r="C354">
        <v>2789629.5041231001</v>
      </c>
      <c r="D354">
        <v>1636241.8210478681</v>
      </c>
      <c r="M354">
        <v>418198.19819819799</v>
      </c>
      <c r="N354">
        <v>342333.33333333302</v>
      </c>
      <c r="Q354">
        <v>1355</v>
      </c>
      <c r="R354">
        <v>970</v>
      </c>
    </row>
    <row r="355" spans="1:18" x14ac:dyDescent="0.35">
      <c r="A355" s="7" t="s">
        <v>455</v>
      </c>
      <c r="B355" s="12" t="s">
        <v>94</v>
      </c>
      <c r="C355">
        <v>2619902.748769403</v>
      </c>
      <c r="D355">
        <v>3776973.1385832531</v>
      </c>
      <c r="F355">
        <v>27027.027027028002</v>
      </c>
      <c r="G355">
        <v>1</v>
      </c>
      <c r="I355">
        <v>1</v>
      </c>
      <c r="J355">
        <v>1</v>
      </c>
      <c r="L355">
        <v>10081081.081081079</v>
      </c>
      <c r="M355">
        <v>743603.60360360402</v>
      </c>
      <c r="N355">
        <v>774018.01801801799</v>
      </c>
      <c r="O355">
        <v>286936.93693693797</v>
      </c>
      <c r="P355">
        <v>10168468.468468469</v>
      </c>
      <c r="Q355">
        <v>2011</v>
      </c>
      <c r="R355">
        <v>2087</v>
      </c>
    </row>
    <row r="356" spans="1:18" x14ac:dyDescent="0.35">
      <c r="A356" s="7" t="s">
        <v>456</v>
      </c>
      <c r="B356" s="12" t="s">
        <v>60</v>
      </c>
      <c r="C356">
        <v>563657.06345837796</v>
      </c>
      <c r="D356">
        <v>435803.97420224402</v>
      </c>
      <c r="G356">
        <v>1</v>
      </c>
      <c r="I356">
        <v>1</v>
      </c>
      <c r="M356">
        <v>286261.261261262</v>
      </c>
      <c r="N356">
        <v>203693.693693693</v>
      </c>
      <c r="Q356">
        <v>623</v>
      </c>
      <c r="R356">
        <v>629</v>
      </c>
    </row>
    <row r="357" spans="1:18" x14ac:dyDescent="0.35">
      <c r="A357" s="7" t="s">
        <v>457</v>
      </c>
      <c r="B357" s="12" t="s">
        <v>214</v>
      </c>
      <c r="C357">
        <v>7716449.5756163448</v>
      </c>
      <c r="D357">
        <v>7912490.1245119572</v>
      </c>
      <c r="G357">
        <v>1</v>
      </c>
      <c r="I357">
        <v>1</v>
      </c>
      <c r="J357">
        <v>1</v>
      </c>
      <c r="M357">
        <v>4004549.5495495489</v>
      </c>
      <c r="N357">
        <v>3994729.7297297288</v>
      </c>
      <c r="P357">
        <v>832432.43243243196</v>
      </c>
      <c r="Q357">
        <v>3067</v>
      </c>
      <c r="R357">
        <v>2943</v>
      </c>
    </row>
    <row r="358" spans="1:18" x14ac:dyDescent="0.35">
      <c r="A358" s="7" t="s">
        <v>458</v>
      </c>
      <c r="B358" s="12" t="s">
        <v>459</v>
      </c>
      <c r="C358">
        <v>32916451.725627791</v>
      </c>
      <c r="D358">
        <v>33119106.059535313</v>
      </c>
      <c r="E358">
        <v>145045.04504504599</v>
      </c>
      <c r="F358">
        <v>274774.77477477601</v>
      </c>
      <c r="G358">
        <v>4</v>
      </c>
      <c r="H358">
        <v>5</v>
      </c>
      <c r="I358">
        <v>9</v>
      </c>
      <c r="J358">
        <v>15</v>
      </c>
      <c r="K358">
        <v>3086936.936936934</v>
      </c>
      <c r="L358">
        <v>2912612.6126126079</v>
      </c>
      <c r="M358">
        <v>11803423.423423424</v>
      </c>
      <c r="N358">
        <v>12626927.927927926</v>
      </c>
      <c r="O358">
        <v>2610990.9909909898</v>
      </c>
      <c r="P358">
        <v>4180630.6306306319</v>
      </c>
      <c r="Q358">
        <v>25072</v>
      </c>
      <c r="R358">
        <v>24184</v>
      </c>
    </row>
    <row r="359" spans="1:18" x14ac:dyDescent="0.35">
      <c r="A359" s="7" t="s">
        <v>460</v>
      </c>
      <c r="B359" s="12" t="s">
        <v>459</v>
      </c>
      <c r="C359">
        <v>56276463.748249151</v>
      </c>
      <c r="D359">
        <v>59414199.958393343</v>
      </c>
      <c r="E359">
        <v>153153.153153155</v>
      </c>
      <c r="F359">
        <v>459459.45945946401</v>
      </c>
      <c r="G359">
        <v>9</v>
      </c>
      <c r="H359">
        <v>5</v>
      </c>
      <c r="I359">
        <v>16</v>
      </c>
      <c r="J359">
        <v>15</v>
      </c>
      <c r="K359">
        <v>4562162.1621621596</v>
      </c>
      <c r="L359">
        <v>4743513.5135135157</v>
      </c>
      <c r="M359">
        <v>14862387.387387384</v>
      </c>
      <c r="N359">
        <v>22353144.144144144</v>
      </c>
      <c r="O359">
        <v>2268288.2882882878</v>
      </c>
      <c r="P359">
        <v>4937387.3873873875</v>
      </c>
      <c r="Q359">
        <v>31573</v>
      </c>
      <c r="R359">
        <v>34425</v>
      </c>
    </row>
    <row r="360" spans="1:18" x14ac:dyDescent="0.35">
      <c r="A360" s="7" t="s">
        <v>461</v>
      </c>
      <c r="B360" s="12" t="s">
        <v>459</v>
      </c>
      <c r="C360">
        <v>49856110.013042472</v>
      </c>
      <c r="D360">
        <v>53025618.779886365</v>
      </c>
      <c r="E360">
        <v>1801.801801802</v>
      </c>
      <c r="F360">
        <v>216216.21621621799</v>
      </c>
      <c r="G360">
        <v>10</v>
      </c>
      <c r="H360">
        <v>6</v>
      </c>
      <c r="I360">
        <v>17</v>
      </c>
      <c r="J360">
        <v>19</v>
      </c>
      <c r="K360">
        <v>1205045.0450450471</v>
      </c>
      <c r="L360">
        <v>1118918.91891892</v>
      </c>
      <c r="M360">
        <v>12839689.189189188</v>
      </c>
      <c r="N360">
        <v>16594360.360360363</v>
      </c>
      <c r="O360">
        <v>2416846.8468468492</v>
      </c>
      <c r="P360">
        <v>948018.01801801904</v>
      </c>
      <c r="Q360">
        <v>23749</v>
      </c>
      <c r="R360">
        <v>26271</v>
      </c>
    </row>
    <row r="361" spans="1:18" x14ac:dyDescent="0.35">
      <c r="A361" s="7" t="s">
        <v>462</v>
      </c>
      <c r="B361" s="12" t="s">
        <v>459</v>
      </c>
      <c r="C361">
        <v>36808948.133241981</v>
      </c>
      <c r="D361">
        <v>37905415.329546168</v>
      </c>
      <c r="E361">
        <v>14414.414414416</v>
      </c>
      <c r="F361">
        <v>81081.081081083001</v>
      </c>
      <c r="G361">
        <v>8</v>
      </c>
      <c r="H361">
        <v>9</v>
      </c>
      <c r="I361">
        <v>14</v>
      </c>
      <c r="J361">
        <v>12</v>
      </c>
      <c r="K361">
        <v>2485990.9909909889</v>
      </c>
      <c r="L361">
        <v>3331981.9819819811</v>
      </c>
      <c r="M361">
        <v>8595720.7207207214</v>
      </c>
      <c r="N361">
        <v>8921702.702702703</v>
      </c>
      <c r="O361">
        <v>2462612.6126126111</v>
      </c>
      <c r="P361">
        <v>1220270.270270268</v>
      </c>
      <c r="Q361">
        <v>19353</v>
      </c>
      <c r="R361">
        <v>18789</v>
      </c>
    </row>
    <row r="362" spans="1:18" x14ac:dyDescent="0.35">
      <c r="A362" s="7" t="s">
        <v>463</v>
      </c>
      <c r="B362" s="12" t="s">
        <v>459</v>
      </c>
      <c r="C362">
        <v>35231821.375844277</v>
      </c>
      <c r="D362">
        <v>38191472.896089718</v>
      </c>
      <c r="E362">
        <v>5405.4054054059998</v>
      </c>
      <c r="F362">
        <v>148648.648648653</v>
      </c>
      <c r="G362">
        <v>7</v>
      </c>
      <c r="H362">
        <v>7</v>
      </c>
      <c r="I362">
        <v>11</v>
      </c>
      <c r="J362">
        <v>21</v>
      </c>
      <c r="K362">
        <v>2832612.6126126111</v>
      </c>
      <c r="L362">
        <v>3614414.4144144091</v>
      </c>
      <c r="M362">
        <v>12883630.630630629</v>
      </c>
      <c r="N362">
        <v>15055297.297297295</v>
      </c>
      <c r="O362">
        <v>2642522.5225225221</v>
      </c>
      <c r="P362">
        <v>3234684.6846846752</v>
      </c>
      <c r="Q362">
        <v>27076</v>
      </c>
      <c r="R362">
        <v>26432</v>
      </c>
    </row>
    <row r="363" spans="1:18" x14ac:dyDescent="0.35">
      <c r="A363" s="7" t="s">
        <v>464</v>
      </c>
      <c r="B363" s="12" t="s">
        <v>459</v>
      </c>
      <c r="C363">
        <v>40235980.545297891</v>
      </c>
      <c r="D363">
        <v>42775530.741575338</v>
      </c>
      <c r="E363">
        <v>506043826.12612617</v>
      </c>
      <c r="F363">
        <v>91044923.423423424</v>
      </c>
      <c r="G363">
        <v>9</v>
      </c>
      <c r="H363">
        <v>4</v>
      </c>
      <c r="I363">
        <v>16</v>
      </c>
      <c r="J363">
        <v>9</v>
      </c>
      <c r="K363">
        <v>4434144.144144142</v>
      </c>
      <c r="L363">
        <v>4871621.6216216143</v>
      </c>
      <c r="M363">
        <v>18206171.171171173</v>
      </c>
      <c r="N363">
        <v>18622117.117117122</v>
      </c>
      <c r="O363">
        <v>4565495.4954954926</v>
      </c>
      <c r="P363">
        <v>4753153.1531531466</v>
      </c>
      <c r="Q363">
        <v>28493</v>
      </c>
      <c r="R363">
        <v>28246</v>
      </c>
    </row>
    <row r="364" spans="1:18" x14ac:dyDescent="0.35">
      <c r="A364" s="7" t="s">
        <v>465</v>
      </c>
      <c r="B364" s="12" t="s">
        <v>54</v>
      </c>
      <c r="C364">
        <v>3113775.1786628128</v>
      </c>
      <c r="D364">
        <v>2932947.8088096529</v>
      </c>
      <c r="E364">
        <v>900.900900901</v>
      </c>
      <c r="F364">
        <v>13513.513513514001</v>
      </c>
      <c r="K364">
        <v>317117.11711711698</v>
      </c>
      <c r="L364">
        <v>509009.00900900899</v>
      </c>
      <c r="M364">
        <v>457657.65765765798</v>
      </c>
      <c r="N364">
        <v>476081.081081082</v>
      </c>
      <c r="O364">
        <v>281981.98198198201</v>
      </c>
      <c r="P364">
        <v>166036.03603603601</v>
      </c>
      <c r="Q364">
        <v>1233</v>
      </c>
      <c r="R364">
        <v>1183</v>
      </c>
    </row>
    <row r="365" spans="1:18" x14ac:dyDescent="0.35">
      <c r="A365" s="7" t="s">
        <v>466</v>
      </c>
      <c r="B365" s="12" t="s">
        <v>87</v>
      </c>
      <c r="C365">
        <v>156071.457242234</v>
      </c>
      <c r="D365">
        <v>99644.137076002997</v>
      </c>
      <c r="M365">
        <v>118018.018018018</v>
      </c>
      <c r="Q365">
        <v>100</v>
      </c>
      <c r="R365">
        <v>87</v>
      </c>
    </row>
    <row r="366" spans="1:18" x14ac:dyDescent="0.35">
      <c r="A366" s="7" t="s">
        <v>467</v>
      </c>
      <c r="B366" s="12" t="s">
        <v>143</v>
      </c>
      <c r="C366">
        <v>16319558.144001693</v>
      </c>
      <c r="D366">
        <v>14357168.529140608</v>
      </c>
      <c r="F366">
        <v>13513.513513514001</v>
      </c>
      <c r="H366">
        <v>1</v>
      </c>
      <c r="J366">
        <v>2</v>
      </c>
      <c r="L366">
        <v>13513.513513514001</v>
      </c>
      <c r="M366">
        <v>2474225.2252252251</v>
      </c>
      <c r="N366">
        <v>1703095.4954954949</v>
      </c>
      <c r="O366">
        <v>851621.62162162201</v>
      </c>
      <c r="P366">
        <v>596666.66666666698</v>
      </c>
      <c r="Q366">
        <v>5084</v>
      </c>
      <c r="R366">
        <v>5000</v>
      </c>
    </row>
    <row r="367" spans="1:18" x14ac:dyDescent="0.35">
      <c r="A367" s="7" t="s">
        <v>468</v>
      </c>
      <c r="B367" s="12" t="s">
        <v>80</v>
      </c>
      <c r="C367">
        <v>12525550.442621799</v>
      </c>
      <c r="D367">
        <v>11626117.06655792</v>
      </c>
      <c r="E367">
        <v>900.900900901</v>
      </c>
      <c r="G367">
        <v>1</v>
      </c>
      <c r="I367">
        <v>2</v>
      </c>
      <c r="K367">
        <v>901801.80180180201</v>
      </c>
      <c r="L367">
        <v>76576.576576577005</v>
      </c>
      <c r="M367">
        <v>4473270.2702702712</v>
      </c>
      <c r="N367">
        <v>4777918.9189189188</v>
      </c>
      <c r="O367">
        <v>823153.15315315395</v>
      </c>
      <c r="P367">
        <v>385765.76576576597</v>
      </c>
      <c r="Q367">
        <v>5060</v>
      </c>
      <c r="R367">
        <v>5412</v>
      </c>
    </row>
    <row r="368" spans="1:18" x14ac:dyDescent="0.35">
      <c r="A368" s="7" t="s">
        <v>469</v>
      </c>
      <c r="B368" s="12" t="s">
        <v>470</v>
      </c>
      <c r="C368">
        <v>14355067.853095667</v>
      </c>
      <c r="D368">
        <v>15139874.135655876</v>
      </c>
      <c r="E368">
        <v>900.900900901</v>
      </c>
      <c r="F368">
        <v>189189.189189189</v>
      </c>
      <c r="G368">
        <v>1</v>
      </c>
      <c r="H368">
        <v>1</v>
      </c>
      <c r="I368">
        <v>1</v>
      </c>
      <c r="J368">
        <v>2</v>
      </c>
      <c r="K368">
        <v>900.900900901</v>
      </c>
      <c r="L368">
        <v>639639.63963963895</v>
      </c>
      <c r="M368">
        <v>4546666.666666667</v>
      </c>
      <c r="N368">
        <v>5240297.297297298</v>
      </c>
      <c r="O368">
        <v>559009.00900900899</v>
      </c>
      <c r="P368">
        <v>644504.50450450403</v>
      </c>
      <c r="Q368">
        <v>5508</v>
      </c>
      <c r="R368">
        <v>5437</v>
      </c>
    </row>
    <row r="369" spans="1:18" x14ac:dyDescent="0.35">
      <c r="A369" s="7" t="s">
        <v>471</v>
      </c>
      <c r="B369" s="12" t="s">
        <v>470</v>
      </c>
      <c r="C369">
        <v>1196924.810183062</v>
      </c>
      <c r="D369">
        <v>1597930.075729687</v>
      </c>
      <c r="M369">
        <v>76351.351351350997</v>
      </c>
      <c r="N369">
        <v>278063.06306306302</v>
      </c>
      <c r="Q369">
        <v>625</v>
      </c>
      <c r="R369">
        <v>641</v>
      </c>
    </row>
    <row r="370" spans="1:18" x14ac:dyDescent="0.35">
      <c r="A370" s="7" t="s">
        <v>472</v>
      </c>
      <c r="B370" s="12" t="s">
        <v>470</v>
      </c>
      <c r="C370">
        <v>111942.181614281</v>
      </c>
      <c r="D370">
        <v>203414.58719687999</v>
      </c>
      <c r="F370">
        <v>54054.054054054002</v>
      </c>
      <c r="L370">
        <v>54054.054054054002</v>
      </c>
      <c r="N370">
        <v>58558.558558559002</v>
      </c>
      <c r="Q370">
        <v>583</v>
      </c>
      <c r="R370">
        <v>478</v>
      </c>
    </row>
    <row r="371" spans="1:18" x14ac:dyDescent="0.35">
      <c r="A371" s="7" t="s">
        <v>473</v>
      </c>
      <c r="B371" s="12" t="s">
        <v>470</v>
      </c>
      <c r="C371">
        <v>4875032.9498707904</v>
      </c>
      <c r="D371">
        <v>5619975.2141555492</v>
      </c>
      <c r="H371">
        <v>2</v>
      </c>
      <c r="I371">
        <v>1</v>
      </c>
      <c r="J371">
        <v>2</v>
      </c>
      <c r="M371">
        <v>415135.13513513497</v>
      </c>
      <c r="N371">
        <v>1174819.8198198201</v>
      </c>
      <c r="O371">
        <v>459909.90990991</v>
      </c>
      <c r="P371">
        <v>245765.765765766</v>
      </c>
      <c r="Q371">
        <v>2242</v>
      </c>
      <c r="R371">
        <v>2350</v>
      </c>
    </row>
    <row r="372" spans="1:18" x14ac:dyDescent="0.35">
      <c r="A372" s="7" t="s">
        <v>474</v>
      </c>
      <c r="B372" s="12" t="s">
        <v>470</v>
      </c>
      <c r="C372">
        <v>7043759.3023878029</v>
      </c>
      <c r="D372">
        <v>8210731.3787541781</v>
      </c>
      <c r="F372">
        <v>81081.081081081997</v>
      </c>
      <c r="G372">
        <v>1</v>
      </c>
      <c r="H372">
        <v>9</v>
      </c>
      <c r="I372">
        <v>1</v>
      </c>
      <c r="J372">
        <v>9</v>
      </c>
      <c r="L372">
        <v>81081.081081081997</v>
      </c>
      <c r="M372">
        <v>1427792.7927927941</v>
      </c>
      <c r="N372">
        <v>2097009.009009009</v>
      </c>
      <c r="O372">
        <v>196306.30630630601</v>
      </c>
      <c r="P372">
        <v>201981.98198198201</v>
      </c>
      <c r="Q372">
        <v>2357</v>
      </c>
      <c r="R372">
        <v>2365</v>
      </c>
    </row>
    <row r="373" spans="1:18" x14ac:dyDescent="0.35">
      <c r="A373" s="7" t="s">
        <v>475</v>
      </c>
      <c r="B373" s="12" t="s">
        <v>470</v>
      </c>
      <c r="C373">
        <v>2728270.8107353342</v>
      </c>
      <c r="D373">
        <v>2903469.2490650779</v>
      </c>
      <c r="H373">
        <v>1</v>
      </c>
      <c r="J373">
        <v>1</v>
      </c>
      <c r="K373">
        <v>222972.97297297299</v>
      </c>
      <c r="L373">
        <v>765315.31531531503</v>
      </c>
      <c r="M373">
        <v>377432.43243243202</v>
      </c>
      <c r="N373">
        <v>533639.63963963895</v>
      </c>
      <c r="O373">
        <v>294594.59459459502</v>
      </c>
      <c r="P373">
        <v>114414.41441441501</v>
      </c>
      <c r="Q373">
        <v>1378</v>
      </c>
      <c r="R373">
        <v>1397</v>
      </c>
    </row>
    <row r="374" spans="1:18" x14ac:dyDescent="0.35">
      <c r="A374" s="7" t="s">
        <v>476</v>
      </c>
      <c r="B374" s="12" t="s">
        <v>470</v>
      </c>
      <c r="C374">
        <v>24579156.424170852</v>
      </c>
      <c r="D374">
        <v>31627623.488437373</v>
      </c>
      <c r="E374">
        <v>180966.66666666701</v>
      </c>
      <c r="F374">
        <v>823842.34234234598</v>
      </c>
      <c r="G374">
        <v>1</v>
      </c>
      <c r="H374">
        <v>31</v>
      </c>
      <c r="I374">
        <v>2</v>
      </c>
      <c r="J374">
        <v>39</v>
      </c>
      <c r="K374">
        <v>14017997.297297293</v>
      </c>
      <c r="L374">
        <v>3468468.46846847</v>
      </c>
      <c r="M374">
        <v>5816036.0360360378</v>
      </c>
      <c r="N374">
        <v>9662063.0630630627</v>
      </c>
      <c r="O374">
        <v>2345585.5855855839</v>
      </c>
      <c r="P374">
        <v>3920450.4504504479</v>
      </c>
      <c r="Q374">
        <v>15943</v>
      </c>
      <c r="R374">
        <v>16304</v>
      </c>
    </row>
    <row r="375" spans="1:18" x14ac:dyDescent="0.35">
      <c r="A375" s="7" t="s">
        <v>477</v>
      </c>
      <c r="B375" s="12" t="s">
        <v>260</v>
      </c>
      <c r="C375">
        <v>26633391.188313942</v>
      </c>
      <c r="D375">
        <v>30107986.23214408</v>
      </c>
      <c r="F375">
        <v>27027.027027028002</v>
      </c>
      <c r="G375">
        <v>4</v>
      </c>
      <c r="H375">
        <v>3</v>
      </c>
      <c r="I375">
        <v>6</v>
      </c>
      <c r="J375">
        <v>4</v>
      </c>
      <c r="L375">
        <v>1828828.82882883</v>
      </c>
      <c r="M375">
        <v>6255720.7207207214</v>
      </c>
      <c r="N375">
        <v>6924414.4144144142</v>
      </c>
      <c r="O375">
        <v>2551801.8018018031</v>
      </c>
      <c r="P375">
        <v>4038288.2882882869</v>
      </c>
      <c r="Q375">
        <v>11145</v>
      </c>
      <c r="R375">
        <v>11258</v>
      </c>
    </row>
    <row r="376" spans="1:18" x14ac:dyDescent="0.35">
      <c r="A376" s="7" t="s">
        <v>478</v>
      </c>
      <c r="B376" s="12" t="s">
        <v>479</v>
      </c>
      <c r="C376">
        <v>2490397.971630102</v>
      </c>
      <c r="D376">
        <v>2548478.0414197971</v>
      </c>
      <c r="H376">
        <v>1</v>
      </c>
      <c r="J376">
        <v>1</v>
      </c>
      <c r="K376">
        <v>3513513.5135135138</v>
      </c>
      <c r="M376">
        <v>535495.49549549504</v>
      </c>
      <c r="N376">
        <v>624144.14414414496</v>
      </c>
      <c r="P376">
        <v>14414.414414413999</v>
      </c>
      <c r="Q376">
        <v>859</v>
      </c>
      <c r="R376">
        <v>783</v>
      </c>
    </row>
    <row r="377" spans="1:18" x14ac:dyDescent="0.35">
      <c r="A377" s="7" t="s">
        <v>480</v>
      </c>
      <c r="B377" s="12" t="s">
        <v>123</v>
      </c>
      <c r="C377">
        <v>16413411.070708821</v>
      </c>
      <c r="D377">
        <v>14790373.472909592</v>
      </c>
      <c r="E377">
        <v>187387.38738738801</v>
      </c>
      <c r="F377">
        <v>13513.513513514001</v>
      </c>
      <c r="H377">
        <v>4</v>
      </c>
      <c r="I377">
        <v>4</v>
      </c>
      <c r="J377">
        <v>4</v>
      </c>
      <c r="K377">
        <v>1177477.4774774769</v>
      </c>
      <c r="L377">
        <v>463963.96396396402</v>
      </c>
      <c r="M377">
        <v>5937477.4774774779</v>
      </c>
      <c r="N377">
        <v>5354360.3603603598</v>
      </c>
      <c r="O377">
        <v>2180810.8108108109</v>
      </c>
      <c r="P377">
        <v>721171.17117117299</v>
      </c>
      <c r="Q377">
        <v>5607</v>
      </c>
      <c r="R377">
        <v>5490</v>
      </c>
    </row>
    <row r="378" spans="1:18" x14ac:dyDescent="0.35">
      <c r="A378" s="7" t="s">
        <v>481</v>
      </c>
      <c r="B378" s="12" t="s">
        <v>470</v>
      </c>
      <c r="C378">
        <v>1307507.1593230821</v>
      </c>
      <c r="D378">
        <v>1340145.576598916</v>
      </c>
      <c r="J378">
        <v>1</v>
      </c>
      <c r="L378">
        <v>450450.45045045001</v>
      </c>
      <c r="M378">
        <v>306081.08108108101</v>
      </c>
      <c r="N378">
        <v>390315.31531531498</v>
      </c>
      <c r="P378">
        <v>48018.018018018003</v>
      </c>
      <c r="Q378">
        <v>608</v>
      </c>
      <c r="R378">
        <v>624</v>
      </c>
    </row>
    <row r="379" spans="1:18" x14ac:dyDescent="0.35">
      <c r="A379" s="7" t="s">
        <v>482</v>
      </c>
      <c r="B379" s="12" t="s">
        <v>167</v>
      </c>
      <c r="C379">
        <v>13671625.167708933</v>
      </c>
      <c r="D379">
        <v>13920768.649408493</v>
      </c>
      <c r="E379">
        <v>4504.5045045050001</v>
      </c>
      <c r="F379">
        <v>13513.513513514001</v>
      </c>
      <c r="G379">
        <v>2</v>
      </c>
      <c r="H379">
        <v>3</v>
      </c>
      <c r="I379">
        <v>6</v>
      </c>
      <c r="J379">
        <v>7</v>
      </c>
      <c r="K379">
        <v>184684.68468468499</v>
      </c>
      <c r="L379">
        <v>575675.67567567597</v>
      </c>
      <c r="M379">
        <v>4866800.0000000009</v>
      </c>
      <c r="N379">
        <v>6003243.2432432426</v>
      </c>
      <c r="O379">
        <v>257837.83783783799</v>
      </c>
      <c r="P379">
        <v>838378.37837837904</v>
      </c>
      <c r="Q379">
        <v>8963</v>
      </c>
      <c r="R379">
        <v>8420</v>
      </c>
    </row>
    <row r="380" spans="1:18" x14ac:dyDescent="0.35">
      <c r="A380" s="7" t="s">
        <v>483</v>
      </c>
      <c r="B380" s="12" t="s">
        <v>167</v>
      </c>
      <c r="C380">
        <v>14099592.116629779</v>
      </c>
      <c r="D380">
        <v>14496638.405837242</v>
      </c>
      <c r="E380">
        <v>93193.693693694993</v>
      </c>
      <c r="F380">
        <v>431560.36036036198</v>
      </c>
      <c r="G380">
        <v>8</v>
      </c>
      <c r="H380">
        <v>4</v>
      </c>
      <c r="I380">
        <v>15</v>
      </c>
      <c r="J380">
        <v>8</v>
      </c>
      <c r="K380">
        <v>459459.45945945999</v>
      </c>
      <c r="L380">
        <v>1406306.306306307</v>
      </c>
      <c r="M380">
        <v>5007162.1621621624</v>
      </c>
      <c r="N380">
        <v>5088315.3153153146</v>
      </c>
      <c r="O380">
        <v>1537747.747747747</v>
      </c>
      <c r="P380">
        <v>1548018.018018018</v>
      </c>
      <c r="Q380">
        <v>9368</v>
      </c>
      <c r="R380">
        <v>9314</v>
      </c>
    </row>
    <row r="381" spans="1:18" x14ac:dyDescent="0.35">
      <c r="A381" s="7" t="s">
        <v>667</v>
      </c>
      <c r="B381" s="12" t="s">
        <v>181</v>
      </c>
      <c r="K381">
        <v>54054.054054054002</v>
      </c>
      <c r="L381">
        <v>108108.108108108</v>
      </c>
    </row>
    <row r="382" spans="1:18" x14ac:dyDescent="0.35">
      <c r="A382" s="7" t="s">
        <v>484</v>
      </c>
      <c r="B382" s="12" t="s">
        <v>50</v>
      </c>
      <c r="C382">
        <v>9663540.7949851248</v>
      </c>
      <c r="D382">
        <v>10084566.470122544</v>
      </c>
      <c r="E382">
        <v>5405.4054054059998</v>
      </c>
      <c r="F382">
        <v>135135.13513513599</v>
      </c>
      <c r="G382">
        <v>6</v>
      </c>
      <c r="H382">
        <v>3</v>
      </c>
      <c r="I382">
        <v>7</v>
      </c>
      <c r="J382">
        <v>4</v>
      </c>
      <c r="K382">
        <v>1271531.5315315321</v>
      </c>
      <c r="L382">
        <v>135135.13513513599</v>
      </c>
      <c r="M382">
        <v>3930270.2702702712</v>
      </c>
      <c r="N382">
        <v>4163396.3963963962</v>
      </c>
      <c r="O382">
        <v>1340810.8108108121</v>
      </c>
      <c r="P382">
        <v>1448648.648648649</v>
      </c>
      <c r="Q382">
        <v>3602</v>
      </c>
      <c r="R382">
        <v>3668</v>
      </c>
    </row>
    <row r="383" spans="1:18" x14ac:dyDescent="0.35">
      <c r="A383" s="7" t="s">
        <v>485</v>
      </c>
      <c r="B383" s="12" t="s">
        <v>134</v>
      </c>
      <c r="C383">
        <v>15493032.986512732</v>
      </c>
      <c r="D383">
        <v>13754301.562932737</v>
      </c>
      <c r="E383">
        <v>136936.93693693701</v>
      </c>
      <c r="F383">
        <v>13513.513513514001</v>
      </c>
      <c r="G383">
        <v>1</v>
      </c>
      <c r="H383">
        <v>3</v>
      </c>
      <c r="I383">
        <v>1</v>
      </c>
      <c r="J383">
        <v>4</v>
      </c>
      <c r="K383">
        <v>2839639.6396396402</v>
      </c>
      <c r="L383">
        <v>193693.69369369399</v>
      </c>
      <c r="M383">
        <v>2398153.1531531522</v>
      </c>
      <c r="N383">
        <v>2660666.666666667</v>
      </c>
      <c r="O383">
        <v>1243513.5135135141</v>
      </c>
      <c r="P383">
        <v>754234.23423423397</v>
      </c>
      <c r="Q383">
        <v>4651</v>
      </c>
      <c r="R383">
        <v>4622</v>
      </c>
    </row>
    <row r="384" spans="1:18" x14ac:dyDescent="0.35">
      <c r="A384" s="7" t="s">
        <v>486</v>
      </c>
      <c r="B384" s="12" t="s">
        <v>76</v>
      </c>
      <c r="C384">
        <v>3532684.3094493221</v>
      </c>
      <c r="D384">
        <v>3331877.509404806</v>
      </c>
      <c r="F384">
        <v>90090.090090090001</v>
      </c>
      <c r="K384">
        <v>405405.40540540498</v>
      </c>
      <c r="L384">
        <v>1761261.2612612611</v>
      </c>
      <c r="M384">
        <v>1411644.1441441439</v>
      </c>
      <c r="N384">
        <v>667477.47747747798</v>
      </c>
      <c r="O384">
        <v>534504.50450450496</v>
      </c>
      <c r="P384">
        <v>764324.32432432496</v>
      </c>
      <c r="Q384">
        <v>1470</v>
      </c>
      <c r="R384">
        <v>1507</v>
      </c>
    </row>
    <row r="385" spans="1:18" x14ac:dyDescent="0.35">
      <c r="A385" s="7" t="s">
        <v>487</v>
      </c>
      <c r="B385" s="12" t="s">
        <v>307</v>
      </c>
      <c r="C385">
        <v>19763760.840248145</v>
      </c>
      <c r="D385">
        <v>20341926.088587068</v>
      </c>
      <c r="E385">
        <v>900.900900901</v>
      </c>
      <c r="F385">
        <v>27027.027027028002</v>
      </c>
      <c r="G385">
        <v>2</v>
      </c>
      <c r="H385">
        <v>4</v>
      </c>
      <c r="I385">
        <v>2</v>
      </c>
      <c r="J385">
        <v>5</v>
      </c>
      <c r="K385">
        <v>1993243.2432432419</v>
      </c>
      <c r="L385">
        <v>2135135.1351351351</v>
      </c>
      <c r="M385">
        <v>7662567.5675675673</v>
      </c>
      <c r="N385">
        <v>8205090.0900900904</v>
      </c>
      <c r="O385">
        <v>2666126.1261261269</v>
      </c>
      <c r="P385">
        <v>1414504.5045045051</v>
      </c>
      <c r="Q385">
        <v>11358</v>
      </c>
      <c r="R385">
        <v>12331</v>
      </c>
    </row>
    <row r="386" spans="1:18" x14ac:dyDescent="0.35">
      <c r="A386" s="7" t="s">
        <v>488</v>
      </c>
      <c r="B386" s="12" t="s">
        <v>315</v>
      </c>
      <c r="C386">
        <v>3783698.3538522781</v>
      </c>
      <c r="D386">
        <v>4057811.950370058</v>
      </c>
      <c r="E386">
        <v>900.900900901</v>
      </c>
      <c r="F386">
        <v>13513.513513514001</v>
      </c>
      <c r="K386">
        <v>545765.76576576999</v>
      </c>
      <c r="L386">
        <v>13513.513513514001</v>
      </c>
      <c r="M386">
        <v>1420630.6306306301</v>
      </c>
      <c r="N386">
        <v>1143153.1531531529</v>
      </c>
      <c r="O386">
        <v>623063.06306306703</v>
      </c>
      <c r="P386">
        <v>709279.27927927906</v>
      </c>
      <c r="Q386">
        <v>1613</v>
      </c>
      <c r="R386">
        <v>1702</v>
      </c>
    </row>
    <row r="387" spans="1:18" x14ac:dyDescent="0.35">
      <c r="A387" s="7" t="s">
        <v>489</v>
      </c>
      <c r="B387" s="12" t="s">
        <v>181</v>
      </c>
      <c r="C387">
        <v>11553558.875910403</v>
      </c>
      <c r="D387">
        <v>10834900.939858552</v>
      </c>
      <c r="E387">
        <v>4504.5045045050001</v>
      </c>
      <c r="G387">
        <v>4</v>
      </c>
      <c r="H387">
        <v>1</v>
      </c>
      <c r="I387">
        <v>9</v>
      </c>
      <c r="J387">
        <v>5</v>
      </c>
      <c r="K387">
        <v>543693.69369369396</v>
      </c>
      <c r="L387">
        <v>2432432.4324324299</v>
      </c>
      <c r="M387">
        <v>3456081.0810810812</v>
      </c>
      <c r="N387">
        <v>2908297.2972972961</v>
      </c>
      <c r="O387">
        <v>222972.97297297299</v>
      </c>
      <c r="P387">
        <v>2670900.900900899</v>
      </c>
      <c r="Q387">
        <v>6344</v>
      </c>
      <c r="R387">
        <v>6456</v>
      </c>
    </row>
    <row r="388" spans="1:18" x14ac:dyDescent="0.35">
      <c r="A388" s="7" t="s">
        <v>490</v>
      </c>
      <c r="B388" s="12" t="s">
        <v>220</v>
      </c>
      <c r="C388">
        <v>6720455.4455710556</v>
      </c>
      <c r="D388">
        <v>5863447.2212648802</v>
      </c>
      <c r="E388">
        <v>900.900900901</v>
      </c>
      <c r="G388">
        <v>3</v>
      </c>
      <c r="H388">
        <v>1</v>
      </c>
      <c r="I388">
        <v>4</v>
      </c>
      <c r="J388">
        <v>1</v>
      </c>
      <c r="K388">
        <v>900.900900901</v>
      </c>
      <c r="M388">
        <v>1811801.8018018019</v>
      </c>
      <c r="N388">
        <v>1154540.5405405411</v>
      </c>
      <c r="Q388">
        <v>4057</v>
      </c>
      <c r="R388">
        <v>3996</v>
      </c>
    </row>
    <row r="389" spans="1:18" x14ac:dyDescent="0.35">
      <c r="A389" s="7" t="s">
        <v>491</v>
      </c>
      <c r="B389" s="12" t="s">
        <v>220</v>
      </c>
      <c r="C389">
        <v>2387151.0557616712</v>
      </c>
      <c r="D389">
        <v>1814056.8988905691</v>
      </c>
      <c r="E389">
        <v>1801.801801802</v>
      </c>
      <c r="G389">
        <v>2</v>
      </c>
      <c r="H389">
        <v>1</v>
      </c>
      <c r="I389">
        <v>3</v>
      </c>
      <c r="J389">
        <v>1</v>
      </c>
      <c r="K389">
        <v>1272072.072072072</v>
      </c>
      <c r="M389">
        <v>602972.97297297302</v>
      </c>
      <c r="N389">
        <v>578243.24324324401</v>
      </c>
      <c r="O389">
        <v>1270270.2702702701</v>
      </c>
      <c r="Q389">
        <v>1251</v>
      </c>
      <c r="R389">
        <v>1305</v>
      </c>
    </row>
    <row r="390" spans="1:18" x14ac:dyDescent="0.35">
      <c r="A390" s="7" t="s">
        <v>492</v>
      </c>
      <c r="B390" s="12" t="s">
        <v>60</v>
      </c>
      <c r="C390">
        <v>8245962.3961536773</v>
      </c>
      <c r="D390">
        <v>7075545.6783042764</v>
      </c>
      <c r="F390">
        <v>567567.56756756804</v>
      </c>
      <c r="H390">
        <v>1</v>
      </c>
      <c r="J390">
        <v>1</v>
      </c>
      <c r="K390">
        <v>6306306.3063063072</v>
      </c>
      <c r="L390">
        <v>567567.56756756804</v>
      </c>
      <c r="M390">
        <v>2903828.8288288289</v>
      </c>
      <c r="N390">
        <v>2622387.387387387</v>
      </c>
      <c r="O390">
        <v>3035135.135135137</v>
      </c>
      <c r="P390">
        <v>785765.76576576498</v>
      </c>
      <c r="Q390">
        <v>3602</v>
      </c>
      <c r="R390">
        <v>3494</v>
      </c>
    </row>
    <row r="391" spans="1:18" x14ac:dyDescent="0.35">
      <c r="A391" s="7" t="s">
        <v>493</v>
      </c>
      <c r="B391" s="12" t="s">
        <v>448</v>
      </c>
      <c r="C391">
        <v>8892188.8304875363</v>
      </c>
      <c r="D391">
        <v>8979729.0741689373</v>
      </c>
      <c r="E391">
        <v>900.900900901</v>
      </c>
      <c r="G391">
        <v>4</v>
      </c>
      <c r="H391">
        <v>1</v>
      </c>
      <c r="I391">
        <v>5</v>
      </c>
      <c r="J391">
        <v>3</v>
      </c>
      <c r="K391">
        <v>209909.90990990901</v>
      </c>
      <c r="L391">
        <v>372972.972972975</v>
      </c>
      <c r="M391">
        <v>3119819.819819821</v>
      </c>
      <c r="N391">
        <v>3000540.5405405401</v>
      </c>
      <c r="O391">
        <v>457657.657657656</v>
      </c>
      <c r="P391">
        <v>735675.67567567702</v>
      </c>
      <c r="Q391">
        <v>4997</v>
      </c>
      <c r="R391">
        <v>4953</v>
      </c>
    </row>
    <row r="392" spans="1:18" x14ac:dyDescent="0.35">
      <c r="A392" s="7" t="s">
        <v>7</v>
      </c>
      <c r="B392" s="12" t="s">
        <v>193</v>
      </c>
      <c r="C392">
        <v>7830684.2367545171</v>
      </c>
      <c r="D392">
        <v>7347494.8325105859</v>
      </c>
      <c r="E392">
        <v>900.900900901</v>
      </c>
      <c r="G392">
        <v>3</v>
      </c>
      <c r="H392">
        <v>1</v>
      </c>
      <c r="I392">
        <v>3</v>
      </c>
      <c r="J392">
        <v>1</v>
      </c>
      <c r="K392">
        <v>900.900900901</v>
      </c>
      <c r="M392">
        <v>5050540.5405405387</v>
      </c>
      <c r="N392">
        <v>6673603.6036036042</v>
      </c>
      <c r="O392">
        <v>311261.26126126101</v>
      </c>
      <c r="P392">
        <v>353783.78378378402</v>
      </c>
      <c r="Q392">
        <v>4952</v>
      </c>
      <c r="R392">
        <v>4763</v>
      </c>
    </row>
    <row r="393" spans="1:18" x14ac:dyDescent="0.35">
      <c r="A393" s="7" t="s">
        <v>494</v>
      </c>
      <c r="B393" s="12" t="s">
        <v>330</v>
      </c>
      <c r="C393">
        <v>9934661.2336112447</v>
      </c>
      <c r="D393">
        <v>9583566.8482310399</v>
      </c>
      <c r="E393">
        <v>900.900900901</v>
      </c>
      <c r="F393">
        <v>40540.540540540998</v>
      </c>
      <c r="G393">
        <v>3</v>
      </c>
      <c r="H393">
        <v>4</v>
      </c>
      <c r="I393">
        <v>4</v>
      </c>
      <c r="J393">
        <v>6</v>
      </c>
      <c r="K393">
        <v>271171.17117117101</v>
      </c>
      <c r="L393">
        <v>40540.540540540998</v>
      </c>
      <c r="M393">
        <v>2144774.7747747758</v>
      </c>
      <c r="N393">
        <v>2028261.261261262</v>
      </c>
      <c r="O393">
        <v>256306.306306307</v>
      </c>
      <c r="P393">
        <v>411081.081081082</v>
      </c>
      <c r="Q393">
        <v>6250</v>
      </c>
      <c r="R393">
        <v>5987</v>
      </c>
    </row>
    <row r="394" spans="1:18" x14ac:dyDescent="0.35">
      <c r="A394" s="7" t="s">
        <v>495</v>
      </c>
      <c r="B394" s="12" t="s">
        <v>330</v>
      </c>
      <c r="C394">
        <v>16227435.854988802</v>
      </c>
      <c r="D394">
        <v>15909426.83592334</v>
      </c>
      <c r="E394">
        <v>900.900900901</v>
      </c>
      <c r="F394">
        <v>148648.64864865001</v>
      </c>
      <c r="G394">
        <v>1</v>
      </c>
      <c r="H394">
        <v>2</v>
      </c>
      <c r="I394">
        <v>5</v>
      </c>
      <c r="J394">
        <v>5</v>
      </c>
      <c r="K394">
        <v>631531.53153153101</v>
      </c>
      <c r="L394">
        <v>148648.64864865001</v>
      </c>
      <c r="M394">
        <v>3684639.6396396402</v>
      </c>
      <c r="N394">
        <v>4294549.5495495489</v>
      </c>
      <c r="O394">
        <v>392342.34234234202</v>
      </c>
      <c r="P394">
        <v>705495.49549549597</v>
      </c>
      <c r="Q394">
        <v>7093</v>
      </c>
      <c r="R394">
        <v>7844</v>
      </c>
    </row>
    <row r="395" spans="1:18" x14ac:dyDescent="0.35">
      <c r="A395" s="7" t="s">
        <v>496</v>
      </c>
      <c r="B395" s="12" t="s">
        <v>330</v>
      </c>
      <c r="C395">
        <v>16667115.24980405</v>
      </c>
      <c r="D395">
        <v>15383055.166670583</v>
      </c>
      <c r="E395">
        <v>4504.5045045050001</v>
      </c>
      <c r="F395">
        <v>270270.27027027099</v>
      </c>
      <c r="G395">
        <v>5</v>
      </c>
      <c r="H395">
        <v>3</v>
      </c>
      <c r="I395">
        <v>8</v>
      </c>
      <c r="J395">
        <v>10</v>
      </c>
      <c r="K395">
        <v>454954.95495495503</v>
      </c>
      <c r="L395">
        <v>270270.27027027099</v>
      </c>
      <c r="M395">
        <v>3377162.1621621628</v>
      </c>
      <c r="N395">
        <v>3576369.3693693681</v>
      </c>
      <c r="O395">
        <v>1061171.1711711709</v>
      </c>
      <c r="P395">
        <v>882702.70270270202</v>
      </c>
      <c r="Q395">
        <v>8658</v>
      </c>
      <c r="R395">
        <v>8678</v>
      </c>
    </row>
    <row r="396" spans="1:18" x14ac:dyDescent="0.35">
      <c r="A396" s="7" t="s">
        <v>497</v>
      </c>
      <c r="B396" s="12" t="s">
        <v>330</v>
      </c>
      <c r="C396">
        <v>69494337.892409906</v>
      </c>
      <c r="D396">
        <v>56604459.388595991</v>
      </c>
      <c r="E396">
        <v>159612.612612614</v>
      </c>
      <c r="F396">
        <v>90304205.405405402</v>
      </c>
      <c r="G396">
        <v>12</v>
      </c>
      <c r="H396">
        <v>13</v>
      </c>
      <c r="I396">
        <v>23</v>
      </c>
      <c r="J396">
        <v>21</v>
      </c>
      <c r="K396">
        <v>2278828.8288288289</v>
      </c>
      <c r="L396">
        <v>1513513.5135135159</v>
      </c>
      <c r="M396">
        <v>11275072.07207207</v>
      </c>
      <c r="N396">
        <v>12735864.864864865</v>
      </c>
      <c r="O396">
        <v>2890810.81081081</v>
      </c>
      <c r="P396">
        <v>2940630.6306306291</v>
      </c>
      <c r="Q396">
        <v>29652</v>
      </c>
      <c r="R396">
        <v>28307</v>
      </c>
    </row>
    <row r="397" spans="1:18" x14ac:dyDescent="0.35">
      <c r="A397" s="7" t="s">
        <v>498</v>
      </c>
      <c r="B397" s="12" t="s">
        <v>330</v>
      </c>
      <c r="C397">
        <v>51442861.196364127</v>
      </c>
      <c r="D397">
        <v>46812959.418480098</v>
      </c>
      <c r="E397">
        <v>1801.801801802</v>
      </c>
      <c r="F397">
        <v>94594.594594597002</v>
      </c>
      <c r="G397">
        <v>7</v>
      </c>
      <c r="H397">
        <v>17</v>
      </c>
      <c r="I397">
        <v>17</v>
      </c>
      <c r="J397">
        <v>23</v>
      </c>
      <c r="K397">
        <v>3857657.657657655</v>
      </c>
      <c r="L397">
        <v>94594.594594597002</v>
      </c>
      <c r="M397">
        <v>11883090.090090092</v>
      </c>
      <c r="N397">
        <v>11232810.810810812</v>
      </c>
      <c r="O397">
        <v>3343873.8738738741</v>
      </c>
      <c r="P397">
        <v>5559639.6396396402</v>
      </c>
      <c r="Q397">
        <v>27142</v>
      </c>
      <c r="R397">
        <v>26142</v>
      </c>
    </row>
    <row r="398" spans="1:18" x14ac:dyDescent="0.35">
      <c r="A398" s="7" t="s">
        <v>499</v>
      </c>
      <c r="B398" s="12" t="s">
        <v>143</v>
      </c>
      <c r="C398">
        <v>21017019.471518684</v>
      </c>
      <c r="D398">
        <v>21415353.583111603</v>
      </c>
      <c r="E398">
        <v>2702.7027027029999</v>
      </c>
      <c r="F398">
        <v>67567.567567570004</v>
      </c>
      <c r="G398">
        <v>1</v>
      </c>
      <c r="H398">
        <v>1</v>
      </c>
      <c r="I398">
        <v>3</v>
      </c>
      <c r="J398">
        <v>3</v>
      </c>
      <c r="K398">
        <v>3336036.036036035</v>
      </c>
      <c r="L398">
        <v>4932432.4324324355</v>
      </c>
      <c r="M398">
        <v>3168153.1531531541</v>
      </c>
      <c r="N398">
        <v>4224027.0270270258</v>
      </c>
      <c r="O398">
        <v>1396306.306306307</v>
      </c>
      <c r="P398">
        <v>1823513.513513515</v>
      </c>
      <c r="Q398">
        <v>7796</v>
      </c>
      <c r="R398">
        <v>8520</v>
      </c>
    </row>
    <row r="399" spans="1:18" x14ac:dyDescent="0.35">
      <c r="A399" s="7" t="s">
        <v>500</v>
      </c>
      <c r="B399" s="12" t="s">
        <v>220</v>
      </c>
      <c r="C399">
        <v>22061213.231942654</v>
      </c>
      <c r="D399">
        <v>21447381.856316347</v>
      </c>
      <c r="E399">
        <v>195495.495495496</v>
      </c>
      <c r="F399">
        <v>67567.567567570004</v>
      </c>
      <c r="G399">
        <v>6</v>
      </c>
      <c r="H399">
        <v>5</v>
      </c>
      <c r="I399">
        <v>7</v>
      </c>
      <c r="J399">
        <v>8</v>
      </c>
      <c r="K399">
        <v>22079729.729729731</v>
      </c>
      <c r="L399">
        <v>31585945.945945945</v>
      </c>
      <c r="M399">
        <v>6958468.4684684686</v>
      </c>
      <c r="N399">
        <v>6764225.225225227</v>
      </c>
      <c r="O399">
        <v>22722162.162162162</v>
      </c>
      <c r="P399">
        <v>23978648.648648649</v>
      </c>
      <c r="Q399">
        <v>12512</v>
      </c>
      <c r="R399">
        <v>11690</v>
      </c>
    </row>
    <row r="400" spans="1:18" x14ac:dyDescent="0.35">
      <c r="A400" s="7" t="s">
        <v>501</v>
      </c>
      <c r="B400" s="12" t="s">
        <v>397</v>
      </c>
      <c r="C400">
        <v>69113141.788459122</v>
      </c>
      <c r="D400">
        <v>68933082.093204886</v>
      </c>
      <c r="E400">
        <v>505370.27027027198</v>
      </c>
      <c r="F400">
        <v>296842.34234234598</v>
      </c>
      <c r="G400">
        <v>18</v>
      </c>
      <c r="H400">
        <v>6</v>
      </c>
      <c r="I400">
        <v>25</v>
      </c>
      <c r="J400">
        <v>12</v>
      </c>
      <c r="K400">
        <v>7456306.3063063072</v>
      </c>
      <c r="L400">
        <v>6020720.7207207214</v>
      </c>
      <c r="M400">
        <v>13330599.0990991</v>
      </c>
      <c r="N400">
        <v>13798792.792792792</v>
      </c>
      <c r="O400">
        <v>7517567.5675675692</v>
      </c>
      <c r="P400">
        <v>6190000</v>
      </c>
      <c r="Q400">
        <v>26630</v>
      </c>
      <c r="R400">
        <v>27272</v>
      </c>
    </row>
    <row r="401" spans="1:18" x14ac:dyDescent="0.35">
      <c r="A401" s="7" t="s">
        <v>502</v>
      </c>
      <c r="B401" s="12" t="s">
        <v>70</v>
      </c>
      <c r="C401">
        <v>967157.33681619004</v>
      </c>
      <c r="D401">
        <v>1029235.651411419</v>
      </c>
      <c r="J401">
        <v>1</v>
      </c>
      <c r="M401">
        <v>554414.41441441397</v>
      </c>
      <c r="N401">
        <v>555405.40540540498</v>
      </c>
      <c r="O401">
        <v>7207.2072072069996</v>
      </c>
      <c r="Q401">
        <v>648</v>
      </c>
      <c r="R401">
        <v>672</v>
      </c>
    </row>
    <row r="402" spans="1:18" x14ac:dyDescent="0.35">
      <c r="A402" s="7" t="s">
        <v>503</v>
      </c>
      <c r="B402" s="12" t="s">
        <v>330</v>
      </c>
      <c r="C402">
        <v>29248525.673489112</v>
      </c>
      <c r="D402">
        <v>28472716.380515747</v>
      </c>
      <c r="E402">
        <v>3603.603603604</v>
      </c>
      <c r="F402">
        <v>94594.594594595997</v>
      </c>
      <c r="G402">
        <v>4</v>
      </c>
      <c r="H402">
        <v>6</v>
      </c>
      <c r="I402">
        <v>9</v>
      </c>
      <c r="J402">
        <v>12</v>
      </c>
      <c r="K402">
        <v>2931531.5315315309</v>
      </c>
      <c r="L402">
        <v>94594.594594595997</v>
      </c>
      <c r="M402">
        <v>7253558.558558559</v>
      </c>
      <c r="N402">
        <v>6264891.8918918921</v>
      </c>
      <c r="O402">
        <v>2183693.6936936928</v>
      </c>
      <c r="P402">
        <v>2095675.675675676</v>
      </c>
      <c r="Q402">
        <v>15961</v>
      </c>
      <c r="R402">
        <v>15684</v>
      </c>
    </row>
    <row r="403" spans="1:18" x14ac:dyDescent="0.35">
      <c r="A403" s="7" t="s">
        <v>504</v>
      </c>
      <c r="B403" s="12" t="s">
        <v>283</v>
      </c>
      <c r="C403">
        <v>7523807.2395984717</v>
      </c>
      <c r="D403">
        <v>8647344.0731093306</v>
      </c>
      <c r="E403">
        <v>900.900900901</v>
      </c>
      <c r="F403">
        <v>13513.513513514001</v>
      </c>
      <c r="G403">
        <v>4</v>
      </c>
      <c r="H403">
        <v>1</v>
      </c>
      <c r="I403">
        <v>4</v>
      </c>
      <c r="J403">
        <v>1</v>
      </c>
      <c r="K403">
        <v>901801.80180180201</v>
      </c>
      <c r="L403">
        <v>13513.513513514001</v>
      </c>
      <c r="M403">
        <v>1294009.009009009</v>
      </c>
      <c r="N403">
        <v>1430135.135135134</v>
      </c>
      <c r="O403">
        <v>635135.13513513503</v>
      </c>
      <c r="P403">
        <v>21171.171171171001</v>
      </c>
      <c r="Q403">
        <v>3197</v>
      </c>
      <c r="R403">
        <v>2916</v>
      </c>
    </row>
    <row r="404" spans="1:18" x14ac:dyDescent="0.35">
      <c r="A404" s="7" t="s">
        <v>505</v>
      </c>
      <c r="B404" s="12" t="s">
        <v>260</v>
      </c>
      <c r="C404">
        <v>4921650.2769145491</v>
      </c>
      <c r="D404">
        <v>4807369.1590078026</v>
      </c>
      <c r="I404">
        <v>2</v>
      </c>
      <c r="M404">
        <v>1191081.0810810821</v>
      </c>
      <c r="N404">
        <v>880270.27027027099</v>
      </c>
      <c r="Q404">
        <v>2146</v>
      </c>
      <c r="R404">
        <v>2176</v>
      </c>
    </row>
    <row r="405" spans="1:18" x14ac:dyDescent="0.35">
      <c r="A405" s="7" t="s">
        <v>506</v>
      </c>
      <c r="B405" s="12" t="s">
        <v>236</v>
      </c>
      <c r="C405">
        <v>12534422.764759369</v>
      </c>
      <c r="D405">
        <v>12386304.838169446</v>
      </c>
      <c r="E405">
        <v>7207.2072072069996</v>
      </c>
      <c r="F405">
        <v>13513.513513514001</v>
      </c>
      <c r="G405">
        <v>4</v>
      </c>
      <c r="I405">
        <v>4</v>
      </c>
      <c r="K405">
        <v>2166666.6666666688</v>
      </c>
      <c r="L405">
        <v>914414.41441441502</v>
      </c>
      <c r="M405">
        <v>2588153.1531531531</v>
      </c>
      <c r="N405">
        <v>3135054.054054054</v>
      </c>
      <c r="O405">
        <v>2044684.6846846871</v>
      </c>
      <c r="P405">
        <v>518648.64864864899</v>
      </c>
      <c r="Q405">
        <v>4669</v>
      </c>
      <c r="R405">
        <v>4544</v>
      </c>
    </row>
    <row r="406" spans="1:18" x14ac:dyDescent="0.35">
      <c r="A406" s="7" t="s">
        <v>507</v>
      </c>
      <c r="B406" s="12" t="s">
        <v>134</v>
      </c>
      <c r="C406">
        <v>2417559.5331768659</v>
      </c>
      <c r="D406">
        <v>1597353.603651548</v>
      </c>
      <c r="M406">
        <v>259954.954954955</v>
      </c>
      <c r="N406">
        <v>326441.44144144101</v>
      </c>
      <c r="Q406">
        <v>1260</v>
      </c>
      <c r="R406">
        <v>1186</v>
      </c>
    </row>
    <row r="407" spans="1:18" x14ac:dyDescent="0.35">
      <c r="A407" s="7" t="s">
        <v>508</v>
      </c>
      <c r="B407" s="12" t="s">
        <v>397</v>
      </c>
      <c r="C407">
        <v>13986056.487545883</v>
      </c>
      <c r="D407">
        <v>13770598.598622544</v>
      </c>
      <c r="F407">
        <v>27027.027027028002</v>
      </c>
      <c r="H407">
        <v>5</v>
      </c>
      <c r="J407">
        <v>6</v>
      </c>
      <c r="K407">
        <v>3064189.1891891891</v>
      </c>
      <c r="L407">
        <v>380630.63063063199</v>
      </c>
      <c r="M407">
        <v>2605540.5405405401</v>
      </c>
      <c r="N407">
        <v>2624216.2162162159</v>
      </c>
      <c r="O407">
        <v>1522117.1171171169</v>
      </c>
      <c r="P407">
        <v>952612.61261261301</v>
      </c>
      <c r="Q407">
        <v>4419</v>
      </c>
      <c r="R407">
        <v>4381</v>
      </c>
    </row>
    <row r="408" spans="1:18" x14ac:dyDescent="0.35">
      <c r="A408" s="7" t="s">
        <v>509</v>
      </c>
      <c r="B408" s="12" t="s">
        <v>134</v>
      </c>
      <c r="C408">
        <v>15705779.650115324</v>
      </c>
      <c r="D408">
        <v>15624325.907130862</v>
      </c>
      <c r="E408">
        <v>1801.801801802</v>
      </c>
      <c r="F408">
        <v>40540.540540542002</v>
      </c>
      <c r="G408">
        <v>2</v>
      </c>
      <c r="H408">
        <v>4</v>
      </c>
      <c r="I408">
        <v>3</v>
      </c>
      <c r="J408">
        <v>6</v>
      </c>
      <c r="K408">
        <v>1749549.5495495501</v>
      </c>
      <c r="L408">
        <v>3058558.55855856</v>
      </c>
      <c r="M408">
        <v>2390405.405405405</v>
      </c>
      <c r="N408">
        <v>2802387.3873873861</v>
      </c>
      <c r="O408">
        <v>891891.89189189195</v>
      </c>
      <c r="P408">
        <v>860990.99099099101</v>
      </c>
      <c r="Q408">
        <v>5451</v>
      </c>
      <c r="R408">
        <v>5386</v>
      </c>
    </row>
    <row r="409" spans="1:18" x14ac:dyDescent="0.35">
      <c r="A409" s="7" t="s">
        <v>510</v>
      </c>
      <c r="B409" s="12" t="s">
        <v>134</v>
      </c>
      <c r="C409">
        <v>43886524.187984563</v>
      </c>
      <c r="D409">
        <v>42818610.317779966</v>
      </c>
      <c r="E409">
        <v>9009.0090090100002</v>
      </c>
      <c r="F409">
        <v>481981.98198198399</v>
      </c>
      <c r="G409">
        <v>8</v>
      </c>
      <c r="H409">
        <v>1</v>
      </c>
      <c r="I409">
        <v>13</v>
      </c>
      <c r="J409">
        <v>5</v>
      </c>
      <c r="K409">
        <v>1819819.819819821</v>
      </c>
      <c r="L409">
        <v>3364864.8648648658</v>
      </c>
      <c r="M409">
        <v>4402522.5225225249</v>
      </c>
      <c r="N409">
        <v>4356954.9549549548</v>
      </c>
      <c r="O409">
        <v>1246756.7567567581</v>
      </c>
      <c r="P409">
        <v>2686306.3063063049</v>
      </c>
      <c r="Q409">
        <v>16649</v>
      </c>
      <c r="R409">
        <v>16803</v>
      </c>
    </row>
    <row r="410" spans="1:18" x14ac:dyDescent="0.35">
      <c r="A410" s="7" t="s">
        <v>8</v>
      </c>
      <c r="B410" s="12" t="s">
        <v>158</v>
      </c>
      <c r="C410">
        <v>11320790.256762259</v>
      </c>
      <c r="D410">
        <v>9592930.6256546006</v>
      </c>
      <c r="F410">
        <v>13513.513513514001</v>
      </c>
      <c r="G410">
        <v>1</v>
      </c>
      <c r="I410">
        <v>2</v>
      </c>
      <c r="L410">
        <v>4366666.6666666679</v>
      </c>
      <c r="M410">
        <v>3295405.4054054059</v>
      </c>
      <c r="N410">
        <v>2505855.8558558552</v>
      </c>
      <c r="O410">
        <v>409459.459459459</v>
      </c>
      <c r="P410">
        <v>1863873.873873875</v>
      </c>
      <c r="Q410">
        <v>3752</v>
      </c>
      <c r="R410">
        <v>2987</v>
      </c>
    </row>
    <row r="411" spans="1:18" x14ac:dyDescent="0.35">
      <c r="A411" s="7" t="s">
        <v>511</v>
      </c>
      <c r="B411" s="12" t="s">
        <v>134</v>
      </c>
      <c r="C411">
        <v>7350366.401777735</v>
      </c>
      <c r="D411">
        <v>6791994.017656235</v>
      </c>
      <c r="I411">
        <v>1</v>
      </c>
      <c r="M411">
        <v>486351.351351352</v>
      </c>
      <c r="N411">
        <v>714549.549549549</v>
      </c>
      <c r="O411">
        <v>102072.072072072</v>
      </c>
      <c r="P411">
        <v>182522.52252252301</v>
      </c>
      <c r="Q411">
        <v>3205</v>
      </c>
      <c r="R411">
        <v>3171</v>
      </c>
    </row>
    <row r="412" spans="1:18" x14ac:dyDescent="0.35">
      <c r="A412" s="7" t="s">
        <v>512</v>
      </c>
      <c r="B412" s="12" t="s">
        <v>62</v>
      </c>
      <c r="C412">
        <v>35724313.27616211</v>
      </c>
      <c r="D412">
        <v>34300379.57785929</v>
      </c>
      <c r="E412">
        <v>136936.93693693701</v>
      </c>
      <c r="F412">
        <v>193693.69369369399</v>
      </c>
      <c r="G412">
        <v>3</v>
      </c>
      <c r="H412">
        <v>4</v>
      </c>
      <c r="I412">
        <v>7</v>
      </c>
      <c r="J412">
        <v>4</v>
      </c>
      <c r="K412">
        <v>2398198.1981981969</v>
      </c>
      <c r="L412">
        <v>1666126.1261261271</v>
      </c>
      <c r="M412">
        <v>5863243.2432432435</v>
      </c>
      <c r="N412">
        <v>7734909.9099099124</v>
      </c>
      <c r="O412">
        <v>1960360.36036036</v>
      </c>
      <c r="P412">
        <v>2080900.9009009029</v>
      </c>
      <c r="Q412">
        <v>14619</v>
      </c>
      <c r="R412">
        <v>14232</v>
      </c>
    </row>
    <row r="413" spans="1:18" x14ac:dyDescent="0.35">
      <c r="A413" s="7" t="s">
        <v>513</v>
      </c>
      <c r="B413" s="12" t="s">
        <v>117</v>
      </c>
      <c r="C413">
        <v>4095837.3574689031</v>
      </c>
      <c r="D413">
        <v>1413720.3285443161</v>
      </c>
      <c r="G413">
        <v>1</v>
      </c>
      <c r="I413">
        <v>1</v>
      </c>
      <c r="M413">
        <v>1797612.612612613</v>
      </c>
      <c r="N413">
        <v>416216.21621621598</v>
      </c>
      <c r="O413">
        <v>40540.540540540998</v>
      </c>
      <c r="Q413">
        <v>2006</v>
      </c>
      <c r="R413">
        <v>1391</v>
      </c>
    </row>
    <row r="414" spans="1:18" x14ac:dyDescent="0.35">
      <c r="A414" s="7" t="s">
        <v>514</v>
      </c>
      <c r="B414" s="12" t="s">
        <v>304</v>
      </c>
      <c r="C414">
        <v>7560911.2050343323</v>
      </c>
      <c r="D414">
        <v>6663098.9434915232</v>
      </c>
      <c r="E414">
        <v>900.900900901</v>
      </c>
      <c r="F414">
        <v>13513.513513514001</v>
      </c>
      <c r="H414">
        <v>2</v>
      </c>
      <c r="I414">
        <v>2</v>
      </c>
      <c r="J414">
        <v>3</v>
      </c>
      <c r="K414">
        <v>900.900900901</v>
      </c>
      <c r="L414">
        <v>4755405.4054054059</v>
      </c>
      <c r="M414">
        <v>471306.30630630598</v>
      </c>
      <c r="N414">
        <v>627252.25225225301</v>
      </c>
      <c r="O414">
        <v>50810.810810811003</v>
      </c>
      <c r="P414">
        <v>5141711.7117117113</v>
      </c>
      <c r="Q414">
        <v>1502</v>
      </c>
      <c r="R414">
        <v>1397</v>
      </c>
    </row>
    <row r="415" spans="1:18" x14ac:dyDescent="0.35">
      <c r="A415" s="7" t="s">
        <v>515</v>
      </c>
      <c r="B415" s="12" t="s">
        <v>304</v>
      </c>
      <c r="C415">
        <v>2415189.2292515771</v>
      </c>
      <c r="D415">
        <v>1080384.996361396</v>
      </c>
      <c r="K415">
        <v>360360.36036036001</v>
      </c>
      <c r="M415">
        <v>287252.25225225202</v>
      </c>
      <c r="N415">
        <v>100450.45045044999</v>
      </c>
      <c r="O415">
        <v>243963.96396396399</v>
      </c>
      <c r="P415">
        <v>63513.513513514001</v>
      </c>
      <c r="Q415">
        <v>605</v>
      </c>
      <c r="R415">
        <v>351</v>
      </c>
    </row>
    <row r="416" spans="1:18" x14ac:dyDescent="0.35">
      <c r="A416" s="7" t="s">
        <v>516</v>
      </c>
      <c r="B416" s="12" t="s">
        <v>304</v>
      </c>
      <c r="C416">
        <v>4117821.0476077902</v>
      </c>
      <c r="D416">
        <v>4463661.792345278</v>
      </c>
      <c r="F416">
        <v>13513.513513514001</v>
      </c>
      <c r="G416">
        <v>1</v>
      </c>
      <c r="H416">
        <v>1</v>
      </c>
      <c r="I416">
        <v>1</v>
      </c>
      <c r="J416">
        <v>2</v>
      </c>
      <c r="L416">
        <v>328828.82882882899</v>
      </c>
      <c r="M416">
        <v>601396.39639639703</v>
      </c>
      <c r="N416">
        <v>415639.639639639</v>
      </c>
      <c r="O416">
        <v>331801.80180180201</v>
      </c>
      <c r="P416">
        <v>237837.83783783799</v>
      </c>
      <c r="Q416">
        <v>1095</v>
      </c>
      <c r="R416">
        <v>1278</v>
      </c>
    </row>
    <row r="417" spans="1:18" x14ac:dyDescent="0.35">
      <c r="A417" s="7" t="s">
        <v>517</v>
      </c>
      <c r="B417" s="12" t="s">
        <v>304</v>
      </c>
      <c r="C417">
        <v>3588372.8368970798</v>
      </c>
      <c r="D417">
        <v>3146296.9180534999</v>
      </c>
      <c r="J417">
        <v>1</v>
      </c>
      <c r="K417">
        <v>180180.18018018</v>
      </c>
      <c r="M417">
        <v>640720.72072072094</v>
      </c>
      <c r="N417">
        <v>236792.79279279301</v>
      </c>
      <c r="O417">
        <v>140540.54054054001</v>
      </c>
      <c r="P417">
        <v>36036.036036035999</v>
      </c>
      <c r="Q417">
        <v>806</v>
      </c>
      <c r="R417">
        <v>803</v>
      </c>
    </row>
    <row r="418" spans="1:18" x14ac:dyDescent="0.35">
      <c r="A418" s="7" t="s">
        <v>518</v>
      </c>
      <c r="B418" s="12" t="s">
        <v>448</v>
      </c>
      <c r="C418">
        <v>2894563.0383306118</v>
      </c>
      <c r="D418">
        <v>2811843.3152541132</v>
      </c>
      <c r="E418">
        <v>900.900900901</v>
      </c>
      <c r="F418">
        <v>27027.027027027001</v>
      </c>
      <c r="G418">
        <v>1</v>
      </c>
      <c r="I418">
        <v>1</v>
      </c>
      <c r="K418">
        <v>900.900900901</v>
      </c>
      <c r="L418">
        <v>383783.78378378099</v>
      </c>
      <c r="M418">
        <v>884279.27927927906</v>
      </c>
      <c r="N418">
        <v>850630.630630631</v>
      </c>
      <c r="O418">
        <v>70990.990990991006</v>
      </c>
      <c r="P418">
        <v>543243.24324324098</v>
      </c>
      <c r="Q418">
        <v>1891</v>
      </c>
      <c r="R418">
        <v>1704</v>
      </c>
    </row>
    <row r="419" spans="1:18" x14ac:dyDescent="0.35">
      <c r="A419" s="7" t="s">
        <v>519</v>
      </c>
      <c r="B419" s="12" t="s">
        <v>85</v>
      </c>
      <c r="C419">
        <v>7353338.7567344988</v>
      </c>
      <c r="D419">
        <v>8197786.4424712472</v>
      </c>
      <c r="E419">
        <v>1801.801801802</v>
      </c>
      <c r="F419">
        <v>13513.513513514001</v>
      </c>
      <c r="G419">
        <v>1</v>
      </c>
      <c r="H419">
        <v>1</v>
      </c>
      <c r="I419">
        <v>1</v>
      </c>
      <c r="J419">
        <v>1</v>
      </c>
      <c r="K419">
        <v>1801.801801802</v>
      </c>
      <c r="L419">
        <v>13513.513513514001</v>
      </c>
      <c r="M419">
        <v>2162972.9729729728</v>
      </c>
      <c r="N419">
        <v>2227882.8828828828</v>
      </c>
      <c r="O419">
        <v>344954.95495495602</v>
      </c>
      <c r="P419">
        <v>3983513.5135135138</v>
      </c>
      <c r="Q419">
        <v>4099</v>
      </c>
      <c r="R419">
        <v>3797</v>
      </c>
    </row>
    <row r="420" spans="1:18" x14ac:dyDescent="0.35">
      <c r="A420" s="7" t="s">
        <v>520</v>
      </c>
      <c r="B420" s="12" t="s">
        <v>304</v>
      </c>
      <c r="C420">
        <v>5042657.8226566222</v>
      </c>
      <c r="D420">
        <v>5222141.0539712124</v>
      </c>
      <c r="G420">
        <v>1</v>
      </c>
      <c r="H420">
        <v>1</v>
      </c>
      <c r="I420">
        <v>1</v>
      </c>
      <c r="J420">
        <v>1</v>
      </c>
      <c r="K420">
        <v>720720.72072072094</v>
      </c>
      <c r="M420">
        <v>754774.77477477503</v>
      </c>
      <c r="N420">
        <v>935036.03603603505</v>
      </c>
      <c r="O420">
        <v>118918.91891891899</v>
      </c>
      <c r="P420">
        <v>45045.045045045001</v>
      </c>
      <c r="Q420">
        <v>1338</v>
      </c>
      <c r="R420">
        <v>1361</v>
      </c>
    </row>
    <row r="421" spans="1:18" x14ac:dyDescent="0.35">
      <c r="A421" s="7" t="s">
        <v>521</v>
      </c>
      <c r="B421" s="12" t="s">
        <v>399</v>
      </c>
      <c r="C421">
        <v>35365293.301688708</v>
      </c>
      <c r="D421">
        <v>34643135.034849413</v>
      </c>
      <c r="E421">
        <v>4504.5045045050001</v>
      </c>
      <c r="F421">
        <v>108108.108108111</v>
      </c>
      <c r="G421">
        <v>4</v>
      </c>
      <c r="H421">
        <v>3</v>
      </c>
      <c r="I421">
        <v>5</v>
      </c>
      <c r="J421">
        <v>7</v>
      </c>
      <c r="K421">
        <v>3157657.6576576582</v>
      </c>
      <c r="L421">
        <v>4220720.7207207195</v>
      </c>
      <c r="M421">
        <v>6739324.3243243247</v>
      </c>
      <c r="N421">
        <v>7524513.5135135129</v>
      </c>
      <c r="O421">
        <v>2835765.7657657652</v>
      </c>
      <c r="P421">
        <v>2522342.3423423432</v>
      </c>
      <c r="Q421">
        <v>13563</v>
      </c>
      <c r="R421">
        <v>13640</v>
      </c>
    </row>
    <row r="422" spans="1:18" x14ac:dyDescent="0.35">
      <c r="A422" s="7" t="s">
        <v>522</v>
      </c>
      <c r="B422" s="12" t="s">
        <v>143</v>
      </c>
      <c r="C422">
        <v>11326663.9509174</v>
      </c>
      <c r="D422">
        <v>10217781.371539865</v>
      </c>
      <c r="F422">
        <v>13513.513513514001</v>
      </c>
      <c r="G422">
        <v>1</v>
      </c>
      <c r="H422">
        <v>1</v>
      </c>
      <c r="I422">
        <v>1</v>
      </c>
      <c r="J422">
        <v>4</v>
      </c>
      <c r="K422">
        <v>900900.90090090095</v>
      </c>
      <c r="L422">
        <v>13513.513513514001</v>
      </c>
      <c r="M422">
        <v>787342.34234234202</v>
      </c>
      <c r="N422">
        <v>1328783.7837837839</v>
      </c>
      <c r="O422">
        <v>457207.20720720699</v>
      </c>
      <c r="P422">
        <v>613603.60360360402</v>
      </c>
      <c r="Q422">
        <v>3022</v>
      </c>
      <c r="R422">
        <v>2970</v>
      </c>
    </row>
    <row r="423" spans="1:18" x14ac:dyDescent="0.35">
      <c r="A423" s="7" t="s">
        <v>523</v>
      </c>
      <c r="B423" s="12" t="s">
        <v>66</v>
      </c>
      <c r="C423">
        <v>5944698.3515559509</v>
      </c>
      <c r="D423">
        <v>5840263.9076461447</v>
      </c>
      <c r="E423">
        <v>1801.801801802</v>
      </c>
      <c r="F423">
        <v>103603.603603604</v>
      </c>
      <c r="G423">
        <v>1</v>
      </c>
      <c r="H423">
        <v>2</v>
      </c>
      <c r="I423">
        <v>1</v>
      </c>
      <c r="J423">
        <v>2</v>
      </c>
      <c r="K423">
        <v>706306.30630630499</v>
      </c>
      <c r="L423">
        <v>103603.603603604</v>
      </c>
      <c r="M423">
        <v>2860450.4504504511</v>
      </c>
      <c r="N423">
        <v>2767162.1621621628</v>
      </c>
      <c r="O423">
        <v>984954.95495495305</v>
      </c>
      <c r="P423">
        <v>225225.225225225</v>
      </c>
      <c r="Q423">
        <v>3683</v>
      </c>
      <c r="R423">
        <v>3660</v>
      </c>
    </row>
    <row r="424" spans="1:18" x14ac:dyDescent="0.35">
      <c r="A424" s="7" t="s">
        <v>524</v>
      </c>
      <c r="B424" s="12" t="s">
        <v>220</v>
      </c>
      <c r="C424">
        <v>8193223.8638876118</v>
      </c>
      <c r="D424">
        <v>8047446.0305801621</v>
      </c>
      <c r="E424">
        <v>54088359.459459454</v>
      </c>
      <c r="F424">
        <v>36584638.738738738</v>
      </c>
      <c r="G424">
        <v>1</v>
      </c>
      <c r="H424">
        <v>2</v>
      </c>
      <c r="I424">
        <v>2</v>
      </c>
      <c r="J424">
        <v>2</v>
      </c>
      <c r="K424">
        <v>2076801.801801801</v>
      </c>
      <c r="L424">
        <v>7207.2072072069996</v>
      </c>
      <c r="M424">
        <v>1827927.927927928</v>
      </c>
      <c r="N424">
        <v>1847027.027027027</v>
      </c>
      <c r="O424">
        <v>208558.55855855899</v>
      </c>
      <c r="P424">
        <v>140630.630630631</v>
      </c>
      <c r="Q424">
        <v>4396</v>
      </c>
      <c r="R424">
        <v>4319</v>
      </c>
    </row>
    <row r="425" spans="1:18" x14ac:dyDescent="0.35">
      <c r="A425" s="7" t="s">
        <v>525</v>
      </c>
      <c r="B425" s="12" t="s">
        <v>413</v>
      </c>
      <c r="C425">
        <v>86602931.553414673</v>
      </c>
      <c r="D425">
        <v>86050633.547357455</v>
      </c>
      <c r="E425">
        <v>1001840.5405405411</v>
      </c>
      <c r="F425">
        <v>215390.09009009099</v>
      </c>
      <c r="G425">
        <v>9</v>
      </c>
      <c r="H425">
        <v>9</v>
      </c>
      <c r="I425">
        <v>18</v>
      </c>
      <c r="J425">
        <v>15</v>
      </c>
      <c r="K425">
        <v>9869549.5495495498</v>
      </c>
      <c r="L425">
        <v>2139369.369369376</v>
      </c>
      <c r="M425">
        <v>26236378.378378376</v>
      </c>
      <c r="N425">
        <v>25698081.081081081</v>
      </c>
      <c r="O425">
        <v>6021351.3513513543</v>
      </c>
      <c r="P425">
        <v>4628108.1081081117</v>
      </c>
      <c r="Q425">
        <v>32502</v>
      </c>
      <c r="R425">
        <v>31567</v>
      </c>
    </row>
    <row r="426" spans="1:18" x14ac:dyDescent="0.35">
      <c r="A426" s="7" t="s">
        <v>526</v>
      </c>
      <c r="B426" s="12" t="s">
        <v>413</v>
      </c>
      <c r="C426">
        <v>10449488.154744675</v>
      </c>
      <c r="D426">
        <v>9916609.4011405725</v>
      </c>
      <c r="F426">
        <v>13513.513513514001</v>
      </c>
      <c r="G426">
        <v>1</v>
      </c>
      <c r="I426">
        <v>1</v>
      </c>
      <c r="K426">
        <v>585945.94594594499</v>
      </c>
      <c r="L426">
        <v>914414.41441441397</v>
      </c>
      <c r="M426">
        <v>2995450.4504504511</v>
      </c>
      <c r="N426">
        <v>3403648.6486486481</v>
      </c>
      <c r="O426">
        <v>413873.87387387402</v>
      </c>
      <c r="P426">
        <v>530270.27027027099</v>
      </c>
      <c r="Q426">
        <v>4687</v>
      </c>
      <c r="R426">
        <v>8134</v>
      </c>
    </row>
    <row r="427" spans="1:18" x14ac:dyDescent="0.35">
      <c r="A427" s="7" t="s">
        <v>662</v>
      </c>
      <c r="B427" s="12" t="s">
        <v>189</v>
      </c>
      <c r="C427">
        <v>159394.96379980099</v>
      </c>
      <c r="Q427">
        <v>108</v>
      </c>
    </row>
    <row r="428" spans="1:18" x14ac:dyDescent="0.35">
      <c r="A428" s="7" t="s">
        <v>527</v>
      </c>
      <c r="B428" s="12" t="s">
        <v>147</v>
      </c>
      <c r="C428">
        <v>22259514.066142432</v>
      </c>
      <c r="D428">
        <v>20520040.415043652</v>
      </c>
      <c r="E428">
        <v>900.900900901</v>
      </c>
      <c r="F428">
        <v>40540.540540542002</v>
      </c>
      <c r="G428">
        <v>1</v>
      </c>
      <c r="H428">
        <v>3</v>
      </c>
      <c r="I428">
        <v>2</v>
      </c>
      <c r="J428">
        <v>5</v>
      </c>
      <c r="K428">
        <v>900.900900901</v>
      </c>
      <c r="L428">
        <v>293513.51351351402</v>
      </c>
      <c r="M428">
        <v>6641756.7567567583</v>
      </c>
      <c r="N428">
        <v>7541342.3423423432</v>
      </c>
      <c r="O428">
        <v>459459.45945945999</v>
      </c>
      <c r="P428">
        <v>981441.44144144002</v>
      </c>
      <c r="Q428">
        <v>10071</v>
      </c>
      <c r="R428">
        <v>9797</v>
      </c>
    </row>
    <row r="429" spans="1:18" x14ac:dyDescent="0.35">
      <c r="A429" s="7" t="s">
        <v>528</v>
      </c>
      <c r="B429" s="12" t="s">
        <v>121</v>
      </c>
      <c r="C429">
        <v>1840322.2245018799</v>
      </c>
      <c r="D429">
        <v>2007836.431095653</v>
      </c>
      <c r="F429">
        <v>40540.540540542002</v>
      </c>
      <c r="L429">
        <v>40540.540540542002</v>
      </c>
      <c r="M429">
        <v>68918.918918918993</v>
      </c>
      <c r="N429">
        <v>241891.89189189201</v>
      </c>
      <c r="O429">
        <v>207207.20720720699</v>
      </c>
      <c r="P429">
        <v>355405.40540540498</v>
      </c>
      <c r="Q429">
        <v>809</v>
      </c>
      <c r="R429">
        <v>943</v>
      </c>
    </row>
    <row r="430" spans="1:18" x14ac:dyDescent="0.35">
      <c r="A430" s="7" t="s">
        <v>529</v>
      </c>
      <c r="B430" s="12" t="s">
        <v>448</v>
      </c>
      <c r="C430">
        <v>6536099.211343036</v>
      </c>
      <c r="D430">
        <v>4298037.5674382737</v>
      </c>
      <c r="K430">
        <v>223873.873873873</v>
      </c>
      <c r="M430">
        <v>2807243.2432432431</v>
      </c>
      <c r="N430">
        <v>1475261.2612612611</v>
      </c>
      <c r="O430">
        <v>239189.189189189</v>
      </c>
      <c r="Q430">
        <v>2836</v>
      </c>
      <c r="R430">
        <v>2091</v>
      </c>
    </row>
    <row r="431" spans="1:18" x14ac:dyDescent="0.35">
      <c r="A431" s="7" t="s">
        <v>530</v>
      </c>
      <c r="B431" s="12" t="s">
        <v>448</v>
      </c>
      <c r="C431">
        <v>9510403.1969094202</v>
      </c>
      <c r="D431">
        <v>9382890.0581320953</v>
      </c>
      <c r="E431">
        <v>2702.7027027029999</v>
      </c>
      <c r="F431">
        <v>27027.027027028002</v>
      </c>
      <c r="G431">
        <v>3</v>
      </c>
      <c r="H431">
        <v>1</v>
      </c>
      <c r="I431">
        <v>3</v>
      </c>
      <c r="J431">
        <v>2</v>
      </c>
      <c r="K431">
        <v>241441.44144144101</v>
      </c>
      <c r="L431">
        <v>221621.621621623</v>
      </c>
      <c r="M431">
        <v>4112792.792792791</v>
      </c>
      <c r="N431">
        <v>4083468.4684684691</v>
      </c>
      <c r="O431">
        <v>305405.40540540498</v>
      </c>
      <c r="P431">
        <v>386936.93693693797</v>
      </c>
      <c r="Q431">
        <v>5207</v>
      </c>
      <c r="R431">
        <v>5038</v>
      </c>
    </row>
    <row r="432" spans="1:18" x14ac:dyDescent="0.35">
      <c r="A432" s="7" t="s">
        <v>531</v>
      </c>
      <c r="B432" s="12" t="s">
        <v>123</v>
      </c>
      <c r="C432">
        <v>25339750.925959088</v>
      </c>
      <c r="D432">
        <v>24866045.703581501</v>
      </c>
      <c r="E432">
        <v>423750.450450451</v>
      </c>
      <c r="F432">
        <v>223780.18018018399</v>
      </c>
      <c r="G432">
        <v>4</v>
      </c>
      <c r="H432">
        <v>5</v>
      </c>
      <c r="I432">
        <v>6</v>
      </c>
      <c r="J432">
        <v>33</v>
      </c>
      <c r="K432">
        <v>4134774.774774773</v>
      </c>
      <c r="L432">
        <v>32004144.144144144</v>
      </c>
      <c r="M432">
        <v>8023175.6756756771</v>
      </c>
      <c r="N432">
        <v>8561180.180180179</v>
      </c>
      <c r="O432">
        <v>3949729.729729733</v>
      </c>
      <c r="P432">
        <v>32242432.432432435</v>
      </c>
      <c r="Q432">
        <v>11467</v>
      </c>
      <c r="R432">
        <v>11598</v>
      </c>
    </row>
    <row r="433" spans="1:18" x14ac:dyDescent="0.35">
      <c r="A433" s="7" t="s">
        <v>532</v>
      </c>
      <c r="B433" s="12" t="s">
        <v>85</v>
      </c>
      <c r="C433">
        <v>8207782.7898287196</v>
      </c>
      <c r="D433">
        <v>7843418.5029251548</v>
      </c>
      <c r="E433">
        <v>1801.801801802</v>
      </c>
      <c r="G433">
        <v>2</v>
      </c>
      <c r="H433">
        <v>1</v>
      </c>
      <c r="I433">
        <v>2</v>
      </c>
      <c r="J433">
        <v>1</v>
      </c>
      <c r="K433">
        <v>1801.801801802</v>
      </c>
      <c r="L433">
        <v>450450.45045045001</v>
      </c>
      <c r="M433">
        <v>1683693.693693694</v>
      </c>
      <c r="N433">
        <v>1619549.5495495501</v>
      </c>
      <c r="O433">
        <v>2687027.0270270272</v>
      </c>
      <c r="P433">
        <v>49549.54954955</v>
      </c>
      <c r="Q433">
        <v>3530</v>
      </c>
      <c r="R433">
        <v>3803</v>
      </c>
    </row>
    <row r="434" spans="1:18" x14ac:dyDescent="0.35">
      <c r="A434" s="7" t="s">
        <v>9</v>
      </c>
      <c r="B434" s="12" t="s">
        <v>158</v>
      </c>
      <c r="C434">
        <v>21268851.806217629</v>
      </c>
      <c r="D434">
        <v>19754918.718430173</v>
      </c>
      <c r="E434">
        <v>900.900900901</v>
      </c>
      <c r="F434">
        <v>13513.513513514001</v>
      </c>
      <c r="G434">
        <v>7</v>
      </c>
      <c r="H434">
        <v>3</v>
      </c>
      <c r="I434">
        <v>8</v>
      </c>
      <c r="J434">
        <v>3</v>
      </c>
      <c r="K434">
        <v>42235135.135135137</v>
      </c>
      <c r="L434">
        <v>12064864.864864863</v>
      </c>
      <c r="M434">
        <v>7447792.7927927924</v>
      </c>
      <c r="N434">
        <v>6844306.3063063063</v>
      </c>
      <c r="O434">
        <v>30118648.648648649</v>
      </c>
      <c r="P434">
        <v>28542792.792792793</v>
      </c>
      <c r="Q434">
        <v>7429</v>
      </c>
      <c r="R434">
        <v>7038</v>
      </c>
    </row>
    <row r="435" spans="1:18" x14ac:dyDescent="0.35">
      <c r="A435" s="7" t="s">
        <v>533</v>
      </c>
      <c r="B435" s="12" t="s">
        <v>94</v>
      </c>
      <c r="C435">
        <v>18024845.761388335</v>
      </c>
      <c r="D435">
        <v>20215804.856961437</v>
      </c>
      <c r="E435">
        <v>3603.603603604</v>
      </c>
      <c r="F435">
        <v>13513.513513514001</v>
      </c>
      <c r="G435">
        <v>2</v>
      </c>
      <c r="H435">
        <v>1</v>
      </c>
      <c r="I435">
        <v>3</v>
      </c>
      <c r="J435">
        <v>2</v>
      </c>
      <c r="K435">
        <v>2980720.7207207209</v>
      </c>
      <c r="L435">
        <v>3707207.2072072071</v>
      </c>
      <c r="M435">
        <v>2105630.6306306301</v>
      </c>
      <c r="N435">
        <v>3054810.8108108109</v>
      </c>
      <c r="O435">
        <v>2078828.8288288291</v>
      </c>
      <c r="P435">
        <v>3791441.441441441</v>
      </c>
      <c r="Q435">
        <v>5815</v>
      </c>
      <c r="R435">
        <v>6210</v>
      </c>
    </row>
    <row r="436" spans="1:18" x14ac:dyDescent="0.35">
      <c r="A436" s="7" t="s">
        <v>534</v>
      </c>
      <c r="B436" s="12" t="s">
        <v>304</v>
      </c>
      <c r="C436">
        <v>671620.67515319202</v>
      </c>
      <c r="D436">
        <v>687455.91717067198</v>
      </c>
      <c r="M436">
        <v>129504.50450450501</v>
      </c>
      <c r="Q436">
        <v>392</v>
      </c>
      <c r="R436">
        <v>385</v>
      </c>
    </row>
    <row r="437" spans="1:18" x14ac:dyDescent="0.35">
      <c r="A437" s="7" t="s">
        <v>535</v>
      </c>
      <c r="B437" s="12" t="s">
        <v>304</v>
      </c>
      <c r="C437">
        <v>9337090.8891056981</v>
      </c>
      <c r="D437">
        <v>8896892.9382878914</v>
      </c>
      <c r="I437">
        <v>1</v>
      </c>
      <c r="J437">
        <v>1</v>
      </c>
      <c r="K437">
        <v>135135.135135135</v>
      </c>
      <c r="L437">
        <v>1981981.981981982</v>
      </c>
      <c r="M437">
        <v>608648.64864864899</v>
      </c>
      <c r="N437">
        <v>1370585.5855855851</v>
      </c>
      <c r="O437">
        <v>273873.87387387402</v>
      </c>
      <c r="P437">
        <v>569009.00900900899</v>
      </c>
      <c r="Q437">
        <v>2728</v>
      </c>
      <c r="R437">
        <v>2640</v>
      </c>
    </row>
    <row r="438" spans="1:18" x14ac:dyDescent="0.35">
      <c r="A438" s="7" t="s">
        <v>536</v>
      </c>
      <c r="B438" s="12" t="s">
        <v>85</v>
      </c>
      <c r="C438">
        <v>6850417.2931012437</v>
      </c>
      <c r="D438">
        <v>6854362.0439182026</v>
      </c>
      <c r="E438">
        <v>5405.4054054059998</v>
      </c>
      <c r="F438">
        <v>13513.513513514001</v>
      </c>
      <c r="G438">
        <v>5</v>
      </c>
      <c r="H438">
        <v>1</v>
      </c>
      <c r="I438">
        <v>5</v>
      </c>
      <c r="J438">
        <v>2</v>
      </c>
      <c r="K438">
        <v>5405.4054054059998</v>
      </c>
      <c r="L438">
        <v>5449909.9099099115</v>
      </c>
      <c r="M438">
        <v>3184594.5945945941</v>
      </c>
      <c r="N438">
        <v>2436351.3513513519</v>
      </c>
      <c r="O438">
        <v>1195135.1351351349</v>
      </c>
      <c r="P438">
        <v>1410900.900900902</v>
      </c>
      <c r="Q438">
        <v>3083</v>
      </c>
      <c r="R438">
        <v>3026</v>
      </c>
    </row>
    <row r="439" spans="1:18" x14ac:dyDescent="0.35">
      <c r="A439" s="7" t="s">
        <v>537</v>
      </c>
      <c r="B439" s="12" t="s">
        <v>448</v>
      </c>
      <c r="C439">
        <v>9857158.5504200086</v>
      </c>
      <c r="D439">
        <v>9855507.8929492608</v>
      </c>
      <c r="E439">
        <v>2702.7027027029999</v>
      </c>
      <c r="F439">
        <v>13513.513513514001</v>
      </c>
      <c r="G439">
        <v>8</v>
      </c>
      <c r="H439">
        <v>1</v>
      </c>
      <c r="I439">
        <v>9</v>
      </c>
      <c r="J439">
        <v>1</v>
      </c>
      <c r="K439">
        <v>263513.51351351402</v>
      </c>
      <c r="L439">
        <v>210135.13513513599</v>
      </c>
      <c r="M439">
        <v>2136216.2162162182</v>
      </c>
      <c r="N439">
        <v>3057511.7117117099</v>
      </c>
      <c r="O439">
        <v>177477.47747747801</v>
      </c>
      <c r="P439">
        <v>147387.38738738699</v>
      </c>
      <c r="Q439">
        <v>5084</v>
      </c>
      <c r="R439">
        <v>5091</v>
      </c>
    </row>
    <row r="440" spans="1:18" x14ac:dyDescent="0.35">
      <c r="A440" s="7" t="s">
        <v>538</v>
      </c>
      <c r="B440" s="12" t="s">
        <v>117</v>
      </c>
      <c r="C440">
        <v>22568477.93433952</v>
      </c>
      <c r="D440">
        <v>21898649.865338881</v>
      </c>
      <c r="E440">
        <v>2702.7027027029999</v>
      </c>
      <c r="F440">
        <v>13513.513513514001</v>
      </c>
      <c r="G440">
        <v>2</v>
      </c>
      <c r="H440">
        <v>2</v>
      </c>
      <c r="I440">
        <v>5</v>
      </c>
      <c r="J440">
        <v>4</v>
      </c>
      <c r="K440">
        <v>7754414.4144144123</v>
      </c>
      <c r="L440">
        <v>2626126.1261261269</v>
      </c>
      <c r="M440">
        <v>11004549.54954955</v>
      </c>
      <c r="N440">
        <v>12978963.963963963</v>
      </c>
      <c r="O440">
        <v>4440540.5405405425</v>
      </c>
      <c r="P440">
        <v>2938108.1081081061</v>
      </c>
      <c r="Q440">
        <v>11261</v>
      </c>
      <c r="R440">
        <v>11945</v>
      </c>
    </row>
    <row r="441" spans="1:18" x14ac:dyDescent="0.35">
      <c r="A441" s="7" t="s">
        <v>539</v>
      </c>
      <c r="B441" s="12" t="s">
        <v>83</v>
      </c>
      <c r="C441">
        <v>76367629.364137009</v>
      </c>
      <c r="D441">
        <v>75644083.487056091</v>
      </c>
      <c r="E441">
        <v>4504.5045045050001</v>
      </c>
      <c r="F441">
        <v>292792.79279279598</v>
      </c>
      <c r="G441">
        <v>5</v>
      </c>
      <c r="H441">
        <v>12</v>
      </c>
      <c r="I441">
        <v>6</v>
      </c>
      <c r="J441">
        <v>22</v>
      </c>
      <c r="K441">
        <v>3726126.126126125</v>
      </c>
      <c r="L441">
        <v>2148648.6486486509</v>
      </c>
      <c r="M441">
        <v>5788963.9639639631</v>
      </c>
      <c r="N441">
        <v>7024801.8018017998</v>
      </c>
      <c r="O441">
        <v>3010720.7207207181</v>
      </c>
      <c r="P441">
        <v>3024054.0540540558</v>
      </c>
      <c r="Q441">
        <v>21587</v>
      </c>
      <c r="R441">
        <v>21527</v>
      </c>
    </row>
    <row r="442" spans="1:18" x14ac:dyDescent="0.35">
      <c r="A442" s="7" t="s">
        <v>540</v>
      </c>
      <c r="B442" s="12" t="s">
        <v>315</v>
      </c>
      <c r="C442">
        <v>8574419.3284853008</v>
      </c>
      <c r="D442">
        <v>8525053.2921347618</v>
      </c>
      <c r="E442">
        <v>395986.48648648598</v>
      </c>
      <c r="F442">
        <v>491990.99099099101</v>
      </c>
      <c r="K442">
        <v>365765.76576576498</v>
      </c>
      <c r="M442">
        <v>1520450.4504504499</v>
      </c>
      <c r="N442">
        <v>1373558.5585585581</v>
      </c>
      <c r="O442">
        <v>648468.46846846805</v>
      </c>
      <c r="P442">
        <v>178828.82882882899</v>
      </c>
      <c r="Q442">
        <v>2517</v>
      </c>
      <c r="R442">
        <v>2688</v>
      </c>
    </row>
    <row r="443" spans="1:18" x14ac:dyDescent="0.35">
      <c r="A443" s="7" t="s">
        <v>541</v>
      </c>
      <c r="B443" s="12" t="s">
        <v>169</v>
      </c>
      <c r="C443">
        <v>57554172.310196675</v>
      </c>
      <c r="D443">
        <v>51700062.551826417</v>
      </c>
      <c r="E443">
        <v>900.900900901</v>
      </c>
      <c r="F443">
        <v>207207.20720720699</v>
      </c>
      <c r="G443">
        <v>2</v>
      </c>
      <c r="H443">
        <v>8</v>
      </c>
      <c r="I443">
        <v>3</v>
      </c>
      <c r="J443">
        <v>8</v>
      </c>
      <c r="K443">
        <v>2380360.3603603579</v>
      </c>
      <c r="L443">
        <v>4351351.3513513496</v>
      </c>
      <c r="M443">
        <v>22315720.72072072</v>
      </c>
      <c r="N443">
        <v>19506279.27927928</v>
      </c>
      <c r="O443">
        <v>2635765.7657657671</v>
      </c>
      <c r="P443">
        <v>1982612.6126126139</v>
      </c>
      <c r="Q443">
        <v>21665</v>
      </c>
      <c r="R443">
        <v>20533</v>
      </c>
    </row>
    <row r="444" spans="1:18" x14ac:dyDescent="0.35">
      <c r="A444" s="7" t="s">
        <v>542</v>
      </c>
      <c r="B444" s="12" t="s">
        <v>479</v>
      </c>
      <c r="C444">
        <v>20275142.465206634</v>
      </c>
      <c r="D444">
        <v>19066385.772519488</v>
      </c>
      <c r="F444">
        <v>13513.513513514001</v>
      </c>
      <c r="G444">
        <v>1</v>
      </c>
      <c r="H444">
        <v>1</v>
      </c>
      <c r="I444">
        <v>1</v>
      </c>
      <c r="J444">
        <v>1</v>
      </c>
      <c r="K444">
        <v>9009.0090090089998</v>
      </c>
      <c r="L444">
        <v>13513.513513514001</v>
      </c>
      <c r="M444">
        <v>2390855.8558558561</v>
      </c>
      <c r="N444">
        <v>1812999.9999999991</v>
      </c>
      <c r="Q444">
        <v>6350</v>
      </c>
      <c r="R444">
        <v>5385</v>
      </c>
    </row>
    <row r="445" spans="1:18" x14ac:dyDescent="0.35">
      <c r="A445" s="7" t="s">
        <v>543</v>
      </c>
      <c r="B445" s="12" t="s">
        <v>80</v>
      </c>
      <c r="C445">
        <v>4898163.4199691061</v>
      </c>
      <c r="D445">
        <v>4340148.3623430468</v>
      </c>
      <c r="E445">
        <v>3603.603603604</v>
      </c>
      <c r="G445">
        <v>2</v>
      </c>
      <c r="I445">
        <v>2</v>
      </c>
      <c r="K445">
        <v>2120720.72072072</v>
      </c>
      <c r="M445">
        <v>1654234.2342342329</v>
      </c>
      <c r="N445">
        <v>1707738.7387387389</v>
      </c>
      <c r="O445">
        <v>994144.14414414403</v>
      </c>
      <c r="P445">
        <v>61801.801801802001</v>
      </c>
      <c r="Q445">
        <v>2329</v>
      </c>
      <c r="R445">
        <v>2225</v>
      </c>
    </row>
    <row r="446" spans="1:18" x14ac:dyDescent="0.35">
      <c r="A446" s="7" t="s">
        <v>544</v>
      </c>
      <c r="B446" s="12" t="s">
        <v>169</v>
      </c>
      <c r="C446">
        <v>3115178.7199215209</v>
      </c>
      <c r="D446">
        <v>4895019.425816006</v>
      </c>
      <c r="J446">
        <v>2</v>
      </c>
      <c r="M446">
        <v>2318378.3783783792</v>
      </c>
      <c r="N446">
        <v>2069324.324324324</v>
      </c>
      <c r="O446">
        <v>132252.25225225199</v>
      </c>
      <c r="Q446">
        <v>2456</v>
      </c>
      <c r="R446">
        <v>2357</v>
      </c>
    </row>
    <row r="447" spans="1:18" x14ac:dyDescent="0.35">
      <c r="A447" s="7" t="s">
        <v>545</v>
      </c>
      <c r="B447" s="12" t="s">
        <v>224</v>
      </c>
      <c r="C447">
        <v>1635.1351351349999</v>
      </c>
      <c r="Q447">
        <v>1</v>
      </c>
    </row>
    <row r="448" spans="1:18" x14ac:dyDescent="0.35">
      <c r="A448" s="7" t="s">
        <v>546</v>
      </c>
      <c r="B448" s="12" t="s">
        <v>136</v>
      </c>
      <c r="C448">
        <v>11149582.655309692</v>
      </c>
      <c r="D448">
        <v>11603818.556579676</v>
      </c>
      <c r="E448">
        <v>2702.7027027029999</v>
      </c>
      <c r="F448">
        <v>27027.027027028002</v>
      </c>
      <c r="G448">
        <v>3</v>
      </c>
      <c r="I448">
        <v>5</v>
      </c>
      <c r="J448">
        <v>3</v>
      </c>
      <c r="K448">
        <v>2702.7027027029999</v>
      </c>
      <c r="L448">
        <v>2733333.3333333321</v>
      </c>
      <c r="M448">
        <v>3382477.4774774788</v>
      </c>
      <c r="N448">
        <v>2930430.630630631</v>
      </c>
      <c r="O448">
        <v>871711.71171171102</v>
      </c>
      <c r="P448">
        <v>2708828.8288288298</v>
      </c>
      <c r="Q448">
        <v>4409</v>
      </c>
      <c r="R448">
        <v>4486</v>
      </c>
    </row>
    <row r="449" spans="1:18" x14ac:dyDescent="0.35">
      <c r="A449" s="7" t="s">
        <v>547</v>
      </c>
      <c r="B449" s="12" t="s">
        <v>136</v>
      </c>
      <c r="C449">
        <v>19928277.011622928</v>
      </c>
      <c r="D449">
        <v>20916869.750262205</v>
      </c>
      <c r="E449">
        <v>471759.45945945999</v>
      </c>
      <c r="F449">
        <v>417622.52252252499</v>
      </c>
      <c r="G449">
        <v>7</v>
      </c>
      <c r="H449">
        <v>8</v>
      </c>
      <c r="I449">
        <v>10</v>
      </c>
      <c r="J449">
        <v>15</v>
      </c>
      <c r="K449">
        <v>5873873.8738738718</v>
      </c>
      <c r="L449">
        <v>5357657.6576576559</v>
      </c>
      <c r="M449">
        <v>5701513.513513512</v>
      </c>
      <c r="N449">
        <v>6978810.810810809</v>
      </c>
      <c r="O449">
        <v>3755135.1351351361</v>
      </c>
      <c r="P449">
        <v>4678828.8288288284</v>
      </c>
      <c r="Q449">
        <v>12669</v>
      </c>
      <c r="R449">
        <v>12440</v>
      </c>
    </row>
    <row r="450" spans="1:18" x14ac:dyDescent="0.35">
      <c r="A450" s="7" t="s">
        <v>670</v>
      </c>
      <c r="B450" s="12" t="s">
        <v>136</v>
      </c>
      <c r="L450">
        <v>14414.414414413999</v>
      </c>
    </row>
    <row r="451" spans="1:18" x14ac:dyDescent="0.35">
      <c r="A451" s="7" t="s">
        <v>548</v>
      </c>
      <c r="B451" s="12" t="s">
        <v>136</v>
      </c>
      <c r="C451">
        <v>24276856.654403981</v>
      </c>
      <c r="D451">
        <v>23716716.998094909</v>
      </c>
      <c r="E451">
        <v>271171.17117117101</v>
      </c>
      <c r="F451">
        <v>13513.513513514001</v>
      </c>
      <c r="G451">
        <v>1</v>
      </c>
      <c r="H451">
        <v>1</v>
      </c>
      <c r="I451">
        <v>1</v>
      </c>
      <c r="J451">
        <v>2</v>
      </c>
      <c r="K451">
        <v>2793693.6936936928</v>
      </c>
      <c r="L451">
        <v>2716216.2162162159</v>
      </c>
      <c r="M451">
        <v>3399405.4054054059</v>
      </c>
      <c r="N451">
        <v>3589639.6396396402</v>
      </c>
      <c r="O451">
        <v>788648.64864865004</v>
      </c>
      <c r="P451">
        <v>2017657.6576576589</v>
      </c>
      <c r="Q451">
        <v>8250</v>
      </c>
      <c r="R451">
        <v>8684</v>
      </c>
    </row>
    <row r="452" spans="1:18" x14ac:dyDescent="0.35">
      <c r="A452" s="7" t="s">
        <v>549</v>
      </c>
      <c r="B452" s="12" t="s">
        <v>136</v>
      </c>
      <c r="C452">
        <v>9795276.1016481798</v>
      </c>
      <c r="D452">
        <v>8057828.6723209098</v>
      </c>
      <c r="E452">
        <v>900.900900901</v>
      </c>
      <c r="F452">
        <v>13513.513513514001</v>
      </c>
      <c r="G452">
        <v>3</v>
      </c>
      <c r="H452">
        <v>1</v>
      </c>
      <c r="I452">
        <v>5</v>
      </c>
      <c r="J452">
        <v>2</v>
      </c>
      <c r="K452">
        <v>900.900900901</v>
      </c>
      <c r="L452">
        <v>13513.513513514001</v>
      </c>
      <c r="M452">
        <v>1828873.8738738741</v>
      </c>
      <c r="N452">
        <v>1927477.4774774781</v>
      </c>
      <c r="O452">
        <v>556486.48648648697</v>
      </c>
      <c r="P452">
        <v>913243.24324324296</v>
      </c>
      <c r="Q452">
        <v>3759</v>
      </c>
      <c r="R452">
        <v>3564</v>
      </c>
    </row>
    <row r="453" spans="1:18" x14ac:dyDescent="0.35">
      <c r="A453" s="7" t="s">
        <v>550</v>
      </c>
      <c r="B453" s="12" t="s">
        <v>87</v>
      </c>
      <c r="C453">
        <v>5412598.1172826653</v>
      </c>
      <c r="D453">
        <v>4485465.4538183799</v>
      </c>
      <c r="F453">
        <v>13513.513513514001</v>
      </c>
      <c r="G453">
        <v>2</v>
      </c>
      <c r="H453">
        <v>1</v>
      </c>
      <c r="I453">
        <v>3</v>
      </c>
      <c r="J453">
        <v>2</v>
      </c>
      <c r="L453">
        <v>13513.513513514001</v>
      </c>
      <c r="M453">
        <v>413648.64864864899</v>
      </c>
      <c r="N453">
        <v>706126.12612612604</v>
      </c>
      <c r="O453">
        <v>66306.306306307</v>
      </c>
      <c r="P453">
        <v>255855.855855856</v>
      </c>
      <c r="Q453">
        <v>1442</v>
      </c>
      <c r="R453">
        <v>1321</v>
      </c>
    </row>
    <row r="454" spans="1:18" x14ac:dyDescent="0.35">
      <c r="A454" s="7" t="s">
        <v>551</v>
      </c>
      <c r="B454" s="12" t="s">
        <v>87</v>
      </c>
      <c r="C454">
        <v>7127312.4132456584</v>
      </c>
      <c r="D454">
        <v>7096695.2058660369</v>
      </c>
      <c r="E454">
        <v>900.900900901</v>
      </c>
      <c r="I454">
        <v>1</v>
      </c>
      <c r="J454">
        <v>2</v>
      </c>
      <c r="K454">
        <v>900.900900901</v>
      </c>
      <c r="M454">
        <v>592747.74774774804</v>
      </c>
      <c r="N454">
        <v>533151.35135135101</v>
      </c>
      <c r="O454">
        <v>257837.837837837</v>
      </c>
      <c r="P454">
        <v>134324.324324324</v>
      </c>
      <c r="Q454">
        <v>2607</v>
      </c>
      <c r="R454">
        <v>2547</v>
      </c>
    </row>
    <row r="455" spans="1:18" x14ac:dyDescent="0.35">
      <c r="A455" s="7" t="s">
        <v>552</v>
      </c>
      <c r="B455" s="12" t="s">
        <v>66</v>
      </c>
      <c r="C455">
        <v>12295891.507467734</v>
      </c>
      <c r="D455">
        <v>11970408.476452423</v>
      </c>
      <c r="E455">
        <v>587387.38738738699</v>
      </c>
      <c r="F455">
        <v>81081.081081084005</v>
      </c>
      <c r="G455">
        <v>2</v>
      </c>
      <c r="H455">
        <v>4</v>
      </c>
      <c r="I455">
        <v>4</v>
      </c>
      <c r="J455">
        <v>10</v>
      </c>
      <c r="K455">
        <v>587387.38738738699</v>
      </c>
      <c r="L455">
        <v>2074504.5045045021</v>
      </c>
      <c r="M455">
        <v>5395801.8018018026</v>
      </c>
      <c r="N455">
        <v>5622729.7297297269</v>
      </c>
      <c r="O455">
        <v>1647117.1171171181</v>
      </c>
      <c r="P455">
        <v>1866846.8468468429</v>
      </c>
      <c r="Q455">
        <v>9010</v>
      </c>
      <c r="R455">
        <v>8805</v>
      </c>
    </row>
    <row r="456" spans="1:18" x14ac:dyDescent="0.35">
      <c r="A456" s="7" t="s">
        <v>553</v>
      </c>
      <c r="B456" s="12" t="s">
        <v>554</v>
      </c>
      <c r="C456">
        <v>24696624.312924951</v>
      </c>
      <c r="D456">
        <v>22265754.041468319</v>
      </c>
      <c r="E456">
        <v>5405.4054054059998</v>
      </c>
      <c r="F456">
        <v>306306.30630630697</v>
      </c>
      <c r="G456">
        <v>3</v>
      </c>
      <c r="H456">
        <v>3</v>
      </c>
      <c r="I456">
        <v>8</v>
      </c>
      <c r="J456">
        <v>4</v>
      </c>
      <c r="K456">
        <v>536936.93693693704</v>
      </c>
      <c r="L456">
        <v>6769369.3693693662</v>
      </c>
      <c r="M456">
        <v>5572162.1621621624</v>
      </c>
      <c r="N456">
        <v>6547423.4234234234</v>
      </c>
      <c r="O456">
        <v>1780180.1801801799</v>
      </c>
      <c r="P456">
        <v>6109459.4594594566</v>
      </c>
      <c r="Q456">
        <v>9539</v>
      </c>
      <c r="R456">
        <v>8476</v>
      </c>
    </row>
    <row r="457" spans="1:18" x14ac:dyDescent="0.35">
      <c r="A457" s="7" t="s">
        <v>555</v>
      </c>
      <c r="B457" s="12" t="s">
        <v>554</v>
      </c>
      <c r="C457">
        <v>3475954.3258923851</v>
      </c>
      <c r="D457">
        <v>3242941.9642193168</v>
      </c>
      <c r="E457">
        <v>46687.387387388</v>
      </c>
      <c r="F457">
        <v>335939.63963963999</v>
      </c>
      <c r="G457">
        <v>2</v>
      </c>
      <c r="H457">
        <v>1</v>
      </c>
      <c r="I457">
        <v>2</v>
      </c>
      <c r="J457">
        <v>1</v>
      </c>
      <c r="K457">
        <v>1801.801801802</v>
      </c>
      <c r="L457">
        <v>2702702.702702703</v>
      </c>
      <c r="M457">
        <v>1319099.0990990989</v>
      </c>
      <c r="N457">
        <v>1215900.9009009011</v>
      </c>
      <c r="O457">
        <v>280810.810810811</v>
      </c>
      <c r="P457">
        <v>71171.171171170994</v>
      </c>
      <c r="Q457">
        <v>1643</v>
      </c>
      <c r="R457">
        <v>1437</v>
      </c>
    </row>
    <row r="458" spans="1:18" x14ac:dyDescent="0.35">
      <c r="A458" s="7" t="s">
        <v>556</v>
      </c>
      <c r="B458" s="12" t="s">
        <v>121</v>
      </c>
      <c r="C458">
        <v>3476288.766232064</v>
      </c>
      <c r="D458">
        <v>3315926.823002751</v>
      </c>
      <c r="M458">
        <v>144144.144144144</v>
      </c>
      <c r="N458">
        <v>475675.67567567597</v>
      </c>
      <c r="Q458">
        <v>1416</v>
      </c>
      <c r="R458">
        <v>1295</v>
      </c>
    </row>
    <row r="459" spans="1:18" x14ac:dyDescent="0.35">
      <c r="A459" s="7" t="s">
        <v>557</v>
      </c>
      <c r="B459" s="12" t="s">
        <v>70</v>
      </c>
      <c r="C459">
        <v>24284688.567039602</v>
      </c>
      <c r="D459">
        <v>24791089.728107143</v>
      </c>
      <c r="E459">
        <v>57167.567567568003</v>
      </c>
      <c r="F459">
        <v>1219452.2522522551</v>
      </c>
      <c r="G459">
        <v>5</v>
      </c>
      <c r="H459">
        <v>6</v>
      </c>
      <c r="I459">
        <v>7</v>
      </c>
      <c r="J459">
        <v>9</v>
      </c>
      <c r="K459">
        <v>37277743.24324324</v>
      </c>
      <c r="L459">
        <v>38383793.693693697</v>
      </c>
      <c r="M459">
        <v>7812702.7027027011</v>
      </c>
      <c r="N459">
        <v>9067117.11711712</v>
      </c>
      <c r="O459">
        <v>2624954.9549549548</v>
      </c>
      <c r="P459">
        <v>4223963.963963964</v>
      </c>
      <c r="Q459">
        <v>10429</v>
      </c>
      <c r="R459">
        <v>10204</v>
      </c>
    </row>
    <row r="460" spans="1:18" x14ac:dyDescent="0.35">
      <c r="A460" s="7" t="s">
        <v>558</v>
      </c>
      <c r="B460" s="12" t="s">
        <v>62</v>
      </c>
      <c r="C460">
        <v>43753984.037401587</v>
      </c>
      <c r="D460">
        <v>43530076.019006178</v>
      </c>
      <c r="E460">
        <v>139639.63963963999</v>
      </c>
      <c r="F460">
        <v>364864.864864868</v>
      </c>
      <c r="G460">
        <v>5</v>
      </c>
      <c r="H460">
        <v>9</v>
      </c>
      <c r="I460">
        <v>11</v>
      </c>
      <c r="J460">
        <v>16</v>
      </c>
      <c r="K460">
        <v>4465045.0450450433</v>
      </c>
      <c r="L460">
        <v>3016396.3963963962</v>
      </c>
      <c r="M460">
        <v>9453738.738738738</v>
      </c>
      <c r="N460">
        <v>10776873.873873875</v>
      </c>
      <c r="O460">
        <v>2733693.6936936919</v>
      </c>
      <c r="P460">
        <v>3278918.918918916</v>
      </c>
      <c r="Q460">
        <v>18018</v>
      </c>
      <c r="R460">
        <v>18494</v>
      </c>
    </row>
    <row r="461" spans="1:18" x14ac:dyDescent="0.35">
      <c r="A461" s="7" t="s">
        <v>559</v>
      </c>
      <c r="B461" s="12" t="s">
        <v>479</v>
      </c>
      <c r="C461">
        <v>23080651.500901513</v>
      </c>
      <c r="D461">
        <v>20843641.970368966</v>
      </c>
      <c r="E461">
        <v>18085666.666666668</v>
      </c>
      <c r="F461">
        <v>310011.711711713</v>
      </c>
      <c r="G461">
        <v>10</v>
      </c>
      <c r="H461">
        <v>2</v>
      </c>
      <c r="I461">
        <v>13</v>
      </c>
      <c r="J461">
        <v>4</v>
      </c>
      <c r="K461">
        <v>2691891.891891893</v>
      </c>
      <c r="L461">
        <v>3362387.3873873912</v>
      </c>
      <c r="M461">
        <v>5728144.1441441439</v>
      </c>
      <c r="N461">
        <v>5563954.9549549548</v>
      </c>
      <c r="O461">
        <v>1910900.900900902</v>
      </c>
      <c r="P461">
        <v>2017477.47747748</v>
      </c>
      <c r="Q461">
        <v>8059</v>
      </c>
      <c r="R461">
        <v>7522</v>
      </c>
    </row>
    <row r="462" spans="1:18" x14ac:dyDescent="0.35">
      <c r="A462" s="7" t="s">
        <v>560</v>
      </c>
      <c r="B462" s="12" t="s">
        <v>236</v>
      </c>
      <c r="C462">
        <v>2882073.8401199281</v>
      </c>
      <c r="D462">
        <v>3237772.4194291299</v>
      </c>
      <c r="E462">
        <v>900.900900901</v>
      </c>
      <c r="G462">
        <v>1</v>
      </c>
      <c r="I462">
        <v>1</v>
      </c>
      <c r="J462">
        <v>1</v>
      </c>
      <c r="K462">
        <v>900.900900901</v>
      </c>
      <c r="M462">
        <v>772207.20720720699</v>
      </c>
      <c r="N462">
        <v>1199549.5495495501</v>
      </c>
      <c r="O462">
        <v>85945.945945946005</v>
      </c>
      <c r="P462">
        <v>50450.45045045</v>
      </c>
      <c r="Q462">
        <v>2215</v>
      </c>
      <c r="R462">
        <v>2036</v>
      </c>
    </row>
    <row r="463" spans="1:18" x14ac:dyDescent="0.35">
      <c r="A463" s="7" t="s">
        <v>561</v>
      </c>
      <c r="B463" s="12" t="s">
        <v>60</v>
      </c>
      <c r="C463">
        <v>3494293.0320960651</v>
      </c>
      <c r="D463">
        <v>3741924.055395009</v>
      </c>
      <c r="F463">
        <v>40540.540540542002</v>
      </c>
      <c r="H463">
        <v>1</v>
      </c>
      <c r="J463">
        <v>3</v>
      </c>
      <c r="K463">
        <v>630630.63063062995</v>
      </c>
      <c r="L463">
        <v>581081.081081082</v>
      </c>
      <c r="M463">
        <v>1472162.1621621619</v>
      </c>
      <c r="N463">
        <v>1994729.7297297299</v>
      </c>
      <c r="O463">
        <v>666756.75675675704</v>
      </c>
      <c r="P463">
        <v>1401171.1711711709</v>
      </c>
      <c r="Q463">
        <v>1294</v>
      </c>
      <c r="R463">
        <v>1186</v>
      </c>
    </row>
    <row r="464" spans="1:18" x14ac:dyDescent="0.35">
      <c r="A464" s="7" t="s">
        <v>562</v>
      </c>
      <c r="B464" s="12" t="s">
        <v>563</v>
      </c>
      <c r="C464">
        <v>16906265.526248489</v>
      </c>
      <c r="D464">
        <v>18659857.167676833</v>
      </c>
      <c r="E464">
        <v>199158.558558558</v>
      </c>
      <c r="F464">
        <v>185410.81081081199</v>
      </c>
      <c r="G464">
        <v>4</v>
      </c>
      <c r="H464">
        <v>3</v>
      </c>
      <c r="I464">
        <v>7</v>
      </c>
      <c r="J464">
        <v>6</v>
      </c>
      <c r="K464">
        <v>2652252.2522522542</v>
      </c>
      <c r="L464">
        <v>1272072.0720720759</v>
      </c>
      <c r="M464">
        <v>7150360.3603603607</v>
      </c>
      <c r="N464">
        <v>8655729.7297297288</v>
      </c>
      <c r="O464">
        <v>10874504.504504504</v>
      </c>
      <c r="P464">
        <v>12315495.4954955</v>
      </c>
      <c r="Q464">
        <v>8424</v>
      </c>
      <c r="R464">
        <v>10020</v>
      </c>
    </row>
    <row r="465" spans="1:18" x14ac:dyDescent="0.35">
      <c r="A465" s="7" t="s">
        <v>564</v>
      </c>
      <c r="B465" s="12" t="s">
        <v>563</v>
      </c>
      <c r="C465">
        <v>24541392.123830289</v>
      </c>
      <c r="D465">
        <v>24032590.137518976</v>
      </c>
      <c r="F465">
        <v>108108.10810811</v>
      </c>
      <c r="G465">
        <v>5</v>
      </c>
      <c r="H465">
        <v>2</v>
      </c>
      <c r="I465">
        <v>7</v>
      </c>
      <c r="J465">
        <v>5</v>
      </c>
      <c r="K465">
        <v>4696396.3963963985</v>
      </c>
      <c r="L465">
        <v>1385585.5855855909</v>
      </c>
      <c r="M465">
        <v>9643333.333333334</v>
      </c>
      <c r="N465">
        <v>9812477.4774774797</v>
      </c>
      <c r="O465">
        <v>1574144.1441441451</v>
      </c>
      <c r="P465">
        <v>1577927.927927935</v>
      </c>
      <c r="Q465">
        <v>12251</v>
      </c>
      <c r="R465">
        <v>12139</v>
      </c>
    </row>
    <row r="466" spans="1:18" x14ac:dyDescent="0.35">
      <c r="A466" s="7" t="s">
        <v>565</v>
      </c>
      <c r="B466" s="12" t="s">
        <v>563</v>
      </c>
      <c r="C466">
        <v>16942973.025044251</v>
      </c>
      <c r="D466">
        <v>17251916.635757335</v>
      </c>
      <c r="E466">
        <v>7207.207207208</v>
      </c>
      <c r="F466">
        <v>40540.540540542002</v>
      </c>
      <c r="G466">
        <v>3</v>
      </c>
      <c r="H466">
        <v>2</v>
      </c>
      <c r="I466">
        <v>6</v>
      </c>
      <c r="J466">
        <v>4</v>
      </c>
      <c r="K466">
        <v>1247747.74774775</v>
      </c>
      <c r="L466">
        <v>992432.43243243801</v>
      </c>
      <c r="M466">
        <v>7885045.0450450452</v>
      </c>
      <c r="N466">
        <v>7694522.5225225221</v>
      </c>
      <c r="O466">
        <v>2092792.7927927941</v>
      </c>
      <c r="P466">
        <v>1171981.981981986</v>
      </c>
      <c r="Q466">
        <v>11595</v>
      </c>
      <c r="R466">
        <v>11827</v>
      </c>
    </row>
    <row r="467" spans="1:18" x14ac:dyDescent="0.35">
      <c r="A467" s="7" t="s">
        <v>566</v>
      </c>
      <c r="B467" s="12" t="s">
        <v>563</v>
      </c>
      <c r="C467">
        <v>10978177.677042671</v>
      </c>
      <c r="D467">
        <v>12569245.59943516</v>
      </c>
      <c r="G467">
        <v>3</v>
      </c>
      <c r="H467">
        <v>1</v>
      </c>
      <c r="I467">
        <v>3</v>
      </c>
      <c r="J467">
        <v>1</v>
      </c>
      <c r="K467">
        <v>2581261.2612612648</v>
      </c>
      <c r="L467">
        <v>872072.072072073</v>
      </c>
      <c r="M467">
        <v>6302342.3423423413</v>
      </c>
      <c r="N467">
        <v>7276666.666666667</v>
      </c>
      <c r="O467">
        <v>2929009.0090090111</v>
      </c>
      <c r="P467">
        <v>1575225.225225227</v>
      </c>
      <c r="Q467">
        <v>6496</v>
      </c>
      <c r="R467">
        <v>6941</v>
      </c>
    </row>
    <row r="468" spans="1:18" x14ac:dyDescent="0.35">
      <c r="A468" s="7" t="s">
        <v>567</v>
      </c>
      <c r="B468" s="12" t="s">
        <v>563</v>
      </c>
      <c r="C468">
        <v>6498652.3490214283</v>
      </c>
      <c r="D468">
        <v>7003377.2763216142</v>
      </c>
      <c r="E468">
        <v>1801.801801802</v>
      </c>
      <c r="F468">
        <v>27027.027027028002</v>
      </c>
      <c r="I468">
        <v>1</v>
      </c>
      <c r="K468">
        <v>665540.54054054106</v>
      </c>
      <c r="L468">
        <v>1087162.162162164</v>
      </c>
      <c r="M468">
        <v>3357522.5225225231</v>
      </c>
      <c r="N468">
        <v>2629189.1891891882</v>
      </c>
      <c r="O468">
        <v>201441.441441442</v>
      </c>
      <c r="P468">
        <v>426576.57657657698</v>
      </c>
      <c r="Q468">
        <v>4841</v>
      </c>
      <c r="R468">
        <v>4591</v>
      </c>
    </row>
    <row r="469" spans="1:18" x14ac:dyDescent="0.35">
      <c r="A469" s="7" t="s">
        <v>568</v>
      </c>
      <c r="B469" s="12" t="s">
        <v>48</v>
      </c>
      <c r="C469">
        <v>15964677.269758148</v>
      </c>
      <c r="D469">
        <v>14443850.069105156</v>
      </c>
      <c r="F469">
        <v>270270.27027027</v>
      </c>
      <c r="L469">
        <v>270270.27027027</v>
      </c>
      <c r="M469">
        <v>1105000</v>
      </c>
      <c r="N469">
        <v>1204009.009009009</v>
      </c>
      <c r="O469">
        <v>168288.28828828799</v>
      </c>
      <c r="P469">
        <v>147387.38738738699</v>
      </c>
      <c r="Q469">
        <v>6077</v>
      </c>
      <c r="R469">
        <v>7736</v>
      </c>
    </row>
    <row r="470" spans="1:18" x14ac:dyDescent="0.35">
      <c r="A470" s="7" t="s">
        <v>569</v>
      </c>
      <c r="B470" s="12" t="s">
        <v>169</v>
      </c>
      <c r="C470">
        <v>127253048.56069662</v>
      </c>
      <c r="D470">
        <v>139559901.24986866</v>
      </c>
      <c r="E470">
        <v>1671273.8738738759</v>
      </c>
      <c r="F470">
        <v>2599332.4324324378</v>
      </c>
      <c r="G470">
        <v>17</v>
      </c>
      <c r="H470">
        <v>95</v>
      </c>
      <c r="I470">
        <v>30</v>
      </c>
      <c r="J470">
        <v>110</v>
      </c>
      <c r="K470">
        <v>17227207.207207214</v>
      </c>
      <c r="L470">
        <v>47509909.909909904</v>
      </c>
      <c r="M470">
        <v>47029450.45045045</v>
      </c>
      <c r="N470">
        <v>54311333.333333336</v>
      </c>
      <c r="O470">
        <v>15473063.063063068</v>
      </c>
      <c r="P470">
        <v>21404414.41441441</v>
      </c>
      <c r="Q470">
        <v>55331</v>
      </c>
      <c r="R470">
        <v>63471</v>
      </c>
    </row>
    <row r="471" spans="1:18" x14ac:dyDescent="0.35">
      <c r="A471" s="7" t="s">
        <v>570</v>
      </c>
      <c r="B471" s="12" t="s">
        <v>220</v>
      </c>
      <c r="C471">
        <v>13086641.618449928</v>
      </c>
      <c r="D471">
        <v>14191697.122754931</v>
      </c>
      <c r="F471">
        <v>180180.18018018</v>
      </c>
      <c r="G471">
        <v>1</v>
      </c>
      <c r="I471">
        <v>1</v>
      </c>
      <c r="J471">
        <v>2</v>
      </c>
      <c r="K471">
        <v>45945.945945945998</v>
      </c>
      <c r="L471">
        <v>352612.61261261202</v>
      </c>
      <c r="M471">
        <v>1701936.936936937</v>
      </c>
      <c r="N471">
        <v>2666783.7837837832</v>
      </c>
      <c r="O471">
        <v>136036.03603603601</v>
      </c>
      <c r="P471">
        <v>352612.61261261202</v>
      </c>
      <c r="Q471">
        <v>4578</v>
      </c>
      <c r="R471">
        <v>5073</v>
      </c>
    </row>
    <row r="472" spans="1:18" x14ac:dyDescent="0.35">
      <c r="A472" s="7" t="s">
        <v>571</v>
      </c>
      <c r="B472" s="12" t="s">
        <v>85</v>
      </c>
      <c r="C472">
        <v>17430228.144089691</v>
      </c>
      <c r="D472">
        <v>16360069.301974239</v>
      </c>
      <c r="E472">
        <v>900.900900901</v>
      </c>
      <c r="F472">
        <v>40540.540540542002</v>
      </c>
      <c r="I472">
        <v>1</v>
      </c>
      <c r="K472">
        <v>900.900900901</v>
      </c>
      <c r="L472">
        <v>680180.18018018105</v>
      </c>
      <c r="M472">
        <v>3509234.2342342348</v>
      </c>
      <c r="N472">
        <v>3518171.1711711711</v>
      </c>
      <c r="O472">
        <v>2790630.6306306301</v>
      </c>
      <c r="P472">
        <v>560450.450450451</v>
      </c>
      <c r="Q472">
        <v>5056</v>
      </c>
      <c r="R472">
        <v>4903</v>
      </c>
    </row>
    <row r="473" spans="1:18" x14ac:dyDescent="0.35">
      <c r="A473" s="7" t="s">
        <v>572</v>
      </c>
      <c r="B473" s="12" t="s">
        <v>479</v>
      </c>
      <c r="C473">
        <v>8824496.2525547333</v>
      </c>
      <c r="D473">
        <v>10548151.268488552</v>
      </c>
      <c r="E473">
        <v>900.900900901</v>
      </c>
      <c r="F473">
        <v>40540.540540542002</v>
      </c>
      <c r="G473">
        <v>4</v>
      </c>
      <c r="H473">
        <v>7</v>
      </c>
      <c r="I473">
        <v>7</v>
      </c>
      <c r="J473">
        <v>12</v>
      </c>
      <c r="K473">
        <v>440540.54054053902</v>
      </c>
      <c r="L473">
        <v>509009.00900900998</v>
      </c>
      <c r="M473">
        <v>2616891.8918918911</v>
      </c>
      <c r="N473">
        <v>5018468.4684684668</v>
      </c>
      <c r="O473">
        <v>789009.00900900795</v>
      </c>
      <c r="P473">
        <v>1008738.738738738</v>
      </c>
      <c r="Q473">
        <v>5275</v>
      </c>
      <c r="R473">
        <v>6710</v>
      </c>
    </row>
    <row r="474" spans="1:18" x14ac:dyDescent="0.35">
      <c r="A474" s="7" t="s">
        <v>573</v>
      </c>
      <c r="B474" s="12" t="s">
        <v>94</v>
      </c>
      <c r="C474">
        <v>22666123.757398248</v>
      </c>
      <c r="D474">
        <v>20615074.070966542</v>
      </c>
      <c r="E474">
        <v>138738.73873873899</v>
      </c>
      <c r="F474">
        <v>117117.117117118</v>
      </c>
      <c r="G474">
        <v>3</v>
      </c>
      <c r="H474">
        <v>1</v>
      </c>
      <c r="I474">
        <v>6</v>
      </c>
      <c r="J474">
        <v>1</v>
      </c>
      <c r="K474">
        <v>2120720.7207207209</v>
      </c>
      <c r="L474">
        <v>98153153.153153151</v>
      </c>
      <c r="M474">
        <v>4134707.207207208</v>
      </c>
      <c r="N474">
        <v>4098783.7837837841</v>
      </c>
      <c r="O474">
        <v>1117207.207207205</v>
      </c>
      <c r="P474">
        <v>8630810.8108108081</v>
      </c>
      <c r="Q474">
        <v>9772</v>
      </c>
      <c r="R474">
        <v>9503</v>
      </c>
    </row>
    <row r="475" spans="1:18" x14ac:dyDescent="0.35">
      <c r="A475" s="7" t="s">
        <v>574</v>
      </c>
      <c r="B475" s="12" t="s">
        <v>307</v>
      </c>
      <c r="C475">
        <v>49573315.297532625</v>
      </c>
      <c r="D475">
        <v>54797210.459041789</v>
      </c>
      <c r="E475">
        <v>408108.10810810799</v>
      </c>
      <c r="F475">
        <v>76576.576576578998</v>
      </c>
      <c r="G475">
        <v>3</v>
      </c>
      <c r="H475">
        <v>12</v>
      </c>
      <c r="I475">
        <v>5</v>
      </c>
      <c r="J475">
        <v>15</v>
      </c>
      <c r="K475">
        <v>3282207.2072072048</v>
      </c>
      <c r="L475">
        <v>2317477.4774774732</v>
      </c>
      <c r="M475">
        <v>18235900.9009009</v>
      </c>
      <c r="N475">
        <v>23832639.639639638</v>
      </c>
      <c r="O475">
        <v>4748963.9639639603</v>
      </c>
      <c r="P475">
        <v>3933063.0630630581</v>
      </c>
      <c r="Q475">
        <v>31434</v>
      </c>
      <c r="R475">
        <v>31788</v>
      </c>
    </row>
    <row r="476" spans="1:18" x14ac:dyDescent="0.35">
      <c r="A476" s="7" t="s">
        <v>10</v>
      </c>
      <c r="B476" s="12" t="s">
        <v>193</v>
      </c>
      <c r="C476">
        <v>9255350.794303596</v>
      </c>
      <c r="D476">
        <v>8044755.6096885325</v>
      </c>
      <c r="H476">
        <v>2</v>
      </c>
      <c r="J476">
        <v>2</v>
      </c>
      <c r="M476">
        <v>5249864.8648648644</v>
      </c>
      <c r="N476">
        <v>5197252.2522522518</v>
      </c>
      <c r="Q476">
        <v>3778</v>
      </c>
      <c r="R476">
        <v>3507</v>
      </c>
    </row>
    <row r="477" spans="1:18" x14ac:dyDescent="0.35">
      <c r="A477" s="7" t="s">
        <v>575</v>
      </c>
      <c r="B477" s="12" t="s">
        <v>87</v>
      </c>
      <c r="C477">
        <v>221753.01826679599</v>
      </c>
      <c r="D477">
        <v>197259.67595064401</v>
      </c>
      <c r="M477">
        <v>74774.774774774996</v>
      </c>
      <c r="N477">
        <v>6081.0810810809999</v>
      </c>
      <c r="Q477">
        <v>253</v>
      </c>
      <c r="R477">
        <v>207</v>
      </c>
    </row>
    <row r="478" spans="1:18" x14ac:dyDescent="0.35">
      <c r="A478" s="7" t="s">
        <v>576</v>
      </c>
      <c r="B478" s="12" t="s">
        <v>283</v>
      </c>
      <c r="C478">
        <v>13359208.447965307</v>
      </c>
      <c r="D478">
        <v>12309640.246473156</v>
      </c>
      <c r="E478">
        <v>18087265.765765768</v>
      </c>
      <c r="F478">
        <v>599117.11711711704</v>
      </c>
      <c r="H478">
        <v>1</v>
      </c>
      <c r="J478">
        <v>1</v>
      </c>
      <c r="K478">
        <v>595495.49549549504</v>
      </c>
      <c r="L478">
        <v>5157346.8468468469</v>
      </c>
      <c r="M478">
        <v>1466801.801801801</v>
      </c>
      <c r="N478">
        <v>1893018.018018018</v>
      </c>
      <c r="P478">
        <v>309459.45945945999</v>
      </c>
      <c r="Q478">
        <v>3579</v>
      </c>
      <c r="R478">
        <v>3469</v>
      </c>
    </row>
    <row r="479" spans="1:18" x14ac:dyDescent="0.35">
      <c r="A479" s="7" t="s">
        <v>577</v>
      </c>
      <c r="B479" s="12" t="s">
        <v>307</v>
      </c>
      <c r="C479">
        <v>50883310.188768484</v>
      </c>
      <c r="D479">
        <v>50078139.202768669</v>
      </c>
      <c r="E479">
        <v>6306.3063063070003</v>
      </c>
      <c r="F479">
        <v>328828.82882883103</v>
      </c>
      <c r="G479">
        <v>9</v>
      </c>
      <c r="H479">
        <v>6</v>
      </c>
      <c r="I479">
        <v>20</v>
      </c>
      <c r="J479">
        <v>14</v>
      </c>
      <c r="K479">
        <v>1104054.054054053</v>
      </c>
      <c r="L479">
        <v>922972.972972975</v>
      </c>
      <c r="M479">
        <v>18087657.657657657</v>
      </c>
      <c r="N479">
        <v>20992351.351351347</v>
      </c>
      <c r="O479">
        <v>2600360.3603603598</v>
      </c>
      <c r="P479">
        <v>2070180.180180179</v>
      </c>
      <c r="Q479">
        <v>39029</v>
      </c>
      <c r="R479">
        <v>37092</v>
      </c>
    </row>
    <row r="480" spans="1:18" x14ac:dyDescent="0.35">
      <c r="A480" s="7" t="s">
        <v>578</v>
      </c>
      <c r="B480" s="12" t="s">
        <v>330</v>
      </c>
      <c r="C480">
        <v>54251517.277738467</v>
      </c>
      <c r="D480">
        <v>49416115.313731454</v>
      </c>
      <c r="E480">
        <v>9009.0090090100002</v>
      </c>
      <c r="F480">
        <v>504504.504504507</v>
      </c>
      <c r="G480">
        <v>6</v>
      </c>
      <c r="H480">
        <v>8</v>
      </c>
      <c r="I480">
        <v>21</v>
      </c>
      <c r="J480">
        <v>20</v>
      </c>
      <c r="K480">
        <v>3540540.5405405401</v>
      </c>
      <c r="L480">
        <v>504504.504504507</v>
      </c>
      <c r="M480">
        <v>10306000</v>
      </c>
      <c r="N480">
        <v>10977279.27927928</v>
      </c>
      <c r="O480">
        <v>3732522.5225225231</v>
      </c>
      <c r="P480">
        <v>1818198.198198199</v>
      </c>
      <c r="Q480">
        <v>28199</v>
      </c>
      <c r="R480">
        <v>28142</v>
      </c>
    </row>
    <row r="481" spans="1:18" x14ac:dyDescent="0.35">
      <c r="A481" s="7" t="s">
        <v>579</v>
      </c>
      <c r="B481" s="12" t="s">
        <v>66</v>
      </c>
      <c r="C481">
        <v>7285491.4466607338</v>
      </c>
      <c r="D481">
        <v>7040589.1017476814</v>
      </c>
      <c r="G481">
        <v>1</v>
      </c>
      <c r="I481">
        <v>2</v>
      </c>
      <c r="M481">
        <v>1853198.1981981981</v>
      </c>
      <c r="N481">
        <v>1524360.36036036</v>
      </c>
      <c r="O481">
        <v>72072.072072071998</v>
      </c>
      <c r="P481">
        <v>54054.054054054002</v>
      </c>
      <c r="Q481">
        <v>3286</v>
      </c>
      <c r="R481">
        <v>3161</v>
      </c>
    </row>
    <row r="482" spans="1:18" x14ac:dyDescent="0.35">
      <c r="A482" s="7" t="s">
        <v>580</v>
      </c>
      <c r="B482" s="12" t="s">
        <v>236</v>
      </c>
      <c r="C482">
        <v>0</v>
      </c>
      <c r="D482">
        <v>1000.260377316</v>
      </c>
    </row>
    <row r="483" spans="1:18" x14ac:dyDescent="0.35">
      <c r="A483" s="7" t="s">
        <v>581</v>
      </c>
      <c r="B483" s="12" t="s">
        <v>62</v>
      </c>
      <c r="C483">
        <v>19892579.032188967</v>
      </c>
      <c r="D483">
        <v>19563819.945578631</v>
      </c>
      <c r="F483">
        <v>243243.24324324599</v>
      </c>
      <c r="G483">
        <v>1</v>
      </c>
      <c r="H483">
        <v>13</v>
      </c>
      <c r="I483">
        <v>3</v>
      </c>
      <c r="J483">
        <v>13</v>
      </c>
      <c r="K483">
        <v>1601081.08108108</v>
      </c>
      <c r="L483">
        <v>1325765.7657657671</v>
      </c>
      <c r="M483">
        <v>3622432.4324324308</v>
      </c>
      <c r="N483">
        <v>3871594.5945945941</v>
      </c>
      <c r="O483">
        <v>1473963.9639639619</v>
      </c>
      <c r="P483">
        <v>986216.21621621505</v>
      </c>
      <c r="Q483">
        <v>6715</v>
      </c>
      <c r="R483">
        <v>7505</v>
      </c>
    </row>
    <row r="484" spans="1:18" x14ac:dyDescent="0.35">
      <c r="A484" s="7" t="s">
        <v>582</v>
      </c>
      <c r="B484" s="12" t="s">
        <v>48</v>
      </c>
      <c r="C484">
        <v>18069481.411910735</v>
      </c>
      <c r="D484">
        <v>19029888.198910777</v>
      </c>
      <c r="E484">
        <v>180180.18018018</v>
      </c>
      <c r="F484">
        <v>27027.027027027001</v>
      </c>
      <c r="H484">
        <v>1</v>
      </c>
      <c r="I484">
        <v>1</v>
      </c>
      <c r="J484">
        <v>1</v>
      </c>
      <c r="K484">
        <v>1306306.306306306</v>
      </c>
      <c r="L484">
        <v>9936936.9369369354</v>
      </c>
      <c r="M484">
        <v>2426756.756756756</v>
      </c>
      <c r="N484">
        <v>2203621.6216216218</v>
      </c>
      <c r="O484">
        <v>2570360.3603603621</v>
      </c>
      <c r="P484">
        <v>2730450.4504504502</v>
      </c>
      <c r="Q484">
        <v>5424</v>
      </c>
      <c r="R484">
        <v>5150</v>
      </c>
    </row>
    <row r="485" spans="1:18" x14ac:dyDescent="0.35">
      <c r="A485" s="7" t="s">
        <v>583</v>
      </c>
      <c r="B485" s="12" t="s">
        <v>54</v>
      </c>
      <c r="C485">
        <v>3273649.073172254</v>
      </c>
      <c r="D485">
        <v>3538732.1403816212</v>
      </c>
      <c r="E485">
        <v>1801.801801802</v>
      </c>
      <c r="F485">
        <v>13513.513513514001</v>
      </c>
      <c r="G485">
        <v>1</v>
      </c>
      <c r="I485">
        <v>1</v>
      </c>
      <c r="K485">
        <v>10810.810810810999</v>
      </c>
      <c r="L485">
        <v>1020270.270270271</v>
      </c>
      <c r="M485">
        <v>764504.50450450496</v>
      </c>
      <c r="N485">
        <v>663648.64864864899</v>
      </c>
      <c r="O485">
        <v>349009.00900900899</v>
      </c>
      <c r="P485">
        <v>1081351.351351351</v>
      </c>
      <c r="Q485">
        <v>2058</v>
      </c>
      <c r="R485">
        <v>1984</v>
      </c>
    </row>
    <row r="486" spans="1:18" x14ac:dyDescent="0.35">
      <c r="A486" s="7" t="s">
        <v>584</v>
      </c>
      <c r="B486" s="12" t="s">
        <v>70</v>
      </c>
      <c r="C486">
        <v>9141869.1992444787</v>
      </c>
      <c r="D486">
        <v>9594289.9201776758</v>
      </c>
      <c r="G486">
        <v>1</v>
      </c>
      <c r="H486">
        <v>2</v>
      </c>
      <c r="I486">
        <v>1</v>
      </c>
      <c r="J486">
        <v>5</v>
      </c>
      <c r="M486">
        <v>2845900.9009009008</v>
      </c>
      <c r="N486">
        <v>3825090.0900900899</v>
      </c>
      <c r="Q486">
        <v>3733</v>
      </c>
      <c r="R486">
        <v>3668</v>
      </c>
    </row>
    <row r="487" spans="1:18" x14ac:dyDescent="0.35">
      <c r="A487" s="7" t="s">
        <v>585</v>
      </c>
      <c r="B487" s="12" t="s">
        <v>330</v>
      </c>
      <c r="C487">
        <v>35552549.478534296</v>
      </c>
      <c r="D487">
        <v>34313881.194132186</v>
      </c>
      <c r="E487">
        <v>3603.603603604</v>
      </c>
      <c r="F487">
        <v>256756.756756758</v>
      </c>
      <c r="G487">
        <v>4</v>
      </c>
      <c r="H487">
        <v>5</v>
      </c>
      <c r="I487">
        <v>12</v>
      </c>
      <c r="J487">
        <v>9</v>
      </c>
      <c r="K487">
        <v>1129729.729729729</v>
      </c>
      <c r="L487">
        <v>256756.756756758</v>
      </c>
      <c r="M487">
        <v>8680135.1351351365</v>
      </c>
      <c r="N487">
        <v>7575540.5405405387</v>
      </c>
      <c r="O487">
        <v>1260720.7207207209</v>
      </c>
      <c r="P487">
        <v>963603.60360360402</v>
      </c>
      <c r="Q487">
        <v>20624</v>
      </c>
      <c r="R487">
        <v>20952</v>
      </c>
    </row>
    <row r="488" spans="1:18" x14ac:dyDescent="0.35">
      <c r="A488" s="7" t="s">
        <v>586</v>
      </c>
      <c r="B488" s="12" t="s">
        <v>66</v>
      </c>
      <c r="C488">
        <v>16738531.168057544</v>
      </c>
      <c r="D488">
        <v>14694666.425718838</v>
      </c>
      <c r="E488">
        <v>57514.414414414998</v>
      </c>
      <c r="F488">
        <v>208468.46846847</v>
      </c>
      <c r="G488">
        <v>2</v>
      </c>
      <c r="H488">
        <v>5</v>
      </c>
      <c r="I488">
        <v>4</v>
      </c>
      <c r="J488">
        <v>7</v>
      </c>
      <c r="K488">
        <v>2686261.2612612569</v>
      </c>
      <c r="L488">
        <v>2891891.8918918958</v>
      </c>
      <c r="M488">
        <v>8075315.3153153174</v>
      </c>
      <c r="N488">
        <v>7991738.738738738</v>
      </c>
      <c r="O488">
        <v>1393063.063063059</v>
      </c>
      <c r="P488">
        <v>1763603.6036036061</v>
      </c>
      <c r="Q488">
        <v>11050</v>
      </c>
      <c r="R488">
        <v>10971</v>
      </c>
    </row>
    <row r="489" spans="1:18" x14ac:dyDescent="0.35">
      <c r="A489" s="7" t="s">
        <v>11</v>
      </c>
      <c r="B489" s="12" t="s">
        <v>193</v>
      </c>
      <c r="C489">
        <v>7101104.5798382489</v>
      </c>
      <c r="D489">
        <v>6729376.5264457641</v>
      </c>
      <c r="E489">
        <v>72072.072072071998</v>
      </c>
      <c r="I489">
        <v>2</v>
      </c>
      <c r="K489">
        <v>153153.15315315299</v>
      </c>
      <c r="L489">
        <v>356756.75675675698</v>
      </c>
      <c r="M489">
        <v>2060405.4054054059</v>
      </c>
      <c r="N489">
        <v>2675900.9009009022</v>
      </c>
      <c r="O489">
        <v>687837.83783783903</v>
      </c>
      <c r="P489">
        <v>636036.03603603703</v>
      </c>
      <c r="Q489">
        <v>3920</v>
      </c>
      <c r="R489">
        <v>3891</v>
      </c>
    </row>
    <row r="490" spans="1:18" x14ac:dyDescent="0.35">
      <c r="A490" s="7" t="s">
        <v>12</v>
      </c>
      <c r="B490" s="12" t="s">
        <v>193</v>
      </c>
      <c r="C490">
        <v>4989934.2371629393</v>
      </c>
      <c r="D490">
        <v>4323570.4512758711</v>
      </c>
      <c r="I490">
        <v>1</v>
      </c>
      <c r="K490">
        <v>1801801.8018018019</v>
      </c>
      <c r="M490">
        <v>1609774.7747747749</v>
      </c>
      <c r="N490">
        <v>2233468.4684684682</v>
      </c>
      <c r="O490">
        <v>215315.31531531501</v>
      </c>
      <c r="P490">
        <v>771171.17117117206</v>
      </c>
      <c r="Q490">
        <v>2856</v>
      </c>
      <c r="R490">
        <v>2953</v>
      </c>
    </row>
    <row r="491" spans="1:18" x14ac:dyDescent="0.35">
      <c r="A491" s="7" t="s">
        <v>587</v>
      </c>
      <c r="B491" s="12" t="s">
        <v>60</v>
      </c>
      <c r="C491">
        <v>4135155.7563434872</v>
      </c>
      <c r="D491">
        <v>4176654.988638055</v>
      </c>
      <c r="F491">
        <v>27027.027027028002</v>
      </c>
      <c r="H491">
        <v>1</v>
      </c>
      <c r="J491">
        <v>5</v>
      </c>
      <c r="K491">
        <v>1081081.08108108</v>
      </c>
      <c r="L491">
        <v>1783783.7837837839</v>
      </c>
      <c r="M491">
        <v>1421486.4864864871</v>
      </c>
      <c r="N491">
        <v>2078963.963963965</v>
      </c>
      <c r="O491">
        <v>627927.92792792805</v>
      </c>
      <c r="P491">
        <v>426486.48648648697</v>
      </c>
      <c r="Q491">
        <v>1797</v>
      </c>
      <c r="R491">
        <v>1923</v>
      </c>
    </row>
    <row r="492" spans="1:18" x14ac:dyDescent="0.35">
      <c r="A492" s="7" t="s">
        <v>588</v>
      </c>
      <c r="B492" s="12" t="s">
        <v>307</v>
      </c>
      <c r="C492">
        <v>112304130.78285387</v>
      </c>
      <c r="D492">
        <v>111053473.26228592</v>
      </c>
      <c r="E492">
        <v>548934.23423423595</v>
      </c>
      <c r="F492">
        <v>91264727.027027041</v>
      </c>
      <c r="G492">
        <v>17</v>
      </c>
      <c r="H492">
        <v>18</v>
      </c>
      <c r="I492">
        <v>33</v>
      </c>
      <c r="J492">
        <v>37</v>
      </c>
      <c r="K492">
        <v>7349414.4144144142</v>
      </c>
      <c r="L492">
        <v>15484234.234234247</v>
      </c>
      <c r="M492">
        <v>34634135.135135137</v>
      </c>
      <c r="N492">
        <v>36969369.369369365</v>
      </c>
      <c r="O492">
        <v>9208513.5135135092</v>
      </c>
      <c r="P492">
        <v>12175675.675675692</v>
      </c>
      <c r="Q492">
        <v>66099</v>
      </c>
      <c r="R492">
        <v>62958</v>
      </c>
    </row>
    <row r="493" spans="1:18" x14ac:dyDescent="0.35">
      <c r="A493" s="7" t="s">
        <v>589</v>
      </c>
      <c r="B493" s="12" t="s">
        <v>52</v>
      </c>
      <c r="C493">
        <v>28121549.86871583</v>
      </c>
      <c r="D493">
        <v>26259376.917878017</v>
      </c>
      <c r="E493">
        <v>275675.67567567597</v>
      </c>
      <c r="F493">
        <v>306306.30630630901</v>
      </c>
      <c r="G493">
        <v>1</v>
      </c>
      <c r="H493">
        <v>11</v>
      </c>
      <c r="I493">
        <v>1</v>
      </c>
      <c r="J493">
        <v>26</v>
      </c>
      <c r="K493">
        <v>5140540.5405405397</v>
      </c>
      <c r="L493">
        <v>13425675.675675675</v>
      </c>
      <c r="M493">
        <v>11125891.891891891</v>
      </c>
      <c r="N493">
        <v>9858990.9909909926</v>
      </c>
      <c r="O493">
        <v>5070180.1801801808</v>
      </c>
      <c r="P493">
        <v>20061891.891891893</v>
      </c>
      <c r="Q493">
        <v>14266</v>
      </c>
      <c r="R493">
        <v>13350</v>
      </c>
    </row>
    <row r="494" spans="1:18" x14ac:dyDescent="0.35">
      <c r="A494" s="7" t="s">
        <v>590</v>
      </c>
      <c r="B494" s="12" t="s">
        <v>54</v>
      </c>
      <c r="C494">
        <v>2190468.7906239261</v>
      </c>
      <c r="D494">
        <v>2553889.2445075852</v>
      </c>
      <c r="E494">
        <v>900.900900901</v>
      </c>
      <c r="F494">
        <v>13513.513513514001</v>
      </c>
      <c r="G494">
        <v>1</v>
      </c>
      <c r="H494">
        <v>1</v>
      </c>
      <c r="I494">
        <v>1</v>
      </c>
      <c r="J494">
        <v>1</v>
      </c>
      <c r="K494">
        <v>361261.26126126101</v>
      </c>
      <c r="L494">
        <v>13513.513513514001</v>
      </c>
      <c r="M494">
        <v>1004135.135135135</v>
      </c>
      <c r="N494">
        <v>632963.96396396402</v>
      </c>
      <c r="O494">
        <v>530000</v>
      </c>
      <c r="P494">
        <v>116756.756756758</v>
      </c>
      <c r="Q494">
        <v>1568</v>
      </c>
      <c r="R494">
        <v>1551</v>
      </c>
    </row>
    <row r="495" spans="1:18" x14ac:dyDescent="0.35">
      <c r="A495" s="7" t="s">
        <v>591</v>
      </c>
      <c r="B495" s="12" t="s">
        <v>169</v>
      </c>
      <c r="C495">
        <v>68283970.927538484</v>
      </c>
      <c r="D495">
        <v>59874944.304847069</v>
      </c>
      <c r="E495">
        <v>136936.93693693701</v>
      </c>
      <c r="F495">
        <v>860360.36036036105</v>
      </c>
      <c r="G495">
        <v>4</v>
      </c>
      <c r="H495">
        <v>2</v>
      </c>
      <c r="I495">
        <v>7</v>
      </c>
      <c r="J495">
        <v>8</v>
      </c>
      <c r="K495">
        <v>7688648.6486486513</v>
      </c>
      <c r="L495">
        <v>9456396.3963963967</v>
      </c>
      <c r="M495">
        <v>20304144.144144144</v>
      </c>
      <c r="N495">
        <v>20025315.315315317</v>
      </c>
      <c r="O495">
        <v>4549369.3693693737</v>
      </c>
      <c r="P495">
        <v>7854144.144144143</v>
      </c>
      <c r="Q495">
        <v>23805</v>
      </c>
      <c r="R495">
        <v>22612</v>
      </c>
    </row>
    <row r="496" spans="1:18" x14ac:dyDescent="0.35">
      <c r="A496" s="7" t="s">
        <v>592</v>
      </c>
      <c r="B496" s="12" t="s">
        <v>87</v>
      </c>
      <c r="C496">
        <v>420097.48232575803</v>
      </c>
      <c r="D496">
        <v>372512.46383421897</v>
      </c>
      <c r="M496">
        <v>106936.936936937</v>
      </c>
      <c r="N496">
        <v>125540.54054053999</v>
      </c>
      <c r="Q496">
        <v>372</v>
      </c>
      <c r="R496">
        <v>292</v>
      </c>
    </row>
    <row r="497" spans="1:18" x14ac:dyDescent="0.35">
      <c r="A497" s="7" t="s">
        <v>36</v>
      </c>
      <c r="B497" s="12" t="s">
        <v>158</v>
      </c>
      <c r="K497">
        <v>1177027.027027027</v>
      </c>
      <c r="L497">
        <v>1184459.4594594589</v>
      </c>
    </row>
    <row r="498" spans="1:18" x14ac:dyDescent="0.35">
      <c r="A498" s="7" t="s">
        <v>593</v>
      </c>
      <c r="B498" s="12" t="s">
        <v>143</v>
      </c>
      <c r="C498">
        <v>5244741.923243966</v>
      </c>
      <c r="D498">
        <v>4823404.3655513171</v>
      </c>
      <c r="F498">
        <v>13513.513513514001</v>
      </c>
      <c r="G498">
        <v>1</v>
      </c>
      <c r="I498">
        <v>1</v>
      </c>
      <c r="K498">
        <v>14864.864864865</v>
      </c>
      <c r="L498">
        <v>13513.513513514001</v>
      </c>
      <c r="M498">
        <v>681756.75675675599</v>
      </c>
      <c r="N498">
        <v>469684.68468468502</v>
      </c>
      <c r="O498">
        <v>199549.54954954999</v>
      </c>
      <c r="P498">
        <v>318018.01801801799</v>
      </c>
      <c r="Q498">
        <v>1550</v>
      </c>
      <c r="R498">
        <v>1566</v>
      </c>
    </row>
    <row r="499" spans="1:18" x14ac:dyDescent="0.35">
      <c r="A499" s="7" t="s">
        <v>594</v>
      </c>
      <c r="B499" s="12" t="s">
        <v>290</v>
      </c>
      <c r="C499">
        <v>2116423.0872729169</v>
      </c>
      <c r="D499">
        <v>1063117.365757433</v>
      </c>
      <c r="E499">
        <v>97500</v>
      </c>
      <c r="F499">
        <v>971097.29729729705</v>
      </c>
      <c r="G499">
        <v>1</v>
      </c>
      <c r="H499">
        <v>1</v>
      </c>
      <c r="I499">
        <v>1</v>
      </c>
      <c r="J499">
        <v>1</v>
      </c>
      <c r="M499">
        <v>81081.081081081007</v>
      </c>
      <c r="N499">
        <v>143018.01801801799</v>
      </c>
      <c r="Q499">
        <v>694</v>
      </c>
      <c r="R499">
        <v>804</v>
      </c>
    </row>
    <row r="500" spans="1:18" x14ac:dyDescent="0.35">
      <c r="A500" s="7" t="s">
        <v>595</v>
      </c>
      <c r="B500" s="12" t="s">
        <v>92</v>
      </c>
      <c r="C500">
        <v>1952283.390683993</v>
      </c>
      <c r="D500">
        <v>1313705.326208709</v>
      </c>
      <c r="F500">
        <v>13513.513513514001</v>
      </c>
      <c r="G500">
        <v>1</v>
      </c>
      <c r="I500">
        <v>1</v>
      </c>
      <c r="L500">
        <v>13513.513513514001</v>
      </c>
      <c r="M500">
        <v>220270.27027027099</v>
      </c>
      <c r="N500">
        <v>138693.69369369399</v>
      </c>
      <c r="P500">
        <v>25225.225225225</v>
      </c>
      <c r="Q500">
        <v>561</v>
      </c>
      <c r="R500">
        <v>1105</v>
      </c>
    </row>
    <row r="501" spans="1:18" x14ac:dyDescent="0.35">
      <c r="A501" s="7" t="s">
        <v>596</v>
      </c>
      <c r="B501" s="12" t="s">
        <v>50</v>
      </c>
      <c r="C501">
        <v>6407442.5708238622</v>
      </c>
      <c r="D501">
        <v>6206602.089285736</v>
      </c>
      <c r="E501">
        <v>900.900900901</v>
      </c>
      <c r="F501">
        <v>103603.603603604</v>
      </c>
      <c r="J501">
        <v>1</v>
      </c>
      <c r="K501">
        <v>835405.40540540696</v>
      </c>
      <c r="L501">
        <v>103603.603603604</v>
      </c>
      <c r="M501">
        <v>937160.36036036105</v>
      </c>
      <c r="N501">
        <v>1081252.2522522521</v>
      </c>
      <c r="O501">
        <v>886396.39639639901</v>
      </c>
      <c r="P501">
        <v>12972.972972973001</v>
      </c>
      <c r="Q501">
        <v>1632</v>
      </c>
      <c r="R501">
        <v>1756</v>
      </c>
    </row>
    <row r="502" spans="1:18" x14ac:dyDescent="0.35">
      <c r="A502" s="7" t="s">
        <v>597</v>
      </c>
      <c r="B502" s="12" t="s">
        <v>89</v>
      </c>
      <c r="C502">
        <v>9210701.0554568563</v>
      </c>
      <c r="D502">
        <v>9388587.0740626268</v>
      </c>
      <c r="E502">
        <v>136036.03603603601</v>
      </c>
      <c r="F502">
        <v>13513.513513514001</v>
      </c>
      <c r="G502">
        <v>2</v>
      </c>
      <c r="H502">
        <v>1</v>
      </c>
      <c r="I502">
        <v>3</v>
      </c>
      <c r="J502">
        <v>2</v>
      </c>
      <c r="K502">
        <v>1349909.909909908</v>
      </c>
      <c r="L502">
        <v>13513.513513514001</v>
      </c>
      <c r="M502">
        <v>1892702.702702702</v>
      </c>
      <c r="N502">
        <v>1760072.072072071</v>
      </c>
      <c r="O502">
        <v>940900.90090090001</v>
      </c>
      <c r="P502">
        <v>177927.92792792799</v>
      </c>
      <c r="Q502">
        <v>3429</v>
      </c>
      <c r="R502">
        <v>3558</v>
      </c>
    </row>
    <row r="503" spans="1:18" x14ac:dyDescent="0.35">
      <c r="A503" s="7" t="s">
        <v>598</v>
      </c>
      <c r="B503" s="12" t="s">
        <v>143</v>
      </c>
      <c r="C503">
        <v>3186715.7919849432</v>
      </c>
      <c r="D503">
        <v>3500745.1439628238</v>
      </c>
      <c r="E503">
        <v>900.900900901</v>
      </c>
      <c r="F503">
        <v>13513.513513514001</v>
      </c>
      <c r="K503">
        <v>451351.35135135101</v>
      </c>
      <c r="L503">
        <v>463963.96396396402</v>
      </c>
      <c r="M503">
        <v>286936.93693693698</v>
      </c>
      <c r="N503">
        <v>312063.06306306302</v>
      </c>
      <c r="O503">
        <v>86756.756756756993</v>
      </c>
      <c r="P503">
        <v>326126.12612612598</v>
      </c>
      <c r="Q503">
        <v>1021</v>
      </c>
      <c r="R503">
        <v>1181</v>
      </c>
    </row>
    <row r="504" spans="1:18" x14ac:dyDescent="0.35">
      <c r="A504" s="7" t="s">
        <v>599</v>
      </c>
      <c r="B504" s="12" t="s">
        <v>125</v>
      </c>
      <c r="C504">
        <v>8291816.441657641</v>
      </c>
      <c r="D504">
        <v>7403602.0726421941</v>
      </c>
      <c r="H504">
        <v>2</v>
      </c>
      <c r="I504">
        <v>1</v>
      </c>
      <c r="J504">
        <v>2</v>
      </c>
      <c r="K504">
        <v>3675495.4954954959</v>
      </c>
      <c r="L504">
        <v>9009.0090090089998</v>
      </c>
      <c r="M504">
        <v>2783783.7837837851</v>
      </c>
      <c r="N504">
        <v>2505855.8558558561</v>
      </c>
      <c r="O504">
        <v>3230720.7207207219</v>
      </c>
      <c r="Q504">
        <v>3283</v>
      </c>
      <c r="R504">
        <v>3302</v>
      </c>
    </row>
    <row r="505" spans="1:18" x14ac:dyDescent="0.35">
      <c r="A505" s="7" t="s">
        <v>600</v>
      </c>
      <c r="B505" s="12" t="s">
        <v>50</v>
      </c>
      <c r="C505">
        <v>21470373.737909727</v>
      </c>
      <c r="D505">
        <v>23455426.035850797</v>
      </c>
      <c r="F505">
        <v>112612.612612614</v>
      </c>
      <c r="G505">
        <v>1</v>
      </c>
      <c r="H505">
        <v>5</v>
      </c>
      <c r="I505">
        <v>2</v>
      </c>
      <c r="J505">
        <v>7</v>
      </c>
      <c r="K505">
        <v>1873873.8738738729</v>
      </c>
      <c r="L505">
        <v>1283783.7837837851</v>
      </c>
      <c r="M505">
        <v>7128954.9549549548</v>
      </c>
      <c r="N505">
        <v>8560540.5405405406</v>
      </c>
      <c r="O505">
        <v>1566846.8468468459</v>
      </c>
      <c r="P505">
        <v>1786936.9369369361</v>
      </c>
      <c r="Q505">
        <v>7672</v>
      </c>
      <c r="R505">
        <v>7442</v>
      </c>
    </row>
    <row r="506" spans="1:18" x14ac:dyDescent="0.35">
      <c r="A506" s="7" t="s">
        <v>601</v>
      </c>
      <c r="B506" s="12" t="s">
        <v>89</v>
      </c>
      <c r="C506">
        <v>6507749.3605970917</v>
      </c>
      <c r="D506">
        <v>6648569.2058372423</v>
      </c>
      <c r="F506">
        <v>27027.027027028002</v>
      </c>
      <c r="G506">
        <v>1</v>
      </c>
      <c r="H506">
        <v>1</v>
      </c>
      <c r="I506">
        <v>1</v>
      </c>
      <c r="J506">
        <v>2</v>
      </c>
      <c r="L506">
        <v>17320000</v>
      </c>
      <c r="M506">
        <v>1657747.7477477479</v>
      </c>
      <c r="N506">
        <v>2272918.9189189188</v>
      </c>
      <c r="O506">
        <v>224144.14414414499</v>
      </c>
      <c r="P506">
        <v>17109909.909909911</v>
      </c>
      <c r="Q506">
        <v>2466</v>
      </c>
      <c r="R506">
        <v>2415</v>
      </c>
    </row>
    <row r="507" spans="1:18" x14ac:dyDescent="0.35">
      <c r="A507" s="7" t="s">
        <v>602</v>
      </c>
      <c r="B507" s="12" t="s">
        <v>87</v>
      </c>
      <c r="C507">
        <v>6633046.7559616352</v>
      </c>
      <c r="D507">
        <v>6118643.5796399061</v>
      </c>
      <c r="K507">
        <v>90090.090090090001</v>
      </c>
      <c r="L507">
        <v>9009.0090090089998</v>
      </c>
      <c r="M507">
        <v>375000</v>
      </c>
      <c r="N507">
        <v>243378.37837837799</v>
      </c>
      <c r="O507">
        <v>22072.072072071998</v>
      </c>
      <c r="Q507">
        <v>1224</v>
      </c>
      <c r="R507">
        <v>1176</v>
      </c>
    </row>
    <row r="508" spans="1:18" x14ac:dyDescent="0.35">
      <c r="A508" s="7" t="s">
        <v>603</v>
      </c>
      <c r="B508" s="12" t="s">
        <v>140</v>
      </c>
      <c r="C508">
        <v>46134379.643930607</v>
      </c>
      <c r="D508">
        <v>45110266.780688405</v>
      </c>
      <c r="E508">
        <v>537003.60360360402</v>
      </c>
      <c r="F508">
        <v>1195654.9549549581</v>
      </c>
      <c r="G508">
        <v>6</v>
      </c>
      <c r="H508">
        <v>8</v>
      </c>
      <c r="I508">
        <v>18</v>
      </c>
      <c r="J508">
        <v>13</v>
      </c>
      <c r="K508">
        <v>5245045.0450450443</v>
      </c>
      <c r="L508">
        <v>8550270.2702702712</v>
      </c>
      <c r="M508">
        <v>9148421.6216216199</v>
      </c>
      <c r="N508">
        <v>10622765.765765764</v>
      </c>
      <c r="O508">
        <v>4860810.8108108109</v>
      </c>
      <c r="P508">
        <v>7645225.2252252297</v>
      </c>
      <c r="Q508">
        <v>19065</v>
      </c>
      <c r="R508">
        <v>18912</v>
      </c>
    </row>
    <row r="509" spans="1:18" x14ac:dyDescent="0.35">
      <c r="A509" s="7" t="s">
        <v>604</v>
      </c>
      <c r="B509" s="12" t="s">
        <v>224</v>
      </c>
      <c r="C509">
        <v>8065498.7064642869</v>
      </c>
      <c r="D509">
        <v>6873763.5588296819</v>
      </c>
      <c r="E509">
        <v>2702.7027027029999</v>
      </c>
      <c r="G509">
        <v>3</v>
      </c>
      <c r="H509">
        <v>1</v>
      </c>
      <c r="I509">
        <v>3</v>
      </c>
      <c r="J509">
        <v>1</v>
      </c>
      <c r="K509">
        <v>2702.7027027029999</v>
      </c>
      <c r="M509">
        <v>2037477.4774774769</v>
      </c>
      <c r="N509">
        <v>2585468.4684684682</v>
      </c>
      <c r="P509">
        <v>21171.171171171001</v>
      </c>
      <c r="Q509">
        <v>3648</v>
      </c>
      <c r="R509">
        <v>2851</v>
      </c>
    </row>
    <row r="510" spans="1:18" x14ac:dyDescent="0.35">
      <c r="A510" s="7" t="s">
        <v>605</v>
      </c>
      <c r="B510" s="12" t="s">
        <v>224</v>
      </c>
      <c r="C510">
        <v>5162709.9450114109</v>
      </c>
      <c r="D510">
        <v>5064331.0490480671</v>
      </c>
      <c r="E510">
        <v>900.900900901</v>
      </c>
      <c r="I510">
        <v>2</v>
      </c>
      <c r="K510">
        <v>901801.80180180201</v>
      </c>
      <c r="M510">
        <v>1277477.4774774781</v>
      </c>
      <c r="N510">
        <v>1507711.7117117119</v>
      </c>
      <c r="O510">
        <v>437747.74774774798</v>
      </c>
      <c r="P510">
        <v>422162.16216216201</v>
      </c>
      <c r="Q510">
        <v>3063</v>
      </c>
      <c r="R510">
        <v>2664</v>
      </c>
    </row>
    <row r="511" spans="1:18" x14ac:dyDescent="0.35">
      <c r="A511" s="7" t="s">
        <v>606</v>
      </c>
      <c r="B511" s="12" t="s">
        <v>241</v>
      </c>
      <c r="C511">
        <v>4229284.3269830057</v>
      </c>
      <c r="D511">
        <v>4070084.0530229579</v>
      </c>
      <c r="E511">
        <v>900.900900901</v>
      </c>
      <c r="G511">
        <v>1</v>
      </c>
      <c r="I511">
        <v>1</v>
      </c>
      <c r="J511">
        <v>1</v>
      </c>
      <c r="K511">
        <v>121981.981981983</v>
      </c>
      <c r="M511">
        <v>1036756.756756757</v>
      </c>
      <c r="N511">
        <v>989639.63963963999</v>
      </c>
      <c r="O511">
        <v>203063.06306306401</v>
      </c>
      <c r="P511">
        <v>46396.396396397002</v>
      </c>
      <c r="Q511">
        <v>2388</v>
      </c>
      <c r="R511">
        <v>2347</v>
      </c>
    </row>
    <row r="512" spans="1:18" x14ac:dyDescent="0.35">
      <c r="A512" s="7" t="s">
        <v>607</v>
      </c>
      <c r="B512" s="12" t="s">
        <v>140</v>
      </c>
      <c r="C512">
        <v>1347915.703463119</v>
      </c>
      <c r="D512">
        <v>1043902.4364043809</v>
      </c>
      <c r="H512">
        <v>1</v>
      </c>
      <c r="J512">
        <v>2</v>
      </c>
      <c r="M512">
        <v>212612.61261261301</v>
      </c>
      <c r="N512">
        <v>51216.216216216002</v>
      </c>
      <c r="Q512">
        <v>327</v>
      </c>
      <c r="R512">
        <v>352</v>
      </c>
    </row>
    <row r="513" spans="1:18" x14ac:dyDescent="0.35">
      <c r="A513" s="7" t="s">
        <v>668</v>
      </c>
      <c r="B513" s="12" t="s">
        <v>189</v>
      </c>
      <c r="Q513">
        <v>1</v>
      </c>
    </row>
    <row r="514" spans="1:18" x14ac:dyDescent="0.35">
      <c r="A514" s="7" t="s">
        <v>608</v>
      </c>
      <c r="B514" s="12" t="s">
        <v>189</v>
      </c>
      <c r="C514">
        <v>5585846.9751558397</v>
      </c>
      <c r="D514">
        <v>4752978.1730001988</v>
      </c>
      <c r="E514">
        <v>900.900900901</v>
      </c>
      <c r="F514">
        <v>76576.576576577005</v>
      </c>
      <c r="H514">
        <v>1</v>
      </c>
      <c r="J514">
        <v>1</v>
      </c>
      <c r="K514">
        <v>451351.35135135101</v>
      </c>
      <c r="L514">
        <v>76576.576576577005</v>
      </c>
      <c r="M514">
        <v>687612.61261261196</v>
      </c>
      <c r="N514">
        <v>993162.16216216201</v>
      </c>
      <c r="O514">
        <v>222072.07207207201</v>
      </c>
      <c r="P514">
        <v>341171.17117117101</v>
      </c>
      <c r="Q514">
        <v>1624</v>
      </c>
      <c r="R514">
        <v>1562</v>
      </c>
    </row>
    <row r="515" spans="1:18" x14ac:dyDescent="0.35">
      <c r="A515" s="7" t="s">
        <v>609</v>
      </c>
      <c r="B515" s="12" t="s">
        <v>189</v>
      </c>
      <c r="C515">
        <v>16214471.332849491</v>
      </c>
      <c r="D515">
        <v>13194025.194353675</v>
      </c>
      <c r="F515">
        <v>13513.513513514001</v>
      </c>
      <c r="G515">
        <v>3</v>
      </c>
      <c r="H515">
        <v>3</v>
      </c>
      <c r="I515">
        <v>5</v>
      </c>
      <c r="J515">
        <v>5</v>
      </c>
      <c r="L515">
        <v>13513.513513514001</v>
      </c>
      <c r="M515">
        <v>2245900.9009008999</v>
      </c>
      <c r="N515">
        <v>2505225.2252252251</v>
      </c>
      <c r="O515">
        <v>583243.24324324401</v>
      </c>
      <c r="P515">
        <v>370810.810810811</v>
      </c>
      <c r="Q515">
        <v>5057</v>
      </c>
      <c r="R515">
        <v>4918</v>
      </c>
    </row>
    <row r="516" spans="1:18" x14ac:dyDescent="0.35">
      <c r="A516" s="7" t="s">
        <v>610</v>
      </c>
      <c r="B516" s="12" t="s">
        <v>189</v>
      </c>
      <c r="C516">
        <v>6253058.3985414896</v>
      </c>
      <c r="D516">
        <v>5322659.1776612327</v>
      </c>
      <c r="E516">
        <v>900.900900901</v>
      </c>
      <c r="F516">
        <v>13513.513513514001</v>
      </c>
      <c r="G516">
        <v>1</v>
      </c>
      <c r="I516">
        <v>2</v>
      </c>
      <c r="K516">
        <v>900.900900901</v>
      </c>
      <c r="L516">
        <v>238738.73873873899</v>
      </c>
      <c r="M516">
        <v>411036.03603603598</v>
      </c>
      <c r="N516">
        <v>471396.39639639802</v>
      </c>
      <c r="O516">
        <v>58558.558558559002</v>
      </c>
      <c r="P516">
        <v>160810.81081081199</v>
      </c>
      <c r="Q516">
        <v>1668</v>
      </c>
      <c r="R516">
        <v>1688</v>
      </c>
    </row>
    <row r="517" spans="1:18" x14ac:dyDescent="0.35">
      <c r="A517" s="7" t="s">
        <v>611</v>
      </c>
      <c r="B517" s="12" t="s">
        <v>189</v>
      </c>
      <c r="C517">
        <v>1754159.9780617191</v>
      </c>
      <c r="D517">
        <v>2334414.7011984992</v>
      </c>
      <c r="E517">
        <v>27076890.090090089</v>
      </c>
      <c r="F517">
        <v>74130.630630631</v>
      </c>
      <c r="H517">
        <v>2</v>
      </c>
      <c r="I517">
        <v>1</v>
      </c>
      <c r="J517">
        <v>2</v>
      </c>
      <c r="L517">
        <v>27027.027027027001</v>
      </c>
      <c r="M517">
        <v>169189.189189189</v>
      </c>
      <c r="N517">
        <v>517216.21621621598</v>
      </c>
      <c r="P517">
        <v>72072.072072071998</v>
      </c>
      <c r="Q517">
        <v>851</v>
      </c>
      <c r="R517">
        <v>1032</v>
      </c>
    </row>
    <row r="518" spans="1:18" x14ac:dyDescent="0.35">
      <c r="A518" s="7" t="s">
        <v>612</v>
      </c>
      <c r="B518" s="12" t="s">
        <v>143</v>
      </c>
      <c r="C518">
        <v>13836883.784190448</v>
      </c>
      <c r="D518">
        <v>15894152.34980244</v>
      </c>
      <c r="F518">
        <v>29403.603603604999</v>
      </c>
      <c r="G518">
        <v>3</v>
      </c>
      <c r="H518">
        <v>2</v>
      </c>
      <c r="I518">
        <v>3</v>
      </c>
      <c r="J518">
        <v>5</v>
      </c>
      <c r="K518">
        <v>900900.90090090001</v>
      </c>
      <c r="L518">
        <v>927927.92792792805</v>
      </c>
      <c r="M518">
        <v>1522747.7477477479</v>
      </c>
      <c r="N518">
        <v>1889963.963963964</v>
      </c>
      <c r="O518">
        <v>748018.01801801799</v>
      </c>
      <c r="P518">
        <v>523423.42342342302</v>
      </c>
      <c r="Q518">
        <v>5994</v>
      </c>
      <c r="R518">
        <v>6827</v>
      </c>
    </row>
    <row r="519" spans="1:18" x14ac:dyDescent="0.35">
      <c r="A519" s="7" t="s">
        <v>613</v>
      </c>
      <c r="B519" s="12" t="s">
        <v>189</v>
      </c>
      <c r="C519">
        <v>19894433.579846628</v>
      </c>
      <c r="D519">
        <v>18577916.238794792</v>
      </c>
      <c r="E519">
        <v>3603.603603604</v>
      </c>
      <c r="F519">
        <v>378378.37837837997</v>
      </c>
      <c r="G519">
        <v>5</v>
      </c>
      <c r="H519">
        <v>4</v>
      </c>
      <c r="I519">
        <v>7</v>
      </c>
      <c r="J519">
        <v>7</v>
      </c>
      <c r="K519">
        <v>869369.36936937203</v>
      </c>
      <c r="L519">
        <v>567567.56756756897</v>
      </c>
      <c r="M519">
        <v>1724450.450450452</v>
      </c>
      <c r="N519">
        <v>2022522.5225225231</v>
      </c>
      <c r="O519">
        <v>1112252.2522522539</v>
      </c>
      <c r="P519">
        <v>239189.189189189</v>
      </c>
      <c r="Q519">
        <v>7566</v>
      </c>
      <c r="R519">
        <v>7348</v>
      </c>
    </row>
    <row r="520" spans="1:18" x14ac:dyDescent="0.35">
      <c r="A520" s="7" t="s">
        <v>614</v>
      </c>
      <c r="B520" s="12" t="s">
        <v>54</v>
      </c>
      <c r="C520">
        <v>14372705.914260974</v>
      </c>
      <c r="D520">
        <v>12410531.012420857</v>
      </c>
      <c r="E520">
        <v>138738.73873873899</v>
      </c>
      <c r="F520">
        <v>324324.32432432502</v>
      </c>
      <c r="G520">
        <v>3</v>
      </c>
      <c r="H520">
        <v>3</v>
      </c>
      <c r="I520">
        <v>3</v>
      </c>
      <c r="J520">
        <v>4</v>
      </c>
      <c r="K520">
        <v>508108.10810810799</v>
      </c>
      <c r="L520">
        <v>3126126.1261261259</v>
      </c>
      <c r="M520">
        <v>4074819.8198198178</v>
      </c>
      <c r="N520">
        <v>3609153.1531531531</v>
      </c>
      <c r="O520">
        <v>2724324.3243243238</v>
      </c>
      <c r="P520">
        <v>1385585.585585586</v>
      </c>
      <c r="Q520">
        <v>7316</v>
      </c>
      <c r="R520">
        <v>6107</v>
      </c>
    </row>
    <row r="521" spans="1:18" x14ac:dyDescent="0.35">
      <c r="A521" s="7" t="s">
        <v>615</v>
      </c>
      <c r="B521" s="12" t="s">
        <v>54</v>
      </c>
      <c r="C521">
        <v>7353456.7676956477</v>
      </c>
      <c r="D521">
        <v>7118097.6562441438</v>
      </c>
      <c r="E521">
        <v>900.900900901</v>
      </c>
      <c r="G521">
        <v>3</v>
      </c>
      <c r="H521">
        <v>2</v>
      </c>
      <c r="I521">
        <v>3</v>
      </c>
      <c r="J521">
        <v>2</v>
      </c>
      <c r="K521">
        <v>496396.39639639598</v>
      </c>
      <c r="M521">
        <v>1316261.2612612611</v>
      </c>
      <c r="N521">
        <v>983243.24324324296</v>
      </c>
      <c r="O521">
        <v>132612.61261261199</v>
      </c>
      <c r="P521">
        <v>46396.396396395998</v>
      </c>
      <c r="Q521">
        <v>2720</v>
      </c>
      <c r="R521">
        <v>3535</v>
      </c>
    </row>
    <row r="522" spans="1:18" x14ac:dyDescent="0.35">
      <c r="A522" s="7" t="s">
        <v>616</v>
      </c>
      <c r="B522" s="12" t="s">
        <v>60</v>
      </c>
      <c r="C522">
        <v>10200279.520350782</v>
      </c>
      <c r="D522">
        <v>10285731.702376856</v>
      </c>
      <c r="F522">
        <v>67567.567567569</v>
      </c>
      <c r="H522">
        <v>3</v>
      </c>
      <c r="J522">
        <v>4</v>
      </c>
      <c r="K522">
        <v>468468.468468468</v>
      </c>
      <c r="L522">
        <v>1991891.8918918939</v>
      </c>
      <c r="M522">
        <v>3357117.1171171172</v>
      </c>
      <c r="N522">
        <v>2706702.702702703</v>
      </c>
      <c r="O522">
        <v>1281531.5315315321</v>
      </c>
      <c r="P522">
        <v>499099.09909910097</v>
      </c>
      <c r="Q522">
        <v>4224</v>
      </c>
      <c r="R522">
        <v>4183</v>
      </c>
    </row>
    <row r="523" spans="1:18" x14ac:dyDescent="0.35">
      <c r="A523" s="7" t="s">
        <v>617</v>
      </c>
      <c r="B523" s="12" t="s">
        <v>60</v>
      </c>
      <c r="C523">
        <v>11396022.778613877</v>
      </c>
      <c r="D523">
        <v>12499829.213763485</v>
      </c>
      <c r="E523">
        <v>1801.801801802</v>
      </c>
      <c r="F523">
        <v>13513.513513514001</v>
      </c>
      <c r="K523">
        <v>992792.79279279197</v>
      </c>
      <c r="L523">
        <v>824324.32432432496</v>
      </c>
      <c r="M523">
        <v>4790900.9009009013</v>
      </c>
      <c r="N523">
        <v>4994306.3063063063</v>
      </c>
      <c r="O523">
        <v>721711.711711713</v>
      </c>
      <c r="P523">
        <v>700900.90090090199</v>
      </c>
      <c r="Q523">
        <v>5397</v>
      </c>
      <c r="R523">
        <v>5348</v>
      </c>
    </row>
    <row r="524" spans="1:18" x14ac:dyDescent="0.35">
      <c r="A524" s="7" t="s">
        <v>618</v>
      </c>
      <c r="B524" s="12" t="s">
        <v>60</v>
      </c>
      <c r="C524">
        <v>15221204.827272253</v>
      </c>
      <c r="D524">
        <v>14970647.598146643</v>
      </c>
      <c r="E524">
        <v>1801.801801802</v>
      </c>
      <c r="F524">
        <v>189189.18918918999</v>
      </c>
      <c r="H524">
        <v>3</v>
      </c>
      <c r="J524">
        <v>3</v>
      </c>
      <c r="K524">
        <v>1001801.801801802</v>
      </c>
      <c r="L524">
        <v>189189.18918918999</v>
      </c>
      <c r="M524">
        <v>4808738.7387387399</v>
      </c>
      <c r="N524">
        <v>4863018.0180180185</v>
      </c>
      <c r="O524">
        <v>395585.58558558498</v>
      </c>
      <c r="P524">
        <v>1214414.4144144149</v>
      </c>
      <c r="Q524">
        <v>5901</v>
      </c>
      <c r="R524">
        <v>6873</v>
      </c>
    </row>
    <row r="525" spans="1:18" x14ac:dyDescent="0.35">
      <c r="A525" s="7" t="s">
        <v>619</v>
      </c>
      <c r="B525" s="12" t="s">
        <v>620</v>
      </c>
      <c r="C525">
        <v>18309927.892925881</v>
      </c>
      <c r="D525">
        <v>17225518.123601303</v>
      </c>
      <c r="E525">
        <v>136036.03603603601</v>
      </c>
      <c r="F525">
        <v>76576.576576577005</v>
      </c>
      <c r="H525">
        <v>4</v>
      </c>
      <c r="I525">
        <v>3</v>
      </c>
      <c r="J525">
        <v>12</v>
      </c>
      <c r="K525">
        <v>136036.03603603601</v>
      </c>
      <c r="L525">
        <v>1184684.684684685</v>
      </c>
      <c r="M525">
        <v>1879630.6306306301</v>
      </c>
      <c r="N525">
        <v>2028513.513513512</v>
      </c>
      <c r="O525">
        <v>468738.738738738</v>
      </c>
      <c r="P525">
        <v>5195225.2252252242</v>
      </c>
      <c r="Q525">
        <v>7472</v>
      </c>
      <c r="R525">
        <v>7649</v>
      </c>
    </row>
    <row r="526" spans="1:18" x14ac:dyDescent="0.35">
      <c r="A526" s="7" t="s">
        <v>621</v>
      </c>
      <c r="B526" s="12" t="s">
        <v>620</v>
      </c>
      <c r="C526">
        <v>13721596.512074403</v>
      </c>
      <c r="D526">
        <v>12674947.435553726</v>
      </c>
      <c r="F526">
        <v>504504.50450450601</v>
      </c>
      <c r="G526">
        <v>2</v>
      </c>
      <c r="H526">
        <v>1</v>
      </c>
      <c r="I526">
        <v>2</v>
      </c>
      <c r="J526">
        <v>7</v>
      </c>
      <c r="K526">
        <v>127477.477477477</v>
      </c>
      <c r="L526">
        <v>504504.50450450601</v>
      </c>
      <c r="M526">
        <v>2330247.7477477482</v>
      </c>
      <c r="N526">
        <v>1762243.243243244</v>
      </c>
      <c r="O526">
        <v>1187567.567567569</v>
      </c>
      <c r="P526">
        <v>509459.459459459</v>
      </c>
      <c r="Q526">
        <v>6056</v>
      </c>
      <c r="R526">
        <v>5851</v>
      </c>
    </row>
    <row r="527" spans="1:18" x14ac:dyDescent="0.35">
      <c r="A527" s="7" t="s">
        <v>622</v>
      </c>
      <c r="B527" s="12" t="s">
        <v>620</v>
      </c>
      <c r="C527">
        <v>15018771.633053388</v>
      </c>
      <c r="D527">
        <v>13849282.696726743</v>
      </c>
      <c r="E527">
        <v>900.900900901</v>
      </c>
      <c r="F527">
        <v>13513.513513514001</v>
      </c>
      <c r="H527">
        <v>1</v>
      </c>
      <c r="I527">
        <v>1</v>
      </c>
      <c r="J527">
        <v>4</v>
      </c>
      <c r="K527">
        <v>900.900900901</v>
      </c>
      <c r="L527">
        <v>13513.513513514001</v>
      </c>
      <c r="M527">
        <v>2055225.2252252251</v>
      </c>
      <c r="N527">
        <v>1957756.7567567581</v>
      </c>
      <c r="O527">
        <v>236486.48648648601</v>
      </c>
      <c r="P527">
        <v>327837.837837837</v>
      </c>
      <c r="Q527">
        <v>5863</v>
      </c>
      <c r="R527">
        <v>5558</v>
      </c>
    </row>
    <row r="528" spans="1:18" x14ac:dyDescent="0.35">
      <c r="A528" s="7" t="s">
        <v>623</v>
      </c>
      <c r="B528" s="12" t="s">
        <v>620</v>
      </c>
      <c r="C528">
        <v>10863265.114902612</v>
      </c>
      <c r="D528">
        <v>9547167.8498861603</v>
      </c>
      <c r="E528">
        <v>32662.162162162</v>
      </c>
      <c r="F528">
        <v>127390.990990992</v>
      </c>
      <c r="G528">
        <v>4</v>
      </c>
      <c r="H528">
        <v>1</v>
      </c>
      <c r="I528">
        <v>5</v>
      </c>
      <c r="J528">
        <v>2</v>
      </c>
      <c r="K528">
        <v>1089500</v>
      </c>
      <c r="L528">
        <v>462162.162162163</v>
      </c>
      <c r="M528">
        <v>1376891.891891893</v>
      </c>
      <c r="N528">
        <v>1448522.5225225219</v>
      </c>
      <c r="O528">
        <v>984504.50450450496</v>
      </c>
      <c r="P528">
        <v>1187747.747747747</v>
      </c>
      <c r="Q528">
        <v>3613</v>
      </c>
      <c r="R528">
        <v>3533</v>
      </c>
    </row>
    <row r="529" spans="1:18" x14ac:dyDescent="0.35">
      <c r="A529" s="7" t="s">
        <v>624</v>
      </c>
      <c r="B529" s="12" t="s">
        <v>260</v>
      </c>
      <c r="C529">
        <v>5037313.8821208598</v>
      </c>
      <c r="D529">
        <v>4552971.5868039764</v>
      </c>
      <c r="M529">
        <v>1444729.7297297299</v>
      </c>
      <c r="N529">
        <v>1252252.2522522521</v>
      </c>
      <c r="Q529">
        <v>2028</v>
      </c>
      <c r="R529">
        <v>2062</v>
      </c>
    </row>
    <row r="530" spans="1:18" x14ac:dyDescent="0.35">
      <c r="A530" s="7" t="s">
        <v>625</v>
      </c>
      <c r="B530" s="12" t="s">
        <v>52</v>
      </c>
      <c r="C530">
        <v>7824869.2326642312</v>
      </c>
      <c r="D530">
        <v>8216729.9356587334</v>
      </c>
      <c r="G530">
        <v>2</v>
      </c>
      <c r="H530">
        <v>1</v>
      </c>
      <c r="I530">
        <v>2</v>
      </c>
      <c r="J530">
        <v>2</v>
      </c>
      <c r="M530">
        <v>2870045.0450450452</v>
      </c>
      <c r="N530">
        <v>3087972.9729729728</v>
      </c>
      <c r="O530">
        <v>64414.414414414001</v>
      </c>
      <c r="P530">
        <v>390090.09009009</v>
      </c>
      <c r="Q530">
        <v>4469</v>
      </c>
      <c r="R530">
        <v>4497</v>
      </c>
    </row>
    <row r="531" spans="1:18" x14ac:dyDescent="0.35">
      <c r="A531" s="7" t="s">
        <v>626</v>
      </c>
      <c r="B531" s="12" t="s">
        <v>96</v>
      </c>
      <c r="C531">
        <v>19044095.736972213</v>
      </c>
      <c r="D531">
        <v>17439767.091301259</v>
      </c>
      <c r="E531">
        <v>93431.531531532004</v>
      </c>
      <c r="F531">
        <v>19159345.945945948</v>
      </c>
      <c r="G531">
        <v>4</v>
      </c>
      <c r="H531">
        <v>5</v>
      </c>
      <c r="I531">
        <v>7</v>
      </c>
      <c r="J531">
        <v>12</v>
      </c>
      <c r="K531">
        <v>4274549.549549547</v>
      </c>
      <c r="L531">
        <v>6378378.3783783782</v>
      </c>
      <c r="M531">
        <v>5784414.4144144142</v>
      </c>
      <c r="N531">
        <v>5423837.8378378367</v>
      </c>
      <c r="O531">
        <v>3779639.639639636</v>
      </c>
      <c r="P531">
        <v>5832702.7027027002</v>
      </c>
      <c r="Q531">
        <v>10750</v>
      </c>
      <c r="R531">
        <v>10623</v>
      </c>
    </row>
    <row r="532" spans="1:18" x14ac:dyDescent="0.35">
      <c r="A532" s="7" t="s">
        <v>627</v>
      </c>
      <c r="B532" s="12" t="s">
        <v>96</v>
      </c>
      <c r="C532">
        <v>33106970.544709597</v>
      </c>
      <c r="D532">
        <v>30189903.281618249</v>
      </c>
      <c r="E532">
        <v>7207.207207208</v>
      </c>
      <c r="F532">
        <v>130630.630630631</v>
      </c>
      <c r="G532">
        <v>4</v>
      </c>
      <c r="H532">
        <v>3</v>
      </c>
      <c r="I532">
        <v>13</v>
      </c>
      <c r="J532">
        <v>4</v>
      </c>
      <c r="K532">
        <v>1523423.4234234251</v>
      </c>
      <c r="L532">
        <v>3395495.4954954898</v>
      </c>
      <c r="M532">
        <v>12181954.954954956</v>
      </c>
      <c r="N532">
        <v>11945918.918918921</v>
      </c>
      <c r="O532">
        <v>4489009.0090090111</v>
      </c>
      <c r="P532">
        <v>5796576.5765765756</v>
      </c>
      <c r="Q532">
        <v>13960</v>
      </c>
      <c r="R532">
        <v>13403</v>
      </c>
    </row>
    <row r="533" spans="1:18" x14ac:dyDescent="0.35">
      <c r="A533" s="7" t="s">
        <v>628</v>
      </c>
      <c r="B533" s="12" t="s">
        <v>448</v>
      </c>
      <c r="C533">
        <v>22957444.744682737</v>
      </c>
      <c r="D533">
        <v>21626717.829968013</v>
      </c>
      <c r="E533">
        <v>105442209.9099099</v>
      </c>
      <c r="F533">
        <v>105068.46846847</v>
      </c>
      <c r="G533">
        <v>4</v>
      </c>
      <c r="H533">
        <v>2</v>
      </c>
      <c r="I533">
        <v>5</v>
      </c>
      <c r="J533">
        <v>4</v>
      </c>
      <c r="K533">
        <v>20500000</v>
      </c>
      <c r="L533">
        <v>1067567.567567572</v>
      </c>
      <c r="M533">
        <v>6017522.5225225231</v>
      </c>
      <c r="N533">
        <v>5939450.4504504502</v>
      </c>
      <c r="O533">
        <v>3661981.9819819829</v>
      </c>
      <c r="P533">
        <v>9590270.2702702731</v>
      </c>
      <c r="Q533">
        <v>11358</v>
      </c>
      <c r="R533">
        <v>10586</v>
      </c>
    </row>
    <row r="534" spans="1:18" x14ac:dyDescent="0.35">
      <c r="A534" s="7" t="s">
        <v>629</v>
      </c>
      <c r="B534" s="12" t="s">
        <v>78</v>
      </c>
      <c r="C534">
        <v>939795.697974485</v>
      </c>
      <c r="D534">
        <v>1269242.390497674</v>
      </c>
      <c r="E534">
        <v>180180.18018018</v>
      </c>
      <c r="K534">
        <v>180180.18018018</v>
      </c>
      <c r="M534">
        <v>372342.34234234202</v>
      </c>
      <c r="N534">
        <v>276756.75675675698</v>
      </c>
      <c r="O534">
        <v>238738.73873873899</v>
      </c>
      <c r="P534">
        <v>187837.83783783799</v>
      </c>
      <c r="Q534">
        <v>367</v>
      </c>
      <c r="R534">
        <v>380</v>
      </c>
    </row>
    <row r="535" spans="1:18" x14ac:dyDescent="0.35">
      <c r="A535" s="7" t="s">
        <v>630</v>
      </c>
      <c r="B535" s="12" t="s">
        <v>241</v>
      </c>
      <c r="C535">
        <v>6063262.7307837158</v>
      </c>
      <c r="D535">
        <v>6038205.1051634885</v>
      </c>
      <c r="E535">
        <v>900.900900901</v>
      </c>
      <c r="G535">
        <v>1</v>
      </c>
      <c r="H535">
        <v>3</v>
      </c>
      <c r="I535">
        <v>1</v>
      </c>
      <c r="J535">
        <v>4</v>
      </c>
      <c r="K535">
        <v>685225.22522522602</v>
      </c>
      <c r="M535">
        <v>1370090.0900900899</v>
      </c>
      <c r="N535">
        <v>1229009.009009009</v>
      </c>
      <c r="O535">
        <v>697837.83783783996</v>
      </c>
      <c r="Q535">
        <v>2571</v>
      </c>
      <c r="R535">
        <v>3136</v>
      </c>
    </row>
    <row r="536" spans="1:18" x14ac:dyDescent="0.35">
      <c r="A536" s="7" t="s">
        <v>631</v>
      </c>
      <c r="B536" s="12" t="s">
        <v>68</v>
      </c>
      <c r="C536">
        <v>25298999.493724011</v>
      </c>
      <c r="D536">
        <v>25197526.377715196</v>
      </c>
      <c r="E536">
        <v>140540.540540541</v>
      </c>
      <c r="F536">
        <v>81081.081081083001</v>
      </c>
      <c r="G536">
        <v>4</v>
      </c>
      <c r="H536">
        <v>3</v>
      </c>
      <c r="I536">
        <v>5</v>
      </c>
      <c r="J536">
        <v>7</v>
      </c>
      <c r="K536">
        <v>2598648.6486486471</v>
      </c>
      <c r="L536">
        <v>3190540.5405405401</v>
      </c>
      <c r="M536">
        <v>4742612.6126126116</v>
      </c>
      <c r="N536">
        <v>4014306.3063063058</v>
      </c>
      <c r="O536">
        <v>1809279.2792792751</v>
      </c>
      <c r="P536">
        <v>2573153.1531531541</v>
      </c>
      <c r="Q536">
        <v>9055</v>
      </c>
      <c r="R536">
        <v>8917</v>
      </c>
    </row>
    <row r="537" spans="1:18" x14ac:dyDescent="0.35">
      <c r="A537" s="7" t="s">
        <v>632</v>
      </c>
      <c r="B537" s="12" t="s">
        <v>70</v>
      </c>
      <c r="C537">
        <v>217243.76020675999</v>
      </c>
      <c r="D537">
        <v>207162.75126104901</v>
      </c>
      <c r="M537">
        <v>28378.378378378002</v>
      </c>
      <c r="N537">
        <v>100315.31531531501</v>
      </c>
      <c r="Q537">
        <v>211</v>
      </c>
      <c r="R537">
        <v>201</v>
      </c>
    </row>
    <row r="538" spans="1:18" x14ac:dyDescent="0.35">
      <c r="A538" s="7" t="s">
        <v>633</v>
      </c>
      <c r="B538" s="12" t="s">
        <v>60</v>
      </c>
      <c r="C538">
        <v>2113271.437952674</v>
      </c>
      <c r="D538">
        <v>2053897.0925034231</v>
      </c>
      <c r="H538">
        <v>1</v>
      </c>
      <c r="J538">
        <v>1</v>
      </c>
      <c r="K538">
        <v>180180.18018018</v>
      </c>
      <c r="L538">
        <v>270270.27027027</v>
      </c>
      <c r="M538">
        <v>748693.69369369396</v>
      </c>
      <c r="N538">
        <v>1045360.3603603611</v>
      </c>
      <c r="O538">
        <v>41891.891891892003</v>
      </c>
      <c r="Q538">
        <v>1097</v>
      </c>
      <c r="R538">
        <v>1118</v>
      </c>
    </row>
    <row r="539" spans="1:18" x14ac:dyDescent="0.35">
      <c r="A539" s="7" t="s">
        <v>634</v>
      </c>
      <c r="B539" s="12" t="s">
        <v>80</v>
      </c>
      <c r="C539">
        <v>20541621.779036328</v>
      </c>
      <c r="D539">
        <v>19706137.518479425</v>
      </c>
      <c r="E539">
        <v>271171.17117117101</v>
      </c>
      <c r="F539">
        <v>283783.78378378402</v>
      </c>
      <c r="G539">
        <v>1</v>
      </c>
      <c r="H539">
        <v>1</v>
      </c>
      <c r="I539">
        <v>2</v>
      </c>
      <c r="J539">
        <v>3</v>
      </c>
      <c r="K539">
        <v>2244234.2342342348</v>
      </c>
      <c r="L539">
        <v>647747.74774774804</v>
      </c>
      <c r="M539">
        <v>3687297.297297298</v>
      </c>
      <c r="N539">
        <v>3597927.927927928</v>
      </c>
      <c r="O539">
        <v>2379099.0990990978</v>
      </c>
      <c r="P539">
        <v>1417117.1171171169</v>
      </c>
      <c r="Q539">
        <v>6355</v>
      </c>
      <c r="R539">
        <v>6691</v>
      </c>
    </row>
    <row r="540" spans="1:18" x14ac:dyDescent="0.35">
      <c r="A540" s="7" t="s">
        <v>635</v>
      </c>
      <c r="B540" s="12" t="s">
        <v>134</v>
      </c>
      <c r="C540">
        <v>3358417.8276424599</v>
      </c>
      <c r="D540">
        <v>3393125.6328796358</v>
      </c>
      <c r="H540">
        <v>1</v>
      </c>
      <c r="J540">
        <v>1</v>
      </c>
      <c r="L540">
        <v>630630.630630631</v>
      </c>
      <c r="M540">
        <v>230405.405405406</v>
      </c>
      <c r="N540">
        <v>161810.810810811</v>
      </c>
      <c r="O540">
        <v>100450.45045044999</v>
      </c>
      <c r="P540">
        <v>158558.55855855899</v>
      </c>
      <c r="Q540">
        <v>1488</v>
      </c>
      <c r="R540">
        <v>1485</v>
      </c>
    </row>
    <row r="541" spans="1:18" x14ac:dyDescent="0.35">
      <c r="A541" s="7" t="s">
        <v>636</v>
      </c>
      <c r="B541" s="12" t="s">
        <v>479</v>
      </c>
      <c r="C541">
        <v>13424966.320436465</v>
      </c>
      <c r="D541">
        <v>11626665.042925168</v>
      </c>
      <c r="F541">
        <v>27027.027027027001</v>
      </c>
      <c r="H541">
        <v>2</v>
      </c>
      <c r="I541">
        <v>1</v>
      </c>
      <c r="J541">
        <v>2</v>
      </c>
      <c r="K541">
        <v>1315315.315315315</v>
      </c>
      <c r="L541">
        <v>4540540.5405405406</v>
      </c>
      <c r="M541">
        <v>3841522.5225225221</v>
      </c>
      <c r="N541">
        <v>3500405.405405405</v>
      </c>
      <c r="O541">
        <v>1559549.5495495501</v>
      </c>
      <c r="P541">
        <v>3406216.2162162159</v>
      </c>
      <c r="Q541">
        <v>6022</v>
      </c>
      <c r="R541">
        <v>5495</v>
      </c>
    </row>
    <row r="542" spans="1:18" x14ac:dyDescent="0.35">
      <c r="A542" s="7" t="s">
        <v>637</v>
      </c>
      <c r="B542" s="12" t="s">
        <v>143</v>
      </c>
      <c r="C542">
        <v>22306540.883275773</v>
      </c>
      <c r="D542">
        <v>21128126.531953882</v>
      </c>
      <c r="E542">
        <v>45210750.45045045</v>
      </c>
      <c r="F542">
        <v>712396.39639639796</v>
      </c>
      <c r="G542">
        <v>2</v>
      </c>
      <c r="H542">
        <v>1</v>
      </c>
      <c r="I542">
        <v>4</v>
      </c>
      <c r="J542">
        <v>1</v>
      </c>
      <c r="K542">
        <v>7150450.4504504502</v>
      </c>
      <c r="L542">
        <v>941441.44144144305</v>
      </c>
      <c r="M542">
        <v>1957018.0180180171</v>
      </c>
      <c r="N542">
        <v>2418603.6036036038</v>
      </c>
      <c r="O542">
        <v>938558.55855855905</v>
      </c>
      <c r="P542">
        <v>1098918.91891892</v>
      </c>
      <c r="Q542">
        <v>9721</v>
      </c>
      <c r="R542">
        <v>10154</v>
      </c>
    </row>
    <row r="543" spans="1:18" x14ac:dyDescent="0.35">
      <c r="A543" s="7" t="s">
        <v>638</v>
      </c>
      <c r="B543" s="12" t="s">
        <v>241</v>
      </c>
      <c r="C543">
        <v>21270618.984040026</v>
      </c>
      <c r="D543">
        <v>20419723.112808082</v>
      </c>
      <c r="E543">
        <v>2702.7027027029999</v>
      </c>
      <c r="F543">
        <v>274774.77477477601</v>
      </c>
      <c r="G543">
        <v>7</v>
      </c>
      <c r="H543">
        <v>9</v>
      </c>
      <c r="I543">
        <v>9</v>
      </c>
      <c r="J543">
        <v>12</v>
      </c>
      <c r="K543">
        <v>496576.57657657599</v>
      </c>
      <c r="L543">
        <v>274774.77477477601</v>
      </c>
      <c r="M543">
        <v>7263423.4234234234</v>
      </c>
      <c r="N543">
        <v>5873414.4144144142</v>
      </c>
      <c r="O543">
        <v>343963.96396396402</v>
      </c>
      <c r="P543">
        <v>275945.94594594499</v>
      </c>
      <c r="Q543">
        <v>12490</v>
      </c>
      <c r="R543">
        <v>12711</v>
      </c>
    </row>
    <row r="544" spans="1:18" x14ac:dyDescent="0.35">
      <c r="A544" s="7" t="s">
        <v>639</v>
      </c>
      <c r="B544" s="12" t="s">
        <v>132</v>
      </c>
      <c r="C544">
        <v>8597003.9452874996</v>
      </c>
      <c r="D544">
        <v>8732538.7003592551</v>
      </c>
      <c r="G544">
        <v>1</v>
      </c>
      <c r="I544">
        <v>3</v>
      </c>
      <c r="J544">
        <v>1</v>
      </c>
      <c r="K544">
        <v>2702702.702702702</v>
      </c>
      <c r="M544">
        <v>2149279.2792792781</v>
      </c>
      <c r="N544">
        <v>2379324.3243243238</v>
      </c>
      <c r="O544">
        <v>3133333.333333334</v>
      </c>
      <c r="P544">
        <v>29729.729729729999</v>
      </c>
      <c r="Q544">
        <v>5552</v>
      </c>
      <c r="R544">
        <v>5478</v>
      </c>
    </row>
    <row r="545" spans="1:18" x14ac:dyDescent="0.35">
      <c r="A545" s="7" t="s">
        <v>640</v>
      </c>
      <c r="B545" s="12" t="s">
        <v>134</v>
      </c>
      <c r="C545">
        <v>26864797.754958812</v>
      </c>
      <c r="D545">
        <v>26068822.317908615</v>
      </c>
      <c r="E545">
        <v>18242979.27927928</v>
      </c>
      <c r="F545">
        <v>23948572.072072074</v>
      </c>
      <c r="G545">
        <v>2</v>
      </c>
      <c r="H545">
        <v>1</v>
      </c>
      <c r="I545">
        <v>2</v>
      </c>
      <c r="J545">
        <v>1</v>
      </c>
      <c r="K545">
        <v>3380180.180180179</v>
      </c>
      <c r="L545">
        <v>7054054.0540540526</v>
      </c>
      <c r="M545">
        <v>2970171.1711711721</v>
      </c>
      <c r="N545">
        <v>3237792.7927927938</v>
      </c>
      <c r="O545">
        <v>1106576.576576574</v>
      </c>
      <c r="P545">
        <v>989639.63963963999</v>
      </c>
      <c r="Q545">
        <v>7627</v>
      </c>
      <c r="R545">
        <v>7274</v>
      </c>
    </row>
    <row r="546" spans="1:18" x14ac:dyDescent="0.35">
      <c r="A546" s="7" t="s">
        <v>641</v>
      </c>
      <c r="B546" s="12" t="s">
        <v>80</v>
      </c>
      <c r="C546">
        <v>12358079.499526376</v>
      </c>
      <c r="D546">
        <v>12263137.417922966</v>
      </c>
      <c r="F546">
        <v>13513.513513514001</v>
      </c>
      <c r="H546">
        <v>1</v>
      </c>
      <c r="J546">
        <v>1</v>
      </c>
      <c r="K546">
        <v>992792.79279279301</v>
      </c>
      <c r="L546">
        <v>13513.513513514001</v>
      </c>
      <c r="M546">
        <v>4522234.2342342352</v>
      </c>
      <c r="N546">
        <v>4473450.4504504502</v>
      </c>
      <c r="O546">
        <v>1488558.558558559</v>
      </c>
      <c r="P546">
        <v>1094594.5945945941</v>
      </c>
      <c r="Q546">
        <v>4950</v>
      </c>
      <c r="R546">
        <v>4894</v>
      </c>
    </row>
    <row r="547" spans="1:18" x14ac:dyDescent="0.35">
      <c r="A547" s="7" t="s">
        <v>642</v>
      </c>
      <c r="B547" s="12" t="s">
        <v>169</v>
      </c>
      <c r="C547">
        <v>22902309.643133815</v>
      </c>
      <c r="D547">
        <v>19880720.347579733</v>
      </c>
      <c r="G547">
        <v>3</v>
      </c>
      <c r="H547">
        <v>2</v>
      </c>
      <c r="I547">
        <v>4</v>
      </c>
      <c r="J547">
        <v>3</v>
      </c>
      <c r="K547">
        <v>720720.72072072001</v>
      </c>
      <c r="L547">
        <v>1351351.351351351</v>
      </c>
      <c r="M547">
        <v>7712432.4324324327</v>
      </c>
      <c r="N547">
        <v>6695747.7477477472</v>
      </c>
      <c r="O547">
        <v>1076486.4864864859</v>
      </c>
      <c r="P547">
        <v>1323153.1531531541</v>
      </c>
      <c r="Q547">
        <v>8973</v>
      </c>
      <c r="R547">
        <v>8281</v>
      </c>
    </row>
    <row r="548" spans="1:18" x14ac:dyDescent="0.35">
      <c r="A548" s="7" t="s">
        <v>643</v>
      </c>
      <c r="B548" s="12" t="s">
        <v>58</v>
      </c>
      <c r="C548">
        <v>40766481.975077689</v>
      </c>
      <c r="D548">
        <v>37955381.470092341</v>
      </c>
      <c r="E548">
        <v>545945.94594594603</v>
      </c>
      <c r="F548">
        <v>54054.054054056003</v>
      </c>
      <c r="G548">
        <v>6</v>
      </c>
      <c r="H548">
        <v>5</v>
      </c>
      <c r="I548">
        <v>13</v>
      </c>
      <c r="J548">
        <v>5</v>
      </c>
      <c r="K548">
        <v>554954.95495495503</v>
      </c>
      <c r="L548">
        <v>144144.144144146</v>
      </c>
      <c r="M548">
        <v>6830945.9459459446</v>
      </c>
      <c r="N548">
        <v>6498162.1621621624</v>
      </c>
      <c r="O548">
        <v>1217837.8378378381</v>
      </c>
      <c r="P548">
        <v>1678378.3783783801</v>
      </c>
      <c r="Q548">
        <v>17345</v>
      </c>
      <c r="R548">
        <v>18290</v>
      </c>
    </row>
    <row r="549" spans="1:18" x14ac:dyDescent="0.35">
      <c r="A549" s="7" t="s">
        <v>644</v>
      </c>
      <c r="B549" s="12" t="s">
        <v>58</v>
      </c>
      <c r="C549">
        <v>50577046.905890986</v>
      </c>
      <c r="D549">
        <v>49915076.116552979</v>
      </c>
      <c r="E549">
        <v>766517.11711711704</v>
      </c>
      <c r="F549">
        <v>853669.36936937296</v>
      </c>
      <c r="G549">
        <v>9</v>
      </c>
      <c r="H549">
        <v>11</v>
      </c>
      <c r="I549">
        <v>13</v>
      </c>
      <c r="J549">
        <v>20</v>
      </c>
      <c r="K549">
        <v>681981.98198198201</v>
      </c>
      <c r="L549">
        <v>792792.79279279604</v>
      </c>
      <c r="M549">
        <v>12586432.432432432</v>
      </c>
      <c r="N549">
        <v>12552675.675675681</v>
      </c>
      <c r="O549">
        <v>3151351.351351351</v>
      </c>
      <c r="P549">
        <v>4974594.5945945941</v>
      </c>
      <c r="Q549">
        <v>22265</v>
      </c>
      <c r="R549">
        <v>22380</v>
      </c>
    </row>
    <row r="550" spans="1:18" x14ac:dyDescent="0.35">
      <c r="A550" s="7" t="s">
        <v>645</v>
      </c>
      <c r="B550" s="12" t="s">
        <v>307</v>
      </c>
      <c r="C550">
        <v>15763608.844249016</v>
      </c>
      <c r="D550">
        <v>15249762.773804268</v>
      </c>
      <c r="F550">
        <v>283783.78378378402</v>
      </c>
      <c r="I550">
        <v>1</v>
      </c>
      <c r="K550">
        <v>450450.45045045001</v>
      </c>
      <c r="L550">
        <v>283783.78378378402</v>
      </c>
      <c r="M550">
        <v>2391486.4864864871</v>
      </c>
      <c r="N550">
        <v>2066729.7297297281</v>
      </c>
      <c r="O550">
        <v>574774.77477477398</v>
      </c>
      <c r="P550">
        <v>161621.62162162201</v>
      </c>
      <c r="Q550">
        <v>5342</v>
      </c>
      <c r="R550">
        <v>5120</v>
      </c>
    </row>
    <row r="551" spans="1:18" x14ac:dyDescent="0.35">
      <c r="A551" s="7" t="s">
        <v>13</v>
      </c>
      <c r="B551" s="12" t="s">
        <v>158</v>
      </c>
      <c r="C551">
        <v>17362317.311545219</v>
      </c>
      <c r="D551">
        <v>16553568.53640694</v>
      </c>
      <c r="F551">
        <v>13513.513513514001</v>
      </c>
      <c r="G551">
        <v>1</v>
      </c>
      <c r="I551">
        <v>1</v>
      </c>
      <c r="J551">
        <v>1</v>
      </c>
      <c r="K551">
        <v>781981.98198198096</v>
      </c>
      <c r="L551">
        <v>2518738.7387387431</v>
      </c>
      <c r="M551">
        <v>9165765.7657657675</v>
      </c>
      <c r="N551">
        <v>9771702.7027027011</v>
      </c>
      <c r="O551">
        <v>3112612.612612613</v>
      </c>
      <c r="P551">
        <v>1587657.6576576601</v>
      </c>
      <c r="Q551">
        <v>7533</v>
      </c>
      <c r="R551">
        <v>7239</v>
      </c>
    </row>
    <row r="552" spans="1:18" x14ac:dyDescent="0.35">
      <c r="A552" s="7" t="s">
        <v>646</v>
      </c>
      <c r="B552" s="12" t="s">
        <v>121</v>
      </c>
      <c r="C552">
        <v>13382858.975103883</v>
      </c>
      <c r="D552">
        <v>12038711.220453421</v>
      </c>
      <c r="G552">
        <v>5</v>
      </c>
      <c r="I552">
        <v>5</v>
      </c>
      <c r="J552">
        <v>1</v>
      </c>
      <c r="M552">
        <v>1215180.1801801811</v>
      </c>
      <c r="N552">
        <v>909144.14414414403</v>
      </c>
      <c r="O552">
        <v>25225.225225225</v>
      </c>
      <c r="P552">
        <v>41891.891891892003</v>
      </c>
      <c r="Q552">
        <v>3069</v>
      </c>
      <c r="R552">
        <v>3802</v>
      </c>
    </row>
    <row r="553" spans="1:18" x14ac:dyDescent="0.35">
      <c r="A553" s="7" t="s">
        <v>647</v>
      </c>
      <c r="B553" s="12" t="s">
        <v>315</v>
      </c>
      <c r="C553">
        <v>4552372.7808143701</v>
      </c>
      <c r="D553">
        <v>4065008.3961936538</v>
      </c>
      <c r="M553">
        <v>687792.79279279301</v>
      </c>
      <c r="N553">
        <v>721756.75675675599</v>
      </c>
      <c r="O553">
        <v>113333.33333333299</v>
      </c>
      <c r="P553">
        <v>524324.32432432496</v>
      </c>
      <c r="Q553">
        <v>1323</v>
      </c>
      <c r="R553">
        <v>1285</v>
      </c>
    </row>
    <row r="554" spans="1:18" x14ac:dyDescent="0.35">
      <c r="A554" s="7" t="s">
        <v>648</v>
      </c>
      <c r="B554" s="12" t="s">
        <v>260</v>
      </c>
      <c r="C554">
        <v>10705744.274564739</v>
      </c>
      <c r="D554">
        <v>10293642.988204688</v>
      </c>
      <c r="H554">
        <v>7</v>
      </c>
      <c r="J554">
        <v>7</v>
      </c>
      <c r="K554">
        <v>2702702.702702703</v>
      </c>
      <c r="M554">
        <v>3853828.8288288289</v>
      </c>
      <c r="N554">
        <v>3026945.945945946</v>
      </c>
      <c r="O554">
        <v>1287837.8378378381</v>
      </c>
      <c r="P554">
        <v>1569369.369369369</v>
      </c>
      <c r="Q554">
        <v>4330</v>
      </c>
      <c r="R554">
        <v>4335</v>
      </c>
    </row>
    <row r="555" spans="1:18" x14ac:dyDescent="0.35">
      <c r="A555" s="7" t="s">
        <v>649</v>
      </c>
      <c r="B555" s="12" t="s">
        <v>224</v>
      </c>
      <c r="C555">
        <v>11551977.281228624</v>
      </c>
      <c r="D555">
        <v>9801938.6649576277</v>
      </c>
      <c r="E555">
        <v>900.900900901</v>
      </c>
      <c r="F555">
        <v>108108.10810810899</v>
      </c>
      <c r="G555">
        <v>2</v>
      </c>
      <c r="H555">
        <v>1</v>
      </c>
      <c r="I555">
        <v>2</v>
      </c>
      <c r="J555">
        <v>2</v>
      </c>
      <c r="K555">
        <v>451351.35135135101</v>
      </c>
      <c r="L555">
        <v>2112612.6126126139</v>
      </c>
      <c r="M555">
        <v>2782297.297297297</v>
      </c>
      <c r="N555">
        <v>2172648.6486486499</v>
      </c>
      <c r="O555">
        <v>209459.459459459</v>
      </c>
      <c r="P555">
        <v>2222072.0720720738</v>
      </c>
      <c r="Q555">
        <v>5432</v>
      </c>
      <c r="R555">
        <v>5332</v>
      </c>
    </row>
    <row r="556" spans="1:18" x14ac:dyDescent="0.35">
      <c r="A556" s="7" t="s">
        <v>650</v>
      </c>
      <c r="B556" s="12" t="s">
        <v>224</v>
      </c>
      <c r="C556">
        <v>9761659.8902233168</v>
      </c>
      <c r="D556">
        <v>7020111.1112957662</v>
      </c>
      <c r="I556">
        <v>1</v>
      </c>
      <c r="K556">
        <v>356981.98198198201</v>
      </c>
      <c r="L556">
        <v>135135.135135135</v>
      </c>
      <c r="M556">
        <v>914009.00900900899</v>
      </c>
      <c r="N556">
        <v>1403828.8288288279</v>
      </c>
      <c r="O556">
        <v>94234.234234233998</v>
      </c>
      <c r="P556">
        <v>127477.47747747799</v>
      </c>
      <c r="Q556">
        <v>3138</v>
      </c>
      <c r="R556">
        <v>6231</v>
      </c>
    </row>
    <row r="557" spans="1:18" x14ac:dyDescent="0.35">
      <c r="A557" s="7" t="s">
        <v>651</v>
      </c>
      <c r="B557" s="12" t="s">
        <v>224</v>
      </c>
      <c r="C557">
        <v>35974061.016554318</v>
      </c>
      <c r="D557">
        <v>31015616.567406528</v>
      </c>
      <c r="E557">
        <v>392380.18018018099</v>
      </c>
      <c r="F557">
        <v>703236.93693693995</v>
      </c>
      <c r="G557">
        <v>8</v>
      </c>
      <c r="H557">
        <v>7</v>
      </c>
      <c r="I557">
        <v>18</v>
      </c>
      <c r="J557">
        <v>13</v>
      </c>
      <c r="K557">
        <v>3601801.8018017998</v>
      </c>
      <c r="L557">
        <v>9423423.4234234281</v>
      </c>
      <c r="M557">
        <v>8120675.6756756753</v>
      </c>
      <c r="N557">
        <v>8036531.5315315314</v>
      </c>
      <c r="O557">
        <v>2793243.2432432459</v>
      </c>
      <c r="P557">
        <v>5461891.8918918949</v>
      </c>
      <c r="Q557">
        <v>18572</v>
      </c>
      <c r="R557">
        <v>18315</v>
      </c>
    </row>
    <row r="558" spans="1:18" x14ac:dyDescent="0.35">
      <c r="A558" s="7" t="s">
        <v>652</v>
      </c>
      <c r="B558" s="12" t="s">
        <v>224</v>
      </c>
      <c r="C558">
        <v>5256646.3340376513</v>
      </c>
      <c r="D558">
        <v>3244920.2303730501</v>
      </c>
      <c r="G558">
        <v>1</v>
      </c>
      <c r="I558">
        <v>1</v>
      </c>
      <c r="K558">
        <v>450450.45045045001</v>
      </c>
      <c r="M558">
        <v>535990.99099099101</v>
      </c>
      <c r="N558">
        <v>434423.42342342302</v>
      </c>
      <c r="P558">
        <v>92882.882882883001</v>
      </c>
      <c r="Q558">
        <v>1813</v>
      </c>
      <c r="R558">
        <v>1768</v>
      </c>
    </row>
    <row r="559" spans="1:18" x14ac:dyDescent="0.35">
      <c r="A559" s="7" t="s">
        <v>653</v>
      </c>
      <c r="B559" s="12" t="s">
        <v>96</v>
      </c>
      <c r="C559">
        <v>20277392.037932295</v>
      </c>
      <c r="D559">
        <v>19123664.125239264</v>
      </c>
      <c r="G559">
        <v>1</v>
      </c>
      <c r="H559">
        <v>5</v>
      </c>
      <c r="I559">
        <v>2</v>
      </c>
      <c r="J559">
        <v>6</v>
      </c>
      <c r="L559">
        <v>180180.18018018</v>
      </c>
      <c r="M559">
        <v>2523414.4144144142</v>
      </c>
      <c r="N559">
        <v>2681090.0900900899</v>
      </c>
      <c r="O559">
        <v>757657.65765765798</v>
      </c>
      <c r="P559">
        <v>38738.738738738997</v>
      </c>
      <c r="Q559">
        <v>9072</v>
      </c>
      <c r="R559">
        <v>8378</v>
      </c>
    </row>
    <row r="560" spans="1:18" x14ac:dyDescent="0.35">
      <c r="A560" s="7" t="s">
        <v>654</v>
      </c>
      <c r="B560" s="12" t="s">
        <v>66</v>
      </c>
      <c r="C560">
        <v>12211134.276959985</v>
      </c>
      <c r="D560">
        <v>11395239.670447612</v>
      </c>
      <c r="E560">
        <v>182882.88288288299</v>
      </c>
      <c r="F560">
        <v>13513.513513514001</v>
      </c>
      <c r="G560">
        <v>4</v>
      </c>
      <c r="H560">
        <v>3</v>
      </c>
      <c r="I560">
        <v>5</v>
      </c>
      <c r="J560">
        <v>3</v>
      </c>
      <c r="K560">
        <v>2920900.9009009041</v>
      </c>
      <c r="L560">
        <v>13513.513513514001</v>
      </c>
      <c r="M560">
        <v>6851756.7567567574</v>
      </c>
      <c r="N560">
        <v>7065585.5855855858</v>
      </c>
      <c r="O560">
        <v>1171351.3513513571</v>
      </c>
      <c r="P560">
        <v>747117.11711711704</v>
      </c>
      <c r="Q560">
        <v>5521</v>
      </c>
      <c r="R560">
        <v>5329</v>
      </c>
    </row>
    <row r="561" spans="1:18" x14ac:dyDescent="0.35">
      <c r="A561" s="7" t="s">
        <v>655</v>
      </c>
      <c r="B561" s="12" t="s">
        <v>68</v>
      </c>
      <c r="C561">
        <v>20344380.422290303</v>
      </c>
      <c r="D561">
        <v>16757780.413866492</v>
      </c>
      <c r="F561">
        <v>13513.513513514001</v>
      </c>
      <c r="H561">
        <v>1</v>
      </c>
      <c r="I561">
        <v>1</v>
      </c>
      <c r="J561">
        <v>1</v>
      </c>
      <c r="K561">
        <v>2702702.702702703</v>
      </c>
      <c r="L561">
        <v>152252.25225225301</v>
      </c>
      <c r="M561">
        <v>2177387.3873873879</v>
      </c>
      <c r="N561">
        <v>1976369.3693693699</v>
      </c>
      <c r="O561">
        <v>425405.40540540701</v>
      </c>
      <c r="P561">
        <v>651351.35135135299</v>
      </c>
      <c r="Q561">
        <v>6965</v>
      </c>
      <c r="R561">
        <v>6383</v>
      </c>
    </row>
    <row r="562" spans="1:18" x14ac:dyDescent="0.35">
      <c r="A562" s="7" t="s">
        <v>14</v>
      </c>
      <c r="B562" s="12" t="s">
        <v>158</v>
      </c>
      <c r="C562">
        <v>9341729.8790541776</v>
      </c>
      <c r="D562">
        <v>8580398.6492547989</v>
      </c>
      <c r="E562">
        <v>900.900900901</v>
      </c>
      <c r="G562">
        <v>1</v>
      </c>
      <c r="H562">
        <v>1</v>
      </c>
      <c r="I562">
        <v>1</v>
      </c>
      <c r="J562">
        <v>2</v>
      </c>
      <c r="K562">
        <v>900.900900901</v>
      </c>
      <c r="M562">
        <v>3204504.5045045051</v>
      </c>
      <c r="N562">
        <v>3376621.6216216208</v>
      </c>
      <c r="O562">
        <v>681081.081081082</v>
      </c>
      <c r="P562">
        <v>1000270.2702702699</v>
      </c>
      <c r="Q562">
        <v>4055</v>
      </c>
      <c r="R562">
        <v>4061</v>
      </c>
    </row>
    <row r="563" spans="1:18" x14ac:dyDescent="0.35">
      <c r="A563" s="7" t="s">
        <v>656</v>
      </c>
      <c r="B563" s="12" t="s">
        <v>304</v>
      </c>
      <c r="C563">
        <v>10501117.7589214</v>
      </c>
      <c r="D563">
        <v>10459699.362475865</v>
      </c>
      <c r="E563">
        <v>2702.7027027029999</v>
      </c>
      <c r="F563">
        <v>13513.513513514001</v>
      </c>
      <c r="G563">
        <v>1</v>
      </c>
      <c r="H563">
        <v>1</v>
      </c>
      <c r="I563">
        <v>1</v>
      </c>
      <c r="J563">
        <v>1</v>
      </c>
      <c r="K563">
        <v>2975675.6756756762</v>
      </c>
      <c r="L563">
        <v>13513.513513514001</v>
      </c>
      <c r="M563">
        <v>1882792.7927927929</v>
      </c>
      <c r="N563">
        <v>2272891.8918918921</v>
      </c>
      <c r="O563">
        <v>979639.63963963999</v>
      </c>
      <c r="P563">
        <v>1426126.1261261271</v>
      </c>
      <c r="Q563">
        <v>3223</v>
      </c>
      <c r="R563">
        <v>4415</v>
      </c>
    </row>
    <row r="564" spans="1:18" x14ac:dyDescent="0.35">
      <c r="A564" s="7" t="s">
        <v>657</v>
      </c>
      <c r="B564" s="12" t="s">
        <v>48</v>
      </c>
      <c r="C564">
        <v>12819299.569754332</v>
      </c>
      <c r="D564">
        <v>11702001.262308167</v>
      </c>
      <c r="E564">
        <v>1801.801801802</v>
      </c>
      <c r="F564">
        <v>90090.090090090001</v>
      </c>
      <c r="G564">
        <v>1</v>
      </c>
      <c r="H564">
        <v>1</v>
      </c>
      <c r="I564">
        <v>1</v>
      </c>
      <c r="J564">
        <v>1</v>
      </c>
      <c r="K564">
        <v>1801.801801802</v>
      </c>
      <c r="L564">
        <v>90090.090090090001</v>
      </c>
      <c r="M564">
        <v>3422252.2522522528</v>
      </c>
      <c r="N564">
        <v>3010045.0450450452</v>
      </c>
      <c r="O564">
        <v>126576.576576577</v>
      </c>
      <c r="P564">
        <v>257657.65765765801</v>
      </c>
      <c r="Q564">
        <v>3358</v>
      </c>
      <c r="R564">
        <v>3106</v>
      </c>
    </row>
    <row r="565" spans="1:18" x14ac:dyDescent="0.35">
      <c r="A565" s="7" t="s">
        <v>658</v>
      </c>
      <c r="B565" s="12" t="s">
        <v>54</v>
      </c>
      <c r="C565">
        <v>4223699.8827217948</v>
      </c>
      <c r="D565">
        <v>3905889.5303158271</v>
      </c>
      <c r="E565">
        <v>180180.18018018</v>
      </c>
      <c r="K565">
        <v>180180.18018018</v>
      </c>
      <c r="L565">
        <v>450450.45045045001</v>
      </c>
      <c r="M565">
        <v>648558.558558558</v>
      </c>
      <c r="N565">
        <v>760765.76576576603</v>
      </c>
      <c r="O565">
        <v>477567.56756756798</v>
      </c>
      <c r="P565">
        <v>347297.29729729699</v>
      </c>
      <c r="Q565">
        <v>1539</v>
      </c>
      <c r="R565">
        <v>1602</v>
      </c>
    </row>
    <row r="566" spans="1:18" x14ac:dyDescent="0.35">
      <c r="A566" s="7" t="s">
        <v>659</v>
      </c>
      <c r="B566" s="12" t="s">
        <v>50</v>
      </c>
      <c r="C566">
        <v>18639205.247866672</v>
      </c>
      <c r="D566">
        <v>16689746.355914157</v>
      </c>
      <c r="F566">
        <v>13513.513513514001</v>
      </c>
      <c r="G566">
        <v>1</v>
      </c>
      <c r="H566">
        <v>1</v>
      </c>
      <c r="I566">
        <v>2</v>
      </c>
      <c r="J566">
        <v>1</v>
      </c>
      <c r="K566">
        <v>6486846.8468468469</v>
      </c>
      <c r="L566">
        <v>9800900.9009009004</v>
      </c>
      <c r="M566">
        <v>9324639.6396396402</v>
      </c>
      <c r="N566">
        <v>8515126.1261261255</v>
      </c>
      <c r="O566">
        <v>4856036.036036035</v>
      </c>
      <c r="P566">
        <v>4591621.6216216208</v>
      </c>
      <c r="Q566">
        <v>5892</v>
      </c>
      <c r="R566">
        <v>5806</v>
      </c>
    </row>
    <row r="567" spans="1:18" x14ac:dyDescent="0.35">
      <c r="A567" s="7" t="s">
        <v>660</v>
      </c>
      <c r="B567" s="12" t="s">
        <v>83</v>
      </c>
      <c r="C567">
        <v>21776571.622691385</v>
      </c>
      <c r="D567">
        <v>22757034.811988641</v>
      </c>
      <c r="E567">
        <v>138738.73873873899</v>
      </c>
      <c r="F567">
        <v>27027.027027028002</v>
      </c>
      <c r="G567">
        <v>3</v>
      </c>
      <c r="H567">
        <v>1</v>
      </c>
      <c r="I567">
        <v>4</v>
      </c>
      <c r="J567">
        <v>4</v>
      </c>
      <c r="K567">
        <v>598198.19819819799</v>
      </c>
      <c r="L567">
        <v>18495495.495495494</v>
      </c>
      <c r="M567">
        <v>3841306.3063063049</v>
      </c>
      <c r="N567">
        <v>4901216.2162162159</v>
      </c>
      <c r="O567">
        <v>1419639.6396396409</v>
      </c>
      <c r="P567">
        <v>1085225.225225226</v>
      </c>
      <c r="Q567">
        <v>8975</v>
      </c>
      <c r="R567">
        <v>8778</v>
      </c>
    </row>
    <row r="568" spans="1:18" x14ac:dyDescent="0.35">
      <c r="A568" s="16" t="s">
        <v>661</v>
      </c>
      <c r="B568" s="14"/>
      <c r="C568" s="17">
        <v>8575879289.5765839</v>
      </c>
      <c r="D568" s="17">
        <v>8337851205.4272928</v>
      </c>
      <c r="E568" s="17">
        <v>1668697291.8918929</v>
      </c>
      <c r="F568" s="17">
        <v>557522078.37837815</v>
      </c>
      <c r="G568" s="17">
        <v>1318</v>
      </c>
      <c r="H568" s="17">
        <v>1357</v>
      </c>
      <c r="I568" s="17">
        <v>2392</v>
      </c>
      <c r="J568" s="17">
        <v>2520</v>
      </c>
      <c r="K568" s="17">
        <v>1599515239.6396408</v>
      </c>
      <c r="L568" s="17">
        <v>1494527452.2522545</v>
      </c>
      <c r="M568" s="17">
        <v>2144919895.4954965</v>
      </c>
      <c r="N568" s="17">
        <v>2242086628.8288293</v>
      </c>
      <c r="O568" s="17">
        <v>837854050.45045018</v>
      </c>
      <c r="P568" s="17">
        <v>1135405432.4324317</v>
      </c>
      <c r="Q568" s="17">
        <v>3717219</v>
      </c>
      <c r="R568" s="17">
        <v>3735506</v>
      </c>
    </row>
    <row r="569" spans="1:18" x14ac:dyDescent="0.35">
      <c r="A569" s="7" t="s">
        <v>660</v>
      </c>
      <c r="B569" s="12" t="s">
        <v>83</v>
      </c>
      <c r="C569">
        <v>568508209.95015216</v>
      </c>
      <c r="D569">
        <v>560557793.28454971</v>
      </c>
      <c r="E569">
        <v>70380872.972972974</v>
      </c>
      <c r="F569">
        <v>145345378.37837836</v>
      </c>
      <c r="G569">
        <v>155</v>
      </c>
      <c r="H569">
        <v>162</v>
      </c>
      <c r="I569">
        <v>173</v>
      </c>
      <c r="J569">
        <v>191</v>
      </c>
      <c r="K569">
        <v>76059145.945945948</v>
      </c>
      <c r="L569">
        <v>150241733.33333334</v>
      </c>
      <c r="M569">
        <v>145010747.74774775</v>
      </c>
      <c r="N569">
        <v>149798363.96396396</v>
      </c>
      <c r="O569">
        <v>47406891.891891889</v>
      </c>
      <c r="P569">
        <v>57912520.720720723</v>
      </c>
      <c r="Q569">
        <v>9513</v>
      </c>
      <c r="R569">
        <v>8926</v>
      </c>
    </row>
    <row r="570" spans="1:18" x14ac:dyDescent="0.35">
      <c r="A570" s="16" t="s">
        <v>661</v>
      </c>
      <c r="B570" s="14"/>
      <c r="C570" s="17">
        <v>234406750297.57965</v>
      </c>
      <c r="D570" s="17">
        <v>233608407361.28128</v>
      </c>
      <c r="E570" s="17">
        <v>50491653345.045006</v>
      </c>
      <c r="F570" s="17">
        <v>63415450079.279213</v>
      </c>
      <c r="G570" s="17">
        <v>94261</v>
      </c>
      <c r="H570" s="17">
        <v>74146</v>
      </c>
      <c r="I570" s="17">
        <v>130592</v>
      </c>
      <c r="J570" s="17">
        <v>108121</v>
      </c>
      <c r="K570" s="17">
        <v>52007795629.729736</v>
      </c>
      <c r="L570" s="17">
        <v>63362639613.513519</v>
      </c>
      <c r="M570" s="17">
        <v>69581848802.702698</v>
      </c>
      <c r="N570" s="17">
        <v>74507063818.918869</v>
      </c>
      <c r="O570" s="17">
        <v>41460506958.55854</v>
      </c>
      <c r="P570" s="17">
        <v>51961109972.972984</v>
      </c>
      <c r="Q570" s="17">
        <v>4645899</v>
      </c>
      <c r="R570" s="17">
        <v>3735420</v>
      </c>
    </row>
    <row r="571" spans="1:18" x14ac:dyDescent="0.35">
      <c r="A571" s="16" t="s">
        <v>661</v>
      </c>
      <c r="B571" s="14"/>
      <c r="C571" s="17">
        <v>226308447393.36023</v>
      </c>
      <c r="D571" s="17">
        <v>225924188420.94946</v>
      </c>
      <c r="E571" s="17">
        <v>50102417490.990974</v>
      </c>
      <c r="F571" s="17">
        <v>60523496371.171135</v>
      </c>
      <c r="G571" s="17">
        <v>88828</v>
      </c>
      <c r="H571" s="17">
        <v>70548</v>
      </c>
      <c r="I571" s="17">
        <v>122593</v>
      </c>
      <c r="J571" s="17">
        <v>103738</v>
      </c>
      <c r="K571" s="17">
        <v>49177952274.774811</v>
      </c>
      <c r="L571" s="17">
        <v>56383212326.126129</v>
      </c>
      <c r="M571" s="17">
        <v>67419654181.982033</v>
      </c>
      <c r="N571" s="17">
        <v>72340934763.063034</v>
      </c>
      <c r="O571" s="17">
        <v>39085720924.324318</v>
      </c>
      <c r="P571" s="17">
        <v>46884049798.198219</v>
      </c>
      <c r="Q571" s="17">
        <v>4651006</v>
      </c>
      <c r="R571" s="17">
        <v>3732606</v>
      </c>
    </row>
    <row r="572" spans="1:18" x14ac:dyDescent="0.35">
      <c r="A572" s="7" t="s">
        <v>659</v>
      </c>
      <c r="B572" s="12" t="s">
        <v>50</v>
      </c>
      <c r="C572">
        <v>340468703.79018021</v>
      </c>
      <c r="D572">
        <v>355953726.81693196</v>
      </c>
      <c r="E572">
        <v>1679279.279279283</v>
      </c>
      <c r="F572">
        <v>1536036.0360360381</v>
      </c>
      <c r="G572">
        <v>64</v>
      </c>
      <c r="H572">
        <v>17</v>
      </c>
      <c r="I572">
        <v>86</v>
      </c>
      <c r="J572">
        <v>20</v>
      </c>
      <c r="K572">
        <v>86525855.855855852</v>
      </c>
      <c r="L572">
        <v>63458468.468468465</v>
      </c>
      <c r="M572">
        <v>171285351.35135135</v>
      </c>
      <c r="N572">
        <v>182156576.57657659</v>
      </c>
      <c r="O572">
        <v>80741261.261261269</v>
      </c>
      <c r="P572">
        <v>67669009.009009004</v>
      </c>
      <c r="Q572">
        <v>5911</v>
      </c>
      <c r="R572">
        <v>5762</v>
      </c>
    </row>
    <row r="573" spans="1:18" x14ac:dyDescent="0.35">
      <c r="A573" s="7" t="s">
        <v>660</v>
      </c>
      <c r="B573" s="12" t="s">
        <v>83</v>
      </c>
      <c r="C573">
        <v>414608827.86823946</v>
      </c>
      <c r="D573">
        <v>406253058.65274423</v>
      </c>
      <c r="E573">
        <v>3228620.72072072</v>
      </c>
      <c r="F573">
        <v>3938738.7387387399</v>
      </c>
      <c r="G573">
        <v>113</v>
      </c>
      <c r="H573">
        <v>122</v>
      </c>
      <c r="I573">
        <v>131</v>
      </c>
      <c r="J573">
        <v>144</v>
      </c>
      <c r="K573">
        <v>59738200</v>
      </c>
      <c r="L573">
        <v>70005180.180180177</v>
      </c>
      <c r="M573">
        <v>107160720.72072072</v>
      </c>
      <c r="N573">
        <v>113603814.41441442</v>
      </c>
      <c r="O573">
        <v>36407792.79279279</v>
      </c>
      <c r="P573">
        <v>42553781.981981985</v>
      </c>
      <c r="Q573">
        <v>9030</v>
      </c>
      <c r="R573">
        <v>8956</v>
      </c>
    </row>
    <row r="574" spans="1:18" x14ac:dyDescent="0.35">
      <c r="A574" s="7" t="s">
        <v>660</v>
      </c>
      <c r="B574" s="12" t="s">
        <v>83</v>
      </c>
      <c r="C574">
        <v>397677261.4063766</v>
      </c>
      <c r="D574">
        <v>389701792.50839347</v>
      </c>
      <c r="E574">
        <v>3051143.2432432421</v>
      </c>
      <c r="F574">
        <v>3830630.630630631</v>
      </c>
      <c r="G574">
        <v>112</v>
      </c>
      <c r="H574">
        <v>115</v>
      </c>
      <c r="I574">
        <v>130</v>
      </c>
      <c r="J574">
        <v>136</v>
      </c>
      <c r="K574">
        <v>59551713.513513513</v>
      </c>
      <c r="L574">
        <v>45068243.24324324</v>
      </c>
      <c r="M574">
        <v>102419054.05405405</v>
      </c>
      <c r="N574">
        <v>108633958.55855855</v>
      </c>
      <c r="O574">
        <v>35224639.639639638</v>
      </c>
      <c r="P574">
        <v>40915854.054054059</v>
      </c>
      <c r="Q574">
        <v>8688</v>
      </c>
      <c r="R574">
        <v>9044</v>
      </c>
    </row>
    <row r="575" spans="1:18" x14ac:dyDescent="0.35">
      <c r="A575" s="16" t="s">
        <v>661</v>
      </c>
      <c r="B575" s="14"/>
      <c r="C575" s="17">
        <v>165077903080.78256</v>
      </c>
      <c r="D575" s="17">
        <v>166787947532.75107</v>
      </c>
      <c r="E575" s="17">
        <v>38380562584.6847</v>
      </c>
      <c r="F575" s="17">
        <v>42457018647.747734</v>
      </c>
      <c r="G575" s="17">
        <v>59093</v>
      </c>
      <c r="H575" s="17">
        <v>45288</v>
      </c>
      <c r="I575" s="17">
        <v>83686</v>
      </c>
      <c r="J575" s="17">
        <v>66905</v>
      </c>
      <c r="K575" s="17">
        <v>35788876009.00901</v>
      </c>
      <c r="L575" s="17">
        <v>37481004610.810814</v>
      </c>
      <c r="M575" s="17">
        <v>49667870019.819824</v>
      </c>
      <c r="N575" s="17">
        <v>53806458061.261261</v>
      </c>
      <c r="O575" s="17">
        <v>26357094664.864845</v>
      </c>
      <c r="P575" s="17">
        <v>29162222445.04504</v>
      </c>
      <c r="Q575" s="17">
        <v>3651263</v>
      </c>
      <c r="R575" s="17">
        <v>3748831</v>
      </c>
    </row>
    <row r="576" spans="1:18" x14ac:dyDescent="0.35">
      <c r="A576" s="13" t="s">
        <v>661</v>
      </c>
      <c r="B576" s="14"/>
      <c r="C576" s="15">
        <v>128271665346.12497</v>
      </c>
      <c r="D576" s="15">
        <v>132158564620.26212</v>
      </c>
      <c r="E576" s="15">
        <v>27114972049.549534</v>
      </c>
      <c r="F576" s="15">
        <v>30432270579.279301</v>
      </c>
      <c r="G576" s="15">
        <v>40621</v>
      </c>
      <c r="H576" s="15">
        <v>31716</v>
      </c>
      <c r="I576" s="15">
        <v>57338</v>
      </c>
      <c r="J576" s="15">
        <v>49355</v>
      </c>
      <c r="K576" s="15">
        <v>26584693067.56757</v>
      </c>
      <c r="L576" s="15">
        <v>28771765740.540546</v>
      </c>
      <c r="M576" s="15">
        <v>38177585445.045029</v>
      </c>
      <c r="N576" s="15">
        <v>42169923271.171188</v>
      </c>
      <c r="O576" s="15">
        <v>18703835405.405399</v>
      </c>
      <c r="P576" s="15">
        <v>21162554133.333317</v>
      </c>
      <c r="Q576" s="15">
        <v>3721019</v>
      </c>
      <c r="R576" s="15">
        <v>3745925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MASTER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AMN-IOH</dc:creator>
  <cp:lastModifiedBy>AMN-IOH</cp:lastModifiedBy>
  <dcterms:created xsi:type="dcterms:W3CDTF">2026-08-01T16:49:51Z</dcterms:created>
  <dcterms:modified xsi:type="dcterms:W3CDTF">2026-09-03T14:16:33Z</dcterms:modified>
</cp:coreProperties>
</file>