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<sst xmlns="http://schemas.openxmlformats.org/spreadsheetml/2006/main" count="1234" uniqueCount="677">
  <si>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</si>
  <si>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</si>
  <si>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</si>
  <si>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</si>
  <si>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</si>
  <si>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</si>
  <si>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</si>
  <si>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</si>
  <si>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</si>
  <si>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</si>
  <si>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</si>
  <si>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</si>
  <si>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</si>
  <si>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</si>
  <si>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</si>
  <si>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</si>
  <si>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</si>
  <si>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</si>
  <si>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</si>
  <si>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</si>
  <si>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</si>
  <si>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</si>
  <si>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</si>
  <si>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</si>
  <si>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</si>
  <si>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</si>
  <si>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</si>
  <si>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</si>
  <si>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</si>
  <si>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</si>
  <si>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</si>
  <si>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</si>
  <si>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</si>
  <si>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</si>
  <si>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</si>
  <si>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</si>
  <si>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</si>
  <si>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</si>
  <si>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</si>
  <si>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</si>
  <si>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</si>
  <si>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</si>
  <si>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</si>
  <si>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</si>
  <si>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</si>
  <si>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</si>
  <si>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</si>
  <si>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</si>
  <si>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</si>
  <si>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</si>
  <si>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</si>
  <si>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</si>
  <si>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</si>
  <si>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</si>
  <si>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</si>
  <si>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</si>
  <si>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</si>
  <si>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</si>
  <si>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</si>
  <si>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</si>
  <si>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</si>
  <si>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</si>
  <si>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</si>
  <si>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</si>
  <si>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</si>
  <si>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</si>
  <si>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</si>
  <si>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</si>
  <si>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</si>
  <si>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</si>
  <si>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</si>
  <si>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</si>
  <si>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</si>
  <si>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</si>
  <si>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</si>
  <si>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</si>
  <si>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</si>
  <si>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</si>
  <si>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</si>
  <si>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</si>
  <si>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</si>
  <si>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</si>
  <si>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</si>
  <si>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</si>
  <si>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</si>
  <si>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</si>
  <si>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</si>
  <si>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</si>
  <si>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</si>
  <si>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</si>
  <si>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</si>
  <si>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</si>
  <si>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</si>
  <si>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</si>
  <si>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</si>
  <si>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</si>
  <si>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</si>
  <si>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</si>
  <si>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</si>
  <si>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</si>
  <si>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</si>
  <si>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</si>
  <si>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</si>
  <si>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</si>
  <si>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</si>
  <si>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</si>
  <si>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</si>
  <si>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</si>
  <si>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</si>
  <si>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</si>
  <si>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</si>
  <si>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</si>
  <si>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</si>
  <si>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</si>
  <si>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</si>
  <si>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</si>
  <si>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</si>
  <si>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</si>
  <si>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</si>
  <si>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</si>
  <si>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</si>
  <si>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</si>
  <si>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</si>
  <si>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</si>
  <si>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</si>
  <si>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</si>
  <si>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</si>
  <si>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</si>
  <si>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</si>
  <si>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</si>
  <si>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</si>
  <si>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</si>
  <si>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</si>
  <si>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</si>
  <si>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</si>
  <si>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</si>
  <si>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</si>
  <si>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</si>
  <si>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</si>
  <si>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</si>
  <si>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</si>
  <si>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</si>
  <si>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</si>
  <si>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</si>
  <si>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</si>
  <si>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</si>
  <si>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</si>
  <si>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</si>
  <si>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</si>
  <si>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</si>
  <si>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</si>
  <si>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</si>
  <si>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</si>
  <si>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</si>
  <si>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</si>
  <si>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</si>
  <si>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</si>
  <si>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</si>
  <si>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</si>
  <si>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</si>
  <si>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</si>
  <si>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</si>
  <si>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</si>
  <si>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</si>
  <si>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</si>
  <si>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</si>
  <si>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</si>
  <si>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</si>
  <si>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</si>
  <si>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</si>
  <si>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</si>
  <si>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</si>
  <si>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</si>
  <si>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</si>
  <si>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</si>
  <si>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</si>
  <si>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</si>
  <si>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</si>
  <si>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</si>
  <si>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</si>
  <si>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</si>
  <si>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</si>
  <si>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</si>
  <si>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</si>
  <si>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</si>
  <si>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</si>
  <si>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</si>
  <si>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</si>
  <si>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</si>
  <si>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</si>
  <si>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</si>
  <si>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</si>
  <si>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</si>
  <si>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</si>
  <si>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</si>
  <si>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</si>
  <si>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</si>
  <si>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</si>
  <si>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</si>
  <si>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</si>
  <si>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</si>
  <si>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</si>
  <si>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</si>
  <si>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</si>
  <si>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</si>
  <si>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</si>
  <si>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</si>
  <si>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</si>
  <si>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</si>
  <si>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</si>
  <si>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</si>
  <si>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</si>
  <si>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</si>
  <si>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</si>
  <si>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</si>
  <si>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</si>
  <si>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</si>
  <si>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</si>
  <si>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</si>
  <si>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</si>
  <si>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</si>
  <si>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</si>
  <si>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</si>
  <si>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</si>
  <si>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</si>
  <si>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</si>
  <si>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</si>
  <si>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</si>
  <si>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</si>
  <si>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</si>
  <si>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</si>
  <si>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</si>
  <si>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</si>
  <si>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</si>
  <si>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</si>
  <si>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</si>
  <si>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</si>
  <si>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</si>
  <si>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</si>
  <si>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</si>
  <si>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</si>
  <si>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</si>
  <si>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</si>
  <si>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</si>
  <si>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</si>
  <si>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</si>
  <si>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</si>
  <si>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</si>
  <si>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</si>
  <si>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</si>
  <si>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</si>
  <si>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</si>
  <si>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</si>
  <si>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</si>
  <si>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</si>
  <si>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</si>
  <si>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</si>
  <si>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</si>
  <si>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</si>
  <si>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</si>
  <si>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</si>
  <si>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</si>
  <si>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</si>
  <si>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</si>
  <si>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</si>
  <si>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</si>
  <si>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</si>
  <si>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</si>
  <si>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</si>
  <si>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</si>
  <si>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</si>
  <si>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</si>
  <si>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</si>
  <si>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</si>
  <si>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</si>
  <si>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</si>
  <si>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</si>
  <si>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</si>
  <si>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</si>
  <si>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</si>
  <si>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</si>
  <si>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</si>
  <si>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</si>
  <si>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</si>
  <si>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</si>
  <si>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</si>
  <si>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</si>
  <si>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</si>
  <si>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</si>
  <si>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</si>
  <si>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</si>
  <si>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</si>
  <si>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</si>
  <si>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</si>
  <si>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</si>
  <si>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</si>
  <si>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</si>
  <si>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</si>
  <si>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</si>
  <si>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</si>
  <si>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</si>
  <si>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</si>
  <si>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</si>
  <si>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</si>
  <si>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</si>
  <si>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</si>
  <si>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</si>
  <si>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</si>
  <si>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</si>
  <si>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</si>
  <si>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</si>
  <si>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</si>
  <si>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</si>
  <si>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</si>
  <si>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</si>
  <si>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</si>
  <si>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</si>
  <si>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</si>
  <si>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</si>
  <si>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</si>
  <si>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</si>
  <si>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</si>
  <si>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</si>
  <si>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</si>
  <si>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</si>
  <si>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</si>
  <si>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</si>
  <si>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</si>
  <si>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</si>
  <si>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</si>
  <si>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</si>
  <si>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</si>
  <si>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</si>
  <si>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</si>
  <si>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</si>
  <si>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</si>
  <si>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</si>
  <si>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</si>
  <si>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</si>
  <si>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</si>
  <si>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</si>
  <si>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</si>
  <si>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</si>
  <si>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</si>
  <si>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</si>
  <si>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</si>
  <si>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</si>
  <si>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</si>
  <si>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</si>
  <si>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</si>
  <si>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</si>
  <si>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</si>
  <si>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</si>
  <si>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</si>
  <si>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</si>
  <si>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</si>
  <si>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</si>
  <si>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</si>
  <si>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</si>
  <si>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</si>
  <si>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</si>
  <si>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</si>
  <si>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</si>
  <si>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</si>
  <si>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</si>
  <si>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</si>
  <si>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</si>
  <si>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</si>
  <si>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</si>
  <si>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</si>
  <si>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</si>
  <si>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</si>
  <si>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</si>
  <si>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</si>
  <si>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</si>
  <si>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</si>
  <si>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</si>
  <si>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</si>
  <si>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</si>
  <si>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</si>
  <si>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</si>
  <si>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</si>
  <si>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</si>
  <si>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</si>
  <si>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</si>
  <si>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</si>
  <si>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</si>
  <si>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</si>
  <si>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</si>
  <si>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</si>
  <si>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</si>
  <si>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</si>
  <si>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</si>
  <si>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</si>
  <si>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</si>
  <si>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</si>
  <si>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</si>
  <si>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</si>
  <si>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</si>
  <si>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</si>
  <si>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</si>
  <si>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</si>
  <si>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</si>
  <si>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</si>
  <si>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</si>
  <si>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</si>
  <si>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</si>
  <si>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</si>
  <si>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</si>
  <si>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</si>
  <si>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</si>
  <si>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</si>
  <si>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</si>
  <si>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</si>
  <si>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</si>
  <si>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</si>
  <si>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</si>
  <si>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</si>
  <si>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</si>
  <si>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</si>
  <si>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</si>
  <si>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</si>
  <si>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</si>
  <si>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</si>
  <si>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</si>
  <si>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</si>
  <si>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</si>
  <si>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</si>
  <si>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</si>
  <si>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</si>
  <si>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</si>
  <si>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</si>
  <si>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</si>
  <si>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</si>
  <si>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</si>
  <si>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</si>
  <si>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</si>
  <si>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</si>
  <si>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</si>
  <si>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</si>
  <si>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</si>
  <si>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</si>
  <si>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</si>
  <si>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</si>
  <si>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</si>
  <si>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</si>
  <si>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</si>
  <si>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</si>
  <si>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</si>
  <si>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</si>
  <si>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</si>
  <si>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</si>
  <si>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</si>
  <si>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</si>
  <si>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</si>
  <si>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</si>
  <si>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</si>
  <si>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</si>
  <si>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</si>
  <si>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</si>
  <si>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</si>
  <si>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</si>
  <si>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</si>
  <si>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</si>
  <si>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</si>
  <si>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</si>
  <si>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</si>
  <si>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</si>
  <si>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</si>
  <si>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</si>
  <si>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</si>
  <si>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</si>
  <si>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</si>
  <si>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</si>
  <si>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</si>
  <si>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</si>
  <si>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</si>
  <si>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</si>
  <si>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</si>
  <si>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</si>
  <si>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</si>
  <si>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</si>
  <si>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</si>
  <si>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</si>
  <si>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</si>
  <si>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</si>
  <si>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</si>
  <si>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</si>
  <si>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</si>
  <si>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</si>
  <si>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</si>
  <si>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</si>
  <si>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</si>
  <si>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</si>
  <si>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</si>
  <si>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</si>
  <si>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</si>
  <si>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</si>
  <si>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</si>
  <si>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</si>
  <si>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</si>
  <si>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</si>
  <si>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</si>
  <si>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</si>
  <si>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</si>
  <si>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</si>
  <si>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</si>
  <si>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</si>
  <si>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</si>
  <si>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</si>
  <si>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</si>
  <si>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</si>
  <si>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</si>
  <si>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</si>
  <si>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</si>
  <si>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</si>
  <si>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</si>
  <si>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</si>
  <si>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</si>
  <si>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</si>
  <si>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</si>
  <si>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</si>
  <si>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</si>
  <si>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</si>
  <si>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</si>
  <si>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</si>
  <si>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</si>
  <si>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</si>
  <si>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</si>
  <si>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</si>
  <si>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</si>
  <si>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</si>
  <si>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</si>
  <si>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</si>
  <si>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</si>
  <si>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</si>
  <si>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</si>
  <si>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</si>
  <si>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</si>
  <si>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</si>
  <si>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</si>
  <si>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</si>
  <si>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</si>
  <si>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</si>
  <si>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</si>
  <si>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</si>
  <si>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</si>
  <si>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</si>
  <si>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</si>
  <si>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</si>
  <si>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</si>
  <si>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</si>
  <si>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</si>
  <si>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</si>
  <si>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</si>
  <si>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</si>
  <si>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</si>
  <si>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</si>
  <si>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</si>
  <si>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</si>
  <si>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</si>
  <si>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</si>
  <si>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</si>
  <si>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</si>
  <si>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</si>
  <si>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</si>
  <si>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</si>
  <si>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</si>
  <si>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</si>
  <si>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</si>
  <si>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</si>
  <si>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</si>
  <si>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</si>
  <si>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</si>
  <si>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</si>
  <si>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</si>
  <si>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</si>
  <si>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</si>
  <si>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</si>
  <si>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</si>
  <si>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</si>
  <si>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</si>
  <si>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</si>
  <si>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</si>
  <si>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</si>
  <si>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</si>
  <si>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</si>
  <si>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</si>
  <si>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</si>
  <si>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</si>
  <si>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</si>
  <si>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</si>
  <si>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</si>
  <si>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</si>
  <si>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</si>
  <si>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</si>
  <si>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</si>
  <si>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</si>
  <si>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</si>
  <si>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</si>
  <si>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</si>
  <si>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</si>
  <si>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</si>
  <si>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</si>
  <si>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</si>
  <si>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</si>
  <si>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</si>
  <si>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</si>
  <si>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</si>
  <si>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</si>
  <si>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</si>
  <si>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</si>
  <si>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</si>
  <si>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</si>
  <si>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</si>
  <si>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</si>
  <si>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</si>
  <si>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</si>
  <si>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</si>
  <si>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</si>
  <si>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</si>
  <si>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</si>
  <si>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</si>
  <si>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</si>
  <si>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</si>
  <si>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</si>
  <si>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</si>
  <si>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</si>
  <si>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</si>
  <si>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</si>
  <si>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</si>
  <si>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</si>
  <si>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</si>
  <si>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</si>
  <si>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</si>
  <si>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</si>
  <si>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</si>
  <si>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</si>
  <si>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</si>
  <si>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</si>
  <si>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</si>
  <si>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</si>
  <si>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</si>
  <si>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</si>
  <si>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</si>
  <si>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</si>
  <si>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</si>
  <si>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</si>
  <si>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</si>
  <si>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</si>
  <si>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</si>
  <si>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</si>
  <si>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</si>
  <si>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</si>
  <si>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</si>
  <si>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</si>
  <si>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</si>
  <si>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</si>
  <si>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</si>
  <si>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</si>
  <si>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</si>
  <si>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</si>
  <si>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</si>
  <si>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</si>
  <si>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</si>
  <si>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</si>
  <si>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BUKIT SANTUAI|KOTAWARINGIN TIMUR</t>
  </si>
  <si>
    <t>BARITO TUHUP RAYA|MURUNG RAYA</t>
  </si>
  <si>
    <t>MURUK RIAN|TANA TIDUNG</t>
  </si>
  <si>
    <t>SIMPANG DUA|KETAPANG</t>
  </si>
  <si>
    <t>AIR BESAR|LANDAK</t>
  </si>
  <si>
    <t>BIDUK BIDUK|BERAU</t>
  </si>
  <si>
    <t>BUKIT RAYA|KATINGAN</t>
  </si>
  <si>
    <t>KEPULAUAN KARIMATA|KAYONG UTARA</t>
  </si>
  <si>
    <t>KRAYAN TIMUR|NUNUKAN</t>
  </si>
  <si>
    <t>MARATUA|BERAU</t>
  </si>
  <si>
    <t>MARIKIT|KATINGAN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</si>
</sst>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191644264.19710174</v>
      </c>
      <c r="D6" s="4">
        <f>IFERROR(VLOOKUP($A:$A,MASTER!$A:$T,4,0),0)</f>
        <v>183948871.40227953</v>
      </c>
      <c r="E6" s="9">
        <f>IFERROR(C6/D6-1,0)</f>
        <v>4.1834411574035002E-2</v>
      </c>
      <c r="F6" s="4">
        <f>IFERROR(VLOOKUP(A:A,MASTER!A:E,5,0),0)</f>
        <v>450749735.13513517</v>
      </c>
      <c r="G6" s="4">
        <f>IFERROR(VLOOKUP(A:A,MASTER!A:F,6,0),0)</f>
        <v>283368073.87387389</v>
      </c>
      <c r="H6" s="9">
        <f>IFERROR(F6/G6-1,0)</f>
        <v>0.59068637822538284</v>
      </c>
      <c r="I6" s="4">
        <f>IFERROR(VLOOKUP(A:A,MASTER!A:M,13,0),0)</f>
        <v>37399013.513513513</v>
      </c>
      <c r="J6" s="4">
        <f>IFERROR(VLOOKUP($A:$A,MASTER!$A:$T,14,0),0)</f>
        <v>43511621.621621624</v>
      </c>
      <c r="K6" s="9">
        <f>IFERROR(I6/J6-1,0)</f>
        <v>-0.14048219487803826</v>
      </c>
      <c r="L6" s="4">
        <f>IFERROR(VLOOKUP($A:$A,MASTER!$A:$T,15,0),0)</f>
        <v>92551486.48648648</v>
      </c>
      <c r="M6" s="4">
        <f>IFERROR(VLOOKUP($A:$A,MASTER!$A:$T,16,0),0)</f>
        <v>88223756.756756753</v>
      </c>
      <c r="N6" s="9">
        <f>IFERROR(L6/M6-1,0)</f>
        <v>4.9054017747870216E-2</v>
      </c>
      <c r="O6" s="4">
        <f>IFERROR(VLOOKUP($A:$A,MASTER!$A:$T,17,0),0)</f>
        <v>17777747.747747745</v>
      </c>
      <c r="P6" s="4">
        <f>IFERROR(VLOOKUP($A:$A,MASTER!$A:$T,18,0),0)</f>
        <v>20958198.198198196</v>
      </c>
      <c r="Q6" s="9">
        <f>IFERROR(O6/P6-1,0)</f>
        <v>-0.15175209339912998</v>
      </c>
      <c r="R6" s="4">
        <f>IFERROR(VLOOKUP($A:$A,MASTER!$A:$T,19,0),0)</f>
        <v>7955</v>
      </c>
      <c r="S6" s="4">
        <f>IFERROR(VLOOKUP($A:$A,MASTER!$A:$T,20,0),0)</f>
        <v>7988</v>
      </c>
      <c r="T6" s="9">
        <f>IFERROR(R6/S6-1,0)</f>
        <v>-4.1311967951928041E-3</v>
      </c>
      <c r="U6" s="13">
        <f>IFERROR(VLOOKUP(A:A,MASTER!A:K,11,0),0)</f>
        <v>351</v>
      </c>
      <c r="V6" s="13">
        <f>IFERROR(VLOOKUP(A:A,MASTER!A:L,12,0),0)</f>
        <v>134</v>
      </c>
      <c r="W6" s="9">
        <f>IFERROR(U6/V6-1,0)</f>
        <v>1.6194029850746268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22834765.983763617</v>
      </c>
      <c r="D7" s="4">
        <f>IFERROR(VLOOKUP($A:$A,MASTER!$A:$T,4,0),0)</f>
        <v>13399000.366042772</v>
      </c>
      <c r="E7" s="9">
        <f t="shared" ref="E7:E22" si="0">IFERROR(C7/D7-1,0)</f>
        <v>0.70421414732057208</v>
      </c>
      <c r="F7" s="4">
        <f>IFERROR(VLOOKUP(A:A,MASTER!A:E,5,0),0)</f>
        <v>16682882.882882882</v>
      </c>
      <c r="G7" s="4">
        <f>IFERROR(VLOOKUP(A:A,MASTER!A:F,6,0),0)</f>
        <v>18148648.648648649</v>
      </c>
      <c r="H7" s="9">
        <f t="shared" ref="H7:H22" si="1">IFERROR(F7/G7-1,0)</f>
        <v>-8.0764457681806956E-2</v>
      </c>
      <c r="I7" s="4">
        <f>IFERROR(VLOOKUP(A:A,MASTER!A:M,13,0),0)</f>
        <v>615540.54054054001</v>
      </c>
      <c r="J7" s="4">
        <f>IFERROR(VLOOKUP($A:$A,MASTER!$A:$T,14,0),0)</f>
        <v>470045.04504504701</v>
      </c>
      <c r="K7" s="9">
        <f t="shared" ref="K7:K22" si="2">IFERROR(I7/J7-1,0)</f>
        <v>0.3095352180162847</v>
      </c>
      <c r="L7" s="4">
        <f>IFERROR(VLOOKUP($A:$A,MASTER!$A:$T,15,0),0)</f>
        <v>11740405.405405404</v>
      </c>
      <c r="M7" s="4">
        <f>IFERROR(VLOOKUP($A:$A,MASTER!$A:$T,16,0),0)</f>
        <v>8428558.558558559</v>
      </c>
      <c r="N7" s="9">
        <f t="shared" ref="N7:N22" si="3">IFERROR(L7/M7-1,0)</f>
        <v>0.39293158181643251</v>
      </c>
      <c r="O7" s="4">
        <f>IFERROR(VLOOKUP($A:$A,MASTER!$A:$T,17,0),0)</f>
        <v>201351.35135135101</v>
      </c>
      <c r="P7" s="4">
        <f>IFERROR(VLOOKUP($A:$A,MASTER!$A:$T,18,0),0)</f>
        <v>157657.65765765801</v>
      </c>
      <c r="Q7" s="9">
        <f t="shared" ref="Q7:Q22" si="4">IFERROR(O7/P7-1,0)</f>
        <v>0.27714285714285203</v>
      </c>
      <c r="R7" s="4">
        <f>IFERROR(VLOOKUP($A:$A,MASTER!$A:$T,19,0),0)</f>
        <v>1328</v>
      </c>
      <c r="S7" s="4">
        <f>IFERROR(VLOOKUP($A:$A,MASTER!$A:$T,20,0),0)</f>
        <v>1622</v>
      </c>
      <c r="T7" s="9">
        <f t="shared" ref="T7:T22" si="5">IFERROR(R7/S7-1,0)</f>
        <v>-0.18125770653514184</v>
      </c>
      <c r="U7" s="13">
        <f>IFERROR(VLOOKUP(A:A,MASTER!A:K,11,0),0)</f>
        <v>4</v>
      </c>
      <c r="V7" s="13">
        <f>IFERROR(VLOOKUP(A:A,MASTER!A:L,12,0),0)</f>
        <v>2</v>
      </c>
      <c r="W7" s="9">
        <f t="shared" ref="W7:W22" si="6">IFERROR(U7/V7-1,0)</f>
        <v>1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144164649.64697832</v>
      </c>
      <c r="D8" s="4">
        <f>IFERROR(VLOOKUP($A:$A,MASTER!$A:$T,4,0),0)</f>
        <v>138340539.59851283</v>
      </c>
      <c r="E8" s="9">
        <f t="shared" si="0"/>
        <v>4.2099807224751595E-2</v>
      </c>
      <c r="F8" s="4">
        <f>IFERROR(VLOOKUP(A:A,MASTER!A:E,5,0),0)</f>
        <v>1513963.963963967</v>
      </c>
      <c r="G8" s="4">
        <f>IFERROR(VLOOKUP(A:A,MASTER!A:F,6,0),0)</f>
        <v>2074774.774774777</v>
      </c>
      <c r="H8" s="9">
        <f t="shared" si="1"/>
        <v>-0.27029960920538354</v>
      </c>
      <c r="I8" s="4">
        <f>IFERROR(VLOOKUP(A:A,MASTER!A:M,13,0),0)</f>
        <v>30098648.648648649</v>
      </c>
      <c r="J8" s="4">
        <f>IFERROR(VLOOKUP($A:$A,MASTER!$A:$T,14,0),0)</f>
        <v>21102702.702702705</v>
      </c>
      <c r="K8" s="9">
        <f t="shared" si="2"/>
        <v>0.42629354508196715</v>
      </c>
      <c r="L8" s="4">
        <f>IFERROR(VLOOKUP($A:$A,MASTER!$A:$T,15,0),0)</f>
        <v>36606441.441441439</v>
      </c>
      <c r="M8" s="4">
        <f>IFERROR(VLOOKUP($A:$A,MASTER!$A:$T,16,0),0)</f>
        <v>39358801.801801801</v>
      </c>
      <c r="N8" s="9">
        <f t="shared" si="3"/>
        <v>-6.9929983494425474E-2</v>
      </c>
      <c r="O8" s="4">
        <f>IFERROR(VLOOKUP($A:$A,MASTER!$A:$T,17,0),0)</f>
        <v>28126486.486486487</v>
      </c>
      <c r="P8" s="4">
        <f>IFERROR(VLOOKUP($A:$A,MASTER!$A:$T,18,0),0)</f>
        <v>20983423.423423424</v>
      </c>
      <c r="Q8" s="9">
        <f t="shared" si="4"/>
        <v>0.34041457005959219</v>
      </c>
      <c r="R8" s="4">
        <f>IFERROR(VLOOKUP($A:$A,MASTER!$A:$T,19,0),0)</f>
        <v>3770</v>
      </c>
      <c r="S8" s="4">
        <f>IFERROR(VLOOKUP($A:$A,MASTER!$A:$T,20,0),0)</f>
        <v>3555</v>
      </c>
      <c r="T8" s="9">
        <f t="shared" si="5"/>
        <v>6.0478199718706049E-2</v>
      </c>
      <c r="U8" s="13">
        <f>IFERROR(VLOOKUP(A:A,MASTER!A:K,11,0),0)</f>
        <v>25</v>
      </c>
      <c r="V8" s="13">
        <f>IFERROR(VLOOKUP(A:A,MASTER!A:L,12,0),0)</f>
        <v>15</v>
      </c>
      <c r="W8" s="9">
        <f t="shared" si="6"/>
        <v>0.66666666666666674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83405272.082136557</v>
      </c>
      <c r="D9" s="4">
        <f>IFERROR(VLOOKUP($A:$A,MASTER!$A:$T,4,0),0)</f>
        <v>84817983.746916384</v>
      </c>
      <c r="E9" s="9">
        <f t="shared" si="0"/>
        <v>-1.6655803431912974E-2</v>
      </c>
      <c r="F9" s="4">
        <f>IFERROR(VLOOKUP(A:A,MASTER!A:E,5,0),0)</f>
        <v>733333.33333333395</v>
      </c>
      <c r="G9" s="4">
        <f>IFERROR(VLOOKUP(A:A,MASTER!A:F,6,0),0)</f>
        <v>851351.35135135299</v>
      </c>
      <c r="H9" s="9">
        <f t="shared" si="1"/>
        <v>-0.13862433862433954</v>
      </c>
      <c r="I9" s="4">
        <f>IFERROR(VLOOKUP(A:A,MASTER!A:M,13,0),0)</f>
        <v>11898648.648648649</v>
      </c>
      <c r="J9" s="4">
        <f>IFERROR(VLOOKUP($A:$A,MASTER!$A:$T,14,0),0)</f>
        <v>19953153.153153151</v>
      </c>
      <c r="K9" s="9">
        <f t="shared" si="2"/>
        <v>-0.40367076033953397</v>
      </c>
      <c r="L9" s="4">
        <f>IFERROR(VLOOKUP($A:$A,MASTER!$A:$T,15,0),0)</f>
        <v>30087432.432432432</v>
      </c>
      <c r="M9" s="4">
        <f>IFERROR(VLOOKUP($A:$A,MASTER!$A:$T,16,0),0)</f>
        <v>29084072.072072074</v>
      </c>
      <c r="N9" s="9">
        <f t="shared" si="3"/>
        <v>3.4498620340163155E-2</v>
      </c>
      <c r="O9" s="4">
        <f>IFERROR(VLOOKUP($A:$A,MASTER!$A:$T,17,0),0)</f>
        <v>13392612.612612613</v>
      </c>
      <c r="P9" s="4">
        <f>IFERROR(VLOOKUP($A:$A,MASTER!$A:$T,18,0),0)</f>
        <v>22406576.576576576</v>
      </c>
      <c r="Q9" s="9">
        <f t="shared" si="4"/>
        <v>-0.40229099403730406</v>
      </c>
      <c r="R9" s="4">
        <f>IFERROR(VLOOKUP($A:$A,MASTER!$A:$T,19,0),0)</f>
        <v>3563</v>
      </c>
      <c r="S9" s="4">
        <f>IFERROR(VLOOKUP($A:$A,MASTER!$A:$T,20,0),0)</f>
        <v>3611</v>
      </c>
      <c r="T9" s="9">
        <f t="shared" si="5"/>
        <v>-1.329271669897536E-2</v>
      </c>
      <c r="U9" s="13">
        <f>IFERROR(VLOOKUP(A:A,MASTER!A:K,11,0),0)</f>
        <v>8</v>
      </c>
      <c r="V9" s="13">
        <f>IFERROR(VLOOKUP(A:A,MASTER!A:L,12,0),0)</f>
        <v>7</v>
      </c>
      <c r="W9" s="9">
        <f t="shared" si="6"/>
        <v>0.14285714285714279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79832689.005819172</v>
      </c>
      <c r="D11" s="4">
        <f>IFERROR(VLOOKUP($A:$A,MASTER!$A:$T,4,0),0)</f>
        <v>91838684.847933054</v>
      </c>
      <c r="E11" s="9">
        <f t="shared" si="0"/>
        <v>-0.13072917868971523</v>
      </c>
      <c r="F11" s="4">
        <f>IFERROR(VLOOKUP(A:A,MASTER!A:E,5,0),0)</f>
        <v>4395045.0450450452</v>
      </c>
      <c r="G11" s="4">
        <f>IFERROR(VLOOKUP(A:A,MASTER!A:F,6,0),0)</f>
        <v>92111711.711711705</v>
      </c>
      <c r="H11" s="9">
        <f t="shared" si="1"/>
        <v>-0.95228570869684281</v>
      </c>
      <c r="I11" s="4">
        <f>IFERROR(VLOOKUP(A:A,MASTER!A:M,13,0),0)</f>
        <v>24304234.234234236</v>
      </c>
      <c r="J11" s="4">
        <f>IFERROR(VLOOKUP($A:$A,MASTER!$A:$T,14,0),0)</f>
        <v>18582207.207207207</v>
      </c>
      <c r="K11" s="9">
        <f t="shared" si="2"/>
        <v>0.30793042845888152</v>
      </c>
      <c r="L11" s="4">
        <f>IFERROR(VLOOKUP($A:$A,MASTER!$A:$T,15,0),0)</f>
        <v>35685315.315315314</v>
      </c>
      <c r="M11" s="4">
        <f>IFERROR(VLOOKUP($A:$A,MASTER!$A:$T,16,0),0)</f>
        <v>37425099.0990991</v>
      </c>
      <c r="N11" s="9">
        <f t="shared" si="3"/>
        <v>-4.6487085556592866E-2</v>
      </c>
      <c r="O11" s="4">
        <f>IFERROR(VLOOKUP($A:$A,MASTER!$A:$T,17,0),0)</f>
        <v>4384864.8648648635</v>
      </c>
      <c r="P11" s="4">
        <f>IFERROR(VLOOKUP($A:$A,MASTER!$A:$T,18,0),0)</f>
        <v>7046846.8468468469</v>
      </c>
      <c r="Q11" s="9">
        <f t="shared" si="4"/>
        <v>-0.37775504985937125</v>
      </c>
      <c r="R11" s="4">
        <f>IFERROR(VLOOKUP($A:$A,MASTER!$A:$T,19,0),0)</f>
        <v>3161</v>
      </c>
      <c r="S11" s="4">
        <f>IFERROR(VLOOKUP($A:$A,MASTER!$A:$T,20,0),0)</f>
        <v>3025</v>
      </c>
      <c r="T11" s="9">
        <f t="shared" si="5"/>
        <v>4.4958677685950521E-2</v>
      </c>
      <c r="U11" s="13">
        <f>IFERROR(VLOOKUP(A:A,MASTER!A:K,11,0),0)</f>
        <v>9</v>
      </c>
      <c r="V11" s="13">
        <f>IFERROR(VLOOKUP(A:A,MASTER!A:L,12,0),0)</f>
        <v>12</v>
      </c>
      <c r="W11" s="9">
        <f t="shared" si="6"/>
        <v>-0.25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326530867.47439814</v>
      </c>
      <c r="D12" s="4">
        <f>IFERROR(VLOOKUP($A:$A,MASTER!$A:$T,4,0),0)</f>
        <v>306524461.96167767</v>
      </c>
      <c r="E12" s="9">
        <f t="shared" si="0"/>
        <v>6.5268544587549826E-2</v>
      </c>
      <c r="F12" s="4">
        <f>IFERROR(VLOOKUP(A:A,MASTER!A:E,5,0),0)</f>
        <v>6193243.2432432389</v>
      </c>
      <c r="G12" s="4">
        <f>IFERROR(VLOOKUP(A:A,MASTER!A:F,6,0),0)</f>
        <v>4958558.5585585674</v>
      </c>
      <c r="H12" s="9">
        <f t="shared" si="1"/>
        <v>0.24900072674418294</v>
      </c>
      <c r="I12" s="4">
        <f>IFERROR(VLOOKUP(A:A,MASTER!A:M,13,0),0)</f>
        <v>167722972.97297296</v>
      </c>
      <c r="J12" s="4">
        <f>IFERROR(VLOOKUP($A:$A,MASTER!$A:$T,14,0),0)</f>
        <v>135590990.990991</v>
      </c>
      <c r="K12" s="9">
        <f t="shared" si="2"/>
        <v>0.23697726336491542</v>
      </c>
      <c r="L12" s="4">
        <f>IFERROR(VLOOKUP($A:$A,MASTER!$A:$T,15,0),0)</f>
        <v>213180090.09009007</v>
      </c>
      <c r="M12" s="4">
        <f>IFERROR(VLOOKUP($A:$A,MASTER!$A:$T,16,0),0)</f>
        <v>213827882.88288289</v>
      </c>
      <c r="N12" s="9">
        <f t="shared" si="3"/>
        <v>-3.0295057130020897E-3</v>
      </c>
      <c r="O12" s="4">
        <f>IFERROR(VLOOKUP($A:$A,MASTER!$A:$T,17,0),0)</f>
        <v>136109549.54954955</v>
      </c>
      <c r="P12" s="4">
        <f>IFERROR(VLOOKUP($A:$A,MASTER!$A:$T,18,0),0)</f>
        <v>129198828.82882883</v>
      </c>
      <c r="Q12" s="9">
        <f t="shared" si="4"/>
        <v>5.3489035336972801E-2</v>
      </c>
      <c r="R12" s="4">
        <f>IFERROR(VLOOKUP($A:$A,MASTER!$A:$T,19,0),0)</f>
        <v>13463</v>
      </c>
      <c r="S12" s="4">
        <f>IFERROR(VLOOKUP($A:$A,MASTER!$A:$T,20,0),0)</f>
        <v>12612</v>
      </c>
      <c r="T12" s="9">
        <f t="shared" si="5"/>
        <v>6.7475420234697214E-2</v>
      </c>
      <c r="U12" s="13">
        <f>IFERROR(VLOOKUP(A:A,MASTER!A:K,11,0),0)</f>
        <v>501</v>
      </c>
      <c r="V12" s="13">
        <f>IFERROR(VLOOKUP(A:A,MASTER!A:L,12,0),0)</f>
        <v>572</v>
      </c>
      <c r="W12" s="9">
        <f t="shared" si="6"/>
        <v>-0.12412587412587417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71297752.638649389</v>
      </c>
      <c r="D13" s="4">
        <f>IFERROR(VLOOKUP($A:$A,MASTER!$A:$T,4,0),0)</f>
        <v>74966551.246359587</v>
      </c>
      <c r="E13" s="9">
        <f t="shared" si="0"/>
        <v>-4.8939140812994997E-2</v>
      </c>
      <c r="F13" s="4">
        <f>IFERROR(VLOOKUP(A:A,MASTER!A:E,5,0),0)</f>
        <v>36486.486486485999</v>
      </c>
      <c r="G13" s="4">
        <f>IFERROR(VLOOKUP(A:A,MASTER!A:F,6,0),0)</f>
        <v>192792.792792794</v>
      </c>
      <c r="H13" s="9">
        <f t="shared" si="1"/>
        <v>-0.8107476635514056</v>
      </c>
      <c r="I13" s="4">
        <f>IFERROR(VLOOKUP(A:A,MASTER!A:M,13,0),0)</f>
        <v>20004054.054054055</v>
      </c>
      <c r="J13" s="4">
        <f>IFERROR(VLOOKUP($A:$A,MASTER!$A:$T,14,0),0)</f>
        <v>7053153.1531531513</v>
      </c>
      <c r="K13" s="9">
        <f t="shared" si="2"/>
        <v>1.8361859752203356</v>
      </c>
      <c r="L13" s="4">
        <f>IFERROR(VLOOKUP($A:$A,MASTER!$A:$T,15,0),0)</f>
        <v>47932747.747747742</v>
      </c>
      <c r="M13" s="4">
        <f>IFERROR(VLOOKUP($A:$A,MASTER!$A:$T,16,0),0)</f>
        <v>52910486.486486487</v>
      </c>
      <c r="N13" s="9">
        <f t="shared" si="3"/>
        <v>-9.4078491227066574E-2</v>
      </c>
      <c r="O13" s="4">
        <f>IFERROR(VLOOKUP($A:$A,MASTER!$A:$T,17,0),0)</f>
        <v>18728378.378378384</v>
      </c>
      <c r="P13" s="4">
        <f>IFERROR(VLOOKUP($A:$A,MASTER!$A:$T,18,0),0)</f>
        <v>9751981.9819819797</v>
      </c>
      <c r="Q13" s="9">
        <f t="shared" si="4"/>
        <v>0.92046892754533705</v>
      </c>
      <c r="R13" s="4">
        <f>IFERROR(VLOOKUP($A:$A,MASTER!$A:$T,19,0),0)</f>
        <v>4752</v>
      </c>
      <c r="S13" s="4">
        <f>IFERROR(VLOOKUP($A:$A,MASTER!$A:$T,20,0),0)</f>
        <v>4652</v>
      </c>
      <c r="T13" s="9">
        <f t="shared" si="5"/>
        <v>2.1496130696474713E-2</v>
      </c>
      <c r="U13" s="13">
        <f>IFERROR(VLOOKUP(A:A,MASTER!A:K,11,0),0)</f>
        <v>23</v>
      </c>
      <c r="V13" s="13">
        <f>IFERROR(VLOOKUP(A:A,MASTER!A:L,12,0),0)</f>
        <v>32</v>
      </c>
      <c r="W13" s="9">
        <f t="shared" si="6"/>
        <v>-0.28125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104641793.99275713</v>
      </c>
      <c r="D14" s="4">
        <f>IFERROR(VLOOKUP($A:$A,MASTER!$A:$T,4,0),0)</f>
        <v>102264277.28076071</v>
      </c>
      <c r="E14" s="9">
        <f t="shared" si="0"/>
        <v>2.3248750934493856E-2</v>
      </c>
      <c r="F14" s="4">
        <f>IFERROR(VLOOKUP(A:A,MASTER!A:E,5,0),0)</f>
        <v>1381981.981981985</v>
      </c>
      <c r="G14" s="4">
        <f>IFERROR(VLOOKUP(A:A,MASTER!A:F,6,0),0)</f>
        <v>1369369.3693693711</v>
      </c>
      <c r="H14" s="9">
        <f t="shared" si="1"/>
        <v>9.210526315790446E-3</v>
      </c>
      <c r="I14" s="4">
        <f>IFERROR(VLOOKUP(A:A,MASTER!A:M,13,0),0)</f>
        <v>11942342.342342343</v>
      </c>
      <c r="J14" s="4">
        <f>IFERROR(VLOOKUP($A:$A,MASTER!$A:$T,14,0),0)</f>
        <v>12986486.486486487</v>
      </c>
      <c r="K14" s="9">
        <f t="shared" si="2"/>
        <v>-8.0402358654179662E-2</v>
      </c>
      <c r="L14" s="4">
        <f>IFERROR(VLOOKUP($A:$A,MASTER!$A:$T,15,0),0)</f>
        <v>29713288.288288288</v>
      </c>
      <c r="M14" s="4">
        <f>IFERROR(VLOOKUP($A:$A,MASTER!$A:$T,16,0),0)</f>
        <v>29815756.756756756</v>
      </c>
      <c r="N14" s="9">
        <f t="shared" si="3"/>
        <v>-3.4367220427918843E-3</v>
      </c>
      <c r="O14" s="4">
        <f>IFERROR(VLOOKUP($A:$A,MASTER!$A:$T,17,0),0)</f>
        <v>12596936.936936937</v>
      </c>
      <c r="P14" s="4">
        <f>IFERROR(VLOOKUP($A:$A,MASTER!$A:$T,18,0),0)</f>
        <v>12479819.819819819</v>
      </c>
      <c r="Q14" s="9">
        <f t="shared" si="4"/>
        <v>9.3845198735256208E-3</v>
      </c>
      <c r="R14" s="4">
        <f>IFERROR(VLOOKUP($A:$A,MASTER!$A:$T,19,0),0)</f>
        <v>3497</v>
      </c>
      <c r="S14" s="4">
        <f>IFERROR(VLOOKUP($A:$A,MASTER!$A:$T,20,0),0)</f>
        <v>3696</v>
      </c>
      <c r="T14" s="9">
        <f t="shared" si="5"/>
        <v>-5.3841991341991302E-2</v>
      </c>
      <c r="U14" s="13">
        <f>IFERROR(VLOOKUP(A:A,MASTER!A:K,11,0),0)</f>
        <v>10</v>
      </c>
      <c r="V14" s="13">
        <f>IFERROR(VLOOKUP(A:A,MASTER!A:L,12,0),0)</f>
        <v>4</v>
      </c>
      <c r="W14" s="9">
        <f t="shared" si="6"/>
        <v>1.5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211882109.79411107</v>
      </c>
      <c r="D15" s="4">
        <f>IFERROR(VLOOKUP($A:$A,MASTER!$A:$T,4,0),0)</f>
        <v>203576031.06389967</v>
      </c>
      <c r="E15" s="9">
        <f t="shared" si="0"/>
        <v>4.0800867797664564E-2</v>
      </c>
      <c r="F15" s="4">
        <f>IFERROR(VLOOKUP(A:A,MASTER!A:E,5,0),0)</f>
        <v>1239099.0990991029</v>
      </c>
      <c r="G15" s="4">
        <f>IFERROR(VLOOKUP(A:A,MASTER!A:F,6,0),0)</f>
        <v>1590090.0900900939</v>
      </c>
      <c r="H15" s="9">
        <f t="shared" si="1"/>
        <v>-0.22073654390934794</v>
      </c>
      <c r="I15" s="4">
        <f>IFERROR(VLOOKUP(A:A,MASTER!A:M,13,0),0)</f>
        <v>374358018.01801807</v>
      </c>
      <c r="J15" s="4">
        <f>IFERROR(VLOOKUP($A:$A,MASTER!$A:$T,14,0),0)</f>
        <v>223312612.61261261</v>
      </c>
      <c r="K15" s="9">
        <f t="shared" si="2"/>
        <v>0.67638546537193878</v>
      </c>
      <c r="L15" s="4">
        <f>IFERROR(VLOOKUP($A:$A,MASTER!$A:$T,15,0),0)</f>
        <v>74510981.981981978</v>
      </c>
      <c r="M15" s="4">
        <f>IFERROR(VLOOKUP($A:$A,MASTER!$A:$T,16,0),0)</f>
        <v>74823837.837837845</v>
      </c>
      <c r="N15" s="9">
        <f t="shared" si="3"/>
        <v>-4.1812324106377252E-3</v>
      </c>
      <c r="O15" s="4">
        <f>IFERROR(VLOOKUP($A:$A,MASTER!$A:$T,17,0),0)</f>
        <v>295173243.24324328</v>
      </c>
      <c r="P15" s="4">
        <f>IFERROR(VLOOKUP($A:$A,MASTER!$A:$T,18,0),0)</f>
        <v>206395945.94594595</v>
      </c>
      <c r="Q15" s="9">
        <f t="shared" si="4"/>
        <v>0.43013101294415756</v>
      </c>
      <c r="R15" s="4">
        <f>IFERROR(VLOOKUP($A:$A,MASTER!$A:$T,19,0),0)</f>
        <v>7672</v>
      </c>
      <c r="S15" s="4">
        <f>IFERROR(VLOOKUP($A:$A,MASTER!$A:$T,20,0),0)</f>
        <v>7017</v>
      </c>
      <c r="T15" s="9">
        <f t="shared" si="5"/>
        <v>9.3344734216901815E-2</v>
      </c>
      <c r="U15" s="13">
        <f>IFERROR(VLOOKUP(A:A,MASTER!A:K,11,0),0)</f>
        <v>44</v>
      </c>
      <c r="V15" s="13">
        <f>IFERROR(VLOOKUP(A:A,MASTER!A:L,12,0),0)</f>
        <v>32</v>
      </c>
      <c r="W15" s="9">
        <f t="shared" si="6"/>
        <v>0.375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86913310.455922082</v>
      </c>
      <c r="D17" s="4">
        <f>IFERROR(VLOOKUP($A:$A,MASTER!$A:$T,4,0),0)</f>
        <v>82569558.523960814</v>
      </c>
      <c r="E17" s="9">
        <f t="shared" si="0"/>
        <v>5.2607183683812009E-2</v>
      </c>
      <c r="F17" s="4">
        <f>IFERROR(VLOOKUP(A:A,MASTER!A:E,5,0),0)</f>
        <v>119864921.62162161</v>
      </c>
      <c r="G17" s="4">
        <f>IFERROR(VLOOKUP(A:A,MASTER!A:F,6,0),0)</f>
        <v>233986091.8918919</v>
      </c>
      <c r="H17" s="9">
        <f t="shared" si="1"/>
        <v>-0.48772629752283503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50631711.711711712</v>
      </c>
      <c r="M17" s="4">
        <f>IFERROR(VLOOKUP($A:$A,MASTER!$A:$T,16,0),0)</f>
        <v>49186646.846846849</v>
      </c>
      <c r="N17" s="9">
        <f t="shared" si="3"/>
        <v>2.9379210771662834E-2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3897</v>
      </c>
      <c r="S17" s="4">
        <f>IFERROR(VLOOKUP($A:$A,MASTER!$A:$T,20,0),0)</f>
        <v>3580</v>
      </c>
      <c r="T17" s="9">
        <f t="shared" si="5"/>
        <v>8.8547486033519585E-2</v>
      </c>
      <c r="U17" s="13">
        <f>IFERROR(VLOOKUP(A:A,MASTER!A:K,11,0),0)</f>
        <v>7</v>
      </c>
      <c r="V17" s="13">
        <f>IFERROR(VLOOKUP(A:A,MASTER!A:L,12,0),0)</f>
        <v>14</v>
      </c>
      <c r="W17" s="9">
        <f t="shared" si="6"/>
        <v>-0.5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69918352.668663278</v>
      </c>
      <c r="D18" s="4">
        <f>IFERROR(VLOOKUP($A:$A,MASTER!$A:$T,4,0),0)</f>
        <v>71488219.689578727</v>
      </c>
      <c r="E18" s="9">
        <f t="shared" si="0"/>
        <v>-2.1959800198301682E-2</v>
      </c>
      <c r="F18" s="4">
        <f>IFERROR(VLOOKUP(A:A,MASTER!A:E,5,0),0)</f>
        <v>336936.93693693797</v>
      </c>
      <c r="G18" s="4">
        <f>IFERROR(VLOOKUP(A:A,MASTER!A:F,6,0),0)</f>
        <v>112612.612612615</v>
      </c>
      <c r="H18" s="9">
        <f t="shared" si="1"/>
        <v>1.9919999999999458</v>
      </c>
      <c r="I18" s="4">
        <f>IFERROR(VLOOKUP(A:A,MASTER!A:M,13,0),0)</f>
        <v>2563963.9639639659</v>
      </c>
      <c r="J18" s="4">
        <f>IFERROR(VLOOKUP($A:$A,MASTER!$A:$T,14,0),0)</f>
        <v>1914414.4144144161</v>
      </c>
      <c r="K18" s="9">
        <f t="shared" si="2"/>
        <v>0.33929411764705875</v>
      </c>
      <c r="L18" s="4">
        <f>IFERROR(VLOOKUP($A:$A,MASTER!$A:$T,15,0),0)</f>
        <v>22366621.621621624</v>
      </c>
      <c r="M18" s="4">
        <f>IFERROR(VLOOKUP($A:$A,MASTER!$A:$T,16,0),0)</f>
        <v>24303153.153153151</v>
      </c>
      <c r="N18" s="9">
        <f t="shared" si="3"/>
        <v>-7.9682316089929928E-2</v>
      </c>
      <c r="O18" s="4">
        <f>IFERROR(VLOOKUP($A:$A,MASTER!$A:$T,17,0),0)</f>
        <v>2608558.5585585572</v>
      </c>
      <c r="P18" s="4">
        <f>IFERROR(VLOOKUP($A:$A,MASTER!$A:$T,18,0),0)</f>
        <v>1468468.4684684691</v>
      </c>
      <c r="Q18" s="9">
        <f t="shared" si="4"/>
        <v>0.7763803680981578</v>
      </c>
      <c r="R18" s="4">
        <f>IFERROR(VLOOKUP($A:$A,MASTER!$A:$T,19,0),0)</f>
        <v>3868</v>
      </c>
      <c r="S18" s="4">
        <f>IFERROR(VLOOKUP($A:$A,MASTER!$A:$T,20,0),0)</f>
        <v>3923</v>
      </c>
      <c r="T18" s="9">
        <f t="shared" si="5"/>
        <v>-1.4019882742798861E-2</v>
      </c>
      <c r="U18" s="13">
        <f>IFERROR(VLOOKUP(A:A,MASTER!A:K,11,0),0)</f>
        <v>20</v>
      </c>
      <c r="V18" s="13">
        <f>IFERROR(VLOOKUP(A:A,MASTER!A:L,12,0),0)</f>
        <v>19</v>
      </c>
      <c r="W18" s="9">
        <f t="shared" si="6"/>
        <v>5.2631578947368363E-2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49888191.728259481</v>
      </c>
      <c r="D19" s="4">
        <f>IFERROR(VLOOKUP($A:$A,MASTER!$A:$T,4,0),0)</f>
        <v>46015713.827778712</v>
      </c>
      <c r="E19" s="9">
        <f t="shared" si="0"/>
        <v>8.4155554230325391E-2</v>
      </c>
      <c r="F19" s="4">
        <f>IFERROR(VLOOKUP(A:A,MASTER!A:E,5,0),0)</f>
        <v>57657.657657659001</v>
      </c>
      <c r="G19" s="4">
        <f>IFERROR(VLOOKUP(A:A,MASTER!A:F,6,0),0)</f>
        <v>2214414.414414417</v>
      </c>
      <c r="H19" s="9">
        <f t="shared" si="1"/>
        <v>-0.97396257119609386</v>
      </c>
      <c r="I19" s="4">
        <f>IFERROR(VLOOKUP(A:A,MASTER!A:M,13,0),0)</f>
        <v>4590540.5405405406</v>
      </c>
      <c r="J19" s="4">
        <f>IFERROR(VLOOKUP($A:$A,MASTER!$A:$T,14,0),0)</f>
        <v>5367567.5675675692</v>
      </c>
      <c r="K19" s="9">
        <f t="shared" si="2"/>
        <v>-0.14476334340382702</v>
      </c>
      <c r="L19" s="4">
        <f>IFERROR(VLOOKUP($A:$A,MASTER!$A:$T,15,0),0)</f>
        <v>18153558.558558561</v>
      </c>
      <c r="M19" s="4">
        <f>IFERROR(VLOOKUP($A:$A,MASTER!$A:$T,16,0),0)</f>
        <v>18729720.72072072</v>
      </c>
      <c r="N19" s="9">
        <f t="shared" si="3"/>
        <v>-3.0761919558402684E-2</v>
      </c>
      <c r="O19" s="4">
        <f>IFERROR(VLOOKUP($A:$A,MASTER!$A:$T,17,0),0)</f>
        <v>2409909.9099099082</v>
      </c>
      <c r="P19" s="4">
        <f>IFERROR(VLOOKUP($A:$A,MASTER!$A:$T,18,0),0)</f>
        <v>5006306.3063063072</v>
      </c>
      <c r="Q19" s="9">
        <f t="shared" si="4"/>
        <v>-0.51862515745906101</v>
      </c>
      <c r="R19" s="4">
        <f>IFERROR(VLOOKUP($A:$A,MASTER!$A:$T,19,0),0)</f>
        <v>2837</v>
      </c>
      <c r="S19" s="4">
        <f>IFERROR(VLOOKUP($A:$A,MASTER!$A:$T,20,0),0)</f>
        <v>3761</v>
      </c>
      <c r="T19" s="9">
        <f t="shared" si="5"/>
        <v>-0.24567934060090402</v>
      </c>
      <c r="U19" s="13">
        <f>IFERROR(VLOOKUP(A:A,MASTER!A:K,11,0),0)</f>
        <v>15</v>
      </c>
      <c r="V19" s="13">
        <f>IFERROR(VLOOKUP(A:A,MASTER!A:L,12,0),0)</f>
        <v>6</v>
      </c>
      <c r="W19" s="9">
        <f t="shared" si="6"/>
        <v>1.5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177406340.99793226</v>
      </c>
      <c r="D21" s="4">
        <f>IFERROR(VLOOKUP($A:$A,MASTER!$A:$T,4,0),0)</f>
        <v>166446190.48822337</v>
      </c>
      <c r="E21" s="9">
        <f t="shared" si="0"/>
        <v>6.5848010564617532E-2</v>
      </c>
      <c r="F21" s="4">
        <f>IFERROR(VLOOKUP(A:A,MASTER!A:E,5,0),0)</f>
        <v>529279.27927928197</v>
      </c>
      <c r="G21" s="4">
        <f>IFERROR(VLOOKUP(A:A,MASTER!A:F,6,0),0)</f>
        <v>970270.27027027204</v>
      </c>
      <c r="H21" s="9">
        <f t="shared" si="1"/>
        <v>-0.45450324976787193</v>
      </c>
      <c r="I21" s="4">
        <f>IFERROR(VLOOKUP(A:A,MASTER!A:M,13,0),0)</f>
        <v>27749009.009009011</v>
      </c>
      <c r="J21" s="4">
        <f>IFERROR(VLOOKUP($A:$A,MASTER!$A:$T,14,0),0)</f>
        <v>41250900.900900893</v>
      </c>
      <c r="K21" s="9">
        <f t="shared" si="2"/>
        <v>-0.32731144282953128</v>
      </c>
      <c r="L21" s="4">
        <f>IFERROR(VLOOKUP($A:$A,MASTER!$A:$T,15,0),0)</f>
        <v>102257572.07207206</v>
      </c>
      <c r="M21" s="4">
        <f>IFERROR(VLOOKUP($A:$A,MASTER!$A:$T,16,0),0)</f>
        <v>94542387.387387395</v>
      </c>
      <c r="N21" s="9">
        <f t="shared" si="3"/>
        <v>8.1605562307959234E-2</v>
      </c>
      <c r="O21" s="4">
        <f>IFERROR(VLOOKUP($A:$A,MASTER!$A:$T,17,0),0)</f>
        <v>30479189.189189188</v>
      </c>
      <c r="P21" s="4">
        <f>IFERROR(VLOOKUP($A:$A,MASTER!$A:$T,18,0),0)</f>
        <v>40399459.459459454</v>
      </c>
      <c r="Q21" s="9">
        <f t="shared" si="4"/>
        <v>-0.24555452976357717</v>
      </c>
      <c r="R21" s="4">
        <f>IFERROR(VLOOKUP($A:$A,MASTER!$A:$T,19,0),0)</f>
        <v>7264</v>
      </c>
      <c r="S21" s="4">
        <f>IFERROR(VLOOKUP($A:$A,MASTER!$A:$T,20,0),0)</f>
        <v>7095</v>
      </c>
      <c r="T21" s="9">
        <f t="shared" si="5"/>
        <v>2.3819591261451833E-2</v>
      </c>
      <c r="U21" s="13">
        <f>IFERROR(VLOOKUP(A:A,MASTER!A:K,11,0),0)</f>
        <v>246</v>
      </c>
      <c r="V21" s="13">
        <f>IFERROR(VLOOKUP(A:A,MASTER!A:L,12,0),0)</f>
        <v>99</v>
      </c>
      <c r="W21" s="9">
        <f t="shared" si="6"/>
        <v>1.4848484848484849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94857956.564103648</v>
      </c>
      <c r="D22" s="4">
        <f>IFERROR(VLOOKUP($A:$A,MASTER!$A:$T,4,0),0)</f>
        <v>86487994.224916518</v>
      </c>
      <c r="E22" s="9">
        <f t="shared" si="0"/>
        <v>9.6776002428968555E-2</v>
      </c>
      <c r="F22" s="4">
        <f>IFERROR(VLOOKUP(A:A,MASTER!A:E,5,0),0)</f>
        <v>80180.180180184005</v>
      </c>
      <c r="G22" s="4">
        <f>IFERROR(VLOOKUP(A:A,MASTER!A:F,6,0),0)</f>
        <v>669369.36936937098</v>
      </c>
      <c r="H22" s="9">
        <f t="shared" si="1"/>
        <v>-0.8802153432032247</v>
      </c>
      <c r="I22" s="4">
        <f>IFERROR(VLOOKUP(A:A,MASTER!A:M,13,0),0)</f>
        <v>9575495.4954954963</v>
      </c>
      <c r="J22" s="4">
        <f>IFERROR(VLOOKUP($A:$A,MASTER!$A:$T,14,0),0)</f>
        <v>25846846.846846849</v>
      </c>
      <c r="K22" s="9">
        <f t="shared" si="2"/>
        <v>-0.62952945277100036</v>
      </c>
      <c r="L22" s="4">
        <f>IFERROR(VLOOKUP($A:$A,MASTER!$A:$T,15,0),0)</f>
        <v>30825486.486486487</v>
      </c>
      <c r="M22" s="4">
        <f>IFERROR(VLOOKUP($A:$A,MASTER!$A:$T,16,0),0)</f>
        <v>29626063.063063063</v>
      </c>
      <c r="N22" s="9">
        <f t="shared" si="3"/>
        <v>4.0485413835456008E-2</v>
      </c>
      <c r="O22" s="4">
        <f>IFERROR(VLOOKUP($A:$A,MASTER!$A:$T,17,0),0)</f>
        <v>9223963.9639639612</v>
      </c>
      <c r="P22" s="4">
        <f>IFERROR(VLOOKUP($A:$A,MASTER!$A:$T,18,0),0)</f>
        <v>28104504.504504506</v>
      </c>
      <c r="Q22" s="9">
        <f t="shared" si="4"/>
        <v>-0.67179766636748317</v>
      </c>
      <c r="R22" s="4">
        <f>IFERROR(VLOOKUP($A:$A,MASTER!$A:$T,19,0),0)</f>
        <v>4104</v>
      </c>
      <c r="S22" s="4">
        <f>IFERROR(VLOOKUP($A:$A,MASTER!$A:$T,20,0),0)</f>
        <v>4080</v>
      </c>
      <c r="T22" s="9">
        <f t="shared" si="5"/>
        <v>5.8823529411764497E-3</v>
      </c>
      <c r="U22" s="13">
        <f>IFERROR(VLOOKUP(A:A,MASTER!A:K,11,0),0)</f>
        <v>9</v>
      </c>
      <c r="V22" s="13">
        <f>IFERROR(VLOOKUP(A:A,MASTER!A:L,12,0),0)</f>
        <v>15</v>
      </c>
      <c r="W22" s="9">
        <f t="shared" si="6"/>
        <v>-0.4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T571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670</v>
      </c>
      <c r="B4" s="12" t="s">
        <v>117</v>
      </c>
      <c r="E4">
        <v>1013513.513513514</v>
      </c>
      <c r="F4">
        <v>4617117.1171171172</v>
      </c>
      <c r="M4">
        <v>3120045.0450450452</v>
      </c>
      <c r="N4">
        <v>1306756.7567567569</v>
      </c>
    </row>
    <row r="5" spans="1:20" x14ac:dyDescent="0.35">
      <c r="A5" s="7" t="s">
        <v>47</v>
      </c>
      <c r="B5" s="12" t="s">
        <v>48</v>
      </c>
      <c r="C5">
        <v>247962476.8449977</v>
      </c>
      <c r="D5">
        <v>269714260.78510302</v>
      </c>
      <c r="E5">
        <v>600000</v>
      </c>
      <c r="F5">
        <v>723198.19819819904</v>
      </c>
      <c r="G5">
        <v>13</v>
      </c>
      <c r="H5">
        <v>29</v>
      </c>
      <c r="K5">
        <v>14</v>
      </c>
      <c r="L5">
        <v>41</v>
      </c>
      <c r="M5">
        <v>9872792.7927927915</v>
      </c>
      <c r="N5">
        <v>13688828.828828832</v>
      </c>
      <c r="O5">
        <v>29101261.261261266</v>
      </c>
      <c r="P5">
        <v>34299423.423423424</v>
      </c>
      <c r="Q5">
        <v>10386666.666666664</v>
      </c>
      <c r="R5">
        <v>8344774.7747747768</v>
      </c>
      <c r="S5">
        <v>7535</v>
      </c>
      <c r="T5">
        <v>8285</v>
      </c>
    </row>
    <row r="6" spans="1:20" x14ac:dyDescent="0.35">
      <c r="A6" s="7" t="s">
        <v>49</v>
      </c>
      <c r="B6" s="12" t="s">
        <v>50</v>
      </c>
      <c r="C6">
        <v>427142423.08807009</v>
      </c>
      <c r="D6">
        <v>413146833.58726591</v>
      </c>
      <c r="E6">
        <v>2661441.4414414428</v>
      </c>
      <c r="F6">
        <v>2908108.1081081182</v>
      </c>
      <c r="G6">
        <v>89</v>
      </c>
      <c r="H6">
        <v>246</v>
      </c>
      <c r="I6">
        <v>5</v>
      </c>
      <c r="K6">
        <v>105</v>
      </c>
      <c r="L6">
        <v>464</v>
      </c>
      <c r="M6">
        <v>94769639.639639646</v>
      </c>
      <c r="N6">
        <v>69825945.945945948</v>
      </c>
      <c r="O6">
        <v>125347527.02702703</v>
      </c>
      <c r="P6">
        <v>130483387.38738739</v>
      </c>
      <c r="Q6">
        <v>88438288.288288295</v>
      </c>
      <c r="R6">
        <v>67935765.765765771</v>
      </c>
      <c r="S6">
        <v>20896</v>
      </c>
      <c r="T6">
        <v>19415</v>
      </c>
    </row>
    <row r="7" spans="1:20" x14ac:dyDescent="0.35">
      <c r="A7" s="7" t="s">
        <v>51</v>
      </c>
      <c r="B7" s="12" t="s">
        <v>52</v>
      </c>
      <c r="C7">
        <v>101979648.34527224</v>
      </c>
      <c r="D7">
        <v>102979462.20684755</v>
      </c>
      <c r="E7">
        <v>59459.459459459998</v>
      </c>
      <c r="F7">
        <v>2363963.963963964</v>
      </c>
      <c r="G7">
        <v>14</v>
      </c>
      <c r="H7">
        <v>42</v>
      </c>
      <c r="K7">
        <v>17</v>
      </c>
      <c r="L7">
        <v>42</v>
      </c>
      <c r="M7">
        <v>17103153.153153151</v>
      </c>
      <c r="N7">
        <v>28325675.675675675</v>
      </c>
      <c r="O7">
        <v>35031603.603603601</v>
      </c>
      <c r="P7">
        <v>32612189.189189192</v>
      </c>
      <c r="Q7">
        <v>7199369.3693693681</v>
      </c>
      <c r="R7">
        <v>19904414.414414417</v>
      </c>
      <c r="S7">
        <v>5196</v>
      </c>
      <c r="T7">
        <v>5029</v>
      </c>
    </row>
    <row r="8" spans="1:20" x14ac:dyDescent="0.35">
      <c r="A8" s="7" t="s">
        <v>53</v>
      </c>
      <c r="B8" s="12" t="s">
        <v>54</v>
      </c>
      <c r="C8">
        <v>55196602.759833463</v>
      </c>
      <c r="D8">
        <v>55983775.334500819</v>
      </c>
      <c r="E8">
        <v>647297.29729729798</v>
      </c>
      <c r="F8">
        <v>372072.07207207498</v>
      </c>
      <c r="G8">
        <v>8</v>
      </c>
      <c r="H8">
        <v>13</v>
      </c>
      <c r="K8">
        <v>12</v>
      </c>
      <c r="L8">
        <v>16</v>
      </c>
      <c r="M8">
        <v>7169819.8198198173</v>
      </c>
      <c r="N8">
        <v>4911171.1711711716</v>
      </c>
      <c r="O8">
        <v>18177576.576576576</v>
      </c>
      <c r="P8">
        <v>17999182.432432432</v>
      </c>
      <c r="Q8">
        <v>6740900.9009009004</v>
      </c>
      <c r="R8">
        <v>5171171.1711711688</v>
      </c>
      <c r="S8">
        <v>3680</v>
      </c>
      <c r="T8">
        <v>3643</v>
      </c>
    </row>
    <row r="9" spans="1:20" x14ac:dyDescent="0.35">
      <c r="A9" s="7" t="s">
        <v>55</v>
      </c>
      <c r="B9" s="12" t="s">
        <v>54</v>
      </c>
      <c r="C9">
        <v>93607714.078393683</v>
      </c>
      <c r="D9">
        <v>90925001.428984985</v>
      </c>
      <c r="E9">
        <v>400450.45045045199</v>
      </c>
      <c r="F9">
        <v>1613513.5135135159</v>
      </c>
      <c r="G9">
        <v>27</v>
      </c>
      <c r="H9">
        <v>25</v>
      </c>
      <c r="K9">
        <v>44</v>
      </c>
      <c r="L9">
        <v>75</v>
      </c>
      <c r="M9">
        <v>26247297.297297295</v>
      </c>
      <c r="N9">
        <v>16511531.531531531</v>
      </c>
      <c r="O9">
        <v>23189216.216216218</v>
      </c>
      <c r="P9">
        <v>25802063.063063063</v>
      </c>
      <c r="Q9">
        <v>19937747.747747745</v>
      </c>
      <c r="R9">
        <v>29930720.72072072</v>
      </c>
      <c r="S9">
        <v>4458</v>
      </c>
      <c r="T9">
        <v>4420</v>
      </c>
    </row>
    <row r="10" spans="1:20" x14ac:dyDescent="0.35">
      <c r="A10" s="7" t="s">
        <v>56</v>
      </c>
      <c r="B10" s="12" t="s">
        <v>54</v>
      </c>
      <c r="C10">
        <v>47121650.115659095</v>
      </c>
      <c r="D10">
        <v>44200382.311427437</v>
      </c>
      <c r="E10">
        <v>277657.65765765798</v>
      </c>
      <c r="F10">
        <v>571171.17117117299</v>
      </c>
      <c r="G10">
        <v>4</v>
      </c>
      <c r="H10">
        <v>10</v>
      </c>
      <c r="K10">
        <v>7</v>
      </c>
      <c r="L10">
        <v>12</v>
      </c>
      <c r="M10">
        <v>4125405.4054054031</v>
      </c>
      <c r="N10">
        <v>5367567.5675675683</v>
      </c>
      <c r="O10">
        <v>14117882.882882884</v>
      </c>
      <c r="P10">
        <v>13325072.072072072</v>
      </c>
      <c r="Q10">
        <v>3482702.7027027011</v>
      </c>
      <c r="R10">
        <v>4053783.783783786</v>
      </c>
      <c r="S10">
        <v>2253</v>
      </c>
      <c r="T10">
        <v>1956</v>
      </c>
    </row>
    <row r="11" spans="1:20" x14ac:dyDescent="0.35">
      <c r="A11" s="7" t="s">
        <v>57</v>
      </c>
      <c r="B11" s="12" t="s">
        <v>58</v>
      </c>
      <c r="C11">
        <v>120107087.83559395</v>
      </c>
      <c r="D11">
        <v>122635062.19505203</v>
      </c>
      <c r="E11">
        <v>905405.40540540603</v>
      </c>
      <c r="F11">
        <v>108108.10810810899</v>
      </c>
      <c r="G11">
        <v>32</v>
      </c>
      <c r="H11">
        <v>35</v>
      </c>
      <c r="K11">
        <v>41</v>
      </c>
      <c r="L11">
        <v>40</v>
      </c>
      <c r="M11">
        <v>3626126.1261261259</v>
      </c>
      <c r="N11">
        <v>3351351.351351351</v>
      </c>
      <c r="O11">
        <v>20991576.576576576</v>
      </c>
      <c r="P11">
        <v>22617909.909909911</v>
      </c>
      <c r="Q11">
        <v>2366396.3963963971</v>
      </c>
      <c r="R11">
        <v>2024054.054054054</v>
      </c>
      <c r="S11">
        <v>5567</v>
      </c>
      <c r="T11">
        <v>5561</v>
      </c>
    </row>
    <row r="12" spans="1:20" x14ac:dyDescent="0.35">
      <c r="A12" s="7" t="s">
        <v>59</v>
      </c>
      <c r="B12" s="12" t="s">
        <v>60</v>
      </c>
      <c r="C12">
        <v>51584107.667361528</v>
      </c>
      <c r="D12">
        <v>51488270.216475457</v>
      </c>
      <c r="E12">
        <v>199639.63963963999</v>
      </c>
      <c r="F12">
        <v>326126.12612612703</v>
      </c>
      <c r="G12">
        <v>9</v>
      </c>
      <c r="H12">
        <v>20</v>
      </c>
      <c r="K12">
        <v>10</v>
      </c>
      <c r="L12">
        <v>31</v>
      </c>
      <c r="M12">
        <v>4460900.9009009013</v>
      </c>
      <c r="N12">
        <v>7073873.8738738736</v>
      </c>
      <c r="O12">
        <v>24641567.567567568</v>
      </c>
      <c r="P12">
        <v>23707072.072072074</v>
      </c>
      <c r="Q12">
        <v>4764054.0540540526</v>
      </c>
      <c r="R12">
        <v>5266846.8468468459</v>
      </c>
      <c r="S12">
        <v>2848</v>
      </c>
      <c r="T12">
        <v>2989</v>
      </c>
    </row>
    <row r="13" spans="1:20" x14ac:dyDescent="0.35">
      <c r="A13" s="7" t="s">
        <v>61</v>
      </c>
      <c r="B13" s="12" t="s">
        <v>62</v>
      </c>
      <c r="C13">
        <v>247122006.48477724</v>
      </c>
      <c r="D13">
        <v>235318055.21067888</v>
      </c>
      <c r="E13">
        <v>55855.855855857997</v>
      </c>
      <c r="F13">
        <v>2404954.9549549641</v>
      </c>
      <c r="G13">
        <v>52</v>
      </c>
      <c r="H13">
        <v>27</v>
      </c>
      <c r="K13">
        <v>68</v>
      </c>
      <c r="L13">
        <v>30</v>
      </c>
      <c r="M13">
        <v>4721981.9819819871</v>
      </c>
      <c r="N13">
        <v>32725405.40540541</v>
      </c>
      <c r="O13">
        <v>25127567.567567568</v>
      </c>
      <c r="P13">
        <v>24503963.963963963</v>
      </c>
      <c r="Q13">
        <v>4382702.7027027067</v>
      </c>
      <c r="R13">
        <v>30174324.324324321</v>
      </c>
      <c r="S13">
        <v>8945</v>
      </c>
      <c r="T13">
        <v>8800</v>
      </c>
    </row>
    <row r="14" spans="1:20" x14ac:dyDescent="0.35">
      <c r="A14" s="7" t="s">
        <v>63</v>
      </c>
      <c r="B14" s="12" t="s">
        <v>50</v>
      </c>
      <c r="C14">
        <v>129755793.41855082</v>
      </c>
      <c r="D14">
        <v>126728899.1361417</v>
      </c>
      <c r="E14">
        <v>85675547.747747749</v>
      </c>
      <c r="F14">
        <v>143225106.3063063</v>
      </c>
      <c r="G14">
        <v>22</v>
      </c>
      <c r="H14">
        <v>54</v>
      </c>
      <c r="K14">
        <v>24</v>
      </c>
      <c r="L14">
        <v>78</v>
      </c>
      <c r="M14">
        <v>112436536.03603603</v>
      </c>
      <c r="N14">
        <v>32382702.702702701</v>
      </c>
      <c r="O14">
        <v>47992144.144144148</v>
      </c>
      <c r="P14">
        <v>46739378.378378376</v>
      </c>
      <c r="Q14">
        <v>38833063.063063063</v>
      </c>
      <c r="R14">
        <v>23181351.351351351</v>
      </c>
      <c r="S14">
        <v>5321</v>
      </c>
      <c r="T14">
        <v>5473</v>
      </c>
    </row>
    <row r="15" spans="1:20" x14ac:dyDescent="0.35">
      <c r="A15" s="7" t="s">
        <v>64</v>
      </c>
      <c r="B15" s="12" t="s">
        <v>50</v>
      </c>
      <c r="C15">
        <v>133028498.47088192</v>
      </c>
      <c r="D15">
        <v>128982888.26854283</v>
      </c>
      <c r="E15">
        <v>1276126.1261261259</v>
      </c>
      <c r="F15">
        <v>2096396.396396396</v>
      </c>
      <c r="G15">
        <v>17</v>
      </c>
      <c r="H15">
        <v>33</v>
      </c>
      <c r="K15">
        <v>21</v>
      </c>
      <c r="L15">
        <v>44</v>
      </c>
      <c r="M15">
        <v>24611981.981981982</v>
      </c>
      <c r="N15">
        <v>12923243.24324324</v>
      </c>
      <c r="O15">
        <v>50256288.288288288</v>
      </c>
      <c r="P15">
        <v>47122450.45045045</v>
      </c>
      <c r="Q15">
        <v>23070180.180180185</v>
      </c>
      <c r="R15">
        <v>12444054.054054055</v>
      </c>
      <c r="S15">
        <v>5801</v>
      </c>
      <c r="T15">
        <v>5453</v>
      </c>
    </row>
    <row r="16" spans="1:20" x14ac:dyDescent="0.35">
      <c r="A16" s="7" t="s">
        <v>65</v>
      </c>
      <c r="B16" s="12" t="s">
        <v>66</v>
      </c>
      <c r="C16">
        <v>130192059.46932727</v>
      </c>
      <c r="D16">
        <v>129717765.6817527</v>
      </c>
      <c r="E16">
        <v>1461351.3513513531</v>
      </c>
      <c r="F16">
        <v>1993693.6936936949</v>
      </c>
      <c r="G16">
        <v>41</v>
      </c>
      <c r="H16">
        <v>34</v>
      </c>
      <c r="K16">
        <v>47</v>
      </c>
      <c r="L16">
        <v>58</v>
      </c>
      <c r="M16">
        <v>32682342.342342343</v>
      </c>
      <c r="N16">
        <v>35787657.657657653</v>
      </c>
      <c r="O16">
        <v>63261432.432432435</v>
      </c>
      <c r="P16">
        <v>67153639.639639646</v>
      </c>
      <c r="Q16">
        <v>22523963.963963963</v>
      </c>
      <c r="R16">
        <v>35950900.9009009</v>
      </c>
      <c r="S16">
        <v>5725</v>
      </c>
      <c r="T16">
        <v>5404</v>
      </c>
    </row>
    <row r="17" spans="1:20" x14ac:dyDescent="0.35">
      <c r="A17" s="7" t="s">
        <v>67</v>
      </c>
      <c r="B17" s="12" t="s">
        <v>68</v>
      </c>
      <c r="C17">
        <v>75259609.225059822</v>
      </c>
      <c r="D17">
        <v>76328059.668621063</v>
      </c>
      <c r="E17">
        <v>310360.360360361</v>
      </c>
      <c r="F17">
        <v>921621.62162162003</v>
      </c>
      <c r="G17">
        <v>37</v>
      </c>
      <c r="H17">
        <v>23</v>
      </c>
      <c r="K17">
        <v>45</v>
      </c>
      <c r="L17">
        <v>27</v>
      </c>
      <c r="M17">
        <v>11386396.396396397</v>
      </c>
      <c r="N17">
        <v>14374324.324324325</v>
      </c>
      <c r="O17">
        <v>19921171.171171173</v>
      </c>
      <c r="P17">
        <v>21384567.567567568</v>
      </c>
      <c r="Q17">
        <v>9408018.0180180203</v>
      </c>
      <c r="R17">
        <v>9786936.9369369354</v>
      </c>
      <c r="S17">
        <v>3397</v>
      </c>
      <c r="T17">
        <v>3153</v>
      </c>
    </row>
    <row r="18" spans="1:20" x14ac:dyDescent="0.35">
      <c r="A18" s="7" t="s">
        <v>69</v>
      </c>
      <c r="B18" s="12" t="s">
        <v>70</v>
      </c>
      <c r="C18">
        <v>6039521.3448951738</v>
      </c>
      <c r="D18">
        <v>5966666.2340081232</v>
      </c>
      <c r="F18">
        <v>13513.513513514001</v>
      </c>
      <c r="G18">
        <v>1</v>
      </c>
      <c r="H18">
        <v>1</v>
      </c>
      <c r="K18">
        <v>1</v>
      </c>
      <c r="L18">
        <v>1</v>
      </c>
      <c r="M18">
        <v>275675.67567567498</v>
      </c>
      <c r="N18">
        <v>193693.69369369399</v>
      </c>
      <c r="O18">
        <v>1310450.4504504499</v>
      </c>
      <c r="P18">
        <v>1897432.432432432</v>
      </c>
      <c r="Q18">
        <v>156756.75675675599</v>
      </c>
      <c r="R18">
        <v>124324.324324324</v>
      </c>
      <c r="S18">
        <v>419</v>
      </c>
      <c r="T18">
        <v>250</v>
      </c>
    </row>
    <row r="19" spans="1:20" x14ac:dyDescent="0.35">
      <c r="A19" s="7" t="s">
        <v>71</v>
      </c>
      <c r="B19" s="12" t="s">
        <v>72</v>
      </c>
      <c r="C19">
        <v>1085938094.1492345</v>
      </c>
      <c r="D19">
        <v>1043473415.4027666</v>
      </c>
      <c r="E19">
        <v>293768553.15315318</v>
      </c>
      <c r="F19">
        <v>280886794.5945946</v>
      </c>
      <c r="G19">
        <v>270</v>
      </c>
      <c r="H19">
        <v>254</v>
      </c>
      <c r="I19">
        <v>10</v>
      </c>
      <c r="K19">
        <v>451</v>
      </c>
      <c r="L19">
        <v>461</v>
      </c>
      <c r="M19">
        <v>122798836.03603603</v>
      </c>
      <c r="N19">
        <v>111250457.65765765</v>
      </c>
      <c r="O19">
        <v>204865798.1981982</v>
      </c>
      <c r="P19">
        <v>210435945.04504505</v>
      </c>
      <c r="Q19">
        <v>105641441.44144145</v>
      </c>
      <c r="R19">
        <v>96020403.603603601</v>
      </c>
      <c r="S19">
        <v>46581</v>
      </c>
      <c r="T19">
        <v>44835</v>
      </c>
    </row>
    <row r="20" spans="1:20" x14ac:dyDescent="0.35">
      <c r="A20" s="7" t="s">
        <v>73</v>
      </c>
      <c r="B20" s="12" t="s">
        <v>72</v>
      </c>
      <c r="C20">
        <v>103757264.18173547</v>
      </c>
      <c r="D20">
        <v>106471590.06288646</v>
      </c>
      <c r="E20">
        <v>3603.603603604</v>
      </c>
      <c r="F20">
        <v>67567.567567569</v>
      </c>
      <c r="G20">
        <v>23</v>
      </c>
      <c r="H20">
        <v>30</v>
      </c>
      <c r="K20">
        <v>28</v>
      </c>
      <c r="L20">
        <v>32</v>
      </c>
      <c r="M20">
        <v>2553153.1531531531</v>
      </c>
      <c r="N20">
        <v>2454954.9549549548</v>
      </c>
      <c r="O20">
        <v>14632792.792792792</v>
      </c>
      <c r="P20">
        <v>15184144.144144144</v>
      </c>
      <c r="Q20">
        <v>1679279.2792792791</v>
      </c>
      <c r="R20">
        <v>2297027.0270270272</v>
      </c>
      <c r="S20">
        <v>3851</v>
      </c>
      <c r="T20">
        <v>3641</v>
      </c>
    </row>
    <row r="21" spans="1:20" x14ac:dyDescent="0.35">
      <c r="A21" s="7" t="s">
        <v>74</v>
      </c>
      <c r="B21" s="12" t="s">
        <v>70</v>
      </c>
      <c r="C21">
        <v>106475220.9005588</v>
      </c>
      <c r="D21">
        <v>103369198.58344269</v>
      </c>
      <c r="E21">
        <v>26889322.522522524</v>
      </c>
      <c r="F21">
        <v>31955817.117117122</v>
      </c>
      <c r="G21">
        <v>26</v>
      </c>
      <c r="H21">
        <v>34</v>
      </c>
      <c r="K21">
        <v>32</v>
      </c>
      <c r="L21">
        <v>51</v>
      </c>
      <c r="M21">
        <v>57523779.279279277</v>
      </c>
      <c r="N21">
        <v>59501811.71171172</v>
      </c>
      <c r="O21">
        <v>35622342.342342347</v>
      </c>
      <c r="P21">
        <v>37718423.423423424</v>
      </c>
      <c r="Q21">
        <v>32009099.0990991</v>
      </c>
      <c r="R21">
        <v>19467927.927927926</v>
      </c>
      <c r="S21">
        <v>4443</v>
      </c>
      <c r="T21">
        <v>4362</v>
      </c>
    </row>
    <row r="22" spans="1:20" x14ac:dyDescent="0.35">
      <c r="A22" s="7" t="s">
        <v>75</v>
      </c>
      <c r="B22" s="12" t="s">
        <v>76</v>
      </c>
      <c r="C22">
        <v>30051971.585785799</v>
      </c>
      <c r="D22">
        <v>29891468.725367036</v>
      </c>
      <c r="E22">
        <v>77477.477477477994</v>
      </c>
      <c r="F22">
        <v>55855.855855856003</v>
      </c>
      <c r="G22">
        <v>9</v>
      </c>
      <c r="H22">
        <v>3</v>
      </c>
      <c r="K22">
        <v>10</v>
      </c>
      <c r="L22">
        <v>5</v>
      </c>
      <c r="M22">
        <v>3837837.837837839</v>
      </c>
      <c r="N22">
        <v>3263243.2432432421</v>
      </c>
      <c r="O22">
        <v>7752747.7477477482</v>
      </c>
      <c r="P22">
        <v>7617990.9909909908</v>
      </c>
      <c r="Q22">
        <v>2909729.7297297302</v>
      </c>
      <c r="R22">
        <v>2104864.8648648649</v>
      </c>
      <c r="S22">
        <v>1442</v>
      </c>
      <c r="T22">
        <v>1473</v>
      </c>
    </row>
    <row r="23" spans="1:20" x14ac:dyDescent="0.35">
      <c r="A23" s="7" t="s">
        <v>77</v>
      </c>
      <c r="B23" s="12" t="s">
        <v>78</v>
      </c>
      <c r="C23">
        <v>69366203.530774146</v>
      </c>
      <c r="D23">
        <v>63481401.968667448</v>
      </c>
      <c r="E23">
        <v>460450.45045045001</v>
      </c>
      <c r="F23">
        <v>814414.41441441595</v>
      </c>
      <c r="G23">
        <v>18</v>
      </c>
      <c r="H23">
        <v>11</v>
      </c>
      <c r="K23">
        <v>20</v>
      </c>
      <c r="L23">
        <v>14</v>
      </c>
      <c r="M23">
        <v>9397387.3873873856</v>
      </c>
      <c r="N23">
        <v>6895495.4954954954</v>
      </c>
      <c r="O23">
        <v>21883873.873873871</v>
      </c>
      <c r="P23">
        <v>20632747.747747749</v>
      </c>
      <c r="Q23">
        <v>7290090.0900900885</v>
      </c>
      <c r="R23">
        <v>8265135.1351351365</v>
      </c>
      <c r="S23">
        <v>2559</v>
      </c>
      <c r="T23">
        <v>2334</v>
      </c>
    </row>
    <row r="24" spans="1:20" x14ac:dyDescent="0.35">
      <c r="A24" s="7" t="s">
        <v>79</v>
      </c>
      <c r="B24" s="12" t="s">
        <v>80</v>
      </c>
      <c r="C24">
        <v>638197204.87063122</v>
      </c>
      <c r="D24">
        <v>609610103.55783808</v>
      </c>
      <c r="E24">
        <v>2147297.297297304</v>
      </c>
      <c r="F24">
        <v>2904504.5045045139</v>
      </c>
      <c r="G24">
        <v>194</v>
      </c>
      <c r="H24">
        <v>267</v>
      </c>
      <c r="I24">
        <v>3</v>
      </c>
      <c r="K24">
        <v>248</v>
      </c>
      <c r="L24">
        <v>336</v>
      </c>
      <c r="M24">
        <v>197811081.08108109</v>
      </c>
      <c r="N24">
        <v>59382882.882882878</v>
      </c>
      <c r="O24">
        <v>154864058.55855855</v>
      </c>
      <c r="P24">
        <v>155246292.7927928</v>
      </c>
      <c r="Q24">
        <v>53029369.369369365</v>
      </c>
      <c r="R24">
        <v>50584684.684684686</v>
      </c>
      <c r="S24">
        <v>26356</v>
      </c>
      <c r="T24">
        <v>28179</v>
      </c>
    </row>
    <row r="25" spans="1:20" x14ac:dyDescent="0.35">
      <c r="A25" s="7" t="s">
        <v>81</v>
      </c>
      <c r="B25" s="12" t="s">
        <v>54</v>
      </c>
      <c r="C25">
        <v>18135172.209224973</v>
      </c>
      <c r="D25">
        <v>18238107.497361843</v>
      </c>
      <c r="E25">
        <v>140540.540540541</v>
      </c>
      <c r="F25">
        <v>77477.477477477994</v>
      </c>
      <c r="G25">
        <v>6</v>
      </c>
      <c r="H25">
        <v>7</v>
      </c>
      <c r="K25">
        <v>9</v>
      </c>
      <c r="L25">
        <v>8</v>
      </c>
      <c r="M25">
        <v>2213063.0630630609</v>
      </c>
      <c r="N25">
        <v>910810.810810811</v>
      </c>
      <c r="O25">
        <v>4041171.1711711711</v>
      </c>
      <c r="P25">
        <v>4118063.0630630641</v>
      </c>
      <c r="Q25">
        <v>2058648.6486486481</v>
      </c>
      <c r="R25">
        <v>1039459.459459461</v>
      </c>
      <c r="S25">
        <v>1308</v>
      </c>
      <c r="T25">
        <v>1260</v>
      </c>
    </row>
    <row r="26" spans="1:20" x14ac:dyDescent="0.35">
      <c r="A26" s="7" t="s">
        <v>82</v>
      </c>
      <c r="B26" s="12" t="s">
        <v>83</v>
      </c>
      <c r="C26">
        <v>446180705.3924455</v>
      </c>
      <c r="D26">
        <v>437705429.37893093</v>
      </c>
      <c r="E26">
        <v>2925315.3153153169</v>
      </c>
      <c r="F26">
        <v>3703828.8288288289</v>
      </c>
      <c r="G26">
        <v>74</v>
      </c>
      <c r="H26">
        <v>80</v>
      </c>
      <c r="I26">
        <v>1</v>
      </c>
      <c r="K26">
        <v>89</v>
      </c>
      <c r="L26">
        <v>93</v>
      </c>
      <c r="M26">
        <v>73966756.756756753</v>
      </c>
      <c r="N26">
        <v>101470720.72072072</v>
      </c>
      <c r="O26">
        <v>121091935.13513513</v>
      </c>
      <c r="P26">
        <v>125559788.2882883</v>
      </c>
      <c r="Q26">
        <v>60931891.891891889</v>
      </c>
      <c r="R26">
        <v>59288468.468468465</v>
      </c>
      <c r="S26">
        <v>15184</v>
      </c>
      <c r="T26">
        <v>15436</v>
      </c>
    </row>
    <row r="27" spans="1:20" x14ac:dyDescent="0.35">
      <c r="A27" s="7" t="s">
        <v>84</v>
      </c>
      <c r="B27" s="12" t="s">
        <v>85</v>
      </c>
      <c r="C27">
        <v>45276866.275419965</v>
      </c>
      <c r="D27">
        <v>40936290.286571883</v>
      </c>
      <c r="E27">
        <v>129729.72972973</v>
      </c>
      <c r="F27">
        <v>136975450.45045045</v>
      </c>
      <c r="G27">
        <v>13</v>
      </c>
      <c r="H27">
        <v>28</v>
      </c>
      <c r="K27">
        <v>20</v>
      </c>
      <c r="L27">
        <v>32</v>
      </c>
      <c r="M27">
        <v>47357207.20720721</v>
      </c>
      <c r="N27">
        <v>69527927.927927926</v>
      </c>
      <c r="O27">
        <v>15413423.423423424</v>
      </c>
      <c r="P27">
        <v>15571360.36036036</v>
      </c>
      <c r="Q27">
        <v>29933423.423423421</v>
      </c>
      <c r="R27">
        <v>57378558.558558561</v>
      </c>
      <c r="S27">
        <v>2306</v>
      </c>
      <c r="T27">
        <v>2192</v>
      </c>
    </row>
    <row r="28" spans="1:20" x14ac:dyDescent="0.35">
      <c r="A28" s="7" t="s">
        <v>86</v>
      </c>
      <c r="B28" s="12" t="s">
        <v>87</v>
      </c>
      <c r="C28">
        <v>1797632.039452814</v>
      </c>
      <c r="D28">
        <v>1589050.8304843351</v>
      </c>
      <c r="G28">
        <v>2</v>
      </c>
      <c r="H28">
        <v>1</v>
      </c>
      <c r="K28">
        <v>2</v>
      </c>
      <c r="L28">
        <v>1</v>
      </c>
      <c r="O28">
        <v>553198.19819819799</v>
      </c>
      <c r="P28">
        <v>693072.072072073</v>
      </c>
      <c r="S28">
        <v>152</v>
      </c>
      <c r="T28">
        <v>166</v>
      </c>
    </row>
    <row r="29" spans="1:20" x14ac:dyDescent="0.35">
      <c r="A29" s="7" t="s">
        <v>88</v>
      </c>
      <c r="B29" s="12" t="s">
        <v>89</v>
      </c>
      <c r="C29">
        <v>89238392.665835902</v>
      </c>
      <c r="D29">
        <v>89606180.145773634</v>
      </c>
      <c r="E29">
        <v>44144.144144143997</v>
      </c>
      <c r="F29">
        <v>637837.83783783903</v>
      </c>
      <c r="G29">
        <v>10</v>
      </c>
      <c r="H29">
        <v>12</v>
      </c>
      <c r="K29">
        <v>13</v>
      </c>
      <c r="L29">
        <v>13</v>
      </c>
      <c r="M29">
        <v>6564504.5045045037</v>
      </c>
      <c r="N29">
        <v>12710630.630630627</v>
      </c>
      <c r="O29">
        <v>30708963.963963963</v>
      </c>
      <c r="P29">
        <v>31089927.927927926</v>
      </c>
      <c r="Q29">
        <v>5264504.5045045046</v>
      </c>
      <c r="R29">
        <v>10947207.207207207</v>
      </c>
      <c r="S29">
        <v>3389</v>
      </c>
      <c r="T29">
        <v>3349</v>
      </c>
    </row>
    <row r="30" spans="1:20" x14ac:dyDescent="0.35">
      <c r="A30" s="7" t="s">
        <v>90</v>
      </c>
      <c r="B30" s="12" t="s">
        <v>60</v>
      </c>
      <c r="C30">
        <v>29777509.195885208</v>
      </c>
      <c r="D30">
        <v>32853866.861851323</v>
      </c>
      <c r="E30">
        <v>53153.153153152998</v>
      </c>
      <c r="F30">
        <v>54954.954954957</v>
      </c>
      <c r="G30">
        <v>10</v>
      </c>
      <c r="H30">
        <v>6</v>
      </c>
      <c r="K30">
        <v>49</v>
      </c>
      <c r="L30">
        <v>59</v>
      </c>
      <c r="M30">
        <v>2936036.0360360341</v>
      </c>
      <c r="N30">
        <v>2595495.4954954968</v>
      </c>
      <c r="O30">
        <v>16805810.810810812</v>
      </c>
      <c r="P30">
        <v>19286972.97297297</v>
      </c>
      <c r="Q30">
        <v>2560360.3603603598</v>
      </c>
      <c r="R30">
        <v>2135585.5855855858</v>
      </c>
      <c r="S30">
        <v>1550</v>
      </c>
      <c r="T30">
        <v>1829</v>
      </c>
    </row>
    <row r="31" spans="1:20" x14ac:dyDescent="0.35">
      <c r="A31" s="7" t="s">
        <v>91</v>
      </c>
      <c r="B31" s="12" t="s">
        <v>92</v>
      </c>
      <c r="C31">
        <v>26029633.628239248</v>
      </c>
      <c r="D31">
        <v>27039190.672003184</v>
      </c>
      <c r="F31">
        <v>1945045.0450450459</v>
      </c>
      <c r="G31">
        <v>7</v>
      </c>
      <c r="H31">
        <v>6</v>
      </c>
      <c r="K31">
        <v>8</v>
      </c>
      <c r="L31">
        <v>9</v>
      </c>
      <c r="M31">
        <v>60540.540540540998</v>
      </c>
      <c r="N31">
        <v>11098198.198198199</v>
      </c>
      <c r="O31">
        <v>8618468.4684684686</v>
      </c>
      <c r="P31">
        <v>8501576.5765765775</v>
      </c>
      <c r="Q31">
        <v>60540.540540540998</v>
      </c>
      <c r="R31">
        <v>10565945.945945946</v>
      </c>
      <c r="S31">
        <v>1064</v>
      </c>
      <c r="T31">
        <v>1100</v>
      </c>
    </row>
    <row r="32" spans="1:20" x14ac:dyDescent="0.35">
      <c r="A32" s="7" t="s">
        <v>93</v>
      </c>
      <c r="B32" s="12" t="s">
        <v>94</v>
      </c>
      <c r="C32">
        <v>120164274.52968794</v>
      </c>
      <c r="D32">
        <v>112974520.62079637</v>
      </c>
      <c r="E32">
        <v>29729.729729731</v>
      </c>
      <c r="F32">
        <v>175675.67567567699</v>
      </c>
      <c r="G32">
        <v>29</v>
      </c>
      <c r="H32">
        <v>19</v>
      </c>
      <c r="K32">
        <v>32</v>
      </c>
      <c r="L32">
        <v>21</v>
      </c>
      <c r="M32">
        <v>10717117.117117118</v>
      </c>
      <c r="N32">
        <v>13018018.018018017</v>
      </c>
      <c r="O32">
        <v>16448108.108108109</v>
      </c>
      <c r="P32">
        <v>16366601.801801803</v>
      </c>
      <c r="Q32">
        <v>11814684.684684686</v>
      </c>
      <c r="R32">
        <v>11300630.630630633</v>
      </c>
      <c r="S32">
        <v>4387</v>
      </c>
      <c r="T32">
        <v>4432</v>
      </c>
    </row>
    <row r="33" spans="1:20" x14ac:dyDescent="0.35">
      <c r="A33" s="7" t="s">
        <v>95</v>
      </c>
      <c r="B33" s="12" t="s">
        <v>96</v>
      </c>
      <c r="C33">
        <v>120841758.7688715</v>
      </c>
      <c r="D33">
        <v>116850877.89358388</v>
      </c>
      <c r="E33">
        <v>195495.49549549699</v>
      </c>
      <c r="F33">
        <v>428828.82882883103</v>
      </c>
      <c r="G33">
        <v>30</v>
      </c>
      <c r="H33">
        <v>24</v>
      </c>
      <c r="K33">
        <v>35</v>
      </c>
      <c r="L33">
        <v>26</v>
      </c>
      <c r="M33">
        <v>14875045.045045046</v>
      </c>
      <c r="N33">
        <v>31595945.945945945</v>
      </c>
      <c r="O33">
        <v>55823099.099099107</v>
      </c>
      <c r="P33">
        <v>58487333.333333336</v>
      </c>
      <c r="Q33">
        <v>16131531.53153153</v>
      </c>
      <c r="R33">
        <v>17871621.621621624</v>
      </c>
      <c r="S33">
        <v>5995</v>
      </c>
      <c r="T33">
        <v>5914</v>
      </c>
    </row>
    <row r="34" spans="1:20" x14ac:dyDescent="0.35">
      <c r="A34" s="7" t="s">
        <v>97</v>
      </c>
      <c r="B34" s="12" t="s">
        <v>98</v>
      </c>
      <c r="C34">
        <v>426146316.38955063</v>
      </c>
      <c r="D34">
        <v>426861542.81950897</v>
      </c>
      <c r="E34">
        <v>1600090.0900900911</v>
      </c>
      <c r="F34">
        <v>2773873.8738738778</v>
      </c>
      <c r="G34">
        <v>187</v>
      </c>
      <c r="H34">
        <v>152</v>
      </c>
      <c r="K34">
        <v>221</v>
      </c>
      <c r="L34">
        <v>193</v>
      </c>
      <c r="M34">
        <v>54437027.027027026</v>
      </c>
      <c r="N34">
        <v>97362432.432432428</v>
      </c>
      <c r="O34">
        <v>109908205.4054054</v>
      </c>
      <c r="P34">
        <v>109360883.33333333</v>
      </c>
      <c r="Q34">
        <v>52367297.297297291</v>
      </c>
      <c r="R34">
        <v>51434864.864864863</v>
      </c>
      <c r="S34">
        <v>22306</v>
      </c>
      <c r="T34">
        <v>22475</v>
      </c>
    </row>
    <row r="35" spans="1:20" x14ac:dyDescent="0.35">
      <c r="A35" s="7" t="s">
        <v>99</v>
      </c>
      <c r="B35" s="12" t="s">
        <v>98</v>
      </c>
      <c r="C35">
        <v>709356059.30816615</v>
      </c>
      <c r="D35">
        <v>690279674.05321538</v>
      </c>
      <c r="E35">
        <v>43172888.288288295</v>
      </c>
      <c r="F35">
        <v>3065607.207207215</v>
      </c>
      <c r="G35">
        <v>193</v>
      </c>
      <c r="H35">
        <v>180</v>
      </c>
      <c r="K35">
        <v>249</v>
      </c>
      <c r="L35">
        <v>304</v>
      </c>
      <c r="M35">
        <v>53487297.297297299</v>
      </c>
      <c r="N35">
        <v>43224774.774774775</v>
      </c>
      <c r="O35">
        <v>134055346.84684685</v>
      </c>
      <c r="P35">
        <v>134764680.18018016</v>
      </c>
      <c r="Q35">
        <v>42113288.288288288</v>
      </c>
      <c r="R35">
        <v>37635855.855855852</v>
      </c>
      <c r="S35">
        <v>29072</v>
      </c>
      <c r="T35">
        <v>28029</v>
      </c>
    </row>
    <row r="36" spans="1:20" x14ac:dyDescent="0.35">
      <c r="A36" s="7" t="s">
        <v>100</v>
      </c>
      <c r="B36" s="12" t="s">
        <v>98</v>
      </c>
      <c r="C36">
        <v>678906296.77451158</v>
      </c>
      <c r="D36">
        <v>674096946.16014254</v>
      </c>
      <c r="E36">
        <v>1717117.1171171209</v>
      </c>
      <c r="F36">
        <v>6640540.5405405508</v>
      </c>
      <c r="G36">
        <v>132</v>
      </c>
      <c r="H36">
        <v>149</v>
      </c>
      <c r="K36">
        <v>259</v>
      </c>
      <c r="L36">
        <v>324</v>
      </c>
      <c r="M36">
        <v>495904639.63963962</v>
      </c>
      <c r="N36">
        <v>62731306.30630631</v>
      </c>
      <c r="O36">
        <v>133359448.64864863</v>
      </c>
      <c r="P36">
        <v>141765209.45945945</v>
      </c>
      <c r="Q36">
        <v>487723151.35135138</v>
      </c>
      <c r="R36">
        <v>59199954.954954959</v>
      </c>
      <c r="S36">
        <v>33431</v>
      </c>
      <c r="T36">
        <v>32564</v>
      </c>
    </row>
    <row r="37" spans="1:20" x14ac:dyDescent="0.35">
      <c r="A37" s="7" t="s">
        <v>101</v>
      </c>
      <c r="B37" s="12" t="s">
        <v>98</v>
      </c>
      <c r="C37">
        <v>404528515.13707161</v>
      </c>
      <c r="D37">
        <v>398350896.56182408</v>
      </c>
      <c r="E37">
        <v>495495.49549549498</v>
      </c>
      <c r="F37">
        <v>1919819.8198198241</v>
      </c>
      <c r="G37">
        <v>127</v>
      </c>
      <c r="H37">
        <v>99</v>
      </c>
      <c r="I37">
        <v>1</v>
      </c>
      <c r="K37">
        <v>158</v>
      </c>
      <c r="L37">
        <v>142</v>
      </c>
      <c r="M37">
        <v>28614954.954954952</v>
      </c>
      <c r="N37">
        <v>25100900.900900904</v>
      </c>
      <c r="O37">
        <v>86591133.333333328</v>
      </c>
      <c r="P37">
        <v>88669180.180180177</v>
      </c>
      <c r="Q37">
        <v>30598288.288288288</v>
      </c>
      <c r="R37">
        <v>27731801.801801797</v>
      </c>
      <c r="S37">
        <v>21793</v>
      </c>
      <c r="T37">
        <v>21298</v>
      </c>
    </row>
    <row r="38" spans="1:20" x14ac:dyDescent="0.35">
      <c r="A38" s="7" t="s">
        <v>102</v>
      </c>
      <c r="B38" s="12" t="s">
        <v>98</v>
      </c>
      <c r="C38">
        <v>448583038.7510677</v>
      </c>
      <c r="D38">
        <v>449983283.34058702</v>
      </c>
      <c r="E38">
        <v>1745540.5405405441</v>
      </c>
      <c r="F38">
        <v>4164864.8648648718</v>
      </c>
      <c r="G38">
        <v>79</v>
      </c>
      <c r="H38">
        <v>100</v>
      </c>
      <c r="I38">
        <v>1</v>
      </c>
      <c r="K38">
        <v>93</v>
      </c>
      <c r="L38">
        <v>144</v>
      </c>
      <c r="M38">
        <v>71300630.630630627</v>
      </c>
      <c r="N38">
        <v>46583783.783783786</v>
      </c>
      <c r="O38">
        <v>126184412.61261261</v>
      </c>
      <c r="P38">
        <v>131473549.54954955</v>
      </c>
      <c r="Q38">
        <v>61945585.585585587</v>
      </c>
      <c r="R38">
        <v>66070270.270270273</v>
      </c>
      <c r="S38">
        <v>24740</v>
      </c>
      <c r="T38">
        <v>24898</v>
      </c>
    </row>
    <row r="39" spans="1:20" x14ac:dyDescent="0.35">
      <c r="A39" s="7" t="s">
        <v>103</v>
      </c>
      <c r="B39" s="12" t="s">
        <v>98</v>
      </c>
      <c r="C39">
        <v>1158541822.730994</v>
      </c>
      <c r="D39">
        <v>1154906030.7924221</v>
      </c>
      <c r="E39">
        <v>447658028.82882887</v>
      </c>
      <c r="F39">
        <v>186162370.27027026</v>
      </c>
      <c r="G39">
        <v>307</v>
      </c>
      <c r="H39">
        <v>286</v>
      </c>
      <c r="I39">
        <v>10</v>
      </c>
      <c r="K39">
        <v>411</v>
      </c>
      <c r="L39">
        <v>405</v>
      </c>
      <c r="M39">
        <v>100485765.76576576</v>
      </c>
      <c r="N39">
        <v>104588288.2882883</v>
      </c>
      <c r="O39">
        <v>231689962.16216218</v>
      </c>
      <c r="P39">
        <v>246191774.77477479</v>
      </c>
      <c r="Q39">
        <v>97279142.342342332</v>
      </c>
      <c r="R39">
        <v>105312522.52252252</v>
      </c>
      <c r="S39">
        <v>54837</v>
      </c>
      <c r="T39">
        <v>56141</v>
      </c>
    </row>
    <row r="40" spans="1:20" x14ac:dyDescent="0.35">
      <c r="A40" s="7" t="s">
        <v>104</v>
      </c>
      <c r="B40" s="12" t="s">
        <v>105</v>
      </c>
      <c r="C40">
        <v>92373183.164462209</v>
      </c>
      <c r="D40">
        <v>79846921.002660871</v>
      </c>
      <c r="E40">
        <v>8298198.1981981983</v>
      </c>
      <c r="F40">
        <v>454954.95495495503</v>
      </c>
      <c r="G40">
        <v>19</v>
      </c>
      <c r="H40">
        <v>16</v>
      </c>
      <c r="K40">
        <v>24</v>
      </c>
      <c r="L40">
        <v>17</v>
      </c>
      <c r="M40">
        <v>1281081.0810810809</v>
      </c>
      <c r="N40">
        <v>559009.00900900899</v>
      </c>
      <c r="O40">
        <v>16540675.675675675</v>
      </c>
      <c r="P40">
        <v>16458405.405405406</v>
      </c>
      <c r="Q40">
        <v>899909.90990991099</v>
      </c>
      <c r="R40">
        <v>527477.47747747798</v>
      </c>
      <c r="S40">
        <v>2527</v>
      </c>
      <c r="T40">
        <v>2497</v>
      </c>
    </row>
    <row r="41" spans="1:20" x14ac:dyDescent="0.35">
      <c r="A41" s="7" t="s">
        <v>106</v>
      </c>
      <c r="B41" s="12" t="s">
        <v>54</v>
      </c>
      <c r="C41">
        <v>27818328.502044827</v>
      </c>
      <c r="D41">
        <v>26084002.891067456</v>
      </c>
      <c r="E41">
        <v>138738.73873873899</v>
      </c>
      <c r="F41">
        <v>21621.621621621998</v>
      </c>
      <c r="G41">
        <v>10</v>
      </c>
      <c r="H41">
        <v>8</v>
      </c>
      <c r="K41">
        <v>26</v>
      </c>
      <c r="L41">
        <v>9</v>
      </c>
      <c r="M41">
        <v>1057657.6576576571</v>
      </c>
      <c r="N41">
        <v>594234.23423423502</v>
      </c>
      <c r="O41">
        <v>6534324.3243243247</v>
      </c>
      <c r="P41">
        <v>7141477.4774774779</v>
      </c>
      <c r="Q41">
        <v>1293783.783783783</v>
      </c>
      <c r="R41">
        <v>1019459.45945946</v>
      </c>
      <c r="S41">
        <v>1029</v>
      </c>
      <c r="T41">
        <v>1317</v>
      </c>
    </row>
    <row r="42" spans="1:20" x14ac:dyDescent="0.35">
      <c r="A42" s="7" t="s">
        <v>107</v>
      </c>
      <c r="B42" s="12" t="s">
        <v>108</v>
      </c>
      <c r="C42">
        <v>229352080.23161581</v>
      </c>
      <c r="D42">
        <v>220027934.94068789</v>
      </c>
      <c r="E42">
        <v>586666.66666666896</v>
      </c>
      <c r="F42">
        <v>2616216.2162162182</v>
      </c>
      <c r="G42">
        <v>61</v>
      </c>
      <c r="H42">
        <v>63</v>
      </c>
      <c r="K42">
        <v>78</v>
      </c>
      <c r="L42">
        <v>80</v>
      </c>
      <c r="M42">
        <v>22778558.558558561</v>
      </c>
      <c r="N42">
        <v>27500720.72072072</v>
      </c>
      <c r="O42">
        <v>47381888.288288288</v>
      </c>
      <c r="P42">
        <v>51064297.297297299</v>
      </c>
      <c r="Q42">
        <v>19338288.288288288</v>
      </c>
      <c r="R42">
        <v>24019639.639639635</v>
      </c>
      <c r="S42">
        <v>10403</v>
      </c>
      <c r="T42">
        <v>9843</v>
      </c>
    </row>
    <row r="43" spans="1:20" x14ac:dyDescent="0.35">
      <c r="A43" s="7" t="s">
        <v>109</v>
      </c>
      <c r="B43" s="12" t="s">
        <v>108</v>
      </c>
      <c r="C43">
        <v>309554098.37039125</v>
      </c>
      <c r="D43">
        <v>314062212.01209879</v>
      </c>
      <c r="E43">
        <v>3645495.4954954968</v>
      </c>
      <c r="F43">
        <v>2508108.1081081131</v>
      </c>
      <c r="G43">
        <v>70</v>
      </c>
      <c r="H43">
        <v>107</v>
      </c>
      <c r="K43">
        <v>89</v>
      </c>
      <c r="L43">
        <v>162</v>
      </c>
      <c r="M43">
        <v>246781531.53153151</v>
      </c>
      <c r="N43">
        <v>19944144.144144144</v>
      </c>
      <c r="O43">
        <v>77605563.063063055</v>
      </c>
      <c r="P43">
        <v>93331756.756756753</v>
      </c>
      <c r="Q43">
        <v>192442342.34234235</v>
      </c>
      <c r="R43">
        <v>56930720.720720723</v>
      </c>
      <c r="S43">
        <v>14331</v>
      </c>
      <c r="T43">
        <v>13495</v>
      </c>
    </row>
    <row r="44" spans="1:20" x14ac:dyDescent="0.35">
      <c r="A44" s="7" t="s">
        <v>110</v>
      </c>
      <c r="B44" s="12" t="s">
        <v>111</v>
      </c>
      <c r="C44">
        <v>378332324.37749779</v>
      </c>
      <c r="D44">
        <v>358351421.44775581</v>
      </c>
      <c r="E44">
        <v>2028018.0180180219</v>
      </c>
      <c r="F44">
        <v>4215315.3153153211</v>
      </c>
      <c r="G44">
        <v>63</v>
      </c>
      <c r="H44">
        <v>90</v>
      </c>
      <c r="K44">
        <v>77</v>
      </c>
      <c r="L44">
        <v>202</v>
      </c>
      <c r="M44">
        <v>29552432.432432432</v>
      </c>
      <c r="N44">
        <v>35193898.198198199</v>
      </c>
      <c r="O44">
        <v>115276405.4054054</v>
      </c>
      <c r="P44">
        <v>124214495.4954955</v>
      </c>
      <c r="Q44">
        <v>27908918.918918919</v>
      </c>
      <c r="R44">
        <v>32832432.432432432</v>
      </c>
      <c r="S44">
        <v>19706</v>
      </c>
      <c r="T44">
        <v>19160</v>
      </c>
    </row>
    <row r="45" spans="1:20" x14ac:dyDescent="0.35">
      <c r="A45" s="7" t="s">
        <v>112</v>
      </c>
      <c r="B45" s="12" t="s">
        <v>111</v>
      </c>
      <c r="C45">
        <v>466876207.05867064</v>
      </c>
      <c r="D45">
        <v>469378467.27679509</v>
      </c>
      <c r="E45">
        <v>8863423.4234234262</v>
      </c>
      <c r="F45">
        <v>6584684.684684692</v>
      </c>
      <c r="G45">
        <v>99</v>
      </c>
      <c r="H45">
        <v>185</v>
      </c>
      <c r="I45">
        <v>1</v>
      </c>
      <c r="K45">
        <v>119</v>
      </c>
      <c r="L45">
        <v>269</v>
      </c>
      <c r="M45">
        <v>35451171.171171166</v>
      </c>
      <c r="N45">
        <v>38945868.468468472</v>
      </c>
      <c r="O45">
        <v>155414819.81981981</v>
      </c>
      <c r="P45">
        <v>171166216.21621624</v>
      </c>
      <c r="Q45">
        <v>28618738.738738734</v>
      </c>
      <c r="R45">
        <v>38268108.108108111</v>
      </c>
      <c r="S45">
        <v>27251</v>
      </c>
      <c r="T45">
        <v>27188</v>
      </c>
    </row>
    <row r="46" spans="1:20" x14ac:dyDescent="0.35">
      <c r="A46" s="7" t="s">
        <v>113</v>
      </c>
      <c r="B46" s="12" t="s">
        <v>111</v>
      </c>
      <c r="C46">
        <v>320973126.50043726</v>
      </c>
      <c r="D46">
        <v>579556040.10772741</v>
      </c>
      <c r="E46">
        <v>8006306.30630631</v>
      </c>
      <c r="F46">
        <v>2987162.162162174</v>
      </c>
      <c r="G46">
        <v>75</v>
      </c>
      <c r="H46">
        <v>109</v>
      </c>
      <c r="I46">
        <v>2</v>
      </c>
      <c r="K46">
        <v>86</v>
      </c>
      <c r="L46">
        <v>257</v>
      </c>
      <c r="M46">
        <v>24979909.909909908</v>
      </c>
      <c r="N46">
        <v>21254249.54954955</v>
      </c>
      <c r="O46">
        <v>95277459.459459454</v>
      </c>
      <c r="P46">
        <v>529506890.0900901</v>
      </c>
      <c r="Q46">
        <v>21824864.864864863</v>
      </c>
      <c r="R46">
        <v>22183873.873873875</v>
      </c>
      <c r="S46">
        <v>14699</v>
      </c>
      <c r="T46">
        <v>14624</v>
      </c>
    </row>
    <row r="47" spans="1:20" x14ac:dyDescent="0.35">
      <c r="A47" s="7" t="s">
        <v>114</v>
      </c>
      <c r="B47" s="12" t="s">
        <v>111</v>
      </c>
      <c r="C47">
        <v>373207149.22336429</v>
      </c>
      <c r="D47">
        <v>376861725.87856859</v>
      </c>
      <c r="E47">
        <v>25703153.153153155</v>
      </c>
      <c r="F47">
        <v>85918603.603603616</v>
      </c>
      <c r="G47">
        <v>91</v>
      </c>
      <c r="H47">
        <v>136</v>
      </c>
      <c r="I47">
        <v>9</v>
      </c>
      <c r="K47">
        <v>323</v>
      </c>
      <c r="L47">
        <v>263</v>
      </c>
      <c r="M47">
        <v>29064189.189189184</v>
      </c>
      <c r="N47">
        <v>34233693.693693697</v>
      </c>
      <c r="O47">
        <v>103825153.15315315</v>
      </c>
      <c r="P47">
        <v>105987360.36036035</v>
      </c>
      <c r="Q47">
        <v>26748468.468468465</v>
      </c>
      <c r="R47">
        <v>29720990.990990993</v>
      </c>
      <c r="S47">
        <v>20507</v>
      </c>
      <c r="T47">
        <v>19431</v>
      </c>
    </row>
    <row r="48" spans="1:20" x14ac:dyDescent="0.35">
      <c r="A48" s="7" t="s">
        <v>115</v>
      </c>
      <c r="B48" s="12" t="s">
        <v>111</v>
      </c>
      <c r="C48">
        <v>489696168.66794306</v>
      </c>
      <c r="D48">
        <v>468927383.25670618</v>
      </c>
      <c r="E48">
        <v>4833786.486486489</v>
      </c>
      <c r="F48">
        <v>23738560.360360362</v>
      </c>
      <c r="G48">
        <v>162</v>
      </c>
      <c r="H48">
        <v>220</v>
      </c>
      <c r="I48">
        <v>1</v>
      </c>
      <c r="K48">
        <v>201</v>
      </c>
      <c r="L48">
        <v>358</v>
      </c>
      <c r="M48">
        <v>93343873.873873875</v>
      </c>
      <c r="N48">
        <v>109504114.41441442</v>
      </c>
      <c r="O48">
        <v>117762990.990991</v>
      </c>
      <c r="P48">
        <v>151425313.51351351</v>
      </c>
      <c r="Q48">
        <v>74578198.198198199</v>
      </c>
      <c r="R48">
        <v>80197700.9009009</v>
      </c>
      <c r="S48">
        <v>24561</v>
      </c>
      <c r="T48">
        <v>24659</v>
      </c>
    </row>
    <row r="49" spans="1:20" x14ac:dyDescent="0.35">
      <c r="A49" s="7" t="s">
        <v>116</v>
      </c>
      <c r="B49" s="12" t="s">
        <v>54</v>
      </c>
      <c r="C49">
        <v>25671008.598536745</v>
      </c>
      <c r="D49">
        <v>24566230.130443953</v>
      </c>
      <c r="E49">
        <v>313513.51351351303</v>
      </c>
      <c r="F49">
        <v>729504.50450450496</v>
      </c>
      <c r="G49">
        <v>1</v>
      </c>
      <c r="H49">
        <v>8</v>
      </c>
      <c r="K49">
        <v>2</v>
      </c>
      <c r="L49">
        <v>8</v>
      </c>
      <c r="M49">
        <v>2917117.1171171172</v>
      </c>
      <c r="N49">
        <v>2936936.9369369359</v>
      </c>
      <c r="O49">
        <v>6103594.594594595</v>
      </c>
      <c r="P49">
        <v>5743450.4504504502</v>
      </c>
      <c r="Q49">
        <v>2643783.7837837841</v>
      </c>
      <c r="R49">
        <v>1925315.315315315</v>
      </c>
      <c r="S49">
        <v>1138</v>
      </c>
      <c r="T49">
        <v>1058</v>
      </c>
    </row>
    <row r="50" spans="1:20" x14ac:dyDescent="0.35">
      <c r="A50" s="7" t="s">
        <v>118</v>
      </c>
      <c r="B50" s="12" t="s">
        <v>78</v>
      </c>
      <c r="C50">
        <v>221260765.1701158</v>
      </c>
      <c r="D50">
        <v>213007660.01791736</v>
      </c>
      <c r="E50">
        <v>196303581.98198199</v>
      </c>
      <c r="F50">
        <v>264746215.31531534</v>
      </c>
      <c r="G50">
        <v>57</v>
      </c>
      <c r="H50">
        <v>63</v>
      </c>
      <c r="I50">
        <v>1</v>
      </c>
      <c r="K50">
        <v>78</v>
      </c>
      <c r="L50">
        <v>102</v>
      </c>
      <c r="M50">
        <v>34740270.270270266</v>
      </c>
      <c r="N50">
        <v>52303603.603603609</v>
      </c>
      <c r="O50">
        <v>80344630.630630627</v>
      </c>
      <c r="P50">
        <v>84968513.51351352</v>
      </c>
      <c r="Q50">
        <v>32507837.837837838</v>
      </c>
      <c r="R50">
        <v>50390000</v>
      </c>
      <c r="S50">
        <v>11559</v>
      </c>
      <c r="T50">
        <v>11419</v>
      </c>
    </row>
    <row r="51" spans="1:20" x14ac:dyDescent="0.35">
      <c r="A51" s="7" t="s">
        <v>119</v>
      </c>
      <c r="B51" s="12" t="s">
        <v>50</v>
      </c>
      <c r="C51">
        <v>69883368.872681752</v>
      </c>
      <c r="D51">
        <v>67241523.380308837</v>
      </c>
      <c r="E51">
        <v>69369.369369370004</v>
      </c>
      <c r="F51">
        <v>1186486.486486488</v>
      </c>
      <c r="G51">
        <v>36</v>
      </c>
      <c r="H51">
        <v>26</v>
      </c>
      <c r="K51">
        <v>37</v>
      </c>
      <c r="L51">
        <v>29</v>
      </c>
      <c r="M51">
        <v>14439189.18918919</v>
      </c>
      <c r="N51">
        <v>11102252.252252253</v>
      </c>
      <c r="O51">
        <v>23354954.954954956</v>
      </c>
      <c r="P51">
        <v>24471495.495495494</v>
      </c>
      <c r="Q51">
        <v>12881891.891891891</v>
      </c>
      <c r="R51">
        <v>8316756.7567567574</v>
      </c>
      <c r="S51">
        <v>2496</v>
      </c>
      <c r="T51">
        <v>2430</v>
      </c>
    </row>
    <row r="52" spans="1:20" x14ac:dyDescent="0.35">
      <c r="A52" s="7" t="s">
        <v>667</v>
      </c>
      <c r="B52" s="12" t="s">
        <v>224</v>
      </c>
      <c r="E52">
        <v>47297297.297297299</v>
      </c>
      <c r="M52">
        <v>2460810.8108108109</v>
      </c>
      <c r="N52">
        <v>1393468.4684684679</v>
      </c>
    </row>
    <row r="53" spans="1:20" x14ac:dyDescent="0.35">
      <c r="A53" s="7" t="s">
        <v>120</v>
      </c>
      <c r="B53" s="12" t="s">
        <v>121</v>
      </c>
      <c r="C53">
        <v>253769274.09359628</v>
      </c>
      <c r="D53">
        <v>226174314.83263513</v>
      </c>
      <c r="E53">
        <v>603603.60360360297</v>
      </c>
      <c r="F53">
        <v>1810135.13513514</v>
      </c>
      <c r="G53">
        <v>87</v>
      </c>
      <c r="H53">
        <v>81</v>
      </c>
      <c r="K53">
        <v>104</v>
      </c>
      <c r="L53">
        <v>97</v>
      </c>
      <c r="M53">
        <v>5099099.0990990996</v>
      </c>
      <c r="N53">
        <v>7727927.9279279308</v>
      </c>
      <c r="O53">
        <v>16750099.0990991</v>
      </c>
      <c r="P53">
        <v>16599657.657657657</v>
      </c>
      <c r="Q53">
        <v>6542792.7927927906</v>
      </c>
      <c r="R53">
        <v>5511261.261261262</v>
      </c>
      <c r="S53">
        <v>8049</v>
      </c>
      <c r="T53">
        <v>7916</v>
      </c>
    </row>
    <row r="54" spans="1:20" x14ac:dyDescent="0.35">
      <c r="A54" s="7" t="s">
        <v>122</v>
      </c>
      <c r="B54" s="12" t="s">
        <v>123</v>
      </c>
      <c r="C54">
        <v>113451835.80012074</v>
      </c>
      <c r="D54">
        <v>114647895.88132785</v>
      </c>
      <c r="E54">
        <v>310360.36036036001</v>
      </c>
      <c r="F54">
        <v>473648.64864864899</v>
      </c>
      <c r="G54">
        <v>10</v>
      </c>
      <c r="H54">
        <v>16</v>
      </c>
      <c r="K54">
        <v>13</v>
      </c>
      <c r="L54">
        <v>18</v>
      </c>
      <c r="M54">
        <v>27402612.612612613</v>
      </c>
      <c r="N54">
        <v>16626486.486486487</v>
      </c>
      <c r="O54">
        <v>50310223.423423424</v>
      </c>
      <c r="P54">
        <v>50621752.252252258</v>
      </c>
      <c r="Q54">
        <v>26952522.52252252</v>
      </c>
      <c r="R54">
        <v>19369009.009009007</v>
      </c>
      <c r="S54">
        <v>4458</v>
      </c>
      <c r="T54">
        <v>4319</v>
      </c>
    </row>
    <row r="55" spans="1:20" x14ac:dyDescent="0.35">
      <c r="A55" s="7" t="s">
        <v>124</v>
      </c>
      <c r="B55" s="12" t="s">
        <v>125</v>
      </c>
      <c r="C55">
        <v>169114868.19562083</v>
      </c>
      <c r="D55">
        <v>152447485.09622309</v>
      </c>
      <c r="E55">
        <v>266306.30630630802</v>
      </c>
      <c r="F55">
        <v>1400450.4504504539</v>
      </c>
      <c r="G55">
        <v>22</v>
      </c>
      <c r="H55">
        <v>33</v>
      </c>
      <c r="K55">
        <v>23</v>
      </c>
      <c r="L55">
        <v>35</v>
      </c>
      <c r="M55">
        <v>46266666.666666664</v>
      </c>
      <c r="N55">
        <v>24717477.47747748</v>
      </c>
      <c r="O55">
        <v>48717963.963963971</v>
      </c>
      <c r="P55">
        <v>46625818.018018015</v>
      </c>
      <c r="Q55">
        <v>46917027.027027026</v>
      </c>
      <c r="R55">
        <v>28879142.342342339</v>
      </c>
      <c r="S55">
        <v>6597</v>
      </c>
      <c r="T55">
        <v>6412</v>
      </c>
    </row>
    <row r="56" spans="1:20" x14ac:dyDescent="0.35">
      <c r="A56" s="7" t="s">
        <v>126</v>
      </c>
      <c r="B56" s="12" t="s">
        <v>78</v>
      </c>
      <c r="C56">
        <v>105626551.11174528</v>
      </c>
      <c r="D56">
        <v>99104762.051415265</v>
      </c>
      <c r="E56">
        <v>1056486.4864864871</v>
      </c>
      <c r="F56">
        <v>2099999.9999999991</v>
      </c>
      <c r="G56">
        <v>19</v>
      </c>
      <c r="H56">
        <v>27</v>
      </c>
      <c r="K56">
        <v>21</v>
      </c>
      <c r="L56">
        <v>32</v>
      </c>
      <c r="M56">
        <v>18993423.423423421</v>
      </c>
      <c r="N56">
        <v>18289189.189189192</v>
      </c>
      <c r="O56">
        <v>39738117.117117122</v>
      </c>
      <c r="P56">
        <v>39908738.738738738</v>
      </c>
      <c r="Q56">
        <v>18315945.945945945</v>
      </c>
      <c r="R56">
        <v>16176666.666666664</v>
      </c>
      <c r="S56">
        <v>4527</v>
      </c>
      <c r="T56">
        <v>4943</v>
      </c>
    </row>
    <row r="57" spans="1:20" x14ac:dyDescent="0.35">
      <c r="A57" s="7" t="s">
        <v>127</v>
      </c>
      <c r="B57" s="12" t="s">
        <v>78</v>
      </c>
      <c r="C57">
        <v>18950917.381446153</v>
      </c>
      <c r="D57">
        <v>16498871.602239523</v>
      </c>
      <c r="E57">
        <v>10360.360360361001</v>
      </c>
      <c r="F57">
        <v>323423.42342342599</v>
      </c>
      <c r="G57">
        <v>6</v>
      </c>
      <c r="H57">
        <v>7</v>
      </c>
      <c r="I57">
        <v>1</v>
      </c>
      <c r="K57">
        <v>6</v>
      </c>
      <c r="L57">
        <v>8</v>
      </c>
      <c r="M57">
        <v>5064414.4144144142</v>
      </c>
      <c r="N57">
        <v>4584684.6846846854</v>
      </c>
      <c r="O57">
        <v>9587207.2072072066</v>
      </c>
      <c r="P57">
        <v>9304702.7027027048</v>
      </c>
      <c r="Q57">
        <v>3717297.2972972961</v>
      </c>
      <c r="R57">
        <v>6636396.3963963958</v>
      </c>
      <c r="S57">
        <v>1210</v>
      </c>
      <c r="T57">
        <v>1151</v>
      </c>
    </row>
    <row r="58" spans="1:20" x14ac:dyDescent="0.35">
      <c r="A58" s="7" t="s">
        <v>128</v>
      </c>
      <c r="B58" s="12" t="s">
        <v>78</v>
      </c>
      <c r="C58">
        <v>101907706.09212536</v>
      </c>
      <c r="D58">
        <v>96599122.949649155</v>
      </c>
      <c r="E58">
        <v>838738.73873873905</v>
      </c>
      <c r="F58">
        <v>714414.414414417</v>
      </c>
      <c r="G58">
        <v>36</v>
      </c>
      <c r="H58">
        <v>47</v>
      </c>
      <c r="I58">
        <v>1</v>
      </c>
      <c r="K58">
        <v>40</v>
      </c>
      <c r="L58">
        <v>72</v>
      </c>
      <c r="M58">
        <v>11892792.792792792</v>
      </c>
      <c r="N58">
        <v>12092792.792792792</v>
      </c>
      <c r="O58">
        <v>37323702.702702701</v>
      </c>
      <c r="P58">
        <v>38134918.918918923</v>
      </c>
      <c r="Q58">
        <v>10747477.47747748</v>
      </c>
      <c r="R58">
        <v>9062882.8828828819</v>
      </c>
      <c r="S58">
        <v>6154</v>
      </c>
      <c r="T58">
        <v>5696</v>
      </c>
    </row>
    <row r="59" spans="1:20" x14ac:dyDescent="0.35">
      <c r="A59" s="7" t="s">
        <v>129</v>
      </c>
      <c r="B59" s="12" t="s">
        <v>85</v>
      </c>
      <c r="C59">
        <v>32465819.114478011</v>
      </c>
      <c r="D59">
        <v>28351968.934285477</v>
      </c>
      <c r="E59">
        <v>144488515.31531534</v>
      </c>
      <c r="F59">
        <v>123125513.51351352</v>
      </c>
      <c r="G59">
        <v>14</v>
      </c>
      <c r="H59">
        <v>6</v>
      </c>
      <c r="K59">
        <v>14</v>
      </c>
      <c r="L59">
        <v>7</v>
      </c>
      <c r="M59">
        <v>17799099.0990991</v>
      </c>
      <c r="N59">
        <v>23204144.144144144</v>
      </c>
      <c r="O59">
        <v>14626351.351351352</v>
      </c>
      <c r="P59">
        <v>13452189.18918919</v>
      </c>
      <c r="Q59">
        <v>13271801.801801801</v>
      </c>
      <c r="R59">
        <v>15332882.882882882</v>
      </c>
      <c r="S59">
        <v>1251</v>
      </c>
      <c r="T59">
        <v>1235</v>
      </c>
    </row>
    <row r="60" spans="1:20" x14ac:dyDescent="0.35">
      <c r="A60" s="7" t="s">
        <v>130</v>
      </c>
      <c r="B60" s="12" t="s">
        <v>89</v>
      </c>
      <c r="C60">
        <v>275701743.02158636</v>
      </c>
      <c r="D60">
        <v>264341483.16464281</v>
      </c>
      <c r="E60">
        <v>1101801.8018018019</v>
      </c>
      <c r="F60">
        <v>959009.00900901202</v>
      </c>
      <c r="G60">
        <v>28</v>
      </c>
      <c r="H60">
        <v>41</v>
      </c>
      <c r="K60">
        <v>33</v>
      </c>
      <c r="L60">
        <v>48</v>
      </c>
      <c r="M60">
        <v>15697297.297297293</v>
      </c>
      <c r="N60">
        <v>16207837.837837838</v>
      </c>
      <c r="O60">
        <v>79118953.153153151</v>
      </c>
      <c r="P60">
        <v>83729936.936936945</v>
      </c>
      <c r="Q60">
        <v>13334097.297297295</v>
      </c>
      <c r="R60">
        <v>16576126.126126125</v>
      </c>
      <c r="S60">
        <v>9927</v>
      </c>
      <c r="T60">
        <v>10527</v>
      </c>
    </row>
    <row r="61" spans="1:20" x14ac:dyDescent="0.35">
      <c r="A61" s="7" t="s">
        <v>131</v>
      </c>
      <c r="B61" s="12" t="s">
        <v>132</v>
      </c>
      <c r="C61">
        <v>150581459.96701932</v>
      </c>
      <c r="D61">
        <v>132500427.35221416</v>
      </c>
      <c r="E61">
        <v>40280313.513513513</v>
      </c>
      <c r="F61">
        <v>48016274.774774775</v>
      </c>
      <c r="G61">
        <v>52</v>
      </c>
      <c r="H61">
        <v>76</v>
      </c>
      <c r="K61">
        <v>57</v>
      </c>
      <c r="L61">
        <v>82</v>
      </c>
      <c r="M61">
        <v>19012612.612612616</v>
      </c>
      <c r="N61">
        <v>16260585.585585585</v>
      </c>
      <c r="O61">
        <v>47458414.414414413</v>
      </c>
      <c r="P61">
        <v>42489664.414414413</v>
      </c>
      <c r="Q61">
        <v>9205765.7657657675</v>
      </c>
      <c r="R61">
        <v>12067837.837837838</v>
      </c>
      <c r="S61">
        <v>6189</v>
      </c>
      <c r="T61">
        <v>8696</v>
      </c>
    </row>
    <row r="62" spans="1:20" x14ac:dyDescent="0.35">
      <c r="A62" s="7" t="s">
        <v>133</v>
      </c>
      <c r="B62" s="12" t="s">
        <v>134</v>
      </c>
      <c r="C62">
        <v>24615549.499968216</v>
      </c>
      <c r="D62">
        <v>9715032.3788133077</v>
      </c>
      <c r="K62">
        <v>1</v>
      </c>
      <c r="O62">
        <v>3058018.018018018</v>
      </c>
      <c r="P62">
        <v>2082340.5405405411</v>
      </c>
      <c r="S62">
        <v>2211</v>
      </c>
      <c r="T62">
        <v>1452</v>
      </c>
    </row>
    <row r="63" spans="1:20" x14ac:dyDescent="0.35">
      <c r="A63" s="7" t="s">
        <v>135</v>
      </c>
      <c r="B63" s="12" t="s">
        <v>136</v>
      </c>
      <c r="C63">
        <v>126393960.7549658</v>
      </c>
      <c r="D63">
        <v>120855100.91755101</v>
      </c>
      <c r="E63">
        <v>23423.423423423999</v>
      </c>
      <c r="F63">
        <v>409909.90990991099</v>
      </c>
      <c r="G63">
        <v>23</v>
      </c>
      <c r="H63">
        <v>41</v>
      </c>
      <c r="K63">
        <v>29</v>
      </c>
      <c r="L63">
        <v>46</v>
      </c>
      <c r="M63">
        <v>10556756.756756756</v>
      </c>
      <c r="N63">
        <v>8743243.2432432417</v>
      </c>
      <c r="O63">
        <v>20797063.063063063</v>
      </c>
      <c r="P63">
        <v>19496252.252252251</v>
      </c>
      <c r="Q63">
        <v>11372432.432432432</v>
      </c>
      <c r="R63">
        <v>7913603.6036036042</v>
      </c>
      <c r="S63">
        <v>3640</v>
      </c>
      <c r="T63">
        <v>3489</v>
      </c>
    </row>
    <row r="64" spans="1:20" x14ac:dyDescent="0.35">
      <c r="A64" s="7" t="s">
        <v>137</v>
      </c>
      <c r="B64" s="12" t="s">
        <v>89</v>
      </c>
      <c r="C64">
        <v>141046328.74721906</v>
      </c>
      <c r="D64">
        <v>127171588.7927098</v>
      </c>
      <c r="E64">
        <v>97747.747747747999</v>
      </c>
      <c r="F64">
        <v>753828.82882883097</v>
      </c>
      <c r="G64">
        <v>12</v>
      </c>
      <c r="H64">
        <v>25</v>
      </c>
      <c r="I64">
        <v>3</v>
      </c>
      <c r="K64">
        <v>14</v>
      </c>
      <c r="L64">
        <v>27</v>
      </c>
      <c r="M64">
        <v>15328018.018018017</v>
      </c>
      <c r="N64">
        <v>15509729.729729732</v>
      </c>
      <c r="O64">
        <v>45478423.423423424</v>
      </c>
      <c r="P64">
        <v>43543628.828828834</v>
      </c>
      <c r="Q64">
        <v>12816846.846846843</v>
      </c>
      <c r="R64">
        <v>14421261.261261268</v>
      </c>
      <c r="S64">
        <v>4895</v>
      </c>
      <c r="T64">
        <v>4627</v>
      </c>
    </row>
    <row r="65" spans="1:20" x14ac:dyDescent="0.35">
      <c r="A65" s="7" t="s">
        <v>138</v>
      </c>
      <c r="B65" s="12" t="s">
        <v>78</v>
      </c>
      <c r="C65">
        <v>97893427.597602084</v>
      </c>
      <c r="D65">
        <v>95228393.769438416</v>
      </c>
      <c r="E65">
        <v>1256486.4864864871</v>
      </c>
      <c r="F65">
        <v>2770270.2702702731</v>
      </c>
      <c r="G65">
        <v>33</v>
      </c>
      <c r="H65">
        <v>35</v>
      </c>
      <c r="I65">
        <v>1</v>
      </c>
      <c r="K65">
        <v>41</v>
      </c>
      <c r="L65">
        <v>42</v>
      </c>
      <c r="M65">
        <v>13598828.828828828</v>
      </c>
      <c r="N65">
        <v>11833333.333333334</v>
      </c>
      <c r="O65">
        <v>38691666.666666664</v>
      </c>
      <c r="P65">
        <v>40532855.855855852</v>
      </c>
      <c r="Q65">
        <v>11988828.828828832</v>
      </c>
      <c r="R65">
        <v>10440450.45045045</v>
      </c>
      <c r="S65">
        <v>5359</v>
      </c>
      <c r="T65">
        <v>4992</v>
      </c>
    </row>
    <row r="66" spans="1:20" x14ac:dyDescent="0.35">
      <c r="A66" s="7" t="s">
        <v>139</v>
      </c>
      <c r="B66" s="12" t="s">
        <v>140</v>
      </c>
      <c r="C66">
        <v>130012908.0773917</v>
      </c>
      <c r="D66">
        <v>134428642.97644407</v>
      </c>
      <c r="E66">
        <v>955855.85585585702</v>
      </c>
      <c r="F66">
        <v>1347747.7477477479</v>
      </c>
      <c r="G66">
        <v>16</v>
      </c>
      <c r="H66">
        <v>11</v>
      </c>
      <c r="K66">
        <v>18</v>
      </c>
      <c r="L66">
        <v>13</v>
      </c>
      <c r="M66">
        <v>10655405.405405408</v>
      </c>
      <c r="N66">
        <v>15251171.171171172</v>
      </c>
      <c r="O66">
        <v>21452972.97297297</v>
      </c>
      <c r="P66">
        <v>26061846.846846849</v>
      </c>
      <c r="Q66">
        <v>11352522.522522524</v>
      </c>
      <c r="R66">
        <v>12769459.459459458</v>
      </c>
      <c r="S66">
        <v>4446</v>
      </c>
      <c r="T66">
        <v>4774</v>
      </c>
    </row>
    <row r="67" spans="1:20" x14ac:dyDescent="0.35">
      <c r="A67" s="7" t="s">
        <v>141</v>
      </c>
      <c r="B67" s="12" t="s">
        <v>62</v>
      </c>
      <c r="C67">
        <v>90218702.997636363</v>
      </c>
      <c r="D67">
        <v>89115880.040722713</v>
      </c>
      <c r="E67">
        <v>1202702.702702703</v>
      </c>
      <c r="F67">
        <v>959459.45945946197</v>
      </c>
      <c r="G67">
        <v>24</v>
      </c>
      <c r="H67">
        <v>23</v>
      </c>
      <c r="K67">
        <v>31</v>
      </c>
      <c r="L67">
        <v>27</v>
      </c>
      <c r="M67">
        <v>58871981.981981985</v>
      </c>
      <c r="N67">
        <v>57047747.747747742</v>
      </c>
      <c r="O67">
        <v>18866081.081081081</v>
      </c>
      <c r="P67">
        <v>19018639.639639638</v>
      </c>
      <c r="Q67">
        <v>57466396.396396399</v>
      </c>
      <c r="R67">
        <v>56386576.576576576</v>
      </c>
      <c r="S67">
        <v>3956</v>
      </c>
      <c r="T67">
        <v>3929</v>
      </c>
    </row>
    <row r="68" spans="1:20" x14ac:dyDescent="0.35">
      <c r="A68" s="7" t="s">
        <v>142</v>
      </c>
      <c r="B68" s="12" t="s">
        <v>143</v>
      </c>
      <c r="C68">
        <v>1131836.226825268</v>
      </c>
      <c r="D68">
        <v>848276.29776117904</v>
      </c>
      <c r="E68">
        <v>18018.018018018</v>
      </c>
      <c r="H68">
        <v>1</v>
      </c>
      <c r="L68">
        <v>1</v>
      </c>
      <c r="M68">
        <v>18018.018018018</v>
      </c>
      <c r="O68">
        <v>16666.666666666999</v>
      </c>
      <c r="P68">
        <v>94594.594594594993</v>
      </c>
      <c r="S68">
        <v>158</v>
      </c>
      <c r="T68">
        <v>143</v>
      </c>
    </row>
    <row r="69" spans="1:20" x14ac:dyDescent="0.35">
      <c r="A69" s="7" t="s">
        <v>144</v>
      </c>
      <c r="B69" s="12" t="s">
        <v>140</v>
      </c>
      <c r="C69">
        <v>191290501.77807373</v>
      </c>
      <c r="D69">
        <v>193770535.74984035</v>
      </c>
      <c r="E69">
        <v>106126.126126128</v>
      </c>
      <c r="F69">
        <v>889639.63963964197</v>
      </c>
      <c r="G69">
        <v>36</v>
      </c>
      <c r="H69">
        <v>44</v>
      </c>
      <c r="K69">
        <v>41</v>
      </c>
      <c r="L69">
        <v>58</v>
      </c>
      <c r="M69">
        <v>19730900.900900904</v>
      </c>
      <c r="N69">
        <v>22402162.162162159</v>
      </c>
      <c r="O69">
        <v>33793783.783783786</v>
      </c>
      <c r="P69">
        <v>34675459.459459461</v>
      </c>
      <c r="Q69">
        <v>18142612.612612613</v>
      </c>
      <c r="R69">
        <v>19592792.792792793</v>
      </c>
      <c r="S69">
        <v>7516</v>
      </c>
      <c r="T69">
        <v>7703</v>
      </c>
    </row>
    <row r="70" spans="1:20" x14ac:dyDescent="0.35">
      <c r="A70" s="7" t="s">
        <v>145</v>
      </c>
      <c r="B70" s="12" t="s">
        <v>78</v>
      </c>
      <c r="C70">
        <v>134555369.28797594</v>
      </c>
      <c r="D70">
        <v>132751082.64833668</v>
      </c>
      <c r="E70">
        <v>1289909.9099099101</v>
      </c>
      <c r="F70">
        <v>1754954.9549549569</v>
      </c>
      <c r="G70">
        <v>25</v>
      </c>
      <c r="H70">
        <v>45</v>
      </c>
      <c r="K70">
        <v>31</v>
      </c>
      <c r="L70">
        <v>51</v>
      </c>
      <c r="M70">
        <v>15943063.063063061</v>
      </c>
      <c r="N70">
        <v>11313513.513513517</v>
      </c>
      <c r="O70">
        <v>35625306.30630631</v>
      </c>
      <c r="P70">
        <v>37916702.702702701</v>
      </c>
      <c r="Q70">
        <v>16570090.090090089</v>
      </c>
      <c r="R70">
        <v>13493603.6036036</v>
      </c>
      <c r="S70">
        <v>6394</v>
      </c>
      <c r="T70">
        <v>6468</v>
      </c>
    </row>
    <row r="71" spans="1:20" x14ac:dyDescent="0.35">
      <c r="A71" s="7" t="s">
        <v>146</v>
      </c>
      <c r="B71" s="12" t="s">
        <v>147</v>
      </c>
      <c r="C71">
        <v>93352083.098835856</v>
      </c>
      <c r="D71">
        <v>85249334.864710763</v>
      </c>
      <c r="E71">
        <v>88288.288288288997</v>
      </c>
      <c r="F71">
        <v>1550450.4504504511</v>
      </c>
      <c r="G71">
        <v>20</v>
      </c>
      <c r="H71">
        <v>15</v>
      </c>
      <c r="K71">
        <v>21</v>
      </c>
      <c r="L71">
        <v>18</v>
      </c>
      <c r="M71">
        <v>8223063.0630630609</v>
      </c>
      <c r="N71">
        <v>21293693.693693694</v>
      </c>
      <c r="O71">
        <v>24845486.486486487</v>
      </c>
      <c r="P71">
        <v>26455486.486486487</v>
      </c>
      <c r="Q71">
        <v>8848198.1981981955</v>
      </c>
      <c r="R71">
        <v>19762972.97297297</v>
      </c>
      <c r="S71">
        <v>3738</v>
      </c>
      <c r="T71">
        <v>3629</v>
      </c>
    </row>
    <row r="72" spans="1:20" x14ac:dyDescent="0.35">
      <c r="A72" s="7" t="s">
        <v>148</v>
      </c>
      <c r="B72" s="12" t="s">
        <v>94</v>
      </c>
      <c r="D72">
        <v>17.531949365999999</v>
      </c>
      <c r="E72">
        <v>8108108.1081081079</v>
      </c>
      <c r="F72">
        <v>24662162.162162159</v>
      </c>
      <c r="M72">
        <v>3686936.9369369368</v>
      </c>
      <c r="N72">
        <v>3105405.405405405</v>
      </c>
      <c r="T72">
        <v>5</v>
      </c>
    </row>
    <row r="73" spans="1:20" x14ac:dyDescent="0.35">
      <c r="A73" s="7" t="s">
        <v>149</v>
      </c>
      <c r="B73" s="12" t="s">
        <v>50</v>
      </c>
      <c r="C73">
        <v>76706573.611244217</v>
      </c>
      <c r="D73">
        <v>78625173.224882334</v>
      </c>
      <c r="E73">
        <v>223423.423423423</v>
      </c>
      <c r="F73">
        <v>76576.576576577005</v>
      </c>
      <c r="G73">
        <v>15</v>
      </c>
      <c r="H73">
        <v>15</v>
      </c>
      <c r="K73">
        <v>18</v>
      </c>
      <c r="L73">
        <v>15</v>
      </c>
      <c r="M73">
        <v>10210360.36036036</v>
      </c>
      <c r="N73">
        <v>4523693.6936936937</v>
      </c>
      <c r="O73">
        <v>33404054.054054055</v>
      </c>
      <c r="P73">
        <v>34243306.30630631</v>
      </c>
      <c r="Q73">
        <v>10599729.729729729</v>
      </c>
      <c r="R73">
        <v>3927027.0270270281</v>
      </c>
      <c r="S73">
        <v>3209</v>
      </c>
      <c r="T73">
        <v>3482</v>
      </c>
    </row>
    <row r="74" spans="1:20" x14ac:dyDescent="0.35">
      <c r="A74" s="7" t="s">
        <v>150</v>
      </c>
      <c r="B74" s="12" t="s">
        <v>151</v>
      </c>
      <c r="C74">
        <v>25342829.763707291</v>
      </c>
      <c r="D74">
        <v>24551265.418824475</v>
      </c>
      <c r="E74">
        <v>90090.090090090001</v>
      </c>
      <c r="F74">
        <v>75617117.117117122</v>
      </c>
      <c r="G74">
        <v>5</v>
      </c>
      <c r="H74">
        <v>3</v>
      </c>
      <c r="K74">
        <v>7</v>
      </c>
      <c r="L74">
        <v>6</v>
      </c>
      <c r="M74">
        <v>38167477.477477469</v>
      </c>
      <c r="N74">
        <v>18656756.756756756</v>
      </c>
      <c r="O74">
        <v>5497837.8378378376</v>
      </c>
      <c r="P74">
        <v>6170441.441441441</v>
      </c>
      <c r="Q74">
        <v>18401531.531531531</v>
      </c>
      <c r="R74">
        <v>10364324.324324325</v>
      </c>
      <c r="S74">
        <v>713</v>
      </c>
      <c r="T74">
        <v>652</v>
      </c>
    </row>
    <row r="75" spans="1:20" x14ac:dyDescent="0.35">
      <c r="A75" s="7" t="s">
        <v>152</v>
      </c>
      <c r="B75" s="12" t="s">
        <v>151</v>
      </c>
      <c r="C75">
        <v>235416519.18690902</v>
      </c>
      <c r="D75">
        <v>227454151.13412035</v>
      </c>
      <c r="E75">
        <v>105112297.2972973</v>
      </c>
      <c r="F75">
        <v>79554001.801801801</v>
      </c>
      <c r="G75">
        <v>95</v>
      </c>
      <c r="H75">
        <v>119</v>
      </c>
      <c r="K75">
        <v>104</v>
      </c>
      <c r="L75">
        <v>146</v>
      </c>
      <c r="M75">
        <v>253101261.26126125</v>
      </c>
      <c r="N75">
        <v>159272072.07207206</v>
      </c>
      <c r="O75">
        <v>77354718.918918908</v>
      </c>
      <c r="P75">
        <v>77418585.585585579</v>
      </c>
      <c r="Q75">
        <v>204903780.18018019</v>
      </c>
      <c r="R75">
        <v>117424050.45045045</v>
      </c>
      <c r="S75">
        <v>8207</v>
      </c>
      <c r="T75">
        <v>7885</v>
      </c>
    </row>
    <row r="76" spans="1:20" x14ac:dyDescent="0.35">
      <c r="A76" s="7" t="s">
        <v>153</v>
      </c>
      <c r="B76" s="12" t="s">
        <v>154</v>
      </c>
      <c r="C76">
        <v>205237688.00543001</v>
      </c>
      <c r="D76">
        <v>206033624.73397478</v>
      </c>
      <c r="E76">
        <v>84824314.414414421</v>
      </c>
      <c r="F76">
        <v>26118177.47747748</v>
      </c>
      <c r="G76">
        <v>7</v>
      </c>
      <c r="H76">
        <v>31</v>
      </c>
      <c r="K76">
        <v>8</v>
      </c>
      <c r="L76">
        <v>34</v>
      </c>
      <c r="M76">
        <v>33686846.846846849</v>
      </c>
      <c r="N76">
        <v>40997297.297297299</v>
      </c>
      <c r="O76">
        <v>88645989.189189181</v>
      </c>
      <c r="P76">
        <v>83216103.603603601</v>
      </c>
      <c r="Q76">
        <v>25920000</v>
      </c>
      <c r="R76">
        <v>27189549.54954955</v>
      </c>
      <c r="S76">
        <v>7171</v>
      </c>
      <c r="T76">
        <v>7118</v>
      </c>
    </row>
    <row r="77" spans="1:20" x14ac:dyDescent="0.35">
      <c r="A77" s="7" t="s">
        <v>155</v>
      </c>
      <c r="B77" s="12" t="s">
        <v>154</v>
      </c>
      <c r="C77">
        <v>26914666.081829656</v>
      </c>
      <c r="D77">
        <v>21213678.892965779</v>
      </c>
      <c r="E77">
        <v>6784684.6846846854</v>
      </c>
      <c r="F77">
        <v>115225225.22522523</v>
      </c>
      <c r="G77">
        <v>7</v>
      </c>
      <c r="H77">
        <v>5</v>
      </c>
      <c r="K77">
        <v>7</v>
      </c>
      <c r="L77">
        <v>6</v>
      </c>
      <c r="M77">
        <v>1984009.009009009</v>
      </c>
      <c r="N77">
        <v>3337837.8378378372</v>
      </c>
      <c r="O77">
        <v>7088288.2882882878</v>
      </c>
      <c r="P77">
        <v>5250405.405405405</v>
      </c>
      <c r="Q77">
        <v>280630.630630631</v>
      </c>
      <c r="R77">
        <v>2223423.423423423</v>
      </c>
      <c r="S77">
        <v>2180</v>
      </c>
      <c r="T77">
        <v>1981</v>
      </c>
    </row>
    <row r="78" spans="1:20" x14ac:dyDescent="0.35">
      <c r="A78" s="7" t="s">
        <v>156</v>
      </c>
      <c r="B78" s="12" t="s">
        <v>154</v>
      </c>
      <c r="C78">
        <v>267155724.57465243</v>
      </c>
      <c r="D78">
        <v>220940477.3134585</v>
      </c>
      <c r="E78">
        <v>2688288.2882882878</v>
      </c>
      <c r="F78">
        <v>1575900.900900905</v>
      </c>
      <c r="G78">
        <v>37</v>
      </c>
      <c r="H78">
        <v>11</v>
      </c>
      <c r="K78">
        <v>106</v>
      </c>
      <c r="L78">
        <v>16</v>
      </c>
      <c r="M78">
        <v>52236333.333333336</v>
      </c>
      <c r="N78">
        <v>43458558.558558561</v>
      </c>
      <c r="O78">
        <v>101316081.08108109</v>
      </c>
      <c r="P78">
        <v>84701306.306306303</v>
      </c>
      <c r="Q78">
        <v>45712432.432432435</v>
      </c>
      <c r="R78">
        <v>41442702.702702701</v>
      </c>
      <c r="S78">
        <v>8397</v>
      </c>
      <c r="T78">
        <v>11683</v>
      </c>
    </row>
    <row r="79" spans="1:20" x14ac:dyDescent="0.35">
      <c r="A79" s="7" t="s">
        <v>157</v>
      </c>
      <c r="B79" s="12" t="s">
        <v>134</v>
      </c>
      <c r="C79">
        <v>105358896.75607316</v>
      </c>
      <c r="D79">
        <v>103279021.2838188</v>
      </c>
      <c r="E79">
        <v>107016742.34234233</v>
      </c>
      <c r="F79">
        <v>122923396.3963964</v>
      </c>
      <c r="G79">
        <v>25</v>
      </c>
      <c r="H79">
        <v>19</v>
      </c>
      <c r="I79">
        <v>1</v>
      </c>
      <c r="K79">
        <v>26</v>
      </c>
      <c r="L79">
        <v>25</v>
      </c>
      <c r="M79">
        <v>24037837.837837841</v>
      </c>
      <c r="N79">
        <v>12162162.162162162</v>
      </c>
      <c r="O79">
        <v>9088108.1081081089</v>
      </c>
      <c r="P79">
        <v>11413540.540540542</v>
      </c>
      <c r="Q79">
        <v>3793693.6936936951</v>
      </c>
      <c r="R79">
        <v>2664684.6846846859</v>
      </c>
      <c r="S79">
        <v>4456</v>
      </c>
      <c r="T79">
        <v>4451</v>
      </c>
    </row>
    <row r="80" spans="1:20" x14ac:dyDescent="0.35">
      <c r="A80" s="7" t="s">
        <v>1</v>
      </c>
      <c r="B80" s="12" t="s">
        <v>158</v>
      </c>
      <c r="C80">
        <v>191644264.19710174</v>
      </c>
      <c r="D80">
        <v>183948871.40227953</v>
      </c>
      <c r="E80">
        <v>450749735.13513517</v>
      </c>
      <c r="F80">
        <v>283368073.87387389</v>
      </c>
      <c r="G80">
        <v>44</v>
      </c>
      <c r="H80">
        <v>13</v>
      </c>
      <c r="I80">
        <v>1</v>
      </c>
      <c r="K80">
        <v>351</v>
      </c>
      <c r="L80">
        <v>134</v>
      </c>
      <c r="M80">
        <v>37399013.513513513</v>
      </c>
      <c r="N80">
        <v>43511621.621621624</v>
      </c>
      <c r="O80">
        <v>92551486.48648648</v>
      </c>
      <c r="P80">
        <v>88223756.756756753</v>
      </c>
      <c r="Q80">
        <v>17777747.747747745</v>
      </c>
      <c r="R80">
        <v>20958198.198198196</v>
      </c>
      <c r="S80">
        <v>7955</v>
      </c>
      <c r="T80">
        <v>7988</v>
      </c>
    </row>
    <row r="81" spans="1:20" x14ac:dyDescent="0.35">
      <c r="A81" s="7" t="s">
        <v>159</v>
      </c>
      <c r="B81" s="12" t="s">
        <v>121</v>
      </c>
      <c r="C81">
        <v>7911853.7753665196</v>
      </c>
      <c r="D81">
        <v>7089326.961086629</v>
      </c>
      <c r="G81">
        <v>2</v>
      </c>
      <c r="H81">
        <v>2</v>
      </c>
      <c r="K81">
        <v>2</v>
      </c>
      <c r="L81">
        <v>3</v>
      </c>
      <c r="M81">
        <v>900900.90090090095</v>
      </c>
      <c r="N81">
        <v>3448218.9189189188</v>
      </c>
      <c r="O81">
        <v>747612.61261261301</v>
      </c>
      <c r="P81">
        <v>715675.67567567597</v>
      </c>
      <c r="Q81">
        <v>133603.60360360399</v>
      </c>
      <c r="S81">
        <v>607</v>
      </c>
      <c r="T81">
        <v>461</v>
      </c>
    </row>
    <row r="82" spans="1:20" x14ac:dyDescent="0.35">
      <c r="A82" s="7" t="s">
        <v>160</v>
      </c>
      <c r="B82" s="12" t="s">
        <v>161</v>
      </c>
      <c r="C82">
        <v>93931387.629502565</v>
      </c>
      <c r="D82">
        <v>98409746.423590377</v>
      </c>
      <c r="E82">
        <v>40771233.333333336</v>
      </c>
      <c r="F82">
        <v>53807018.91891893</v>
      </c>
      <c r="G82">
        <v>21</v>
      </c>
      <c r="H82">
        <v>22</v>
      </c>
      <c r="K82">
        <v>64</v>
      </c>
      <c r="L82">
        <v>130</v>
      </c>
      <c r="M82">
        <v>28213243.24324324</v>
      </c>
      <c r="N82">
        <v>25003594.594594609</v>
      </c>
      <c r="O82">
        <v>40448675.675675683</v>
      </c>
      <c r="P82">
        <v>41754864.864864863</v>
      </c>
      <c r="Q82">
        <v>28836486.486486483</v>
      </c>
      <c r="R82">
        <v>18682882.882882897</v>
      </c>
      <c r="S82">
        <v>6035</v>
      </c>
      <c r="T82">
        <v>7256</v>
      </c>
    </row>
    <row r="83" spans="1:20" x14ac:dyDescent="0.35">
      <c r="A83" s="7" t="s">
        <v>162</v>
      </c>
      <c r="B83" s="12" t="s">
        <v>76</v>
      </c>
      <c r="C83">
        <v>44367560.978254013</v>
      </c>
      <c r="D83">
        <v>44034382.883962043</v>
      </c>
      <c r="E83">
        <v>191891.89189189201</v>
      </c>
      <c r="F83">
        <v>270270.27027027</v>
      </c>
      <c r="G83">
        <v>11</v>
      </c>
      <c r="H83">
        <v>9</v>
      </c>
      <c r="K83">
        <v>12</v>
      </c>
      <c r="L83">
        <v>11</v>
      </c>
      <c r="M83">
        <v>926126.12612612604</v>
      </c>
      <c r="N83">
        <v>1054054.054054054</v>
      </c>
      <c r="O83">
        <v>2462837.8378378381</v>
      </c>
      <c r="P83">
        <v>2128288.2882882892</v>
      </c>
      <c r="Q83">
        <v>922612.61261261196</v>
      </c>
      <c r="R83">
        <v>803243.24324324296</v>
      </c>
      <c r="S83">
        <v>968</v>
      </c>
      <c r="T83">
        <v>921</v>
      </c>
    </row>
    <row r="84" spans="1:20" x14ac:dyDescent="0.35">
      <c r="A84" s="7" t="s">
        <v>163</v>
      </c>
      <c r="B84" s="12" t="s">
        <v>52</v>
      </c>
      <c r="C84">
        <v>34049535.487352543</v>
      </c>
      <c r="D84">
        <v>34763641.292794749</v>
      </c>
      <c r="E84">
        <v>277477.47747747699</v>
      </c>
      <c r="F84">
        <v>558558.55855855905</v>
      </c>
      <c r="G84">
        <v>8</v>
      </c>
      <c r="H84">
        <v>10</v>
      </c>
      <c r="K84">
        <v>8</v>
      </c>
      <c r="L84">
        <v>11</v>
      </c>
      <c r="M84">
        <v>812162.16216216201</v>
      </c>
      <c r="N84">
        <v>720720.72072072094</v>
      </c>
      <c r="O84">
        <v>15713198.198198197</v>
      </c>
      <c r="P84">
        <v>16897495.495495494</v>
      </c>
      <c r="Q84">
        <v>795135.13513513398</v>
      </c>
      <c r="R84">
        <v>725135.13513513503</v>
      </c>
      <c r="S84">
        <v>1121</v>
      </c>
      <c r="T84">
        <v>1648</v>
      </c>
    </row>
    <row r="85" spans="1:20" x14ac:dyDescent="0.35">
      <c r="A85" s="7" t="s">
        <v>164</v>
      </c>
      <c r="B85" s="12" t="s">
        <v>87</v>
      </c>
      <c r="C85">
        <v>29877078.287249602</v>
      </c>
      <c r="D85">
        <v>18674455.356131963</v>
      </c>
      <c r="E85">
        <v>36036.036036035999</v>
      </c>
      <c r="F85">
        <v>3630630.630630631</v>
      </c>
      <c r="G85">
        <v>10</v>
      </c>
      <c r="H85">
        <v>7</v>
      </c>
      <c r="K85">
        <v>11</v>
      </c>
      <c r="L85">
        <v>8</v>
      </c>
      <c r="M85">
        <v>1990090.090090089</v>
      </c>
      <c r="N85">
        <v>237837.837837837</v>
      </c>
      <c r="O85">
        <v>2844549.5495495498</v>
      </c>
      <c r="P85">
        <v>1706441.441441441</v>
      </c>
      <c r="Q85">
        <v>2334594.594594595</v>
      </c>
      <c r="R85">
        <v>258918.918918918</v>
      </c>
      <c r="S85">
        <v>1077</v>
      </c>
      <c r="T85">
        <v>1072</v>
      </c>
    </row>
    <row r="86" spans="1:20" x14ac:dyDescent="0.35">
      <c r="A86" s="7" t="s">
        <v>165</v>
      </c>
      <c r="B86" s="12" t="s">
        <v>143</v>
      </c>
      <c r="C86">
        <v>5686797.5563347731</v>
      </c>
      <c r="D86">
        <v>6445526.5448738271</v>
      </c>
      <c r="E86">
        <v>2702.7027027029999</v>
      </c>
      <c r="F86">
        <v>54054.054054054002</v>
      </c>
      <c r="G86">
        <v>5</v>
      </c>
      <c r="H86">
        <v>3</v>
      </c>
      <c r="K86">
        <v>6</v>
      </c>
      <c r="L86">
        <v>3</v>
      </c>
      <c r="M86">
        <v>1327027.027027027</v>
      </c>
      <c r="N86">
        <v>54054.054054054002</v>
      </c>
      <c r="O86">
        <v>632927.92792792805</v>
      </c>
      <c r="P86">
        <v>580135.13513513503</v>
      </c>
      <c r="Q86">
        <v>989189.189189189</v>
      </c>
      <c r="S86">
        <v>318</v>
      </c>
      <c r="T86">
        <v>336</v>
      </c>
    </row>
    <row r="87" spans="1:20" x14ac:dyDescent="0.35">
      <c r="A87" s="7" t="s">
        <v>671</v>
      </c>
      <c r="B87" s="12" t="s">
        <v>143</v>
      </c>
      <c r="E87">
        <v>69106130.630630627</v>
      </c>
      <c r="F87">
        <v>70258277.477477476</v>
      </c>
      <c r="M87">
        <v>7657657.6576576577</v>
      </c>
      <c r="N87">
        <v>7207207.2072072066</v>
      </c>
    </row>
    <row r="88" spans="1:20" x14ac:dyDescent="0.35">
      <c r="A88" s="7" t="s">
        <v>166</v>
      </c>
      <c r="B88" s="12" t="s">
        <v>167</v>
      </c>
      <c r="C88">
        <v>22595631.487763707</v>
      </c>
      <c r="D88">
        <v>25060244.144835256</v>
      </c>
      <c r="E88">
        <v>9909.9099099100004</v>
      </c>
      <c r="F88">
        <v>463963.96396396402</v>
      </c>
      <c r="G88">
        <v>10</v>
      </c>
      <c r="H88">
        <v>6</v>
      </c>
      <c r="K88">
        <v>14</v>
      </c>
      <c r="L88">
        <v>6</v>
      </c>
      <c r="M88">
        <v>2434414.4144144179</v>
      </c>
      <c r="N88">
        <v>2074774.7747747749</v>
      </c>
      <c r="O88">
        <v>12214324.324324325</v>
      </c>
      <c r="P88">
        <v>12169691.891891891</v>
      </c>
      <c r="Q88">
        <v>3031171.1711711739</v>
      </c>
      <c r="R88">
        <v>1793513.5135135129</v>
      </c>
      <c r="S88">
        <v>1305</v>
      </c>
      <c r="T88">
        <v>1320</v>
      </c>
    </row>
    <row r="89" spans="1:20" x14ac:dyDescent="0.35">
      <c r="A89" s="7" t="s">
        <v>168</v>
      </c>
      <c r="B89" s="12" t="s">
        <v>169</v>
      </c>
      <c r="C89">
        <v>106064852.46459799</v>
      </c>
      <c r="D89">
        <v>108076892.99326111</v>
      </c>
      <c r="E89">
        <v>331081.08108108101</v>
      </c>
      <c r="F89">
        <v>1117117.1171171181</v>
      </c>
      <c r="G89">
        <v>13</v>
      </c>
      <c r="H89">
        <v>15</v>
      </c>
      <c r="I89">
        <v>1</v>
      </c>
      <c r="K89">
        <v>19</v>
      </c>
      <c r="L89">
        <v>30</v>
      </c>
      <c r="M89">
        <v>15168918.918918915</v>
      </c>
      <c r="N89">
        <v>22726134.234234232</v>
      </c>
      <c r="O89">
        <v>28990036.036036037</v>
      </c>
      <c r="P89">
        <v>34718029.279279277</v>
      </c>
      <c r="Q89">
        <v>14495315.315315315</v>
      </c>
      <c r="R89">
        <v>20378558.558558561</v>
      </c>
      <c r="S89">
        <v>7041</v>
      </c>
      <c r="T89">
        <v>6466</v>
      </c>
    </row>
    <row r="90" spans="1:20" x14ac:dyDescent="0.35">
      <c r="A90" s="7" t="s">
        <v>170</v>
      </c>
      <c r="B90" s="12" t="s">
        <v>54</v>
      </c>
      <c r="C90">
        <v>16961659.647092372</v>
      </c>
      <c r="D90">
        <v>16988195.379773781</v>
      </c>
      <c r="E90">
        <v>39639.639639640001</v>
      </c>
      <c r="F90">
        <v>284684.68468468502</v>
      </c>
      <c r="G90">
        <v>1</v>
      </c>
      <c r="H90">
        <v>1</v>
      </c>
      <c r="K90">
        <v>2</v>
      </c>
      <c r="L90">
        <v>1</v>
      </c>
      <c r="M90">
        <v>2976576.5765765761</v>
      </c>
      <c r="N90">
        <v>735135.13513513503</v>
      </c>
      <c r="O90">
        <v>2429639.6396396388</v>
      </c>
      <c r="P90">
        <v>2735585.5855855858</v>
      </c>
      <c r="Q90">
        <v>2472522.5225225221</v>
      </c>
      <c r="R90">
        <v>1626846.8468468471</v>
      </c>
      <c r="S90">
        <v>608</v>
      </c>
      <c r="T90">
        <v>674</v>
      </c>
    </row>
    <row r="91" spans="1:20" x14ac:dyDescent="0.35">
      <c r="A91" s="7" t="s">
        <v>171</v>
      </c>
      <c r="B91" s="12" t="s">
        <v>60</v>
      </c>
      <c r="C91">
        <v>365558622.34171182</v>
      </c>
      <c r="D91">
        <v>348713829.03201652</v>
      </c>
      <c r="E91">
        <v>2407207.207207209</v>
      </c>
      <c r="F91">
        <v>3517117.11711712</v>
      </c>
      <c r="G91">
        <v>78</v>
      </c>
      <c r="H91">
        <v>78</v>
      </c>
      <c r="K91">
        <v>90</v>
      </c>
      <c r="L91">
        <v>95</v>
      </c>
      <c r="M91">
        <v>18657657.657657657</v>
      </c>
      <c r="N91">
        <v>16360360.360360363</v>
      </c>
      <c r="O91">
        <v>121032364.86486487</v>
      </c>
      <c r="P91">
        <v>129753576.57657658</v>
      </c>
      <c r="Q91">
        <v>18706756.756756756</v>
      </c>
      <c r="R91">
        <v>16955675.675675675</v>
      </c>
      <c r="S91">
        <v>11913</v>
      </c>
      <c r="T91">
        <v>11936</v>
      </c>
    </row>
    <row r="92" spans="1:20" x14ac:dyDescent="0.35">
      <c r="A92" s="7" t="s">
        <v>172</v>
      </c>
      <c r="B92" s="12" t="s">
        <v>121</v>
      </c>
      <c r="C92">
        <v>143292776.95036811</v>
      </c>
      <c r="D92">
        <v>149150720.36054757</v>
      </c>
      <c r="E92">
        <v>1097297.2972972989</v>
      </c>
      <c r="F92">
        <v>1241441.441441444</v>
      </c>
      <c r="G92">
        <v>66</v>
      </c>
      <c r="H92">
        <v>60</v>
      </c>
      <c r="K92">
        <v>79</v>
      </c>
      <c r="L92">
        <v>70</v>
      </c>
      <c r="M92">
        <v>8890090.0900900885</v>
      </c>
      <c r="N92">
        <v>8824324.3243243247</v>
      </c>
      <c r="O92">
        <v>20109054.054054052</v>
      </c>
      <c r="P92">
        <v>20540261.261261258</v>
      </c>
      <c r="Q92">
        <v>5991801.8018018017</v>
      </c>
      <c r="R92">
        <v>6172162.1621621624</v>
      </c>
      <c r="S92">
        <v>5708</v>
      </c>
      <c r="T92">
        <v>6201</v>
      </c>
    </row>
    <row r="93" spans="1:20" x14ac:dyDescent="0.35">
      <c r="A93" s="7" t="s">
        <v>173</v>
      </c>
      <c r="B93" s="12" t="s">
        <v>174</v>
      </c>
      <c r="C93">
        <v>109519598.39417225</v>
      </c>
      <c r="D93">
        <v>104228396.94669817</v>
      </c>
      <c r="E93">
        <v>60025988.288288288</v>
      </c>
      <c r="F93">
        <v>70660572.972972974</v>
      </c>
      <c r="G93">
        <v>25</v>
      </c>
      <c r="H93">
        <v>24</v>
      </c>
      <c r="K93">
        <v>33</v>
      </c>
      <c r="L93">
        <v>30</v>
      </c>
      <c r="M93">
        <v>18025675.675675675</v>
      </c>
      <c r="N93">
        <v>11179279.279279279</v>
      </c>
      <c r="O93">
        <v>12732243.243243244</v>
      </c>
      <c r="P93">
        <v>11936108.108108109</v>
      </c>
      <c r="Q93">
        <v>7719099.0990990978</v>
      </c>
      <c r="R93">
        <v>8117297.2972972989</v>
      </c>
      <c r="S93">
        <v>4567</v>
      </c>
      <c r="T93">
        <v>4390</v>
      </c>
    </row>
    <row r="94" spans="1:20" x14ac:dyDescent="0.35">
      <c r="A94" s="7" t="s">
        <v>175</v>
      </c>
      <c r="B94" s="12" t="s">
        <v>174</v>
      </c>
      <c r="C94">
        <v>163394035.67673862</v>
      </c>
      <c r="D94">
        <v>165121463.008892</v>
      </c>
      <c r="E94">
        <v>636036.03603603796</v>
      </c>
      <c r="F94">
        <v>705180.18018018501</v>
      </c>
      <c r="G94">
        <v>51</v>
      </c>
      <c r="H94">
        <v>63</v>
      </c>
      <c r="I94">
        <v>1</v>
      </c>
      <c r="K94">
        <v>62</v>
      </c>
      <c r="L94">
        <v>96</v>
      </c>
      <c r="M94">
        <v>23803153.153153151</v>
      </c>
      <c r="N94">
        <v>14036036.036036037</v>
      </c>
      <c r="O94">
        <v>29261645.045045044</v>
      </c>
      <c r="P94">
        <v>26917117.117117114</v>
      </c>
      <c r="Q94">
        <v>18875942.342342347</v>
      </c>
      <c r="R94">
        <v>10982522.522522522</v>
      </c>
      <c r="S94">
        <v>8362</v>
      </c>
      <c r="T94">
        <v>8548</v>
      </c>
    </row>
    <row r="95" spans="1:20" x14ac:dyDescent="0.35">
      <c r="A95" s="7" t="s">
        <v>176</v>
      </c>
      <c r="B95" s="12" t="s">
        <v>174</v>
      </c>
      <c r="C95">
        <v>225618623.66589516</v>
      </c>
      <c r="D95">
        <v>220845582.06307501</v>
      </c>
      <c r="E95">
        <v>388288.28828829201</v>
      </c>
      <c r="F95">
        <v>737162.16216216504</v>
      </c>
      <c r="G95">
        <v>87</v>
      </c>
      <c r="H95">
        <v>55</v>
      </c>
      <c r="I95">
        <v>1</v>
      </c>
      <c r="K95">
        <v>105</v>
      </c>
      <c r="L95">
        <v>76</v>
      </c>
      <c r="M95">
        <v>32706756.756756753</v>
      </c>
      <c r="N95">
        <v>20493693.693693697</v>
      </c>
      <c r="O95">
        <v>41196184.684684686</v>
      </c>
      <c r="P95">
        <v>32603851.351351351</v>
      </c>
      <c r="Q95">
        <v>17443063.063063063</v>
      </c>
      <c r="R95">
        <v>15337927.927927928</v>
      </c>
      <c r="S95">
        <v>11543</v>
      </c>
      <c r="T95">
        <v>12143</v>
      </c>
    </row>
    <row r="96" spans="1:20" x14ac:dyDescent="0.35">
      <c r="A96" s="7" t="s">
        <v>177</v>
      </c>
      <c r="B96" s="12" t="s">
        <v>178</v>
      </c>
      <c r="C96">
        <v>75386105.316505209</v>
      </c>
      <c r="D96">
        <v>69548372.218922868</v>
      </c>
      <c r="E96">
        <v>270270.27027027</v>
      </c>
      <c r="G96">
        <v>16</v>
      </c>
      <c r="H96">
        <v>5</v>
      </c>
      <c r="K96">
        <v>18</v>
      </c>
      <c r="L96">
        <v>7</v>
      </c>
      <c r="M96">
        <v>1818738.7387387389</v>
      </c>
      <c r="N96">
        <v>7830180.180180178</v>
      </c>
      <c r="O96">
        <v>25263243.243243244</v>
      </c>
      <c r="P96">
        <v>27207673.873873871</v>
      </c>
      <c r="Q96">
        <v>1781081.0810810809</v>
      </c>
      <c r="R96">
        <v>8037837.8378378367</v>
      </c>
      <c r="S96">
        <v>3901</v>
      </c>
      <c r="T96">
        <v>6027</v>
      </c>
    </row>
    <row r="97" spans="1:20" x14ac:dyDescent="0.35">
      <c r="A97" s="7" t="s">
        <v>179</v>
      </c>
      <c r="B97" s="12" t="s">
        <v>167</v>
      </c>
      <c r="C97">
        <v>99676364.34624888</v>
      </c>
      <c r="D97">
        <v>83714876.838987753</v>
      </c>
      <c r="E97">
        <v>2359459.4594594599</v>
      </c>
      <c r="F97">
        <v>6459234.2342342352</v>
      </c>
      <c r="G97">
        <v>34</v>
      </c>
      <c r="H97">
        <v>10</v>
      </c>
      <c r="K97">
        <v>41</v>
      </c>
      <c r="L97">
        <v>22</v>
      </c>
      <c r="M97">
        <v>3758018.0180180208</v>
      </c>
      <c r="N97">
        <v>900900.90090090199</v>
      </c>
      <c r="O97">
        <v>25066405.405405402</v>
      </c>
      <c r="P97">
        <v>21573954.954954956</v>
      </c>
      <c r="Q97">
        <v>4533243.2432432463</v>
      </c>
      <c r="R97">
        <v>512612.61261261301</v>
      </c>
      <c r="S97">
        <v>4680</v>
      </c>
      <c r="T97">
        <v>4605</v>
      </c>
    </row>
    <row r="98" spans="1:20" x14ac:dyDescent="0.35">
      <c r="A98" s="7" t="s">
        <v>180</v>
      </c>
      <c r="B98" s="12" t="s">
        <v>181</v>
      </c>
      <c r="C98">
        <v>75494018.234287322</v>
      </c>
      <c r="D98">
        <v>69403116.075276747</v>
      </c>
      <c r="E98">
        <v>47749549.54954955</v>
      </c>
      <c r="F98">
        <v>102702.70270270501</v>
      </c>
      <c r="G98">
        <v>10</v>
      </c>
      <c r="H98">
        <v>17</v>
      </c>
      <c r="K98">
        <v>11</v>
      </c>
      <c r="L98">
        <v>19</v>
      </c>
      <c r="M98">
        <v>13189909.909909911</v>
      </c>
      <c r="N98">
        <v>4405405.4054054059</v>
      </c>
      <c r="O98">
        <v>15894864.864864863</v>
      </c>
      <c r="P98">
        <v>17371750</v>
      </c>
      <c r="Q98">
        <v>6332702.7027027011</v>
      </c>
      <c r="R98">
        <v>4895045.0450450452</v>
      </c>
      <c r="S98">
        <v>3075</v>
      </c>
      <c r="T98">
        <v>2895</v>
      </c>
    </row>
    <row r="99" spans="1:20" x14ac:dyDescent="0.35">
      <c r="A99" s="7" t="s">
        <v>672</v>
      </c>
      <c r="B99" s="12" t="s">
        <v>260</v>
      </c>
      <c r="E99">
        <v>200521462.16216218</v>
      </c>
      <c r="F99">
        <v>165533412.61261261</v>
      </c>
      <c r="N99">
        <v>18360360.360360362</v>
      </c>
    </row>
    <row r="100" spans="1:20" x14ac:dyDescent="0.35">
      <c r="A100" s="7" t="s">
        <v>666</v>
      </c>
      <c r="B100" s="12" t="s">
        <v>68</v>
      </c>
      <c r="E100">
        <v>4504504.5045045046</v>
      </c>
      <c r="F100">
        <v>14054054.054054054</v>
      </c>
      <c r="M100">
        <v>1639189.1891891891</v>
      </c>
      <c r="N100">
        <v>1124324.324324324</v>
      </c>
    </row>
    <row r="101" spans="1:20" x14ac:dyDescent="0.35">
      <c r="A101" s="7" t="s">
        <v>182</v>
      </c>
      <c r="B101" s="12" t="s">
        <v>94</v>
      </c>
      <c r="C101">
        <v>60652344.454493731</v>
      </c>
      <c r="D101">
        <v>77105129.172728941</v>
      </c>
      <c r="E101">
        <v>140540.54054054001</v>
      </c>
      <c r="G101">
        <v>12</v>
      </c>
      <c r="H101">
        <v>18</v>
      </c>
      <c r="K101">
        <v>18</v>
      </c>
      <c r="L101">
        <v>24</v>
      </c>
      <c r="M101">
        <v>140540.54054054001</v>
      </c>
      <c r="N101">
        <v>4423423.4234234234</v>
      </c>
      <c r="O101">
        <v>4537612.6126126116</v>
      </c>
      <c r="P101">
        <v>8369585.5855855849</v>
      </c>
      <c r="Q101">
        <v>397747.74774774798</v>
      </c>
      <c r="R101">
        <v>872072.07207207195</v>
      </c>
      <c r="S101">
        <v>3949</v>
      </c>
      <c r="T101">
        <v>3730</v>
      </c>
    </row>
    <row r="102" spans="1:20" x14ac:dyDescent="0.35">
      <c r="A102" s="7" t="s">
        <v>183</v>
      </c>
      <c r="B102" s="12" t="s">
        <v>94</v>
      </c>
      <c r="C102">
        <v>452054170.45755321</v>
      </c>
      <c r="D102">
        <v>433214663.67719442</v>
      </c>
      <c r="E102">
        <v>451994054.05405408</v>
      </c>
      <c r="F102">
        <v>599473521.62162161</v>
      </c>
      <c r="G102">
        <v>92</v>
      </c>
      <c r="H102">
        <v>84</v>
      </c>
      <c r="K102">
        <v>118</v>
      </c>
      <c r="L102">
        <v>113</v>
      </c>
      <c r="M102">
        <v>24128378.378378376</v>
      </c>
      <c r="N102">
        <v>24395045.045045048</v>
      </c>
      <c r="O102">
        <v>51444346.846846849</v>
      </c>
      <c r="P102">
        <v>53596259.009009011</v>
      </c>
      <c r="Q102">
        <v>20943873.873873871</v>
      </c>
      <c r="R102">
        <v>28399189.189189188</v>
      </c>
      <c r="S102">
        <v>16229</v>
      </c>
      <c r="T102">
        <v>16813</v>
      </c>
    </row>
    <row r="103" spans="1:20" x14ac:dyDescent="0.35">
      <c r="A103" s="7" t="s">
        <v>184</v>
      </c>
      <c r="B103" s="12" t="s">
        <v>89</v>
      </c>
      <c r="C103">
        <v>39103239.563129038</v>
      </c>
      <c r="D103">
        <v>38344675.010813899</v>
      </c>
      <c r="E103">
        <v>416666.66666666599</v>
      </c>
      <c r="F103">
        <v>317792.792792794</v>
      </c>
      <c r="G103">
        <v>7</v>
      </c>
      <c r="H103">
        <v>10</v>
      </c>
      <c r="K103">
        <v>8</v>
      </c>
      <c r="L103">
        <v>10</v>
      </c>
      <c r="M103">
        <v>1655405.405405405</v>
      </c>
      <c r="N103">
        <v>1572072.072072072</v>
      </c>
      <c r="O103">
        <v>11887252.252252253</v>
      </c>
      <c r="P103">
        <v>12954405.405405404</v>
      </c>
      <c r="Q103">
        <v>1726576.576576578</v>
      </c>
      <c r="R103">
        <v>1077387.3873873879</v>
      </c>
      <c r="S103">
        <v>1429</v>
      </c>
      <c r="T103">
        <v>1551</v>
      </c>
    </row>
    <row r="104" spans="1:20" x14ac:dyDescent="0.35">
      <c r="A104" s="7" t="s">
        <v>185</v>
      </c>
      <c r="B104" s="12" t="s">
        <v>60</v>
      </c>
      <c r="C104">
        <v>23297975.526352547</v>
      </c>
      <c r="D104">
        <v>23073419.925791234</v>
      </c>
      <c r="E104">
        <v>360360.36036036001</v>
      </c>
      <c r="F104">
        <v>221621.621621623</v>
      </c>
      <c r="G104">
        <v>3</v>
      </c>
      <c r="H104">
        <v>7</v>
      </c>
      <c r="K104">
        <v>3</v>
      </c>
      <c r="L104">
        <v>8</v>
      </c>
      <c r="M104">
        <v>936936.93693693599</v>
      </c>
      <c r="N104">
        <v>221621.621621623</v>
      </c>
      <c r="O104">
        <v>8035225.2252252251</v>
      </c>
      <c r="P104">
        <v>7779074.3243243247</v>
      </c>
      <c r="Q104">
        <v>795945.94594594603</v>
      </c>
      <c r="R104">
        <v>423423.42342342401</v>
      </c>
      <c r="S104">
        <v>388</v>
      </c>
      <c r="T104">
        <v>817</v>
      </c>
    </row>
    <row r="105" spans="1:20" x14ac:dyDescent="0.35">
      <c r="A105" s="7" t="s">
        <v>186</v>
      </c>
      <c r="B105" s="12" t="s">
        <v>167</v>
      </c>
      <c r="C105">
        <v>49268855.063636713</v>
      </c>
      <c r="D105">
        <v>56855217.318137966</v>
      </c>
      <c r="E105">
        <v>5405.4054054059998</v>
      </c>
      <c r="F105">
        <v>130405.405405406</v>
      </c>
      <c r="G105">
        <v>10</v>
      </c>
      <c r="H105">
        <v>1</v>
      </c>
      <c r="K105">
        <v>13</v>
      </c>
      <c r="L105">
        <v>2</v>
      </c>
      <c r="M105">
        <v>5405.4054054059998</v>
      </c>
      <c r="N105">
        <v>130630.630630632</v>
      </c>
      <c r="O105">
        <v>11652387.387387387</v>
      </c>
      <c r="P105">
        <v>14820234.234234234</v>
      </c>
      <c r="Q105">
        <v>135135.13513513599</v>
      </c>
      <c r="S105">
        <v>2866</v>
      </c>
      <c r="T105">
        <v>2877</v>
      </c>
    </row>
    <row r="106" spans="1:20" x14ac:dyDescent="0.35">
      <c r="A106" s="7" t="s">
        <v>187</v>
      </c>
      <c r="B106" s="12" t="s">
        <v>167</v>
      </c>
      <c r="C106">
        <v>156960647.74923331</v>
      </c>
      <c r="D106">
        <v>153561369.32783172</v>
      </c>
      <c r="E106">
        <v>17117.117117117999</v>
      </c>
      <c r="F106">
        <v>27027.027027028002</v>
      </c>
      <c r="G106">
        <v>37</v>
      </c>
      <c r="H106">
        <v>9</v>
      </c>
      <c r="K106">
        <v>41</v>
      </c>
      <c r="L106">
        <v>12</v>
      </c>
      <c r="M106">
        <v>2629729.7297297302</v>
      </c>
      <c r="N106">
        <v>5535135.1351351393</v>
      </c>
      <c r="O106">
        <v>30939828.828828827</v>
      </c>
      <c r="P106">
        <v>31651108.108108107</v>
      </c>
      <c r="Q106">
        <v>3355945.945945947</v>
      </c>
      <c r="R106">
        <v>3844954.9549549581</v>
      </c>
      <c r="S106">
        <v>6017</v>
      </c>
      <c r="T106">
        <v>5457</v>
      </c>
    </row>
    <row r="107" spans="1:20" x14ac:dyDescent="0.35">
      <c r="A107" s="7" t="s">
        <v>188</v>
      </c>
      <c r="B107" s="12" t="s">
        <v>189</v>
      </c>
      <c r="C107">
        <v>70448746.907939479</v>
      </c>
      <c r="D107">
        <v>67072842.710378945</v>
      </c>
      <c r="E107">
        <v>270270.27027027</v>
      </c>
      <c r="F107">
        <v>270270.27027027</v>
      </c>
      <c r="G107">
        <v>11</v>
      </c>
      <c r="H107">
        <v>17</v>
      </c>
      <c r="K107">
        <v>13</v>
      </c>
      <c r="L107">
        <v>18</v>
      </c>
      <c r="M107">
        <v>1621621.621621622</v>
      </c>
      <c r="N107">
        <v>1171171.1711711709</v>
      </c>
      <c r="O107">
        <v>6141846.8468468478</v>
      </c>
      <c r="P107">
        <v>5168648.6486486495</v>
      </c>
      <c r="Q107">
        <v>1446846.8468468471</v>
      </c>
      <c r="R107">
        <v>985135.13513513503</v>
      </c>
      <c r="S107">
        <v>1789</v>
      </c>
      <c r="T107">
        <v>1690</v>
      </c>
    </row>
    <row r="108" spans="1:20" x14ac:dyDescent="0.35">
      <c r="A108" s="7" t="s">
        <v>190</v>
      </c>
      <c r="B108" s="12" t="s">
        <v>134</v>
      </c>
      <c r="C108">
        <v>15236830.946061792</v>
      </c>
      <c r="D108">
        <v>15858174.19441925</v>
      </c>
      <c r="F108">
        <v>13513.513513514001</v>
      </c>
      <c r="G108">
        <v>6</v>
      </c>
      <c r="H108">
        <v>8</v>
      </c>
      <c r="K108">
        <v>8</v>
      </c>
      <c r="L108">
        <v>10</v>
      </c>
      <c r="N108">
        <v>13513.513513514001</v>
      </c>
      <c r="O108">
        <v>817657.65765765798</v>
      </c>
      <c r="P108">
        <v>1532972.972972973</v>
      </c>
      <c r="R108">
        <v>58558.558558559002</v>
      </c>
      <c r="S108">
        <v>1011</v>
      </c>
      <c r="T108">
        <v>976</v>
      </c>
    </row>
    <row r="109" spans="1:20" x14ac:dyDescent="0.35">
      <c r="A109" s="7" t="s">
        <v>191</v>
      </c>
      <c r="B109" s="12" t="s">
        <v>60</v>
      </c>
      <c r="C109">
        <v>100568246.41914454</v>
      </c>
      <c r="D109">
        <v>96831430.749555841</v>
      </c>
      <c r="E109">
        <v>914414.41441441397</v>
      </c>
      <c r="F109">
        <v>795270.27027026995</v>
      </c>
      <c r="G109">
        <v>14</v>
      </c>
      <c r="H109">
        <v>8</v>
      </c>
      <c r="K109">
        <v>18</v>
      </c>
      <c r="L109">
        <v>24</v>
      </c>
      <c r="M109">
        <v>8373873.8738738727</v>
      </c>
      <c r="N109">
        <v>9525225.2252252288</v>
      </c>
      <c r="O109">
        <v>32270900.900900904</v>
      </c>
      <c r="P109">
        <v>31279009.009009007</v>
      </c>
      <c r="Q109">
        <v>8543423.4234234225</v>
      </c>
      <c r="R109">
        <v>8086486.4864864871</v>
      </c>
      <c r="S109">
        <v>3976</v>
      </c>
      <c r="T109">
        <v>3811</v>
      </c>
    </row>
    <row r="110" spans="1:20" x14ac:dyDescent="0.35">
      <c r="A110" s="7" t="s">
        <v>192</v>
      </c>
      <c r="B110" s="12" t="s">
        <v>60</v>
      </c>
      <c r="C110">
        <v>173959602.92875242</v>
      </c>
      <c r="D110">
        <v>166358771.39107212</v>
      </c>
      <c r="E110">
        <v>1792792.7927927929</v>
      </c>
      <c r="F110">
        <v>1218018.0180180189</v>
      </c>
      <c r="G110">
        <v>20</v>
      </c>
      <c r="H110">
        <v>12</v>
      </c>
      <c r="K110">
        <v>37</v>
      </c>
      <c r="L110">
        <v>22</v>
      </c>
      <c r="M110">
        <v>9689189.1891891882</v>
      </c>
      <c r="N110">
        <v>11848648.648648648</v>
      </c>
      <c r="O110">
        <v>41303558.558558561</v>
      </c>
      <c r="P110">
        <v>43255693.693693697</v>
      </c>
      <c r="Q110">
        <v>7832972.9729729732</v>
      </c>
      <c r="R110">
        <v>8783783.7837837879</v>
      </c>
      <c r="S110">
        <v>6535</v>
      </c>
      <c r="T110">
        <v>6584</v>
      </c>
    </row>
    <row r="111" spans="1:20" x14ac:dyDescent="0.35">
      <c r="A111" s="7" t="s">
        <v>2</v>
      </c>
      <c r="B111" s="12" t="s">
        <v>193</v>
      </c>
      <c r="C111">
        <v>22834765.983763617</v>
      </c>
      <c r="D111">
        <v>13399000.366042772</v>
      </c>
      <c r="E111">
        <v>16682882.882882882</v>
      </c>
      <c r="F111">
        <v>18148648.648648649</v>
      </c>
      <c r="G111">
        <v>4</v>
      </c>
      <c r="H111">
        <v>2</v>
      </c>
      <c r="K111">
        <v>4</v>
      </c>
      <c r="L111">
        <v>2</v>
      </c>
      <c r="M111">
        <v>615540.54054054001</v>
      </c>
      <c r="N111">
        <v>470045.04504504701</v>
      </c>
      <c r="O111">
        <v>11740405.405405404</v>
      </c>
      <c r="P111">
        <v>8428558.558558559</v>
      </c>
      <c r="Q111">
        <v>201351.35135135101</v>
      </c>
      <c r="R111">
        <v>157657.65765765801</v>
      </c>
      <c r="S111">
        <v>1328</v>
      </c>
      <c r="T111">
        <v>1622</v>
      </c>
    </row>
    <row r="112" spans="1:20" x14ac:dyDescent="0.35">
      <c r="A112" s="7" t="s">
        <v>194</v>
      </c>
      <c r="B112" s="12" t="s">
        <v>195</v>
      </c>
      <c r="C112">
        <v>594814526.70920825</v>
      </c>
      <c r="D112">
        <v>595423752.24277377</v>
      </c>
      <c r="E112">
        <v>7268018.0180180185</v>
      </c>
      <c r="F112">
        <v>2542117.117117119</v>
      </c>
      <c r="G112">
        <v>126</v>
      </c>
      <c r="H112">
        <v>120</v>
      </c>
      <c r="K112">
        <v>150</v>
      </c>
      <c r="L112">
        <v>139</v>
      </c>
      <c r="M112">
        <v>26528378.378378376</v>
      </c>
      <c r="N112">
        <v>24352972.972972974</v>
      </c>
      <c r="O112">
        <v>105649540.54054055</v>
      </c>
      <c r="P112">
        <v>116042837.83783785</v>
      </c>
      <c r="Q112">
        <v>24608108.108108107</v>
      </c>
      <c r="R112">
        <v>20961171.171171173</v>
      </c>
      <c r="S112">
        <v>18413</v>
      </c>
      <c r="T112">
        <v>18269</v>
      </c>
    </row>
    <row r="113" spans="1:20" x14ac:dyDescent="0.35">
      <c r="A113" s="7" t="s">
        <v>196</v>
      </c>
      <c r="B113" s="12" t="s">
        <v>80</v>
      </c>
      <c r="C113">
        <v>185081568.78322551</v>
      </c>
      <c r="D113">
        <v>182684169.1806218</v>
      </c>
      <c r="E113">
        <v>215315.31531531599</v>
      </c>
      <c r="F113">
        <v>809909.90990991099</v>
      </c>
      <c r="G113">
        <v>41</v>
      </c>
      <c r="H113">
        <v>44</v>
      </c>
      <c r="K113">
        <v>47</v>
      </c>
      <c r="L113">
        <v>50</v>
      </c>
      <c r="M113">
        <v>25263963.963963963</v>
      </c>
      <c r="N113">
        <v>21260360.360360362</v>
      </c>
      <c r="O113">
        <v>46906972.972972967</v>
      </c>
      <c r="P113">
        <v>50879513.513513513</v>
      </c>
      <c r="Q113">
        <v>22911351.351351351</v>
      </c>
      <c r="R113">
        <v>22631981.981981978</v>
      </c>
      <c r="S113">
        <v>6707</v>
      </c>
      <c r="T113">
        <v>6652</v>
      </c>
    </row>
    <row r="114" spans="1:20" x14ac:dyDescent="0.35">
      <c r="A114" s="7" t="s">
        <v>197</v>
      </c>
      <c r="B114" s="12" t="s">
        <v>108</v>
      </c>
      <c r="C114">
        <v>138683735.3125442</v>
      </c>
      <c r="D114">
        <v>142762123.28649992</v>
      </c>
      <c r="E114">
        <v>211531.53153153401</v>
      </c>
      <c r="F114">
        <v>1372972.9729729751</v>
      </c>
      <c r="G114">
        <v>28</v>
      </c>
      <c r="H114">
        <v>46</v>
      </c>
      <c r="K114">
        <v>37</v>
      </c>
      <c r="L114">
        <v>56</v>
      </c>
      <c r="M114">
        <v>8534954.9549549557</v>
      </c>
      <c r="N114">
        <v>6734234.2342342334</v>
      </c>
      <c r="O114">
        <v>38855045.045045048</v>
      </c>
      <c r="P114">
        <v>42515594.59459459</v>
      </c>
      <c r="Q114">
        <v>7778198.1981981974</v>
      </c>
      <c r="R114">
        <v>7009819.8198198192</v>
      </c>
      <c r="S114">
        <v>7341</v>
      </c>
      <c r="T114">
        <v>7334</v>
      </c>
    </row>
    <row r="115" spans="1:20" x14ac:dyDescent="0.35">
      <c r="A115" s="7" t="s">
        <v>198</v>
      </c>
      <c r="B115" s="12" t="s">
        <v>92</v>
      </c>
      <c r="C115">
        <v>78437994.924980611</v>
      </c>
      <c r="D115">
        <v>77406907.919279665</v>
      </c>
      <c r="E115">
        <v>1682162.1621621631</v>
      </c>
      <c r="F115">
        <v>3277477.4774774802</v>
      </c>
      <c r="G115">
        <v>13</v>
      </c>
      <c r="H115">
        <v>110</v>
      </c>
      <c r="K115">
        <v>14</v>
      </c>
      <c r="L115">
        <v>230</v>
      </c>
      <c r="M115">
        <v>13145225.225225229</v>
      </c>
      <c r="N115">
        <v>24954954.954954956</v>
      </c>
      <c r="O115">
        <v>19206711.711711712</v>
      </c>
      <c r="P115">
        <v>21685513.513513513</v>
      </c>
      <c r="Q115">
        <v>13301441.441441445</v>
      </c>
      <c r="R115">
        <v>20709549.549549554</v>
      </c>
      <c r="S115">
        <v>2901</v>
      </c>
      <c r="T115">
        <v>2829</v>
      </c>
    </row>
    <row r="116" spans="1:20" x14ac:dyDescent="0.35">
      <c r="A116" s="7" t="s">
        <v>199</v>
      </c>
      <c r="B116" s="12" t="s">
        <v>123</v>
      </c>
      <c r="C116">
        <v>82940336.43464911</v>
      </c>
      <c r="D116">
        <v>67903835.243064001</v>
      </c>
      <c r="E116">
        <v>486486.48648648697</v>
      </c>
      <c r="F116">
        <v>41441.441441442003</v>
      </c>
      <c r="G116">
        <v>43</v>
      </c>
      <c r="H116">
        <v>8</v>
      </c>
      <c r="K116">
        <v>48</v>
      </c>
      <c r="L116">
        <v>8</v>
      </c>
      <c r="M116">
        <v>4897297.297297298</v>
      </c>
      <c r="N116">
        <v>944144.14414414403</v>
      </c>
      <c r="O116">
        <v>17661351.351351351</v>
      </c>
      <c r="P116">
        <v>11809855.855855856</v>
      </c>
      <c r="Q116">
        <v>3333963.963963964</v>
      </c>
      <c r="R116">
        <v>2224504.5045045041</v>
      </c>
      <c r="S116">
        <v>2631</v>
      </c>
      <c r="T116">
        <v>2464</v>
      </c>
    </row>
    <row r="117" spans="1:20" x14ac:dyDescent="0.35">
      <c r="A117" s="7" t="s">
        <v>200</v>
      </c>
      <c r="B117" s="12" t="s">
        <v>60</v>
      </c>
      <c r="C117">
        <v>51648361.544677421</v>
      </c>
      <c r="D117">
        <v>48645078.722379893</v>
      </c>
      <c r="E117">
        <v>46846.846846847002</v>
      </c>
      <c r="F117">
        <v>444144.14414414502</v>
      </c>
      <c r="G117">
        <v>11</v>
      </c>
      <c r="H117">
        <v>11</v>
      </c>
      <c r="K117">
        <v>22</v>
      </c>
      <c r="L117">
        <v>11</v>
      </c>
      <c r="M117">
        <v>5181981.9819819797</v>
      </c>
      <c r="N117">
        <v>6921621.6216216218</v>
      </c>
      <c r="O117">
        <v>7606747.7477477482</v>
      </c>
      <c r="P117">
        <v>8718265.7657657675</v>
      </c>
      <c r="Q117">
        <v>3707747.7477477482</v>
      </c>
      <c r="R117">
        <v>3928828.8288288279</v>
      </c>
      <c r="S117">
        <v>3247</v>
      </c>
      <c r="T117">
        <v>3336</v>
      </c>
    </row>
    <row r="118" spans="1:20" x14ac:dyDescent="0.35">
      <c r="A118" s="7" t="s">
        <v>201</v>
      </c>
      <c r="B118" s="12" t="s">
        <v>60</v>
      </c>
      <c r="C118">
        <v>17382501.083262403</v>
      </c>
      <c r="D118">
        <v>16963324.266084015</v>
      </c>
      <c r="E118">
        <v>42522.522522523002</v>
      </c>
      <c r="F118">
        <v>5405.4054054050002</v>
      </c>
      <c r="G118">
        <v>3</v>
      </c>
      <c r="H118">
        <v>5</v>
      </c>
      <c r="K118">
        <v>5</v>
      </c>
      <c r="L118">
        <v>6</v>
      </c>
      <c r="M118">
        <v>375855.85585585597</v>
      </c>
      <c r="N118">
        <v>1383783.783783783</v>
      </c>
      <c r="O118">
        <v>3483468.4684684691</v>
      </c>
      <c r="P118">
        <v>3581378.3783783782</v>
      </c>
      <c r="Q118">
        <v>725675.67567567597</v>
      </c>
      <c r="R118">
        <v>389189.189189189</v>
      </c>
      <c r="S118">
        <v>1382</v>
      </c>
      <c r="T118">
        <v>1199</v>
      </c>
    </row>
    <row r="119" spans="1:20" x14ac:dyDescent="0.35">
      <c r="A119" s="7" t="s">
        <v>202</v>
      </c>
      <c r="B119" s="12" t="s">
        <v>121</v>
      </c>
      <c r="C119">
        <v>36751577.811098941</v>
      </c>
      <c r="D119">
        <v>32891576.383559264</v>
      </c>
      <c r="E119">
        <v>108108.108108108</v>
      </c>
      <c r="F119">
        <v>166666.66666666701</v>
      </c>
      <c r="G119">
        <v>26</v>
      </c>
      <c r="H119">
        <v>22</v>
      </c>
      <c r="K119">
        <v>29</v>
      </c>
      <c r="L119">
        <v>25</v>
      </c>
      <c r="M119">
        <v>108108.108108108</v>
      </c>
      <c r="N119">
        <v>171171.171171172</v>
      </c>
      <c r="O119">
        <v>3549144.1441441448</v>
      </c>
      <c r="P119">
        <v>3303180.180180179</v>
      </c>
      <c r="Q119">
        <v>88738.738738739004</v>
      </c>
      <c r="S119">
        <v>1586</v>
      </c>
      <c r="T119">
        <v>1366</v>
      </c>
    </row>
    <row r="120" spans="1:20" x14ac:dyDescent="0.35">
      <c r="A120" s="7" t="s">
        <v>203</v>
      </c>
      <c r="B120" s="12" t="s">
        <v>54</v>
      </c>
      <c r="C120">
        <v>55398180.727384441</v>
      </c>
      <c r="D120">
        <v>52231421.378769122</v>
      </c>
      <c r="E120">
        <v>319819.81981982</v>
      </c>
      <c r="F120">
        <v>182882.88288288299</v>
      </c>
      <c r="G120">
        <v>9</v>
      </c>
      <c r="H120">
        <v>10</v>
      </c>
      <c r="K120">
        <v>11</v>
      </c>
      <c r="L120">
        <v>10</v>
      </c>
      <c r="M120">
        <v>3581081.0810810798</v>
      </c>
      <c r="N120">
        <v>3169369.3693693699</v>
      </c>
      <c r="O120">
        <v>14366261.261261262</v>
      </c>
      <c r="P120">
        <v>13410693.693693694</v>
      </c>
      <c r="Q120">
        <v>3090990.9909909908</v>
      </c>
      <c r="R120">
        <v>2783693.6936936928</v>
      </c>
      <c r="S120">
        <v>3790</v>
      </c>
      <c r="T120">
        <v>3800</v>
      </c>
    </row>
    <row r="121" spans="1:20" x14ac:dyDescent="0.35">
      <c r="A121" s="7" t="s">
        <v>204</v>
      </c>
      <c r="B121" s="12" t="s">
        <v>136</v>
      </c>
      <c r="C121">
        <v>213618623.8124139</v>
      </c>
      <c r="D121">
        <v>183279396.8977482</v>
      </c>
      <c r="E121">
        <v>265315.31531531498</v>
      </c>
      <c r="F121">
        <v>145945.94594594801</v>
      </c>
      <c r="G121">
        <v>47</v>
      </c>
      <c r="H121">
        <v>21</v>
      </c>
      <c r="K121">
        <v>53</v>
      </c>
      <c r="L121">
        <v>22</v>
      </c>
      <c r="M121">
        <v>19053063.063063063</v>
      </c>
      <c r="N121">
        <v>16299099.099099098</v>
      </c>
      <c r="O121">
        <v>35449819.819819823</v>
      </c>
      <c r="P121">
        <v>35106225.225225225</v>
      </c>
      <c r="Q121">
        <v>19172972.97297297</v>
      </c>
      <c r="R121">
        <v>13513873.873873873</v>
      </c>
      <c r="S121">
        <v>5890</v>
      </c>
      <c r="T121">
        <v>5595</v>
      </c>
    </row>
    <row r="122" spans="1:20" x14ac:dyDescent="0.35">
      <c r="A122" s="7" t="s">
        <v>205</v>
      </c>
      <c r="B122" s="12" t="s">
        <v>136</v>
      </c>
      <c r="C122">
        <v>104988742.20721975</v>
      </c>
      <c r="D122">
        <v>97782596.625361025</v>
      </c>
      <c r="E122">
        <v>276576.57657657599</v>
      </c>
      <c r="F122">
        <v>325225.22522522497</v>
      </c>
      <c r="G122">
        <v>28</v>
      </c>
      <c r="H122">
        <v>12</v>
      </c>
      <c r="K122">
        <v>32</v>
      </c>
      <c r="L122">
        <v>18</v>
      </c>
      <c r="M122">
        <v>4114414.4144144128</v>
      </c>
      <c r="N122">
        <v>2694594.5945945941</v>
      </c>
      <c r="O122">
        <v>17882477.477477476</v>
      </c>
      <c r="P122">
        <v>18748475.675675675</v>
      </c>
      <c r="Q122">
        <v>2850810.81081081</v>
      </c>
      <c r="R122">
        <v>1815045.0450450459</v>
      </c>
      <c r="S122">
        <v>3195</v>
      </c>
      <c r="T122">
        <v>3151</v>
      </c>
    </row>
    <row r="123" spans="1:20" x14ac:dyDescent="0.35">
      <c r="A123" s="7" t="s">
        <v>206</v>
      </c>
      <c r="B123" s="12" t="s">
        <v>169</v>
      </c>
      <c r="C123">
        <v>217231584.14072248</v>
      </c>
      <c r="D123">
        <v>219923240.56382295</v>
      </c>
      <c r="E123">
        <v>339639.63963963999</v>
      </c>
      <c r="F123">
        <v>664864.86486486602</v>
      </c>
      <c r="G123">
        <v>13</v>
      </c>
      <c r="H123">
        <v>8</v>
      </c>
      <c r="K123">
        <v>14</v>
      </c>
      <c r="L123">
        <v>11</v>
      </c>
      <c r="M123">
        <v>611880180.18018019</v>
      </c>
      <c r="N123">
        <v>843215765.76576579</v>
      </c>
      <c r="O123">
        <v>104175981.98198198</v>
      </c>
      <c r="P123">
        <v>102787297.2972973</v>
      </c>
      <c r="Q123">
        <v>502167672.07207209</v>
      </c>
      <c r="R123">
        <v>13229819.819819819</v>
      </c>
      <c r="S123">
        <v>7517</v>
      </c>
      <c r="T123">
        <v>7801</v>
      </c>
    </row>
    <row r="124" spans="1:20" x14ac:dyDescent="0.35">
      <c r="A124" s="7" t="s">
        <v>207</v>
      </c>
      <c r="B124" s="12" t="s">
        <v>161</v>
      </c>
      <c r="C124">
        <v>239707206.30949596</v>
      </c>
      <c r="D124">
        <v>251730969.69407922</v>
      </c>
      <c r="E124">
        <v>998738.73873874405</v>
      </c>
      <c r="F124">
        <v>1436036.036036039</v>
      </c>
      <c r="G124">
        <v>85</v>
      </c>
      <c r="H124">
        <v>60</v>
      </c>
      <c r="K124">
        <v>178</v>
      </c>
      <c r="L124">
        <v>268</v>
      </c>
      <c r="M124">
        <v>31967207.207207199</v>
      </c>
      <c r="N124">
        <v>21070990.990990996</v>
      </c>
      <c r="O124">
        <v>69089765.765765771</v>
      </c>
      <c r="P124">
        <v>72245047.297297299</v>
      </c>
      <c r="Q124">
        <v>29474908.108108096</v>
      </c>
      <c r="R124">
        <v>20770810.810810812</v>
      </c>
      <c r="S124">
        <v>12139</v>
      </c>
      <c r="T124">
        <v>12228</v>
      </c>
    </row>
    <row r="125" spans="1:20" x14ac:dyDescent="0.35">
      <c r="A125" s="7" t="s">
        <v>208</v>
      </c>
      <c r="B125" s="12" t="s">
        <v>76</v>
      </c>
      <c r="C125">
        <v>9421049.2538871989</v>
      </c>
      <c r="D125">
        <v>7700373.4076521257</v>
      </c>
      <c r="G125">
        <v>1</v>
      </c>
      <c r="K125">
        <v>1</v>
      </c>
      <c r="O125">
        <v>392567.56756756798</v>
      </c>
      <c r="P125">
        <v>519009.00900900899</v>
      </c>
      <c r="S125">
        <v>563</v>
      </c>
      <c r="T125">
        <v>487</v>
      </c>
    </row>
    <row r="126" spans="1:20" x14ac:dyDescent="0.35">
      <c r="A126" s="7" t="s">
        <v>209</v>
      </c>
      <c r="B126" s="12" t="s">
        <v>76</v>
      </c>
      <c r="C126">
        <v>115761364.45057729</v>
      </c>
      <c r="D126">
        <v>108496007.05403495</v>
      </c>
      <c r="E126">
        <v>85245942.342342332</v>
      </c>
      <c r="F126">
        <v>31857481.081081085</v>
      </c>
      <c r="G126">
        <v>31</v>
      </c>
      <c r="H126">
        <v>39</v>
      </c>
      <c r="I126">
        <v>3</v>
      </c>
      <c r="K126">
        <v>46</v>
      </c>
      <c r="L126">
        <v>48</v>
      </c>
      <c r="M126">
        <v>9528018.0180180185</v>
      </c>
      <c r="N126">
        <v>13630270.270270268</v>
      </c>
      <c r="O126">
        <v>14996666.666666668</v>
      </c>
      <c r="P126">
        <v>16661162.162162164</v>
      </c>
      <c r="Q126">
        <v>8422882.8828828856</v>
      </c>
      <c r="R126">
        <v>13717747.747747747</v>
      </c>
      <c r="S126">
        <v>4564</v>
      </c>
      <c r="T126">
        <v>4335</v>
      </c>
    </row>
    <row r="127" spans="1:20" x14ac:dyDescent="0.35">
      <c r="A127" s="7" t="s">
        <v>210</v>
      </c>
      <c r="B127" s="12" t="s">
        <v>76</v>
      </c>
      <c r="C127">
        <v>143665559.29536</v>
      </c>
      <c r="D127">
        <v>139724733.9029907</v>
      </c>
      <c r="E127">
        <v>804504.50450450601</v>
      </c>
      <c r="F127">
        <v>1588288.2882882929</v>
      </c>
      <c r="G127">
        <v>67</v>
      </c>
      <c r="H127">
        <v>64</v>
      </c>
      <c r="I127">
        <v>2</v>
      </c>
      <c r="K127">
        <v>82</v>
      </c>
      <c r="L127">
        <v>83</v>
      </c>
      <c r="M127">
        <v>47781081.081081077</v>
      </c>
      <c r="N127">
        <v>45701801.801801801</v>
      </c>
      <c r="O127">
        <v>43622007.20720721</v>
      </c>
      <c r="P127">
        <v>42993576.576576576</v>
      </c>
      <c r="Q127">
        <v>27172655.855855856</v>
      </c>
      <c r="R127">
        <v>36003513.513513513</v>
      </c>
      <c r="S127">
        <v>6967</v>
      </c>
      <c r="T127">
        <v>6975</v>
      </c>
    </row>
    <row r="128" spans="1:20" x14ac:dyDescent="0.35">
      <c r="A128" s="7" t="s">
        <v>211</v>
      </c>
      <c r="B128" s="12" t="s">
        <v>76</v>
      </c>
      <c r="C128">
        <v>94959612.993052721</v>
      </c>
      <c r="D128">
        <v>99459619.639871091</v>
      </c>
      <c r="E128">
        <v>877927.92792792898</v>
      </c>
      <c r="F128">
        <v>967342.34234234504</v>
      </c>
      <c r="G128">
        <v>35</v>
      </c>
      <c r="H128">
        <v>49</v>
      </c>
      <c r="K128">
        <v>46</v>
      </c>
      <c r="L128">
        <v>58</v>
      </c>
      <c r="M128">
        <v>8175225.2252252232</v>
      </c>
      <c r="N128">
        <v>8763963.9639639631</v>
      </c>
      <c r="O128">
        <v>13908000</v>
      </c>
      <c r="P128">
        <v>15798434.684684685</v>
      </c>
      <c r="Q128">
        <v>7883243.2432432417</v>
      </c>
      <c r="R128">
        <v>8115765.7657657657</v>
      </c>
      <c r="S128">
        <v>3969</v>
      </c>
      <c r="T128">
        <v>4424</v>
      </c>
    </row>
    <row r="129" spans="1:20" x14ac:dyDescent="0.35">
      <c r="A129" s="7" t="s">
        <v>212</v>
      </c>
      <c r="B129" s="12" t="s">
        <v>76</v>
      </c>
      <c r="C129">
        <v>39724919.096867219</v>
      </c>
      <c r="D129">
        <v>37427132.114868537</v>
      </c>
      <c r="E129">
        <v>6756.7567567570004</v>
      </c>
      <c r="G129">
        <v>11</v>
      </c>
      <c r="H129">
        <v>3</v>
      </c>
      <c r="K129">
        <v>13</v>
      </c>
      <c r="L129">
        <v>4</v>
      </c>
      <c r="M129">
        <v>817567.56756756804</v>
      </c>
      <c r="N129">
        <v>1204684.6846846831</v>
      </c>
      <c r="O129">
        <v>5271576.5765765756</v>
      </c>
      <c r="P129">
        <v>5571009.0090090083</v>
      </c>
      <c r="Q129">
        <v>461261.26126126101</v>
      </c>
      <c r="R129">
        <v>976306.30630630604</v>
      </c>
      <c r="S129">
        <v>1830</v>
      </c>
      <c r="T129">
        <v>2095</v>
      </c>
    </row>
    <row r="130" spans="1:20" x14ac:dyDescent="0.35">
      <c r="A130" s="7" t="s">
        <v>213</v>
      </c>
      <c r="B130" s="12" t="s">
        <v>214</v>
      </c>
      <c r="C130">
        <v>44710047.671064042</v>
      </c>
      <c r="D130">
        <v>52937885.974459119</v>
      </c>
      <c r="E130">
        <v>76126.126126126997</v>
      </c>
      <c r="F130">
        <v>272072.072072073</v>
      </c>
      <c r="G130">
        <v>8</v>
      </c>
      <c r="H130">
        <v>23</v>
      </c>
      <c r="K130">
        <v>9</v>
      </c>
      <c r="L130">
        <v>25</v>
      </c>
      <c r="M130">
        <v>4642972.9729729751</v>
      </c>
      <c r="N130">
        <v>8144594.5945945941</v>
      </c>
      <c r="O130">
        <v>21258783.783783782</v>
      </c>
      <c r="P130">
        <v>23831441.441441439</v>
      </c>
      <c r="Q130">
        <v>4331441.4414414419</v>
      </c>
      <c r="R130">
        <v>5965675.6756756762</v>
      </c>
      <c r="S130">
        <v>2311</v>
      </c>
      <c r="T130">
        <v>2306</v>
      </c>
    </row>
    <row r="131" spans="1:20" x14ac:dyDescent="0.35">
      <c r="A131" s="7" t="s">
        <v>215</v>
      </c>
      <c r="B131" s="12" t="s">
        <v>167</v>
      </c>
      <c r="C131">
        <v>39659308.39353323</v>
      </c>
      <c r="D131">
        <v>57315384.125277497</v>
      </c>
      <c r="E131">
        <v>6306.3063063070003</v>
      </c>
      <c r="G131">
        <v>3</v>
      </c>
      <c r="H131">
        <v>2</v>
      </c>
      <c r="K131">
        <v>4</v>
      </c>
      <c r="L131">
        <v>3</v>
      </c>
      <c r="M131">
        <v>6306.3063063070003</v>
      </c>
      <c r="N131">
        <v>450450.45045045001</v>
      </c>
      <c r="O131">
        <v>7069234.2342342343</v>
      </c>
      <c r="P131">
        <v>10164396.396396397</v>
      </c>
      <c r="Q131">
        <v>716216.21621621796</v>
      </c>
      <c r="S131">
        <v>1828</v>
      </c>
      <c r="T131">
        <v>1890</v>
      </c>
    </row>
    <row r="132" spans="1:20" x14ac:dyDescent="0.35">
      <c r="A132" s="7" t="s">
        <v>216</v>
      </c>
      <c r="B132" s="12" t="s">
        <v>85</v>
      </c>
      <c r="C132">
        <v>10177352.132740883</v>
      </c>
      <c r="D132">
        <v>13431169.860937249</v>
      </c>
      <c r="E132">
        <v>9909.9099099110008</v>
      </c>
      <c r="F132">
        <v>40540.540540540998</v>
      </c>
      <c r="H132">
        <v>6</v>
      </c>
      <c r="K132">
        <v>1</v>
      </c>
      <c r="L132">
        <v>8</v>
      </c>
      <c r="M132">
        <v>20118018.018018018</v>
      </c>
      <c r="N132">
        <v>24935135.135135137</v>
      </c>
      <c r="O132">
        <v>2931477.4774774769</v>
      </c>
      <c r="P132">
        <v>4049369.3693693699</v>
      </c>
      <c r="Q132">
        <v>14651081.081081079</v>
      </c>
      <c r="R132">
        <v>19350270.270270273</v>
      </c>
      <c r="S132">
        <v>631</v>
      </c>
      <c r="T132">
        <v>683</v>
      </c>
    </row>
    <row r="133" spans="1:20" x14ac:dyDescent="0.35">
      <c r="A133" s="7" t="s">
        <v>217</v>
      </c>
      <c r="B133" s="12" t="s">
        <v>85</v>
      </c>
      <c r="C133">
        <v>54266850.595211864</v>
      </c>
      <c r="D133">
        <v>51843841.473693058</v>
      </c>
      <c r="E133">
        <v>41441.441441442003</v>
      </c>
      <c r="F133">
        <v>205405.405405406</v>
      </c>
      <c r="G133">
        <v>22</v>
      </c>
      <c r="H133">
        <v>19</v>
      </c>
      <c r="K133">
        <v>29</v>
      </c>
      <c r="L133">
        <v>21</v>
      </c>
      <c r="M133">
        <v>7149549.5495495498</v>
      </c>
      <c r="N133">
        <v>10534234.234234236</v>
      </c>
      <c r="O133">
        <v>10391621.621621622</v>
      </c>
      <c r="P133">
        <v>10620756.756756756</v>
      </c>
      <c r="Q133">
        <v>5306216.2162162149</v>
      </c>
      <c r="R133">
        <v>10688558.558558557</v>
      </c>
      <c r="S133">
        <v>2546</v>
      </c>
      <c r="T133">
        <v>2428</v>
      </c>
    </row>
    <row r="134" spans="1:20" x14ac:dyDescent="0.35">
      <c r="A134" s="7" t="s">
        <v>218</v>
      </c>
      <c r="B134" s="12" t="s">
        <v>147</v>
      </c>
      <c r="C134">
        <v>51106242.597587414</v>
      </c>
      <c r="D134">
        <v>48726827.468290173</v>
      </c>
      <c r="E134">
        <v>29729.729729729999</v>
      </c>
      <c r="F134">
        <v>3112612.612612613</v>
      </c>
      <c r="G134">
        <v>9</v>
      </c>
      <c r="H134">
        <v>44</v>
      </c>
      <c r="K134">
        <v>9</v>
      </c>
      <c r="L134">
        <v>73</v>
      </c>
      <c r="M134">
        <v>480180.18018018</v>
      </c>
      <c r="N134">
        <v>19366216.216216218</v>
      </c>
      <c r="O134">
        <v>12565702.702702705</v>
      </c>
      <c r="P134">
        <v>17466459.459459461</v>
      </c>
      <c r="Q134">
        <v>3260720.7207207191</v>
      </c>
      <c r="R134">
        <v>21404144.144144144</v>
      </c>
      <c r="S134">
        <v>2603</v>
      </c>
      <c r="T134">
        <v>2437</v>
      </c>
    </row>
    <row r="135" spans="1:20" x14ac:dyDescent="0.35">
      <c r="A135" s="7" t="s">
        <v>219</v>
      </c>
      <c r="B135" s="12" t="s">
        <v>220</v>
      </c>
      <c r="C135">
        <v>103104049.61371952</v>
      </c>
      <c r="D135">
        <v>97204288.711664826</v>
      </c>
      <c r="E135">
        <v>7330810.8108108109</v>
      </c>
      <c r="F135">
        <v>79876576.576576576</v>
      </c>
      <c r="G135">
        <v>37</v>
      </c>
      <c r="H135">
        <v>22</v>
      </c>
      <c r="K135">
        <v>41</v>
      </c>
      <c r="L135">
        <v>26</v>
      </c>
      <c r="M135">
        <v>151327117.11711711</v>
      </c>
      <c r="N135">
        <v>76034324.324324325</v>
      </c>
      <c r="O135">
        <v>26502189.189189192</v>
      </c>
      <c r="P135">
        <v>24195074.324324325</v>
      </c>
      <c r="Q135">
        <v>176260810.8108108</v>
      </c>
      <c r="R135">
        <v>124909639.63963965</v>
      </c>
      <c r="S135">
        <v>6365</v>
      </c>
      <c r="T135">
        <v>6374</v>
      </c>
    </row>
    <row r="136" spans="1:20" x14ac:dyDescent="0.35">
      <c r="A136" s="7" t="s">
        <v>221</v>
      </c>
      <c r="B136" s="12" t="s">
        <v>52</v>
      </c>
      <c r="C136">
        <v>241276936.9402402</v>
      </c>
      <c r="D136">
        <v>228045883.82073909</v>
      </c>
      <c r="E136">
        <v>1230630.6306306319</v>
      </c>
      <c r="F136">
        <v>1345945.945945947</v>
      </c>
      <c r="G136">
        <v>48</v>
      </c>
      <c r="H136">
        <v>57</v>
      </c>
      <c r="K136">
        <v>54</v>
      </c>
      <c r="L136">
        <v>68</v>
      </c>
      <c r="M136">
        <v>9802972.9729729705</v>
      </c>
      <c r="N136">
        <v>7440540.5405405397</v>
      </c>
      <c r="O136">
        <v>75614054.054054052</v>
      </c>
      <c r="P136">
        <v>74297531.531531543</v>
      </c>
      <c r="Q136">
        <v>9597477.477477476</v>
      </c>
      <c r="R136">
        <v>18336756.756756756</v>
      </c>
      <c r="S136">
        <v>11200</v>
      </c>
      <c r="T136">
        <v>9428</v>
      </c>
    </row>
    <row r="137" spans="1:20" x14ac:dyDescent="0.35">
      <c r="A137" s="7" t="s">
        <v>222</v>
      </c>
      <c r="B137" s="12" t="s">
        <v>76</v>
      </c>
      <c r="C137">
        <v>187170512.98557255</v>
      </c>
      <c r="D137">
        <v>178502940.95506623</v>
      </c>
      <c r="E137">
        <v>78018.018018018993</v>
      </c>
      <c r="F137">
        <v>500000.00000000402</v>
      </c>
      <c r="G137">
        <v>53</v>
      </c>
      <c r="H137">
        <v>39</v>
      </c>
      <c r="K137">
        <v>56</v>
      </c>
      <c r="L137">
        <v>46</v>
      </c>
      <c r="M137">
        <v>12523963.963963961</v>
      </c>
      <c r="N137">
        <v>13067027.027027026</v>
      </c>
      <c r="O137">
        <v>33153178.378378376</v>
      </c>
      <c r="P137">
        <v>34377481.981981978</v>
      </c>
      <c r="Q137">
        <v>10821441.441441443</v>
      </c>
      <c r="R137">
        <v>10541171.17117117</v>
      </c>
      <c r="S137">
        <v>7074</v>
      </c>
      <c r="T137">
        <v>6948</v>
      </c>
    </row>
    <row r="138" spans="1:20" x14ac:dyDescent="0.35">
      <c r="A138" s="7" t="s">
        <v>223</v>
      </c>
      <c r="B138" s="12" t="s">
        <v>224</v>
      </c>
      <c r="C138">
        <v>15602034.487174621</v>
      </c>
      <c r="D138">
        <v>15552621.898920212</v>
      </c>
      <c r="G138">
        <v>2</v>
      </c>
      <c r="K138">
        <v>2</v>
      </c>
      <c r="M138">
        <v>400000</v>
      </c>
      <c r="O138">
        <v>3061531.5315315318</v>
      </c>
      <c r="P138">
        <v>3957324.3243243238</v>
      </c>
      <c r="Q138">
        <v>719369.369369369</v>
      </c>
      <c r="R138">
        <v>398378.37837837799</v>
      </c>
      <c r="S138">
        <v>783</v>
      </c>
      <c r="T138">
        <v>939</v>
      </c>
    </row>
    <row r="139" spans="1:20" x14ac:dyDescent="0.35">
      <c r="A139" s="7" t="s">
        <v>225</v>
      </c>
      <c r="B139" s="12" t="s">
        <v>143</v>
      </c>
      <c r="C139">
        <v>157737283.26896083</v>
      </c>
      <c r="D139">
        <v>146012999.3035799</v>
      </c>
      <c r="E139">
        <v>137837.837837839</v>
      </c>
      <c r="F139">
        <v>2275675.675675679</v>
      </c>
      <c r="G139">
        <v>34</v>
      </c>
      <c r="H139">
        <v>45</v>
      </c>
      <c r="K139">
        <v>41</v>
      </c>
      <c r="L139">
        <v>59</v>
      </c>
      <c r="M139">
        <v>7462162.1621621596</v>
      </c>
      <c r="N139">
        <v>9450450.450450452</v>
      </c>
      <c r="O139">
        <v>16179216.216216216</v>
      </c>
      <c r="P139">
        <v>20753300.9009009</v>
      </c>
      <c r="Q139">
        <v>4943243.2432432408</v>
      </c>
      <c r="R139">
        <v>5464234.2342342325</v>
      </c>
      <c r="S139">
        <v>5732</v>
      </c>
      <c r="T139">
        <v>6049</v>
      </c>
    </row>
    <row r="140" spans="1:20" x14ac:dyDescent="0.35">
      <c r="A140" s="7" t="s">
        <v>226</v>
      </c>
      <c r="B140" s="12" t="s">
        <v>224</v>
      </c>
      <c r="C140">
        <v>18045067.947739869</v>
      </c>
      <c r="D140">
        <v>15987798.011509964</v>
      </c>
      <c r="E140">
        <v>900.900900901</v>
      </c>
      <c r="F140">
        <v>40540.540540542002</v>
      </c>
      <c r="G140">
        <v>3</v>
      </c>
      <c r="H140">
        <v>4</v>
      </c>
      <c r="K140">
        <v>3</v>
      </c>
      <c r="L140">
        <v>4</v>
      </c>
      <c r="M140">
        <v>3061081.0810810812</v>
      </c>
      <c r="N140">
        <v>1936036.036036036</v>
      </c>
      <c r="O140">
        <v>3788963.963963964</v>
      </c>
      <c r="P140">
        <v>4148351.351351351</v>
      </c>
      <c r="Q140">
        <v>1998108.108108107</v>
      </c>
      <c r="R140">
        <v>1264054.054054053</v>
      </c>
      <c r="S140">
        <v>829</v>
      </c>
      <c r="T140">
        <v>733</v>
      </c>
    </row>
    <row r="141" spans="1:20" x14ac:dyDescent="0.35">
      <c r="A141" s="7" t="s">
        <v>227</v>
      </c>
      <c r="B141" s="12" t="s">
        <v>78</v>
      </c>
      <c r="C141">
        <v>144160862.17613611</v>
      </c>
      <c r="D141">
        <v>138718005.64515492</v>
      </c>
      <c r="E141">
        <v>610810.81081081298</v>
      </c>
      <c r="F141">
        <v>1697297.2972972989</v>
      </c>
      <c r="G141">
        <v>18</v>
      </c>
      <c r="H141">
        <v>22</v>
      </c>
      <c r="K141">
        <v>22</v>
      </c>
      <c r="L141">
        <v>26</v>
      </c>
      <c r="M141">
        <v>13160360.36036036</v>
      </c>
      <c r="N141">
        <v>16429189.189189188</v>
      </c>
      <c r="O141">
        <v>54420718.918918923</v>
      </c>
      <c r="P141">
        <v>54153234.234234229</v>
      </c>
      <c r="Q141">
        <v>10811484.684684685</v>
      </c>
      <c r="R141">
        <v>12392882.882882882</v>
      </c>
      <c r="S141">
        <v>4616</v>
      </c>
      <c r="T141">
        <v>4797</v>
      </c>
    </row>
    <row r="142" spans="1:20" x14ac:dyDescent="0.35">
      <c r="A142" s="7" t="s">
        <v>228</v>
      </c>
      <c r="B142" s="12" t="s">
        <v>136</v>
      </c>
      <c r="C142">
        <v>197206378.92745352</v>
      </c>
      <c r="D142">
        <v>181420114.66602996</v>
      </c>
      <c r="E142">
        <v>477927.92792792898</v>
      </c>
      <c r="F142">
        <v>1071621.621621626</v>
      </c>
      <c r="G142">
        <v>40</v>
      </c>
      <c r="H142">
        <v>43</v>
      </c>
      <c r="K142">
        <v>46</v>
      </c>
      <c r="L142">
        <v>53</v>
      </c>
      <c r="M142">
        <v>32424774.774774775</v>
      </c>
      <c r="N142">
        <v>21793693.693693686</v>
      </c>
      <c r="O142">
        <v>40443185.585585587</v>
      </c>
      <c r="P142">
        <v>44728337.837837838</v>
      </c>
      <c r="Q142">
        <v>26962882.882882886</v>
      </c>
      <c r="R142">
        <v>16266216.216216216</v>
      </c>
      <c r="S142">
        <v>7534</v>
      </c>
      <c r="T142">
        <v>7585</v>
      </c>
    </row>
    <row r="143" spans="1:20" x14ac:dyDescent="0.35">
      <c r="A143" s="7" t="s">
        <v>229</v>
      </c>
      <c r="B143" s="12" t="s">
        <v>78</v>
      </c>
      <c r="C143">
        <v>51046368.159978688</v>
      </c>
      <c r="D143">
        <v>53912181.495899513</v>
      </c>
      <c r="E143">
        <v>1132882.8828828819</v>
      </c>
      <c r="F143">
        <v>1330630.6306306301</v>
      </c>
      <c r="G143">
        <v>9</v>
      </c>
      <c r="H143">
        <v>18</v>
      </c>
      <c r="K143">
        <v>11</v>
      </c>
      <c r="L143">
        <v>20</v>
      </c>
      <c r="M143">
        <v>9628378.3783783764</v>
      </c>
      <c r="N143">
        <v>9297747.7477477472</v>
      </c>
      <c r="O143">
        <v>22609324.324324325</v>
      </c>
      <c r="P143">
        <v>25853162.162162159</v>
      </c>
      <c r="Q143">
        <v>8357837.8378378376</v>
      </c>
      <c r="R143">
        <v>9940540.5405405406</v>
      </c>
      <c r="S143">
        <v>2487</v>
      </c>
      <c r="T143">
        <v>2620</v>
      </c>
    </row>
    <row r="144" spans="1:20" x14ac:dyDescent="0.35">
      <c r="A144" s="7" t="s">
        <v>230</v>
      </c>
      <c r="B144" s="12" t="s">
        <v>54</v>
      </c>
      <c r="C144">
        <v>154678200.19949198</v>
      </c>
      <c r="D144">
        <v>148485047.10685623</v>
      </c>
      <c r="E144">
        <v>2702.7027027029999</v>
      </c>
      <c r="F144">
        <v>371171.171171172</v>
      </c>
      <c r="G144">
        <v>12</v>
      </c>
      <c r="H144">
        <v>13</v>
      </c>
      <c r="K144">
        <v>17</v>
      </c>
      <c r="L144">
        <v>16</v>
      </c>
      <c r="M144">
        <v>4513513.5135135129</v>
      </c>
      <c r="N144">
        <v>16231531.531531531</v>
      </c>
      <c r="O144">
        <v>35221531.531531535</v>
      </c>
      <c r="P144">
        <v>37220025.225225225</v>
      </c>
      <c r="Q144">
        <v>5529549.5495495507</v>
      </c>
      <c r="R144">
        <v>19791711.711711712</v>
      </c>
      <c r="S144">
        <v>7003</v>
      </c>
      <c r="T144">
        <v>6708</v>
      </c>
    </row>
    <row r="145" spans="1:20" x14ac:dyDescent="0.35">
      <c r="A145" s="7" t="s">
        <v>231</v>
      </c>
      <c r="B145" s="12" t="s">
        <v>78</v>
      </c>
      <c r="C145">
        <v>59713722.351193607</v>
      </c>
      <c r="D145">
        <v>54958660.119863369</v>
      </c>
      <c r="E145">
        <v>170270.27027027099</v>
      </c>
      <c r="F145">
        <v>1093693.693693697</v>
      </c>
      <c r="G145">
        <v>23</v>
      </c>
      <c r="H145">
        <v>19</v>
      </c>
      <c r="K145">
        <v>27</v>
      </c>
      <c r="L145">
        <v>50</v>
      </c>
      <c r="M145">
        <v>17305405.405405402</v>
      </c>
      <c r="N145">
        <v>12141441.441441439</v>
      </c>
      <c r="O145">
        <v>25732927.927927926</v>
      </c>
      <c r="P145">
        <v>25429468.468468469</v>
      </c>
      <c r="Q145">
        <v>15290900.900900899</v>
      </c>
      <c r="R145">
        <v>11882072.072072072</v>
      </c>
      <c r="S145">
        <v>4039</v>
      </c>
      <c r="T145">
        <v>3854</v>
      </c>
    </row>
    <row r="146" spans="1:20" x14ac:dyDescent="0.35">
      <c r="A146" s="7" t="s">
        <v>232</v>
      </c>
      <c r="B146" s="12" t="s">
        <v>60</v>
      </c>
      <c r="C146">
        <v>52867255.397537902</v>
      </c>
      <c r="D146">
        <v>52230163.067367278</v>
      </c>
      <c r="G146">
        <v>17</v>
      </c>
      <c r="H146">
        <v>14</v>
      </c>
      <c r="K146">
        <v>18</v>
      </c>
      <c r="L146">
        <v>14</v>
      </c>
      <c r="M146">
        <v>81081.081081081007</v>
      </c>
      <c r="O146">
        <v>20669864.864864863</v>
      </c>
      <c r="P146">
        <v>21707477.47747748</v>
      </c>
      <c r="Q146">
        <v>81081.081081081007</v>
      </c>
      <c r="S146">
        <v>1932</v>
      </c>
      <c r="T146">
        <v>1853</v>
      </c>
    </row>
    <row r="147" spans="1:20" x14ac:dyDescent="0.35">
      <c r="A147" s="7" t="s">
        <v>233</v>
      </c>
      <c r="B147" s="12" t="s">
        <v>54</v>
      </c>
      <c r="C147">
        <v>25689816.007676192</v>
      </c>
      <c r="D147">
        <v>24724894.500011563</v>
      </c>
      <c r="E147">
        <v>10810.810810810999</v>
      </c>
      <c r="F147">
        <v>16216.216216217001</v>
      </c>
      <c r="G147">
        <v>7</v>
      </c>
      <c r="H147">
        <v>4</v>
      </c>
      <c r="K147">
        <v>28</v>
      </c>
      <c r="L147">
        <v>4</v>
      </c>
      <c r="M147">
        <v>371171.17117117101</v>
      </c>
      <c r="N147">
        <v>1242522.5225225219</v>
      </c>
      <c r="O147">
        <v>5446981.9819819815</v>
      </c>
      <c r="P147">
        <v>4789684.6846846854</v>
      </c>
      <c r="Q147">
        <v>1328198.1981981981</v>
      </c>
      <c r="R147">
        <v>1163153.1531531529</v>
      </c>
      <c r="S147">
        <v>1046</v>
      </c>
      <c r="T147">
        <v>1531</v>
      </c>
    </row>
    <row r="148" spans="1:20" x14ac:dyDescent="0.35">
      <c r="A148" s="7" t="s">
        <v>234</v>
      </c>
      <c r="B148" s="12" t="s">
        <v>167</v>
      </c>
      <c r="C148">
        <v>124317847.31784385</v>
      </c>
      <c r="D148">
        <v>111566298.31577154</v>
      </c>
      <c r="E148">
        <v>24324.324324323999</v>
      </c>
      <c r="F148">
        <v>310810.810810811</v>
      </c>
      <c r="G148">
        <v>22</v>
      </c>
      <c r="H148">
        <v>8</v>
      </c>
      <c r="K148">
        <v>27</v>
      </c>
      <c r="L148">
        <v>10</v>
      </c>
      <c r="M148">
        <v>9860360.3603603598</v>
      </c>
      <c r="N148">
        <v>7121621.6216216218</v>
      </c>
      <c r="O148">
        <v>32752936.936936937</v>
      </c>
      <c r="P148">
        <v>30993468.468468469</v>
      </c>
      <c r="Q148">
        <v>6418241.44144144</v>
      </c>
      <c r="R148">
        <v>5635945.9459459446</v>
      </c>
      <c r="S148">
        <v>5025</v>
      </c>
      <c r="T148">
        <v>5000</v>
      </c>
    </row>
    <row r="149" spans="1:20" x14ac:dyDescent="0.35">
      <c r="A149" s="7" t="s">
        <v>235</v>
      </c>
      <c r="B149" s="12" t="s">
        <v>236</v>
      </c>
      <c r="C149">
        <v>6185.0602862180003</v>
      </c>
      <c r="D149">
        <v>83.347957742000006</v>
      </c>
      <c r="P149">
        <v>9009.0090090089998</v>
      </c>
      <c r="T149">
        <v>4</v>
      </c>
    </row>
    <row r="150" spans="1:20" x14ac:dyDescent="0.35">
      <c r="A150" s="7" t="s">
        <v>237</v>
      </c>
      <c r="B150" s="12" t="s">
        <v>105</v>
      </c>
      <c r="C150">
        <v>71463864.826047599</v>
      </c>
      <c r="D150">
        <v>67174186.312879652</v>
      </c>
      <c r="E150">
        <v>253963.96396396501</v>
      </c>
      <c r="F150">
        <v>113513.513513514</v>
      </c>
      <c r="G150">
        <v>11</v>
      </c>
      <c r="H150">
        <v>9</v>
      </c>
      <c r="K150">
        <v>12</v>
      </c>
      <c r="L150">
        <v>10</v>
      </c>
      <c r="M150">
        <v>6020450.4504504502</v>
      </c>
      <c r="N150">
        <v>7320720.7207207214</v>
      </c>
      <c r="O150">
        <v>20737648.648648649</v>
      </c>
      <c r="P150">
        <v>19153882.882882878</v>
      </c>
      <c r="Q150">
        <v>7647027.0270270268</v>
      </c>
      <c r="R150">
        <v>7230540.5405405406</v>
      </c>
      <c r="S150">
        <v>2030</v>
      </c>
      <c r="T150">
        <v>2678</v>
      </c>
    </row>
    <row r="151" spans="1:20" x14ac:dyDescent="0.35">
      <c r="A151" s="7" t="s">
        <v>3</v>
      </c>
      <c r="B151" s="12" t="s">
        <v>158</v>
      </c>
      <c r="C151">
        <v>144164649.64697832</v>
      </c>
      <c r="D151">
        <v>138340539.59851283</v>
      </c>
      <c r="E151">
        <v>1513963.963963967</v>
      </c>
      <c r="F151">
        <v>2074774.774774777</v>
      </c>
      <c r="G151">
        <v>21</v>
      </c>
      <c r="H151">
        <v>11</v>
      </c>
      <c r="K151">
        <v>25</v>
      </c>
      <c r="L151">
        <v>15</v>
      </c>
      <c r="M151">
        <v>30098648.648648649</v>
      </c>
      <c r="N151">
        <v>21102702.702702705</v>
      </c>
      <c r="O151">
        <v>36606441.441441439</v>
      </c>
      <c r="P151">
        <v>39358801.801801801</v>
      </c>
      <c r="Q151">
        <v>28126486.486486487</v>
      </c>
      <c r="R151">
        <v>20983423.423423424</v>
      </c>
      <c r="S151">
        <v>3770</v>
      </c>
      <c r="T151">
        <v>3555</v>
      </c>
    </row>
    <row r="152" spans="1:20" x14ac:dyDescent="0.35">
      <c r="A152" s="7" t="s">
        <v>238</v>
      </c>
      <c r="B152" s="12" t="s">
        <v>178</v>
      </c>
      <c r="C152">
        <v>116209056.71938901</v>
      </c>
      <c r="D152">
        <v>108851372.4572774</v>
      </c>
      <c r="E152">
        <v>40540.540540540998</v>
      </c>
      <c r="F152">
        <v>332432.432432434</v>
      </c>
      <c r="G152">
        <v>20</v>
      </c>
      <c r="H152">
        <v>26</v>
      </c>
      <c r="K152">
        <v>26</v>
      </c>
      <c r="L152">
        <v>32</v>
      </c>
      <c r="M152">
        <v>16572072.072072072</v>
      </c>
      <c r="N152">
        <v>15512612.612612616</v>
      </c>
      <c r="O152">
        <v>35312108.108108111</v>
      </c>
      <c r="P152">
        <v>32888378.378378376</v>
      </c>
      <c r="Q152">
        <v>8968108.1081081089</v>
      </c>
      <c r="R152">
        <v>12390810.810810812</v>
      </c>
      <c r="S152">
        <v>5619</v>
      </c>
      <c r="T152">
        <v>5050</v>
      </c>
    </row>
    <row r="153" spans="1:20" x14ac:dyDescent="0.35">
      <c r="A153" s="7" t="s">
        <v>239</v>
      </c>
      <c r="B153" s="12" t="s">
        <v>54</v>
      </c>
      <c r="C153">
        <v>81281213.790608659</v>
      </c>
      <c r="D153">
        <v>76299478.829139158</v>
      </c>
      <c r="E153">
        <v>819459.45945945894</v>
      </c>
      <c r="F153">
        <v>1276576.576576578</v>
      </c>
      <c r="G153">
        <v>6</v>
      </c>
      <c r="H153">
        <v>13</v>
      </c>
      <c r="K153">
        <v>10</v>
      </c>
      <c r="L153">
        <v>14</v>
      </c>
      <c r="M153">
        <v>7856396.3963963958</v>
      </c>
      <c r="N153">
        <v>10673333.333333332</v>
      </c>
      <c r="O153">
        <v>21780890.090090092</v>
      </c>
      <c r="P153">
        <v>20922016.216216218</v>
      </c>
      <c r="Q153">
        <v>8416439.6396396384</v>
      </c>
      <c r="R153">
        <v>8567610.8108108137</v>
      </c>
      <c r="S153">
        <v>3563</v>
      </c>
      <c r="T153">
        <v>3367</v>
      </c>
    </row>
    <row r="154" spans="1:20" x14ac:dyDescent="0.35">
      <c r="A154" s="7" t="s">
        <v>240</v>
      </c>
      <c r="B154" s="12" t="s">
        <v>241</v>
      </c>
      <c r="C154">
        <v>69000980.234483048</v>
      </c>
      <c r="D154">
        <v>65639893.563708991</v>
      </c>
      <c r="E154">
        <v>145045.04504504599</v>
      </c>
      <c r="F154">
        <v>38788288.288288288</v>
      </c>
      <c r="G154">
        <v>34</v>
      </c>
      <c r="H154">
        <v>27</v>
      </c>
      <c r="K154">
        <v>41</v>
      </c>
      <c r="L154">
        <v>32</v>
      </c>
      <c r="M154">
        <v>54145135.135135137</v>
      </c>
      <c r="N154">
        <v>6366846.8468468487</v>
      </c>
      <c r="O154">
        <v>16596576.576576577</v>
      </c>
      <c r="P154">
        <v>15405133.333333332</v>
      </c>
      <c r="Q154">
        <v>59428468.468468465</v>
      </c>
      <c r="R154">
        <v>4304684.6846846873</v>
      </c>
      <c r="S154">
        <v>2856</v>
      </c>
      <c r="T154">
        <v>2775</v>
      </c>
    </row>
    <row r="155" spans="1:20" x14ac:dyDescent="0.35">
      <c r="A155" s="7" t="s">
        <v>242</v>
      </c>
      <c r="B155" s="12" t="s">
        <v>241</v>
      </c>
      <c r="C155">
        <v>181240862.49491918</v>
      </c>
      <c r="D155">
        <v>172745603.18587431</v>
      </c>
      <c r="E155">
        <v>731531.53153153299</v>
      </c>
      <c r="F155">
        <v>1200900.900900902</v>
      </c>
      <c r="G155">
        <v>94</v>
      </c>
      <c r="H155">
        <v>63</v>
      </c>
      <c r="K155">
        <v>110</v>
      </c>
      <c r="L155">
        <v>74</v>
      </c>
      <c r="M155">
        <v>31636756.756756753</v>
      </c>
      <c r="N155">
        <v>29274504.504504509</v>
      </c>
      <c r="O155">
        <v>53647270.270270273</v>
      </c>
      <c r="P155">
        <v>50945747.747747742</v>
      </c>
      <c r="Q155">
        <v>29810900.900900904</v>
      </c>
      <c r="R155">
        <v>25536846.846846849</v>
      </c>
      <c r="S155">
        <v>6920</v>
      </c>
      <c r="T155">
        <v>6895</v>
      </c>
    </row>
    <row r="156" spans="1:20" x14ac:dyDescent="0.35">
      <c r="A156" s="7" t="s">
        <v>243</v>
      </c>
      <c r="B156" s="12" t="s">
        <v>50</v>
      </c>
      <c r="C156">
        <v>34318473.046524763</v>
      </c>
      <c r="D156">
        <v>30294756.170649692</v>
      </c>
      <c r="E156">
        <v>34554324.324324325</v>
      </c>
      <c r="F156">
        <v>111482252.25225225</v>
      </c>
      <c r="G156">
        <v>11</v>
      </c>
      <c r="H156">
        <v>3</v>
      </c>
      <c r="K156">
        <v>12</v>
      </c>
      <c r="L156">
        <v>3</v>
      </c>
      <c r="M156">
        <v>16958108.108108107</v>
      </c>
      <c r="N156">
        <v>1600000</v>
      </c>
      <c r="O156">
        <v>12205360.36036036</v>
      </c>
      <c r="P156">
        <v>9404801.8018018026</v>
      </c>
      <c r="Q156">
        <v>3845765.7657657652</v>
      </c>
      <c r="R156">
        <v>1361081.0810810809</v>
      </c>
      <c r="S156">
        <v>1178</v>
      </c>
      <c r="T156">
        <v>1166</v>
      </c>
    </row>
    <row r="157" spans="1:20" x14ac:dyDescent="0.35">
      <c r="A157" s="7" t="s">
        <v>244</v>
      </c>
      <c r="B157" s="12" t="s">
        <v>181</v>
      </c>
      <c r="C157">
        <v>1014987090.9486374</v>
      </c>
      <c r="D157">
        <v>911237709.05317426</v>
      </c>
      <c r="E157">
        <v>99806233.333333343</v>
      </c>
      <c r="F157">
        <v>80119778.378378406</v>
      </c>
      <c r="G157">
        <v>362</v>
      </c>
      <c r="H157">
        <v>309</v>
      </c>
      <c r="I157">
        <v>8</v>
      </c>
      <c r="K157">
        <v>486</v>
      </c>
      <c r="L157">
        <v>607</v>
      </c>
      <c r="M157">
        <v>92693873.87387386</v>
      </c>
      <c r="N157">
        <v>108910630.63063063</v>
      </c>
      <c r="O157">
        <v>199287288.2882883</v>
      </c>
      <c r="P157">
        <v>206904336.03603604</v>
      </c>
      <c r="Q157">
        <v>87764504.504504502</v>
      </c>
      <c r="R157">
        <v>103213693.6936937</v>
      </c>
      <c r="S157">
        <v>43917</v>
      </c>
      <c r="T157">
        <v>41807</v>
      </c>
    </row>
    <row r="158" spans="1:20" x14ac:dyDescent="0.35">
      <c r="A158" s="7" t="s">
        <v>245</v>
      </c>
      <c r="B158" s="12" t="s">
        <v>48</v>
      </c>
      <c r="C158">
        <v>43919901.980312854</v>
      </c>
      <c r="D158">
        <v>41923318.745576859</v>
      </c>
      <c r="F158">
        <v>935360.36036036105</v>
      </c>
      <c r="G158">
        <v>3</v>
      </c>
      <c r="K158">
        <v>3</v>
      </c>
      <c r="L158">
        <v>1</v>
      </c>
      <c r="M158">
        <v>4579459.4594594613</v>
      </c>
      <c r="N158">
        <v>4249729.7297297297</v>
      </c>
      <c r="O158">
        <v>10456306.306306308</v>
      </c>
      <c r="P158">
        <v>9089333.3333333321</v>
      </c>
      <c r="Q158">
        <v>4689729.7297297306</v>
      </c>
      <c r="R158">
        <v>4695135.1351351347</v>
      </c>
      <c r="S158">
        <v>1806</v>
      </c>
      <c r="T158">
        <v>1738</v>
      </c>
    </row>
    <row r="159" spans="1:20" x14ac:dyDescent="0.35">
      <c r="A159" s="7" t="s">
        <v>246</v>
      </c>
      <c r="B159" s="12" t="s">
        <v>94</v>
      </c>
      <c r="C159">
        <v>18640895.318667505</v>
      </c>
      <c r="D159">
        <v>11037206.9439936</v>
      </c>
      <c r="G159">
        <v>2</v>
      </c>
      <c r="K159">
        <v>2</v>
      </c>
      <c r="O159">
        <v>3160180.1801801799</v>
      </c>
      <c r="P159">
        <v>1666639.63963964</v>
      </c>
      <c r="S159">
        <v>655</v>
      </c>
      <c r="T159">
        <v>675</v>
      </c>
    </row>
    <row r="160" spans="1:20" x14ac:dyDescent="0.35">
      <c r="A160" s="7" t="s">
        <v>247</v>
      </c>
      <c r="B160" s="12" t="s">
        <v>117</v>
      </c>
      <c r="C160">
        <v>37645435.33960133</v>
      </c>
      <c r="D160">
        <v>37240977.006934032</v>
      </c>
      <c r="E160">
        <v>413927.02702702902</v>
      </c>
      <c r="F160">
        <v>849075.67567567702</v>
      </c>
      <c r="G160">
        <v>10</v>
      </c>
      <c r="H160">
        <v>2</v>
      </c>
      <c r="K160">
        <v>17</v>
      </c>
      <c r="L160">
        <v>4</v>
      </c>
      <c r="M160">
        <v>10479099.099099098</v>
      </c>
      <c r="N160">
        <v>5996237.8378378386</v>
      </c>
      <c r="O160">
        <v>17422477.47747748</v>
      </c>
      <c r="P160">
        <v>18518423.423423424</v>
      </c>
      <c r="Q160">
        <v>8031171.1711711688</v>
      </c>
      <c r="R160">
        <v>6062702.702702703</v>
      </c>
      <c r="S160">
        <v>1700</v>
      </c>
      <c r="T160">
        <v>1756</v>
      </c>
    </row>
    <row r="161" spans="1:20" x14ac:dyDescent="0.35">
      <c r="A161" s="7" t="s">
        <v>248</v>
      </c>
      <c r="B161" s="12" t="s">
        <v>121</v>
      </c>
      <c r="C161">
        <v>66023547.115605906</v>
      </c>
      <c r="D161">
        <v>66020043.229453936</v>
      </c>
      <c r="E161">
        <v>14471171.171171172</v>
      </c>
      <c r="F161">
        <v>6053153.1531531531</v>
      </c>
      <c r="G161">
        <v>41</v>
      </c>
      <c r="H161">
        <v>43</v>
      </c>
      <c r="K161">
        <v>47</v>
      </c>
      <c r="L161">
        <v>47</v>
      </c>
      <c r="M161">
        <v>56756.756756757</v>
      </c>
      <c r="N161">
        <v>3855855.8558558552</v>
      </c>
      <c r="O161">
        <v>6780666.666666667</v>
      </c>
      <c r="P161">
        <v>7358090.0900900904</v>
      </c>
      <c r="Q161">
        <v>1570270.2702702689</v>
      </c>
      <c r="R161">
        <v>1915405.405405404</v>
      </c>
      <c r="S161">
        <v>2247</v>
      </c>
      <c r="T161">
        <v>2361</v>
      </c>
    </row>
    <row r="162" spans="1:20" x14ac:dyDescent="0.35">
      <c r="A162" s="7" t="s">
        <v>249</v>
      </c>
      <c r="B162" s="12" t="s">
        <v>76</v>
      </c>
      <c r="C162">
        <v>30477874.833107974</v>
      </c>
      <c r="D162">
        <v>27256065.216943543</v>
      </c>
      <c r="E162">
        <v>24324324.324324325</v>
      </c>
      <c r="G162">
        <v>2</v>
      </c>
      <c r="H162">
        <v>3</v>
      </c>
      <c r="K162">
        <v>3</v>
      </c>
      <c r="L162">
        <v>3</v>
      </c>
      <c r="N162">
        <v>162162.16216216201</v>
      </c>
      <c r="O162">
        <v>3159711.7117117108</v>
      </c>
      <c r="P162">
        <v>2556216.2162162168</v>
      </c>
      <c r="S162">
        <v>1700</v>
      </c>
      <c r="T162">
        <v>1640</v>
      </c>
    </row>
    <row r="163" spans="1:20" x14ac:dyDescent="0.35">
      <c r="A163" s="7" t="s">
        <v>250</v>
      </c>
      <c r="B163" s="12" t="s">
        <v>167</v>
      </c>
      <c r="C163">
        <v>89951918.371009961</v>
      </c>
      <c r="D163">
        <v>89110088.277469411</v>
      </c>
      <c r="G163">
        <v>3</v>
      </c>
      <c r="H163">
        <v>13</v>
      </c>
      <c r="K163">
        <v>4</v>
      </c>
      <c r="L163">
        <v>38</v>
      </c>
      <c r="M163">
        <v>1589189.189189191</v>
      </c>
      <c r="N163">
        <v>27027.027027028002</v>
      </c>
      <c r="O163">
        <v>14749144.144144144</v>
      </c>
      <c r="P163">
        <v>18190900.9009009</v>
      </c>
      <c r="Q163">
        <v>1039459.45945946</v>
      </c>
      <c r="R163">
        <v>713153.15315315395</v>
      </c>
      <c r="S163">
        <v>3802</v>
      </c>
      <c r="T163">
        <v>3644</v>
      </c>
    </row>
    <row r="164" spans="1:20" x14ac:dyDescent="0.35">
      <c r="A164" s="7" t="s">
        <v>251</v>
      </c>
      <c r="B164" s="12" t="s">
        <v>89</v>
      </c>
      <c r="C164">
        <v>269837365.76757896</v>
      </c>
      <c r="D164">
        <v>268477243.96483171</v>
      </c>
      <c r="E164">
        <v>2796306.3063063072</v>
      </c>
      <c r="F164">
        <v>1090090.090090093</v>
      </c>
      <c r="G164">
        <v>34</v>
      </c>
      <c r="H164">
        <v>36</v>
      </c>
      <c r="K164">
        <v>38</v>
      </c>
      <c r="L164">
        <v>43</v>
      </c>
      <c r="M164">
        <v>19202972.97297297</v>
      </c>
      <c r="N164">
        <v>20271531.531531528</v>
      </c>
      <c r="O164">
        <v>62907237.837837838</v>
      </c>
      <c r="P164">
        <v>65720648.648648649</v>
      </c>
      <c r="Q164">
        <v>21407027.027027026</v>
      </c>
      <c r="R164">
        <v>19589099.0990991</v>
      </c>
      <c r="S164">
        <v>10342</v>
      </c>
      <c r="T164">
        <v>10478</v>
      </c>
    </row>
    <row r="165" spans="1:20" x14ac:dyDescent="0.35">
      <c r="A165" s="7" t="s">
        <v>252</v>
      </c>
      <c r="B165" s="12" t="s">
        <v>78</v>
      </c>
      <c r="C165">
        <v>77984892.732223511</v>
      </c>
      <c r="D165">
        <v>77610602.305811539</v>
      </c>
      <c r="E165">
        <v>278378.37837837799</v>
      </c>
      <c r="F165">
        <v>498198.19819819898</v>
      </c>
      <c r="G165">
        <v>18</v>
      </c>
      <c r="H165">
        <v>11</v>
      </c>
      <c r="K165">
        <v>20</v>
      </c>
      <c r="L165">
        <v>12</v>
      </c>
      <c r="M165">
        <v>10810720.720720718</v>
      </c>
      <c r="N165">
        <v>10272972.972972972</v>
      </c>
      <c r="O165">
        <v>21625315.315315317</v>
      </c>
      <c r="P165">
        <v>22421027.02702703</v>
      </c>
      <c r="Q165">
        <v>9859099.0990990996</v>
      </c>
      <c r="R165">
        <v>10413603.603603603</v>
      </c>
      <c r="S165">
        <v>3243</v>
      </c>
      <c r="T165">
        <v>2799</v>
      </c>
    </row>
    <row r="166" spans="1:20" x14ac:dyDescent="0.35">
      <c r="A166" s="7" t="s">
        <v>253</v>
      </c>
      <c r="B166" s="12" t="s">
        <v>105</v>
      </c>
      <c r="C166">
        <v>153800015.27983406</v>
      </c>
      <c r="D166">
        <v>151953786.99327257</v>
      </c>
      <c r="E166">
        <v>1134055.855855857</v>
      </c>
      <c r="F166">
        <v>31654663.06306307</v>
      </c>
      <c r="G166">
        <v>31</v>
      </c>
      <c r="H166">
        <v>33</v>
      </c>
      <c r="I166">
        <v>1</v>
      </c>
      <c r="K166">
        <v>39</v>
      </c>
      <c r="L166">
        <v>62</v>
      </c>
      <c r="M166">
        <v>19517117.117117122</v>
      </c>
      <c r="N166">
        <v>18292252.252252255</v>
      </c>
      <c r="O166">
        <v>45808945.945945941</v>
      </c>
      <c r="P166">
        <v>43731801.801801801</v>
      </c>
      <c r="Q166">
        <v>18255405.40540541</v>
      </c>
      <c r="R166">
        <v>17837837.837837841</v>
      </c>
      <c r="S166">
        <v>5500</v>
      </c>
      <c r="T166">
        <v>5332</v>
      </c>
    </row>
    <row r="167" spans="1:20" x14ac:dyDescent="0.35">
      <c r="A167" s="7" t="s">
        <v>254</v>
      </c>
      <c r="B167" s="12" t="s">
        <v>105</v>
      </c>
      <c r="C167">
        <v>99485770.062382445</v>
      </c>
      <c r="D167">
        <v>93362682.829736501</v>
      </c>
      <c r="E167">
        <v>800900.90090090095</v>
      </c>
      <c r="F167">
        <v>834234.23423423502</v>
      </c>
      <c r="G167">
        <v>10</v>
      </c>
      <c r="H167">
        <v>7</v>
      </c>
      <c r="K167">
        <v>12</v>
      </c>
      <c r="L167">
        <v>9</v>
      </c>
      <c r="M167">
        <v>7308828.8288288265</v>
      </c>
      <c r="N167">
        <v>5091891.8918918911</v>
      </c>
      <c r="O167">
        <v>30327385.585585583</v>
      </c>
      <c r="P167">
        <v>28046126.126126125</v>
      </c>
      <c r="Q167">
        <v>6613063.0630630609</v>
      </c>
      <c r="R167">
        <v>4179639.6396396412</v>
      </c>
      <c r="S167">
        <v>3184</v>
      </c>
      <c r="T167">
        <v>3915</v>
      </c>
    </row>
    <row r="168" spans="1:20" x14ac:dyDescent="0.35">
      <c r="A168" s="7" t="s">
        <v>255</v>
      </c>
      <c r="B168" s="12" t="s">
        <v>105</v>
      </c>
      <c r="C168">
        <v>84302928.118111044</v>
      </c>
      <c r="D168">
        <v>83473694.234461755</v>
      </c>
      <c r="E168">
        <v>79279.279279278999</v>
      </c>
      <c r="G168">
        <v>6</v>
      </c>
      <c r="H168">
        <v>12</v>
      </c>
      <c r="K168">
        <v>6</v>
      </c>
      <c r="L168">
        <v>14</v>
      </c>
      <c r="M168">
        <v>79279.279279278999</v>
      </c>
      <c r="N168">
        <v>900900.90090090095</v>
      </c>
      <c r="O168">
        <v>16256486.486486487</v>
      </c>
      <c r="P168">
        <v>18445702.702702705</v>
      </c>
      <c r="Q168">
        <v>742162.16216216201</v>
      </c>
      <c r="R168">
        <v>671171.17117117101</v>
      </c>
      <c r="S168">
        <v>2318</v>
      </c>
      <c r="T168">
        <v>2048</v>
      </c>
    </row>
    <row r="169" spans="1:20" x14ac:dyDescent="0.35">
      <c r="A169" s="7" t="s">
        <v>256</v>
      </c>
      <c r="B169" s="12" t="s">
        <v>134</v>
      </c>
      <c r="C169">
        <v>136122968.28687245</v>
      </c>
      <c r="D169">
        <v>128720241.29310778</v>
      </c>
      <c r="E169">
        <v>135135.135135135</v>
      </c>
      <c r="F169">
        <v>477477.47747747798</v>
      </c>
      <c r="G169">
        <v>19</v>
      </c>
      <c r="H169">
        <v>11</v>
      </c>
      <c r="K169">
        <v>20</v>
      </c>
      <c r="L169">
        <v>11</v>
      </c>
      <c r="M169">
        <v>1936936.936936937</v>
      </c>
      <c r="N169">
        <v>477477.47747747798</v>
      </c>
      <c r="O169">
        <v>9571765.7657657675</v>
      </c>
      <c r="P169">
        <v>8680630.630630631</v>
      </c>
      <c r="Q169">
        <v>507117.11711711797</v>
      </c>
      <c r="R169">
        <v>934234.23423423397</v>
      </c>
      <c r="S169">
        <v>4181</v>
      </c>
      <c r="T169">
        <v>4080</v>
      </c>
    </row>
    <row r="170" spans="1:20" x14ac:dyDescent="0.35">
      <c r="A170" s="7" t="s">
        <v>257</v>
      </c>
      <c r="B170" s="12" t="s">
        <v>167</v>
      </c>
      <c r="C170">
        <v>48924165.645092823</v>
      </c>
      <c r="D170">
        <v>40668388.107514247</v>
      </c>
      <c r="F170">
        <v>900900.90090090095</v>
      </c>
      <c r="G170">
        <v>30</v>
      </c>
      <c r="H170">
        <v>5</v>
      </c>
      <c r="K170">
        <v>38</v>
      </c>
      <c r="L170">
        <v>7</v>
      </c>
      <c r="M170">
        <v>4594594.5945945969</v>
      </c>
      <c r="N170">
        <v>1886036.036036036</v>
      </c>
      <c r="O170">
        <v>18087837.837837841</v>
      </c>
      <c r="P170">
        <v>13870148.648648648</v>
      </c>
      <c r="Q170">
        <v>2939639.6396396421</v>
      </c>
      <c r="R170">
        <v>1837567.5675675671</v>
      </c>
      <c r="S170">
        <v>2510</v>
      </c>
      <c r="T170">
        <v>2452</v>
      </c>
    </row>
    <row r="171" spans="1:20" x14ac:dyDescent="0.35">
      <c r="A171" s="7" t="s">
        <v>258</v>
      </c>
      <c r="B171" s="12" t="s">
        <v>60</v>
      </c>
      <c r="C171">
        <v>20041971.243070021</v>
      </c>
      <c r="D171">
        <v>17476586.548587281</v>
      </c>
      <c r="E171">
        <v>15765.765765766</v>
      </c>
      <c r="F171">
        <v>47747.747747747999</v>
      </c>
      <c r="G171">
        <v>7</v>
      </c>
      <c r="H171">
        <v>7</v>
      </c>
      <c r="I171">
        <v>2</v>
      </c>
      <c r="K171">
        <v>7</v>
      </c>
      <c r="L171">
        <v>8</v>
      </c>
      <c r="M171">
        <v>4790540.5405405397</v>
      </c>
      <c r="N171">
        <v>2507207.2072072071</v>
      </c>
      <c r="O171">
        <v>7646441.441441441</v>
      </c>
      <c r="P171">
        <v>5669765.7657657648</v>
      </c>
      <c r="Q171">
        <v>3899909.9099099101</v>
      </c>
      <c r="R171">
        <v>3225405.405405404</v>
      </c>
      <c r="S171">
        <v>675</v>
      </c>
      <c r="T171">
        <v>643</v>
      </c>
    </row>
    <row r="172" spans="1:20" x14ac:dyDescent="0.35">
      <c r="A172" s="7" t="s">
        <v>259</v>
      </c>
      <c r="B172" s="12" t="s">
        <v>260</v>
      </c>
      <c r="C172">
        <v>9845635.2856648322</v>
      </c>
      <c r="D172">
        <v>11095121.607135631</v>
      </c>
      <c r="E172">
        <v>1801801.8018018019</v>
      </c>
      <c r="F172">
        <v>10810.810810810999</v>
      </c>
      <c r="G172">
        <v>5</v>
      </c>
      <c r="H172">
        <v>3</v>
      </c>
      <c r="K172">
        <v>6</v>
      </c>
      <c r="L172">
        <v>4</v>
      </c>
      <c r="M172">
        <v>1801801.8018018019</v>
      </c>
      <c r="N172">
        <v>3197747.7477477482</v>
      </c>
      <c r="O172">
        <v>1975000</v>
      </c>
      <c r="P172">
        <v>1977603.603603604</v>
      </c>
      <c r="Q172">
        <v>3388828.8288288289</v>
      </c>
      <c r="R172">
        <v>1124054.054054054</v>
      </c>
      <c r="S172">
        <v>632</v>
      </c>
      <c r="T172">
        <v>544</v>
      </c>
    </row>
    <row r="173" spans="1:20" x14ac:dyDescent="0.35">
      <c r="A173" s="7" t="s">
        <v>261</v>
      </c>
      <c r="B173" s="12" t="s">
        <v>60</v>
      </c>
      <c r="C173">
        <v>166872846.41204476</v>
      </c>
      <c r="D173">
        <v>167170414.02699324</v>
      </c>
      <c r="E173">
        <v>119804088.2882883</v>
      </c>
      <c r="F173">
        <v>230931096.3963964</v>
      </c>
      <c r="G173">
        <v>59</v>
      </c>
      <c r="H173">
        <v>141</v>
      </c>
      <c r="I173">
        <v>10</v>
      </c>
      <c r="K173">
        <v>71</v>
      </c>
      <c r="L173">
        <v>226</v>
      </c>
      <c r="M173">
        <v>27595585.585585583</v>
      </c>
      <c r="N173">
        <v>38921621.621621616</v>
      </c>
      <c r="O173">
        <v>57245387.387387395</v>
      </c>
      <c r="P173">
        <v>60050963.963963971</v>
      </c>
      <c r="Q173">
        <v>25678198.198198199</v>
      </c>
      <c r="R173">
        <v>47043243.24324324</v>
      </c>
      <c r="S173">
        <v>6205</v>
      </c>
      <c r="T173">
        <v>6174</v>
      </c>
    </row>
    <row r="174" spans="1:20" x14ac:dyDescent="0.35">
      <c r="A174" s="7" t="s">
        <v>262</v>
      </c>
      <c r="B174" s="12" t="s">
        <v>123</v>
      </c>
      <c r="C174">
        <v>136937175.07551932</v>
      </c>
      <c r="D174">
        <v>126883373.84337176</v>
      </c>
      <c r="E174">
        <v>303153.15315315401</v>
      </c>
      <c r="F174">
        <v>203603.60360360399</v>
      </c>
      <c r="G174">
        <v>21</v>
      </c>
      <c r="H174">
        <v>18</v>
      </c>
      <c r="I174">
        <v>1</v>
      </c>
      <c r="K174">
        <v>27</v>
      </c>
      <c r="L174">
        <v>21</v>
      </c>
      <c r="M174">
        <v>7601531.5315315314</v>
      </c>
      <c r="N174">
        <v>7499459.4594594603</v>
      </c>
      <c r="O174">
        <v>52809810.810810804</v>
      </c>
      <c r="P174">
        <v>49640414.414414413</v>
      </c>
      <c r="Q174">
        <v>6991981.9819819834</v>
      </c>
      <c r="R174">
        <v>6446126.1261261255</v>
      </c>
      <c r="S174">
        <v>5672</v>
      </c>
      <c r="T174">
        <v>5422</v>
      </c>
    </row>
    <row r="175" spans="1:20" x14ac:dyDescent="0.35">
      <c r="A175" s="7" t="s">
        <v>263</v>
      </c>
      <c r="B175" s="12" t="s">
        <v>123</v>
      </c>
      <c r="C175">
        <v>58239976.091767155</v>
      </c>
      <c r="D175">
        <v>54680111.991050214</v>
      </c>
      <c r="E175">
        <v>383783.78378378501</v>
      </c>
      <c r="F175">
        <v>400225.22522522701</v>
      </c>
      <c r="G175">
        <v>18</v>
      </c>
      <c r="H175">
        <v>18</v>
      </c>
      <c r="I175">
        <v>1</v>
      </c>
      <c r="K175">
        <v>22</v>
      </c>
      <c r="L175">
        <v>18</v>
      </c>
      <c r="M175">
        <v>13167657.657657657</v>
      </c>
      <c r="N175">
        <v>12080810.810810808</v>
      </c>
      <c r="O175">
        <v>23681927.927927926</v>
      </c>
      <c r="P175">
        <v>22796891.891891893</v>
      </c>
      <c r="Q175">
        <v>13999999.999999998</v>
      </c>
      <c r="R175">
        <v>11707837.837837836</v>
      </c>
      <c r="S175">
        <v>2206</v>
      </c>
      <c r="T175">
        <v>2271</v>
      </c>
    </row>
    <row r="176" spans="1:20" x14ac:dyDescent="0.35">
      <c r="A176" s="7" t="s">
        <v>264</v>
      </c>
      <c r="B176" s="12" t="s">
        <v>125</v>
      </c>
      <c r="C176">
        <v>135725905.6465472</v>
      </c>
      <c r="D176">
        <v>135657923.47157291</v>
      </c>
      <c r="E176">
        <v>49099.0990991</v>
      </c>
      <c r="F176">
        <v>1788288.2882882911</v>
      </c>
      <c r="G176">
        <v>16</v>
      </c>
      <c r="H176">
        <v>39</v>
      </c>
      <c r="K176">
        <v>16</v>
      </c>
      <c r="L176">
        <v>42</v>
      </c>
      <c r="M176">
        <v>15948198.198198197</v>
      </c>
      <c r="N176">
        <v>9170270.2702702675</v>
      </c>
      <c r="O176">
        <v>44010315.315315314</v>
      </c>
      <c r="P176">
        <v>46190944.144144148</v>
      </c>
      <c r="Q176">
        <v>13511261.26126126</v>
      </c>
      <c r="R176">
        <v>9285405.4054054059</v>
      </c>
      <c r="S176">
        <v>4398</v>
      </c>
      <c r="T176">
        <v>4275</v>
      </c>
    </row>
    <row r="177" spans="1:20" x14ac:dyDescent="0.35">
      <c r="A177" s="7" t="s">
        <v>265</v>
      </c>
      <c r="B177" s="12" t="s">
        <v>123</v>
      </c>
      <c r="C177">
        <v>139777736.17742649</v>
      </c>
      <c r="D177">
        <v>128058173.05129038</v>
      </c>
      <c r="E177">
        <v>42412612.612612605</v>
      </c>
      <c r="F177">
        <v>793693.69369369501</v>
      </c>
      <c r="G177">
        <v>39</v>
      </c>
      <c r="H177">
        <v>10</v>
      </c>
      <c r="K177">
        <v>44</v>
      </c>
      <c r="L177">
        <v>12</v>
      </c>
      <c r="M177">
        <v>14818423.423423424</v>
      </c>
      <c r="N177">
        <v>13052342.342342339</v>
      </c>
      <c r="O177">
        <v>49489954.954954952</v>
      </c>
      <c r="P177">
        <v>45065126.126126125</v>
      </c>
      <c r="Q177">
        <v>11552972.972972972</v>
      </c>
      <c r="R177">
        <v>11767297.297297295</v>
      </c>
      <c r="S177">
        <v>4723</v>
      </c>
      <c r="T177">
        <v>4572</v>
      </c>
    </row>
    <row r="178" spans="1:20" x14ac:dyDescent="0.35">
      <c r="A178" s="7" t="s">
        <v>266</v>
      </c>
      <c r="B178" s="12" t="s">
        <v>123</v>
      </c>
      <c r="C178">
        <v>135727759.0201098</v>
      </c>
      <c r="D178">
        <v>136681291.05798519</v>
      </c>
      <c r="E178">
        <v>1109909.909909911</v>
      </c>
      <c r="F178">
        <v>1793243.2432432461</v>
      </c>
      <c r="G178">
        <v>11</v>
      </c>
      <c r="H178">
        <v>30</v>
      </c>
      <c r="K178">
        <v>14</v>
      </c>
      <c r="L178">
        <v>31</v>
      </c>
      <c r="M178">
        <v>17002702.702702705</v>
      </c>
      <c r="N178">
        <v>17103963.963963967</v>
      </c>
      <c r="O178">
        <v>52827423.423423424</v>
      </c>
      <c r="P178">
        <v>55538324.324324317</v>
      </c>
      <c r="Q178">
        <v>15148918.918918921</v>
      </c>
      <c r="R178">
        <v>16094414.414414415</v>
      </c>
      <c r="S178">
        <v>5523</v>
      </c>
      <c r="T178">
        <v>5301</v>
      </c>
    </row>
    <row r="179" spans="1:20" x14ac:dyDescent="0.35">
      <c r="A179" s="7" t="s">
        <v>267</v>
      </c>
      <c r="B179" s="12" t="s">
        <v>178</v>
      </c>
      <c r="C179">
        <v>715133560.40106046</v>
      </c>
      <c r="D179">
        <v>686911354.80561519</v>
      </c>
      <c r="E179">
        <v>508987634.23423421</v>
      </c>
      <c r="F179">
        <v>387396256.75675678</v>
      </c>
      <c r="G179">
        <v>323</v>
      </c>
      <c r="H179">
        <v>229</v>
      </c>
      <c r="I179">
        <v>3</v>
      </c>
      <c r="K179">
        <v>599</v>
      </c>
      <c r="L179">
        <v>485</v>
      </c>
      <c r="M179">
        <v>114093603.60360362</v>
      </c>
      <c r="N179">
        <v>88959212.61261262</v>
      </c>
      <c r="O179">
        <v>207870756.75675678</v>
      </c>
      <c r="P179">
        <v>206238745.94594595</v>
      </c>
      <c r="Q179">
        <v>104428558.55855858</v>
      </c>
      <c r="R179">
        <v>81593153.153153151</v>
      </c>
      <c r="S179">
        <v>31871</v>
      </c>
      <c r="T179">
        <v>31878</v>
      </c>
    </row>
    <row r="180" spans="1:20" x14ac:dyDescent="0.35">
      <c r="A180" s="7" t="s">
        <v>268</v>
      </c>
      <c r="B180" s="12" t="s">
        <v>62</v>
      </c>
      <c r="C180">
        <v>109769355.94454703</v>
      </c>
      <c r="D180">
        <v>116118319.00370193</v>
      </c>
      <c r="E180">
        <v>1321711.7117117131</v>
      </c>
      <c r="F180">
        <v>2138738.7387387408</v>
      </c>
      <c r="G180">
        <v>18</v>
      </c>
      <c r="H180">
        <v>39</v>
      </c>
      <c r="K180">
        <v>20</v>
      </c>
      <c r="L180">
        <v>42</v>
      </c>
      <c r="M180">
        <v>7099369.369369369</v>
      </c>
      <c r="N180">
        <v>23836486.486486483</v>
      </c>
      <c r="O180">
        <v>34777972.972972974</v>
      </c>
      <c r="P180">
        <v>35675684.684684686</v>
      </c>
      <c r="Q180">
        <v>8259639.6396396393</v>
      </c>
      <c r="R180">
        <v>32965045.045045048</v>
      </c>
      <c r="S180">
        <v>4717</v>
      </c>
      <c r="T180">
        <v>4758</v>
      </c>
    </row>
    <row r="181" spans="1:20" x14ac:dyDescent="0.35">
      <c r="A181" s="7" t="s">
        <v>269</v>
      </c>
      <c r="B181" s="12" t="s">
        <v>70</v>
      </c>
      <c r="C181">
        <v>147807423.11478627</v>
      </c>
      <c r="D181">
        <v>149399586.78231487</v>
      </c>
      <c r="E181">
        <v>11719819.819819819</v>
      </c>
      <c r="F181">
        <v>76878378.378378391</v>
      </c>
      <c r="G181">
        <v>31</v>
      </c>
      <c r="H181">
        <v>43</v>
      </c>
      <c r="K181">
        <v>35</v>
      </c>
      <c r="L181">
        <v>52</v>
      </c>
      <c r="M181">
        <v>25320720.720720723</v>
      </c>
      <c r="N181">
        <v>25275900.900900904</v>
      </c>
      <c r="O181">
        <v>64737063.063063063</v>
      </c>
      <c r="P181">
        <v>66108900.9009009</v>
      </c>
      <c r="Q181">
        <v>15090045.045045048</v>
      </c>
      <c r="R181">
        <v>10938468.468468472</v>
      </c>
      <c r="S181">
        <v>6938</v>
      </c>
      <c r="T181">
        <v>6869</v>
      </c>
    </row>
    <row r="182" spans="1:20" x14ac:dyDescent="0.35">
      <c r="A182" s="7" t="s">
        <v>270</v>
      </c>
      <c r="B182" s="12" t="s">
        <v>134</v>
      </c>
      <c r="C182">
        <v>1275955.1110998611</v>
      </c>
      <c r="D182">
        <v>1833739.879616773</v>
      </c>
      <c r="K182">
        <v>1</v>
      </c>
      <c r="O182">
        <v>93693.693693694004</v>
      </c>
      <c r="P182">
        <v>145135.135135135</v>
      </c>
      <c r="S182">
        <v>251</v>
      </c>
      <c r="T182">
        <v>248</v>
      </c>
    </row>
    <row r="183" spans="1:20" x14ac:dyDescent="0.35">
      <c r="A183" s="7" t="s">
        <v>271</v>
      </c>
      <c r="B183" s="12" t="s">
        <v>76</v>
      </c>
      <c r="C183">
        <v>69327242.703919843</v>
      </c>
      <c r="D183">
        <v>68969813.011265725</v>
      </c>
      <c r="E183">
        <v>9009.0090090089998</v>
      </c>
      <c r="F183">
        <v>54054.054054054002</v>
      </c>
      <c r="G183">
        <v>20</v>
      </c>
      <c r="H183">
        <v>12</v>
      </c>
      <c r="K183">
        <v>22</v>
      </c>
      <c r="L183">
        <v>12</v>
      </c>
      <c r="M183">
        <v>99099.099099098996</v>
      </c>
      <c r="N183">
        <v>144144.144144144</v>
      </c>
      <c r="O183">
        <v>4374504.5045045046</v>
      </c>
      <c r="P183">
        <v>5104202.702702703</v>
      </c>
      <c r="Q183">
        <v>181081.08108108101</v>
      </c>
      <c r="R183">
        <v>128828.82882882901</v>
      </c>
      <c r="S183">
        <v>2362</v>
      </c>
      <c r="T183">
        <v>2436</v>
      </c>
    </row>
    <row r="184" spans="1:20" x14ac:dyDescent="0.35">
      <c r="A184" s="7" t="s">
        <v>272</v>
      </c>
      <c r="B184" s="12" t="s">
        <v>76</v>
      </c>
      <c r="C184">
        <v>25340606.509126801</v>
      </c>
      <c r="D184">
        <v>23276049.069498632</v>
      </c>
      <c r="E184">
        <v>56306.306306306004</v>
      </c>
      <c r="F184">
        <v>88288.288288288997</v>
      </c>
      <c r="G184">
        <v>14</v>
      </c>
      <c r="H184">
        <v>2</v>
      </c>
      <c r="K184">
        <v>16</v>
      </c>
      <c r="L184">
        <v>3</v>
      </c>
      <c r="M184">
        <v>9369819.8198198192</v>
      </c>
      <c r="N184">
        <v>8719099.0990990996</v>
      </c>
      <c r="O184">
        <v>8601396.3963963967</v>
      </c>
      <c r="P184">
        <v>6918297.297297297</v>
      </c>
      <c r="Q184">
        <v>6035765.7657657648</v>
      </c>
      <c r="R184">
        <v>5565315.3153153136</v>
      </c>
      <c r="S184">
        <v>814</v>
      </c>
      <c r="T184">
        <v>813</v>
      </c>
    </row>
    <row r="185" spans="1:20" x14ac:dyDescent="0.35">
      <c r="A185" s="7" t="s">
        <v>273</v>
      </c>
      <c r="B185" s="12" t="s">
        <v>260</v>
      </c>
      <c r="C185">
        <v>533370484.65538675</v>
      </c>
      <c r="D185">
        <v>499048865.48804146</v>
      </c>
      <c r="E185">
        <v>3416666.6666666721</v>
      </c>
      <c r="F185">
        <v>5646846.8468468469</v>
      </c>
      <c r="G185">
        <v>90</v>
      </c>
      <c r="H185">
        <v>126</v>
      </c>
      <c r="I185">
        <v>1</v>
      </c>
      <c r="K185">
        <v>112</v>
      </c>
      <c r="L185">
        <v>203</v>
      </c>
      <c r="M185">
        <v>94849099.0990991</v>
      </c>
      <c r="N185">
        <v>99496396.396396384</v>
      </c>
      <c r="O185">
        <v>143934072.07207209</v>
      </c>
      <c r="P185">
        <v>150900056.3063063</v>
      </c>
      <c r="Q185">
        <v>92182072.072072074</v>
      </c>
      <c r="R185">
        <v>77669369.369369358</v>
      </c>
      <c r="S185">
        <v>19095</v>
      </c>
      <c r="T185">
        <v>18716</v>
      </c>
    </row>
    <row r="186" spans="1:20" x14ac:dyDescent="0.35">
      <c r="A186" s="7" t="s">
        <v>274</v>
      </c>
      <c r="B186" s="12" t="s">
        <v>260</v>
      </c>
      <c r="C186">
        <v>123145684.6350598</v>
      </c>
      <c r="D186">
        <v>105516891.74245025</v>
      </c>
      <c r="E186">
        <v>889189.18918919004</v>
      </c>
      <c r="F186">
        <v>1113063.0630630651</v>
      </c>
      <c r="G186">
        <v>9</v>
      </c>
      <c r="H186">
        <v>7</v>
      </c>
      <c r="K186">
        <v>9</v>
      </c>
      <c r="L186">
        <v>9</v>
      </c>
      <c r="M186">
        <v>6130630.6306306291</v>
      </c>
      <c r="N186">
        <v>9750000</v>
      </c>
      <c r="O186">
        <v>21058990.990990993</v>
      </c>
      <c r="P186">
        <v>20696981.981981985</v>
      </c>
      <c r="Q186">
        <v>5168468.4684684696</v>
      </c>
      <c r="R186">
        <v>6555315.3153153146</v>
      </c>
      <c r="S186">
        <v>3800</v>
      </c>
      <c r="T186">
        <v>3475</v>
      </c>
    </row>
    <row r="187" spans="1:20" x14ac:dyDescent="0.35">
      <c r="A187" s="7" t="s">
        <v>275</v>
      </c>
      <c r="B187" s="12" t="s">
        <v>260</v>
      </c>
      <c r="C187">
        <v>128833833.59716213</v>
      </c>
      <c r="D187">
        <v>116982700.33844543</v>
      </c>
      <c r="E187">
        <v>5109009.0090090092</v>
      </c>
      <c r="F187">
        <v>3868918.9189189188</v>
      </c>
      <c r="G187">
        <v>18</v>
      </c>
      <c r="H187">
        <v>10</v>
      </c>
      <c r="K187">
        <v>18</v>
      </c>
      <c r="L187">
        <v>11</v>
      </c>
      <c r="M187">
        <v>19773873.873873875</v>
      </c>
      <c r="N187">
        <v>17651351.351351351</v>
      </c>
      <c r="O187">
        <v>28312927.927927926</v>
      </c>
      <c r="P187">
        <v>25705756.756756756</v>
      </c>
      <c r="Q187">
        <v>21218288.288288288</v>
      </c>
      <c r="R187">
        <v>16344594.594594594</v>
      </c>
      <c r="S187">
        <v>6028</v>
      </c>
      <c r="T187">
        <v>5808</v>
      </c>
    </row>
    <row r="188" spans="1:20" x14ac:dyDescent="0.35">
      <c r="A188" s="7" t="s">
        <v>276</v>
      </c>
      <c r="B188" s="12" t="s">
        <v>134</v>
      </c>
      <c r="C188">
        <v>151910901.43880314</v>
      </c>
      <c r="D188">
        <v>153578866.62899283</v>
      </c>
      <c r="E188">
        <v>24324.324324323999</v>
      </c>
      <c r="F188">
        <v>193693.69369369399</v>
      </c>
      <c r="G188">
        <v>30</v>
      </c>
      <c r="H188">
        <v>28</v>
      </c>
      <c r="K188">
        <v>30</v>
      </c>
      <c r="L188">
        <v>30</v>
      </c>
      <c r="M188">
        <v>5880180.1801801799</v>
      </c>
      <c r="N188">
        <v>8301801.8018018007</v>
      </c>
      <c r="O188">
        <v>13036342.342342343</v>
      </c>
      <c r="P188">
        <v>12704770.270270271</v>
      </c>
      <c r="Q188">
        <v>3993603.6036036029</v>
      </c>
      <c r="R188">
        <v>3432432.4324324331</v>
      </c>
      <c r="S188">
        <v>5179</v>
      </c>
      <c r="T188">
        <v>5329</v>
      </c>
    </row>
    <row r="189" spans="1:20" x14ac:dyDescent="0.35">
      <c r="A189" s="7" t="s">
        <v>277</v>
      </c>
      <c r="B189" s="12" t="s">
        <v>169</v>
      </c>
      <c r="C189">
        <v>112218319.1293744</v>
      </c>
      <c r="D189">
        <v>88379383.054960251</v>
      </c>
      <c r="E189">
        <v>308108.10810810799</v>
      </c>
      <c r="F189">
        <v>92792.792792793</v>
      </c>
      <c r="G189">
        <v>18</v>
      </c>
      <c r="H189">
        <v>11</v>
      </c>
      <c r="K189">
        <v>19</v>
      </c>
      <c r="L189">
        <v>26</v>
      </c>
      <c r="M189">
        <v>8416216.2162162159</v>
      </c>
      <c r="N189">
        <v>7318018.0180180194</v>
      </c>
      <c r="O189">
        <v>44687594.59459459</v>
      </c>
      <c r="P189">
        <v>39527234.234234229</v>
      </c>
      <c r="Q189">
        <v>6003423.4234234234</v>
      </c>
      <c r="R189">
        <v>4034864.8648648649</v>
      </c>
      <c r="S189">
        <v>3345</v>
      </c>
      <c r="T189">
        <v>3194</v>
      </c>
    </row>
    <row r="190" spans="1:20" x14ac:dyDescent="0.35">
      <c r="A190" s="7" t="s">
        <v>278</v>
      </c>
      <c r="B190" s="12" t="s">
        <v>169</v>
      </c>
      <c r="C190">
        <v>44110509.148744032</v>
      </c>
      <c r="D190">
        <v>46117716.731901765</v>
      </c>
      <c r="E190">
        <v>900.900900901</v>
      </c>
      <c r="F190">
        <v>2702.7027027029999</v>
      </c>
      <c r="G190">
        <v>2</v>
      </c>
      <c r="H190">
        <v>7</v>
      </c>
      <c r="K190">
        <v>2</v>
      </c>
      <c r="L190">
        <v>8</v>
      </c>
      <c r="M190">
        <v>901801.80180180201</v>
      </c>
      <c r="N190">
        <v>1804504.5045045051</v>
      </c>
      <c r="O190">
        <v>16396792.792792792</v>
      </c>
      <c r="P190">
        <v>21091635.135135137</v>
      </c>
      <c r="Q190">
        <v>1906756.7567567569</v>
      </c>
      <c r="R190">
        <v>2596126.1261261269</v>
      </c>
      <c r="S190">
        <v>1997</v>
      </c>
      <c r="T190">
        <v>1988</v>
      </c>
    </row>
    <row r="191" spans="1:20" x14ac:dyDescent="0.35">
      <c r="A191" s="7" t="s">
        <v>279</v>
      </c>
      <c r="B191" s="12" t="s">
        <v>87</v>
      </c>
      <c r="C191">
        <v>1372392.2758162711</v>
      </c>
      <c r="D191">
        <v>1360725.4543360581</v>
      </c>
      <c r="G191">
        <v>2</v>
      </c>
      <c r="H191">
        <v>3</v>
      </c>
      <c r="K191">
        <v>2</v>
      </c>
      <c r="L191">
        <v>3</v>
      </c>
      <c r="O191">
        <v>646394.59459459502</v>
      </c>
      <c r="P191">
        <v>494288.28828828799</v>
      </c>
      <c r="S191">
        <v>193</v>
      </c>
      <c r="T191">
        <v>182</v>
      </c>
    </row>
    <row r="192" spans="1:20" x14ac:dyDescent="0.35">
      <c r="A192" s="7" t="s">
        <v>280</v>
      </c>
      <c r="B192" s="12" t="s">
        <v>169</v>
      </c>
      <c r="C192">
        <v>84617911.865482375</v>
      </c>
      <c r="D192">
        <v>91410435.575609371</v>
      </c>
      <c r="E192">
        <v>804054.05405405397</v>
      </c>
      <c r="F192">
        <v>454954.95495495503</v>
      </c>
      <c r="G192">
        <v>6</v>
      </c>
      <c r="H192">
        <v>17</v>
      </c>
      <c r="K192">
        <v>7</v>
      </c>
      <c r="L192">
        <v>31</v>
      </c>
      <c r="M192">
        <v>8408378.3783783764</v>
      </c>
      <c r="N192">
        <v>11942882.88288288</v>
      </c>
      <c r="O192">
        <v>31957072.072072074</v>
      </c>
      <c r="P192">
        <v>38883594.59459459</v>
      </c>
      <c r="Q192">
        <v>9027927.927927928</v>
      </c>
      <c r="R192">
        <v>13511801.801801801</v>
      </c>
      <c r="S192">
        <v>4092</v>
      </c>
      <c r="T192">
        <v>4082</v>
      </c>
    </row>
    <row r="193" spans="1:20" x14ac:dyDescent="0.35">
      <c r="A193" s="7" t="s">
        <v>281</v>
      </c>
      <c r="B193" s="12" t="s">
        <v>54</v>
      </c>
      <c r="C193">
        <v>69951859.678172112</v>
      </c>
      <c r="D193">
        <v>67240495.349130511</v>
      </c>
      <c r="E193">
        <v>73423.423423425003</v>
      </c>
      <c r="F193">
        <v>853153.15315315605</v>
      </c>
      <c r="G193">
        <v>26</v>
      </c>
      <c r="H193">
        <v>19</v>
      </c>
      <c r="K193">
        <v>32</v>
      </c>
      <c r="L193">
        <v>25</v>
      </c>
      <c r="M193">
        <v>7777927.9279279253</v>
      </c>
      <c r="N193">
        <v>6981981.9819819834</v>
      </c>
      <c r="O193">
        <v>14670702.702702705</v>
      </c>
      <c r="P193">
        <v>14523450.45045045</v>
      </c>
      <c r="Q193">
        <v>7271171.1711711688</v>
      </c>
      <c r="R193">
        <v>7275225.225225227</v>
      </c>
      <c r="S193">
        <v>3712</v>
      </c>
      <c r="T193">
        <v>3719</v>
      </c>
    </row>
    <row r="194" spans="1:20" x14ac:dyDescent="0.35">
      <c r="A194" s="7" t="s">
        <v>282</v>
      </c>
      <c r="B194" s="12" t="s">
        <v>283</v>
      </c>
      <c r="C194">
        <v>112024981.97595924</v>
      </c>
      <c r="D194">
        <v>78873916.826072678</v>
      </c>
      <c r="E194">
        <v>46396.396396397002</v>
      </c>
      <c r="F194">
        <v>145045.04504504701</v>
      </c>
      <c r="G194">
        <v>48</v>
      </c>
      <c r="H194">
        <v>20</v>
      </c>
      <c r="K194">
        <v>52</v>
      </c>
      <c r="L194">
        <v>27</v>
      </c>
      <c r="M194">
        <v>3956306.3063063072</v>
      </c>
      <c r="N194">
        <v>6054954.9549549548</v>
      </c>
      <c r="O194">
        <v>13574144.144144144</v>
      </c>
      <c r="P194">
        <v>14150315.315315315</v>
      </c>
      <c r="Q194">
        <v>3858918.9189189202</v>
      </c>
      <c r="R194">
        <v>2948108.108108107</v>
      </c>
      <c r="S194">
        <v>3479</v>
      </c>
      <c r="T194">
        <v>2914</v>
      </c>
    </row>
    <row r="195" spans="1:20" x14ac:dyDescent="0.35">
      <c r="A195" s="7" t="s">
        <v>284</v>
      </c>
      <c r="B195" s="12" t="s">
        <v>283</v>
      </c>
      <c r="C195">
        <v>187774396.22950086</v>
      </c>
      <c r="D195">
        <v>194359463.13800621</v>
      </c>
      <c r="E195">
        <v>841891.891891893</v>
      </c>
      <c r="F195">
        <v>1089639.6396396451</v>
      </c>
      <c r="G195">
        <v>33</v>
      </c>
      <c r="H195">
        <v>30</v>
      </c>
      <c r="K195">
        <v>39</v>
      </c>
      <c r="L195">
        <v>47</v>
      </c>
      <c r="M195">
        <v>22177027.027027026</v>
      </c>
      <c r="N195">
        <v>19749549.549549554</v>
      </c>
      <c r="O195">
        <v>35997729.729729727</v>
      </c>
      <c r="P195">
        <v>40717265.765765771</v>
      </c>
      <c r="Q195">
        <v>17213513.513513513</v>
      </c>
      <c r="R195">
        <v>18790810.810810812</v>
      </c>
      <c r="S195">
        <v>8098</v>
      </c>
      <c r="T195">
        <v>8025</v>
      </c>
    </row>
    <row r="196" spans="1:20" x14ac:dyDescent="0.35">
      <c r="A196" s="7" t="s">
        <v>285</v>
      </c>
      <c r="B196" s="12" t="s">
        <v>283</v>
      </c>
      <c r="C196">
        <v>101239912.07770725</v>
      </c>
      <c r="D196">
        <v>103906349.30066928</v>
      </c>
      <c r="E196">
        <v>61984664.864864863</v>
      </c>
      <c r="F196">
        <v>176885753.15315315</v>
      </c>
      <c r="G196">
        <v>38</v>
      </c>
      <c r="H196">
        <v>12</v>
      </c>
      <c r="K196">
        <v>39</v>
      </c>
      <c r="L196">
        <v>30</v>
      </c>
      <c r="M196">
        <v>36832702.702702701</v>
      </c>
      <c r="N196">
        <v>34310430.630630635</v>
      </c>
      <c r="O196">
        <v>32690927.927927926</v>
      </c>
      <c r="P196">
        <v>33252090.090090092</v>
      </c>
      <c r="Q196">
        <v>21426486.486486487</v>
      </c>
      <c r="R196">
        <v>21747747.747747749</v>
      </c>
      <c r="S196">
        <v>4750</v>
      </c>
      <c r="T196">
        <v>4664</v>
      </c>
    </row>
    <row r="197" spans="1:20" x14ac:dyDescent="0.35">
      <c r="A197" s="7" t="s">
        <v>286</v>
      </c>
      <c r="B197" s="12" t="s">
        <v>283</v>
      </c>
      <c r="C197">
        <v>76942801.406685308</v>
      </c>
      <c r="D197">
        <v>75685298.861208931</v>
      </c>
      <c r="E197">
        <v>54954.954954956003</v>
      </c>
      <c r="F197">
        <v>172972.97297297401</v>
      </c>
      <c r="G197">
        <v>11</v>
      </c>
      <c r="H197">
        <v>3</v>
      </c>
      <c r="K197">
        <v>13</v>
      </c>
      <c r="L197">
        <v>4</v>
      </c>
      <c r="M197">
        <v>3361261.261261262</v>
      </c>
      <c r="N197">
        <v>6821621.6216216218</v>
      </c>
      <c r="O197">
        <v>12429540.540540541</v>
      </c>
      <c r="P197">
        <v>14954216.216216216</v>
      </c>
      <c r="Q197">
        <v>2371261.2612612611</v>
      </c>
      <c r="R197">
        <v>7648108.1081081079</v>
      </c>
      <c r="S197">
        <v>2699</v>
      </c>
      <c r="T197">
        <v>2533</v>
      </c>
    </row>
    <row r="198" spans="1:20" x14ac:dyDescent="0.35">
      <c r="A198" s="7" t="s">
        <v>287</v>
      </c>
      <c r="B198" s="12" t="s">
        <v>283</v>
      </c>
      <c r="C198">
        <v>33847652.938348487</v>
      </c>
      <c r="D198">
        <v>38251641.198773026</v>
      </c>
      <c r="E198">
        <v>75675.675675676001</v>
      </c>
      <c r="F198">
        <v>221621.62162162201</v>
      </c>
      <c r="G198">
        <v>3</v>
      </c>
      <c r="K198">
        <v>4</v>
      </c>
      <c r="L198">
        <v>1</v>
      </c>
      <c r="M198">
        <v>75675.675675676001</v>
      </c>
      <c r="N198">
        <v>10113513.513513515</v>
      </c>
      <c r="O198">
        <v>6013648.6486486495</v>
      </c>
      <c r="P198">
        <v>6766054.0540540544</v>
      </c>
      <c r="R198">
        <v>9270720.7207207195</v>
      </c>
      <c r="S198">
        <v>1004</v>
      </c>
      <c r="T198">
        <v>2182</v>
      </c>
    </row>
    <row r="199" spans="1:20" x14ac:dyDescent="0.35">
      <c r="A199" s="7" t="s">
        <v>288</v>
      </c>
      <c r="B199" s="12" t="s">
        <v>283</v>
      </c>
      <c r="C199">
        <v>6062037.3813783862</v>
      </c>
      <c r="D199">
        <v>6428375.8072897876</v>
      </c>
      <c r="G199">
        <v>1</v>
      </c>
      <c r="K199">
        <v>1</v>
      </c>
      <c r="N199">
        <v>5243243.2432432435</v>
      </c>
      <c r="O199">
        <v>665540.54054054106</v>
      </c>
      <c r="P199">
        <v>1003477.477477477</v>
      </c>
      <c r="S199">
        <v>254</v>
      </c>
      <c r="T199">
        <v>308</v>
      </c>
    </row>
    <row r="200" spans="1:20" x14ac:dyDescent="0.35">
      <c r="A200" s="7" t="s">
        <v>289</v>
      </c>
      <c r="B200" s="12" t="s">
        <v>290</v>
      </c>
      <c r="C200">
        <v>79611506.482473046</v>
      </c>
      <c r="D200">
        <v>80235221.734951913</v>
      </c>
      <c r="E200">
        <v>27927.927927928002</v>
      </c>
      <c r="F200">
        <v>115315.31531531599</v>
      </c>
      <c r="G200">
        <v>31</v>
      </c>
      <c r="H200">
        <v>18</v>
      </c>
      <c r="K200">
        <v>39</v>
      </c>
      <c r="L200">
        <v>20</v>
      </c>
      <c r="M200">
        <v>969369.36936937098</v>
      </c>
      <c r="N200">
        <v>126126.126126127</v>
      </c>
      <c r="O200">
        <v>7600763.9639639631</v>
      </c>
      <c r="P200">
        <v>6985048.6486486495</v>
      </c>
      <c r="Q200">
        <v>734234.23423423502</v>
      </c>
      <c r="R200">
        <v>219369.369369369</v>
      </c>
      <c r="S200">
        <v>4090</v>
      </c>
      <c r="T200">
        <v>4371</v>
      </c>
    </row>
    <row r="201" spans="1:20" x14ac:dyDescent="0.35">
      <c r="A201" s="7" t="s">
        <v>291</v>
      </c>
      <c r="B201" s="12" t="s">
        <v>147</v>
      </c>
      <c r="C201">
        <v>177376892.74862489</v>
      </c>
      <c r="D201">
        <v>175974787.45438349</v>
      </c>
      <c r="E201">
        <v>363963.96396396501</v>
      </c>
      <c r="F201">
        <v>1941441.4414414431</v>
      </c>
      <c r="G201">
        <v>29</v>
      </c>
      <c r="H201">
        <v>40</v>
      </c>
      <c r="K201">
        <v>38</v>
      </c>
      <c r="L201">
        <v>51</v>
      </c>
      <c r="M201">
        <v>29249009.009009004</v>
      </c>
      <c r="N201">
        <v>59172522.522522517</v>
      </c>
      <c r="O201">
        <v>59441981.981981985</v>
      </c>
      <c r="P201">
        <v>64965297.297297299</v>
      </c>
      <c r="Q201">
        <v>25511801.801801797</v>
      </c>
      <c r="R201">
        <v>57439369.369369365</v>
      </c>
      <c r="S201">
        <v>7427</v>
      </c>
      <c r="T201">
        <v>7683</v>
      </c>
    </row>
    <row r="202" spans="1:20" x14ac:dyDescent="0.35">
      <c r="A202" s="7" t="s">
        <v>292</v>
      </c>
      <c r="B202" s="12" t="s">
        <v>293</v>
      </c>
      <c r="C202">
        <v>92696142.29798907</v>
      </c>
      <c r="D202">
        <v>85828185.531156048</v>
      </c>
      <c r="E202">
        <v>39666500</v>
      </c>
      <c r="F202">
        <v>65847062.162162162</v>
      </c>
      <c r="G202">
        <v>5</v>
      </c>
      <c r="H202">
        <v>7</v>
      </c>
      <c r="K202">
        <v>8</v>
      </c>
      <c r="L202">
        <v>9</v>
      </c>
      <c r="M202">
        <v>18161981.981981982</v>
      </c>
      <c r="N202">
        <v>14249549.549549552</v>
      </c>
      <c r="O202">
        <v>10346981.981981983</v>
      </c>
      <c r="P202">
        <v>12445513.513513513</v>
      </c>
      <c r="Q202">
        <v>14856036.036036031</v>
      </c>
      <c r="R202">
        <v>11323783.783783786</v>
      </c>
      <c r="S202">
        <v>3591</v>
      </c>
      <c r="T202">
        <v>3449</v>
      </c>
    </row>
    <row r="203" spans="1:20" x14ac:dyDescent="0.35">
      <c r="A203" s="7" t="s">
        <v>294</v>
      </c>
      <c r="B203" s="12" t="s">
        <v>290</v>
      </c>
      <c r="C203">
        <v>26667921.702053346</v>
      </c>
      <c r="D203">
        <v>19529625.173821591</v>
      </c>
      <c r="E203">
        <v>432432.43243243202</v>
      </c>
      <c r="F203">
        <v>567567.56756756804</v>
      </c>
      <c r="G203">
        <v>12</v>
      </c>
      <c r="H203">
        <v>4</v>
      </c>
      <c r="K203">
        <v>14</v>
      </c>
      <c r="L203">
        <v>4</v>
      </c>
      <c r="M203">
        <v>432432.43243243202</v>
      </c>
      <c r="N203">
        <v>2370270.2702702698</v>
      </c>
      <c r="O203">
        <v>3221711.7117117108</v>
      </c>
      <c r="P203">
        <v>2861261.261261262</v>
      </c>
      <c r="Q203">
        <v>1186126.1261261259</v>
      </c>
      <c r="R203">
        <v>1558108.1081081079</v>
      </c>
      <c r="S203">
        <v>1282</v>
      </c>
      <c r="T203">
        <v>1190</v>
      </c>
    </row>
    <row r="204" spans="1:20" x14ac:dyDescent="0.35">
      <c r="A204" s="7" t="s">
        <v>673</v>
      </c>
      <c r="B204" s="12" t="s">
        <v>479</v>
      </c>
      <c r="E204">
        <v>60699033.333333336</v>
      </c>
      <c r="F204">
        <v>39327457.657657653</v>
      </c>
    </row>
    <row r="205" spans="1:20" x14ac:dyDescent="0.35">
      <c r="A205" s="7" t="s">
        <v>295</v>
      </c>
      <c r="B205" s="12" t="s">
        <v>52</v>
      </c>
      <c r="C205">
        <v>254758258.8812162</v>
      </c>
      <c r="D205">
        <v>250616437.55060974</v>
      </c>
      <c r="E205">
        <v>1268468.4684684679</v>
      </c>
      <c r="F205">
        <v>2232432.432432435</v>
      </c>
      <c r="G205">
        <v>43</v>
      </c>
      <c r="H205">
        <v>65</v>
      </c>
      <c r="K205">
        <v>60</v>
      </c>
      <c r="L205">
        <v>93</v>
      </c>
      <c r="M205">
        <v>116075675.67567568</v>
      </c>
      <c r="N205">
        <v>46602522.522522517</v>
      </c>
      <c r="O205">
        <v>64850585.585585587</v>
      </c>
      <c r="P205">
        <v>67241306.306306303</v>
      </c>
      <c r="Q205">
        <v>125810720.72072072</v>
      </c>
      <c r="R205">
        <v>52028918.918918923</v>
      </c>
      <c r="S205">
        <v>11742</v>
      </c>
      <c r="T205">
        <v>11595</v>
      </c>
    </row>
    <row r="206" spans="1:20" x14ac:dyDescent="0.35">
      <c r="A206" s="7" t="s">
        <v>296</v>
      </c>
      <c r="B206" s="12" t="s">
        <v>169</v>
      </c>
      <c r="C206">
        <v>82496238.972456947</v>
      </c>
      <c r="D206">
        <v>74204099.028268218</v>
      </c>
      <c r="E206">
        <v>1801.801801802</v>
      </c>
      <c r="F206">
        <v>13513.513513514001</v>
      </c>
      <c r="G206">
        <v>12</v>
      </c>
      <c r="H206">
        <v>10</v>
      </c>
      <c r="I206">
        <v>1</v>
      </c>
      <c r="K206">
        <v>14</v>
      </c>
      <c r="L206">
        <v>14</v>
      </c>
      <c r="M206">
        <v>3920720.7207207209</v>
      </c>
      <c r="N206">
        <v>4833333.333333334</v>
      </c>
      <c r="O206">
        <v>18124792.792792793</v>
      </c>
      <c r="P206">
        <v>16105045.045045044</v>
      </c>
      <c r="Q206">
        <v>3388288.2882882892</v>
      </c>
      <c r="R206">
        <v>4670540.5405405397</v>
      </c>
      <c r="S206">
        <v>3228</v>
      </c>
      <c r="T206">
        <v>4552</v>
      </c>
    </row>
    <row r="207" spans="1:20" x14ac:dyDescent="0.35">
      <c r="A207" s="7" t="s">
        <v>297</v>
      </c>
      <c r="B207" s="12" t="s">
        <v>169</v>
      </c>
      <c r="C207">
        <v>62526018.815865807</v>
      </c>
      <c r="D207">
        <v>98280095.693333074</v>
      </c>
      <c r="E207">
        <v>900.900900901</v>
      </c>
      <c r="F207">
        <v>18918.918918919</v>
      </c>
      <c r="G207">
        <v>7</v>
      </c>
      <c r="H207">
        <v>23</v>
      </c>
      <c r="K207">
        <v>7</v>
      </c>
      <c r="L207">
        <v>40</v>
      </c>
      <c r="M207">
        <v>613523423.42342353</v>
      </c>
      <c r="N207">
        <v>1820748648.6486487</v>
      </c>
      <c r="O207">
        <v>22890045.045045044</v>
      </c>
      <c r="P207">
        <v>37108657.657657653</v>
      </c>
      <c r="Q207">
        <v>502766612.61261261</v>
      </c>
      <c r="R207">
        <v>1642780547.7477479</v>
      </c>
      <c r="S207">
        <v>2776</v>
      </c>
      <c r="T207">
        <v>2798</v>
      </c>
    </row>
    <row r="208" spans="1:20" x14ac:dyDescent="0.35">
      <c r="A208" s="7" t="s">
        <v>298</v>
      </c>
      <c r="B208" s="12" t="s">
        <v>89</v>
      </c>
      <c r="C208">
        <v>298515804.82529801</v>
      </c>
      <c r="D208">
        <v>287356240.88420886</v>
      </c>
      <c r="E208">
        <v>334774.77477477503</v>
      </c>
      <c r="F208">
        <v>481081.081081087</v>
      </c>
      <c r="G208">
        <v>46</v>
      </c>
      <c r="H208">
        <v>47</v>
      </c>
      <c r="K208">
        <v>54</v>
      </c>
      <c r="L208">
        <v>61</v>
      </c>
      <c r="M208">
        <v>18672252.252252247</v>
      </c>
      <c r="N208">
        <v>15420540.540540537</v>
      </c>
      <c r="O208">
        <v>53124324.324324325</v>
      </c>
      <c r="P208">
        <v>56019184.684684686</v>
      </c>
      <c r="Q208">
        <v>15355945.945945941</v>
      </c>
      <c r="R208">
        <v>21172522.52252252</v>
      </c>
      <c r="S208">
        <v>11022</v>
      </c>
      <c r="T208">
        <v>10995</v>
      </c>
    </row>
    <row r="209" spans="1:20" x14ac:dyDescent="0.35">
      <c r="A209" s="7" t="s">
        <v>299</v>
      </c>
      <c r="B209" s="12" t="s">
        <v>134</v>
      </c>
      <c r="C209">
        <v>144694157.72047001</v>
      </c>
      <c r="D209">
        <v>154347597.09814119</v>
      </c>
      <c r="E209">
        <v>918918.91891891998</v>
      </c>
      <c r="F209">
        <v>1113513.513513518</v>
      </c>
      <c r="G209">
        <v>29</v>
      </c>
      <c r="H209">
        <v>33</v>
      </c>
      <c r="K209">
        <v>34</v>
      </c>
      <c r="L209">
        <v>45</v>
      </c>
      <c r="M209">
        <v>12279279.279279277</v>
      </c>
      <c r="N209">
        <v>8945045.0450450443</v>
      </c>
      <c r="O209">
        <v>17812790.990990989</v>
      </c>
      <c r="P209">
        <v>19636720.72072072</v>
      </c>
      <c r="Q209">
        <v>9974457.6576576568</v>
      </c>
      <c r="R209">
        <v>8099909.9099099096</v>
      </c>
      <c r="S209">
        <v>6867</v>
      </c>
      <c r="T209">
        <v>7022</v>
      </c>
    </row>
    <row r="210" spans="1:20" x14ac:dyDescent="0.35">
      <c r="A210" s="7" t="s">
        <v>300</v>
      </c>
      <c r="B210" s="12" t="s">
        <v>290</v>
      </c>
      <c r="C210">
        <v>118535059.09051736</v>
      </c>
      <c r="D210">
        <v>109272575.63469547</v>
      </c>
      <c r="E210">
        <v>480630.63063063199</v>
      </c>
      <c r="F210">
        <v>1971171.1711711721</v>
      </c>
      <c r="G210">
        <v>60</v>
      </c>
      <c r="H210">
        <v>39</v>
      </c>
      <c r="K210">
        <v>68</v>
      </c>
      <c r="L210">
        <v>46</v>
      </c>
      <c r="M210">
        <v>12489639.63963964</v>
      </c>
      <c r="N210">
        <v>10225225.225225225</v>
      </c>
      <c r="O210">
        <v>15832747.747747747</v>
      </c>
      <c r="P210">
        <v>14655673.873873873</v>
      </c>
      <c r="Q210">
        <v>10329639.639639642</v>
      </c>
      <c r="R210">
        <v>8477387.3873873837</v>
      </c>
      <c r="S210">
        <v>4291</v>
      </c>
      <c r="T210">
        <v>4450</v>
      </c>
    </row>
    <row r="211" spans="1:20" x14ac:dyDescent="0.35">
      <c r="A211" s="7" t="s">
        <v>301</v>
      </c>
      <c r="B211" s="12" t="s">
        <v>80</v>
      </c>
      <c r="C211">
        <v>169911475.83955187</v>
      </c>
      <c r="D211">
        <v>156127307.51799595</v>
      </c>
      <c r="E211">
        <v>424774.77477477503</v>
      </c>
      <c r="F211">
        <v>1080855.8558558589</v>
      </c>
      <c r="G211">
        <v>44</v>
      </c>
      <c r="H211">
        <v>23</v>
      </c>
      <c r="K211">
        <v>48</v>
      </c>
      <c r="L211">
        <v>25</v>
      </c>
      <c r="M211">
        <v>17670000</v>
      </c>
      <c r="N211">
        <v>13815315.315315312</v>
      </c>
      <c r="O211">
        <v>37261130.630630635</v>
      </c>
      <c r="P211">
        <v>32326306.306306306</v>
      </c>
      <c r="Q211">
        <v>15984774.774774777</v>
      </c>
      <c r="R211">
        <v>12691441.441441439</v>
      </c>
      <c r="S211">
        <v>5852</v>
      </c>
      <c r="T211">
        <v>5624</v>
      </c>
    </row>
    <row r="212" spans="1:20" x14ac:dyDescent="0.35">
      <c r="A212" s="7" t="s">
        <v>302</v>
      </c>
      <c r="B212" s="12" t="s">
        <v>72</v>
      </c>
      <c r="C212">
        <v>250346790.4084129</v>
      </c>
      <c r="D212">
        <v>247115679.0201737</v>
      </c>
      <c r="E212">
        <v>25048648.648648649</v>
      </c>
      <c r="F212">
        <v>17626126.126126133</v>
      </c>
      <c r="G212">
        <v>57</v>
      </c>
      <c r="H212">
        <v>67</v>
      </c>
      <c r="I212">
        <v>2</v>
      </c>
      <c r="K212">
        <v>60</v>
      </c>
      <c r="L212">
        <v>76</v>
      </c>
      <c r="M212">
        <v>22789639.639639635</v>
      </c>
      <c r="N212">
        <v>12630180.180180181</v>
      </c>
      <c r="O212">
        <v>35226837.837837838</v>
      </c>
      <c r="P212">
        <v>38967576.576576576</v>
      </c>
      <c r="Q212">
        <v>14747117.117117118</v>
      </c>
      <c r="R212">
        <v>12685405.405405404</v>
      </c>
      <c r="S212">
        <v>9072</v>
      </c>
      <c r="T212">
        <v>9006</v>
      </c>
    </row>
    <row r="213" spans="1:20" x14ac:dyDescent="0.35">
      <c r="A213" s="7" t="s">
        <v>303</v>
      </c>
      <c r="B213" s="12" t="s">
        <v>304</v>
      </c>
      <c r="C213">
        <v>841482.76785792306</v>
      </c>
      <c r="D213">
        <v>900132.28709453996</v>
      </c>
      <c r="O213">
        <v>439414.41441441397</v>
      </c>
      <c r="P213">
        <v>485225.22522522497</v>
      </c>
      <c r="S213">
        <v>65</v>
      </c>
      <c r="T213">
        <v>73</v>
      </c>
    </row>
    <row r="214" spans="1:20" x14ac:dyDescent="0.35">
      <c r="A214" s="7" t="s">
        <v>674</v>
      </c>
      <c r="B214" s="12" t="s">
        <v>304</v>
      </c>
      <c r="E214">
        <v>9009009.0090090074</v>
      </c>
      <c r="F214">
        <v>7207207.2072072066</v>
      </c>
      <c r="N214">
        <v>44594.594594595001</v>
      </c>
    </row>
    <row r="215" spans="1:20" x14ac:dyDescent="0.35">
      <c r="A215" s="7" t="s">
        <v>305</v>
      </c>
      <c r="B215" s="12" t="s">
        <v>117</v>
      </c>
      <c r="C215">
        <v>36431065.779128656</v>
      </c>
      <c r="D215">
        <v>31312729.9450927</v>
      </c>
      <c r="E215">
        <v>16216.216216217999</v>
      </c>
      <c r="F215">
        <v>248648.648648651</v>
      </c>
      <c r="G215">
        <v>4</v>
      </c>
      <c r="H215">
        <v>1</v>
      </c>
      <c r="K215">
        <v>5</v>
      </c>
      <c r="L215">
        <v>1</v>
      </c>
      <c r="M215">
        <v>1423063.063063063</v>
      </c>
      <c r="N215">
        <v>1989909.9099099119</v>
      </c>
      <c r="O215">
        <v>14695945.945945946</v>
      </c>
      <c r="P215">
        <v>13931396.396396397</v>
      </c>
      <c r="Q215">
        <v>1333873.873873872</v>
      </c>
      <c r="R215">
        <v>1736756.7567567569</v>
      </c>
      <c r="S215">
        <v>1904</v>
      </c>
      <c r="T215">
        <v>1717</v>
      </c>
    </row>
    <row r="216" spans="1:20" x14ac:dyDescent="0.35">
      <c r="A216" s="7" t="s">
        <v>306</v>
      </c>
      <c r="B216" s="12" t="s">
        <v>307</v>
      </c>
      <c r="C216">
        <v>39829930.726334885</v>
      </c>
      <c r="D216">
        <v>38305604.203175724</v>
      </c>
      <c r="E216">
        <v>109052252.25225225</v>
      </c>
      <c r="F216">
        <v>298964864.86486489</v>
      </c>
      <c r="G216">
        <v>13</v>
      </c>
      <c r="H216">
        <v>18</v>
      </c>
      <c r="K216">
        <v>16</v>
      </c>
      <c r="L216">
        <v>29</v>
      </c>
      <c r="M216">
        <v>3033693.6936936942</v>
      </c>
      <c r="N216">
        <v>1337387.3873873879</v>
      </c>
      <c r="O216">
        <v>19845135.135135137</v>
      </c>
      <c r="P216">
        <v>20623180.180180181</v>
      </c>
      <c r="Q216">
        <v>366126.12612612703</v>
      </c>
      <c r="R216">
        <v>286846.84684684698</v>
      </c>
      <c r="S216">
        <v>4325</v>
      </c>
      <c r="T216">
        <v>4277</v>
      </c>
    </row>
    <row r="217" spans="1:20" x14ac:dyDescent="0.35">
      <c r="A217" s="7" t="s">
        <v>308</v>
      </c>
      <c r="B217" s="12" t="s">
        <v>140</v>
      </c>
      <c r="C217">
        <v>258435232.8707338</v>
      </c>
      <c r="D217">
        <v>263813293.74386168</v>
      </c>
      <c r="E217">
        <v>305540.540540541</v>
      </c>
      <c r="F217">
        <v>876576.57657658402</v>
      </c>
      <c r="G217">
        <v>20</v>
      </c>
      <c r="H217">
        <v>41</v>
      </c>
      <c r="K217">
        <v>33</v>
      </c>
      <c r="L217">
        <v>54</v>
      </c>
      <c r="M217">
        <v>39778828.828828834</v>
      </c>
      <c r="N217">
        <v>48342162.16216217</v>
      </c>
      <c r="O217">
        <v>52558601.801801801</v>
      </c>
      <c r="P217">
        <v>58091531.531531535</v>
      </c>
      <c r="Q217">
        <v>22004684.684684686</v>
      </c>
      <c r="R217">
        <v>26654864.864864867</v>
      </c>
      <c r="S217">
        <v>8077</v>
      </c>
      <c r="T217">
        <v>8195</v>
      </c>
    </row>
    <row r="218" spans="1:20" x14ac:dyDescent="0.35">
      <c r="A218" s="7" t="s">
        <v>309</v>
      </c>
      <c r="B218" s="12" t="s">
        <v>132</v>
      </c>
      <c r="C218">
        <v>292013297.26100749</v>
      </c>
      <c r="D218">
        <v>237978754.24346495</v>
      </c>
      <c r="E218">
        <v>1322522.5225225231</v>
      </c>
      <c r="F218">
        <v>1993693.6936936949</v>
      </c>
      <c r="G218">
        <v>64</v>
      </c>
      <c r="H218">
        <v>63</v>
      </c>
      <c r="K218">
        <v>81</v>
      </c>
      <c r="L218">
        <v>81</v>
      </c>
      <c r="M218">
        <v>13033783.783783786</v>
      </c>
      <c r="N218">
        <v>12444144.144144144</v>
      </c>
      <c r="O218">
        <v>77457234.234234244</v>
      </c>
      <c r="P218">
        <v>63951765.765765771</v>
      </c>
      <c r="Q218">
        <v>13349549.549549552</v>
      </c>
      <c r="R218">
        <v>9278468.4684684686</v>
      </c>
      <c r="S218">
        <v>12385</v>
      </c>
      <c r="T218">
        <v>11003</v>
      </c>
    </row>
    <row r="219" spans="1:20" x14ac:dyDescent="0.35">
      <c r="A219" s="7" t="s">
        <v>310</v>
      </c>
      <c r="B219" s="12" t="s">
        <v>72</v>
      </c>
      <c r="C219">
        <v>437553315.31502485</v>
      </c>
      <c r="D219">
        <v>419634623.21953267</v>
      </c>
      <c r="E219">
        <v>1184324.3243243301</v>
      </c>
      <c r="F219">
        <v>3284009.0090090162</v>
      </c>
      <c r="G219">
        <v>88</v>
      </c>
      <c r="H219">
        <v>82</v>
      </c>
      <c r="K219">
        <v>114</v>
      </c>
      <c r="L219">
        <v>114</v>
      </c>
      <c r="M219">
        <v>60458198.198198192</v>
      </c>
      <c r="N219">
        <v>55809009.009009011</v>
      </c>
      <c r="O219">
        <v>100261882.88288288</v>
      </c>
      <c r="P219">
        <v>102453081.53153154</v>
      </c>
      <c r="Q219">
        <v>48686846.846846849</v>
      </c>
      <c r="R219">
        <v>52248468.468468472</v>
      </c>
      <c r="S219">
        <v>15619</v>
      </c>
      <c r="T219">
        <v>16659</v>
      </c>
    </row>
    <row r="220" spans="1:20" x14ac:dyDescent="0.35">
      <c r="A220" s="7" t="s">
        <v>311</v>
      </c>
      <c r="B220" s="12" t="s">
        <v>62</v>
      </c>
      <c r="C220">
        <v>74706357.068125665</v>
      </c>
      <c r="D220">
        <v>71635430.86829327</v>
      </c>
      <c r="E220">
        <v>196396.396396397</v>
      </c>
      <c r="F220">
        <v>427927.92792793002</v>
      </c>
      <c r="G220">
        <v>9</v>
      </c>
      <c r="H220">
        <v>12</v>
      </c>
      <c r="K220">
        <v>9</v>
      </c>
      <c r="L220">
        <v>14</v>
      </c>
      <c r="M220">
        <v>15972612.612612613</v>
      </c>
      <c r="N220">
        <v>17748468.468468469</v>
      </c>
      <c r="O220">
        <v>19979045.045045044</v>
      </c>
      <c r="P220">
        <v>19449261.261261258</v>
      </c>
      <c r="Q220">
        <v>11205315.315315315</v>
      </c>
      <c r="R220">
        <v>14044414.414414415</v>
      </c>
      <c r="S220">
        <v>2257</v>
      </c>
      <c r="T220">
        <v>2290</v>
      </c>
    </row>
    <row r="221" spans="1:20" x14ac:dyDescent="0.35">
      <c r="A221" s="7" t="s">
        <v>312</v>
      </c>
      <c r="B221" s="12" t="s">
        <v>89</v>
      </c>
      <c r="C221">
        <v>25162960.957860895</v>
      </c>
      <c r="D221">
        <v>24347508.035939045</v>
      </c>
      <c r="E221">
        <v>28828.828828828999</v>
      </c>
      <c r="F221">
        <v>227027.02702702599</v>
      </c>
      <c r="G221">
        <v>4</v>
      </c>
      <c r="H221">
        <v>7</v>
      </c>
      <c r="K221">
        <v>4</v>
      </c>
      <c r="L221">
        <v>7</v>
      </c>
      <c r="M221">
        <v>1136936.9369369361</v>
      </c>
      <c r="N221">
        <v>4281261.261261262</v>
      </c>
      <c r="O221">
        <v>7141891.8918918921</v>
      </c>
      <c r="P221">
        <v>8479045.0450450443</v>
      </c>
      <c r="Q221">
        <v>679729.72972972901</v>
      </c>
      <c r="R221">
        <v>4350450.4504504493</v>
      </c>
      <c r="S221">
        <v>1226</v>
      </c>
      <c r="T221">
        <v>1223</v>
      </c>
    </row>
    <row r="222" spans="1:20" x14ac:dyDescent="0.35">
      <c r="A222" s="7" t="s">
        <v>313</v>
      </c>
      <c r="B222" s="12" t="s">
        <v>92</v>
      </c>
      <c r="C222">
        <v>11536217.322133452</v>
      </c>
      <c r="D222">
        <v>11430489.376227304</v>
      </c>
      <c r="F222">
        <v>54054.054054054002</v>
      </c>
      <c r="G222">
        <v>1</v>
      </c>
      <c r="H222">
        <v>2</v>
      </c>
      <c r="K222">
        <v>1</v>
      </c>
      <c r="L222">
        <v>2</v>
      </c>
      <c r="N222">
        <v>54054.054054054002</v>
      </c>
      <c r="O222">
        <v>905630.630630631</v>
      </c>
      <c r="P222">
        <v>702252.25225225196</v>
      </c>
      <c r="R222">
        <v>145045.045045045</v>
      </c>
      <c r="S222">
        <v>529</v>
      </c>
      <c r="T222">
        <v>850</v>
      </c>
    </row>
    <row r="223" spans="1:20" x14ac:dyDescent="0.35">
      <c r="A223" s="7" t="s">
        <v>314</v>
      </c>
      <c r="B223" s="12" t="s">
        <v>315</v>
      </c>
      <c r="C223">
        <v>92459344.896570668</v>
      </c>
      <c r="D223">
        <v>82656008.469508946</v>
      </c>
      <c r="E223">
        <v>54954.954954954999</v>
      </c>
      <c r="F223">
        <v>493243.24324324197</v>
      </c>
      <c r="G223">
        <v>28</v>
      </c>
      <c r="H223">
        <v>18</v>
      </c>
      <c r="K223">
        <v>32</v>
      </c>
      <c r="L223">
        <v>18</v>
      </c>
      <c r="M223">
        <v>3136036.0360360332</v>
      </c>
      <c r="N223">
        <v>5793693.6936936909</v>
      </c>
      <c r="O223">
        <v>14226666.666666666</v>
      </c>
      <c r="P223">
        <v>12494441.441441439</v>
      </c>
      <c r="Q223">
        <v>3921081.0810810779</v>
      </c>
      <c r="R223">
        <v>5174774.7747747721</v>
      </c>
      <c r="S223">
        <v>3526</v>
      </c>
      <c r="T223">
        <v>6380</v>
      </c>
    </row>
    <row r="224" spans="1:20" x14ac:dyDescent="0.35">
      <c r="A224" s="7" t="s">
        <v>316</v>
      </c>
      <c r="B224" s="12" t="s">
        <v>62</v>
      </c>
      <c r="C224">
        <v>139331531.40954435</v>
      </c>
      <c r="D224">
        <v>145126515.95571682</v>
      </c>
      <c r="E224">
        <v>605855.85585585795</v>
      </c>
      <c r="F224">
        <v>79072072.072072074</v>
      </c>
      <c r="G224">
        <v>47</v>
      </c>
      <c r="H224">
        <v>28</v>
      </c>
      <c r="K224">
        <v>58</v>
      </c>
      <c r="L224">
        <v>41</v>
      </c>
      <c r="M224">
        <v>9853423.4234234206</v>
      </c>
      <c r="N224">
        <v>26835315.315315317</v>
      </c>
      <c r="O224">
        <v>49047468.468468465</v>
      </c>
      <c r="P224">
        <v>48744747.747747742</v>
      </c>
      <c r="Q224">
        <v>9465135.1351351328</v>
      </c>
      <c r="R224">
        <v>23662342.342342339</v>
      </c>
      <c r="S224">
        <v>8524</v>
      </c>
      <c r="T224">
        <v>8693</v>
      </c>
    </row>
    <row r="225" spans="1:20" x14ac:dyDescent="0.35">
      <c r="A225" s="7" t="s">
        <v>317</v>
      </c>
      <c r="B225" s="12" t="s">
        <v>62</v>
      </c>
      <c r="C225">
        <v>141805486.18869889</v>
      </c>
      <c r="D225">
        <v>132183872.2376793</v>
      </c>
      <c r="E225">
        <v>91891.891891894003</v>
      </c>
      <c r="F225">
        <v>826126.12612612802</v>
      </c>
      <c r="G225">
        <v>45</v>
      </c>
      <c r="H225">
        <v>14</v>
      </c>
      <c r="K225">
        <v>50</v>
      </c>
      <c r="L225">
        <v>16</v>
      </c>
      <c r="M225">
        <v>10383963.963963963</v>
      </c>
      <c r="N225">
        <v>18925765.765765764</v>
      </c>
      <c r="O225">
        <v>47255630.630630635</v>
      </c>
      <c r="P225">
        <v>45072207.20720721</v>
      </c>
      <c r="Q225">
        <v>12101441.441441439</v>
      </c>
      <c r="R225">
        <v>16402342.342342339</v>
      </c>
      <c r="S225">
        <v>5630</v>
      </c>
      <c r="T225">
        <v>5470</v>
      </c>
    </row>
    <row r="226" spans="1:20" x14ac:dyDescent="0.35">
      <c r="A226" s="7" t="s">
        <v>318</v>
      </c>
      <c r="B226" s="12" t="s">
        <v>78</v>
      </c>
      <c r="C226">
        <v>143917701.05352324</v>
      </c>
      <c r="D226">
        <v>136080772.57250088</v>
      </c>
      <c r="E226">
        <v>2421261.2612612648</v>
      </c>
      <c r="F226">
        <v>2483783.7837837902</v>
      </c>
      <c r="G226">
        <v>24</v>
      </c>
      <c r="H226">
        <v>34</v>
      </c>
      <c r="K226">
        <v>32</v>
      </c>
      <c r="L226">
        <v>65</v>
      </c>
      <c r="M226">
        <v>29295135.135135129</v>
      </c>
      <c r="N226">
        <v>30251351.351351351</v>
      </c>
      <c r="O226">
        <v>57892477.477477483</v>
      </c>
      <c r="P226">
        <v>57802923.423423424</v>
      </c>
      <c r="Q226">
        <v>29333513.513513513</v>
      </c>
      <c r="R226">
        <v>30860900.900900904</v>
      </c>
      <c r="S226">
        <v>8829</v>
      </c>
      <c r="T226">
        <v>8532</v>
      </c>
    </row>
    <row r="227" spans="1:20" x14ac:dyDescent="0.35">
      <c r="A227" s="7" t="s">
        <v>319</v>
      </c>
      <c r="B227" s="12" t="s">
        <v>78</v>
      </c>
      <c r="C227">
        <v>86939029.868311465</v>
      </c>
      <c r="D227">
        <v>80967169.949564978</v>
      </c>
      <c r="E227">
        <v>1278558.558558559</v>
      </c>
      <c r="F227">
        <v>1283783.783783786</v>
      </c>
      <c r="G227">
        <v>14</v>
      </c>
      <c r="H227">
        <v>29</v>
      </c>
      <c r="I227">
        <v>1</v>
      </c>
      <c r="K227">
        <v>20</v>
      </c>
      <c r="L227">
        <v>42</v>
      </c>
      <c r="M227">
        <v>9652432.4324324317</v>
      </c>
      <c r="N227">
        <v>7499999.9999999991</v>
      </c>
      <c r="O227">
        <v>30229027.02702703</v>
      </c>
      <c r="P227">
        <v>29130405.40540541</v>
      </c>
      <c r="Q227">
        <v>8178828.8288288265</v>
      </c>
      <c r="R227">
        <v>5821351.3513513543</v>
      </c>
      <c r="S227">
        <v>5815</v>
      </c>
      <c r="T227">
        <v>5786</v>
      </c>
    </row>
    <row r="228" spans="1:20" x14ac:dyDescent="0.35">
      <c r="A228" s="7" t="s">
        <v>320</v>
      </c>
      <c r="B228" s="12" t="s">
        <v>121</v>
      </c>
      <c r="C228">
        <v>658014.35826451704</v>
      </c>
      <c r="D228">
        <v>608747.340690276</v>
      </c>
      <c r="G228">
        <v>1</v>
      </c>
      <c r="K228">
        <v>3</v>
      </c>
      <c r="O228">
        <v>179279.279279279</v>
      </c>
      <c r="P228">
        <v>35225.225225224996</v>
      </c>
      <c r="S228">
        <v>67</v>
      </c>
      <c r="T228">
        <v>142</v>
      </c>
    </row>
    <row r="229" spans="1:20" x14ac:dyDescent="0.35">
      <c r="A229" s="7" t="s">
        <v>321</v>
      </c>
      <c r="B229" s="12" t="s">
        <v>224</v>
      </c>
      <c r="C229">
        <v>109731784.56400813</v>
      </c>
      <c r="D229">
        <v>96247005.837558955</v>
      </c>
      <c r="F229">
        <v>18018.018018018</v>
      </c>
      <c r="G229">
        <v>31</v>
      </c>
      <c r="H229">
        <v>22</v>
      </c>
      <c r="K229">
        <v>34</v>
      </c>
      <c r="L229">
        <v>28</v>
      </c>
      <c r="M229">
        <v>3419819.819819822</v>
      </c>
      <c r="N229">
        <v>1821261.2612612599</v>
      </c>
      <c r="O229">
        <v>39932252.252252258</v>
      </c>
      <c r="P229">
        <v>39489304.504504502</v>
      </c>
      <c r="Q229">
        <v>3082612.612612613</v>
      </c>
      <c r="R229">
        <v>1933513.513513511</v>
      </c>
      <c r="S229">
        <v>3888</v>
      </c>
      <c r="T229">
        <v>3868</v>
      </c>
    </row>
    <row r="230" spans="1:20" x14ac:dyDescent="0.35">
      <c r="A230" s="7" t="s">
        <v>322</v>
      </c>
      <c r="B230" s="12" t="s">
        <v>224</v>
      </c>
      <c r="C230">
        <v>78047463.756645963</v>
      </c>
      <c r="D230">
        <v>66763285.824712522</v>
      </c>
      <c r="E230">
        <v>26126.126126127001</v>
      </c>
      <c r="F230">
        <v>16216.216216217001</v>
      </c>
      <c r="G230">
        <v>9</v>
      </c>
      <c r="H230">
        <v>3</v>
      </c>
      <c r="K230">
        <v>9</v>
      </c>
      <c r="L230">
        <v>3</v>
      </c>
      <c r="M230">
        <v>7374234.2342342334</v>
      </c>
      <c r="N230">
        <v>6548468.4684684668</v>
      </c>
      <c r="O230">
        <v>21178288.288288288</v>
      </c>
      <c r="P230">
        <v>19737301.801801801</v>
      </c>
      <c r="Q230">
        <v>6048018.0180180203</v>
      </c>
      <c r="R230">
        <v>4961621.6216216208</v>
      </c>
      <c r="S230">
        <v>2285</v>
      </c>
      <c r="T230">
        <v>2183</v>
      </c>
    </row>
    <row r="231" spans="1:20" x14ac:dyDescent="0.35">
      <c r="A231" s="7" t="s">
        <v>323</v>
      </c>
      <c r="B231" s="12" t="s">
        <v>78</v>
      </c>
      <c r="C231">
        <v>104798364.03495874</v>
      </c>
      <c r="D231">
        <v>104129298.1499801</v>
      </c>
      <c r="E231">
        <v>752702.70270270295</v>
      </c>
      <c r="F231">
        <v>420720.72072072199</v>
      </c>
      <c r="G231">
        <v>34</v>
      </c>
      <c r="H231">
        <v>59</v>
      </c>
      <c r="K231">
        <v>35</v>
      </c>
      <c r="L231">
        <v>114</v>
      </c>
      <c r="M231">
        <v>13604054.054054052</v>
      </c>
      <c r="N231">
        <v>13033333.333333332</v>
      </c>
      <c r="O231">
        <v>28985175.675675675</v>
      </c>
      <c r="P231">
        <v>31498099.0990991</v>
      </c>
      <c r="Q231">
        <v>10945495.495495496</v>
      </c>
      <c r="R231">
        <v>12005675.675675672</v>
      </c>
      <c r="S231">
        <v>4569</v>
      </c>
      <c r="T231">
        <v>4583</v>
      </c>
    </row>
    <row r="232" spans="1:20" x14ac:dyDescent="0.35">
      <c r="A232" s="7" t="s">
        <v>324</v>
      </c>
      <c r="B232" s="12" t="s">
        <v>108</v>
      </c>
      <c r="C232">
        <v>492373198.36153299</v>
      </c>
      <c r="D232">
        <v>482509182.05117202</v>
      </c>
      <c r="E232">
        <v>620866292.7927928</v>
      </c>
      <c r="F232">
        <v>5041172.972972977</v>
      </c>
      <c r="G232">
        <v>106</v>
      </c>
      <c r="H232">
        <v>137</v>
      </c>
      <c r="K232">
        <v>159</v>
      </c>
      <c r="L232">
        <v>195</v>
      </c>
      <c r="M232">
        <v>41041531.531531528</v>
      </c>
      <c r="N232">
        <v>37117297.297297299</v>
      </c>
      <c r="O232">
        <v>118144977.47747748</v>
      </c>
      <c r="P232">
        <v>125465324.32432432</v>
      </c>
      <c r="Q232">
        <v>43382972.972972967</v>
      </c>
      <c r="R232">
        <v>40908018.018018015</v>
      </c>
      <c r="S232">
        <v>22395</v>
      </c>
      <c r="T232">
        <v>23136</v>
      </c>
    </row>
    <row r="233" spans="1:20" x14ac:dyDescent="0.35">
      <c r="A233" s="7" t="s">
        <v>325</v>
      </c>
      <c r="B233" s="12" t="s">
        <v>224</v>
      </c>
      <c r="C233">
        <v>119093762.59717579</v>
      </c>
      <c r="D233">
        <v>99551860.732071787</v>
      </c>
      <c r="E233">
        <v>533873.87387387396</v>
      </c>
      <c r="F233">
        <v>280180.18018018</v>
      </c>
      <c r="G233">
        <v>37</v>
      </c>
      <c r="H233">
        <v>8</v>
      </c>
      <c r="K233">
        <v>40</v>
      </c>
      <c r="L233">
        <v>11</v>
      </c>
      <c r="M233">
        <v>10414954.954954954</v>
      </c>
      <c r="N233">
        <v>8481621.6216216199</v>
      </c>
      <c r="O233">
        <v>21150558.558558561</v>
      </c>
      <c r="P233">
        <v>20894045.045045044</v>
      </c>
      <c r="Q233">
        <v>8987387.3873873875</v>
      </c>
      <c r="R233">
        <v>9075405.405405404</v>
      </c>
      <c r="S233">
        <v>4274</v>
      </c>
      <c r="T233">
        <v>4356</v>
      </c>
    </row>
    <row r="234" spans="1:20" x14ac:dyDescent="0.35">
      <c r="A234" s="7" t="s">
        <v>4</v>
      </c>
      <c r="B234" s="12" t="s">
        <v>158</v>
      </c>
      <c r="C234">
        <v>83405272.082136557</v>
      </c>
      <c r="D234">
        <v>84817983.746916384</v>
      </c>
      <c r="E234">
        <v>733333.33333333395</v>
      </c>
      <c r="F234">
        <v>851351.35135135299</v>
      </c>
      <c r="G234">
        <v>8</v>
      </c>
      <c r="H234">
        <v>6</v>
      </c>
      <c r="K234">
        <v>8</v>
      </c>
      <c r="L234">
        <v>7</v>
      </c>
      <c r="M234">
        <v>11898648.648648649</v>
      </c>
      <c r="N234">
        <v>19953153.153153151</v>
      </c>
      <c r="O234">
        <v>30087432.432432432</v>
      </c>
      <c r="P234">
        <v>29084072.072072074</v>
      </c>
      <c r="Q234">
        <v>13392612.612612613</v>
      </c>
      <c r="R234">
        <v>22406576.576576576</v>
      </c>
      <c r="S234">
        <v>3563</v>
      </c>
      <c r="T234">
        <v>3611</v>
      </c>
    </row>
    <row r="235" spans="1:20" x14ac:dyDescent="0.35">
      <c r="A235" s="7" t="s">
        <v>326</v>
      </c>
      <c r="B235" s="12" t="s">
        <v>108</v>
      </c>
      <c r="C235">
        <v>392274628.06797415</v>
      </c>
      <c r="D235">
        <v>390673297.60752362</v>
      </c>
      <c r="E235">
        <v>44638018.018018022</v>
      </c>
      <c r="F235">
        <v>18708333.333333343</v>
      </c>
      <c r="G235">
        <v>97</v>
      </c>
      <c r="H235">
        <v>108</v>
      </c>
      <c r="K235">
        <v>129</v>
      </c>
      <c r="L235">
        <v>158</v>
      </c>
      <c r="M235">
        <v>52760090.090090089</v>
      </c>
      <c r="N235">
        <v>47163423.423423424</v>
      </c>
      <c r="O235">
        <v>111763423.42342342</v>
      </c>
      <c r="P235">
        <v>119499909.9099099</v>
      </c>
      <c r="Q235">
        <v>47392162.162162162</v>
      </c>
      <c r="R235">
        <v>41002612.612612613</v>
      </c>
      <c r="S235">
        <v>20114</v>
      </c>
      <c r="T235">
        <v>20146</v>
      </c>
    </row>
    <row r="236" spans="1:20" x14ac:dyDescent="0.35">
      <c r="A236" s="7" t="s">
        <v>327</v>
      </c>
      <c r="B236" s="12" t="s">
        <v>78</v>
      </c>
      <c r="C236">
        <v>41114824.626961961</v>
      </c>
      <c r="D236">
        <v>40399177.260854587</v>
      </c>
      <c r="E236">
        <v>15012612.612612613</v>
      </c>
      <c r="F236">
        <v>33912612.612612613</v>
      </c>
      <c r="G236">
        <v>21</v>
      </c>
      <c r="H236">
        <v>15</v>
      </c>
      <c r="K236">
        <v>21</v>
      </c>
      <c r="L236">
        <v>17</v>
      </c>
      <c r="M236">
        <v>2183783.7837837832</v>
      </c>
      <c r="N236">
        <v>3669369.369369369</v>
      </c>
      <c r="O236">
        <v>12325675.675675675</v>
      </c>
      <c r="P236">
        <v>13286594.594594596</v>
      </c>
      <c r="Q236">
        <v>2404414.4144144151</v>
      </c>
      <c r="R236">
        <v>3524054.054054053</v>
      </c>
      <c r="S236">
        <v>2040</v>
      </c>
      <c r="T236">
        <v>1908</v>
      </c>
    </row>
    <row r="237" spans="1:20" x14ac:dyDescent="0.35">
      <c r="A237" s="7" t="s">
        <v>328</v>
      </c>
      <c r="B237" s="12" t="s">
        <v>121</v>
      </c>
      <c r="C237">
        <v>114920865.17362848</v>
      </c>
      <c r="D237">
        <v>106614028.11991157</v>
      </c>
      <c r="E237">
        <v>131531.531531532</v>
      </c>
      <c r="F237">
        <v>570045.04504504404</v>
      </c>
      <c r="G237">
        <v>41</v>
      </c>
      <c r="H237">
        <v>33</v>
      </c>
      <c r="K237">
        <v>48</v>
      </c>
      <c r="L237">
        <v>38</v>
      </c>
      <c r="M237">
        <v>4420720.7207207214</v>
      </c>
      <c r="N237">
        <v>8801801.8018018026</v>
      </c>
      <c r="O237">
        <v>16005864.864864865</v>
      </c>
      <c r="P237">
        <v>15513536.036036037</v>
      </c>
      <c r="Q237">
        <v>5369009.0090090083</v>
      </c>
      <c r="R237">
        <v>5453963.9639639622</v>
      </c>
      <c r="S237">
        <v>4064</v>
      </c>
      <c r="T237">
        <v>4535</v>
      </c>
    </row>
    <row r="238" spans="1:20" x14ac:dyDescent="0.35">
      <c r="A238" s="7" t="s">
        <v>329</v>
      </c>
      <c r="B238" s="12" t="s">
        <v>330</v>
      </c>
      <c r="C238">
        <v>266311219.9598366</v>
      </c>
      <c r="D238">
        <v>250650980.09323066</v>
      </c>
      <c r="E238">
        <v>1107657.6576576601</v>
      </c>
      <c r="F238">
        <v>2289414.414414417</v>
      </c>
      <c r="G238">
        <v>89</v>
      </c>
      <c r="H238">
        <v>93</v>
      </c>
      <c r="I238">
        <v>7</v>
      </c>
      <c r="K238">
        <v>108</v>
      </c>
      <c r="L238">
        <v>117</v>
      </c>
      <c r="M238">
        <v>18048918.918918915</v>
      </c>
      <c r="N238">
        <v>19536936.936936937</v>
      </c>
      <c r="O238">
        <v>54240540.540540539</v>
      </c>
      <c r="P238">
        <v>53032326.576576576</v>
      </c>
      <c r="Q238">
        <v>16581171.171171168</v>
      </c>
      <c r="R238">
        <v>17510270.270270269</v>
      </c>
      <c r="S238">
        <v>15207</v>
      </c>
      <c r="T238">
        <v>13984</v>
      </c>
    </row>
    <row r="239" spans="1:20" x14ac:dyDescent="0.35">
      <c r="A239" s="7" t="s">
        <v>331</v>
      </c>
      <c r="B239" s="12" t="s">
        <v>290</v>
      </c>
      <c r="C239">
        <v>390755102.66409892</v>
      </c>
      <c r="D239">
        <v>376383908.84381294</v>
      </c>
      <c r="E239">
        <v>840540.54054054106</v>
      </c>
      <c r="F239">
        <v>2174324.324324328</v>
      </c>
      <c r="G239">
        <v>119</v>
      </c>
      <c r="H239">
        <v>125</v>
      </c>
      <c r="I239">
        <v>6</v>
      </c>
      <c r="K239">
        <v>143</v>
      </c>
      <c r="L239">
        <v>154</v>
      </c>
      <c r="M239">
        <v>35179279.279279292</v>
      </c>
      <c r="N239">
        <v>36700000</v>
      </c>
      <c r="O239">
        <v>66869414.414414413</v>
      </c>
      <c r="P239">
        <v>67503926.126126125</v>
      </c>
      <c r="Q239">
        <v>33756800.000000007</v>
      </c>
      <c r="R239">
        <v>32924054.054054055</v>
      </c>
      <c r="S239">
        <v>17118</v>
      </c>
      <c r="T239">
        <v>16771</v>
      </c>
    </row>
    <row r="240" spans="1:20" x14ac:dyDescent="0.35">
      <c r="A240" s="7" t="s">
        <v>332</v>
      </c>
      <c r="B240" s="12" t="s">
        <v>290</v>
      </c>
      <c r="C240">
        <v>284796165.63131487</v>
      </c>
      <c r="D240">
        <v>286462863.20963633</v>
      </c>
      <c r="E240">
        <v>64865614.414414413</v>
      </c>
      <c r="F240">
        <v>84356923.423423424</v>
      </c>
      <c r="G240">
        <v>86</v>
      </c>
      <c r="H240">
        <v>49</v>
      </c>
      <c r="I240">
        <v>2</v>
      </c>
      <c r="K240">
        <v>100</v>
      </c>
      <c r="L240">
        <v>60</v>
      </c>
      <c r="M240">
        <v>38844020.720720723</v>
      </c>
      <c r="N240">
        <v>51181619.819819823</v>
      </c>
      <c r="O240">
        <v>69214855.855855852</v>
      </c>
      <c r="P240">
        <v>76089783.783783779</v>
      </c>
      <c r="Q240">
        <v>32815585.58558559</v>
      </c>
      <c r="R240">
        <v>39779459.459459461</v>
      </c>
      <c r="S240">
        <v>14784</v>
      </c>
      <c r="T240">
        <v>14906</v>
      </c>
    </row>
    <row r="241" spans="1:20" x14ac:dyDescent="0.35">
      <c r="A241" s="7" t="s">
        <v>333</v>
      </c>
      <c r="B241" s="12" t="s">
        <v>60</v>
      </c>
      <c r="C241">
        <v>39229742.29732845</v>
      </c>
      <c r="D241">
        <v>39840046.561878234</v>
      </c>
      <c r="E241">
        <v>331531.531531532</v>
      </c>
      <c r="F241">
        <v>723423.42342342401</v>
      </c>
      <c r="G241">
        <v>14</v>
      </c>
      <c r="H241">
        <v>37</v>
      </c>
      <c r="K241">
        <v>18</v>
      </c>
      <c r="L241">
        <v>48</v>
      </c>
      <c r="M241">
        <v>9457657.6576576568</v>
      </c>
      <c r="N241">
        <v>10035135.135135135</v>
      </c>
      <c r="O241">
        <v>13512927.927927928</v>
      </c>
      <c r="P241">
        <v>13923189.189189188</v>
      </c>
      <c r="Q241">
        <v>9502702.7027027048</v>
      </c>
      <c r="R241">
        <v>9277207.2072072085</v>
      </c>
      <c r="S241">
        <v>1748</v>
      </c>
      <c r="T241">
        <v>1913</v>
      </c>
    </row>
    <row r="242" spans="1:20" x14ac:dyDescent="0.35">
      <c r="A242" s="7" t="s">
        <v>334</v>
      </c>
      <c r="B242" s="12" t="s">
        <v>60</v>
      </c>
      <c r="C242">
        <v>5965170.6771460213</v>
      </c>
      <c r="D242">
        <v>7246377.4370761886</v>
      </c>
      <c r="E242">
        <v>28503603.603603605</v>
      </c>
      <c r="F242">
        <v>29494594.594594598</v>
      </c>
      <c r="G242">
        <v>1</v>
      </c>
      <c r="H242">
        <v>3</v>
      </c>
      <c r="K242">
        <v>1</v>
      </c>
      <c r="L242">
        <v>5</v>
      </c>
      <c r="M242">
        <v>2057657.657657658</v>
      </c>
      <c r="N242">
        <v>741891.89189189102</v>
      </c>
      <c r="O242">
        <v>3367297.297297298</v>
      </c>
      <c r="P242">
        <v>4503423.4234234244</v>
      </c>
      <c r="Q242">
        <v>302702.70270270202</v>
      </c>
      <c r="R242">
        <v>408918.91891891899</v>
      </c>
      <c r="S242">
        <v>925</v>
      </c>
      <c r="T242">
        <v>1016</v>
      </c>
    </row>
    <row r="243" spans="1:20" x14ac:dyDescent="0.35">
      <c r="A243" s="7" t="s">
        <v>335</v>
      </c>
      <c r="B243" s="12" t="s">
        <v>121</v>
      </c>
      <c r="C243">
        <v>52260.720796471003</v>
      </c>
      <c r="D243">
        <v>962080.23502634303</v>
      </c>
      <c r="O243">
        <v>34234.234234233998</v>
      </c>
      <c r="P243">
        <v>81081.081081081007</v>
      </c>
      <c r="T243">
        <v>155</v>
      </c>
    </row>
    <row r="244" spans="1:20" x14ac:dyDescent="0.35">
      <c r="A244" s="7" t="s">
        <v>336</v>
      </c>
      <c r="B244" s="12" t="s">
        <v>121</v>
      </c>
      <c r="C244">
        <v>1487432.25800163</v>
      </c>
      <c r="D244">
        <v>1439301.5503509501</v>
      </c>
      <c r="G244">
        <v>2</v>
      </c>
      <c r="K244">
        <v>3</v>
      </c>
      <c r="O244">
        <v>399819.81981982</v>
      </c>
      <c r="P244">
        <v>348738.73873873899</v>
      </c>
      <c r="S244">
        <v>109</v>
      </c>
      <c r="T244">
        <v>93</v>
      </c>
    </row>
    <row r="245" spans="1:20" x14ac:dyDescent="0.35">
      <c r="A245" s="7" t="s">
        <v>337</v>
      </c>
      <c r="B245" s="12" t="s">
        <v>121</v>
      </c>
      <c r="C245">
        <v>1224421.3618818671</v>
      </c>
      <c r="D245">
        <v>1057369.7332594281</v>
      </c>
      <c r="G245">
        <v>2</v>
      </c>
      <c r="K245">
        <v>2</v>
      </c>
      <c r="O245">
        <v>99774.774774774996</v>
      </c>
      <c r="P245">
        <v>14414.414414413999</v>
      </c>
      <c r="S245">
        <v>151</v>
      </c>
      <c r="T245">
        <v>133</v>
      </c>
    </row>
    <row r="246" spans="1:20" x14ac:dyDescent="0.35">
      <c r="A246" s="7" t="s">
        <v>338</v>
      </c>
      <c r="B246" s="12" t="s">
        <v>140</v>
      </c>
      <c r="C246">
        <v>444085678.57573169</v>
      </c>
      <c r="D246">
        <v>434269124.65588599</v>
      </c>
      <c r="E246">
        <v>340450.450450456</v>
      </c>
      <c r="F246">
        <v>1604504.5045045109</v>
      </c>
      <c r="G246">
        <v>127</v>
      </c>
      <c r="H246">
        <v>52</v>
      </c>
      <c r="K246">
        <v>140</v>
      </c>
      <c r="L246">
        <v>114</v>
      </c>
      <c r="M246">
        <v>45739557.657657661</v>
      </c>
      <c r="N246">
        <v>40054324.324324317</v>
      </c>
      <c r="O246">
        <v>85306520.720720723</v>
      </c>
      <c r="P246">
        <v>85635009.009009004</v>
      </c>
      <c r="Q246">
        <v>36713423.423423424</v>
      </c>
      <c r="R246">
        <v>36254324.324324317</v>
      </c>
      <c r="S246">
        <v>16044</v>
      </c>
      <c r="T246">
        <v>16004</v>
      </c>
    </row>
    <row r="247" spans="1:20" x14ac:dyDescent="0.35">
      <c r="A247" s="7" t="s">
        <v>339</v>
      </c>
      <c r="B247" s="12" t="s">
        <v>121</v>
      </c>
      <c r="C247">
        <v>71087424.754493788</v>
      </c>
      <c r="D247">
        <v>66384035.644424118</v>
      </c>
      <c r="E247">
        <v>3603.603603604</v>
      </c>
      <c r="G247">
        <v>42</v>
      </c>
      <c r="H247">
        <v>18</v>
      </c>
      <c r="K247">
        <v>47</v>
      </c>
      <c r="L247">
        <v>20</v>
      </c>
      <c r="M247">
        <v>3603.603603604</v>
      </c>
      <c r="O247">
        <v>4894270.2702702712</v>
      </c>
      <c r="P247">
        <v>4376666.666666666</v>
      </c>
      <c r="S247">
        <v>2428</v>
      </c>
      <c r="T247">
        <v>2446</v>
      </c>
    </row>
    <row r="248" spans="1:20" x14ac:dyDescent="0.35">
      <c r="A248" s="7" t="s">
        <v>340</v>
      </c>
      <c r="B248" s="12" t="s">
        <v>140</v>
      </c>
      <c r="C248">
        <v>223768836.84194851</v>
      </c>
      <c r="D248">
        <v>235603368.80257598</v>
      </c>
      <c r="E248">
        <v>250000</v>
      </c>
      <c r="F248">
        <v>940990.99099099298</v>
      </c>
      <c r="G248">
        <v>25</v>
      </c>
      <c r="H248">
        <v>39</v>
      </c>
      <c r="I248">
        <v>5</v>
      </c>
      <c r="K248">
        <v>56</v>
      </c>
      <c r="L248">
        <v>51</v>
      </c>
      <c r="M248">
        <v>41556306.306306303</v>
      </c>
      <c r="N248">
        <v>40415675.675675675</v>
      </c>
      <c r="O248">
        <v>59294297.297297299</v>
      </c>
      <c r="P248">
        <v>68969061.261261269</v>
      </c>
      <c r="Q248">
        <v>34966936.936936937</v>
      </c>
      <c r="R248">
        <v>35187477.477477483</v>
      </c>
      <c r="S248">
        <v>8693</v>
      </c>
      <c r="T248">
        <v>8870</v>
      </c>
    </row>
    <row r="249" spans="1:20" x14ac:dyDescent="0.35">
      <c r="A249" s="7" t="s">
        <v>341</v>
      </c>
      <c r="B249" s="12" t="s">
        <v>134</v>
      </c>
      <c r="C249">
        <v>27540993.364538759</v>
      </c>
      <c r="D249">
        <v>23919886.355244521</v>
      </c>
      <c r="E249">
        <v>3603.603603604</v>
      </c>
      <c r="F249">
        <v>40540.540540540998</v>
      </c>
      <c r="G249">
        <v>8</v>
      </c>
      <c r="H249">
        <v>5</v>
      </c>
      <c r="K249">
        <v>9</v>
      </c>
      <c r="L249">
        <v>6</v>
      </c>
      <c r="M249">
        <v>769369.369369369</v>
      </c>
      <c r="N249">
        <v>1031531.5315315319</v>
      </c>
      <c r="O249">
        <v>1951486.4864864871</v>
      </c>
      <c r="P249">
        <v>2225711.7117117108</v>
      </c>
      <c r="Q249">
        <v>827297.29729729705</v>
      </c>
      <c r="R249">
        <v>667117.11711711704</v>
      </c>
      <c r="S249">
        <v>1315</v>
      </c>
      <c r="T249">
        <v>2775</v>
      </c>
    </row>
    <row r="250" spans="1:20" x14ac:dyDescent="0.35">
      <c r="A250" s="7" t="s">
        <v>342</v>
      </c>
      <c r="B250" s="12" t="s">
        <v>121</v>
      </c>
      <c r="C250">
        <v>1289806.919882575</v>
      </c>
      <c r="D250">
        <v>576146.14572460495</v>
      </c>
      <c r="E250">
        <v>19029445.945945945</v>
      </c>
      <c r="F250">
        <v>36708371.171171166</v>
      </c>
      <c r="G250">
        <v>2</v>
      </c>
      <c r="K250">
        <v>4</v>
      </c>
      <c r="L250">
        <v>3</v>
      </c>
      <c r="M250">
        <v>896375.67567567597</v>
      </c>
      <c r="N250">
        <v>10079813.513513515</v>
      </c>
      <c r="O250">
        <v>546576.57657657703</v>
      </c>
      <c r="P250">
        <v>211036.03603603601</v>
      </c>
      <c r="S250">
        <v>403</v>
      </c>
      <c r="T250">
        <v>356</v>
      </c>
    </row>
    <row r="251" spans="1:20" x14ac:dyDescent="0.35">
      <c r="A251" s="7" t="s">
        <v>5</v>
      </c>
      <c r="B251" s="12" t="s">
        <v>158</v>
      </c>
      <c r="C251">
        <v>79832689.005819172</v>
      </c>
      <c r="D251">
        <v>91838684.847933054</v>
      </c>
      <c r="E251">
        <v>4395045.0450450452</v>
      </c>
      <c r="F251">
        <v>92111711.711711705</v>
      </c>
      <c r="G251">
        <v>7</v>
      </c>
      <c r="H251">
        <v>12</v>
      </c>
      <c r="K251">
        <v>9</v>
      </c>
      <c r="L251">
        <v>12</v>
      </c>
      <c r="M251">
        <v>24304234.234234236</v>
      </c>
      <c r="N251">
        <v>18582207.207207207</v>
      </c>
      <c r="O251">
        <v>35685315.315315314</v>
      </c>
      <c r="P251">
        <v>37425099.0990991</v>
      </c>
      <c r="Q251">
        <v>4384864.8648648635</v>
      </c>
      <c r="R251">
        <v>7046846.8468468469</v>
      </c>
      <c r="S251">
        <v>3161</v>
      </c>
      <c r="T251">
        <v>3025</v>
      </c>
    </row>
    <row r="252" spans="1:20" x14ac:dyDescent="0.35">
      <c r="A252" s="7" t="s">
        <v>343</v>
      </c>
      <c r="B252" s="12" t="s">
        <v>304</v>
      </c>
      <c r="C252">
        <v>9597497.8384079561</v>
      </c>
      <c r="D252">
        <v>13210912.085002216</v>
      </c>
      <c r="E252">
        <v>23242229.729729727</v>
      </c>
      <c r="F252">
        <v>61073726.126126125</v>
      </c>
      <c r="G252">
        <v>12</v>
      </c>
      <c r="H252">
        <v>7</v>
      </c>
      <c r="K252">
        <v>14</v>
      </c>
      <c r="L252">
        <v>10</v>
      </c>
      <c r="M252">
        <v>31486486.486486487</v>
      </c>
      <c r="N252">
        <v>900900.90090090095</v>
      </c>
      <c r="O252">
        <v>1724729.7297297299</v>
      </c>
      <c r="P252">
        <v>2146180.1801801799</v>
      </c>
      <c r="Q252">
        <v>283783.78378378402</v>
      </c>
      <c r="R252">
        <v>218018.01801801799</v>
      </c>
      <c r="S252">
        <v>564</v>
      </c>
      <c r="T252">
        <v>482</v>
      </c>
    </row>
    <row r="253" spans="1:20" x14ac:dyDescent="0.35">
      <c r="A253" s="7" t="s">
        <v>344</v>
      </c>
      <c r="B253" s="12" t="s">
        <v>105</v>
      </c>
      <c r="C253">
        <v>181199511.16115618</v>
      </c>
      <c r="D253">
        <v>173538406.60403347</v>
      </c>
      <c r="E253">
        <v>168468.46846846899</v>
      </c>
      <c r="F253">
        <v>825675.67567567702</v>
      </c>
      <c r="G253">
        <v>37</v>
      </c>
      <c r="H253">
        <v>26</v>
      </c>
      <c r="K253">
        <v>40</v>
      </c>
      <c r="L253">
        <v>43</v>
      </c>
      <c r="M253">
        <v>23706486.486486487</v>
      </c>
      <c r="N253">
        <v>24786306.306306303</v>
      </c>
      <c r="O253">
        <v>44380306.306306303</v>
      </c>
      <c r="P253">
        <v>42449171.171171166</v>
      </c>
      <c r="Q253">
        <v>23733513.513513513</v>
      </c>
      <c r="R253">
        <v>22481621.62162162</v>
      </c>
      <c r="S253">
        <v>5841</v>
      </c>
      <c r="T253">
        <v>5760</v>
      </c>
    </row>
    <row r="254" spans="1:20" x14ac:dyDescent="0.35">
      <c r="A254" s="7" t="s">
        <v>345</v>
      </c>
      <c r="B254" s="12" t="s">
        <v>87</v>
      </c>
      <c r="C254">
        <v>53705828.376863562</v>
      </c>
      <c r="D254">
        <v>53508594.720737696</v>
      </c>
      <c r="E254">
        <v>332432.432432434</v>
      </c>
      <c r="F254">
        <v>486486.48648648697</v>
      </c>
      <c r="G254">
        <v>30</v>
      </c>
      <c r="H254">
        <v>20</v>
      </c>
      <c r="I254">
        <v>1</v>
      </c>
      <c r="K254">
        <v>33</v>
      </c>
      <c r="L254">
        <v>26</v>
      </c>
      <c r="M254">
        <v>12990090.09009009</v>
      </c>
      <c r="N254">
        <v>15518018.018018017</v>
      </c>
      <c r="O254">
        <v>12470923.423423424</v>
      </c>
      <c r="P254">
        <v>13953574.774774775</v>
      </c>
      <c r="Q254">
        <v>8385495.4954954963</v>
      </c>
      <c r="R254">
        <v>11802745.945945948</v>
      </c>
      <c r="S254">
        <v>2169</v>
      </c>
      <c r="T254">
        <v>2239</v>
      </c>
    </row>
    <row r="255" spans="1:20" x14ac:dyDescent="0.35">
      <c r="A255" s="7" t="s">
        <v>346</v>
      </c>
      <c r="B255" s="12" t="s">
        <v>87</v>
      </c>
      <c r="C255">
        <v>164510134.38080505</v>
      </c>
      <c r="D255">
        <v>149394182.30972278</v>
      </c>
      <c r="E255">
        <v>236036.036036037</v>
      </c>
      <c r="F255">
        <v>1450450.4504504539</v>
      </c>
      <c r="G255">
        <v>108</v>
      </c>
      <c r="H255">
        <v>111</v>
      </c>
      <c r="I255">
        <v>1</v>
      </c>
      <c r="K255">
        <v>135</v>
      </c>
      <c r="L255">
        <v>132</v>
      </c>
      <c r="M255">
        <v>14798198.198198199</v>
      </c>
      <c r="N255">
        <v>16862162.162162162</v>
      </c>
      <c r="O255">
        <v>25322283.783783782</v>
      </c>
      <c r="P255">
        <v>26151549.549549554</v>
      </c>
      <c r="Q255">
        <v>11997657.657657661</v>
      </c>
      <c r="R255">
        <v>13364684.684684685</v>
      </c>
      <c r="S255">
        <v>6940</v>
      </c>
      <c r="T255">
        <v>6421</v>
      </c>
    </row>
    <row r="256" spans="1:20" x14ac:dyDescent="0.35">
      <c r="A256" s="7" t="s">
        <v>347</v>
      </c>
      <c r="B256" s="12" t="s">
        <v>87</v>
      </c>
      <c r="C256">
        <v>4080188.7879838478</v>
      </c>
      <c r="D256">
        <v>4688346.1811011536</v>
      </c>
      <c r="G256">
        <v>2</v>
      </c>
      <c r="H256">
        <v>11</v>
      </c>
      <c r="K256">
        <v>6</v>
      </c>
      <c r="L256">
        <v>13</v>
      </c>
      <c r="O256">
        <v>2335765.7657657661</v>
      </c>
      <c r="P256">
        <v>1852828.8288288279</v>
      </c>
      <c r="S256">
        <v>690</v>
      </c>
      <c r="T256">
        <v>807</v>
      </c>
    </row>
    <row r="257" spans="1:20" x14ac:dyDescent="0.35">
      <c r="A257" s="7" t="s">
        <v>348</v>
      </c>
      <c r="B257" s="12" t="s">
        <v>87</v>
      </c>
      <c r="C257">
        <v>1477162.3081343661</v>
      </c>
      <c r="D257">
        <v>2213678.2807111801</v>
      </c>
      <c r="H257">
        <v>1</v>
      </c>
      <c r="L257">
        <v>1</v>
      </c>
      <c r="O257">
        <v>260720.720720721</v>
      </c>
      <c r="P257">
        <v>943063.06306306296</v>
      </c>
      <c r="S257">
        <v>170</v>
      </c>
      <c r="T257">
        <v>181</v>
      </c>
    </row>
    <row r="258" spans="1:20" x14ac:dyDescent="0.35">
      <c r="A258" s="7" t="s">
        <v>349</v>
      </c>
      <c r="B258" s="12" t="s">
        <v>87</v>
      </c>
      <c r="C258">
        <v>1770557.119532641</v>
      </c>
      <c r="D258">
        <v>1797362.112497631</v>
      </c>
      <c r="G258">
        <v>1</v>
      </c>
      <c r="H258">
        <v>4</v>
      </c>
      <c r="K258">
        <v>2</v>
      </c>
      <c r="L258">
        <v>6</v>
      </c>
      <c r="O258">
        <v>836576.57657657599</v>
      </c>
      <c r="P258">
        <v>1032306.306306306</v>
      </c>
      <c r="S258">
        <v>604</v>
      </c>
      <c r="T258">
        <v>596</v>
      </c>
    </row>
    <row r="259" spans="1:20" x14ac:dyDescent="0.35">
      <c r="A259" s="7" t="s">
        <v>350</v>
      </c>
      <c r="B259" s="12" t="s">
        <v>87</v>
      </c>
      <c r="C259">
        <v>45376685.352439329</v>
      </c>
      <c r="D259">
        <v>47557156.076601729</v>
      </c>
      <c r="E259">
        <v>29753156.756756756</v>
      </c>
      <c r="F259">
        <v>18863422.522522524</v>
      </c>
      <c r="G259">
        <v>22</v>
      </c>
      <c r="H259">
        <v>15</v>
      </c>
      <c r="K259">
        <v>26</v>
      </c>
      <c r="L259">
        <v>17</v>
      </c>
      <c r="M259">
        <v>4158558.558558559</v>
      </c>
      <c r="N259">
        <v>4543243.2432432454</v>
      </c>
      <c r="O259">
        <v>9247432.4324324317</v>
      </c>
      <c r="P259">
        <v>9144819.8198198173</v>
      </c>
      <c r="Q259">
        <v>3646576.576576577</v>
      </c>
      <c r="R259">
        <v>3557207.2072072071</v>
      </c>
      <c r="S259">
        <v>1765</v>
      </c>
      <c r="T259">
        <v>2464</v>
      </c>
    </row>
    <row r="260" spans="1:20" x14ac:dyDescent="0.35">
      <c r="A260" s="7" t="s">
        <v>351</v>
      </c>
      <c r="B260" s="12" t="s">
        <v>50</v>
      </c>
      <c r="C260">
        <v>117026012.38396519</v>
      </c>
      <c r="D260">
        <v>130814835.31205913</v>
      </c>
      <c r="E260">
        <v>236936.936936938</v>
      </c>
      <c r="F260">
        <v>2024324.3243243271</v>
      </c>
      <c r="G260">
        <v>15</v>
      </c>
      <c r="H260">
        <v>44</v>
      </c>
      <c r="K260">
        <v>16</v>
      </c>
      <c r="L260">
        <v>49</v>
      </c>
      <c r="M260">
        <v>17806306.306306306</v>
      </c>
      <c r="N260">
        <v>14982882.88288288</v>
      </c>
      <c r="O260">
        <v>44781036.036036029</v>
      </c>
      <c r="P260">
        <v>50189157.657657653</v>
      </c>
      <c r="Q260">
        <v>16820270.270270273</v>
      </c>
      <c r="R260">
        <v>13281441.441441445</v>
      </c>
      <c r="S260">
        <v>4255</v>
      </c>
      <c r="T260">
        <v>5573</v>
      </c>
    </row>
    <row r="261" spans="1:20" x14ac:dyDescent="0.35">
      <c r="A261" s="7" t="s">
        <v>352</v>
      </c>
      <c r="B261" s="12" t="s">
        <v>123</v>
      </c>
      <c r="C261">
        <v>785407.38760615105</v>
      </c>
      <c r="D261">
        <v>746492.70022863697</v>
      </c>
      <c r="H261">
        <v>1</v>
      </c>
      <c r="K261">
        <v>1</v>
      </c>
      <c r="L261">
        <v>1</v>
      </c>
      <c r="O261">
        <v>315360.36036036001</v>
      </c>
      <c r="P261">
        <v>350045.04504504497</v>
      </c>
      <c r="S261">
        <v>125</v>
      </c>
      <c r="T261">
        <v>108</v>
      </c>
    </row>
    <row r="262" spans="1:20" x14ac:dyDescent="0.35">
      <c r="A262" s="7" t="s">
        <v>353</v>
      </c>
      <c r="B262" s="12" t="s">
        <v>354</v>
      </c>
      <c r="C262">
        <v>231372934.62413207</v>
      </c>
      <c r="D262">
        <v>215736139.74345207</v>
      </c>
      <c r="E262">
        <v>22920720.72072072</v>
      </c>
      <c r="F262">
        <v>23829729.729729727</v>
      </c>
      <c r="G262">
        <v>80</v>
      </c>
      <c r="H262">
        <v>108</v>
      </c>
      <c r="K262">
        <v>172</v>
      </c>
      <c r="L262">
        <v>430</v>
      </c>
      <c r="M262">
        <v>108811351.35135137</v>
      </c>
      <c r="N262">
        <v>160252342.34234235</v>
      </c>
      <c r="O262">
        <v>132983736.93693693</v>
      </c>
      <c r="P262">
        <v>128916261.26126127</v>
      </c>
      <c r="Q262">
        <v>99846306.306306303</v>
      </c>
      <c r="R262">
        <v>163962792.7927928</v>
      </c>
      <c r="S262">
        <v>9993</v>
      </c>
      <c r="T262">
        <v>9701</v>
      </c>
    </row>
    <row r="263" spans="1:20" x14ac:dyDescent="0.35">
      <c r="A263" s="7" t="s">
        <v>355</v>
      </c>
      <c r="B263" s="12" t="s">
        <v>48</v>
      </c>
      <c r="C263">
        <v>155134723.82219777</v>
      </c>
      <c r="D263">
        <v>150149318.04463634</v>
      </c>
      <c r="E263">
        <v>207207.207207208</v>
      </c>
      <c r="F263">
        <v>459459.45945945999</v>
      </c>
      <c r="G263">
        <v>31</v>
      </c>
      <c r="H263">
        <v>12</v>
      </c>
      <c r="K263">
        <v>36</v>
      </c>
      <c r="L263">
        <v>15</v>
      </c>
      <c r="M263">
        <v>1730810.8108108081</v>
      </c>
      <c r="N263">
        <v>477477.47747747798</v>
      </c>
      <c r="O263">
        <v>10527909.909909908</v>
      </c>
      <c r="P263">
        <v>11165837.837837838</v>
      </c>
      <c r="Q263">
        <v>846306.30630630394</v>
      </c>
      <c r="R263">
        <v>308558.55855855899</v>
      </c>
      <c r="S263">
        <v>5912</v>
      </c>
      <c r="T263">
        <v>5664</v>
      </c>
    </row>
    <row r="264" spans="1:20" x14ac:dyDescent="0.35">
      <c r="A264" s="7" t="s">
        <v>356</v>
      </c>
      <c r="B264" s="12" t="s">
        <v>123</v>
      </c>
      <c r="C264">
        <v>177095809.739135</v>
      </c>
      <c r="D264">
        <v>158139932.07453066</v>
      </c>
      <c r="E264">
        <v>62162.162162162997</v>
      </c>
      <c r="F264">
        <v>61261.261261262</v>
      </c>
      <c r="G264">
        <v>38</v>
      </c>
      <c r="H264">
        <v>29</v>
      </c>
      <c r="K264">
        <v>39</v>
      </c>
      <c r="L264">
        <v>31</v>
      </c>
      <c r="M264">
        <v>5600540.5405405406</v>
      </c>
      <c r="N264">
        <v>9924054.0540540535</v>
      </c>
      <c r="O264">
        <v>40088459.459459454</v>
      </c>
      <c r="P264">
        <v>36965117.117117122</v>
      </c>
      <c r="Q264">
        <v>5715855.8558558552</v>
      </c>
      <c r="R264">
        <v>8438198.1981981993</v>
      </c>
      <c r="S264">
        <v>5944</v>
      </c>
      <c r="T264">
        <v>5712</v>
      </c>
    </row>
    <row r="265" spans="1:20" x14ac:dyDescent="0.35">
      <c r="A265" s="7" t="s">
        <v>357</v>
      </c>
      <c r="B265" s="12" t="s">
        <v>62</v>
      </c>
      <c r="C265">
        <v>96214119.763432533</v>
      </c>
      <c r="D265">
        <v>93779808.381908327</v>
      </c>
      <c r="E265">
        <v>542342.34234234097</v>
      </c>
      <c r="F265">
        <v>1164864.864864866</v>
      </c>
      <c r="G265">
        <v>10</v>
      </c>
      <c r="H265">
        <v>9</v>
      </c>
      <c r="K265">
        <v>10</v>
      </c>
      <c r="L265">
        <v>13</v>
      </c>
      <c r="M265">
        <v>8504144.1441441439</v>
      </c>
      <c r="N265">
        <v>16197117.117117114</v>
      </c>
      <c r="O265">
        <v>24818783.783783782</v>
      </c>
      <c r="P265">
        <v>25538585.585585583</v>
      </c>
      <c r="Q265">
        <v>9964594.594594596</v>
      </c>
      <c r="R265">
        <v>16506396.396396399</v>
      </c>
      <c r="S265">
        <v>3926</v>
      </c>
      <c r="T265">
        <v>3706</v>
      </c>
    </row>
    <row r="266" spans="1:20" x14ac:dyDescent="0.35">
      <c r="A266" s="7" t="s">
        <v>358</v>
      </c>
      <c r="B266" s="12" t="s">
        <v>315</v>
      </c>
      <c r="C266">
        <v>4672288.7174656261</v>
      </c>
      <c r="D266">
        <v>1659148.312499353</v>
      </c>
      <c r="G266">
        <v>10</v>
      </c>
      <c r="H266">
        <v>2</v>
      </c>
      <c r="K266">
        <v>10</v>
      </c>
      <c r="L266">
        <v>2</v>
      </c>
      <c r="O266">
        <v>2442612.6126126121</v>
      </c>
      <c r="P266">
        <v>639909.90990991006</v>
      </c>
      <c r="S266">
        <v>480</v>
      </c>
      <c r="T266">
        <v>599</v>
      </c>
    </row>
    <row r="267" spans="1:20" x14ac:dyDescent="0.35">
      <c r="A267" s="7" t="s">
        <v>359</v>
      </c>
      <c r="B267" s="12" t="s">
        <v>315</v>
      </c>
      <c r="C267">
        <v>112555049.06844853</v>
      </c>
      <c r="D267">
        <v>87605876.032238051</v>
      </c>
      <c r="E267">
        <v>72972.972972973002</v>
      </c>
      <c r="F267">
        <v>268468.46846846899</v>
      </c>
      <c r="G267">
        <v>22</v>
      </c>
      <c r="H267">
        <v>25</v>
      </c>
      <c r="K267">
        <v>24</v>
      </c>
      <c r="L267">
        <v>30</v>
      </c>
      <c r="M267">
        <v>18725225.225225225</v>
      </c>
      <c r="N267">
        <v>11754954.954954956</v>
      </c>
      <c r="O267">
        <v>39205765.765765771</v>
      </c>
      <c r="P267">
        <v>34036135.135135137</v>
      </c>
      <c r="Q267">
        <v>24477027.02702703</v>
      </c>
      <c r="R267">
        <v>13444144.144144144</v>
      </c>
      <c r="S267">
        <v>3245</v>
      </c>
      <c r="T267">
        <v>3071</v>
      </c>
    </row>
    <row r="268" spans="1:20" x14ac:dyDescent="0.35">
      <c r="A268" s="7" t="s">
        <v>360</v>
      </c>
      <c r="B268" s="12" t="s">
        <v>92</v>
      </c>
      <c r="C268">
        <v>173148959.27826834</v>
      </c>
      <c r="D268">
        <v>170790791.29236707</v>
      </c>
      <c r="E268">
        <v>1297567.5675675671</v>
      </c>
      <c r="F268">
        <v>4436036.0360360369</v>
      </c>
      <c r="G268">
        <v>38</v>
      </c>
      <c r="H268">
        <v>104</v>
      </c>
      <c r="K268">
        <v>46</v>
      </c>
      <c r="L268">
        <v>185</v>
      </c>
      <c r="M268">
        <v>21726756.756756756</v>
      </c>
      <c r="N268">
        <v>40622522.522522531</v>
      </c>
      <c r="O268">
        <v>49750486.486486487</v>
      </c>
      <c r="P268">
        <v>52771043.24324324</v>
      </c>
      <c r="Q268">
        <v>23147117.117117122</v>
      </c>
      <c r="R268">
        <v>33253827.02702703</v>
      </c>
      <c r="S268">
        <v>6746</v>
      </c>
      <c r="T268">
        <v>6756</v>
      </c>
    </row>
    <row r="269" spans="1:20" x14ac:dyDescent="0.35">
      <c r="A269" s="7" t="s">
        <v>361</v>
      </c>
      <c r="B269" s="12" t="s">
        <v>58</v>
      </c>
      <c r="C269">
        <v>356239619.26255339</v>
      </c>
      <c r="D269">
        <v>336717050.41721147</v>
      </c>
      <c r="E269">
        <v>2172972.9729729742</v>
      </c>
      <c r="F269">
        <v>1134234.2342342371</v>
      </c>
      <c r="G269">
        <v>45</v>
      </c>
      <c r="H269">
        <v>56</v>
      </c>
      <c r="K269">
        <v>50</v>
      </c>
      <c r="L269">
        <v>69</v>
      </c>
      <c r="M269">
        <v>20483783.783783782</v>
      </c>
      <c r="N269">
        <v>19310810.810810816</v>
      </c>
      <c r="O269">
        <v>52635405.40540541</v>
      </c>
      <c r="P269">
        <v>51273364.864864863</v>
      </c>
      <c r="Q269">
        <v>11739639.63963964</v>
      </c>
      <c r="R269">
        <v>11488648.648648648</v>
      </c>
      <c r="S269">
        <v>12985</v>
      </c>
      <c r="T269">
        <v>12671</v>
      </c>
    </row>
    <row r="270" spans="1:20" x14ac:dyDescent="0.35">
      <c r="A270" s="7" t="s">
        <v>675</v>
      </c>
      <c r="B270" s="12" t="s">
        <v>143</v>
      </c>
      <c r="F270">
        <v>6306306.3063063063</v>
      </c>
      <c r="M270">
        <v>327927.92792792799</v>
      </c>
      <c r="N270">
        <v>135135.135135135</v>
      </c>
    </row>
    <row r="271" spans="1:20" x14ac:dyDescent="0.35">
      <c r="A271" s="7" t="s">
        <v>362</v>
      </c>
      <c r="B271" s="12" t="s">
        <v>48</v>
      </c>
      <c r="C271">
        <v>123772387.25840631</v>
      </c>
      <c r="D271">
        <v>121112638.17063776</v>
      </c>
      <c r="E271">
        <v>218918.91891891899</v>
      </c>
      <c r="F271">
        <v>47747.747747747999</v>
      </c>
      <c r="G271">
        <v>3</v>
      </c>
      <c r="H271">
        <v>4</v>
      </c>
      <c r="K271">
        <v>3</v>
      </c>
      <c r="L271">
        <v>4</v>
      </c>
      <c r="M271">
        <v>3261081.0810810821</v>
      </c>
      <c r="N271">
        <v>12195675.675675675</v>
      </c>
      <c r="O271">
        <v>21040765.765765764</v>
      </c>
      <c r="P271">
        <v>19326369.369369369</v>
      </c>
      <c r="Q271">
        <v>7057837.8378378386</v>
      </c>
      <c r="R271">
        <v>10573603.603603601</v>
      </c>
      <c r="S271">
        <v>3880</v>
      </c>
      <c r="T271">
        <v>3758</v>
      </c>
    </row>
    <row r="272" spans="1:20" x14ac:dyDescent="0.35">
      <c r="A272" s="7" t="s">
        <v>676</v>
      </c>
      <c r="B272" s="12" t="s">
        <v>260</v>
      </c>
      <c r="E272">
        <v>17567567.567567568</v>
      </c>
      <c r="F272">
        <v>49324324.324324317</v>
      </c>
      <c r="M272">
        <v>4839864.8648648653</v>
      </c>
      <c r="N272">
        <v>340540.540540541</v>
      </c>
    </row>
    <row r="273" spans="1:20" x14ac:dyDescent="0.35">
      <c r="A273" s="7" t="s">
        <v>363</v>
      </c>
      <c r="B273" s="12" t="s">
        <v>52</v>
      </c>
      <c r="C273">
        <v>49374502.155458778</v>
      </c>
      <c r="D273">
        <v>50290039.539412975</v>
      </c>
      <c r="E273">
        <v>197387.38738738801</v>
      </c>
      <c r="F273">
        <v>82882.882882883001</v>
      </c>
      <c r="G273">
        <v>4</v>
      </c>
      <c r="H273">
        <v>14</v>
      </c>
      <c r="K273">
        <v>5</v>
      </c>
      <c r="L273">
        <v>17</v>
      </c>
      <c r="M273">
        <v>1873063.063063062</v>
      </c>
      <c r="N273">
        <v>758558.55855855905</v>
      </c>
      <c r="O273">
        <v>23084144.144144144</v>
      </c>
      <c r="P273">
        <v>23937576.576576576</v>
      </c>
      <c r="Q273">
        <v>1303153.153153152</v>
      </c>
      <c r="R273">
        <v>974594.59459459397</v>
      </c>
      <c r="S273">
        <v>2317</v>
      </c>
      <c r="T273">
        <v>2414</v>
      </c>
    </row>
    <row r="274" spans="1:20" x14ac:dyDescent="0.35">
      <c r="A274" s="7" t="s">
        <v>364</v>
      </c>
      <c r="B274" s="12" t="s">
        <v>52</v>
      </c>
      <c r="C274">
        <v>39625226.966906749</v>
      </c>
      <c r="D274">
        <v>38595925.38257923</v>
      </c>
      <c r="E274">
        <v>1198648.648648649</v>
      </c>
      <c r="F274">
        <v>1708108.1081081091</v>
      </c>
      <c r="G274">
        <v>9</v>
      </c>
      <c r="H274">
        <v>25</v>
      </c>
      <c r="K274">
        <v>12</v>
      </c>
      <c r="L274">
        <v>100</v>
      </c>
      <c r="M274">
        <v>5022972.9729729714</v>
      </c>
      <c r="N274">
        <v>3491891.8918918921</v>
      </c>
      <c r="O274">
        <v>21246918.918918919</v>
      </c>
      <c r="P274">
        <v>21291252.252252251</v>
      </c>
      <c r="Q274">
        <v>4907747.7477477482</v>
      </c>
      <c r="R274">
        <v>8756036.0360360388</v>
      </c>
      <c r="S274">
        <v>2452</v>
      </c>
      <c r="T274">
        <v>2053</v>
      </c>
    </row>
    <row r="275" spans="1:20" x14ac:dyDescent="0.35">
      <c r="A275" s="7" t="s">
        <v>365</v>
      </c>
      <c r="B275" s="12" t="s">
        <v>52</v>
      </c>
      <c r="C275">
        <v>422623638.52997184</v>
      </c>
      <c r="D275">
        <v>448826614.03963548</v>
      </c>
      <c r="E275">
        <v>90939798.198198214</v>
      </c>
      <c r="F275">
        <v>160701645.94594595</v>
      </c>
      <c r="G275">
        <v>98</v>
      </c>
      <c r="H275">
        <v>156</v>
      </c>
      <c r="K275">
        <v>121</v>
      </c>
      <c r="L275">
        <v>261</v>
      </c>
      <c r="M275">
        <v>22037567.567567565</v>
      </c>
      <c r="N275">
        <v>20332432.432432439</v>
      </c>
      <c r="O275">
        <v>144454301.8018018</v>
      </c>
      <c r="P275">
        <v>162827886.48648649</v>
      </c>
      <c r="Q275">
        <v>22980540.540540535</v>
      </c>
      <c r="R275">
        <v>41297567.567567565</v>
      </c>
      <c r="S275">
        <v>20192</v>
      </c>
      <c r="T275">
        <v>21961</v>
      </c>
    </row>
    <row r="276" spans="1:20" x14ac:dyDescent="0.35">
      <c r="A276" s="7" t="s">
        <v>366</v>
      </c>
      <c r="B276" s="12" t="s">
        <v>293</v>
      </c>
      <c r="C276">
        <v>264673807.81616455</v>
      </c>
      <c r="D276">
        <v>245981737.99486715</v>
      </c>
      <c r="E276">
        <v>330630.630630637</v>
      </c>
      <c r="F276">
        <v>2402702.7027027039</v>
      </c>
      <c r="G276">
        <v>47</v>
      </c>
      <c r="H276">
        <v>65</v>
      </c>
      <c r="K276">
        <v>62</v>
      </c>
      <c r="L276">
        <v>105</v>
      </c>
      <c r="M276">
        <v>32826126.126126129</v>
      </c>
      <c r="N276">
        <v>18214774.774774775</v>
      </c>
      <c r="O276">
        <v>79510990.990990996</v>
      </c>
      <c r="P276">
        <v>78547283.783783793</v>
      </c>
      <c r="Q276">
        <v>24652432.432432432</v>
      </c>
      <c r="R276">
        <v>21506396.396396391</v>
      </c>
      <c r="S276">
        <v>11465</v>
      </c>
      <c r="T276">
        <v>10624</v>
      </c>
    </row>
    <row r="277" spans="1:20" x14ac:dyDescent="0.35">
      <c r="A277" s="7" t="s">
        <v>367</v>
      </c>
      <c r="B277" s="12" t="s">
        <v>368</v>
      </c>
      <c r="C277">
        <v>115424054.86292507</v>
      </c>
      <c r="D277">
        <v>103411292.39430463</v>
      </c>
      <c r="E277">
        <v>749729.72972972901</v>
      </c>
      <c r="F277">
        <v>548648.64864865097</v>
      </c>
      <c r="G277">
        <v>20</v>
      </c>
      <c r="H277">
        <v>20</v>
      </c>
      <c r="K277">
        <v>21</v>
      </c>
      <c r="L277">
        <v>22</v>
      </c>
      <c r="M277">
        <v>16357837.837837832</v>
      </c>
      <c r="N277">
        <v>23804324.324324325</v>
      </c>
      <c r="O277">
        <v>45983331.531531528</v>
      </c>
      <c r="P277">
        <v>41344243.24324324</v>
      </c>
      <c r="Q277">
        <v>16811351.351351351</v>
      </c>
      <c r="R277">
        <v>25279459.459459461</v>
      </c>
      <c r="S277">
        <v>3972</v>
      </c>
      <c r="T277">
        <v>3817</v>
      </c>
    </row>
    <row r="278" spans="1:20" x14ac:dyDescent="0.35">
      <c r="A278" s="7" t="s">
        <v>369</v>
      </c>
      <c r="B278" s="12" t="s">
        <v>70</v>
      </c>
      <c r="C278">
        <v>30613008.195045255</v>
      </c>
      <c r="D278">
        <v>31126587.737083737</v>
      </c>
      <c r="E278">
        <v>919819.81981982</v>
      </c>
      <c r="F278">
        <v>1789189.18918919</v>
      </c>
      <c r="G278">
        <v>5</v>
      </c>
      <c r="H278">
        <v>21</v>
      </c>
      <c r="K278">
        <v>8</v>
      </c>
      <c r="L278">
        <v>31</v>
      </c>
      <c r="M278">
        <v>5054954.9549549567</v>
      </c>
      <c r="N278">
        <v>6841441.4414414419</v>
      </c>
      <c r="O278">
        <v>10190135.135135135</v>
      </c>
      <c r="P278">
        <v>10813936.936936937</v>
      </c>
      <c r="Q278">
        <v>5022792.7927927924</v>
      </c>
      <c r="R278">
        <v>6332162.1621621633</v>
      </c>
      <c r="S278">
        <v>1186</v>
      </c>
      <c r="T278">
        <v>1861</v>
      </c>
    </row>
    <row r="279" spans="1:20" x14ac:dyDescent="0.35">
      <c r="A279" s="7" t="s">
        <v>370</v>
      </c>
      <c r="B279" s="12" t="s">
        <v>50</v>
      </c>
      <c r="C279">
        <v>65298735.491590701</v>
      </c>
      <c r="D279">
        <v>66169753.815511107</v>
      </c>
      <c r="E279">
        <v>345045.04504504497</v>
      </c>
      <c r="F279">
        <v>775675.67567567702</v>
      </c>
      <c r="G279">
        <v>8</v>
      </c>
      <c r="H279">
        <v>16</v>
      </c>
      <c r="K279">
        <v>9</v>
      </c>
      <c r="L279">
        <v>19</v>
      </c>
      <c r="M279">
        <v>6942072.072072072</v>
      </c>
      <c r="N279">
        <v>6782972.9729729732</v>
      </c>
      <c r="O279">
        <v>28749180.180180181</v>
      </c>
      <c r="P279">
        <v>28182243.243243244</v>
      </c>
      <c r="Q279">
        <v>6748648.6486486495</v>
      </c>
      <c r="R279">
        <v>4242702.702702703</v>
      </c>
      <c r="S279">
        <v>3417</v>
      </c>
      <c r="T279">
        <v>2766</v>
      </c>
    </row>
    <row r="280" spans="1:20" x14ac:dyDescent="0.35">
      <c r="A280" s="7" t="s">
        <v>371</v>
      </c>
      <c r="B280" s="12" t="s">
        <v>121</v>
      </c>
      <c r="C280">
        <v>68359042.886354476</v>
      </c>
      <c r="D280">
        <v>65980573.5532142</v>
      </c>
      <c r="E280">
        <v>115315.31531531501</v>
      </c>
      <c r="F280">
        <v>539639.63963964104</v>
      </c>
      <c r="G280">
        <v>23</v>
      </c>
      <c r="H280">
        <v>23</v>
      </c>
      <c r="K280">
        <v>26</v>
      </c>
      <c r="L280">
        <v>35</v>
      </c>
      <c r="M280">
        <v>331531.53153153101</v>
      </c>
      <c r="N280">
        <v>3292792.7927927929</v>
      </c>
      <c r="O280">
        <v>6293108.108108107</v>
      </c>
      <c r="P280">
        <v>7286063.0630630637</v>
      </c>
      <c r="Q280">
        <v>562342.34234234295</v>
      </c>
      <c r="R280">
        <v>1704954.954954955</v>
      </c>
      <c r="S280">
        <v>2799</v>
      </c>
      <c r="T280">
        <v>2793</v>
      </c>
    </row>
    <row r="281" spans="1:20" x14ac:dyDescent="0.35">
      <c r="A281" s="7" t="s">
        <v>372</v>
      </c>
      <c r="B281" s="12" t="s">
        <v>373</v>
      </c>
      <c r="C281">
        <v>179772738.10589495</v>
      </c>
      <c r="D281">
        <v>142308391.45743999</v>
      </c>
      <c r="E281">
        <v>20849315.315315321</v>
      </c>
      <c r="F281">
        <v>20320107.207207207</v>
      </c>
      <c r="G281">
        <v>309</v>
      </c>
      <c r="H281">
        <v>24</v>
      </c>
      <c r="I281">
        <v>1</v>
      </c>
      <c r="K281">
        <v>332</v>
      </c>
      <c r="L281">
        <v>30</v>
      </c>
      <c r="M281">
        <v>26144324.324324328</v>
      </c>
      <c r="N281">
        <v>21453063.063063063</v>
      </c>
      <c r="O281">
        <v>71723092.792792797</v>
      </c>
      <c r="P281">
        <v>53647972.972972974</v>
      </c>
      <c r="Q281">
        <v>28207881.081081081</v>
      </c>
      <c r="R281">
        <v>17767837.837837838</v>
      </c>
      <c r="S281">
        <v>10085</v>
      </c>
      <c r="T281">
        <v>10111</v>
      </c>
    </row>
    <row r="282" spans="1:20" x14ac:dyDescent="0.35">
      <c r="A282" s="7" t="s">
        <v>374</v>
      </c>
      <c r="B282" s="12" t="s">
        <v>66</v>
      </c>
      <c r="C282">
        <v>106469888.07799205</v>
      </c>
      <c r="D282">
        <v>105574032.03986552</v>
      </c>
      <c r="E282">
        <v>67567.567567570004</v>
      </c>
      <c r="F282">
        <v>2657657.6576576601</v>
      </c>
      <c r="G282">
        <v>43</v>
      </c>
      <c r="H282">
        <v>29</v>
      </c>
      <c r="K282">
        <v>52</v>
      </c>
      <c r="L282">
        <v>39</v>
      </c>
      <c r="M282">
        <v>16251081.081081081</v>
      </c>
      <c r="N282">
        <v>31761261.261261258</v>
      </c>
      <c r="O282">
        <v>39277351.351351351</v>
      </c>
      <c r="P282">
        <v>38874990.990990989</v>
      </c>
      <c r="Q282">
        <v>13174954.954954958</v>
      </c>
      <c r="R282">
        <v>32153243.243243247</v>
      </c>
      <c r="S282">
        <v>7081</v>
      </c>
      <c r="T282">
        <v>7458</v>
      </c>
    </row>
    <row r="283" spans="1:20" x14ac:dyDescent="0.35">
      <c r="A283" s="7" t="s">
        <v>375</v>
      </c>
      <c r="B283" s="12" t="s">
        <v>354</v>
      </c>
      <c r="C283">
        <v>164677185.1644406</v>
      </c>
      <c r="D283">
        <v>159860285.4277145</v>
      </c>
      <c r="E283">
        <v>74684166.666666672</v>
      </c>
      <c r="F283">
        <v>172743370.27027026</v>
      </c>
      <c r="G283">
        <v>296</v>
      </c>
      <c r="H283">
        <v>250</v>
      </c>
      <c r="K283">
        <v>301</v>
      </c>
      <c r="L283">
        <v>255</v>
      </c>
      <c r="M283">
        <v>34241801.801801801</v>
      </c>
      <c r="N283">
        <v>30709819.819819819</v>
      </c>
      <c r="O283">
        <v>98400306.306306303</v>
      </c>
      <c r="P283">
        <v>99455531.531531543</v>
      </c>
      <c r="Q283">
        <v>32673603.603603605</v>
      </c>
      <c r="R283">
        <v>31332792.792792793</v>
      </c>
      <c r="S283">
        <v>7068</v>
      </c>
      <c r="T283">
        <v>6760</v>
      </c>
    </row>
    <row r="284" spans="1:20" x14ac:dyDescent="0.35">
      <c r="A284" s="7" t="s">
        <v>376</v>
      </c>
      <c r="B284" s="12" t="s">
        <v>66</v>
      </c>
      <c r="C284">
        <v>58417074.878403597</v>
      </c>
      <c r="D284">
        <v>61874959.676222347</v>
      </c>
      <c r="E284">
        <v>35135.135135135999</v>
      </c>
      <c r="F284">
        <v>409009.00900900998</v>
      </c>
      <c r="G284">
        <v>14</v>
      </c>
      <c r="H284">
        <v>25</v>
      </c>
      <c r="K284">
        <v>19</v>
      </c>
      <c r="L284">
        <v>33</v>
      </c>
      <c r="M284">
        <v>3842252.252252249</v>
      </c>
      <c r="N284">
        <v>3713513.5135135162</v>
      </c>
      <c r="O284">
        <v>25592863.063063063</v>
      </c>
      <c r="P284">
        <v>29444067.567567568</v>
      </c>
      <c r="Q284">
        <v>6199999.9999999963</v>
      </c>
      <c r="R284">
        <v>5528738.7387387417</v>
      </c>
      <c r="S284">
        <v>4855</v>
      </c>
      <c r="T284">
        <v>5620</v>
      </c>
    </row>
    <row r="285" spans="1:20" x14ac:dyDescent="0.35">
      <c r="A285" s="7" t="s">
        <v>377</v>
      </c>
      <c r="B285" s="12" t="s">
        <v>260</v>
      </c>
      <c r="C285">
        <v>56639473.20652201</v>
      </c>
      <c r="D285">
        <v>53453576.132268205</v>
      </c>
      <c r="E285">
        <v>180180.18018018</v>
      </c>
      <c r="F285">
        <v>13513.513513514001</v>
      </c>
      <c r="G285">
        <v>2</v>
      </c>
      <c r="H285">
        <v>3</v>
      </c>
      <c r="K285">
        <v>2</v>
      </c>
      <c r="L285">
        <v>3</v>
      </c>
      <c r="M285">
        <v>630630.630630631</v>
      </c>
      <c r="N285">
        <v>554054.05405405397</v>
      </c>
      <c r="O285">
        <v>8714324.3243243247</v>
      </c>
      <c r="P285">
        <v>9257378.3783783801</v>
      </c>
      <c r="Q285">
        <v>4579909.9099099096</v>
      </c>
      <c r="R285">
        <v>525675.67567567597</v>
      </c>
      <c r="S285">
        <v>1651</v>
      </c>
      <c r="T285">
        <v>1949</v>
      </c>
    </row>
    <row r="286" spans="1:20" x14ac:dyDescent="0.35">
      <c r="A286" s="7" t="s">
        <v>378</v>
      </c>
      <c r="B286" s="12" t="s">
        <v>354</v>
      </c>
      <c r="C286">
        <v>138826088.82959682</v>
      </c>
      <c r="D286">
        <v>133336552.05586731</v>
      </c>
      <c r="E286">
        <v>1185135.1351351361</v>
      </c>
      <c r="F286">
        <v>1777477.4774774769</v>
      </c>
      <c r="G286">
        <v>26</v>
      </c>
      <c r="H286">
        <v>31</v>
      </c>
      <c r="K286">
        <v>30</v>
      </c>
      <c r="L286">
        <v>38</v>
      </c>
      <c r="M286">
        <v>33646846.846846841</v>
      </c>
      <c r="N286">
        <v>28828738.738738742</v>
      </c>
      <c r="O286">
        <v>70703108.108108103</v>
      </c>
      <c r="P286">
        <v>74675169.369369373</v>
      </c>
      <c r="Q286">
        <v>32994234.234234232</v>
      </c>
      <c r="R286">
        <v>26291441.441441439</v>
      </c>
      <c r="S286">
        <v>4736</v>
      </c>
      <c r="T286">
        <v>4706</v>
      </c>
    </row>
    <row r="287" spans="1:20" x14ac:dyDescent="0.35">
      <c r="A287" s="7" t="s">
        <v>379</v>
      </c>
      <c r="B287" s="12" t="s">
        <v>87</v>
      </c>
      <c r="C287">
        <v>2882337.6504836101</v>
      </c>
      <c r="D287">
        <v>3910709.7831690051</v>
      </c>
      <c r="H287">
        <v>1</v>
      </c>
      <c r="L287">
        <v>1</v>
      </c>
      <c r="O287">
        <v>144819.81981982</v>
      </c>
      <c r="P287">
        <v>189774.77477477401</v>
      </c>
      <c r="S287">
        <v>145</v>
      </c>
      <c r="T287">
        <v>185</v>
      </c>
    </row>
    <row r="288" spans="1:20" x14ac:dyDescent="0.35">
      <c r="A288" s="7" t="s">
        <v>380</v>
      </c>
      <c r="B288" s="12" t="s">
        <v>87</v>
      </c>
      <c r="C288">
        <v>11179649.823900389</v>
      </c>
      <c r="D288">
        <v>5353285.9775848174</v>
      </c>
      <c r="E288">
        <v>9909.9099099100004</v>
      </c>
      <c r="G288">
        <v>152</v>
      </c>
      <c r="H288">
        <v>10</v>
      </c>
      <c r="K288">
        <v>152</v>
      </c>
      <c r="L288">
        <v>14</v>
      </c>
      <c r="M288">
        <v>77477.477477477005</v>
      </c>
      <c r="O288">
        <v>2884909.9099099101</v>
      </c>
      <c r="P288">
        <v>768657.65765765798</v>
      </c>
      <c r="Q288">
        <v>67567.567567567996</v>
      </c>
      <c r="S288">
        <v>526</v>
      </c>
      <c r="T288">
        <v>360</v>
      </c>
    </row>
    <row r="289" spans="1:20" x14ac:dyDescent="0.35">
      <c r="A289" s="7" t="s">
        <v>381</v>
      </c>
      <c r="B289" s="12" t="s">
        <v>80</v>
      </c>
      <c r="C289">
        <v>946572909.49205542</v>
      </c>
      <c r="D289">
        <v>929473784.82932568</v>
      </c>
      <c r="E289">
        <v>984523613.51351345</v>
      </c>
      <c r="F289">
        <v>376353900.9009009</v>
      </c>
      <c r="G289">
        <v>236</v>
      </c>
      <c r="H289">
        <v>207</v>
      </c>
      <c r="I289">
        <v>1</v>
      </c>
      <c r="K289">
        <v>287</v>
      </c>
      <c r="L289">
        <v>335</v>
      </c>
      <c r="M289">
        <v>114583063.06306304</v>
      </c>
      <c r="N289">
        <v>99095495.495495483</v>
      </c>
      <c r="O289">
        <v>223943843.24324322</v>
      </c>
      <c r="P289">
        <v>240184355.85585585</v>
      </c>
      <c r="Q289">
        <v>94354144.144144148</v>
      </c>
      <c r="R289">
        <v>86339639.639639631</v>
      </c>
      <c r="S289">
        <v>36963</v>
      </c>
      <c r="T289">
        <v>36236</v>
      </c>
    </row>
    <row r="290" spans="1:20" x14ac:dyDescent="0.35">
      <c r="A290" s="7" t="s">
        <v>382</v>
      </c>
      <c r="B290" s="12" t="s">
        <v>80</v>
      </c>
      <c r="C290">
        <v>252123499.58873892</v>
      </c>
      <c r="D290">
        <v>255769728.49549508</v>
      </c>
      <c r="E290">
        <v>1576576.576576577</v>
      </c>
      <c r="F290">
        <v>2218243.2432432468</v>
      </c>
      <c r="G290">
        <v>55</v>
      </c>
      <c r="H290">
        <v>38</v>
      </c>
      <c r="I290">
        <v>1</v>
      </c>
      <c r="K290">
        <v>62</v>
      </c>
      <c r="L290">
        <v>47</v>
      </c>
      <c r="M290">
        <v>51620270.270270266</v>
      </c>
      <c r="N290">
        <v>48345045.045045041</v>
      </c>
      <c r="O290">
        <v>101595654.05405405</v>
      </c>
      <c r="P290">
        <v>101309439.63963963</v>
      </c>
      <c r="Q290">
        <v>44101261.261261262</v>
      </c>
      <c r="R290">
        <v>39943917.117117122</v>
      </c>
      <c r="S290">
        <v>9755</v>
      </c>
      <c r="T290">
        <v>9630</v>
      </c>
    </row>
    <row r="291" spans="1:20" x14ac:dyDescent="0.35">
      <c r="A291" s="7" t="s">
        <v>383</v>
      </c>
      <c r="B291" s="12" t="s">
        <v>80</v>
      </c>
      <c r="C291">
        <v>353031050.5445314</v>
      </c>
      <c r="D291">
        <v>325142116.63620394</v>
      </c>
      <c r="E291">
        <v>52252.252252252998</v>
      </c>
      <c r="F291">
        <v>245045.04504504599</v>
      </c>
      <c r="G291">
        <v>64</v>
      </c>
      <c r="H291">
        <v>45</v>
      </c>
      <c r="K291">
        <v>72</v>
      </c>
      <c r="L291">
        <v>49</v>
      </c>
      <c r="M291">
        <v>18412432.432432432</v>
      </c>
      <c r="N291">
        <v>14734684.684684686</v>
      </c>
      <c r="O291">
        <v>64049189.189189196</v>
      </c>
      <c r="P291">
        <v>65467576.576576576</v>
      </c>
      <c r="Q291">
        <v>13753783.783783786</v>
      </c>
      <c r="R291">
        <v>17187117.117117114</v>
      </c>
      <c r="S291">
        <v>9990</v>
      </c>
      <c r="T291">
        <v>9471</v>
      </c>
    </row>
    <row r="292" spans="1:20" x14ac:dyDescent="0.35">
      <c r="A292" s="7" t="s">
        <v>384</v>
      </c>
      <c r="B292" s="12" t="s">
        <v>68</v>
      </c>
      <c r="C292">
        <v>145320980.18668708</v>
      </c>
      <c r="D292">
        <v>141681466.28585291</v>
      </c>
      <c r="E292">
        <v>54979627.027027026</v>
      </c>
      <c r="F292">
        <v>34549878.378378376</v>
      </c>
      <c r="G292">
        <v>33</v>
      </c>
      <c r="H292">
        <v>31</v>
      </c>
      <c r="K292">
        <v>37</v>
      </c>
      <c r="L292">
        <v>39</v>
      </c>
      <c r="M292">
        <v>7040090.0900900867</v>
      </c>
      <c r="N292">
        <v>5263963.963963964</v>
      </c>
      <c r="O292">
        <v>18103495.495495494</v>
      </c>
      <c r="P292">
        <v>20568018.018018015</v>
      </c>
      <c r="Q292">
        <v>5882702.702702702</v>
      </c>
      <c r="R292">
        <v>4681081.0810810812</v>
      </c>
      <c r="S292">
        <v>5139</v>
      </c>
      <c r="T292">
        <v>4831</v>
      </c>
    </row>
    <row r="293" spans="1:20" x14ac:dyDescent="0.35">
      <c r="A293" s="7" t="s">
        <v>385</v>
      </c>
      <c r="B293" s="12" t="s">
        <v>167</v>
      </c>
      <c r="C293">
        <v>49065251.348019496</v>
      </c>
      <c r="D293">
        <v>52170021.008741476</v>
      </c>
      <c r="E293">
        <v>14414.414414416</v>
      </c>
      <c r="F293">
        <v>379279.27927927999</v>
      </c>
      <c r="G293">
        <v>19</v>
      </c>
      <c r="H293">
        <v>19</v>
      </c>
      <c r="K293">
        <v>23</v>
      </c>
      <c r="L293">
        <v>22</v>
      </c>
      <c r="M293">
        <v>3174774.7747747768</v>
      </c>
      <c r="N293">
        <v>15885585.585585587</v>
      </c>
      <c r="O293">
        <v>20747745.945945945</v>
      </c>
      <c r="P293">
        <v>21751819.819819819</v>
      </c>
      <c r="Q293">
        <v>6389459.4594594594</v>
      </c>
      <c r="R293">
        <v>10449009.009009007</v>
      </c>
      <c r="S293">
        <v>2406</v>
      </c>
      <c r="T293">
        <v>2437</v>
      </c>
    </row>
    <row r="294" spans="1:20" x14ac:dyDescent="0.35">
      <c r="A294" s="7" t="s">
        <v>386</v>
      </c>
      <c r="B294" s="12" t="s">
        <v>94</v>
      </c>
      <c r="C294">
        <v>278240293.9961499</v>
      </c>
      <c r="D294">
        <v>295121960.89597332</v>
      </c>
      <c r="E294">
        <v>1249549.549549551</v>
      </c>
      <c r="F294">
        <v>554054.05405405595</v>
      </c>
      <c r="G294">
        <v>50</v>
      </c>
      <c r="H294">
        <v>64</v>
      </c>
      <c r="I294">
        <v>1</v>
      </c>
      <c r="K294">
        <v>55</v>
      </c>
      <c r="L294">
        <v>72</v>
      </c>
      <c r="M294">
        <v>12216216.216216216</v>
      </c>
      <c r="N294">
        <v>12382882.882882884</v>
      </c>
      <c r="O294">
        <v>30753603.603603605</v>
      </c>
      <c r="P294">
        <v>37603747.747747742</v>
      </c>
      <c r="Q294">
        <v>7680000</v>
      </c>
      <c r="R294">
        <v>11118828.828828828</v>
      </c>
      <c r="S294">
        <v>8146</v>
      </c>
      <c r="T294">
        <v>8388</v>
      </c>
    </row>
    <row r="295" spans="1:20" x14ac:dyDescent="0.35">
      <c r="A295" s="7" t="s">
        <v>387</v>
      </c>
      <c r="B295" s="12" t="s">
        <v>214</v>
      </c>
      <c r="C295">
        <v>43664348.561302975</v>
      </c>
      <c r="D295">
        <v>49995632.94121135</v>
      </c>
      <c r="E295">
        <v>17117.117117116999</v>
      </c>
      <c r="F295">
        <v>550450.450450451</v>
      </c>
      <c r="G295">
        <v>15</v>
      </c>
      <c r="H295">
        <v>22</v>
      </c>
      <c r="K295">
        <v>16</v>
      </c>
      <c r="L295">
        <v>24</v>
      </c>
      <c r="M295">
        <v>107207.207207207</v>
      </c>
      <c r="N295">
        <v>2352252.2522522518</v>
      </c>
      <c r="O295">
        <v>20321801.801801801</v>
      </c>
      <c r="P295">
        <v>23487297.297297295</v>
      </c>
      <c r="R295">
        <v>136486.48648648601</v>
      </c>
      <c r="S295">
        <v>2245</v>
      </c>
      <c r="T295">
        <v>2390</v>
      </c>
    </row>
    <row r="296" spans="1:20" x14ac:dyDescent="0.35">
      <c r="A296" s="7" t="s">
        <v>388</v>
      </c>
      <c r="B296" s="12" t="s">
        <v>117</v>
      </c>
      <c r="C296">
        <v>21098511.099908154</v>
      </c>
      <c r="D296">
        <v>19964436.37620965</v>
      </c>
      <c r="E296">
        <v>27027.027027027001</v>
      </c>
      <c r="F296">
        <v>296396.39639639901</v>
      </c>
      <c r="G296">
        <v>9</v>
      </c>
      <c r="H296">
        <v>5</v>
      </c>
      <c r="K296">
        <v>11</v>
      </c>
      <c r="L296">
        <v>13</v>
      </c>
      <c r="M296">
        <v>1652252.25225225</v>
      </c>
      <c r="N296">
        <v>5927142.3423423413</v>
      </c>
      <c r="O296">
        <v>9432027.0270270277</v>
      </c>
      <c r="P296">
        <v>8550414.4144144133</v>
      </c>
      <c r="Q296">
        <v>1255855.8558558519</v>
      </c>
      <c r="R296">
        <v>3710990.9909909922</v>
      </c>
      <c r="S296">
        <v>1937</v>
      </c>
      <c r="T296">
        <v>1751</v>
      </c>
    </row>
    <row r="297" spans="1:20" x14ac:dyDescent="0.35">
      <c r="A297" s="7" t="s">
        <v>389</v>
      </c>
      <c r="B297" s="12" t="s">
        <v>315</v>
      </c>
      <c r="C297">
        <v>94530396.818336844</v>
      </c>
      <c r="D297">
        <v>86953743.71225369</v>
      </c>
      <c r="E297">
        <v>11449099.0990991</v>
      </c>
      <c r="F297">
        <v>28239639.639639638</v>
      </c>
      <c r="G297">
        <v>12</v>
      </c>
      <c r="H297">
        <v>9</v>
      </c>
      <c r="K297">
        <v>13</v>
      </c>
      <c r="L297">
        <v>9</v>
      </c>
      <c r="M297">
        <v>4854054.0540540544</v>
      </c>
      <c r="N297">
        <v>3239639.6396396402</v>
      </c>
      <c r="O297">
        <v>18194774.774774775</v>
      </c>
      <c r="P297">
        <v>18326558.558558561</v>
      </c>
      <c r="Q297">
        <v>3661801.8018018012</v>
      </c>
      <c r="R297">
        <v>3245855.8558558561</v>
      </c>
      <c r="S297">
        <v>2739</v>
      </c>
      <c r="T297">
        <v>2644</v>
      </c>
    </row>
    <row r="298" spans="1:20" x14ac:dyDescent="0.35">
      <c r="A298" s="7" t="s">
        <v>390</v>
      </c>
      <c r="B298" s="12" t="s">
        <v>224</v>
      </c>
      <c r="C298">
        <v>45614538.572389759</v>
      </c>
      <c r="D298">
        <v>37160657.998024069</v>
      </c>
      <c r="G298">
        <v>34</v>
      </c>
      <c r="H298">
        <v>6</v>
      </c>
      <c r="K298">
        <v>35</v>
      </c>
      <c r="L298">
        <v>6</v>
      </c>
      <c r="O298">
        <v>8575351.3513513505</v>
      </c>
      <c r="P298">
        <v>6436981.9819819815</v>
      </c>
      <c r="S298">
        <v>1508</v>
      </c>
      <c r="T298">
        <v>1453</v>
      </c>
    </row>
    <row r="299" spans="1:20" x14ac:dyDescent="0.35">
      <c r="A299" s="7" t="s">
        <v>6</v>
      </c>
      <c r="B299" s="12" t="s">
        <v>193</v>
      </c>
      <c r="C299">
        <v>326530867.47439814</v>
      </c>
      <c r="D299">
        <v>306524461.96167767</v>
      </c>
      <c r="E299">
        <v>6193243.2432432389</v>
      </c>
      <c r="F299">
        <v>4958558.5585585674</v>
      </c>
      <c r="G299">
        <v>126</v>
      </c>
      <c r="H299">
        <v>90</v>
      </c>
      <c r="I299">
        <v>2</v>
      </c>
      <c r="K299">
        <v>501</v>
      </c>
      <c r="L299">
        <v>572</v>
      </c>
      <c r="M299">
        <v>167722972.97297296</v>
      </c>
      <c r="N299">
        <v>135590990.990991</v>
      </c>
      <c r="O299">
        <v>213180090.09009007</v>
      </c>
      <c r="P299">
        <v>213827882.88288289</v>
      </c>
      <c r="Q299">
        <v>136109549.54954955</v>
      </c>
      <c r="R299">
        <v>129198828.82882883</v>
      </c>
      <c r="S299">
        <v>13463</v>
      </c>
      <c r="T299">
        <v>12612</v>
      </c>
    </row>
    <row r="300" spans="1:20" x14ac:dyDescent="0.35">
      <c r="A300" s="7" t="s">
        <v>391</v>
      </c>
      <c r="B300" s="12" t="s">
        <v>121</v>
      </c>
      <c r="C300">
        <v>10488016.000270424</v>
      </c>
      <c r="D300">
        <v>14903667.812350748</v>
      </c>
      <c r="E300">
        <v>9009.0090090089998</v>
      </c>
      <c r="G300">
        <v>6</v>
      </c>
      <c r="H300">
        <v>5</v>
      </c>
      <c r="K300">
        <v>8</v>
      </c>
      <c r="L300">
        <v>6</v>
      </c>
      <c r="M300">
        <v>9009.0090090089998</v>
      </c>
      <c r="O300">
        <v>624054.05405405397</v>
      </c>
      <c r="P300">
        <v>770405.40540540498</v>
      </c>
      <c r="S300">
        <v>522</v>
      </c>
      <c r="T300">
        <v>518</v>
      </c>
    </row>
    <row r="301" spans="1:20" x14ac:dyDescent="0.35">
      <c r="A301" s="7" t="s">
        <v>392</v>
      </c>
      <c r="B301" s="12" t="s">
        <v>134</v>
      </c>
      <c r="C301">
        <v>40034922.666718096</v>
      </c>
      <c r="D301">
        <v>42418415.839888126</v>
      </c>
      <c r="F301">
        <v>13513.513513514001</v>
      </c>
      <c r="G301">
        <v>9</v>
      </c>
      <c r="H301">
        <v>10</v>
      </c>
      <c r="K301">
        <v>10</v>
      </c>
      <c r="L301">
        <v>13</v>
      </c>
      <c r="M301">
        <v>3522522.5225225221</v>
      </c>
      <c r="N301">
        <v>2986486.4864864852</v>
      </c>
      <c r="O301">
        <v>7755268.4684684696</v>
      </c>
      <c r="P301">
        <v>8782090.0900900885</v>
      </c>
      <c r="Q301">
        <v>865765.76576576696</v>
      </c>
      <c r="R301">
        <v>576216.21621621703</v>
      </c>
      <c r="S301">
        <v>3403</v>
      </c>
      <c r="T301">
        <v>3563</v>
      </c>
    </row>
    <row r="302" spans="1:20" x14ac:dyDescent="0.35">
      <c r="A302" s="7" t="s">
        <v>393</v>
      </c>
      <c r="B302" s="12" t="s">
        <v>58</v>
      </c>
      <c r="C302">
        <v>217016123.9693211</v>
      </c>
      <c r="D302">
        <v>204690921.01984018</v>
      </c>
      <c r="E302">
        <v>7136486.4864864862</v>
      </c>
      <c r="F302">
        <v>6452927.9279279336</v>
      </c>
      <c r="G302">
        <v>58</v>
      </c>
      <c r="H302">
        <v>84</v>
      </c>
      <c r="K302">
        <v>70</v>
      </c>
      <c r="L302">
        <v>97</v>
      </c>
      <c r="M302">
        <v>27857207.207207207</v>
      </c>
      <c r="N302">
        <v>24321621.621621624</v>
      </c>
      <c r="O302">
        <v>32181234.234234232</v>
      </c>
      <c r="P302">
        <v>33749950.45045045</v>
      </c>
      <c r="Q302">
        <v>20994144.144144144</v>
      </c>
      <c r="R302">
        <v>19730090.090090092</v>
      </c>
      <c r="S302">
        <v>9224</v>
      </c>
      <c r="T302">
        <v>9059</v>
      </c>
    </row>
    <row r="303" spans="1:20" x14ac:dyDescent="0.35">
      <c r="A303" s="7" t="s">
        <v>394</v>
      </c>
      <c r="B303" s="12" t="s">
        <v>134</v>
      </c>
      <c r="C303">
        <v>74100580.618819237</v>
      </c>
      <c r="D303">
        <v>70101027.501387313</v>
      </c>
      <c r="E303">
        <v>13513.513513514001</v>
      </c>
      <c r="F303">
        <v>148648.64864865001</v>
      </c>
      <c r="G303">
        <v>11</v>
      </c>
      <c r="H303">
        <v>15</v>
      </c>
      <c r="K303">
        <v>15</v>
      </c>
      <c r="L303">
        <v>22</v>
      </c>
      <c r="M303">
        <v>6499999.9999999991</v>
      </c>
      <c r="N303">
        <v>7806306.3063063053</v>
      </c>
      <c r="O303">
        <v>12837809.009009007</v>
      </c>
      <c r="P303">
        <v>12300459.459459459</v>
      </c>
      <c r="Q303">
        <v>3769819.819819821</v>
      </c>
      <c r="R303">
        <v>3399639.6396396402</v>
      </c>
      <c r="S303">
        <v>3846</v>
      </c>
      <c r="T303">
        <v>4346</v>
      </c>
    </row>
    <row r="304" spans="1:20" x14ac:dyDescent="0.35">
      <c r="A304" s="7" t="s">
        <v>395</v>
      </c>
      <c r="B304" s="12" t="s">
        <v>54</v>
      </c>
      <c r="C304">
        <v>31526222.993440136</v>
      </c>
      <c r="D304">
        <v>29942011.65139363</v>
      </c>
      <c r="E304">
        <v>138738.73873873899</v>
      </c>
      <c r="F304">
        <v>900.900900901</v>
      </c>
      <c r="G304">
        <v>5</v>
      </c>
      <c r="H304">
        <v>6</v>
      </c>
      <c r="K304">
        <v>5</v>
      </c>
      <c r="L304">
        <v>6</v>
      </c>
      <c r="M304">
        <v>2472072.072072071</v>
      </c>
      <c r="N304">
        <v>1712612.612612613</v>
      </c>
      <c r="O304">
        <v>5277612.6126126125</v>
      </c>
      <c r="P304">
        <v>4928549.5495495498</v>
      </c>
      <c r="Q304">
        <v>2058558.5585585581</v>
      </c>
      <c r="R304">
        <v>2134594.5945945941</v>
      </c>
      <c r="S304">
        <v>1515</v>
      </c>
      <c r="T304">
        <v>1559</v>
      </c>
    </row>
    <row r="305" spans="1:20" x14ac:dyDescent="0.35">
      <c r="A305" s="7" t="s">
        <v>396</v>
      </c>
      <c r="B305" s="12" t="s">
        <v>397</v>
      </c>
      <c r="C305">
        <v>222413287.90731016</v>
      </c>
      <c r="D305">
        <v>214551587.0482648</v>
      </c>
      <c r="E305">
        <v>9220000</v>
      </c>
      <c r="F305">
        <v>1223423.4234234251</v>
      </c>
      <c r="G305">
        <v>91</v>
      </c>
      <c r="H305">
        <v>66</v>
      </c>
      <c r="K305">
        <v>110</v>
      </c>
      <c r="L305">
        <v>135</v>
      </c>
      <c r="M305">
        <v>21037162.162162159</v>
      </c>
      <c r="N305">
        <v>17581981.981981985</v>
      </c>
      <c r="O305">
        <v>40466953.153153151</v>
      </c>
      <c r="P305">
        <v>39947038.738738738</v>
      </c>
      <c r="Q305">
        <v>22289684.684684686</v>
      </c>
      <c r="R305">
        <v>15430900.900900902</v>
      </c>
      <c r="S305">
        <v>9686</v>
      </c>
      <c r="T305">
        <v>9444</v>
      </c>
    </row>
    <row r="306" spans="1:20" x14ac:dyDescent="0.35">
      <c r="A306" s="7" t="s">
        <v>398</v>
      </c>
      <c r="B306" s="12" t="s">
        <v>399</v>
      </c>
      <c r="C306">
        <v>266016743.42610025</v>
      </c>
      <c r="D306">
        <v>230643127.48753482</v>
      </c>
      <c r="E306">
        <v>192085093.6936937</v>
      </c>
      <c r="F306">
        <v>76938718.018018022</v>
      </c>
      <c r="G306">
        <v>61</v>
      </c>
      <c r="H306">
        <v>49</v>
      </c>
      <c r="I306">
        <v>1</v>
      </c>
      <c r="K306">
        <v>67</v>
      </c>
      <c r="L306">
        <v>58</v>
      </c>
      <c r="M306">
        <v>124449549.54954955</v>
      </c>
      <c r="N306">
        <v>19868918.918918919</v>
      </c>
      <c r="O306">
        <v>46275466.666666664</v>
      </c>
      <c r="P306">
        <v>41482540.540540546</v>
      </c>
      <c r="Q306">
        <v>100820720.72072072</v>
      </c>
      <c r="R306">
        <v>12220270.270270271</v>
      </c>
      <c r="S306">
        <v>11422</v>
      </c>
      <c r="T306">
        <v>11493</v>
      </c>
    </row>
    <row r="307" spans="1:20" x14ac:dyDescent="0.35">
      <c r="A307" s="7" t="s">
        <v>400</v>
      </c>
      <c r="B307" s="12" t="s">
        <v>140</v>
      </c>
      <c r="C307">
        <v>79949629.924316078</v>
      </c>
      <c r="D307">
        <v>75957267.487962067</v>
      </c>
      <c r="E307">
        <v>9138738.7387387399</v>
      </c>
      <c r="F307">
        <v>562162.16216216295</v>
      </c>
      <c r="G307">
        <v>23</v>
      </c>
      <c r="H307">
        <v>26</v>
      </c>
      <c r="K307">
        <v>28</v>
      </c>
      <c r="L307">
        <v>29</v>
      </c>
      <c r="M307">
        <v>21100900.9009009</v>
      </c>
      <c r="N307">
        <v>12383198.198198196</v>
      </c>
      <c r="O307">
        <v>23393063.063063063</v>
      </c>
      <c r="P307">
        <v>23940747.747747749</v>
      </c>
      <c r="Q307">
        <v>12906306.306306306</v>
      </c>
      <c r="R307">
        <v>13323423.423423424</v>
      </c>
      <c r="S307">
        <v>3347</v>
      </c>
      <c r="T307">
        <v>3163</v>
      </c>
    </row>
    <row r="308" spans="1:20" x14ac:dyDescent="0.35">
      <c r="A308" s="7" t="s">
        <v>401</v>
      </c>
      <c r="B308" s="12" t="s">
        <v>121</v>
      </c>
      <c r="C308">
        <v>23432726.567651302</v>
      </c>
      <c r="D308">
        <v>19322909.084958311</v>
      </c>
      <c r="E308">
        <v>900.900900901</v>
      </c>
      <c r="F308">
        <v>360360.36036036001</v>
      </c>
      <c r="G308">
        <v>14</v>
      </c>
      <c r="H308">
        <v>8</v>
      </c>
      <c r="K308">
        <v>17</v>
      </c>
      <c r="L308">
        <v>13</v>
      </c>
      <c r="M308">
        <v>900.900900901</v>
      </c>
      <c r="N308">
        <v>2162162.1621621619</v>
      </c>
      <c r="O308">
        <v>1691351.351351351</v>
      </c>
      <c r="P308">
        <v>2094909.9099099101</v>
      </c>
      <c r="Q308">
        <v>614864.86486486497</v>
      </c>
      <c r="R308">
        <v>657657.65765765798</v>
      </c>
      <c r="S308">
        <v>1090</v>
      </c>
      <c r="T308">
        <v>1099</v>
      </c>
    </row>
    <row r="309" spans="1:20" x14ac:dyDescent="0.35">
      <c r="A309" s="7" t="s">
        <v>402</v>
      </c>
      <c r="B309" s="12" t="s">
        <v>290</v>
      </c>
      <c r="C309">
        <v>42677941.598776788</v>
      </c>
      <c r="D309">
        <v>32210023.519882482</v>
      </c>
      <c r="E309">
        <v>63963.963963964998</v>
      </c>
      <c r="F309">
        <v>307657.65765765897</v>
      </c>
      <c r="G309">
        <v>30</v>
      </c>
      <c r="H309">
        <v>7</v>
      </c>
      <c r="K309">
        <v>33</v>
      </c>
      <c r="L309">
        <v>8</v>
      </c>
      <c r="M309">
        <v>2307207.2072072071</v>
      </c>
      <c r="N309">
        <v>907207.20720720699</v>
      </c>
      <c r="O309">
        <v>5900090.0900900904</v>
      </c>
      <c r="P309">
        <v>3658279.2792792791</v>
      </c>
      <c r="Q309">
        <v>2485855.8558558561</v>
      </c>
      <c r="R309">
        <v>1615585.5855855851</v>
      </c>
      <c r="S309">
        <v>1769</v>
      </c>
      <c r="T309">
        <v>1624</v>
      </c>
    </row>
    <row r="310" spans="1:20" x14ac:dyDescent="0.35">
      <c r="A310" s="7" t="s">
        <v>403</v>
      </c>
      <c r="B310" s="12" t="s">
        <v>121</v>
      </c>
      <c r="C310">
        <v>37650560.053221837</v>
      </c>
      <c r="D310">
        <v>36107289.062508464</v>
      </c>
      <c r="F310">
        <v>55630.630630631</v>
      </c>
      <c r="G310">
        <v>3</v>
      </c>
      <c r="H310">
        <v>6</v>
      </c>
      <c r="K310">
        <v>3</v>
      </c>
      <c r="L310">
        <v>9</v>
      </c>
      <c r="N310">
        <v>58558.558558559002</v>
      </c>
      <c r="O310">
        <v>2771711.7117117122</v>
      </c>
      <c r="P310">
        <v>2844009.0090090092</v>
      </c>
      <c r="S310">
        <v>1102</v>
      </c>
      <c r="T310">
        <v>1014</v>
      </c>
    </row>
    <row r="311" spans="1:20" x14ac:dyDescent="0.35">
      <c r="A311" s="7" t="s">
        <v>404</v>
      </c>
      <c r="B311" s="12" t="s">
        <v>368</v>
      </c>
      <c r="C311">
        <v>90904861.938577086</v>
      </c>
      <c r="D311">
        <v>83302923.787525728</v>
      </c>
      <c r="E311">
        <v>30104147.747747749</v>
      </c>
      <c r="F311">
        <v>46102165.765765771</v>
      </c>
      <c r="G311">
        <v>17</v>
      </c>
      <c r="H311">
        <v>21</v>
      </c>
      <c r="K311">
        <v>20</v>
      </c>
      <c r="L311">
        <v>54</v>
      </c>
      <c r="M311">
        <v>5751351.3513513505</v>
      </c>
      <c r="N311">
        <v>19996396.396396395</v>
      </c>
      <c r="O311">
        <v>29108400.900900904</v>
      </c>
      <c r="P311">
        <v>30286130.630630631</v>
      </c>
      <c r="Q311">
        <v>3866216.2162162159</v>
      </c>
      <c r="R311">
        <v>17404144.14414414</v>
      </c>
      <c r="S311">
        <v>4247</v>
      </c>
      <c r="T311">
        <v>4186</v>
      </c>
    </row>
    <row r="312" spans="1:20" x14ac:dyDescent="0.35">
      <c r="A312" s="7" t="s">
        <v>405</v>
      </c>
      <c r="B312" s="12" t="s">
        <v>140</v>
      </c>
      <c r="C312">
        <v>44392292.366078086</v>
      </c>
      <c r="D312">
        <v>40015225.724574313</v>
      </c>
      <c r="E312">
        <v>13063.063063063</v>
      </c>
      <c r="F312">
        <v>116891.89189189101</v>
      </c>
      <c r="G312">
        <v>2</v>
      </c>
      <c r="H312">
        <v>6</v>
      </c>
      <c r="K312">
        <v>3</v>
      </c>
      <c r="L312">
        <v>8</v>
      </c>
      <c r="M312">
        <v>4913963.963963964</v>
      </c>
      <c r="N312">
        <v>7505765.7657657657</v>
      </c>
      <c r="O312">
        <v>11078468.468468469</v>
      </c>
      <c r="P312">
        <v>10233180.180180181</v>
      </c>
      <c r="Q312">
        <v>6406576.5765765766</v>
      </c>
      <c r="R312">
        <v>6128648.6486486476</v>
      </c>
      <c r="S312">
        <v>1468</v>
      </c>
      <c r="T312">
        <v>1399</v>
      </c>
    </row>
    <row r="313" spans="1:20" x14ac:dyDescent="0.35">
      <c r="A313" s="7" t="s">
        <v>406</v>
      </c>
      <c r="B313" s="12" t="s">
        <v>54</v>
      </c>
      <c r="C313">
        <v>55688036.999905616</v>
      </c>
      <c r="D313">
        <v>54636864.936187886</v>
      </c>
      <c r="E313">
        <v>250810.810810811</v>
      </c>
      <c r="F313">
        <v>984684.68468468497</v>
      </c>
      <c r="G313">
        <v>2</v>
      </c>
      <c r="H313">
        <v>13</v>
      </c>
      <c r="K313">
        <v>2</v>
      </c>
      <c r="L313">
        <v>27</v>
      </c>
      <c r="M313">
        <v>2963423.423423423</v>
      </c>
      <c r="N313">
        <v>6290990.9909909908</v>
      </c>
      <c r="O313">
        <v>11613603.603603603</v>
      </c>
      <c r="P313">
        <v>12257891.891891891</v>
      </c>
      <c r="Q313">
        <v>2675585.5855855858</v>
      </c>
      <c r="R313">
        <v>6527657.6576576559</v>
      </c>
      <c r="S313">
        <v>2181</v>
      </c>
      <c r="T313">
        <v>2124</v>
      </c>
    </row>
    <row r="314" spans="1:20" x14ac:dyDescent="0.35">
      <c r="A314" s="7" t="s">
        <v>407</v>
      </c>
      <c r="B314" s="12" t="s">
        <v>134</v>
      </c>
      <c r="C314">
        <v>21841123.364897761</v>
      </c>
      <c r="D314">
        <v>24237821.678965729</v>
      </c>
      <c r="E314">
        <v>12612.612612613</v>
      </c>
      <c r="G314">
        <v>4</v>
      </c>
      <c r="H314">
        <v>3</v>
      </c>
      <c r="K314">
        <v>5</v>
      </c>
      <c r="L314">
        <v>5</v>
      </c>
      <c r="M314">
        <v>742342.34234234202</v>
      </c>
      <c r="N314">
        <v>756756.75675675704</v>
      </c>
      <c r="O314">
        <v>2660585.5855855858</v>
      </c>
      <c r="P314">
        <v>2587090.0900900909</v>
      </c>
      <c r="Q314">
        <v>1100450.4504504499</v>
      </c>
      <c r="R314">
        <v>747297.29729729705</v>
      </c>
      <c r="S314">
        <v>952</v>
      </c>
      <c r="T314">
        <v>930</v>
      </c>
    </row>
    <row r="315" spans="1:20" x14ac:dyDescent="0.35">
      <c r="A315" s="7" t="s">
        <v>408</v>
      </c>
      <c r="B315" s="12" t="s">
        <v>290</v>
      </c>
      <c r="C315">
        <v>15925113.597790277</v>
      </c>
      <c r="D315">
        <v>13308597.63344216</v>
      </c>
      <c r="E315">
        <v>90990.990990991006</v>
      </c>
      <c r="F315">
        <v>320720.720720721</v>
      </c>
      <c r="G315">
        <v>5</v>
      </c>
      <c r="H315">
        <v>6</v>
      </c>
      <c r="K315">
        <v>9</v>
      </c>
      <c r="L315">
        <v>8</v>
      </c>
      <c r="M315">
        <v>2370270.2702702698</v>
      </c>
      <c r="N315">
        <v>3107207.2072072071</v>
      </c>
      <c r="O315">
        <v>2783864.8648648649</v>
      </c>
      <c r="P315">
        <v>2390639.6396396388</v>
      </c>
      <c r="Q315">
        <v>1225765.7657657659</v>
      </c>
      <c r="R315">
        <v>1947927.9279279271</v>
      </c>
      <c r="S315">
        <v>882</v>
      </c>
      <c r="T315">
        <v>856</v>
      </c>
    </row>
    <row r="316" spans="1:20" x14ac:dyDescent="0.35">
      <c r="A316" s="7" t="s">
        <v>409</v>
      </c>
      <c r="B316" s="12" t="s">
        <v>178</v>
      </c>
      <c r="C316">
        <v>253780280.39343488</v>
      </c>
      <c r="D316">
        <v>235484800.61079389</v>
      </c>
      <c r="E316">
        <v>641666.66666666605</v>
      </c>
      <c r="F316">
        <v>582882.88288288401</v>
      </c>
      <c r="G316">
        <v>75</v>
      </c>
      <c r="H316">
        <v>39</v>
      </c>
      <c r="K316">
        <v>90</v>
      </c>
      <c r="L316">
        <v>164</v>
      </c>
      <c r="M316">
        <v>21911441.441441439</v>
      </c>
      <c r="N316">
        <v>12105486.486486485</v>
      </c>
      <c r="O316">
        <v>84322648.648648635</v>
      </c>
      <c r="P316">
        <v>80818063.063063055</v>
      </c>
      <c r="Q316">
        <v>20180720.72072072</v>
      </c>
      <c r="R316">
        <v>11381531.531531531</v>
      </c>
      <c r="S316">
        <v>9797</v>
      </c>
      <c r="T316">
        <v>9613</v>
      </c>
    </row>
    <row r="317" spans="1:20" x14ac:dyDescent="0.35">
      <c r="A317" s="7" t="s">
        <v>668</v>
      </c>
      <c r="B317" s="12" t="s">
        <v>87</v>
      </c>
      <c r="S317">
        <v>1</v>
      </c>
    </row>
    <row r="318" spans="1:20" x14ac:dyDescent="0.35">
      <c r="A318" s="7" t="s">
        <v>410</v>
      </c>
      <c r="B318" s="12" t="s">
        <v>54</v>
      </c>
      <c r="C318">
        <v>443177225.82207876</v>
      </c>
      <c r="D318">
        <v>446073615.02059418</v>
      </c>
      <c r="E318">
        <v>45759998.198198199</v>
      </c>
      <c r="F318">
        <v>130644801.8018018</v>
      </c>
      <c r="G318">
        <v>77</v>
      </c>
      <c r="H318">
        <v>74</v>
      </c>
      <c r="K318">
        <v>91</v>
      </c>
      <c r="L318">
        <v>124</v>
      </c>
      <c r="M318">
        <v>26554054.054054052</v>
      </c>
      <c r="N318">
        <v>29679279.27927928</v>
      </c>
      <c r="O318">
        <v>83263675.675675675</v>
      </c>
      <c r="P318">
        <v>92172000</v>
      </c>
      <c r="Q318">
        <v>26443423.423423424</v>
      </c>
      <c r="R318">
        <v>25104864.864864863</v>
      </c>
      <c r="S318">
        <v>19056</v>
      </c>
      <c r="T318">
        <v>19270</v>
      </c>
    </row>
    <row r="319" spans="1:20" x14ac:dyDescent="0.35">
      <c r="A319" s="7" t="s">
        <v>411</v>
      </c>
      <c r="B319" s="12" t="s">
        <v>224</v>
      </c>
      <c r="C319">
        <v>274606894.03713083</v>
      </c>
      <c r="D319">
        <v>222937926.79241887</v>
      </c>
      <c r="E319">
        <v>614774.77477477503</v>
      </c>
      <c r="F319">
        <v>886486.48648649105</v>
      </c>
      <c r="G319">
        <v>84</v>
      </c>
      <c r="H319">
        <v>64</v>
      </c>
      <c r="K319">
        <v>96</v>
      </c>
      <c r="L319">
        <v>82</v>
      </c>
      <c r="M319">
        <v>24048288.288288288</v>
      </c>
      <c r="N319">
        <v>22036396.396396391</v>
      </c>
      <c r="O319">
        <v>68274923.423423424</v>
      </c>
      <c r="P319">
        <v>67795390.090090081</v>
      </c>
      <c r="Q319">
        <v>26504684.684684679</v>
      </c>
      <c r="R319">
        <v>27023016.216216218</v>
      </c>
      <c r="S319">
        <v>13631</v>
      </c>
      <c r="T319">
        <v>12798</v>
      </c>
    </row>
    <row r="320" spans="1:20" x14ac:dyDescent="0.35">
      <c r="A320" s="7" t="s">
        <v>412</v>
      </c>
      <c r="B320" s="12" t="s">
        <v>413</v>
      </c>
      <c r="C320">
        <v>83943191.141064227</v>
      </c>
      <c r="D320">
        <v>89151278.473077461</v>
      </c>
      <c r="E320">
        <v>95495.495495495998</v>
      </c>
      <c r="F320">
        <v>125675.67567567799</v>
      </c>
      <c r="G320">
        <v>16</v>
      </c>
      <c r="H320">
        <v>4</v>
      </c>
      <c r="K320">
        <v>20</v>
      </c>
      <c r="L320">
        <v>6</v>
      </c>
      <c r="M320">
        <v>2395315.315315315</v>
      </c>
      <c r="N320">
        <v>2463423.4234234272</v>
      </c>
      <c r="O320">
        <v>35154873.873873875</v>
      </c>
      <c r="P320">
        <v>34087927.927927926</v>
      </c>
      <c r="Q320">
        <v>2068918.9189189179</v>
      </c>
      <c r="R320">
        <v>1868828.8288288291</v>
      </c>
      <c r="S320">
        <v>3939</v>
      </c>
      <c r="T320">
        <v>3911</v>
      </c>
    </row>
    <row r="321" spans="1:20" x14ac:dyDescent="0.35">
      <c r="A321" s="7" t="s">
        <v>414</v>
      </c>
      <c r="B321" s="12" t="s">
        <v>214</v>
      </c>
      <c r="C321">
        <v>532351348.07764244</v>
      </c>
      <c r="D321">
        <v>570769679.6876651</v>
      </c>
      <c r="E321">
        <v>223264709.90990993</v>
      </c>
      <c r="F321">
        <v>319611374.77477479</v>
      </c>
      <c r="G321">
        <v>196</v>
      </c>
      <c r="H321">
        <v>796</v>
      </c>
      <c r="K321">
        <v>249</v>
      </c>
      <c r="L321">
        <v>966</v>
      </c>
      <c r="M321">
        <v>61806396.396396399</v>
      </c>
      <c r="N321">
        <v>89073873.873873875</v>
      </c>
      <c r="O321">
        <v>218708682.88288289</v>
      </c>
      <c r="P321">
        <v>264485325.22522521</v>
      </c>
      <c r="Q321">
        <v>65925675.675675683</v>
      </c>
      <c r="R321">
        <v>78609459.459459454</v>
      </c>
      <c r="S321">
        <v>23837</v>
      </c>
      <c r="T321">
        <v>24234</v>
      </c>
    </row>
    <row r="322" spans="1:20" x14ac:dyDescent="0.35">
      <c r="A322" s="7" t="s">
        <v>415</v>
      </c>
      <c r="B322" s="12" t="s">
        <v>413</v>
      </c>
      <c r="C322">
        <v>49432800.22880654</v>
      </c>
      <c r="D322">
        <v>49827888.34276773</v>
      </c>
      <c r="E322">
        <v>636036.03603603598</v>
      </c>
      <c r="F322">
        <v>3167117.117117119</v>
      </c>
      <c r="G322">
        <v>14</v>
      </c>
      <c r="H322">
        <v>13</v>
      </c>
      <c r="K322">
        <v>17</v>
      </c>
      <c r="L322">
        <v>18</v>
      </c>
      <c r="M322">
        <v>12910090.090090092</v>
      </c>
      <c r="N322">
        <v>11281531.531531531</v>
      </c>
      <c r="O322">
        <v>16270720.72072072</v>
      </c>
      <c r="P322">
        <v>18893756.756756756</v>
      </c>
      <c r="Q322">
        <v>6931711.7117117122</v>
      </c>
      <c r="R322">
        <v>6764414.4144144142</v>
      </c>
      <c r="S322">
        <v>3003</v>
      </c>
      <c r="T322">
        <v>2881</v>
      </c>
    </row>
    <row r="323" spans="1:20" x14ac:dyDescent="0.35">
      <c r="A323" s="7" t="s">
        <v>416</v>
      </c>
      <c r="B323" s="12" t="s">
        <v>236</v>
      </c>
      <c r="C323">
        <v>367380769.13668931</v>
      </c>
      <c r="D323">
        <v>350259407.70894492</v>
      </c>
      <c r="E323">
        <v>241441.44144144401</v>
      </c>
      <c r="F323">
        <v>67108108.108108111</v>
      </c>
      <c r="G323">
        <v>129</v>
      </c>
      <c r="H323">
        <v>86</v>
      </c>
      <c r="I323">
        <v>1</v>
      </c>
      <c r="K323">
        <v>178</v>
      </c>
      <c r="L323">
        <v>164</v>
      </c>
      <c r="M323">
        <v>40879459.459459454</v>
      </c>
      <c r="N323">
        <v>40874324.324324325</v>
      </c>
      <c r="O323">
        <v>86006513.51351352</v>
      </c>
      <c r="P323">
        <v>85468792.792792797</v>
      </c>
      <c r="Q323">
        <v>28877837.837837841</v>
      </c>
      <c r="R323">
        <v>38407657.657657653</v>
      </c>
      <c r="S323">
        <v>10689</v>
      </c>
      <c r="T323">
        <v>10837</v>
      </c>
    </row>
    <row r="324" spans="1:20" x14ac:dyDescent="0.35">
      <c r="A324" s="7" t="s">
        <v>417</v>
      </c>
      <c r="B324" s="12" t="s">
        <v>117</v>
      </c>
      <c r="C324">
        <v>355031722.68645471</v>
      </c>
      <c r="D324">
        <v>337542375.2967332</v>
      </c>
      <c r="E324">
        <v>354449952.25225228</v>
      </c>
      <c r="F324">
        <v>206528805.4054054</v>
      </c>
      <c r="G324">
        <v>166</v>
      </c>
      <c r="H324">
        <v>119</v>
      </c>
      <c r="I324">
        <v>1</v>
      </c>
      <c r="K324">
        <v>376</v>
      </c>
      <c r="L324">
        <v>516</v>
      </c>
      <c r="M324">
        <v>74854324.324324325</v>
      </c>
      <c r="N324">
        <v>79033482.882882893</v>
      </c>
      <c r="O324">
        <v>151738189.1891892</v>
      </c>
      <c r="P324">
        <v>154830178.37837836</v>
      </c>
      <c r="Q324">
        <v>66501531.531531528</v>
      </c>
      <c r="R324">
        <v>72692432.432432428</v>
      </c>
      <c r="S324">
        <v>17469</v>
      </c>
      <c r="T324">
        <v>17575</v>
      </c>
    </row>
    <row r="325" spans="1:20" x14ac:dyDescent="0.35">
      <c r="A325" s="7" t="s">
        <v>418</v>
      </c>
      <c r="B325" s="12" t="s">
        <v>147</v>
      </c>
      <c r="C325">
        <v>9655384.6182575524</v>
      </c>
      <c r="D325">
        <v>7916179.7799005844</v>
      </c>
      <c r="H325">
        <v>2</v>
      </c>
      <c r="L325">
        <v>2</v>
      </c>
      <c r="O325">
        <v>3009864.8648648649</v>
      </c>
      <c r="P325">
        <v>3114585.5855855858</v>
      </c>
      <c r="S325">
        <v>512</v>
      </c>
      <c r="T325">
        <v>548</v>
      </c>
    </row>
    <row r="326" spans="1:20" x14ac:dyDescent="0.35">
      <c r="A326" s="7" t="s">
        <v>419</v>
      </c>
      <c r="B326" s="12" t="s">
        <v>304</v>
      </c>
      <c r="C326">
        <v>74530088.803023487</v>
      </c>
      <c r="D326">
        <v>75335060.110781893</v>
      </c>
      <c r="E326">
        <v>441441.44144144299</v>
      </c>
      <c r="F326">
        <v>1419144.1441441451</v>
      </c>
      <c r="G326">
        <v>25</v>
      </c>
      <c r="H326">
        <v>40</v>
      </c>
      <c r="K326">
        <v>32</v>
      </c>
      <c r="L326">
        <v>46</v>
      </c>
      <c r="M326">
        <v>13025225.225225223</v>
      </c>
      <c r="N326">
        <v>9717117.1171171162</v>
      </c>
      <c r="O326">
        <v>14536621.62162162</v>
      </c>
      <c r="P326">
        <v>14765173.873873876</v>
      </c>
      <c r="Q326">
        <v>11314954.954954954</v>
      </c>
      <c r="R326">
        <v>10393513.513513515</v>
      </c>
      <c r="S326">
        <v>2407</v>
      </c>
      <c r="T326">
        <v>2306</v>
      </c>
    </row>
    <row r="327" spans="1:20" x14ac:dyDescent="0.35">
      <c r="A327" s="7" t="s">
        <v>420</v>
      </c>
      <c r="B327" s="12" t="s">
        <v>304</v>
      </c>
      <c r="C327">
        <v>88491209.434702903</v>
      </c>
      <c r="D327">
        <v>87211929.016692147</v>
      </c>
      <c r="E327">
        <v>405405.40540540603</v>
      </c>
      <c r="F327">
        <v>1477252.2522522509</v>
      </c>
      <c r="G327">
        <v>44</v>
      </c>
      <c r="H327">
        <v>49</v>
      </c>
      <c r="I327">
        <v>2</v>
      </c>
      <c r="K327">
        <v>76</v>
      </c>
      <c r="L327">
        <v>78</v>
      </c>
      <c r="M327">
        <v>13048648.648648644</v>
      </c>
      <c r="N327">
        <v>18675675.675675672</v>
      </c>
      <c r="O327">
        <v>18795043.243243244</v>
      </c>
      <c r="P327">
        <v>19114891.891891893</v>
      </c>
      <c r="Q327">
        <v>11878558.558558555</v>
      </c>
      <c r="R327">
        <v>12872162.162162161</v>
      </c>
      <c r="S327">
        <v>3054</v>
      </c>
      <c r="T327">
        <v>3090</v>
      </c>
    </row>
    <row r="328" spans="1:20" x14ac:dyDescent="0.35">
      <c r="A328" s="7" t="s">
        <v>421</v>
      </c>
      <c r="B328" s="12" t="s">
        <v>121</v>
      </c>
      <c r="C328">
        <v>7535410.2948080869</v>
      </c>
      <c r="D328">
        <v>3290874.6066881288</v>
      </c>
      <c r="E328">
        <v>12612.612612613</v>
      </c>
      <c r="F328">
        <v>13513.513513514001</v>
      </c>
      <c r="H328">
        <v>2</v>
      </c>
      <c r="L328">
        <v>3</v>
      </c>
      <c r="M328">
        <v>12612.612612613</v>
      </c>
      <c r="N328">
        <v>13513.513513514001</v>
      </c>
      <c r="O328">
        <v>659684.68468468497</v>
      </c>
      <c r="P328">
        <v>240126.12612612601</v>
      </c>
      <c r="S328">
        <v>359</v>
      </c>
      <c r="T328">
        <v>322</v>
      </c>
    </row>
    <row r="329" spans="1:20" x14ac:dyDescent="0.35">
      <c r="A329" s="7" t="s">
        <v>422</v>
      </c>
      <c r="B329" s="12" t="s">
        <v>60</v>
      </c>
      <c r="C329">
        <v>44763884.684668623</v>
      </c>
      <c r="D329">
        <v>43149961.834129736</v>
      </c>
      <c r="E329">
        <v>268468.46846846899</v>
      </c>
      <c r="F329">
        <v>681081.08108108304</v>
      </c>
      <c r="G329">
        <v>13</v>
      </c>
      <c r="H329">
        <v>31</v>
      </c>
      <c r="K329">
        <v>15</v>
      </c>
      <c r="L329">
        <v>35</v>
      </c>
      <c r="M329">
        <v>4326126.1261261255</v>
      </c>
      <c r="N329">
        <v>10976576.576576576</v>
      </c>
      <c r="O329">
        <v>14275495.495495496</v>
      </c>
      <c r="P329">
        <v>15225306.306306306</v>
      </c>
      <c r="Q329">
        <v>3378828.8288288289</v>
      </c>
      <c r="R329">
        <v>9180720.7207207195</v>
      </c>
      <c r="S329">
        <v>2006</v>
      </c>
      <c r="T329">
        <v>2021</v>
      </c>
    </row>
    <row r="330" spans="1:20" x14ac:dyDescent="0.35">
      <c r="A330" s="7" t="s">
        <v>423</v>
      </c>
      <c r="B330" s="12" t="s">
        <v>181</v>
      </c>
      <c r="C330">
        <v>455702450.84736407</v>
      </c>
      <c r="D330">
        <v>431348067.1457637</v>
      </c>
      <c r="E330">
        <v>1272972.9729729779</v>
      </c>
      <c r="F330">
        <v>4166666.6666666749</v>
      </c>
      <c r="G330">
        <v>162</v>
      </c>
      <c r="H330">
        <v>154</v>
      </c>
      <c r="I330">
        <v>13</v>
      </c>
      <c r="K330">
        <v>203</v>
      </c>
      <c r="L330">
        <v>231</v>
      </c>
      <c r="M330">
        <v>38862522.522522509</v>
      </c>
      <c r="N330">
        <v>56612792.792792782</v>
      </c>
      <c r="O330">
        <v>123136126.12612613</v>
      </c>
      <c r="P330">
        <v>128931549.54954955</v>
      </c>
      <c r="Q330">
        <v>42272612.612612613</v>
      </c>
      <c r="R330">
        <v>51625945.945945941</v>
      </c>
      <c r="S330">
        <v>22832</v>
      </c>
      <c r="T330">
        <v>21684</v>
      </c>
    </row>
    <row r="331" spans="1:20" x14ac:dyDescent="0.35">
      <c r="A331" s="7" t="s">
        <v>424</v>
      </c>
      <c r="B331" s="12" t="s">
        <v>76</v>
      </c>
      <c r="C331">
        <v>17735087.992901728</v>
      </c>
      <c r="D331">
        <v>13212194.89050078</v>
      </c>
      <c r="E331">
        <v>2702.7027027029999</v>
      </c>
      <c r="F331">
        <v>13513.513513514001</v>
      </c>
      <c r="G331">
        <v>6</v>
      </c>
      <c r="K331">
        <v>6</v>
      </c>
      <c r="M331">
        <v>2164864.8648648649</v>
      </c>
      <c r="N331">
        <v>914414.41441441397</v>
      </c>
      <c r="O331">
        <v>1910936.936936937</v>
      </c>
      <c r="P331">
        <v>1248144.1441441439</v>
      </c>
      <c r="Q331">
        <v>1826666.6666666679</v>
      </c>
      <c r="R331">
        <v>1016036.036036036</v>
      </c>
      <c r="S331">
        <v>889</v>
      </c>
      <c r="T331">
        <v>856</v>
      </c>
    </row>
    <row r="332" spans="1:20" x14ac:dyDescent="0.35">
      <c r="A332" s="7" t="s">
        <v>425</v>
      </c>
      <c r="B332" s="12" t="s">
        <v>76</v>
      </c>
      <c r="C332">
        <v>53187959.65674527</v>
      </c>
      <c r="D332">
        <v>51025672.161934927</v>
      </c>
      <c r="E332">
        <v>145045.04504504599</v>
      </c>
      <c r="F332">
        <v>89189.189189190001</v>
      </c>
      <c r="G332">
        <v>25</v>
      </c>
      <c r="H332">
        <v>11</v>
      </c>
      <c r="K332">
        <v>28</v>
      </c>
      <c r="L332">
        <v>13</v>
      </c>
      <c r="M332">
        <v>6162162.1621621642</v>
      </c>
      <c r="N332">
        <v>5757387.3873873893</v>
      </c>
      <c r="O332">
        <v>12737927.927927928</v>
      </c>
      <c r="P332">
        <v>11945387.387387387</v>
      </c>
      <c r="Q332">
        <v>4335495.4954954963</v>
      </c>
      <c r="R332">
        <v>5172522.5225225212</v>
      </c>
      <c r="S332">
        <v>1475</v>
      </c>
      <c r="T332">
        <v>1440</v>
      </c>
    </row>
    <row r="333" spans="1:20" x14ac:dyDescent="0.35">
      <c r="A333" s="7" t="s">
        <v>426</v>
      </c>
      <c r="B333" s="12" t="s">
        <v>330</v>
      </c>
      <c r="C333">
        <v>251588960.06793767</v>
      </c>
      <c r="D333">
        <v>248705918.69459468</v>
      </c>
      <c r="E333">
        <v>675405.40540540905</v>
      </c>
      <c r="F333">
        <v>2090765.7657657701</v>
      </c>
      <c r="G333">
        <v>77</v>
      </c>
      <c r="H333">
        <v>89</v>
      </c>
      <c r="K333">
        <v>98</v>
      </c>
      <c r="L333">
        <v>110</v>
      </c>
      <c r="M333">
        <v>5378108.1081081098</v>
      </c>
      <c r="N333">
        <v>15613513.513513517</v>
      </c>
      <c r="O333">
        <v>42213745.945945941</v>
      </c>
      <c r="P333">
        <v>44054675.675675683</v>
      </c>
      <c r="Q333">
        <v>7343603.6036036042</v>
      </c>
      <c r="R333">
        <v>10430990.990990993</v>
      </c>
      <c r="S333">
        <v>11582</v>
      </c>
      <c r="T333">
        <v>11660</v>
      </c>
    </row>
    <row r="334" spans="1:20" x14ac:dyDescent="0.35">
      <c r="A334" s="7" t="s">
        <v>427</v>
      </c>
      <c r="B334" s="12" t="s">
        <v>241</v>
      </c>
      <c r="C334">
        <v>65352689.743894093</v>
      </c>
      <c r="D334">
        <v>64342585.955843911</v>
      </c>
      <c r="E334">
        <v>99850836.936936945</v>
      </c>
      <c r="F334">
        <v>24346283.783783782</v>
      </c>
      <c r="G334">
        <v>29</v>
      </c>
      <c r="H334">
        <v>24</v>
      </c>
      <c r="K334">
        <v>34</v>
      </c>
      <c r="L334">
        <v>27</v>
      </c>
      <c r="M334">
        <v>21635277.477477476</v>
      </c>
      <c r="N334">
        <v>13257207.207207207</v>
      </c>
      <c r="O334">
        <v>25005819.819819819</v>
      </c>
      <c r="P334">
        <v>23454927.927927926</v>
      </c>
      <c r="Q334">
        <v>11838018.018018017</v>
      </c>
      <c r="R334">
        <v>6547657.657657654</v>
      </c>
      <c r="S334">
        <v>5272</v>
      </c>
      <c r="T334">
        <v>5099</v>
      </c>
    </row>
    <row r="335" spans="1:20" x14ac:dyDescent="0.35">
      <c r="A335" s="7" t="s">
        <v>428</v>
      </c>
      <c r="B335" s="12" t="s">
        <v>283</v>
      </c>
      <c r="C335">
        <v>28489535.499098007</v>
      </c>
      <c r="D335">
        <v>28140793.885782719</v>
      </c>
      <c r="E335">
        <v>39639.639639640001</v>
      </c>
      <c r="F335">
        <v>272972.97297297401</v>
      </c>
      <c r="G335">
        <v>12</v>
      </c>
      <c r="H335">
        <v>1</v>
      </c>
      <c r="K335">
        <v>14</v>
      </c>
      <c r="L335">
        <v>27</v>
      </c>
      <c r="M335">
        <v>2201801.8018018021</v>
      </c>
      <c r="N335">
        <v>10615315.315315315</v>
      </c>
      <c r="O335">
        <v>5200630.630630631</v>
      </c>
      <c r="P335">
        <v>5970387.3873873875</v>
      </c>
      <c r="Q335">
        <v>1113513.5135135129</v>
      </c>
      <c r="R335">
        <v>6172162.1621621614</v>
      </c>
      <c r="S335">
        <v>1261</v>
      </c>
      <c r="T335">
        <v>1262</v>
      </c>
    </row>
    <row r="336" spans="1:20" x14ac:dyDescent="0.35">
      <c r="A336" s="7" t="s">
        <v>429</v>
      </c>
      <c r="B336" s="12" t="s">
        <v>283</v>
      </c>
      <c r="C336">
        <v>8256405.0664721848</v>
      </c>
      <c r="D336">
        <v>9288791.8278588559</v>
      </c>
      <c r="E336">
        <v>9909.9099099100004</v>
      </c>
      <c r="F336">
        <v>207207.20720720699</v>
      </c>
      <c r="M336">
        <v>145045.045045045</v>
      </c>
      <c r="N336">
        <v>3090090.090090089</v>
      </c>
      <c r="O336">
        <v>765630.63063062995</v>
      </c>
      <c r="P336">
        <v>478468.468468468</v>
      </c>
      <c r="Q336">
        <v>163513.51351351399</v>
      </c>
      <c r="R336">
        <v>2856126.1261261259</v>
      </c>
      <c r="S336">
        <v>520</v>
      </c>
      <c r="T336">
        <v>496</v>
      </c>
    </row>
    <row r="337" spans="1:20" x14ac:dyDescent="0.35">
      <c r="A337" s="7" t="s">
        <v>430</v>
      </c>
      <c r="B337" s="12" t="s">
        <v>283</v>
      </c>
      <c r="C337">
        <v>16073369.883106794</v>
      </c>
      <c r="D337">
        <v>20081434.892107546</v>
      </c>
      <c r="E337">
        <v>9009.0090090089998</v>
      </c>
      <c r="F337">
        <v>180180.18018018</v>
      </c>
      <c r="G337">
        <v>4</v>
      </c>
      <c r="H337">
        <v>3</v>
      </c>
      <c r="K337">
        <v>4</v>
      </c>
      <c r="L337">
        <v>4</v>
      </c>
      <c r="M337">
        <v>9009.0090090089998</v>
      </c>
      <c r="N337">
        <v>270270.27027027</v>
      </c>
      <c r="O337">
        <v>1449459.4594594601</v>
      </c>
      <c r="P337">
        <v>1886126.1261261259</v>
      </c>
      <c r="R337">
        <v>173423.423423423</v>
      </c>
      <c r="S337">
        <v>818</v>
      </c>
      <c r="T337">
        <v>817</v>
      </c>
    </row>
    <row r="338" spans="1:20" x14ac:dyDescent="0.35">
      <c r="A338" s="7" t="s">
        <v>431</v>
      </c>
      <c r="B338" s="12" t="s">
        <v>78</v>
      </c>
      <c r="C338">
        <v>112377452.58090164</v>
      </c>
      <c r="D338">
        <v>111788541.79912032</v>
      </c>
      <c r="E338">
        <v>666666.66666666698</v>
      </c>
      <c r="F338">
        <v>1018018.01801802</v>
      </c>
      <c r="G338">
        <v>17</v>
      </c>
      <c r="H338">
        <v>74</v>
      </c>
      <c r="K338">
        <v>18</v>
      </c>
      <c r="L338">
        <v>125</v>
      </c>
      <c r="M338">
        <v>9995495.4954954926</v>
      </c>
      <c r="N338">
        <v>7720720.7207207195</v>
      </c>
      <c r="O338">
        <v>45185135.135135137</v>
      </c>
      <c r="P338">
        <v>47113306.306306303</v>
      </c>
      <c r="Q338">
        <v>8808018.0180180166</v>
      </c>
      <c r="R338">
        <v>9058918.9189189207</v>
      </c>
      <c r="S338">
        <v>6415</v>
      </c>
      <c r="T338">
        <v>6974</v>
      </c>
    </row>
    <row r="339" spans="1:20" x14ac:dyDescent="0.35">
      <c r="A339" s="7" t="s">
        <v>432</v>
      </c>
      <c r="B339" s="12" t="s">
        <v>105</v>
      </c>
      <c r="C339">
        <v>100353189.64968584</v>
      </c>
      <c r="D339">
        <v>98395879.164701805</v>
      </c>
      <c r="E339">
        <v>79279.279279280003</v>
      </c>
      <c r="F339">
        <v>221621.62162162099</v>
      </c>
      <c r="G339">
        <v>13</v>
      </c>
      <c r="H339">
        <v>10</v>
      </c>
      <c r="K339">
        <v>15</v>
      </c>
      <c r="L339">
        <v>12</v>
      </c>
      <c r="M339">
        <v>9659819.8198198192</v>
      </c>
      <c r="N339">
        <v>14245000</v>
      </c>
      <c r="O339">
        <v>23296025.225225225</v>
      </c>
      <c r="P339">
        <v>22917756.756756756</v>
      </c>
      <c r="Q339">
        <v>8810990.9909909908</v>
      </c>
      <c r="R339">
        <v>12552117.117117118</v>
      </c>
      <c r="S339">
        <v>3620</v>
      </c>
      <c r="T339">
        <v>3976</v>
      </c>
    </row>
    <row r="340" spans="1:20" x14ac:dyDescent="0.35">
      <c r="A340" s="7" t="s">
        <v>433</v>
      </c>
      <c r="B340" s="12" t="s">
        <v>72</v>
      </c>
      <c r="C340">
        <v>574924096.92914021</v>
      </c>
      <c r="D340">
        <v>554953773.44014978</v>
      </c>
      <c r="E340">
        <v>832882.88288288994</v>
      </c>
      <c r="F340">
        <v>3801801.8018018161</v>
      </c>
      <c r="G340">
        <v>139</v>
      </c>
      <c r="H340">
        <v>155</v>
      </c>
      <c r="I340">
        <v>1</v>
      </c>
      <c r="K340">
        <v>233</v>
      </c>
      <c r="L340">
        <v>253</v>
      </c>
      <c r="M340">
        <v>85389639.639639631</v>
      </c>
      <c r="N340">
        <v>72718918.918918908</v>
      </c>
      <c r="O340">
        <v>118880619.81981982</v>
      </c>
      <c r="P340">
        <v>117290779.27927928</v>
      </c>
      <c r="Q340">
        <v>63479459.459459461</v>
      </c>
      <c r="R340">
        <v>59091711.711711712</v>
      </c>
      <c r="S340">
        <v>18352</v>
      </c>
      <c r="T340">
        <v>18575</v>
      </c>
    </row>
    <row r="341" spans="1:20" x14ac:dyDescent="0.35">
      <c r="A341" s="7" t="s">
        <v>434</v>
      </c>
      <c r="B341" s="12" t="s">
        <v>72</v>
      </c>
      <c r="C341">
        <v>402734258.33223045</v>
      </c>
      <c r="D341">
        <v>384938428.64099127</v>
      </c>
      <c r="E341">
        <v>1175675.675675676</v>
      </c>
      <c r="F341">
        <v>2342567.5675675739</v>
      </c>
      <c r="G341">
        <v>73</v>
      </c>
      <c r="H341">
        <v>90</v>
      </c>
      <c r="K341">
        <v>84</v>
      </c>
      <c r="L341">
        <v>104</v>
      </c>
      <c r="M341">
        <v>48057657.657657646</v>
      </c>
      <c r="N341">
        <v>42311711.711711712</v>
      </c>
      <c r="O341">
        <v>68362932.432432428</v>
      </c>
      <c r="P341">
        <v>73147441.441441447</v>
      </c>
      <c r="Q341">
        <v>32286486.486486483</v>
      </c>
      <c r="R341">
        <v>31202252.252252251</v>
      </c>
      <c r="S341">
        <v>13860</v>
      </c>
      <c r="T341">
        <v>14899</v>
      </c>
    </row>
    <row r="342" spans="1:20" x14ac:dyDescent="0.35">
      <c r="A342" s="7" t="s">
        <v>435</v>
      </c>
      <c r="B342" s="12" t="s">
        <v>94</v>
      </c>
      <c r="C342">
        <v>29794634.579764262</v>
      </c>
      <c r="D342">
        <v>26764317.538851537</v>
      </c>
      <c r="E342">
        <v>900.900900901</v>
      </c>
      <c r="G342">
        <v>6</v>
      </c>
      <c r="H342">
        <v>1</v>
      </c>
      <c r="K342">
        <v>6</v>
      </c>
      <c r="L342">
        <v>1</v>
      </c>
      <c r="M342">
        <v>541441.44144144095</v>
      </c>
      <c r="N342">
        <v>180180.18018018</v>
      </c>
      <c r="O342">
        <v>6111216.2162162159</v>
      </c>
      <c r="P342">
        <v>6065486.4864864862</v>
      </c>
      <c r="Q342">
        <v>59459.459459459002</v>
      </c>
      <c r="R342">
        <v>116666.66666666701</v>
      </c>
      <c r="S342">
        <v>904</v>
      </c>
      <c r="T342">
        <v>845</v>
      </c>
    </row>
    <row r="343" spans="1:20" x14ac:dyDescent="0.35">
      <c r="A343" s="7" t="s">
        <v>436</v>
      </c>
      <c r="B343" s="12" t="s">
        <v>89</v>
      </c>
      <c r="C343">
        <v>139827959.66473833</v>
      </c>
      <c r="D343">
        <v>143756103.29800269</v>
      </c>
      <c r="E343">
        <v>872252.25225225196</v>
      </c>
      <c r="F343">
        <v>1501801.801801804</v>
      </c>
      <c r="G343">
        <v>40</v>
      </c>
      <c r="H343">
        <v>50</v>
      </c>
      <c r="K343">
        <v>41</v>
      </c>
      <c r="L343">
        <v>54</v>
      </c>
      <c r="M343">
        <v>16196576.576576572</v>
      </c>
      <c r="N343">
        <v>17670450.45045045</v>
      </c>
      <c r="O343">
        <v>57120000</v>
      </c>
      <c r="P343">
        <v>63170914.414414413</v>
      </c>
      <c r="Q343">
        <v>13813333.333333336</v>
      </c>
      <c r="R343">
        <v>17746126.126126125</v>
      </c>
      <c r="S343">
        <v>5480</v>
      </c>
      <c r="T343">
        <v>5353</v>
      </c>
    </row>
    <row r="344" spans="1:20" x14ac:dyDescent="0.35">
      <c r="A344" s="7" t="s">
        <v>437</v>
      </c>
      <c r="B344" s="12" t="s">
        <v>70</v>
      </c>
      <c r="C344">
        <v>4554849.7822147831</v>
      </c>
      <c r="D344">
        <v>4206196.6881420799</v>
      </c>
      <c r="G344">
        <v>8</v>
      </c>
      <c r="H344">
        <v>5</v>
      </c>
      <c r="K344">
        <v>8</v>
      </c>
      <c r="L344">
        <v>5</v>
      </c>
      <c r="O344">
        <v>2166891.8918918921</v>
      </c>
      <c r="P344">
        <v>2882423.423423423</v>
      </c>
      <c r="S344">
        <v>1211</v>
      </c>
      <c r="T344">
        <v>2496</v>
      </c>
    </row>
    <row r="345" spans="1:20" x14ac:dyDescent="0.35">
      <c r="A345" s="7" t="s">
        <v>438</v>
      </c>
      <c r="B345" s="12" t="s">
        <v>195</v>
      </c>
      <c r="C345">
        <v>676547740.69533861</v>
      </c>
      <c r="D345">
        <v>650546143.30704689</v>
      </c>
      <c r="E345">
        <v>87261362.162162155</v>
      </c>
      <c r="F345">
        <v>96764402.702702701</v>
      </c>
      <c r="G345">
        <v>136</v>
      </c>
      <c r="H345">
        <v>157</v>
      </c>
      <c r="K345">
        <v>165</v>
      </c>
      <c r="L345">
        <v>202</v>
      </c>
      <c r="M345">
        <v>62348198.198198199</v>
      </c>
      <c r="N345">
        <v>57080900.9009009</v>
      </c>
      <c r="O345">
        <v>106724288.2882883</v>
      </c>
      <c r="P345">
        <v>114222450.45045045</v>
      </c>
      <c r="Q345">
        <v>57892972.972972974</v>
      </c>
      <c r="R345">
        <v>51552162.16216217</v>
      </c>
      <c r="S345">
        <v>20611</v>
      </c>
      <c r="T345">
        <v>20417</v>
      </c>
    </row>
    <row r="346" spans="1:20" x14ac:dyDescent="0.35">
      <c r="A346" s="7" t="s">
        <v>439</v>
      </c>
      <c r="B346" s="12" t="s">
        <v>178</v>
      </c>
      <c r="C346">
        <v>315233049.53494221</v>
      </c>
      <c r="D346">
        <v>322350517.87801838</v>
      </c>
      <c r="E346">
        <v>1288558.558558559</v>
      </c>
      <c r="F346">
        <v>6439639.639639643</v>
      </c>
      <c r="G346">
        <v>51</v>
      </c>
      <c r="H346">
        <v>36</v>
      </c>
      <c r="I346">
        <v>1</v>
      </c>
      <c r="K346">
        <v>66</v>
      </c>
      <c r="L346">
        <v>85</v>
      </c>
      <c r="M346">
        <v>66046126.126126125</v>
      </c>
      <c r="N346">
        <v>62194269.369369365</v>
      </c>
      <c r="O346">
        <v>122487018.01801802</v>
      </c>
      <c r="P346">
        <v>131001734.23423424</v>
      </c>
      <c r="Q346">
        <v>51220630.630630642</v>
      </c>
      <c r="R346">
        <v>51323648.648648642</v>
      </c>
      <c r="S346">
        <v>14519</v>
      </c>
      <c r="T346">
        <v>14462</v>
      </c>
    </row>
    <row r="347" spans="1:20" x14ac:dyDescent="0.35">
      <c r="A347" s="7" t="s">
        <v>440</v>
      </c>
      <c r="B347" s="12" t="s">
        <v>78</v>
      </c>
      <c r="C347">
        <v>138329096.30796117</v>
      </c>
      <c r="D347">
        <v>142559378.47047541</v>
      </c>
      <c r="E347">
        <v>951081.081081082</v>
      </c>
      <c r="F347">
        <v>2232432.4324324341</v>
      </c>
      <c r="G347">
        <v>19</v>
      </c>
      <c r="H347">
        <v>31</v>
      </c>
      <c r="K347">
        <v>28</v>
      </c>
      <c r="L347">
        <v>37</v>
      </c>
      <c r="M347">
        <v>10086216.216216214</v>
      </c>
      <c r="N347">
        <v>14565765.765765768</v>
      </c>
      <c r="O347">
        <v>27676180.180180181</v>
      </c>
      <c r="P347">
        <v>28942207.207207207</v>
      </c>
      <c r="Q347">
        <v>10391801.801801801</v>
      </c>
      <c r="R347">
        <v>13686666.666666666</v>
      </c>
      <c r="S347">
        <v>4850</v>
      </c>
      <c r="T347">
        <v>4986</v>
      </c>
    </row>
    <row r="348" spans="1:20" x14ac:dyDescent="0.35">
      <c r="A348" s="7" t="s">
        <v>441</v>
      </c>
      <c r="B348" s="12" t="s">
        <v>78</v>
      </c>
      <c r="C348">
        <v>61484011.752042487</v>
      </c>
      <c r="D348">
        <v>58300730.401368707</v>
      </c>
      <c r="E348">
        <v>331531.53153153299</v>
      </c>
      <c r="F348">
        <v>1044144.144144146</v>
      </c>
      <c r="G348">
        <v>14</v>
      </c>
      <c r="H348">
        <v>10</v>
      </c>
      <c r="K348">
        <v>15</v>
      </c>
      <c r="L348">
        <v>12</v>
      </c>
      <c r="M348">
        <v>8439639.6396396402</v>
      </c>
      <c r="N348">
        <v>12593693.693693692</v>
      </c>
      <c r="O348">
        <v>12092252.252252253</v>
      </c>
      <c r="P348">
        <v>12667504.504504504</v>
      </c>
      <c r="Q348">
        <v>12820720.72072072</v>
      </c>
      <c r="R348">
        <v>12730000</v>
      </c>
      <c r="S348">
        <v>2154</v>
      </c>
      <c r="T348">
        <v>2319</v>
      </c>
    </row>
    <row r="349" spans="1:20" x14ac:dyDescent="0.35">
      <c r="A349" s="7" t="s">
        <v>442</v>
      </c>
      <c r="B349" s="12" t="s">
        <v>123</v>
      </c>
      <c r="C349">
        <v>937044.38033408101</v>
      </c>
      <c r="D349">
        <v>1069741.2956976299</v>
      </c>
      <c r="G349">
        <v>1</v>
      </c>
      <c r="K349">
        <v>1</v>
      </c>
      <c r="O349">
        <v>375945.94594594598</v>
      </c>
      <c r="P349">
        <v>418783.78378378402</v>
      </c>
      <c r="S349">
        <v>379</v>
      </c>
      <c r="T349">
        <v>328</v>
      </c>
    </row>
    <row r="350" spans="1:20" x14ac:dyDescent="0.35">
      <c r="A350" s="7" t="s">
        <v>443</v>
      </c>
      <c r="B350" s="12" t="s">
        <v>140</v>
      </c>
      <c r="C350">
        <v>140341167.13038883</v>
      </c>
      <c r="D350">
        <v>144147862.44553894</v>
      </c>
      <c r="E350">
        <v>726126.12612612604</v>
      </c>
      <c r="F350">
        <v>420270.27027027</v>
      </c>
      <c r="G350">
        <v>12</v>
      </c>
      <c r="H350">
        <v>26</v>
      </c>
      <c r="K350">
        <v>16</v>
      </c>
      <c r="L350">
        <v>30</v>
      </c>
      <c r="M350">
        <v>11391441.441441439</v>
      </c>
      <c r="N350">
        <v>16325045.045045044</v>
      </c>
      <c r="O350">
        <v>33399594.59459459</v>
      </c>
      <c r="P350">
        <v>38852423.423423424</v>
      </c>
      <c r="Q350">
        <v>11765225.225225223</v>
      </c>
      <c r="R350">
        <v>14037837.837837836</v>
      </c>
      <c r="S350">
        <v>5593</v>
      </c>
      <c r="T350">
        <v>5993</v>
      </c>
    </row>
    <row r="351" spans="1:20" x14ac:dyDescent="0.35">
      <c r="A351" s="7" t="s">
        <v>444</v>
      </c>
      <c r="B351" s="12" t="s">
        <v>76</v>
      </c>
      <c r="C351">
        <v>15506092.497839408</v>
      </c>
      <c r="D351">
        <v>15833870.89850191</v>
      </c>
      <c r="E351">
        <v>38738.738738738997</v>
      </c>
      <c r="F351">
        <v>152252.25225225199</v>
      </c>
      <c r="G351">
        <v>4</v>
      </c>
      <c r="H351">
        <v>2</v>
      </c>
      <c r="K351">
        <v>5</v>
      </c>
      <c r="L351">
        <v>3</v>
      </c>
      <c r="M351">
        <v>7236936.9369369382</v>
      </c>
      <c r="N351">
        <v>3350450.4504504502</v>
      </c>
      <c r="O351">
        <v>3553828.8288288289</v>
      </c>
      <c r="P351">
        <v>3482135.1351351351</v>
      </c>
      <c r="Q351">
        <v>4375945.9459459456</v>
      </c>
      <c r="R351">
        <v>2168828.8288288289</v>
      </c>
      <c r="S351">
        <v>586</v>
      </c>
      <c r="T351">
        <v>550</v>
      </c>
    </row>
    <row r="352" spans="1:20" x14ac:dyDescent="0.35">
      <c r="A352" s="7" t="s">
        <v>445</v>
      </c>
      <c r="B352" s="12" t="s">
        <v>89</v>
      </c>
      <c r="C352">
        <v>439188030.98848361</v>
      </c>
      <c r="D352">
        <v>442866420.61820418</v>
      </c>
      <c r="E352">
        <v>60391508.108108111</v>
      </c>
      <c r="F352">
        <v>401699746.84684682</v>
      </c>
      <c r="G352">
        <v>78</v>
      </c>
      <c r="H352">
        <v>96</v>
      </c>
      <c r="I352">
        <v>2</v>
      </c>
      <c r="K352">
        <v>90</v>
      </c>
      <c r="L352">
        <v>125</v>
      </c>
      <c r="M352">
        <v>43838108.108108103</v>
      </c>
      <c r="N352">
        <v>224666216.21621624</v>
      </c>
      <c r="O352">
        <v>129830711.7117117</v>
      </c>
      <c r="P352">
        <v>140230349.54954955</v>
      </c>
      <c r="Q352">
        <v>44254954.954954952</v>
      </c>
      <c r="R352">
        <v>116279279.27927928</v>
      </c>
      <c r="S352">
        <v>16261</v>
      </c>
      <c r="T352">
        <v>16070</v>
      </c>
    </row>
    <row r="353" spans="1:20" x14ac:dyDescent="0.35">
      <c r="A353" s="7" t="s">
        <v>446</v>
      </c>
      <c r="B353" s="12" t="s">
        <v>48</v>
      </c>
      <c r="C353">
        <v>44547955.156473815</v>
      </c>
      <c r="D353">
        <v>42750107.781057425</v>
      </c>
      <c r="E353">
        <v>57197208.108108111</v>
      </c>
      <c r="F353">
        <v>143794759.45945945</v>
      </c>
      <c r="H353">
        <v>3</v>
      </c>
      <c r="L353">
        <v>8</v>
      </c>
      <c r="M353">
        <v>8477927.9279279299</v>
      </c>
      <c r="N353">
        <v>14228198.198198197</v>
      </c>
      <c r="O353">
        <v>14183648.648648648</v>
      </c>
      <c r="P353">
        <v>14330621.621621622</v>
      </c>
      <c r="Q353">
        <v>4380360.3603603607</v>
      </c>
      <c r="R353">
        <v>5943783.7837837832</v>
      </c>
      <c r="S353">
        <v>1092</v>
      </c>
      <c r="T353">
        <v>1115</v>
      </c>
    </row>
    <row r="354" spans="1:20" x14ac:dyDescent="0.35">
      <c r="A354" s="7" t="s">
        <v>447</v>
      </c>
      <c r="B354" s="12" t="s">
        <v>448</v>
      </c>
      <c r="C354">
        <v>86512250.547805324</v>
      </c>
      <c r="D354">
        <v>84163234.890910938</v>
      </c>
      <c r="E354">
        <v>672972.97297297395</v>
      </c>
      <c r="F354">
        <v>1800900.9009009029</v>
      </c>
      <c r="G354">
        <v>509</v>
      </c>
      <c r="H354">
        <v>66</v>
      </c>
      <c r="K354">
        <v>539</v>
      </c>
      <c r="L354">
        <v>94</v>
      </c>
      <c r="M354">
        <v>6468018.0180180194</v>
      </c>
      <c r="N354">
        <v>7163063.0630630646</v>
      </c>
      <c r="O354">
        <v>36297747.747747742</v>
      </c>
      <c r="P354">
        <v>34867846.846846849</v>
      </c>
      <c r="Q354">
        <v>6167027.0270270268</v>
      </c>
      <c r="R354">
        <v>7369009.009009013</v>
      </c>
      <c r="S354">
        <v>5632</v>
      </c>
      <c r="T354">
        <v>5980</v>
      </c>
    </row>
    <row r="355" spans="1:20" x14ac:dyDescent="0.35">
      <c r="A355" s="7" t="s">
        <v>449</v>
      </c>
      <c r="B355" s="12" t="s">
        <v>76</v>
      </c>
      <c r="C355">
        <v>22446734.352864183</v>
      </c>
      <c r="D355">
        <v>20161313.294728588</v>
      </c>
      <c r="E355">
        <v>16216.216216217001</v>
      </c>
      <c r="F355">
        <v>253153.15315315401</v>
      </c>
      <c r="G355">
        <v>7</v>
      </c>
      <c r="H355">
        <v>14</v>
      </c>
      <c r="K355">
        <v>7</v>
      </c>
      <c r="L355">
        <v>14</v>
      </c>
      <c r="M355">
        <v>4497297.297297298</v>
      </c>
      <c r="N355">
        <v>8207207.2072072057</v>
      </c>
      <c r="O355">
        <v>7977612.6126126125</v>
      </c>
      <c r="P355">
        <v>7228790.9909909908</v>
      </c>
      <c r="Q355">
        <v>3495135.1351351351</v>
      </c>
      <c r="R355">
        <v>5467117.1171171181</v>
      </c>
      <c r="S355">
        <v>1937</v>
      </c>
      <c r="T355">
        <v>1796</v>
      </c>
    </row>
    <row r="356" spans="1:20" x14ac:dyDescent="0.35">
      <c r="A356" s="7" t="s">
        <v>450</v>
      </c>
      <c r="B356" s="12" t="s">
        <v>83</v>
      </c>
      <c r="C356">
        <v>791269461.6620127</v>
      </c>
      <c r="D356">
        <v>794919656.19563818</v>
      </c>
      <c r="E356">
        <v>554875034.23423421</v>
      </c>
      <c r="F356">
        <v>259606079.27927929</v>
      </c>
      <c r="G356">
        <v>148</v>
      </c>
      <c r="H356">
        <v>173</v>
      </c>
      <c r="I356">
        <v>5</v>
      </c>
      <c r="K356">
        <v>164</v>
      </c>
      <c r="L356">
        <v>208</v>
      </c>
      <c r="M356">
        <v>86967747.747747749</v>
      </c>
      <c r="N356">
        <v>100122522.52252252</v>
      </c>
      <c r="O356">
        <v>161886936.93693691</v>
      </c>
      <c r="P356">
        <v>167833729.72972974</v>
      </c>
      <c r="Q356">
        <v>76426126.126126125</v>
      </c>
      <c r="R356">
        <v>89394864.864864871</v>
      </c>
      <c r="S356">
        <v>31723</v>
      </c>
      <c r="T356">
        <v>31393</v>
      </c>
    </row>
    <row r="357" spans="1:20" x14ac:dyDescent="0.35">
      <c r="A357" s="7" t="s">
        <v>451</v>
      </c>
      <c r="B357" s="12" t="s">
        <v>70</v>
      </c>
      <c r="C357">
        <v>54689177.358599335</v>
      </c>
      <c r="D357">
        <v>50305923.963714689</v>
      </c>
      <c r="E357">
        <v>415315.31531531498</v>
      </c>
      <c r="F357">
        <v>45945.945945945998</v>
      </c>
      <c r="G357">
        <v>10</v>
      </c>
      <c r="H357">
        <v>9</v>
      </c>
      <c r="K357">
        <v>11</v>
      </c>
      <c r="L357">
        <v>9</v>
      </c>
      <c r="M357">
        <v>415315.31531531498</v>
      </c>
      <c r="N357">
        <v>885585.58558558603</v>
      </c>
      <c r="O357">
        <v>31418288.288288288</v>
      </c>
      <c r="P357">
        <v>30616837.837837838</v>
      </c>
      <c r="Q357">
        <v>1036756.756756757</v>
      </c>
      <c r="R357">
        <v>942882.88288288401</v>
      </c>
      <c r="S357">
        <v>2266</v>
      </c>
      <c r="T357">
        <v>2698</v>
      </c>
    </row>
    <row r="358" spans="1:20" x14ac:dyDescent="0.35">
      <c r="A358" s="7" t="s">
        <v>452</v>
      </c>
      <c r="B358" s="12" t="s">
        <v>167</v>
      </c>
      <c r="C358">
        <v>63436686.661085397</v>
      </c>
      <c r="D358">
        <v>61364967.767621703</v>
      </c>
      <c r="E358">
        <v>38738.738738738997</v>
      </c>
      <c r="F358">
        <v>225225.225225225</v>
      </c>
      <c r="G358">
        <v>3</v>
      </c>
      <c r="H358">
        <v>4</v>
      </c>
      <c r="I358">
        <v>1</v>
      </c>
      <c r="K358">
        <v>3</v>
      </c>
      <c r="L358">
        <v>4</v>
      </c>
      <c r="M358">
        <v>4308648.6486486504</v>
      </c>
      <c r="N358">
        <v>450450.45045045001</v>
      </c>
      <c r="O358">
        <v>10537927.927927928</v>
      </c>
      <c r="P358">
        <v>11838216.216216216</v>
      </c>
      <c r="Q358">
        <v>4352702.7027027039</v>
      </c>
      <c r="R358">
        <v>2190720.7207207209</v>
      </c>
      <c r="S358">
        <v>2774</v>
      </c>
      <c r="T358">
        <v>2774</v>
      </c>
    </row>
    <row r="359" spans="1:20" x14ac:dyDescent="0.35">
      <c r="A359" s="7" t="s">
        <v>453</v>
      </c>
      <c r="B359" s="12" t="s">
        <v>121</v>
      </c>
      <c r="C359">
        <v>3873791.4261310198</v>
      </c>
      <c r="D359">
        <v>2678465.8024708629</v>
      </c>
      <c r="E359">
        <v>9009.0090090089998</v>
      </c>
      <c r="F359">
        <v>34234.234234233998</v>
      </c>
      <c r="G359">
        <v>2</v>
      </c>
      <c r="K359">
        <v>2</v>
      </c>
      <c r="M359">
        <v>9009.0090090089998</v>
      </c>
      <c r="N359">
        <v>36036.036036035999</v>
      </c>
      <c r="O359">
        <v>316846.84684684698</v>
      </c>
      <c r="P359">
        <v>255855.855855856</v>
      </c>
      <c r="S359">
        <v>164</v>
      </c>
      <c r="T359">
        <v>145</v>
      </c>
    </row>
    <row r="360" spans="1:20" x14ac:dyDescent="0.35">
      <c r="A360" s="7" t="s">
        <v>454</v>
      </c>
      <c r="B360" s="12" t="s">
        <v>224</v>
      </c>
      <c r="C360">
        <v>26598914.001207434</v>
      </c>
      <c r="D360">
        <v>20161536.742359128</v>
      </c>
      <c r="G360">
        <v>1</v>
      </c>
      <c r="K360">
        <v>1</v>
      </c>
      <c r="L360">
        <v>1</v>
      </c>
      <c r="O360">
        <v>4681801.8018018017</v>
      </c>
      <c r="P360">
        <v>4285576.5765765756</v>
      </c>
      <c r="Q360">
        <v>135585.585585586</v>
      </c>
      <c r="R360">
        <v>92432.432432432004</v>
      </c>
      <c r="S360">
        <v>1289</v>
      </c>
      <c r="T360">
        <v>1604</v>
      </c>
    </row>
    <row r="361" spans="1:20" x14ac:dyDescent="0.35">
      <c r="A361" s="7" t="s">
        <v>455</v>
      </c>
      <c r="B361" s="12" t="s">
        <v>94</v>
      </c>
      <c r="C361">
        <v>27476675.646127783</v>
      </c>
      <c r="D361">
        <v>34935085.843620032</v>
      </c>
      <c r="E361">
        <v>198198.19819819799</v>
      </c>
      <c r="F361">
        <v>333333.33333333401</v>
      </c>
      <c r="G361">
        <v>12</v>
      </c>
      <c r="H361">
        <v>12</v>
      </c>
      <c r="K361">
        <v>12</v>
      </c>
      <c r="L361">
        <v>15</v>
      </c>
      <c r="M361">
        <v>3789189.1891891891</v>
      </c>
      <c r="N361">
        <v>13990990.990990993</v>
      </c>
      <c r="O361">
        <v>5596036.036036035</v>
      </c>
      <c r="P361">
        <v>8731148.6486486476</v>
      </c>
      <c r="Q361">
        <v>4357297.297297297</v>
      </c>
      <c r="R361">
        <v>14645315.315315315</v>
      </c>
      <c r="S361">
        <v>1868</v>
      </c>
      <c r="T361">
        <v>2040</v>
      </c>
    </row>
    <row r="362" spans="1:20" x14ac:dyDescent="0.35">
      <c r="A362" s="7" t="s">
        <v>456</v>
      </c>
      <c r="B362" s="12" t="s">
        <v>60</v>
      </c>
      <c r="C362">
        <v>6141207.1285669431</v>
      </c>
      <c r="D362">
        <v>4749804.1022631098</v>
      </c>
      <c r="E362">
        <v>295495.49549549498</v>
      </c>
      <c r="F362">
        <v>102702.702702703</v>
      </c>
      <c r="G362">
        <v>5</v>
      </c>
      <c r="H362">
        <v>2</v>
      </c>
      <c r="K362">
        <v>5</v>
      </c>
      <c r="L362">
        <v>3</v>
      </c>
      <c r="M362">
        <v>926126.12612612604</v>
      </c>
      <c r="N362">
        <v>1003603.603603603</v>
      </c>
      <c r="O362">
        <v>3529144.1441441439</v>
      </c>
      <c r="P362">
        <v>1822243.2432432431</v>
      </c>
      <c r="Q362">
        <v>850000</v>
      </c>
      <c r="R362">
        <v>63513.513513514001</v>
      </c>
      <c r="S362">
        <v>654</v>
      </c>
      <c r="T362">
        <v>553</v>
      </c>
    </row>
    <row r="363" spans="1:20" x14ac:dyDescent="0.35">
      <c r="A363" s="7" t="s">
        <v>457</v>
      </c>
      <c r="B363" s="12" t="s">
        <v>214</v>
      </c>
      <c r="C363">
        <v>78819288.797580466</v>
      </c>
      <c r="D363">
        <v>85267907.451026842</v>
      </c>
      <c r="F363">
        <v>288288.28828828799</v>
      </c>
      <c r="G363">
        <v>12</v>
      </c>
      <c r="H363">
        <v>17</v>
      </c>
      <c r="K363">
        <v>14</v>
      </c>
      <c r="L363">
        <v>32</v>
      </c>
      <c r="M363">
        <v>450450.45045045001</v>
      </c>
      <c r="N363">
        <v>828828.82882882899</v>
      </c>
      <c r="O363">
        <v>39973603.603603601</v>
      </c>
      <c r="P363">
        <v>43201846.846846849</v>
      </c>
      <c r="Q363">
        <v>432432.43243243202</v>
      </c>
      <c r="R363">
        <v>1704504.5045045051</v>
      </c>
      <c r="S363">
        <v>2924</v>
      </c>
      <c r="T363">
        <v>2997</v>
      </c>
    </row>
    <row r="364" spans="1:20" x14ac:dyDescent="0.35">
      <c r="A364" s="7" t="s">
        <v>458</v>
      </c>
      <c r="B364" s="12" t="s">
        <v>459</v>
      </c>
      <c r="C364">
        <v>346051806.92773318</v>
      </c>
      <c r="D364">
        <v>333452693.06302077</v>
      </c>
      <c r="E364">
        <v>1476396.396396399</v>
      </c>
      <c r="F364">
        <v>4692342.3423423488</v>
      </c>
      <c r="G364">
        <v>122</v>
      </c>
      <c r="H364">
        <v>126</v>
      </c>
      <c r="I364">
        <v>2</v>
      </c>
      <c r="K364">
        <v>190</v>
      </c>
      <c r="L364">
        <v>172</v>
      </c>
      <c r="M364">
        <v>41045855.855855845</v>
      </c>
      <c r="N364">
        <v>92331801.801801786</v>
      </c>
      <c r="O364">
        <v>113979405.4054054</v>
      </c>
      <c r="P364">
        <v>120200108.10810812</v>
      </c>
      <c r="Q364">
        <v>33884324.324324325</v>
      </c>
      <c r="R364">
        <v>55935315.315315314</v>
      </c>
      <c r="S364">
        <v>25299</v>
      </c>
      <c r="T364">
        <v>25257</v>
      </c>
    </row>
    <row r="365" spans="1:20" x14ac:dyDescent="0.35">
      <c r="A365" s="7" t="s">
        <v>460</v>
      </c>
      <c r="B365" s="12" t="s">
        <v>459</v>
      </c>
      <c r="C365">
        <v>582593790.63108695</v>
      </c>
      <c r="D365">
        <v>933129717.66973305</v>
      </c>
      <c r="E365">
        <v>157278558.55855855</v>
      </c>
      <c r="F365">
        <v>276699279.27927929</v>
      </c>
      <c r="G365">
        <v>245</v>
      </c>
      <c r="H365">
        <v>214</v>
      </c>
      <c r="I365">
        <v>1</v>
      </c>
      <c r="K365">
        <v>324</v>
      </c>
      <c r="L365">
        <v>308</v>
      </c>
      <c r="M365">
        <v>45143963.963963971</v>
      </c>
      <c r="N365">
        <v>57414774.77477476</v>
      </c>
      <c r="O365">
        <v>154666324.32432431</v>
      </c>
      <c r="P365">
        <v>530988058.55855858</v>
      </c>
      <c r="Q365">
        <v>36602927.927927926</v>
      </c>
      <c r="R365">
        <v>47446846.846846849</v>
      </c>
      <c r="S365">
        <v>32133</v>
      </c>
      <c r="T365">
        <v>30075</v>
      </c>
    </row>
    <row r="366" spans="1:20" x14ac:dyDescent="0.35">
      <c r="A366" s="7" t="s">
        <v>461</v>
      </c>
      <c r="B366" s="12" t="s">
        <v>459</v>
      </c>
      <c r="C366">
        <v>513298292.90708143</v>
      </c>
      <c r="D366">
        <v>536191664.46296906</v>
      </c>
      <c r="E366">
        <v>1024774.774774777</v>
      </c>
      <c r="F366">
        <v>4122522.5225225301</v>
      </c>
      <c r="G366">
        <v>215</v>
      </c>
      <c r="H366">
        <v>127</v>
      </c>
      <c r="I366">
        <v>4</v>
      </c>
      <c r="K366">
        <v>279</v>
      </c>
      <c r="L366">
        <v>209</v>
      </c>
      <c r="M366">
        <v>790125675.67567563</v>
      </c>
      <c r="N366">
        <v>113964054.05405405</v>
      </c>
      <c r="O366">
        <v>132064391.89189188</v>
      </c>
      <c r="P366">
        <v>151221945.94594595</v>
      </c>
      <c r="Q366">
        <v>727827477.47747755</v>
      </c>
      <c r="R366">
        <v>71775855.855855852</v>
      </c>
      <c r="S366">
        <v>24618</v>
      </c>
      <c r="T366">
        <v>23105</v>
      </c>
    </row>
    <row r="367" spans="1:20" x14ac:dyDescent="0.35">
      <c r="A367" s="7" t="s">
        <v>462</v>
      </c>
      <c r="B367" s="12" t="s">
        <v>459</v>
      </c>
      <c r="C367">
        <v>384442188.3438834</v>
      </c>
      <c r="D367">
        <v>381651396.28690863</v>
      </c>
      <c r="E367">
        <v>182342.34234234699</v>
      </c>
      <c r="F367">
        <v>1191891.891891897</v>
      </c>
      <c r="G367">
        <v>88</v>
      </c>
      <c r="H367">
        <v>95</v>
      </c>
      <c r="K367">
        <v>104</v>
      </c>
      <c r="L367">
        <v>150</v>
      </c>
      <c r="M367">
        <v>18993243.243243244</v>
      </c>
      <c r="N367">
        <v>25638918.918918911</v>
      </c>
      <c r="O367">
        <v>83550259.459459454</v>
      </c>
      <c r="P367">
        <v>88404198.198198199</v>
      </c>
      <c r="Q367">
        <v>23544504.504504506</v>
      </c>
      <c r="R367">
        <v>25022342.342342336</v>
      </c>
      <c r="S367">
        <v>20299</v>
      </c>
      <c r="T367">
        <v>18692</v>
      </c>
    </row>
    <row r="368" spans="1:20" x14ac:dyDescent="0.35">
      <c r="A368" s="7" t="s">
        <v>463</v>
      </c>
      <c r="B368" s="12" t="s">
        <v>459</v>
      </c>
      <c r="C368">
        <v>365782919.11061895</v>
      </c>
      <c r="D368">
        <v>378396430.8398661</v>
      </c>
      <c r="E368">
        <v>751351.35135135299</v>
      </c>
      <c r="F368">
        <v>5040765.7657657741</v>
      </c>
      <c r="G368">
        <v>105</v>
      </c>
      <c r="H368">
        <v>190</v>
      </c>
      <c r="K368">
        <v>141</v>
      </c>
      <c r="L368">
        <v>284</v>
      </c>
      <c r="M368">
        <v>26184144.14414414</v>
      </c>
      <c r="N368">
        <v>46171531.531531528</v>
      </c>
      <c r="O368">
        <v>135200639.63963965</v>
      </c>
      <c r="P368">
        <v>150399797.2972973</v>
      </c>
      <c r="Q368">
        <v>25369549.549549542</v>
      </c>
      <c r="R368">
        <v>41852162.162162162</v>
      </c>
      <c r="S368">
        <v>26283</v>
      </c>
      <c r="T368">
        <v>26200</v>
      </c>
    </row>
    <row r="369" spans="1:20" x14ac:dyDescent="0.35">
      <c r="A369" s="7" t="s">
        <v>464</v>
      </c>
      <c r="B369" s="12" t="s">
        <v>459</v>
      </c>
      <c r="C369">
        <v>408271136.86284196</v>
      </c>
      <c r="D369">
        <v>435335716.33208036</v>
      </c>
      <c r="E369">
        <v>1092103186.4864864</v>
      </c>
      <c r="F369">
        <v>666950435.13513505</v>
      </c>
      <c r="G369">
        <v>185</v>
      </c>
      <c r="H369">
        <v>122</v>
      </c>
      <c r="K369">
        <v>216</v>
      </c>
      <c r="L369">
        <v>179</v>
      </c>
      <c r="M369">
        <v>53545585.585585587</v>
      </c>
      <c r="N369">
        <v>58366396.396396399</v>
      </c>
      <c r="O369">
        <v>176793052.25225225</v>
      </c>
      <c r="P369">
        <v>186831371.62162164</v>
      </c>
      <c r="Q369">
        <v>52120450.450450458</v>
      </c>
      <c r="R369">
        <v>55982072.072072074</v>
      </c>
      <c r="S369">
        <v>27917</v>
      </c>
      <c r="T369">
        <v>28417</v>
      </c>
    </row>
    <row r="370" spans="1:20" x14ac:dyDescent="0.35">
      <c r="A370" s="7" t="s">
        <v>465</v>
      </c>
      <c r="B370" s="12" t="s">
        <v>54</v>
      </c>
      <c r="C370">
        <v>29202295.390230559</v>
      </c>
      <c r="D370">
        <v>28007362.181161836</v>
      </c>
      <c r="E370">
        <v>9909.9099099100004</v>
      </c>
      <c r="F370">
        <v>95495.495495497002</v>
      </c>
      <c r="G370">
        <v>2</v>
      </c>
      <c r="H370">
        <v>6</v>
      </c>
      <c r="K370">
        <v>4</v>
      </c>
      <c r="L370">
        <v>9</v>
      </c>
      <c r="M370">
        <v>1488288.2882882881</v>
      </c>
      <c r="N370">
        <v>2494414.4144144161</v>
      </c>
      <c r="O370">
        <v>6108288.2882882869</v>
      </c>
      <c r="P370">
        <v>5568558.5585585581</v>
      </c>
      <c r="Q370">
        <v>2207207.2072072062</v>
      </c>
      <c r="R370">
        <v>2285045.0450450452</v>
      </c>
      <c r="S370">
        <v>1199</v>
      </c>
      <c r="T370">
        <v>1110</v>
      </c>
    </row>
    <row r="371" spans="1:20" x14ac:dyDescent="0.35">
      <c r="A371" s="7" t="s">
        <v>466</v>
      </c>
      <c r="B371" s="12" t="s">
        <v>87</v>
      </c>
      <c r="C371">
        <v>1280272.700675162</v>
      </c>
      <c r="D371">
        <v>1099760.148205159</v>
      </c>
      <c r="O371">
        <v>300000</v>
      </c>
      <c r="P371">
        <v>283783.78378378402</v>
      </c>
      <c r="S371">
        <v>97</v>
      </c>
      <c r="T371">
        <v>88</v>
      </c>
    </row>
    <row r="372" spans="1:20" x14ac:dyDescent="0.35">
      <c r="A372" s="7" t="s">
        <v>467</v>
      </c>
      <c r="B372" s="12" t="s">
        <v>143</v>
      </c>
      <c r="C372">
        <v>147780497.2872299</v>
      </c>
      <c r="D372">
        <v>137610909.55880427</v>
      </c>
      <c r="E372">
        <v>61261.261261261003</v>
      </c>
      <c r="F372">
        <v>212612.612612614</v>
      </c>
      <c r="G372">
        <v>41</v>
      </c>
      <c r="H372">
        <v>39</v>
      </c>
      <c r="K372">
        <v>45</v>
      </c>
      <c r="L372">
        <v>47</v>
      </c>
      <c r="M372">
        <v>10331531.531531531</v>
      </c>
      <c r="N372">
        <v>7960360.3603603607</v>
      </c>
      <c r="O372">
        <v>23923963.963963963</v>
      </c>
      <c r="P372">
        <v>20661500.9009009</v>
      </c>
      <c r="Q372">
        <v>7549729.7297297297</v>
      </c>
      <c r="R372">
        <v>5227297.297297297</v>
      </c>
      <c r="S372">
        <v>5010</v>
      </c>
      <c r="T372">
        <v>4971</v>
      </c>
    </row>
    <row r="373" spans="1:20" x14ac:dyDescent="0.35">
      <c r="A373" s="7" t="s">
        <v>468</v>
      </c>
      <c r="B373" s="12" t="s">
        <v>80</v>
      </c>
      <c r="C373">
        <v>126545441.61536595</v>
      </c>
      <c r="D373">
        <v>117664526.45731123</v>
      </c>
      <c r="E373">
        <v>9009.0090090089998</v>
      </c>
      <c r="F373">
        <v>31081.081081082</v>
      </c>
      <c r="G373">
        <v>16</v>
      </c>
      <c r="H373">
        <v>16</v>
      </c>
      <c r="K373">
        <v>19</v>
      </c>
      <c r="L373">
        <v>18</v>
      </c>
      <c r="M373">
        <v>3840540.5405405411</v>
      </c>
      <c r="N373">
        <v>1009459.45945946</v>
      </c>
      <c r="O373">
        <v>45550331.531531528</v>
      </c>
      <c r="P373">
        <v>44529099.0990991</v>
      </c>
      <c r="Q373">
        <v>4018198.1981981979</v>
      </c>
      <c r="R373">
        <v>2114684.684684685</v>
      </c>
      <c r="S373">
        <v>5272</v>
      </c>
      <c r="T373">
        <v>5291</v>
      </c>
    </row>
    <row r="374" spans="1:20" x14ac:dyDescent="0.35">
      <c r="A374" s="7" t="s">
        <v>469</v>
      </c>
      <c r="B374" s="12" t="s">
        <v>470</v>
      </c>
      <c r="C374">
        <v>137691356.64214575</v>
      </c>
      <c r="D374">
        <v>141446073.97018442</v>
      </c>
      <c r="E374">
        <v>1006036.036036036</v>
      </c>
      <c r="F374">
        <v>1162162.1621621631</v>
      </c>
      <c r="G374">
        <v>38</v>
      </c>
      <c r="H374">
        <v>12</v>
      </c>
      <c r="K374">
        <v>39</v>
      </c>
      <c r="L374">
        <v>13</v>
      </c>
      <c r="M374">
        <v>5726756.7567567565</v>
      </c>
      <c r="N374">
        <v>11198198.198198199</v>
      </c>
      <c r="O374">
        <v>41947126.126126125</v>
      </c>
      <c r="P374">
        <v>42925432.432432435</v>
      </c>
      <c r="Q374">
        <v>6322342.3423423413</v>
      </c>
      <c r="R374">
        <v>12166936.936936935</v>
      </c>
      <c r="S374">
        <v>5426</v>
      </c>
      <c r="T374">
        <v>5528</v>
      </c>
    </row>
    <row r="375" spans="1:20" x14ac:dyDescent="0.35">
      <c r="A375" s="7" t="s">
        <v>471</v>
      </c>
      <c r="B375" s="12" t="s">
        <v>470</v>
      </c>
      <c r="C375">
        <v>12694976.768973632</v>
      </c>
      <c r="D375">
        <v>10640908.156507386</v>
      </c>
      <c r="E375">
        <v>7797297.297297297</v>
      </c>
      <c r="F375">
        <v>79846846.846846849</v>
      </c>
      <c r="M375">
        <v>6418918.9189189188</v>
      </c>
      <c r="N375">
        <v>2030630.630630631</v>
      </c>
      <c r="O375">
        <v>910450.45045044995</v>
      </c>
      <c r="P375">
        <v>1074819.8198198201</v>
      </c>
      <c r="R375">
        <v>1693693.693693694</v>
      </c>
      <c r="S375">
        <v>670</v>
      </c>
      <c r="T375">
        <v>639</v>
      </c>
    </row>
    <row r="376" spans="1:20" x14ac:dyDescent="0.35">
      <c r="A376" s="7" t="s">
        <v>472</v>
      </c>
      <c r="B376" s="12" t="s">
        <v>470</v>
      </c>
      <c r="C376">
        <v>1699392.3845207279</v>
      </c>
      <c r="D376">
        <v>1515260.906243338</v>
      </c>
      <c r="E376">
        <v>40778445.945945941</v>
      </c>
      <c r="F376">
        <v>87169668.468468457</v>
      </c>
      <c r="M376">
        <v>8780339.6396396402</v>
      </c>
      <c r="N376">
        <v>10159004.504504504</v>
      </c>
      <c r="O376">
        <v>309009.00900900899</v>
      </c>
      <c r="P376">
        <v>375090.09009009</v>
      </c>
      <c r="Q376">
        <v>136936.93693693701</v>
      </c>
      <c r="R376">
        <v>1693693.693693694</v>
      </c>
      <c r="S376">
        <v>297</v>
      </c>
      <c r="T376">
        <v>399</v>
      </c>
    </row>
    <row r="377" spans="1:20" x14ac:dyDescent="0.35">
      <c r="A377" s="7" t="s">
        <v>473</v>
      </c>
      <c r="B377" s="12" t="s">
        <v>470</v>
      </c>
      <c r="C377">
        <v>46941291.753841653</v>
      </c>
      <c r="D377">
        <v>51472523.04325784</v>
      </c>
      <c r="E377">
        <v>190090.09009009</v>
      </c>
      <c r="F377">
        <v>219819.81981982</v>
      </c>
      <c r="G377">
        <v>7</v>
      </c>
      <c r="H377">
        <v>8</v>
      </c>
      <c r="K377">
        <v>11</v>
      </c>
      <c r="L377">
        <v>10</v>
      </c>
      <c r="M377">
        <v>289189.189189189</v>
      </c>
      <c r="N377">
        <v>2093693.693693694</v>
      </c>
      <c r="O377">
        <v>6215846.8468468469</v>
      </c>
      <c r="P377">
        <v>7266531.5315315323</v>
      </c>
      <c r="Q377">
        <v>4393513.5135135138</v>
      </c>
      <c r="R377">
        <v>10881441.441441443</v>
      </c>
      <c r="S377">
        <v>2166</v>
      </c>
      <c r="T377">
        <v>2070</v>
      </c>
    </row>
    <row r="378" spans="1:20" x14ac:dyDescent="0.35">
      <c r="A378" s="7" t="s">
        <v>474</v>
      </c>
      <c r="B378" s="12" t="s">
        <v>470</v>
      </c>
      <c r="C378">
        <v>68952826.408908367</v>
      </c>
      <c r="D378">
        <v>70548254.823264733</v>
      </c>
      <c r="E378">
        <v>35675.675675676001</v>
      </c>
      <c r="F378">
        <v>449549.54954954999</v>
      </c>
      <c r="G378">
        <v>15</v>
      </c>
      <c r="H378">
        <v>19</v>
      </c>
      <c r="K378">
        <v>18</v>
      </c>
      <c r="L378">
        <v>22</v>
      </c>
      <c r="M378">
        <v>2415135.1351351361</v>
      </c>
      <c r="N378">
        <v>5981081.0810810812</v>
      </c>
      <c r="O378">
        <v>15487297.297297295</v>
      </c>
      <c r="P378">
        <v>15665648.648648649</v>
      </c>
      <c r="Q378">
        <v>2146306.3063063081</v>
      </c>
      <c r="R378">
        <v>6098378.3783783792</v>
      </c>
      <c r="S378">
        <v>2353</v>
      </c>
      <c r="T378">
        <v>2360</v>
      </c>
    </row>
    <row r="379" spans="1:20" x14ac:dyDescent="0.35">
      <c r="A379" s="7" t="s">
        <v>475</v>
      </c>
      <c r="B379" s="12" t="s">
        <v>470</v>
      </c>
      <c r="C379">
        <v>26620499.249864753</v>
      </c>
      <c r="D379">
        <v>26495225.890961081</v>
      </c>
      <c r="E379">
        <v>5405.4054054050002</v>
      </c>
      <c r="F379">
        <v>303603.60360360402</v>
      </c>
      <c r="G379">
        <v>4</v>
      </c>
      <c r="H379">
        <v>2</v>
      </c>
      <c r="K379">
        <v>4</v>
      </c>
      <c r="L379">
        <v>2</v>
      </c>
      <c r="M379">
        <v>906306.30630630604</v>
      </c>
      <c r="N379">
        <v>4790090.0900900913</v>
      </c>
      <c r="O379">
        <v>5713738.7387387389</v>
      </c>
      <c r="P379">
        <v>5527944.1441441448</v>
      </c>
      <c r="Q379">
        <v>1538288.2882882881</v>
      </c>
      <c r="R379">
        <v>4424864.8648648653</v>
      </c>
      <c r="S379">
        <v>1396</v>
      </c>
      <c r="T379">
        <v>1411</v>
      </c>
    </row>
    <row r="380" spans="1:20" x14ac:dyDescent="0.35">
      <c r="A380" s="7" t="s">
        <v>476</v>
      </c>
      <c r="B380" s="12" t="s">
        <v>470</v>
      </c>
      <c r="C380">
        <v>256097560.06568646</v>
      </c>
      <c r="D380">
        <v>265764213.42511949</v>
      </c>
      <c r="E380">
        <v>1370405.4054054071</v>
      </c>
      <c r="F380">
        <v>5147747.7477477547</v>
      </c>
      <c r="G380">
        <v>54</v>
      </c>
      <c r="H380">
        <v>102</v>
      </c>
      <c r="K380">
        <v>63</v>
      </c>
      <c r="L380">
        <v>189</v>
      </c>
      <c r="M380">
        <v>43593333.333333328</v>
      </c>
      <c r="N380">
        <v>66782882.882882878</v>
      </c>
      <c r="O380">
        <v>60527717.117117122</v>
      </c>
      <c r="P380">
        <v>67808097.297297299</v>
      </c>
      <c r="Q380">
        <v>43296486.48648648</v>
      </c>
      <c r="R380">
        <v>62897747.747747749</v>
      </c>
      <c r="S380">
        <v>15938</v>
      </c>
      <c r="T380">
        <v>15946</v>
      </c>
    </row>
    <row r="381" spans="1:20" x14ac:dyDescent="0.35">
      <c r="A381" s="7" t="s">
        <v>477</v>
      </c>
      <c r="B381" s="12" t="s">
        <v>260</v>
      </c>
      <c r="C381">
        <v>302467354.2798481</v>
      </c>
      <c r="D381">
        <v>328275525.1191166</v>
      </c>
      <c r="E381">
        <v>698288.28828828898</v>
      </c>
      <c r="F381">
        <v>1356081.08108108</v>
      </c>
      <c r="G381">
        <v>59</v>
      </c>
      <c r="H381">
        <v>43</v>
      </c>
      <c r="K381">
        <v>64</v>
      </c>
      <c r="L381">
        <v>46</v>
      </c>
      <c r="M381">
        <v>36432522.522522531</v>
      </c>
      <c r="N381">
        <v>31649549.549549554</v>
      </c>
      <c r="O381">
        <v>73541432.432432428</v>
      </c>
      <c r="P381">
        <v>85148490.990990996</v>
      </c>
      <c r="Q381">
        <v>38670000</v>
      </c>
      <c r="R381">
        <v>35229819.819819823</v>
      </c>
      <c r="S381">
        <v>11458</v>
      </c>
      <c r="T381">
        <v>11225</v>
      </c>
    </row>
    <row r="382" spans="1:20" x14ac:dyDescent="0.35">
      <c r="A382" s="7" t="s">
        <v>478</v>
      </c>
      <c r="B382" s="12" t="s">
        <v>479</v>
      </c>
      <c r="C382">
        <v>23800202.672003392</v>
      </c>
      <c r="D382">
        <v>19775712.456252582</v>
      </c>
      <c r="E382">
        <v>532432.43243243196</v>
      </c>
      <c r="F382">
        <v>244144.144144144</v>
      </c>
      <c r="G382">
        <v>9</v>
      </c>
      <c r="H382">
        <v>6</v>
      </c>
      <c r="K382">
        <v>9</v>
      </c>
      <c r="L382">
        <v>6</v>
      </c>
      <c r="M382">
        <v>11884684.684684685</v>
      </c>
      <c r="N382">
        <v>7522072.072072072</v>
      </c>
      <c r="O382">
        <v>5872522.5225225221</v>
      </c>
      <c r="P382">
        <v>4556306.3063063063</v>
      </c>
      <c r="Q382">
        <v>11962612.612612613</v>
      </c>
      <c r="R382">
        <v>7581981.9819819806</v>
      </c>
      <c r="S382">
        <v>924</v>
      </c>
      <c r="T382">
        <v>663</v>
      </c>
    </row>
    <row r="383" spans="1:20" x14ac:dyDescent="0.35">
      <c r="A383" s="7" t="s">
        <v>480</v>
      </c>
      <c r="B383" s="12" t="s">
        <v>123</v>
      </c>
      <c r="C383">
        <v>169449800.38341472</v>
      </c>
      <c r="D383">
        <v>160524759.20046103</v>
      </c>
      <c r="E383">
        <v>1108558.5585585581</v>
      </c>
      <c r="F383">
        <v>676576.57657657901</v>
      </c>
      <c r="G383">
        <v>21</v>
      </c>
      <c r="H383">
        <v>32</v>
      </c>
      <c r="K383">
        <v>31</v>
      </c>
      <c r="L383">
        <v>35</v>
      </c>
      <c r="M383">
        <v>11842972.972972972</v>
      </c>
      <c r="N383">
        <v>9787837.8378378395</v>
      </c>
      <c r="O383">
        <v>64443648.648648649</v>
      </c>
      <c r="P383">
        <v>60185301.801801801</v>
      </c>
      <c r="Q383">
        <v>12132612.612612613</v>
      </c>
      <c r="R383">
        <v>10524774.774774771</v>
      </c>
      <c r="S383">
        <v>5552</v>
      </c>
      <c r="T383">
        <v>5542</v>
      </c>
    </row>
    <row r="384" spans="1:20" x14ac:dyDescent="0.35">
      <c r="A384" s="7" t="s">
        <v>481</v>
      </c>
      <c r="B384" s="12" t="s">
        <v>470</v>
      </c>
      <c r="C384">
        <v>13898339.927050697</v>
      </c>
      <c r="D384">
        <v>13229997.754678903</v>
      </c>
      <c r="E384">
        <v>22072.072072071998</v>
      </c>
      <c r="F384">
        <v>57657.657657657997</v>
      </c>
      <c r="G384">
        <v>2</v>
      </c>
      <c r="H384">
        <v>2</v>
      </c>
      <c r="K384">
        <v>2</v>
      </c>
      <c r="L384">
        <v>3</v>
      </c>
      <c r="M384">
        <v>472522.52252252202</v>
      </c>
      <c r="N384">
        <v>508108.10810810799</v>
      </c>
      <c r="O384">
        <v>2365621.6216216218</v>
      </c>
      <c r="P384">
        <v>2388423.423423423</v>
      </c>
      <c r="Q384">
        <v>373873.87387387402</v>
      </c>
      <c r="R384">
        <v>351981.98198198201</v>
      </c>
      <c r="S384">
        <v>622</v>
      </c>
      <c r="T384">
        <v>619</v>
      </c>
    </row>
    <row r="385" spans="1:20" x14ac:dyDescent="0.35">
      <c r="A385" s="7" t="s">
        <v>482</v>
      </c>
      <c r="B385" s="12" t="s">
        <v>167</v>
      </c>
      <c r="C385">
        <v>136994757.63023782</v>
      </c>
      <c r="D385">
        <v>134631464.8255001</v>
      </c>
      <c r="E385">
        <v>342342.34234234301</v>
      </c>
      <c r="F385">
        <v>1319819.819819822</v>
      </c>
      <c r="G385">
        <v>69</v>
      </c>
      <c r="H385">
        <v>75</v>
      </c>
      <c r="K385">
        <v>114</v>
      </c>
      <c r="L385">
        <v>110</v>
      </c>
      <c r="M385">
        <v>11640090.090090092</v>
      </c>
      <c r="N385">
        <v>11709909.909909911</v>
      </c>
      <c r="O385">
        <v>55252879.279279277</v>
      </c>
      <c r="P385">
        <v>57382635.135135137</v>
      </c>
      <c r="Q385">
        <v>12018018.01801802</v>
      </c>
      <c r="R385">
        <v>12873603.603603609</v>
      </c>
      <c r="S385">
        <v>9192</v>
      </c>
      <c r="T385">
        <v>8509</v>
      </c>
    </row>
    <row r="386" spans="1:20" x14ac:dyDescent="0.35">
      <c r="A386" s="7" t="s">
        <v>483</v>
      </c>
      <c r="B386" s="12" t="s">
        <v>167</v>
      </c>
      <c r="C386">
        <v>134868200.13849619</v>
      </c>
      <c r="D386">
        <v>149334235.77268723</v>
      </c>
      <c r="E386">
        <v>199867950.45045045</v>
      </c>
      <c r="F386">
        <v>258309184.68468469</v>
      </c>
      <c r="G386">
        <v>132</v>
      </c>
      <c r="H386">
        <v>72</v>
      </c>
      <c r="K386">
        <v>329</v>
      </c>
      <c r="L386">
        <v>121</v>
      </c>
      <c r="M386">
        <v>23816216.216216218</v>
      </c>
      <c r="N386">
        <v>22578378.378378384</v>
      </c>
      <c r="O386">
        <v>54096261.261261262</v>
      </c>
      <c r="P386">
        <v>56843594.59459459</v>
      </c>
      <c r="Q386">
        <v>27350900.900900904</v>
      </c>
      <c r="R386">
        <v>20966439.639639646</v>
      </c>
      <c r="S386">
        <v>9128</v>
      </c>
      <c r="T386">
        <v>9358</v>
      </c>
    </row>
    <row r="387" spans="1:20" x14ac:dyDescent="0.35">
      <c r="A387" s="7" t="s">
        <v>484</v>
      </c>
      <c r="B387" s="12" t="s">
        <v>50</v>
      </c>
      <c r="C387">
        <v>95548210.525560871</v>
      </c>
      <c r="D387">
        <v>93988357.797855854</v>
      </c>
      <c r="E387">
        <v>898738.73873873998</v>
      </c>
      <c r="F387">
        <v>997297.297297301</v>
      </c>
      <c r="G387">
        <v>39</v>
      </c>
      <c r="H387">
        <v>25</v>
      </c>
      <c r="K387">
        <v>40</v>
      </c>
      <c r="L387">
        <v>28</v>
      </c>
      <c r="M387">
        <v>18169549.54954955</v>
      </c>
      <c r="N387">
        <v>10719639.639639638</v>
      </c>
      <c r="O387">
        <v>41327702.702702701</v>
      </c>
      <c r="P387">
        <v>40758549.54954955</v>
      </c>
      <c r="Q387">
        <v>16448918.918918919</v>
      </c>
      <c r="R387">
        <v>10561081.081081081</v>
      </c>
      <c r="S387">
        <v>3695</v>
      </c>
      <c r="T387">
        <v>3613</v>
      </c>
    </row>
    <row r="388" spans="1:20" x14ac:dyDescent="0.35">
      <c r="A388" s="7" t="s">
        <v>485</v>
      </c>
      <c r="B388" s="12" t="s">
        <v>134</v>
      </c>
      <c r="C388">
        <v>133275556.51545721</v>
      </c>
      <c r="D388">
        <v>124534479.96230786</v>
      </c>
      <c r="E388">
        <v>332432.432432434</v>
      </c>
      <c r="F388">
        <v>14519819.819819819</v>
      </c>
      <c r="G388">
        <v>35</v>
      </c>
      <c r="H388">
        <v>19</v>
      </c>
      <c r="K388">
        <v>43</v>
      </c>
      <c r="L388">
        <v>21</v>
      </c>
      <c r="M388">
        <v>20228828.828828827</v>
      </c>
      <c r="N388">
        <v>16141441.441441439</v>
      </c>
      <c r="O388">
        <v>22097297.297297295</v>
      </c>
      <c r="P388">
        <v>23878423.423423424</v>
      </c>
      <c r="Q388">
        <v>10703243.243243244</v>
      </c>
      <c r="R388">
        <v>10180720.72072072</v>
      </c>
      <c r="S388">
        <v>4649</v>
      </c>
      <c r="T388">
        <v>4685</v>
      </c>
    </row>
    <row r="389" spans="1:20" x14ac:dyDescent="0.35">
      <c r="A389" s="7" t="s">
        <v>486</v>
      </c>
      <c r="B389" s="12" t="s">
        <v>76</v>
      </c>
      <c r="C389">
        <v>33021005.318065915</v>
      </c>
      <c r="D389">
        <v>24703507.071711455</v>
      </c>
      <c r="E389">
        <v>697297.29729729798</v>
      </c>
      <c r="F389">
        <v>626126.12612612604</v>
      </c>
      <c r="G389">
        <v>6</v>
      </c>
      <c r="H389">
        <v>5</v>
      </c>
      <c r="K389">
        <v>6</v>
      </c>
      <c r="L389">
        <v>5</v>
      </c>
      <c r="M389">
        <v>5093693.6936936919</v>
      </c>
      <c r="N389">
        <v>6051261.2612612611</v>
      </c>
      <c r="O389">
        <v>12597671.171171172</v>
      </c>
      <c r="P389">
        <v>10168918.918918921</v>
      </c>
      <c r="Q389">
        <v>6400180.180180179</v>
      </c>
      <c r="R389">
        <v>5655765.7657657638</v>
      </c>
      <c r="S389">
        <v>1482</v>
      </c>
      <c r="T389">
        <v>1468</v>
      </c>
    </row>
    <row r="390" spans="1:20" x14ac:dyDescent="0.35">
      <c r="A390" s="7" t="s">
        <v>487</v>
      </c>
      <c r="B390" s="12" t="s">
        <v>307</v>
      </c>
      <c r="C390">
        <v>202284747.43558639</v>
      </c>
      <c r="D390">
        <v>211684001.71152636</v>
      </c>
      <c r="E390">
        <v>202702.70270270301</v>
      </c>
      <c r="F390">
        <v>1581081.0810810849</v>
      </c>
      <c r="G390">
        <v>52</v>
      </c>
      <c r="H390">
        <v>70</v>
      </c>
      <c r="K390">
        <v>62</v>
      </c>
      <c r="L390">
        <v>113</v>
      </c>
      <c r="M390">
        <v>32181261.261261258</v>
      </c>
      <c r="N390">
        <v>35406621.621621624</v>
      </c>
      <c r="O390">
        <v>81153954.954954967</v>
      </c>
      <c r="P390">
        <v>89379684.684684694</v>
      </c>
      <c r="Q390">
        <v>27971171.17117117</v>
      </c>
      <c r="R390">
        <v>32412027.02702703</v>
      </c>
      <c r="S390">
        <v>11175</v>
      </c>
      <c r="T390">
        <v>13193</v>
      </c>
    </row>
    <row r="391" spans="1:20" x14ac:dyDescent="0.35">
      <c r="A391" s="7" t="s">
        <v>488</v>
      </c>
      <c r="B391" s="12" t="s">
        <v>315</v>
      </c>
      <c r="C391">
        <v>56310904.196927555</v>
      </c>
      <c r="D391">
        <v>45083495.039461665</v>
      </c>
      <c r="E391">
        <v>24311098.198198199</v>
      </c>
      <c r="F391">
        <v>60161295.495495498</v>
      </c>
      <c r="G391">
        <v>12</v>
      </c>
      <c r="H391">
        <v>4</v>
      </c>
      <c r="K391">
        <v>12</v>
      </c>
      <c r="L391">
        <v>5</v>
      </c>
      <c r="M391">
        <v>50500720.720720723</v>
      </c>
      <c r="N391">
        <v>22843963.963963963</v>
      </c>
      <c r="O391">
        <v>23584180.180180181</v>
      </c>
      <c r="P391">
        <v>18695243.243243244</v>
      </c>
      <c r="Q391">
        <v>19109189.189189188</v>
      </c>
      <c r="R391">
        <v>21502702.702702705</v>
      </c>
      <c r="S391">
        <v>1620</v>
      </c>
      <c r="T391">
        <v>1643</v>
      </c>
    </row>
    <row r="392" spans="1:20" x14ac:dyDescent="0.35">
      <c r="A392" s="7" t="s">
        <v>489</v>
      </c>
      <c r="B392" s="12" t="s">
        <v>181</v>
      </c>
      <c r="C392">
        <v>116116180.82861881</v>
      </c>
      <c r="D392">
        <v>110066245.05173221</v>
      </c>
      <c r="E392">
        <v>61261.261261262996</v>
      </c>
      <c r="F392">
        <v>466216.21621621802</v>
      </c>
      <c r="G392">
        <v>65</v>
      </c>
      <c r="H392">
        <v>54</v>
      </c>
      <c r="K392">
        <v>71</v>
      </c>
      <c r="L392">
        <v>76</v>
      </c>
      <c r="M392">
        <v>8993333.3333333302</v>
      </c>
      <c r="N392">
        <v>8290090.0900900876</v>
      </c>
      <c r="O392">
        <v>31530711.711711712</v>
      </c>
      <c r="P392">
        <v>32711396.396396395</v>
      </c>
      <c r="Q392">
        <v>7543603.6036036033</v>
      </c>
      <c r="R392">
        <v>8577747.7477477472</v>
      </c>
      <c r="S392">
        <v>5640</v>
      </c>
      <c r="T392">
        <v>6744</v>
      </c>
    </row>
    <row r="393" spans="1:20" x14ac:dyDescent="0.35">
      <c r="A393" s="7" t="s">
        <v>490</v>
      </c>
      <c r="B393" s="12" t="s">
        <v>220</v>
      </c>
      <c r="C393">
        <v>68946295.185152665</v>
      </c>
      <c r="D393">
        <v>62661926.884385876</v>
      </c>
      <c r="E393">
        <v>6306.3063063059999</v>
      </c>
      <c r="F393">
        <v>13513.513513514001</v>
      </c>
      <c r="G393">
        <v>24</v>
      </c>
      <c r="H393">
        <v>21</v>
      </c>
      <c r="K393">
        <v>29</v>
      </c>
      <c r="L393">
        <v>30</v>
      </c>
      <c r="M393">
        <v>2836576.5765765761</v>
      </c>
      <c r="N393">
        <v>489189.189189189</v>
      </c>
      <c r="O393">
        <v>17308414.414414413</v>
      </c>
      <c r="P393">
        <v>15600457.657657659</v>
      </c>
      <c r="Q393">
        <v>1495765.7657657659</v>
      </c>
      <c r="R393">
        <v>554054.05405405397</v>
      </c>
      <c r="S393">
        <v>4005</v>
      </c>
      <c r="T393">
        <v>3945</v>
      </c>
    </row>
    <row r="394" spans="1:20" x14ac:dyDescent="0.35">
      <c r="A394" s="7" t="s">
        <v>491</v>
      </c>
      <c r="B394" s="12" t="s">
        <v>220</v>
      </c>
      <c r="C394">
        <v>19668472.850814305</v>
      </c>
      <c r="D394">
        <v>20877786.540273994</v>
      </c>
      <c r="E394">
        <v>8108.1081081080001</v>
      </c>
      <c r="F394">
        <v>389189.18918918999</v>
      </c>
      <c r="G394">
        <v>15</v>
      </c>
      <c r="H394">
        <v>13</v>
      </c>
      <c r="K394">
        <v>17</v>
      </c>
      <c r="L394">
        <v>14</v>
      </c>
      <c r="M394">
        <v>6554954.9549549539</v>
      </c>
      <c r="N394">
        <v>15016666.666666668</v>
      </c>
      <c r="O394">
        <v>6215000</v>
      </c>
      <c r="P394">
        <v>6370225.2252252251</v>
      </c>
      <c r="Q394">
        <v>6372432.4324324308</v>
      </c>
      <c r="R394">
        <v>14323693.693693694</v>
      </c>
      <c r="S394">
        <v>1204</v>
      </c>
      <c r="T394">
        <v>1145</v>
      </c>
    </row>
    <row r="395" spans="1:20" x14ac:dyDescent="0.35">
      <c r="A395" s="7" t="s">
        <v>492</v>
      </c>
      <c r="B395" s="12" t="s">
        <v>60</v>
      </c>
      <c r="C395">
        <v>83837540.203576118</v>
      </c>
      <c r="D395">
        <v>72562540.685518131</v>
      </c>
      <c r="E395">
        <v>880180.18018018105</v>
      </c>
      <c r="F395">
        <v>2058558.5585585639</v>
      </c>
      <c r="G395">
        <v>17</v>
      </c>
      <c r="H395">
        <v>17</v>
      </c>
      <c r="K395">
        <v>19</v>
      </c>
      <c r="L395">
        <v>69</v>
      </c>
      <c r="M395">
        <v>20000900.9009009</v>
      </c>
      <c r="N395">
        <v>18010630.630630631</v>
      </c>
      <c r="O395">
        <v>35286981.981981985</v>
      </c>
      <c r="P395">
        <v>32740234.234234236</v>
      </c>
      <c r="Q395">
        <v>16782072.072072074</v>
      </c>
      <c r="R395">
        <v>14838288.288288288</v>
      </c>
      <c r="S395">
        <v>3692</v>
      </c>
      <c r="T395">
        <v>3688</v>
      </c>
    </row>
    <row r="396" spans="1:20" x14ac:dyDescent="0.35">
      <c r="A396" s="7" t="s">
        <v>493</v>
      </c>
      <c r="B396" s="12" t="s">
        <v>448</v>
      </c>
      <c r="C396">
        <v>94659072.413290486</v>
      </c>
      <c r="D396">
        <v>89230389.958341748</v>
      </c>
      <c r="E396">
        <v>100000.000000001</v>
      </c>
      <c r="F396">
        <v>98198.198198198006</v>
      </c>
      <c r="G396">
        <v>54</v>
      </c>
      <c r="H396">
        <v>68</v>
      </c>
      <c r="K396">
        <v>57</v>
      </c>
      <c r="L396">
        <v>73</v>
      </c>
      <c r="M396">
        <v>10226531.531531531</v>
      </c>
      <c r="N396">
        <v>7791891.8918918921</v>
      </c>
      <c r="O396">
        <v>34176531.531531528</v>
      </c>
      <c r="P396">
        <v>32132333.333333336</v>
      </c>
      <c r="Q396">
        <v>10355810.810810808</v>
      </c>
      <c r="R396">
        <v>7317837.8378378376</v>
      </c>
      <c r="S396">
        <v>5039</v>
      </c>
      <c r="T396">
        <v>4971</v>
      </c>
    </row>
    <row r="397" spans="1:20" x14ac:dyDescent="0.35">
      <c r="A397" s="7" t="s">
        <v>7</v>
      </c>
      <c r="B397" s="12" t="s">
        <v>193</v>
      </c>
      <c r="C397">
        <v>71297752.638649389</v>
      </c>
      <c r="D397">
        <v>74966551.246359587</v>
      </c>
      <c r="E397">
        <v>36486.486486485999</v>
      </c>
      <c r="F397">
        <v>192792.792792794</v>
      </c>
      <c r="G397">
        <v>22</v>
      </c>
      <c r="H397">
        <v>26</v>
      </c>
      <c r="K397">
        <v>23</v>
      </c>
      <c r="L397">
        <v>32</v>
      </c>
      <c r="M397">
        <v>20004054.054054055</v>
      </c>
      <c r="N397">
        <v>7053153.1531531513</v>
      </c>
      <c r="O397">
        <v>47932747.747747742</v>
      </c>
      <c r="P397">
        <v>52910486.486486487</v>
      </c>
      <c r="Q397">
        <v>18728378.378378384</v>
      </c>
      <c r="R397">
        <v>9751981.9819819797</v>
      </c>
      <c r="S397">
        <v>4752</v>
      </c>
      <c r="T397">
        <v>4652</v>
      </c>
    </row>
    <row r="398" spans="1:20" x14ac:dyDescent="0.35">
      <c r="A398" s="7" t="s">
        <v>494</v>
      </c>
      <c r="B398" s="12" t="s">
        <v>330</v>
      </c>
      <c r="C398">
        <v>89143278.081305668</v>
      </c>
      <c r="D398">
        <v>87146397.362553164</v>
      </c>
      <c r="E398">
        <v>14414.414414413999</v>
      </c>
      <c r="F398">
        <v>152252.25225225199</v>
      </c>
      <c r="G398">
        <v>42</v>
      </c>
      <c r="H398">
        <v>32</v>
      </c>
      <c r="K398">
        <v>49</v>
      </c>
      <c r="L398">
        <v>49</v>
      </c>
      <c r="M398">
        <v>2915315.315315315</v>
      </c>
      <c r="N398">
        <v>4152252.2522522509</v>
      </c>
      <c r="O398">
        <v>23032378.378378376</v>
      </c>
      <c r="P398">
        <v>21714576.576576576</v>
      </c>
      <c r="Q398">
        <v>3046396.3963963971</v>
      </c>
      <c r="R398">
        <v>3916576.5765765761</v>
      </c>
      <c r="S398">
        <v>5269</v>
      </c>
      <c r="T398">
        <v>5863</v>
      </c>
    </row>
    <row r="399" spans="1:20" x14ac:dyDescent="0.35">
      <c r="A399" s="7" t="s">
        <v>495</v>
      </c>
      <c r="B399" s="12" t="s">
        <v>330</v>
      </c>
      <c r="C399">
        <v>150416756.34482917</v>
      </c>
      <c r="D399">
        <v>149604112.33525303</v>
      </c>
      <c r="E399">
        <v>51351.351351352001</v>
      </c>
      <c r="F399">
        <v>786261.26126126503</v>
      </c>
      <c r="G399">
        <v>46</v>
      </c>
      <c r="H399">
        <v>81</v>
      </c>
      <c r="K399">
        <v>52</v>
      </c>
      <c r="L399">
        <v>90</v>
      </c>
      <c r="M399">
        <v>3857657.6576576568</v>
      </c>
      <c r="N399">
        <v>4581306.3063063081</v>
      </c>
      <c r="O399">
        <v>31583045.045045044</v>
      </c>
      <c r="P399">
        <v>37362765.765765771</v>
      </c>
      <c r="Q399">
        <v>3614954.9549549562</v>
      </c>
      <c r="R399">
        <v>3623063.0630630651</v>
      </c>
      <c r="S399">
        <v>7965</v>
      </c>
      <c r="T399">
        <v>6781</v>
      </c>
    </row>
    <row r="400" spans="1:20" x14ac:dyDescent="0.35">
      <c r="A400" s="7" t="s">
        <v>496</v>
      </c>
      <c r="B400" s="12" t="s">
        <v>330</v>
      </c>
      <c r="C400">
        <v>157608910.77193868</v>
      </c>
      <c r="D400">
        <v>148260031.63181615</v>
      </c>
      <c r="E400">
        <v>366666.66666666802</v>
      </c>
      <c r="F400">
        <v>1987162.1621621649</v>
      </c>
      <c r="G400">
        <v>74</v>
      </c>
      <c r="H400">
        <v>63</v>
      </c>
      <c r="K400">
        <v>90</v>
      </c>
      <c r="L400">
        <v>76</v>
      </c>
      <c r="M400">
        <v>8383603.6036036024</v>
      </c>
      <c r="N400">
        <v>14467567.56756757</v>
      </c>
      <c r="O400">
        <v>33401027.02702703</v>
      </c>
      <c r="P400">
        <v>33220261.261261258</v>
      </c>
      <c r="Q400">
        <v>9258918.9189189207</v>
      </c>
      <c r="R400">
        <v>15629909.909909908</v>
      </c>
      <c r="S400">
        <v>7959</v>
      </c>
      <c r="T400">
        <v>8379</v>
      </c>
    </row>
    <row r="401" spans="1:20" x14ac:dyDescent="0.35">
      <c r="A401" s="7" t="s">
        <v>497</v>
      </c>
      <c r="B401" s="12" t="s">
        <v>330</v>
      </c>
      <c r="C401">
        <v>638707523.6815573</v>
      </c>
      <c r="D401">
        <v>561866605.78494585</v>
      </c>
      <c r="E401">
        <v>358124445.04504508</v>
      </c>
      <c r="F401">
        <v>564742884.68468463</v>
      </c>
      <c r="G401">
        <v>196</v>
      </c>
      <c r="H401">
        <v>271</v>
      </c>
      <c r="I401">
        <v>21</v>
      </c>
      <c r="K401">
        <v>231</v>
      </c>
      <c r="L401">
        <v>347</v>
      </c>
      <c r="M401">
        <v>114896126.12612613</v>
      </c>
      <c r="N401">
        <v>36849549.54954955</v>
      </c>
      <c r="O401">
        <v>113792792.7927928</v>
      </c>
      <c r="P401">
        <v>121037045.04504503</v>
      </c>
      <c r="Q401">
        <v>115099369.36936937</v>
      </c>
      <c r="R401">
        <v>34278108.108108111</v>
      </c>
      <c r="S401">
        <v>30050</v>
      </c>
      <c r="T401">
        <v>27786</v>
      </c>
    </row>
    <row r="402" spans="1:20" x14ac:dyDescent="0.35">
      <c r="A402" s="7" t="s">
        <v>498</v>
      </c>
      <c r="B402" s="12" t="s">
        <v>330</v>
      </c>
      <c r="C402">
        <v>487506699.59506094</v>
      </c>
      <c r="D402">
        <v>456824292.51077712</v>
      </c>
      <c r="E402">
        <v>1416846.846846849</v>
      </c>
      <c r="F402">
        <v>2962612.6126126209</v>
      </c>
      <c r="G402">
        <v>134</v>
      </c>
      <c r="H402">
        <v>171</v>
      </c>
      <c r="I402">
        <v>1</v>
      </c>
      <c r="K402">
        <v>170</v>
      </c>
      <c r="L402">
        <v>215</v>
      </c>
      <c r="M402">
        <v>131366396.3963964</v>
      </c>
      <c r="N402">
        <v>45786036.036036029</v>
      </c>
      <c r="O402">
        <v>113429891.89189188</v>
      </c>
      <c r="P402">
        <v>114256774.77477479</v>
      </c>
      <c r="Q402">
        <v>127465675.67567568</v>
      </c>
      <c r="R402">
        <v>39181261.261261262</v>
      </c>
      <c r="S402">
        <v>27101</v>
      </c>
      <c r="T402">
        <v>27526</v>
      </c>
    </row>
    <row r="403" spans="1:20" x14ac:dyDescent="0.35">
      <c r="A403" s="7" t="s">
        <v>499</v>
      </c>
      <c r="B403" s="12" t="s">
        <v>143</v>
      </c>
      <c r="C403">
        <v>193010257.45802203</v>
      </c>
      <c r="D403">
        <v>199300830.26299712</v>
      </c>
      <c r="E403">
        <v>144144.14414414499</v>
      </c>
      <c r="F403">
        <v>905630.63063063403</v>
      </c>
      <c r="G403">
        <v>41</v>
      </c>
      <c r="H403">
        <v>45</v>
      </c>
      <c r="K403">
        <v>54</v>
      </c>
      <c r="L403">
        <v>54</v>
      </c>
      <c r="M403">
        <v>16841441.441441443</v>
      </c>
      <c r="N403">
        <v>21437837.837837841</v>
      </c>
      <c r="O403">
        <v>27712189.189189188</v>
      </c>
      <c r="P403">
        <v>32404142.342342343</v>
      </c>
      <c r="Q403">
        <v>11370810.810810812</v>
      </c>
      <c r="R403">
        <v>12483063.063063061</v>
      </c>
      <c r="S403">
        <v>8342</v>
      </c>
      <c r="T403">
        <v>8042</v>
      </c>
    </row>
    <row r="404" spans="1:20" x14ac:dyDescent="0.35">
      <c r="A404" s="7" t="s">
        <v>500</v>
      </c>
      <c r="B404" s="12" t="s">
        <v>220</v>
      </c>
      <c r="C404">
        <v>226044046.11879542</v>
      </c>
      <c r="D404">
        <v>227979521.16868478</v>
      </c>
      <c r="E404">
        <v>276065396.3963964</v>
      </c>
      <c r="F404">
        <v>261975804.5045045</v>
      </c>
      <c r="G404">
        <v>99</v>
      </c>
      <c r="H404">
        <v>82</v>
      </c>
      <c r="I404">
        <v>1</v>
      </c>
      <c r="K404">
        <v>123</v>
      </c>
      <c r="L404">
        <v>114</v>
      </c>
      <c r="M404">
        <v>49985990.990990989</v>
      </c>
      <c r="N404">
        <v>134323693.6936937</v>
      </c>
      <c r="O404">
        <v>65774756.75675676</v>
      </c>
      <c r="P404">
        <v>70352824.324324325</v>
      </c>
      <c r="Q404">
        <v>46790360.360360369</v>
      </c>
      <c r="R404">
        <v>134048828.82882881</v>
      </c>
      <c r="S404">
        <v>11419</v>
      </c>
      <c r="T404">
        <v>11867</v>
      </c>
    </row>
    <row r="405" spans="1:20" x14ac:dyDescent="0.35">
      <c r="A405" s="7" t="s">
        <v>501</v>
      </c>
      <c r="B405" s="12" t="s">
        <v>397</v>
      </c>
      <c r="C405">
        <v>638569691.9335171</v>
      </c>
      <c r="D405">
        <v>659647416.48051167</v>
      </c>
      <c r="E405">
        <v>214021212.61261261</v>
      </c>
      <c r="F405">
        <v>5237457.6576576671</v>
      </c>
      <c r="G405">
        <v>203</v>
      </c>
      <c r="H405">
        <v>197</v>
      </c>
      <c r="K405">
        <v>235</v>
      </c>
      <c r="L405">
        <v>260</v>
      </c>
      <c r="M405">
        <v>76780450.45045045</v>
      </c>
      <c r="N405">
        <v>69642567.567567572</v>
      </c>
      <c r="O405">
        <v>129487491.89189188</v>
      </c>
      <c r="P405">
        <v>140569818.01801801</v>
      </c>
      <c r="Q405">
        <v>67254054.054054052</v>
      </c>
      <c r="R405">
        <v>60475450.45045045</v>
      </c>
      <c r="S405">
        <v>26518</v>
      </c>
      <c r="T405">
        <v>27047</v>
      </c>
    </row>
    <row r="406" spans="1:20" x14ac:dyDescent="0.35">
      <c r="A406" s="7" t="s">
        <v>502</v>
      </c>
      <c r="B406" s="12" t="s">
        <v>70</v>
      </c>
      <c r="C406">
        <v>9713315.0577500537</v>
      </c>
      <c r="D406">
        <v>9844340.4490491953</v>
      </c>
      <c r="F406">
        <v>104504.50450450501</v>
      </c>
      <c r="G406">
        <v>3</v>
      </c>
      <c r="H406">
        <v>1</v>
      </c>
      <c r="K406">
        <v>4</v>
      </c>
      <c r="L406">
        <v>2</v>
      </c>
      <c r="N406">
        <v>380180.18018018099</v>
      </c>
      <c r="O406">
        <v>6989819.8198198201</v>
      </c>
      <c r="P406">
        <v>6748954.9549549548</v>
      </c>
      <c r="Q406">
        <v>1012612.612612612</v>
      </c>
      <c r="R406">
        <v>287837.83783783799</v>
      </c>
      <c r="S406">
        <v>660</v>
      </c>
      <c r="T406">
        <v>687</v>
      </c>
    </row>
    <row r="407" spans="1:20" x14ac:dyDescent="0.35">
      <c r="A407" s="7" t="s">
        <v>503</v>
      </c>
      <c r="B407" s="12" t="s">
        <v>330</v>
      </c>
      <c r="C407">
        <v>268516021.5348165</v>
      </c>
      <c r="D407">
        <v>268877216.94328219</v>
      </c>
      <c r="E407">
        <v>735135.13513513899</v>
      </c>
      <c r="F407">
        <v>2419594.5945945978</v>
      </c>
      <c r="G407">
        <v>69</v>
      </c>
      <c r="H407">
        <v>91</v>
      </c>
      <c r="K407">
        <v>91</v>
      </c>
      <c r="L407">
        <v>117</v>
      </c>
      <c r="M407">
        <v>19545945.945945945</v>
      </c>
      <c r="N407">
        <v>25344144.144144148</v>
      </c>
      <c r="O407">
        <v>65338836.036036037</v>
      </c>
      <c r="P407">
        <v>70085614.864864871</v>
      </c>
      <c r="Q407">
        <v>18960810.810810812</v>
      </c>
      <c r="R407">
        <v>24030090.090090092</v>
      </c>
      <c r="S407">
        <v>15851</v>
      </c>
      <c r="T407">
        <v>16999</v>
      </c>
    </row>
    <row r="408" spans="1:20" x14ac:dyDescent="0.35">
      <c r="A408" s="7" t="s">
        <v>504</v>
      </c>
      <c r="B408" s="12" t="s">
        <v>283</v>
      </c>
      <c r="C408">
        <v>81939201.340418234</v>
      </c>
      <c r="D408">
        <v>87049247.707915291</v>
      </c>
      <c r="E408">
        <v>297297.29729729699</v>
      </c>
      <c r="F408">
        <v>35135.135135135999</v>
      </c>
      <c r="G408">
        <v>33</v>
      </c>
      <c r="H408">
        <v>10</v>
      </c>
      <c r="K408">
        <v>35</v>
      </c>
      <c r="L408">
        <v>13</v>
      </c>
      <c r="M408">
        <v>7108108.1081081079</v>
      </c>
      <c r="N408">
        <v>8881981.9819819834</v>
      </c>
      <c r="O408">
        <v>15132837.837837838</v>
      </c>
      <c r="P408">
        <v>15849540.540540541</v>
      </c>
      <c r="Q408">
        <v>7500900.9009009013</v>
      </c>
      <c r="R408">
        <v>3800270.2702702698</v>
      </c>
      <c r="S408">
        <v>3087</v>
      </c>
      <c r="T408">
        <v>3028</v>
      </c>
    </row>
    <row r="409" spans="1:20" x14ac:dyDescent="0.35">
      <c r="A409" s="7" t="s">
        <v>505</v>
      </c>
      <c r="B409" s="12" t="s">
        <v>260</v>
      </c>
      <c r="C409">
        <v>50874687.964982048</v>
      </c>
      <c r="D409">
        <v>49974233.758336432</v>
      </c>
      <c r="E409">
        <v>9009.0090090089998</v>
      </c>
      <c r="G409">
        <v>2</v>
      </c>
      <c r="H409">
        <v>3</v>
      </c>
      <c r="I409">
        <v>1</v>
      </c>
      <c r="K409">
        <v>3</v>
      </c>
      <c r="L409">
        <v>5</v>
      </c>
      <c r="M409">
        <v>1360360.36036036</v>
      </c>
      <c r="N409">
        <v>1801801.8018018019</v>
      </c>
      <c r="O409">
        <v>11796711.711711712</v>
      </c>
      <c r="P409">
        <v>10509873.873873875</v>
      </c>
      <c r="Q409">
        <v>1118918.9189189191</v>
      </c>
      <c r="R409">
        <v>364864.86486486503</v>
      </c>
      <c r="S409">
        <v>2143</v>
      </c>
      <c r="T409">
        <v>2018</v>
      </c>
    </row>
    <row r="410" spans="1:20" x14ac:dyDescent="0.35">
      <c r="A410" s="7" t="s">
        <v>506</v>
      </c>
      <c r="B410" s="12" t="s">
        <v>236</v>
      </c>
      <c r="C410">
        <v>130810696.13274771</v>
      </c>
      <c r="D410">
        <v>124514199.81111145</v>
      </c>
      <c r="E410">
        <v>400540.54054054199</v>
      </c>
      <c r="F410">
        <v>291441.44144144299</v>
      </c>
      <c r="G410">
        <v>26</v>
      </c>
      <c r="H410">
        <v>8</v>
      </c>
      <c r="K410">
        <v>85</v>
      </c>
      <c r="L410">
        <v>31</v>
      </c>
      <c r="M410">
        <v>24085225.225225233</v>
      </c>
      <c r="N410">
        <v>17860000</v>
      </c>
      <c r="O410">
        <v>29359977.47747748</v>
      </c>
      <c r="P410">
        <v>26694891.891891893</v>
      </c>
      <c r="Q410">
        <v>21690360.360360362</v>
      </c>
      <c r="R410">
        <v>19348108.108108107</v>
      </c>
      <c r="S410">
        <v>4787</v>
      </c>
      <c r="T410">
        <v>4536</v>
      </c>
    </row>
    <row r="411" spans="1:20" x14ac:dyDescent="0.35">
      <c r="A411" s="7" t="s">
        <v>507</v>
      </c>
      <c r="B411" s="12" t="s">
        <v>134</v>
      </c>
      <c r="C411">
        <v>19794265.685772788</v>
      </c>
      <c r="D411">
        <v>9555714.6297801957</v>
      </c>
      <c r="O411">
        <v>2870225.2252252251</v>
      </c>
      <c r="P411">
        <v>1726252.2522522521</v>
      </c>
      <c r="S411">
        <v>1298</v>
      </c>
      <c r="T411">
        <v>1228</v>
      </c>
    </row>
    <row r="412" spans="1:20" x14ac:dyDescent="0.35">
      <c r="A412" s="7" t="s">
        <v>508</v>
      </c>
      <c r="B412" s="12" t="s">
        <v>397</v>
      </c>
      <c r="C412">
        <v>135087095.06446037</v>
      </c>
      <c r="D412">
        <v>130118393.64690834</v>
      </c>
      <c r="E412">
        <v>17567.567567568</v>
      </c>
      <c r="F412">
        <v>496396.39639639802</v>
      </c>
      <c r="G412">
        <v>19</v>
      </c>
      <c r="H412">
        <v>18</v>
      </c>
      <c r="K412">
        <v>24</v>
      </c>
      <c r="L412">
        <v>40</v>
      </c>
      <c r="M412">
        <v>15775675.675675675</v>
      </c>
      <c r="N412">
        <v>12979279.279279279</v>
      </c>
      <c r="O412">
        <v>19134234.234234232</v>
      </c>
      <c r="P412">
        <v>21729801.801801804</v>
      </c>
      <c r="Q412">
        <v>11688108.108108109</v>
      </c>
      <c r="R412">
        <v>11869909.909909908</v>
      </c>
      <c r="S412">
        <v>4390</v>
      </c>
      <c r="T412">
        <v>4495</v>
      </c>
    </row>
    <row r="413" spans="1:20" x14ac:dyDescent="0.35">
      <c r="A413" s="7" t="s">
        <v>509</v>
      </c>
      <c r="B413" s="12" t="s">
        <v>134</v>
      </c>
      <c r="C413">
        <v>147168236.45992911</v>
      </c>
      <c r="D413">
        <v>147273077.86514109</v>
      </c>
      <c r="E413">
        <v>538738.73873874196</v>
      </c>
      <c r="F413">
        <v>758558.55855856405</v>
      </c>
      <c r="G413">
        <v>46</v>
      </c>
      <c r="H413">
        <v>41</v>
      </c>
      <c r="I413">
        <v>1</v>
      </c>
      <c r="K413">
        <v>48</v>
      </c>
      <c r="L413">
        <v>48</v>
      </c>
      <c r="M413">
        <v>13439639.63963964</v>
      </c>
      <c r="N413">
        <v>12456756.75675676</v>
      </c>
      <c r="O413">
        <v>24765786.486486487</v>
      </c>
      <c r="P413">
        <v>24000754.504504506</v>
      </c>
      <c r="Q413">
        <v>9837747.7477477472</v>
      </c>
      <c r="R413">
        <v>9700000</v>
      </c>
      <c r="S413">
        <v>5547</v>
      </c>
      <c r="T413">
        <v>5466</v>
      </c>
    </row>
    <row r="414" spans="1:20" x14ac:dyDescent="0.35">
      <c r="A414" s="7" t="s">
        <v>510</v>
      </c>
      <c r="B414" s="12" t="s">
        <v>134</v>
      </c>
      <c r="C414">
        <v>403838656.64287746</v>
      </c>
      <c r="D414">
        <v>405189737.35231781</v>
      </c>
      <c r="E414">
        <v>1192972.9729729791</v>
      </c>
      <c r="F414">
        <v>1854954.9549549629</v>
      </c>
      <c r="G414">
        <v>147</v>
      </c>
      <c r="H414">
        <v>70</v>
      </c>
      <c r="K414">
        <v>177</v>
      </c>
      <c r="L414">
        <v>99</v>
      </c>
      <c r="M414">
        <v>23504774.774774771</v>
      </c>
      <c r="N414">
        <v>21937837.837837841</v>
      </c>
      <c r="O414">
        <v>44455369.369369365</v>
      </c>
      <c r="P414">
        <v>41163540.540540546</v>
      </c>
      <c r="Q414">
        <v>20918108.108108103</v>
      </c>
      <c r="R414">
        <v>21524504.504504509</v>
      </c>
      <c r="S414">
        <v>16526</v>
      </c>
      <c r="T414">
        <v>16528</v>
      </c>
    </row>
    <row r="415" spans="1:20" x14ac:dyDescent="0.35">
      <c r="A415" s="7" t="s">
        <v>8</v>
      </c>
      <c r="B415" s="12" t="s">
        <v>158</v>
      </c>
      <c r="C415">
        <v>104641793.99275713</v>
      </c>
      <c r="D415">
        <v>102264277.28076071</v>
      </c>
      <c r="E415">
        <v>1381981.981981985</v>
      </c>
      <c r="F415">
        <v>1369369.3693693711</v>
      </c>
      <c r="G415">
        <v>8</v>
      </c>
      <c r="H415">
        <v>3</v>
      </c>
      <c r="K415">
        <v>10</v>
      </c>
      <c r="L415">
        <v>4</v>
      </c>
      <c r="M415">
        <v>11942342.342342343</v>
      </c>
      <c r="N415">
        <v>12986486.486486487</v>
      </c>
      <c r="O415">
        <v>29713288.288288288</v>
      </c>
      <c r="P415">
        <v>29815756.756756756</v>
      </c>
      <c r="Q415">
        <v>12596936.936936937</v>
      </c>
      <c r="R415">
        <v>12479819.819819819</v>
      </c>
      <c r="S415">
        <v>3497</v>
      </c>
      <c r="T415">
        <v>3696</v>
      </c>
    </row>
    <row r="416" spans="1:20" x14ac:dyDescent="0.35">
      <c r="A416" s="7" t="s">
        <v>511</v>
      </c>
      <c r="B416" s="12" t="s">
        <v>134</v>
      </c>
      <c r="C416">
        <v>65651429.599322528</v>
      </c>
      <c r="D416">
        <v>75103385.374283329</v>
      </c>
      <c r="E416">
        <v>900.900900901</v>
      </c>
      <c r="F416">
        <v>315315.31531531498</v>
      </c>
      <c r="G416">
        <v>4</v>
      </c>
      <c r="H416">
        <v>5</v>
      </c>
      <c r="K416">
        <v>85</v>
      </c>
      <c r="L416">
        <v>6</v>
      </c>
      <c r="M416">
        <v>2703603.6036036038</v>
      </c>
      <c r="N416">
        <v>1216216.2162162161</v>
      </c>
      <c r="O416">
        <v>9474765.7657657638</v>
      </c>
      <c r="P416">
        <v>10681873.873873875</v>
      </c>
      <c r="Q416">
        <v>1846846.846846848</v>
      </c>
      <c r="R416">
        <v>2404864.8648648649</v>
      </c>
      <c r="S416">
        <v>3966</v>
      </c>
      <c r="T416">
        <v>4006</v>
      </c>
    </row>
    <row r="417" spans="1:20" x14ac:dyDescent="0.35">
      <c r="A417" s="7" t="s">
        <v>512</v>
      </c>
      <c r="B417" s="12" t="s">
        <v>62</v>
      </c>
      <c r="C417">
        <v>347040909.1266045</v>
      </c>
      <c r="D417">
        <v>333930706.0030756</v>
      </c>
      <c r="E417">
        <v>168915742.34234235</v>
      </c>
      <c r="F417">
        <v>247633673.87387389</v>
      </c>
      <c r="G417">
        <v>81</v>
      </c>
      <c r="H417">
        <v>75</v>
      </c>
      <c r="K417">
        <v>94</v>
      </c>
      <c r="L417">
        <v>131</v>
      </c>
      <c r="M417">
        <v>34480031.531531528</v>
      </c>
      <c r="N417">
        <v>45260310.810810819</v>
      </c>
      <c r="O417">
        <v>65413315.315315314</v>
      </c>
      <c r="P417">
        <v>70286693.693693697</v>
      </c>
      <c r="Q417">
        <v>13625045.045045044</v>
      </c>
      <c r="R417">
        <v>19058558.558558561</v>
      </c>
      <c r="S417">
        <v>14365</v>
      </c>
      <c r="T417">
        <v>15511</v>
      </c>
    </row>
    <row r="418" spans="1:20" x14ac:dyDescent="0.35">
      <c r="A418" s="7" t="s">
        <v>513</v>
      </c>
      <c r="B418" s="12" t="s">
        <v>117</v>
      </c>
      <c r="C418">
        <v>38347252.690409742</v>
      </c>
      <c r="D418">
        <v>31299113.017922085</v>
      </c>
      <c r="E418">
        <v>8108.1081081089997</v>
      </c>
      <c r="F418">
        <v>216216.21621621601</v>
      </c>
      <c r="G418">
        <v>53</v>
      </c>
      <c r="H418">
        <v>21</v>
      </c>
      <c r="K418">
        <v>54</v>
      </c>
      <c r="L418">
        <v>23</v>
      </c>
      <c r="M418">
        <v>2637477.477477476</v>
      </c>
      <c r="N418">
        <v>1490540.5405405399</v>
      </c>
      <c r="O418">
        <v>19450495.495495494</v>
      </c>
      <c r="P418">
        <v>13403261.261261262</v>
      </c>
      <c r="Q418">
        <v>2548288.2882882869</v>
      </c>
      <c r="R418">
        <v>818918.91891891998</v>
      </c>
      <c r="S418">
        <v>2157</v>
      </c>
      <c r="T418">
        <v>2102</v>
      </c>
    </row>
    <row r="419" spans="1:20" x14ac:dyDescent="0.35">
      <c r="A419" s="7" t="s">
        <v>514</v>
      </c>
      <c r="B419" s="12" t="s">
        <v>304</v>
      </c>
      <c r="C419">
        <v>67643372.369048953</v>
      </c>
      <c r="D419">
        <v>63383238.778070256</v>
      </c>
      <c r="E419">
        <v>148648.64864864899</v>
      </c>
      <c r="F419">
        <v>442342.34234234301</v>
      </c>
      <c r="G419">
        <v>25</v>
      </c>
      <c r="H419">
        <v>35</v>
      </c>
      <c r="K419">
        <v>27</v>
      </c>
      <c r="L419">
        <v>36</v>
      </c>
      <c r="M419">
        <v>1022522.522522522</v>
      </c>
      <c r="N419">
        <v>7845495.4954954945</v>
      </c>
      <c r="O419">
        <v>5043963.963963964</v>
      </c>
      <c r="P419">
        <v>6850855.8558558561</v>
      </c>
      <c r="Q419">
        <v>2040270.2702702701</v>
      </c>
      <c r="R419">
        <v>8455225.2252252232</v>
      </c>
      <c r="S419">
        <v>1517</v>
      </c>
      <c r="T419">
        <v>1450</v>
      </c>
    </row>
    <row r="420" spans="1:20" x14ac:dyDescent="0.35">
      <c r="A420" s="7" t="s">
        <v>515</v>
      </c>
      <c r="B420" s="12" t="s">
        <v>304</v>
      </c>
      <c r="C420">
        <v>19372070.114950448</v>
      </c>
      <c r="D420">
        <v>14814396.651891144</v>
      </c>
      <c r="E420">
        <v>187747.74774774699</v>
      </c>
      <c r="F420">
        <v>170270.27027027099</v>
      </c>
      <c r="G420">
        <v>2</v>
      </c>
      <c r="H420">
        <v>3</v>
      </c>
      <c r="K420">
        <v>3</v>
      </c>
      <c r="L420">
        <v>3</v>
      </c>
      <c r="M420">
        <v>2845405.405405404</v>
      </c>
      <c r="N420">
        <v>1851351.351351351</v>
      </c>
      <c r="O420">
        <v>2763963.963963964</v>
      </c>
      <c r="P420">
        <v>2406270.2702702712</v>
      </c>
      <c r="Q420">
        <v>2565495.4954954959</v>
      </c>
      <c r="R420">
        <v>1307657.657657658</v>
      </c>
      <c r="S420">
        <v>610</v>
      </c>
      <c r="T420">
        <v>573</v>
      </c>
    </row>
    <row r="421" spans="1:20" x14ac:dyDescent="0.35">
      <c r="A421" s="7" t="s">
        <v>516</v>
      </c>
      <c r="B421" s="12" t="s">
        <v>304</v>
      </c>
      <c r="C421">
        <v>36681802.279233053</v>
      </c>
      <c r="D421">
        <v>39139647.473481037</v>
      </c>
      <c r="E421">
        <v>14054.054054054001</v>
      </c>
      <c r="F421">
        <v>541441.44144144095</v>
      </c>
      <c r="G421">
        <v>15</v>
      </c>
      <c r="H421">
        <v>23</v>
      </c>
      <c r="K421">
        <v>16</v>
      </c>
      <c r="L421">
        <v>24</v>
      </c>
      <c r="M421">
        <v>2428468.4684684668</v>
      </c>
      <c r="N421">
        <v>2009009.0090090099</v>
      </c>
      <c r="O421">
        <v>5037252.2522522518</v>
      </c>
      <c r="P421">
        <v>6008369.3693693699</v>
      </c>
      <c r="Q421">
        <v>2109099.0990991001</v>
      </c>
      <c r="R421">
        <v>1823783.7837837839</v>
      </c>
      <c r="S421">
        <v>1146</v>
      </c>
      <c r="T421">
        <v>1040</v>
      </c>
    </row>
    <row r="422" spans="1:20" x14ac:dyDescent="0.35">
      <c r="A422" s="7" t="s">
        <v>517</v>
      </c>
      <c r="B422" s="12" t="s">
        <v>304</v>
      </c>
      <c r="C422">
        <v>30005384.922184609</v>
      </c>
      <c r="D422">
        <v>29172419.540804759</v>
      </c>
      <c r="E422">
        <v>12612.612612613</v>
      </c>
      <c r="F422">
        <v>94594.594594594993</v>
      </c>
      <c r="G422">
        <v>6</v>
      </c>
      <c r="H422">
        <v>12</v>
      </c>
      <c r="K422">
        <v>6</v>
      </c>
      <c r="L422">
        <v>14</v>
      </c>
      <c r="M422">
        <v>1282882.882882884</v>
      </c>
      <c r="N422">
        <v>635135.13513513503</v>
      </c>
      <c r="O422">
        <v>3703063.0630630632</v>
      </c>
      <c r="P422">
        <v>4096396.3963963971</v>
      </c>
      <c r="Q422">
        <v>759909.90990991006</v>
      </c>
      <c r="R422">
        <v>387387.38738738699</v>
      </c>
      <c r="S422">
        <v>784</v>
      </c>
      <c r="T422">
        <v>796</v>
      </c>
    </row>
    <row r="423" spans="1:20" x14ac:dyDescent="0.35">
      <c r="A423" s="7" t="s">
        <v>518</v>
      </c>
      <c r="B423" s="12" t="s">
        <v>448</v>
      </c>
      <c r="C423">
        <v>30089207.67974912</v>
      </c>
      <c r="D423">
        <v>28949204.579073306</v>
      </c>
      <c r="E423">
        <v>71171.171171170994</v>
      </c>
      <c r="F423">
        <v>194594.594594594</v>
      </c>
      <c r="G423">
        <v>14</v>
      </c>
      <c r="H423">
        <v>5</v>
      </c>
      <c r="K423">
        <v>19</v>
      </c>
      <c r="L423">
        <v>6</v>
      </c>
      <c r="M423">
        <v>2528378.3783783768</v>
      </c>
      <c r="N423">
        <v>1461261.2612612611</v>
      </c>
      <c r="O423">
        <v>10215450.45045045</v>
      </c>
      <c r="P423">
        <v>9725263.5135135148</v>
      </c>
      <c r="Q423">
        <v>2021441.441441441</v>
      </c>
      <c r="R423">
        <v>1692252.252252253</v>
      </c>
      <c r="S423">
        <v>1779</v>
      </c>
      <c r="T423">
        <v>2069</v>
      </c>
    </row>
    <row r="424" spans="1:20" x14ac:dyDescent="0.35">
      <c r="A424" s="7" t="s">
        <v>519</v>
      </c>
      <c r="B424" s="12" t="s">
        <v>85</v>
      </c>
      <c r="C424">
        <v>91171773.641323447</v>
      </c>
      <c r="D424">
        <v>90930103.257507801</v>
      </c>
      <c r="E424">
        <v>186486.48648648601</v>
      </c>
      <c r="F424">
        <v>729729.72972973099</v>
      </c>
      <c r="G424">
        <v>27</v>
      </c>
      <c r="H424">
        <v>12</v>
      </c>
      <c r="K424">
        <v>31</v>
      </c>
      <c r="L424">
        <v>14</v>
      </c>
      <c r="M424">
        <v>8015315.3153153136</v>
      </c>
      <c r="N424">
        <v>15954954.954954956</v>
      </c>
      <c r="O424">
        <v>22775405.40540541</v>
      </c>
      <c r="P424">
        <v>23222909.909909911</v>
      </c>
      <c r="Q424">
        <v>4145315.315315316</v>
      </c>
      <c r="R424">
        <v>16656890.090090089</v>
      </c>
      <c r="S424">
        <v>4386</v>
      </c>
      <c r="T424">
        <v>4118</v>
      </c>
    </row>
    <row r="425" spans="1:20" x14ac:dyDescent="0.35">
      <c r="A425" s="7" t="s">
        <v>520</v>
      </c>
      <c r="B425" s="12" t="s">
        <v>304</v>
      </c>
      <c r="C425">
        <v>46717914.634158291</v>
      </c>
      <c r="D425">
        <v>49382429.709026717</v>
      </c>
      <c r="E425">
        <v>3603.603603604</v>
      </c>
      <c r="F425">
        <v>30630.630630631</v>
      </c>
      <c r="G425">
        <v>5</v>
      </c>
      <c r="H425">
        <v>7</v>
      </c>
      <c r="K425">
        <v>5</v>
      </c>
      <c r="L425">
        <v>7</v>
      </c>
      <c r="M425">
        <v>3751351.351351351</v>
      </c>
      <c r="N425">
        <v>3851351.351351351</v>
      </c>
      <c r="O425">
        <v>7022657.6576576568</v>
      </c>
      <c r="P425">
        <v>8043279.2792792805</v>
      </c>
      <c r="Q425">
        <v>1628828.8288288279</v>
      </c>
      <c r="R425">
        <v>1406936.936936937</v>
      </c>
      <c r="S425">
        <v>1442</v>
      </c>
      <c r="T425">
        <v>1361</v>
      </c>
    </row>
    <row r="426" spans="1:20" x14ac:dyDescent="0.35">
      <c r="A426" s="7" t="s">
        <v>521</v>
      </c>
      <c r="B426" s="12" t="s">
        <v>399</v>
      </c>
      <c r="C426">
        <v>338573317.74315029</v>
      </c>
      <c r="D426">
        <v>325712385.28157079</v>
      </c>
      <c r="E426">
        <v>1324504.5045045051</v>
      </c>
      <c r="F426">
        <v>3970270.2702702759</v>
      </c>
      <c r="G426">
        <v>75</v>
      </c>
      <c r="H426">
        <v>56</v>
      </c>
      <c r="K426">
        <v>82</v>
      </c>
      <c r="L426">
        <v>240</v>
      </c>
      <c r="M426">
        <v>73263873.873873875</v>
      </c>
      <c r="N426">
        <v>47816216.216216221</v>
      </c>
      <c r="O426">
        <v>76615630.630630627</v>
      </c>
      <c r="P426">
        <v>79733819.819819823</v>
      </c>
      <c r="Q426">
        <v>72468918.918918908</v>
      </c>
      <c r="R426">
        <v>41956936.936936937</v>
      </c>
      <c r="S426">
        <v>13940</v>
      </c>
      <c r="T426">
        <v>13608</v>
      </c>
    </row>
    <row r="427" spans="1:20" x14ac:dyDescent="0.35">
      <c r="A427" s="7" t="s">
        <v>522</v>
      </c>
      <c r="B427" s="12" t="s">
        <v>143</v>
      </c>
      <c r="C427">
        <v>98969181.876842335</v>
      </c>
      <c r="D427">
        <v>93654629.743283674</v>
      </c>
      <c r="E427">
        <v>7207.207207208</v>
      </c>
      <c r="F427">
        <v>234234.23423423601</v>
      </c>
      <c r="G427">
        <v>17</v>
      </c>
      <c r="H427">
        <v>27</v>
      </c>
      <c r="K427">
        <v>20</v>
      </c>
      <c r="L427">
        <v>29</v>
      </c>
      <c r="M427">
        <v>5899099.0990990987</v>
      </c>
      <c r="N427">
        <v>4738738.7387387389</v>
      </c>
      <c r="O427">
        <v>10680036.036036037</v>
      </c>
      <c r="P427">
        <v>12123810.81081081</v>
      </c>
      <c r="Q427">
        <v>5460270.2702702712</v>
      </c>
      <c r="R427">
        <v>4993963.963963964</v>
      </c>
      <c r="S427">
        <v>2797</v>
      </c>
      <c r="T427">
        <v>3035</v>
      </c>
    </row>
    <row r="428" spans="1:20" x14ac:dyDescent="0.35">
      <c r="A428" s="7" t="s">
        <v>523</v>
      </c>
      <c r="B428" s="12" t="s">
        <v>66</v>
      </c>
      <c r="C428">
        <v>61959944.479933694</v>
      </c>
      <c r="D428">
        <v>61758316.363523945</v>
      </c>
      <c r="E428">
        <v>52792.792792793</v>
      </c>
      <c r="F428">
        <v>821621.62162162201</v>
      </c>
      <c r="G428">
        <v>9</v>
      </c>
      <c r="H428">
        <v>11</v>
      </c>
      <c r="I428">
        <v>1</v>
      </c>
      <c r="K428">
        <v>12</v>
      </c>
      <c r="L428">
        <v>15</v>
      </c>
      <c r="M428">
        <v>6587567.5675675692</v>
      </c>
      <c r="N428">
        <v>11917657.657657657</v>
      </c>
      <c r="O428">
        <v>30065000</v>
      </c>
      <c r="P428">
        <v>29580630.630630631</v>
      </c>
      <c r="Q428">
        <v>5913783.7837837832</v>
      </c>
      <c r="R428">
        <v>11590270.270270269</v>
      </c>
      <c r="S428">
        <v>3627</v>
      </c>
      <c r="T428">
        <v>3944</v>
      </c>
    </row>
    <row r="429" spans="1:20" x14ac:dyDescent="0.35">
      <c r="A429" s="7" t="s">
        <v>524</v>
      </c>
      <c r="B429" s="12" t="s">
        <v>220</v>
      </c>
      <c r="C429">
        <v>85689316.938057408</v>
      </c>
      <c r="D429">
        <v>81436664.978297427</v>
      </c>
      <c r="E429">
        <v>153153.15315315401</v>
      </c>
      <c r="F429">
        <v>387387.38738738699</v>
      </c>
      <c r="G429">
        <v>27</v>
      </c>
      <c r="H429">
        <v>21</v>
      </c>
      <c r="K429">
        <v>33</v>
      </c>
      <c r="L429">
        <v>26</v>
      </c>
      <c r="M429">
        <v>7341441.44144144</v>
      </c>
      <c r="N429">
        <v>5073873.8738738745</v>
      </c>
      <c r="O429">
        <v>20575873.873873871</v>
      </c>
      <c r="P429">
        <v>20194378.37837838</v>
      </c>
      <c r="Q429">
        <v>4277657.6576576577</v>
      </c>
      <c r="R429">
        <v>3238648.6486486481</v>
      </c>
      <c r="S429">
        <v>4409</v>
      </c>
      <c r="T429">
        <v>4367</v>
      </c>
    </row>
    <row r="430" spans="1:20" x14ac:dyDescent="0.35">
      <c r="A430" s="7" t="s">
        <v>525</v>
      </c>
      <c r="B430" s="12" t="s">
        <v>413</v>
      </c>
      <c r="C430">
        <v>924924878.11634731</v>
      </c>
      <c r="D430">
        <v>895146033.93600094</v>
      </c>
      <c r="E430">
        <v>395511810.8108108</v>
      </c>
      <c r="F430">
        <v>198910886.48648649</v>
      </c>
      <c r="G430">
        <v>109</v>
      </c>
      <c r="H430">
        <v>106</v>
      </c>
      <c r="K430">
        <v>420</v>
      </c>
      <c r="L430">
        <v>687</v>
      </c>
      <c r="M430">
        <v>89480630.630630642</v>
      </c>
      <c r="N430">
        <v>73695765.765765771</v>
      </c>
      <c r="O430">
        <v>261351189.1891892</v>
      </c>
      <c r="P430">
        <v>261912459.45945945</v>
      </c>
      <c r="Q430">
        <v>69714504.504504502</v>
      </c>
      <c r="R430">
        <v>67855045.045045048</v>
      </c>
      <c r="S430">
        <v>31987</v>
      </c>
      <c r="T430">
        <v>31998</v>
      </c>
    </row>
    <row r="431" spans="1:20" x14ac:dyDescent="0.35">
      <c r="A431" s="7" t="s">
        <v>526</v>
      </c>
      <c r="B431" s="12" t="s">
        <v>413</v>
      </c>
      <c r="C431">
        <v>110507926.00480707</v>
      </c>
      <c r="D431">
        <v>102127474.34631032</v>
      </c>
      <c r="E431">
        <v>12612.612612613</v>
      </c>
      <c r="F431">
        <v>120945.945945946</v>
      </c>
      <c r="G431">
        <v>14</v>
      </c>
      <c r="H431">
        <v>13</v>
      </c>
      <c r="K431">
        <v>17</v>
      </c>
      <c r="L431">
        <v>18</v>
      </c>
      <c r="M431">
        <v>5328648.6486486476</v>
      </c>
      <c r="N431">
        <v>7967027.0270270277</v>
      </c>
      <c r="O431">
        <v>31047783.783783782</v>
      </c>
      <c r="P431">
        <v>33401576.576576576</v>
      </c>
      <c r="Q431">
        <v>4108918.9189189188</v>
      </c>
      <c r="R431">
        <v>5436936.9369369363</v>
      </c>
      <c r="S431">
        <v>4687</v>
      </c>
      <c r="T431">
        <v>4344</v>
      </c>
    </row>
    <row r="432" spans="1:20" x14ac:dyDescent="0.35">
      <c r="A432" s="7" t="s">
        <v>661</v>
      </c>
      <c r="B432" s="12" t="s">
        <v>189</v>
      </c>
      <c r="C432">
        <v>1892565.0416310311</v>
      </c>
      <c r="F432">
        <v>3603603.6036036038</v>
      </c>
      <c r="O432">
        <v>495045.04504504497</v>
      </c>
      <c r="S432">
        <v>114</v>
      </c>
    </row>
    <row r="433" spans="1:20" x14ac:dyDescent="0.35">
      <c r="A433" s="7" t="s">
        <v>527</v>
      </c>
      <c r="B433" s="12" t="s">
        <v>147</v>
      </c>
      <c r="C433">
        <v>220274340.9880473</v>
      </c>
      <c r="D433">
        <v>208047906.28005081</v>
      </c>
      <c r="E433">
        <v>82779607.207207203</v>
      </c>
      <c r="F433">
        <v>233536321.62162164</v>
      </c>
      <c r="G433">
        <v>22</v>
      </c>
      <c r="H433">
        <v>40</v>
      </c>
      <c r="K433">
        <v>26</v>
      </c>
      <c r="L433">
        <v>159</v>
      </c>
      <c r="M433">
        <v>14440540.540540533</v>
      </c>
      <c r="N433">
        <v>33233513.513513513</v>
      </c>
      <c r="O433">
        <v>68089765.765765771</v>
      </c>
      <c r="P433">
        <v>73302845.045045033</v>
      </c>
      <c r="Q433">
        <v>13570270.270270264</v>
      </c>
      <c r="R433">
        <v>28981441.441441439</v>
      </c>
      <c r="S433">
        <v>9993</v>
      </c>
      <c r="T433">
        <v>9739</v>
      </c>
    </row>
    <row r="434" spans="1:20" x14ac:dyDescent="0.35">
      <c r="A434" s="7" t="s">
        <v>528</v>
      </c>
      <c r="B434" s="12" t="s">
        <v>121</v>
      </c>
      <c r="C434">
        <v>23526879.752088234</v>
      </c>
      <c r="D434">
        <v>23269003.989343461</v>
      </c>
      <c r="E434">
        <v>45945.945945945998</v>
      </c>
      <c r="F434">
        <v>283783.78378378402</v>
      </c>
      <c r="G434">
        <v>12</v>
      </c>
      <c r="H434">
        <v>17</v>
      </c>
      <c r="K434">
        <v>13</v>
      </c>
      <c r="L434">
        <v>19</v>
      </c>
      <c r="M434">
        <v>505405.40540540498</v>
      </c>
      <c r="N434">
        <v>2288288.2882882878</v>
      </c>
      <c r="O434">
        <v>2668333.333333333</v>
      </c>
      <c r="P434">
        <v>2704788.2882882878</v>
      </c>
      <c r="Q434">
        <v>1038378.378378379</v>
      </c>
      <c r="R434">
        <v>1587657.657657658</v>
      </c>
      <c r="S434">
        <v>969</v>
      </c>
      <c r="T434">
        <v>966</v>
      </c>
    </row>
    <row r="435" spans="1:20" x14ac:dyDescent="0.35">
      <c r="A435" s="7" t="s">
        <v>529</v>
      </c>
      <c r="B435" s="12" t="s">
        <v>448</v>
      </c>
      <c r="C435">
        <v>65571050.860361032</v>
      </c>
      <c r="D435">
        <v>36616671.674962498</v>
      </c>
      <c r="E435">
        <v>53686666.666666664</v>
      </c>
      <c r="F435">
        <v>162228828.82882884</v>
      </c>
      <c r="G435">
        <v>28</v>
      </c>
      <c r="H435">
        <v>5</v>
      </c>
      <c r="K435">
        <v>29</v>
      </c>
      <c r="L435">
        <v>6</v>
      </c>
      <c r="M435">
        <v>5188288.2882882897</v>
      </c>
      <c r="N435">
        <v>2222522.5225225231</v>
      </c>
      <c r="O435">
        <v>25472405.40540541</v>
      </c>
      <c r="P435">
        <v>18319369.369369369</v>
      </c>
      <c r="Q435">
        <v>2957657.6576576582</v>
      </c>
      <c r="R435">
        <v>1056666.666666667</v>
      </c>
      <c r="S435">
        <v>2275</v>
      </c>
      <c r="T435">
        <v>2034</v>
      </c>
    </row>
    <row r="436" spans="1:20" x14ac:dyDescent="0.35">
      <c r="A436" s="7" t="s">
        <v>530</v>
      </c>
      <c r="B436" s="12" t="s">
        <v>448</v>
      </c>
      <c r="C436">
        <v>97982083.30890584</v>
      </c>
      <c r="D436">
        <v>95996493.150543302</v>
      </c>
      <c r="E436">
        <v>84684.684684684995</v>
      </c>
      <c r="F436">
        <v>339639.63963963999</v>
      </c>
      <c r="G436">
        <v>47</v>
      </c>
      <c r="H436">
        <v>36</v>
      </c>
      <c r="K436">
        <v>54</v>
      </c>
      <c r="L436">
        <v>39</v>
      </c>
      <c r="M436">
        <v>4499909.9099099115</v>
      </c>
      <c r="N436">
        <v>4586936.9369369373</v>
      </c>
      <c r="O436">
        <v>45181306.306306303</v>
      </c>
      <c r="P436">
        <v>44026567.567567565</v>
      </c>
      <c r="Q436">
        <v>5268648.6486486495</v>
      </c>
      <c r="R436">
        <v>4749819.8198198201</v>
      </c>
      <c r="S436">
        <v>5177</v>
      </c>
      <c r="T436">
        <v>5098</v>
      </c>
    </row>
    <row r="437" spans="1:20" x14ac:dyDescent="0.35">
      <c r="A437" s="7" t="s">
        <v>531</v>
      </c>
      <c r="B437" s="12" t="s">
        <v>123</v>
      </c>
      <c r="C437">
        <v>257482746.65643689</v>
      </c>
      <c r="D437">
        <v>260679781.13817492</v>
      </c>
      <c r="E437">
        <v>47121450.450450458</v>
      </c>
      <c r="F437">
        <v>233153864.86486486</v>
      </c>
      <c r="G437">
        <v>73</v>
      </c>
      <c r="H437">
        <v>87</v>
      </c>
      <c r="I437">
        <v>1</v>
      </c>
      <c r="K437">
        <v>96</v>
      </c>
      <c r="L437">
        <v>134</v>
      </c>
      <c r="M437">
        <v>47011351.351351358</v>
      </c>
      <c r="N437">
        <v>74564954.954954937</v>
      </c>
      <c r="O437">
        <v>89468128.828828827</v>
      </c>
      <c r="P437">
        <v>91969743.243243247</v>
      </c>
      <c r="Q437">
        <v>51927117.117117122</v>
      </c>
      <c r="R437">
        <v>76829819.819819823</v>
      </c>
      <c r="S437">
        <v>11942</v>
      </c>
      <c r="T437">
        <v>11646</v>
      </c>
    </row>
    <row r="438" spans="1:20" x14ac:dyDescent="0.35">
      <c r="A438" s="7" t="s">
        <v>532</v>
      </c>
      <c r="B438" s="12" t="s">
        <v>85</v>
      </c>
      <c r="C438">
        <v>82909795.272864476</v>
      </c>
      <c r="D438">
        <v>80467451.240831852</v>
      </c>
      <c r="E438">
        <v>1287387.3873873879</v>
      </c>
      <c r="F438">
        <v>193693.69369369501</v>
      </c>
      <c r="G438">
        <v>11</v>
      </c>
      <c r="H438">
        <v>8</v>
      </c>
      <c r="K438">
        <v>11</v>
      </c>
      <c r="L438">
        <v>37</v>
      </c>
      <c r="M438">
        <v>9089189.1891891882</v>
      </c>
      <c r="N438">
        <v>8258198.1981982002</v>
      </c>
      <c r="O438">
        <v>18739369.369369369</v>
      </c>
      <c r="P438">
        <v>17737396.396396395</v>
      </c>
      <c r="Q438">
        <v>6469909.9099099096</v>
      </c>
      <c r="R438">
        <v>5211531.5315315323</v>
      </c>
      <c r="S438">
        <v>3676</v>
      </c>
      <c r="T438">
        <v>3743</v>
      </c>
    </row>
    <row r="439" spans="1:20" x14ac:dyDescent="0.35">
      <c r="A439" s="7" t="s">
        <v>9</v>
      </c>
      <c r="B439" s="12" t="s">
        <v>158</v>
      </c>
      <c r="C439">
        <v>211882109.79411107</v>
      </c>
      <c r="D439">
        <v>203576031.06389967</v>
      </c>
      <c r="E439">
        <v>1239099.0990991029</v>
      </c>
      <c r="F439">
        <v>1590090.0900900939</v>
      </c>
      <c r="G439">
        <v>37</v>
      </c>
      <c r="H439">
        <v>30</v>
      </c>
      <c r="I439">
        <v>4</v>
      </c>
      <c r="K439">
        <v>44</v>
      </c>
      <c r="L439">
        <v>32</v>
      </c>
      <c r="M439">
        <v>374358018.01801807</v>
      </c>
      <c r="N439">
        <v>223312612.61261261</v>
      </c>
      <c r="O439">
        <v>74510981.981981978</v>
      </c>
      <c r="P439">
        <v>74823837.837837845</v>
      </c>
      <c r="Q439">
        <v>295173243.24324328</v>
      </c>
      <c r="R439">
        <v>206395945.94594595</v>
      </c>
      <c r="S439">
        <v>7672</v>
      </c>
      <c r="T439">
        <v>7017</v>
      </c>
    </row>
    <row r="440" spans="1:20" x14ac:dyDescent="0.35">
      <c r="A440" s="7" t="s">
        <v>533</v>
      </c>
      <c r="B440" s="12" t="s">
        <v>94</v>
      </c>
      <c r="C440">
        <v>207332036.81720224</v>
      </c>
      <c r="D440">
        <v>199263920.34201419</v>
      </c>
      <c r="E440">
        <v>120720.72072072201</v>
      </c>
      <c r="F440">
        <v>604504.50450450904</v>
      </c>
      <c r="G440">
        <v>34</v>
      </c>
      <c r="H440">
        <v>38</v>
      </c>
      <c r="I440">
        <v>1</v>
      </c>
      <c r="K440">
        <v>39</v>
      </c>
      <c r="L440">
        <v>43</v>
      </c>
      <c r="M440">
        <v>18305405.405405402</v>
      </c>
      <c r="N440">
        <v>15874774.774774777</v>
      </c>
      <c r="O440">
        <v>22026890.090090092</v>
      </c>
      <c r="P440">
        <v>27349180.180180181</v>
      </c>
      <c r="Q440">
        <v>12019099.0990991</v>
      </c>
      <c r="R440">
        <v>12883423.423423424</v>
      </c>
      <c r="S440">
        <v>6411</v>
      </c>
      <c r="T440">
        <v>6441</v>
      </c>
    </row>
    <row r="441" spans="1:20" x14ac:dyDescent="0.35">
      <c r="A441" s="7" t="s">
        <v>534</v>
      </c>
      <c r="B441" s="12" t="s">
        <v>304</v>
      </c>
      <c r="C441">
        <v>5690062.7426043442</v>
      </c>
      <c r="D441">
        <v>6715751.4236529823</v>
      </c>
      <c r="G441">
        <v>4</v>
      </c>
      <c r="H441">
        <v>1</v>
      </c>
      <c r="K441">
        <v>4</v>
      </c>
      <c r="L441">
        <v>1</v>
      </c>
      <c r="O441">
        <v>665450.45045044995</v>
      </c>
      <c r="P441">
        <v>1006486.486486487</v>
      </c>
      <c r="S441">
        <v>238</v>
      </c>
      <c r="T441">
        <v>381</v>
      </c>
    </row>
    <row r="442" spans="1:20" x14ac:dyDescent="0.35">
      <c r="A442" s="7" t="s">
        <v>535</v>
      </c>
      <c r="B442" s="12" t="s">
        <v>304</v>
      </c>
      <c r="C442">
        <v>85276220.955401197</v>
      </c>
      <c r="D442">
        <v>81674037.78238818</v>
      </c>
      <c r="E442">
        <v>855855.85585585597</v>
      </c>
      <c r="F442">
        <v>472972.97297297302</v>
      </c>
      <c r="G442">
        <v>16</v>
      </c>
      <c r="H442">
        <v>8</v>
      </c>
      <c r="K442">
        <v>19</v>
      </c>
      <c r="L442">
        <v>10</v>
      </c>
      <c r="M442">
        <v>4144144.1441441439</v>
      </c>
      <c r="N442">
        <v>7653153.1531531541</v>
      </c>
      <c r="O442">
        <v>7364684.6846846854</v>
      </c>
      <c r="P442">
        <v>7892432.4324324317</v>
      </c>
      <c r="Q442">
        <v>2739189.18918919</v>
      </c>
      <c r="R442">
        <v>2983783.7837837832</v>
      </c>
      <c r="S442">
        <v>2756</v>
      </c>
      <c r="T442">
        <v>2667</v>
      </c>
    </row>
    <row r="443" spans="1:20" x14ac:dyDescent="0.35">
      <c r="A443" s="7" t="s">
        <v>536</v>
      </c>
      <c r="B443" s="12" t="s">
        <v>85</v>
      </c>
      <c r="C443">
        <v>70962923.15167737</v>
      </c>
      <c r="D443">
        <v>69832404.606631577</v>
      </c>
      <c r="E443">
        <v>287387.38738738798</v>
      </c>
      <c r="F443">
        <v>446846.84684684803</v>
      </c>
      <c r="G443">
        <v>35</v>
      </c>
      <c r="H443">
        <v>29</v>
      </c>
      <c r="K443">
        <v>41</v>
      </c>
      <c r="L443">
        <v>39</v>
      </c>
      <c r="M443">
        <v>18125225.225225225</v>
      </c>
      <c r="N443">
        <v>23658018.018018018</v>
      </c>
      <c r="O443">
        <v>30960990.990990993</v>
      </c>
      <c r="P443">
        <v>33789513.513513513</v>
      </c>
      <c r="Q443">
        <v>20529639.639639638</v>
      </c>
      <c r="R443">
        <v>20387567.567567568</v>
      </c>
      <c r="S443">
        <v>3034</v>
      </c>
      <c r="T443">
        <v>2958</v>
      </c>
    </row>
    <row r="444" spans="1:20" x14ac:dyDescent="0.35">
      <c r="A444" s="7" t="s">
        <v>537</v>
      </c>
      <c r="B444" s="12" t="s">
        <v>448</v>
      </c>
      <c r="C444">
        <v>99348761.802432209</v>
      </c>
      <c r="D444">
        <v>96526440.652021348</v>
      </c>
      <c r="E444">
        <v>156756.756756758</v>
      </c>
      <c r="F444">
        <v>266666.66666666599</v>
      </c>
      <c r="G444">
        <v>55</v>
      </c>
      <c r="H444">
        <v>25</v>
      </c>
      <c r="K444">
        <v>61</v>
      </c>
      <c r="L444">
        <v>37</v>
      </c>
      <c r="M444">
        <v>4636936.9369369363</v>
      </c>
      <c r="N444">
        <v>1516666.666666666</v>
      </c>
      <c r="O444">
        <v>28622639.639639638</v>
      </c>
      <c r="P444">
        <v>26529268.468468469</v>
      </c>
      <c r="Q444">
        <v>4542792.7927927934</v>
      </c>
      <c r="R444">
        <v>2653603.6036036019</v>
      </c>
      <c r="S444">
        <v>5064</v>
      </c>
      <c r="T444">
        <v>5076</v>
      </c>
    </row>
    <row r="445" spans="1:20" x14ac:dyDescent="0.35">
      <c r="A445" s="7" t="s">
        <v>538</v>
      </c>
      <c r="B445" s="12" t="s">
        <v>117</v>
      </c>
      <c r="C445">
        <v>221225955.41163293</v>
      </c>
      <c r="D445">
        <v>220758011.40680599</v>
      </c>
      <c r="E445">
        <v>661531.53153154103</v>
      </c>
      <c r="F445">
        <v>3641441.4414414479</v>
      </c>
      <c r="G445">
        <v>77</v>
      </c>
      <c r="H445">
        <v>47</v>
      </c>
      <c r="K445">
        <v>150</v>
      </c>
      <c r="L445">
        <v>90</v>
      </c>
      <c r="M445">
        <v>41922972.972972967</v>
      </c>
      <c r="N445">
        <v>45431170.270270273</v>
      </c>
      <c r="O445">
        <v>116616486.48648648</v>
      </c>
      <c r="P445">
        <v>121922477.47747748</v>
      </c>
      <c r="Q445">
        <v>38521981.981981985</v>
      </c>
      <c r="R445">
        <v>37114954.954954959</v>
      </c>
      <c r="S445">
        <v>11024</v>
      </c>
      <c r="T445">
        <v>11648</v>
      </c>
    </row>
    <row r="446" spans="1:20" x14ac:dyDescent="0.35">
      <c r="A446" s="7" t="s">
        <v>539</v>
      </c>
      <c r="B446" s="12" t="s">
        <v>83</v>
      </c>
      <c r="C446">
        <v>711874171.98938119</v>
      </c>
      <c r="D446">
        <v>702798171.29640949</v>
      </c>
      <c r="E446">
        <v>9967567.5675675683</v>
      </c>
      <c r="F446">
        <v>3432882.882882887</v>
      </c>
      <c r="G446">
        <v>75</v>
      </c>
      <c r="H446">
        <v>162</v>
      </c>
      <c r="K446">
        <v>88</v>
      </c>
      <c r="L446">
        <v>194</v>
      </c>
      <c r="M446">
        <v>43457432.432432435</v>
      </c>
      <c r="N446">
        <v>39759909.909909911</v>
      </c>
      <c r="O446">
        <v>68131151.351351351</v>
      </c>
      <c r="P446">
        <v>74269615.765765756</v>
      </c>
      <c r="Q446">
        <v>33358872.072072078</v>
      </c>
      <c r="R446">
        <v>38882745.945945948</v>
      </c>
      <c r="S446">
        <v>21408</v>
      </c>
      <c r="T446">
        <v>21671</v>
      </c>
    </row>
    <row r="447" spans="1:20" x14ac:dyDescent="0.35">
      <c r="A447" s="7" t="s">
        <v>540</v>
      </c>
      <c r="B447" s="12" t="s">
        <v>315</v>
      </c>
      <c r="C447">
        <v>86449153.72413221</v>
      </c>
      <c r="D447">
        <v>84354427.632407084</v>
      </c>
      <c r="E447">
        <v>2066666.666666667</v>
      </c>
      <c r="F447">
        <v>862387.38738738897</v>
      </c>
      <c r="G447">
        <v>9</v>
      </c>
      <c r="H447">
        <v>11</v>
      </c>
      <c r="K447">
        <v>11</v>
      </c>
      <c r="L447">
        <v>15</v>
      </c>
      <c r="M447">
        <v>6418018.0180180194</v>
      </c>
      <c r="N447">
        <v>4063513.5135135138</v>
      </c>
      <c r="O447">
        <v>15117567.567567568</v>
      </c>
      <c r="P447">
        <v>18237621.621621624</v>
      </c>
      <c r="Q447">
        <v>6289549.5495495498</v>
      </c>
      <c r="R447">
        <v>4422522.5225225231</v>
      </c>
      <c r="S447">
        <v>2467</v>
      </c>
      <c r="T447">
        <v>2588</v>
      </c>
    </row>
    <row r="448" spans="1:20" x14ac:dyDescent="0.35">
      <c r="A448" s="7" t="s">
        <v>541</v>
      </c>
      <c r="B448" s="12" t="s">
        <v>169</v>
      </c>
      <c r="C448">
        <v>614654828.30950451</v>
      </c>
      <c r="D448">
        <v>574364394.67965078</v>
      </c>
      <c r="E448">
        <v>1723873.8738738741</v>
      </c>
      <c r="F448">
        <v>1545945.945945947</v>
      </c>
      <c r="G448">
        <v>60</v>
      </c>
      <c r="H448">
        <v>71</v>
      </c>
      <c r="K448">
        <v>66</v>
      </c>
      <c r="L448">
        <v>164</v>
      </c>
      <c r="M448">
        <v>28938108.108108107</v>
      </c>
      <c r="N448">
        <v>34382702.702702701</v>
      </c>
      <c r="O448">
        <v>213788162.16216218</v>
      </c>
      <c r="P448">
        <v>213869826.57657659</v>
      </c>
      <c r="Q448">
        <v>26594864.864864863</v>
      </c>
      <c r="R448">
        <v>35214144.144144148</v>
      </c>
      <c r="S448">
        <v>21705</v>
      </c>
      <c r="T448">
        <v>21323</v>
      </c>
    </row>
    <row r="449" spans="1:20" x14ac:dyDescent="0.35">
      <c r="A449" s="7" t="s">
        <v>542</v>
      </c>
      <c r="B449" s="12" t="s">
        <v>479</v>
      </c>
      <c r="C449">
        <v>186884531.39330295</v>
      </c>
      <c r="D449">
        <v>181270730.6878612</v>
      </c>
      <c r="E449">
        <v>11622522.522522524</v>
      </c>
      <c r="F449">
        <v>25472972.972972974</v>
      </c>
      <c r="G449">
        <v>17</v>
      </c>
      <c r="H449">
        <v>14</v>
      </c>
      <c r="K449">
        <v>20</v>
      </c>
      <c r="L449">
        <v>19</v>
      </c>
      <c r="M449">
        <v>4177702.702702703</v>
      </c>
      <c r="N449">
        <v>1642342.342342345</v>
      </c>
      <c r="O449">
        <v>23195216.216216218</v>
      </c>
      <c r="P449">
        <v>22868252.252252251</v>
      </c>
      <c r="Q449">
        <v>1650000</v>
      </c>
      <c r="R449">
        <v>45495.495495495001</v>
      </c>
      <c r="S449">
        <v>6439</v>
      </c>
      <c r="T449">
        <v>5473</v>
      </c>
    </row>
    <row r="450" spans="1:20" x14ac:dyDescent="0.35">
      <c r="A450" s="7" t="s">
        <v>543</v>
      </c>
      <c r="B450" s="12" t="s">
        <v>80</v>
      </c>
      <c r="C450">
        <v>50985086.664950334</v>
      </c>
      <c r="D450">
        <v>41169080.326103136</v>
      </c>
      <c r="E450">
        <v>44144.144144145001</v>
      </c>
      <c r="F450">
        <v>109459.459459461</v>
      </c>
      <c r="G450">
        <v>12</v>
      </c>
      <c r="H450">
        <v>12</v>
      </c>
      <c r="K450">
        <v>13</v>
      </c>
      <c r="L450">
        <v>18</v>
      </c>
      <c r="M450">
        <v>5284684.6846846836</v>
      </c>
      <c r="N450">
        <v>5612612.6126126116</v>
      </c>
      <c r="O450">
        <v>17905540.540540539</v>
      </c>
      <c r="P450">
        <v>15129864.864864863</v>
      </c>
      <c r="Q450">
        <v>5263603.6036036033</v>
      </c>
      <c r="R450">
        <v>4586396.3963963958</v>
      </c>
      <c r="S450">
        <v>2277</v>
      </c>
      <c r="T450">
        <v>2387</v>
      </c>
    </row>
    <row r="451" spans="1:20" x14ac:dyDescent="0.35">
      <c r="A451" s="7" t="s">
        <v>544</v>
      </c>
      <c r="B451" s="12" t="s">
        <v>169</v>
      </c>
      <c r="C451">
        <v>48205479.629276477</v>
      </c>
      <c r="D451">
        <v>46483950.71388299</v>
      </c>
      <c r="E451">
        <v>68581081.081081077</v>
      </c>
      <c r="F451">
        <v>75158558.558558553</v>
      </c>
      <c r="G451">
        <v>13</v>
      </c>
      <c r="H451">
        <v>11</v>
      </c>
      <c r="K451">
        <v>13</v>
      </c>
      <c r="L451">
        <v>11</v>
      </c>
      <c r="M451">
        <v>5516666.666666666</v>
      </c>
      <c r="N451">
        <v>5180450.4504504493</v>
      </c>
      <c r="O451">
        <v>20735574.774774775</v>
      </c>
      <c r="P451">
        <v>20153369.369369369</v>
      </c>
      <c r="Q451">
        <v>1172792.7927927929</v>
      </c>
      <c r="R451">
        <v>355135.13513513497</v>
      </c>
      <c r="S451">
        <v>2483</v>
      </c>
      <c r="T451">
        <v>2352</v>
      </c>
    </row>
    <row r="452" spans="1:20" x14ac:dyDescent="0.35">
      <c r="A452" s="7" t="s">
        <v>545</v>
      </c>
      <c r="B452" s="12" t="s">
        <v>224</v>
      </c>
      <c r="C452">
        <v>14718.482697269001</v>
      </c>
      <c r="D452">
        <v>1647.839754331</v>
      </c>
    </row>
    <row r="453" spans="1:20" x14ac:dyDescent="0.35">
      <c r="A453" s="7" t="s">
        <v>546</v>
      </c>
      <c r="B453" s="12" t="s">
        <v>136</v>
      </c>
      <c r="C453">
        <v>120899071.22901234</v>
      </c>
      <c r="D453">
        <v>118980427.91557926</v>
      </c>
      <c r="E453">
        <v>325675.67567567498</v>
      </c>
      <c r="F453">
        <v>414414.41441441601</v>
      </c>
      <c r="G453">
        <v>46</v>
      </c>
      <c r="H453">
        <v>37</v>
      </c>
      <c r="K453">
        <v>53</v>
      </c>
      <c r="L453">
        <v>43</v>
      </c>
      <c r="M453">
        <v>26013873.873873871</v>
      </c>
      <c r="N453">
        <v>24164864.864864863</v>
      </c>
      <c r="O453">
        <v>39014450.45045045</v>
      </c>
      <c r="P453">
        <v>38291831.531531535</v>
      </c>
      <c r="Q453">
        <v>22487927.927927926</v>
      </c>
      <c r="R453">
        <v>22028558.558558561</v>
      </c>
      <c r="S453">
        <v>4189</v>
      </c>
      <c r="T453">
        <v>4402</v>
      </c>
    </row>
    <row r="454" spans="1:20" x14ac:dyDescent="0.35">
      <c r="A454" s="7" t="s">
        <v>547</v>
      </c>
      <c r="B454" s="12" t="s">
        <v>136</v>
      </c>
      <c r="C454">
        <v>221060146.79381618</v>
      </c>
      <c r="D454">
        <v>229093840.46492478</v>
      </c>
      <c r="E454">
        <v>98643988.288288295</v>
      </c>
      <c r="F454">
        <v>133766891.89189188</v>
      </c>
      <c r="G454">
        <v>107</v>
      </c>
      <c r="H454">
        <v>112</v>
      </c>
      <c r="K454">
        <v>122</v>
      </c>
      <c r="L454">
        <v>131</v>
      </c>
      <c r="M454">
        <v>53168918.918918915</v>
      </c>
      <c r="N454">
        <v>56461261.261261255</v>
      </c>
      <c r="O454">
        <v>66481214.414414413</v>
      </c>
      <c r="P454">
        <v>74856761.261261269</v>
      </c>
      <c r="Q454">
        <v>46432972.972972967</v>
      </c>
      <c r="R454">
        <v>47831531.531531535</v>
      </c>
      <c r="S454">
        <v>12718</v>
      </c>
      <c r="T454">
        <v>12699</v>
      </c>
    </row>
    <row r="455" spans="1:20" x14ac:dyDescent="0.35">
      <c r="A455" s="7" t="s">
        <v>548</v>
      </c>
      <c r="B455" s="12" t="s">
        <v>136</v>
      </c>
      <c r="C455">
        <v>247777696.96167424</v>
      </c>
      <c r="D455">
        <v>246513503.38146842</v>
      </c>
      <c r="E455">
        <v>908108.10810810898</v>
      </c>
      <c r="F455">
        <v>1600900.9009008999</v>
      </c>
      <c r="G455">
        <v>69</v>
      </c>
      <c r="H455">
        <v>29</v>
      </c>
      <c r="K455">
        <v>76</v>
      </c>
      <c r="L455">
        <v>36</v>
      </c>
      <c r="M455">
        <v>9277477.4774774779</v>
      </c>
      <c r="N455">
        <v>10790090.090090089</v>
      </c>
      <c r="O455">
        <v>39750936.936936937</v>
      </c>
      <c r="P455">
        <v>42020466.666666664</v>
      </c>
      <c r="Q455">
        <v>9340180.1801801808</v>
      </c>
      <c r="R455">
        <v>9570900.9009009022</v>
      </c>
      <c r="S455">
        <v>8266</v>
      </c>
      <c r="T455">
        <v>9569</v>
      </c>
    </row>
    <row r="456" spans="1:20" x14ac:dyDescent="0.35">
      <c r="A456" s="7" t="s">
        <v>549</v>
      </c>
      <c r="B456" s="12" t="s">
        <v>136</v>
      </c>
      <c r="C456">
        <v>119339156.57276379</v>
      </c>
      <c r="D456">
        <v>100792898.59877895</v>
      </c>
      <c r="E456">
        <v>17570270.270270273</v>
      </c>
      <c r="F456">
        <v>9243243.2432432435</v>
      </c>
      <c r="G456">
        <v>29</v>
      </c>
      <c r="H456">
        <v>16</v>
      </c>
      <c r="K456">
        <v>34</v>
      </c>
      <c r="L456">
        <v>17</v>
      </c>
      <c r="M456">
        <v>8971171.1711711716</v>
      </c>
      <c r="N456">
        <v>6337837.8378378367</v>
      </c>
      <c r="O456">
        <v>19296619.819819819</v>
      </c>
      <c r="P456">
        <v>17840162.162162162</v>
      </c>
      <c r="Q456">
        <v>7640223.4234234234</v>
      </c>
      <c r="R456">
        <v>6570450.4504504511</v>
      </c>
      <c r="S456">
        <v>3734</v>
      </c>
      <c r="T456">
        <v>3726</v>
      </c>
    </row>
    <row r="457" spans="1:20" x14ac:dyDescent="0.35">
      <c r="A457" s="7" t="s">
        <v>550</v>
      </c>
      <c r="B457" s="12" t="s">
        <v>87</v>
      </c>
      <c r="C457">
        <v>49817567.111330867</v>
      </c>
      <c r="D457">
        <v>41414527.734074205</v>
      </c>
      <c r="E457">
        <v>905405.40540540603</v>
      </c>
      <c r="F457">
        <v>89189.189189188997</v>
      </c>
      <c r="G457">
        <v>22</v>
      </c>
      <c r="H457">
        <v>17</v>
      </c>
      <c r="K457">
        <v>24</v>
      </c>
      <c r="L457">
        <v>21</v>
      </c>
      <c r="M457">
        <v>2954954.9549549548</v>
      </c>
      <c r="N457">
        <v>1981981.981981982</v>
      </c>
      <c r="O457">
        <v>8523594.5945945941</v>
      </c>
      <c r="P457">
        <v>6852918.9189189188</v>
      </c>
      <c r="Q457">
        <v>2650990.9909909908</v>
      </c>
      <c r="R457">
        <v>2429639.6396396388</v>
      </c>
      <c r="S457">
        <v>1411</v>
      </c>
      <c r="T457">
        <v>1491</v>
      </c>
    </row>
    <row r="458" spans="1:20" x14ac:dyDescent="0.35">
      <c r="A458" s="7" t="s">
        <v>551</v>
      </c>
      <c r="B458" s="12" t="s">
        <v>87</v>
      </c>
      <c r="C458">
        <v>71246326.472020447</v>
      </c>
      <c r="D458">
        <v>64949985.799346082</v>
      </c>
      <c r="E458">
        <v>41441.441441442003</v>
      </c>
      <c r="F458">
        <v>193693.69369369501</v>
      </c>
      <c r="G458">
        <v>41</v>
      </c>
      <c r="H458">
        <v>29</v>
      </c>
      <c r="I458">
        <v>1</v>
      </c>
      <c r="K458">
        <v>45</v>
      </c>
      <c r="L458">
        <v>37</v>
      </c>
      <c r="M458">
        <v>6906306.3063063063</v>
      </c>
      <c r="N458">
        <v>4009909.909909911</v>
      </c>
      <c r="O458">
        <v>8080855.8558558561</v>
      </c>
      <c r="P458">
        <v>7728286.4864864871</v>
      </c>
      <c r="Q458">
        <v>4093693.6936936928</v>
      </c>
      <c r="R458">
        <v>2724594.594594595</v>
      </c>
      <c r="S458">
        <v>2621</v>
      </c>
      <c r="T458">
        <v>2530</v>
      </c>
    </row>
    <row r="459" spans="1:20" x14ac:dyDescent="0.35">
      <c r="A459" s="7" t="s">
        <v>552</v>
      </c>
      <c r="B459" s="12" t="s">
        <v>66</v>
      </c>
      <c r="C459">
        <v>126885110.19428909</v>
      </c>
      <c r="D459">
        <v>123274707.75371073</v>
      </c>
      <c r="E459">
        <v>1598828.828828831</v>
      </c>
      <c r="F459">
        <v>1525225.225225227</v>
      </c>
      <c r="G459">
        <v>122</v>
      </c>
      <c r="H459">
        <v>35</v>
      </c>
      <c r="K459">
        <v>130</v>
      </c>
      <c r="L459">
        <v>44</v>
      </c>
      <c r="M459">
        <v>22943783.783783782</v>
      </c>
      <c r="N459">
        <v>41962162.162162162</v>
      </c>
      <c r="O459">
        <v>54585918.918918923</v>
      </c>
      <c r="P459">
        <v>51988056.306306303</v>
      </c>
      <c r="Q459">
        <v>21218288.288288288</v>
      </c>
      <c r="R459">
        <v>40618378.378378376</v>
      </c>
      <c r="S459">
        <v>8975</v>
      </c>
      <c r="T459">
        <v>8982</v>
      </c>
    </row>
    <row r="460" spans="1:20" x14ac:dyDescent="0.35">
      <c r="A460" s="7" t="s">
        <v>553</v>
      </c>
      <c r="B460" s="12" t="s">
        <v>554</v>
      </c>
      <c r="C460">
        <v>272724490.12378502</v>
      </c>
      <c r="D460">
        <v>248819868.69892454</v>
      </c>
      <c r="E460">
        <v>337837.83783784002</v>
      </c>
      <c r="F460">
        <v>1767117.117117119</v>
      </c>
      <c r="G460">
        <v>87</v>
      </c>
      <c r="H460">
        <v>31</v>
      </c>
      <c r="I460">
        <v>1</v>
      </c>
      <c r="K460">
        <v>224</v>
      </c>
      <c r="L460">
        <v>45</v>
      </c>
      <c r="M460">
        <v>23019279.279279277</v>
      </c>
      <c r="N460">
        <v>48465765.765765771</v>
      </c>
      <c r="O460">
        <v>72642819.819819823</v>
      </c>
      <c r="P460">
        <v>66673720.720720723</v>
      </c>
      <c r="Q460">
        <v>20824594.59459459</v>
      </c>
      <c r="R460">
        <v>48012072.072072074</v>
      </c>
      <c r="S460">
        <v>9291</v>
      </c>
      <c r="T460">
        <v>9195</v>
      </c>
    </row>
    <row r="461" spans="1:20" x14ac:dyDescent="0.35">
      <c r="A461" s="7" t="s">
        <v>555</v>
      </c>
      <c r="B461" s="12" t="s">
        <v>554</v>
      </c>
      <c r="C461">
        <v>41856516.998958237</v>
      </c>
      <c r="D461">
        <v>38712852.402832679</v>
      </c>
      <c r="E461">
        <v>3824269.3693693709</v>
      </c>
      <c r="F461">
        <v>89332289.189189181</v>
      </c>
      <c r="G461">
        <v>21</v>
      </c>
      <c r="H461">
        <v>11</v>
      </c>
      <c r="K461">
        <v>22</v>
      </c>
      <c r="L461">
        <v>11</v>
      </c>
      <c r="M461">
        <v>10399639.63963964</v>
      </c>
      <c r="N461">
        <v>5310810.8108108109</v>
      </c>
      <c r="O461">
        <v>15049099.0990991</v>
      </c>
      <c r="P461">
        <v>13941981.981981982</v>
      </c>
      <c r="Q461">
        <v>4653333.333333333</v>
      </c>
      <c r="R461">
        <v>3964954.9549549539</v>
      </c>
      <c r="S461">
        <v>1595</v>
      </c>
      <c r="T461">
        <v>1564</v>
      </c>
    </row>
    <row r="462" spans="1:20" x14ac:dyDescent="0.35">
      <c r="A462" s="7" t="s">
        <v>556</v>
      </c>
      <c r="B462" s="12" t="s">
        <v>121</v>
      </c>
      <c r="C462">
        <v>30761569.758231111</v>
      </c>
      <c r="D462">
        <v>29654083.262471847</v>
      </c>
      <c r="F462">
        <v>180180.18018018</v>
      </c>
      <c r="G462">
        <v>17</v>
      </c>
      <c r="H462">
        <v>13</v>
      </c>
      <c r="K462">
        <v>18</v>
      </c>
      <c r="L462">
        <v>16</v>
      </c>
      <c r="N462">
        <v>180180.18018018</v>
      </c>
      <c r="O462">
        <v>1963558.558558559</v>
      </c>
      <c r="P462">
        <v>2660216.2162162159</v>
      </c>
      <c r="Q462">
        <v>92792.792792793</v>
      </c>
      <c r="R462">
        <v>84684.684684684995</v>
      </c>
      <c r="S462">
        <v>1384</v>
      </c>
      <c r="T462">
        <v>1272</v>
      </c>
    </row>
    <row r="463" spans="1:20" x14ac:dyDescent="0.35">
      <c r="A463" s="7" t="s">
        <v>669</v>
      </c>
      <c r="B463" s="12" t="s">
        <v>236</v>
      </c>
      <c r="E463">
        <v>23949591.891891893</v>
      </c>
      <c r="F463">
        <v>6416951.3513513505</v>
      </c>
      <c r="M463">
        <v>16936936.936936937</v>
      </c>
      <c r="N463">
        <v>20045045.045045044</v>
      </c>
    </row>
    <row r="464" spans="1:20" x14ac:dyDescent="0.35">
      <c r="A464" s="7" t="s">
        <v>557</v>
      </c>
      <c r="B464" s="12" t="s">
        <v>70</v>
      </c>
      <c r="C464">
        <v>236414730.9714838</v>
      </c>
      <c r="D464">
        <v>235479686.32559547</v>
      </c>
      <c r="E464">
        <v>1063243.243243244</v>
      </c>
      <c r="F464">
        <v>2738738.7387387441</v>
      </c>
      <c r="G464">
        <v>53</v>
      </c>
      <c r="H464">
        <v>50</v>
      </c>
      <c r="K464">
        <v>58</v>
      </c>
      <c r="L464">
        <v>60</v>
      </c>
      <c r="M464">
        <v>15728108.108108113</v>
      </c>
      <c r="N464">
        <v>37704504.504504509</v>
      </c>
      <c r="O464">
        <v>96023225.225225225</v>
      </c>
      <c r="P464">
        <v>97721954.954954967</v>
      </c>
      <c r="Q464">
        <v>28566576.576576583</v>
      </c>
      <c r="R464">
        <v>27419099.0990991</v>
      </c>
      <c r="S464">
        <v>10490</v>
      </c>
      <c r="T464">
        <v>10788</v>
      </c>
    </row>
    <row r="465" spans="1:20" x14ac:dyDescent="0.35">
      <c r="A465" s="7" t="s">
        <v>558</v>
      </c>
      <c r="B465" s="12" t="s">
        <v>62</v>
      </c>
      <c r="C465">
        <v>428366267.11900061</v>
      </c>
      <c r="D465">
        <v>427411448.5986734</v>
      </c>
      <c r="E465">
        <v>4369819.8198198229</v>
      </c>
      <c r="F465">
        <v>8024324.3243243285</v>
      </c>
      <c r="G465">
        <v>83</v>
      </c>
      <c r="H465">
        <v>116</v>
      </c>
      <c r="K465">
        <v>101</v>
      </c>
      <c r="L465">
        <v>220</v>
      </c>
      <c r="M465">
        <v>34599009.009009004</v>
      </c>
      <c r="N465">
        <v>61290630.630630627</v>
      </c>
      <c r="O465">
        <v>95646963.963963971</v>
      </c>
      <c r="P465">
        <v>96348518.018018022</v>
      </c>
      <c r="Q465">
        <v>28545765.76576576</v>
      </c>
      <c r="R465">
        <v>59097837.83783783</v>
      </c>
      <c r="S465">
        <v>17749</v>
      </c>
      <c r="T465">
        <v>17991</v>
      </c>
    </row>
    <row r="466" spans="1:20" x14ac:dyDescent="0.35">
      <c r="A466" s="7" t="s">
        <v>559</v>
      </c>
      <c r="B466" s="12" t="s">
        <v>479</v>
      </c>
      <c r="C466">
        <v>221515482.44557506</v>
      </c>
      <c r="D466">
        <v>194305863.54683614</v>
      </c>
      <c r="E466">
        <v>646846.84684684896</v>
      </c>
      <c r="F466">
        <v>1762162.162162168</v>
      </c>
      <c r="G466">
        <v>99</v>
      </c>
      <c r="H466">
        <v>60</v>
      </c>
      <c r="K466">
        <v>109</v>
      </c>
      <c r="L466">
        <v>72</v>
      </c>
      <c r="M466">
        <v>21989909.909909911</v>
      </c>
      <c r="N466">
        <v>22759909.909909915</v>
      </c>
      <c r="O466">
        <v>62583619.819819823</v>
      </c>
      <c r="P466">
        <v>58454800</v>
      </c>
      <c r="Q466">
        <v>23294054.054054055</v>
      </c>
      <c r="R466">
        <v>24040450.45045045</v>
      </c>
      <c r="S466">
        <v>7965</v>
      </c>
      <c r="T466">
        <v>7757</v>
      </c>
    </row>
    <row r="467" spans="1:20" x14ac:dyDescent="0.35">
      <c r="A467" s="7" t="s">
        <v>560</v>
      </c>
      <c r="B467" s="12" t="s">
        <v>236</v>
      </c>
      <c r="C467">
        <v>32385556.427138437</v>
      </c>
      <c r="D467">
        <v>33459360.684710722</v>
      </c>
      <c r="E467">
        <v>34234.234234235002</v>
      </c>
      <c r="F467">
        <v>54054.054054054999</v>
      </c>
      <c r="G467">
        <v>9</v>
      </c>
      <c r="H467">
        <v>10</v>
      </c>
      <c r="K467">
        <v>10</v>
      </c>
      <c r="L467">
        <v>13</v>
      </c>
      <c r="M467">
        <v>2698198.1981981969</v>
      </c>
      <c r="N467">
        <v>2084414.414414413</v>
      </c>
      <c r="O467">
        <v>11960270.270270269</v>
      </c>
      <c r="P467">
        <v>11714270.270270271</v>
      </c>
      <c r="Q467">
        <v>2466126.126126125</v>
      </c>
      <c r="R467">
        <v>2964954.9549549529</v>
      </c>
      <c r="S467">
        <v>2138</v>
      </c>
      <c r="T467">
        <v>2117</v>
      </c>
    </row>
    <row r="468" spans="1:20" x14ac:dyDescent="0.35">
      <c r="A468" s="7" t="s">
        <v>561</v>
      </c>
      <c r="B468" s="12" t="s">
        <v>60</v>
      </c>
      <c r="C468">
        <v>32548689.112223417</v>
      </c>
      <c r="D468">
        <v>32644973.195184205</v>
      </c>
      <c r="E468">
        <v>489639.63963963999</v>
      </c>
      <c r="F468">
        <v>820720.72072072094</v>
      </c>
      <c r="G468">
        <v>6</v>
      </c>
      <c r="H468">
        <v>13</v>
      </c>
      <c r="K468">
        <v>6</v>
      </c>
      <c r="L468">
        <v>23</v>
      </c>
      <c r="M468">
        <v>7264414.4144144142</v>
      </c>
      <c r="N468">
        <v>8127027.0270270258</v>
      </c>
      <c r="O468">
        <v>12157702.702702701</v>
      </c>
      <c r="P468">
        <v>12553306.306306306</v>
      </c>
      <c r="Q468">
        <v>6541711.7117117122</v>
      </c>
      <c r="R468">
        <v>8921081.0810810812</v>
      </c>
      <c r="S468">
        <v>1103</v>
      </c>
      <c r="T468">
        <v>1220</v>
      </c>
    </row>
    <row r="469" spans="1:20" x14ac:dyDescent="0.35">
      <c r="A469" s="7" t="s">
        <v>562</v>
      </c>
      <c r="B469" s="12" t="s">
        <v>563</v>
      </c>
      <c r="C469">
        <v>174857371.46606052</v>
      </c>
      <c r="D469">
        <v>180163094.87009206</v>
      </c>
      <c r="E469">
        <v>29453345.045045048</v>
      </c>
      <c r="F469">
        <v>454920754.05405408</v>
      </c>
      <c r="G469">
        <v>81</v>
      </c>
      <c r="H469">
        <v>108</v>
      </c>
      <c r="K469">
        <v>434</v>
      </c>
      <c r="L469">
        <v>254</v>
      </c>
      <c r="M469">
        <v>79734369.369369373</v>
      </c>
      <c r="N469">
        <v>310435803.6036036</v>
      </c>
      <c r="O469">
        <v>74056306.306306303</v>
      </c>
      <c r="P469">
        <v>78565270.270270273</v>
      </c>
      <c r="Q469">
        <v>85064618.018018022</v>
      </c>
      <c r="R469">
        <v>141286064.86486486</v>
      </c>
      <c r="S469">
        <v>8827</v>
      </c>
      <c r="T469">
        <v>8517</v>
      </c>
    </row>
    <row r="470" spans="1:20" x14ac:dyDescent="0.35">
      <c r="A470" s="7" t="s">
        <v>564</v>
      </c>
      <c r="B470" s="12" t="s">
        <v>563</v>
      </c>
      <c r="C470">
        <v>260569672.84051827</v>
      </c>
      <c r="D470">
        <v>240622492.00782621</v>
      </c>
      <c r="E470">
        <v>1406216.2162162189</v>
      </c>
      <c r="F470">
        <v>2110810.8108108169</v>
      </c>
      <c r="G470">
        <v>63</v>
      </c>
      <c r="H470">
        <v>100</v>
      </c>
      <c r="K470">
        <v>84</v>
      </c>
      <c r="L470">
        <v>115</v>
      </c>
      <c r="M470">
        <v>27428378.378378376</v>
      </c>
      <c r="N470">
        <v>18211668.468468469</v>
      </c>
      <c r="O470">
        <v>100546801.8018018</v>
      </c>
      <c r="P470">
        <v>100676171.17117117</v>
      </c>
      <c r="Q470">
        <v>27164504.504504506</v>
      </c>
      <c r="R470">
        <v>18238243.243243247</v>
      </c>
      <c r="S470">
        <v>12019</v>
      </c>
      <c r="T470">
        <v>11701</v>
      </c>
    </row>
    <row r="471" spans="1:20" x14ac:dyDescent="0.35">
      <c r="A471" s="7" t="s">
        <v>565</v>
      </c>
      <c r="B471" s="12" t="s">
        <v>563</v>
      </c>
      <c r="C471">
        <v>174675083.45876768</v>
      </c>
      <c r="D471">
        <v>178649789.63516879</v>
      </c>
      <c r="E471">
        <v>605405.40540541103</v>
      </c>
      <c r="F471">
        <v>2636036.0360360378</v>
      </c>
      <c r="G471">
        <v>46</v>
      </c>
      <c r="H471">
        <v>89</v>
      </c>
      <c r="I471">
        <v>1</v>
      </c>
      <c r="K471">
        <v>67</v>
      </c>
      <c r="L471">
        <v>289</v>
      </c>
      <c r="M471">
        <v>16139099.099099098</v>
      </c>
      <c r="N471">
        <v>22311937.837837838</v>
      </c>
      <c r="O471">
        <v>72846567.567567572</v>
      </c>
      <c r="P471">
        <v>83750459.459459454</v>
      </c>
      <c r="Q471">
        <v>19096396.396396395</v>
      </c>
      <c r="R471">
        <v>19098288.288288288</v>
      </c>
      <c r="S471">
        <v>11732</v>
      </c>
      <c r="T471">
        <v>11794</v>
      </c>
    </row>
    <row r="472" spans="1:20" x14ac:dyDescent="0.35">
      <c r="A472" s="7" t="s">
        <v>566</v>
      </c>
      <c r="B472" s="12" t="s">
        <v>563</v>
      </c>
      <c r="C472">
        <v>116766548.36982417</v>
      </c>
      <c r="D472">
        <v>116132906.42385904</v>
      </c>
      <c r="E472">
        <v>277477.47747747798</v>
      </c>
      <c r="F472">
        <v>1368468.468468474</v>
      </c>
      <c r="G472">
        <v>21</v>
      </c>
      <c r="H472">
        <v>10</v>
      </c>
      <c r="K472">
        <v>26</v>
      </c>
      <c r="L472">
        <v>16</v>
      </c>
      <c r="M472">
        <v>19375360.360360362</v>
      </c>
      <c r="N472">
        <v>18863394.59459459</v>
      </c>
      <c r="O472">
        <v>64957828.828828834</v>
      </c>
      <c r="P472">
        <v>69421315.315315306</v>
      </c>
      <c r="Q472">
        <v>18640135.135135137</v>
      </c>
      <c r="R472">
        <v>14433513.513513513</v>
      </c>
      <c r="S472">
        <v>6342</v>
      </c>
      <c r="T472">
        <v>6319</v>
      </c>
    </row>
    <row r="473" spans="1:20" x14ac:dyDescent="0.35">
      <c r="A473" s="7" t="s">
        <v>567</v>
      </c>
      <c r="B473" s="12" t="s">
        <v>563</v>
      </c>
      <c r="C473">
        <v>68336663.039739221</v>
      </c>
      <c r="D473">
        <v>69578816.877198011</v>
      </c>
      <c r="E473">
        <v>11553603.603603605</v>
      </c>
      <c r="F473">
        <v>35336576.576576583</v>
      </c>
      <c r="G473">
        <v>19</v>
      </c>
      <c r="H473">
        <v>17</v>
      </c>
      <c r="K473">
        <v>23</v>
      </c>
      <c r="L473">
        <v>23</v>
      </c>
      <c r="M473">
        <v>18738963.963963963</v>
      </c>
      <c r="N473">
        <v>19228956.756756756</v>
      </c>
      <c r="O473">
        <v>27240090.090090092</v>
      </c>
      <c r="P473">
        <v>29243045.045045044</v>
      </c>
      <c r="Q473">
        <v>14388873.873873876</v>
      </c>
      <c r="R473">
        <v>9766036.0360360388</v>
      </c>
      <c r="S473">
        <v>4605</v>
      </c>
      <c r="T473">
        <v>4808</v>
      </c>
    </row>
    <row r="474" spans="1:20" x14ac:dyDescent="0.35">
      <c r="A474" s="7" t="s">
        <v>568</v>
      </c>
      <c r="B474" s="12" t="s">
        <v>48</v>
      </c>
      <c r="C474">
        <v>165120969.21127784</v>
      </c>
      <c r="D474">
        <v>155173517.78876653</v>
      </c>
      <c r="E474">
        <v>10360.36036036</v>
      </c>
      <c r="F474">
        <v>377477.47747747798</v>
      </c>
      <c r="G474">
        <v>4</v>
      </c>
      <c r="H474">
        <v>3</v>
      </c>
      <c r="K474">
        <v>4</v>
      </c>
      <c r="L474">
        <v>4</v>
      </c>
      <c r="M474">
        <v>5415765.7657657657</v>
      </c>
      <c r="N474">
        <v>5782882.8828828819</v>
      </c>
      <c r="O474">
        <v>18527792.792792793</v>
      </c>
      <c r="P474">
        <v>19086135.135135137</v>
      </c>
      <c r="Q474">
        <v>6491891.8918918911</v>
      </c>
      <c r="R474">
        <v>6382882.8828828828</v>
      </c>
      <c r="S474">
        <v>6123</v>
      </c>
      <c r="T474">
        <v>6000</v>
      </c>
    </row>
    <row r="475" spans="1:20" x14ac:dyDescent="0.35">
      <c r="A475" s="7" t="s">
        <v>569</v>
      </c>
      <c r="B475" s="12" t="s">
        <v>169</v>
      </c>
      <c r="C475">
        <v>1379348717.0649214</v>
      </c>
      <c r="D475">
        <v>1441745958.453115</v>
      </c>
      <c r="E475">
        <v>593321492.7927928</v>
      </c>
      <c r="F475">
        <v>1850211019.8198197</v>
      </c>
      <c r="G475">
        <v>461</v>
      </c>
      <c r="H475">
        <v>786</v>
      </c>
      <c r="I475">
        <v>4</v>
      </c>
      <c r="K475">
        <v>633</v>
      </c>
      <c r="L475">
        <v>1127</v>
      </c>
      <c r="M475">
        <v>253645675.67567569</v>
      </c>
      <c r="N475">
        <v>318791621.62162161</v>
      </c>
      <c r="O475">
        <v>463418270.27027029</v>
      </c>
      <c r="P475">
        <v>715283165.76576579</v>
      </c>
      <c r="Q475">
        <v>230832792.7927928</v>
      </c>
      <c r="R475">
        <v>287745538.73873872</v>
      </c>
      <c r="S475">
        <v>55994</v>
      </c>
      <c r="T475">
        <v>55637</v>
      </c>
    </row>
    <row r="476" spans="1:20" x14ac:dyDescent="0.35">
      <c r="A476" s="7" t="s">
        <v>570</v>
      </c>
      <c r="B476" s="12" t="s">
        <v>220</v>
      </c>
      <c r="C476">
        <v>151089348.84369826</v>
      </c>
      <c r="D476">
        <v>140855201.99339515</v>
      </c>
      <c r="E476">
        <v>503603.60360360501</v>
      </c>
      <c r="F476">
        <v>603603.60360360402</v>
      </c>
      <c r="G476">
        <v>19</v>
      </c>
      <c r="H476">
        <v>12</v>
      </c>
      <c r="K476">
        <v>22</v>
      </c>
      <c r="L476">
        <v>15</v>
      </c>
      <c r="M476">
        <v>2540540.5405405411</v>
      </c>
      <c r="N476">
        <v>5065945.9459459418</v>
      </c>
      <c r="O476">
        <v>23816333.333333336</v>
      </c>
      <c r="P476">
        <v>22214432.432432432</v>
      </c>
      <c r="Q476">
        <v>2949279.27927928</v>
      </c>
      <c r="R476">
        <v>3949279.2792792739</v>
      </c>
      <c r="S476">
        <v>5286</v>
      </c>
      <c r="T476">
        <v>5135</v>
      </c>
    </row>
    <row r="477" spans="1:20" x14ac:dyDescent="0.35">
      <c r="A477" s="7" t="s">
        <v>571</v>
      </c>
      <c r="B477" s="12" t="s">
        <v>85</v>
      </c>
      <c r="C477">
        <v>170939399.13467234</v>
      </c>
      <c r="D477">
        <v>169621183.35734341</v>
      </c>
      <c r="E477">
        <v>677477.47747747705</v>
      </c>
      <c r="F477">
        <v>225225.22522522701</v>
      </c>
      <c r="G477">
        <v>20</v>
      </c>
      <c r="H477">
        <v>13</v>
      </c>
      <c r="K477">
        <v>21</v>
      </c>
      <c r="L477">
        <v>14</v>
      </c>
      <c r="M477">
        <v>5254054.0540540526</v>
      </c>
      <c r="N477">
        <v>17761261.261261269</v>
      </c>
      <c r="O477">
        <v>36580351.351351351</v>
      </c>
      <c r="P477">
        <v>39047809.009009011</v>
      </c>
      <c r="Q477">
        <v>6572252.2522522509</v>
      </c>
      <c r="R477">
        <v>14173333.333333336</v>
      </c>
      <c r="S477">
        <v>5012</v>
      </c>
      <c r="T477">
        <v>5121</v>
      </c>
    </row>
    <row r="478" spans="1:20" x14ac:dyDescent="0.35">
      <c r="A478" s="7" t="s">
        <v>572</v>
      </c>
      <c r="B478" s="12" t="s">
        <v>479</v>
      </c>
      <c r="C478">
        <v>82738047.076783568</v>
      </c>
      <c r="D478">
        <v>97453218.702916607</v>
      </c>
      <c r="E478">
        <v>1737837.8378378409</v>
      </c>
      <c r="F478">
        <v>1767567.5675675741</v>
      </c>
      <c r="G478">
        <v>38</v>
      </c>
      <c r="H478">
        <v>52</v>
      </c>
      <c r="K478">
        <v>51</v>
      </c>
      <c r="L478">
        <v>72</v>
      </c>
      <c r="M478">
        <v>13243243.24324324</v>
      </c>
      <c r="N478">
        <v>12706306.30630631</v>
      </c>
      <c r="O478">
        <v>29757477.47747748</v>
      </c>
      <c r="P478">
        <v>41320477.477477483</v>
      </c>
      <c r="Q478">
        <v>13672612.612612611</v>
      </c>
      <c r="R478">
        <v>13426576.576576576</v>
      </c>
      <c r="S478">
        <v>5189</v>
      </c>
      <c r="T478">
        <v>5457</v>
      </c>
    </row>
    <row r="479" spans="1:20" x14ac:dyDescent="0.35">
      <c r="A479" s="7" t="s">
        <v>573</v>
      </c>
      <c r="B479" s="12" t="s">
        <v>94</v>
      </c>
      <c r="C479">
        <v>247188340.89552662</v>
      </c>
      <c r="D479">
        <v>228638202.51226977</v>
      </c>
      <c r="E479">
        <v>1100000.0000000009</v>
      </c>
      <c r="F479">
        <v>1509909.9099099119</v>
      </c>
      <c r="G479">
        <v>48</v>
      </c>
      <c r="H479">
        <v>38</v>
      </c>
      <c r="K479">
        <v>64</v>
      </c>
      <c r="L479">
        <v>59</v>
      </c>
      <c r="M479">
        <v>466288288.28828824</v>
      </c>
      <c r="N479">
        <v>654843243.24324322</v>
      </c>
      <c r="O479">
        <v>54363103.603603601</v>
      </c>
      <c r="P479">
        <v>54369851.801801801</v>
      </c>
      <c r="Q479">
        <v>15671351.351351352</v>
      </c>
      <c r="R479">
        <v>22552252.252252251</v>
      </c>
      <c r="S479">
        <v>9748</v>
      </c>
      <c r="T479">
        <v>9671</v>
      </c>
    </row>
    <row r="480" spans="1:20" x14ac:dyDescent="0.35">
      <c r="A480" s="7" t="s">
        <v>574</v>
      </c>
      <c r="B480" s="12" t="s">
        <v>307</v>
      </c>
      <c r="C480">
        <v>526041955.46962118</v>
      </c>
      <c r="D480">
        <v>537145765.22598672</v>
      </c>
      <c r="E480">
        <v>2484684.6846846868</v>
      </c>
      <c r="F480">
        <v>4800900.9009009087</v>
      </c>
      <c r="G480">
        <v>106</v>
      </c>
      <c r="H480">
        <v>142</v>
      </c>
      <c r="K480">
        <v>127</v>
      </c>
      <c r="L480">
        <v>216</v>
      </c>
      <c r="M480">
        <v>43108828.828828834</v>
      </c>
      <c r="N480">
        <v>307854594.5945946</v>
      </c>
      <c r="O480">
        <v>203369315.31531534</v>
      </c>
      <c r="P480">
        <v>214294618.01801801</v>
      </c>
      <c r="Q480">
        <v>38915720.720720723</v>
      </c>
      <c r="R480">
        <v>60700360.360360362</v>
      </c>
      <c r="S480">
        <v>32278</v>
      </c>
      <c r="T480">
        <v>32245</v>
      </c>
    </row>
    <row r="481" spans="1:20" x14ac:dyDescent="0.35">
      <c r="A481" s="7" t="s">
        <v>10</v>
      </c>
      <c r="B481" s="12" t="s">
        <v>193</v>
      </c>
      <c r="C481">
        <v>86913310.455922082</v>
      </c>
      <c r="D481">
        <v>82569558.523960814</v>
      </c>
      <c r="E481">
        <v>119864921.62162161</v>
      </c>
      <c r="F481">
        <v>233986091.8918919</v>
      </c>
      <c r="G481">
        <v>7</v>
      </c>
      <c r="H481">
        <v>11</v>
      </c>
      <c r="K481">
        <v>7</v>
      </c>
      <c r="L481">
        <v>14</v>
      </c>
      <c r="O481">
        <v>50631711.711711712</v>
      </c>
      <c r="P481">
        <v>49186646.846846849</v>
      </c>
      <c r="R481">
        <v>11081.081081081</v>
      </c>
      <c r="S481">
        <v>3897</v>
      </c>
      <c r="T481">
        <v>3580</v>
      </c>
    </row>
    <row r="482" spans="1:20" x14ac:dyDescent="0.35">
      <c r="A482" s="7" t="s">
        <v>575</v>
      </c>
      <c r="B482" s="12" t="s">
        <v>87</v>
      </c>
      <c r="C482">
        <v>2048846.809136908</v>
      </c>
      <c r="D482">
        <v>2039061.740883033</v>
      </c>
      <c r="H482">
        <v>8</v>
      </c>
      <c r="L482">
        <v>8</v>
      </c>
      <c r="O482">
        <v>693243.24324324296</v>
      </c>
      <c r="P482">
        <v>758845.04504504497</v>
      </c>
      <c r="S482">
        <v>253</v>
      </c>
      <c r="T482">
        <v>220</v>
      </c>
    </row>
    <row r="483" spans="1:20" x14ac:dyDescent="0.35">
      <c r="A483" s="7" t="s">
        <v>576</v>
      </c>
      <c r="B483" s="12" t="s">
        <v>283</v>
      </c>
      <c r="C483">
        <v>127119838.76522575</v>
      </c>
      <c r="D483">
        <v>121785421.8578604</v>
      </c>
      <c r="E483">
        <v>34234.234234233998</v>
      </c>
      <c r="F483">
        <v>62162.162162162</v>
      </c>
      <c r="G483">
        <v>26</v>
      </c>
      <c r="H483">
        <v>12</v>
      </c>
      <c r="K483">
        <v>30</v>
      </c>
      <c r="L483">
        <v>12</v>
      </c>
      <c r="M483">
        <v>6070270.2702702703</v>
      </c>
      <c r="N483">
        <v>12512612.612612613</v>
      </c>
      <c r="O483">
        <v>18472702.702702705</v>
      </c>
      <c r="P483">
        <v>20271468.468468469</v>
      </c>
      <c r="Q483">
        <v>5593063.0630630618</v>
      </c>
      <c r="R483">
        <v>9827387.3873873875</v>
      </c>
      <c r="S483">
        <v>3600</v>
      </c>
      <c r="T483">
        <v>3407</v>
      </c>
    </row>
    <row r="484" spans="1:20" x14ac:dyDescent="0.35">
      <c r="A484" s="7" t="s">
        <v>577</v>
      </c>
      <c r="B484" s="12" t="s">
        <v>307</v>
      </c>
      <c r="C484">
        <v>523042791.95960778</v>
      </c>
      <c r="D484">
        <v>506897161.76228064</v>
      </c>
      <c r="E484">
        <v>894864.864864868</v>
      </c>
      <c r="F484">
        <v>4403153.1531531606</v>
      </c>
      <c r="G484">
        <v>180</v>
      </c>
      <c r="H484">
        <v>178</v>
      </c>
      <c r="K484">
        <v>236</v>
      </c>
      <c r="L484">
        <v>242</v>
      </c>
      <c r="M484">
        <v>36428153.153153151</v>
      </c>
      <c r="N484">
        <v>48352432.432432443</v>
      </c>
      <c r="O484">
        <v>197664423.42342341</v>
      </c>
      <c r="P484">
        <v>212149261.26126125</v>
      </c>
      <c r="Q484">
        <v>31269819.819819815</v>
      </c>
      <c r="R484">
        <v>43999189.189189203</v>
      </c>
      <c r="S484">
        <v>38573</v>
      </c>
      <c r="T484">
        <v>38870</v>
      </c>
    </row>
    <row r="485" spans="1:20" x14ac:dyDescent="0.35">
      <c r="A485" s="7" t="s">
        <v>578</v>
      </c>
      <c r="B485" s="12" t="s">
        <v>330</v>
      </c>
      <c r="C485">
        <v>504761799.42828</v>
      </c>
      <c r="D485">
        <v>473812412.36621338</v>
      </c>
      <c r="E485">
        <v>1220720.7207207221</v>
      </c>
      <c r="F485">
        <v>4644594.5945946006</v>
      </c>
      <c r="G485">
        <v>151</v>
      </c>
      <c r="H485">
        <v>180</v>
      </c>
      <c r="K485">
        <v>204</v>
      </c>
      <c r="L485">
        <v>229</v>
      </c>
      <c r="M485">
        <v>121822522.52252252</v>
      </c>
      <c r="N485">
        <v>37564864.864864863</v>
      </c>
      <c r="O485">
        <v>99295009.009009004</v>
      </c>
      <c r="P485">
        <v>105198331.08108109</v>
      </c>
      <c r="Q485">
        <v>117438378.37837839</v>
      </c>
      <c r="R485">
        <v>36719279.279279277</v>
      </c>
      <c r="S485">
        <v>27441</v>
      </c>
      <c r="T485">
        <v>28072</v>
      </c>
    </row>
    <row r="486" spans="1:20" x14ac:dyDescent="0.35">
      <c r="A486" s="7" t="s">
        <v>579</v>
      </c>
      <c r="B486" s="12" t="s">
        <v>66</v>
      </c>
      <c r="C486">
        <v>77144771.794652373</v>
      </c>
      <c r="D486">
        <v>71711557.416433692</v>
      </c>
      <c r="E486">
        <v>44488738.738738738</v>
      </c>
      <c r="F486">
        <v>187806306.3063063</v>
      </c>
      <c r="G486">
        <v>15</v>
      </c>
      <c r="H486">
        <v>10</v>
      </c>
      <c r="K486">
        <v>18</v>
      </c>
      <c r="L486">
        <v>14</v>
      </c>
      <c r="M486">
        <v>14089189.189189192</v>
      </c>
      <c r="N486">
        <v>8105405.4054054059</v>
      </c>
      <c r="O486">
        <v>19035315.315315317</v>
      </c>
      <c r="P486">
        <v>18303900.9009009</v>
      </c>
      <c r="Q486">
        <v>1378558.558558559</v>
      </c>
      <c r="R486">
        <v>1605225.225225226</v>
      </c>
      <c r="S486">
        <v>3403</v>
      </c>
      <c r="T486">
        <v>3324</v>
      </c>
    </row>
    <row r="487" spans="1:20" x14ac:dyDescent="0.35">
      <c r="A487" s="7" t="s">
        <v>580</v>
      </c>
      <c r="B487" s="12" t="s">
        <v>236</v>
      </c>
      <c r="C487">
        <v>3.9162587420000001</v>
      </c>
      <c r="D487">
        <v>11011.332970474001</v>
      </c>
    </row>
    <row r="488" spans="1:20" x14ac:dyDescent="0.35">
      <c r="A488" s="7" t="s">
        <v>581</v>
      </c>
      <c r="B488" s="12" t="s">
        <v>62</v>
      </c>
      <c r="C488">
        <v>194332547.95137119</v>
      </c>
      <c r="D488">
        <v>190105129.91172817</v>
      </c>
      <c r="E488">
        <v>1093243.2432432431</v>
      </c>
      <c r="F488">
        <v>1705405.4054054129</v>
      </c>
      <c r="G488">
        <v>42</v>
      </c>
      <c r="H488">
        <v>117</v>
      </c>
      <c r="K488">
        <v>48</v>
      </c>
      <c r="L488">
        <v>121</v>
      </c>
      <c r="M488">
        <v>18424774.774774779</v>
      </c>
      <c r="N488">
        <v>15903063.063063063</v>
      </c>
      <c r="O488">
        <v>41250756.75675676</v>
      </c>
      <c r="P488">
        <v>42000081.081081077</v>
      </c>
      <c r="Q488">
        <v>15680630.630630633</v>
      </c>
      <c r="R488">
        <v>14180630.630630624</v>
      </c>
      <c r="S488">
        <v>6669</v>
      </c>
      <c r="T488">
        <v>6611</v>
      </c>
    </row>
    <row r="489" spans="1:20" x14ac:dyDescent="0.35">
      <c r="A489" s="7" t="s">
        <v>582</v>
      </c>
      <c r="B489" s="12" t="s">
        <v>48</v>
      </c>
      <c r="C489">
        <v>186832809.88403037</v>
      </c>
      <c r="D489">
        <v>177884616.68816712</v>
      </c>
      <c r="E489">
        <v>2364504.5045045041</v>
      </c>
      <c r="F489">
        <v>261261.261261262</v>
      </c>
      <c r="G489">
        <v>23</v>
      </c>
      <c r="H489">
        <v>20</v>
      </c>
      <c r="K489">
        <v>24</v>
      </c>
      <c r="L489">
        <v>22</v>
      </c>
      <c r="M489">
        <v>20183963.963963963</v>
      </c>
      <c r="N489">
        <v>41934684.684684686</v>
      </c>
      <c r="O489">
        <v>25985630.630630631</v>
      </c>
      <c r="P489">
        <v>25388369.369369369</v>
      </c>
      <c r="Q489">
        <v>14049099.0990991</v>
      </c>
      <c r="R489">
        <v>29016576.576576576</v>
      </c>
      <c r="S489">
        <v>5387</v>
      </c>
      <c r="T489">
        <v>5213</v>
      </c>
    </row>
    <row r="490" spans="1:20" x14ac:dyDescent="0.35">
      <c r="A490" s="7" t="s">
        <v>583</v>
      </c>
      <c r="B490" s="12" t="s">
        <v>54</v>
      </c>
      <c r="C490">
        <v>33960707.119945988</v>
      </c>
      <c r="D490">
        <v>34008895.982363045</v>
      </c>
      <c r="E490">
        <v>47747.747747747999</v>
      </c>
      <c r="F490">
        <v>264864.86486486503</v>
      </c>
      <c r="G490">
        <v>9</v>
      </c>
      <c r="H490">
        <v>9</v>
      </c>
      <c r="K490">
        <v>10</v>
      </c>
      <c r="L490">
        <v>12</v>
      </c>
      <c r="M490">
        <v>5465765.7657657638</v>
      </c>
      <c r="N490">
        <v>5961351.3513513487</v>
      </c>
      <c r="O490">
        <v>8480135.1351351347</v>
      </c>
      <c r="P490">
        <v>8659297.2972972989</v>
      </c>
      <c r="Q490">
        <v>5287657.6576576559</v>
      </c>
      <c r="R490">
        <v>5822702.7027027039</v>
      </c>
      <c r="S490">
        <v>2065</v>
      </c>
      <c r="T490">
        <v>2059</v>
      </c>
    </row>
    <row r="491" spans="1:20" x14ac:dyDescent="0.35">
      <c r="A491" s="7" t="s">
        <v>584</v>
      </c>
      <c r="B491" s="12" t="s">
        <v>70</v>
      </c>
      <c r="C491">
        <v>88912363.496236384</v>
      </c>
      <c r="D491">
        <v>86861042.036375046</v>
      </c>
      <c r="E491">
        <v>594594.59459459502</v>
      </c>
      <c r="F491">
        <v>69369.369369369</v>
      </c>
      <c r="G491">
        <v>9</v>
      </c>
      <c r="H491">
        <v>21</v>
      </c>
      <c r="K491">
        <v>13</v>
      </c>
      <c r="L491">
        <v>22</v>
      </c>
      <c r="M491">
        <v>594594.59459459502</v>
      </c>
      <c r="N491">
        <v>1027927.927927929</v>
      </c>
      <c r="O491">
        <v>38403423.423423424</v>
      </c>
      <c r="P491">
        <v>38231018.018018015</v>
      </c>
      <c r="Q491">
        <v>622072.07207207195</v>
      </c>
      <c r="R491">
        <v>1140090.0900900911</v>
      </c>
      <c r="S491">
        <v>4245</v>
      </c>
      <c r="T491">
        <v>3558</v>
      </c>
    </row>
    <row r="492" spans="1:20" x14ac:dyDescent="0.35">
      <c r="A492" s="7" t="s">
        <v>585</v>
      </c>
      <c r="B492" s="12" t="s">
        <v>330</v>
      </c>
      <c r="C492">
        <v>346718981.71470177</v>
      </c>
      <c r="D492">
        <v>322764589.52690107</v>
      </c>
      <c r="E492">
        <v>864864.86486486404</v>
      </c>
      <c r="F492">
        <v>2779279.2792792809</v>
      </c>
      <c r="G492">
        <v>123</v>
      </c>
      <c r="H492">
        <v>137</v>
      </c>
      <c r="K492">
        <v>148</v>
      </c>
      <c r="L492">
        <v>175</v>
      </c>
      <c r="M492">
        <v>16690090.090090089</v>
      </c>
      <c r="N492">
        <v>21036936.936936937</v>
      </c>
      <c r="O492">
        <v>84186882.882882878</v>
      </c>
      <c r="P492">
        <v>82926012.612612605</v>
      </c>
      <c r="Q492">
        <v>15494054.054054055</v>
      </c>
      <c r="R492">
        <v>17154864.864864863</v>
      </c>
      <c r="S492">
        <v>21243</v>
      </c>
      <c r="T492">
        <v>19940</v>
      </c>
    </row>
    <row r="493" spans="1:20" x14ac:dyDescent="0.35">
      <c r="A493" s="7" t="s">
        <v>586</v>
      </c>
      <c r="B493" s="12" t="s">
        <v>66</v>
      </c>
      <c r="C493">
        <v>162032936.7896181</v>
      </c>
      <c r="D493">
        <v>151581459.9282687</v>
      </c>
      <c r="E493">
        <v>96381795.495495498</v>
      </c>
      <c r="F493">
        <v>258882853.15315315</v>
      </c>
      <c r="G493">
        <v>58</v>
      </c>
      <c r="H493">
        <v>51</v>
      </c>
      <c r="K493">
        <v>67</v>
      </c>
      <c r="L493">
        <v>82</v>
      </c>
      <c r="M493">
        <v>16609099.0990991</v>
      </c>
      <c r="N493">
        <v>21451036.036036041</v>
      </c>
      <c r="O493">
        <v>75724405.405405402</v>
      </c>
      <c r="P493">
        <v>74747675.675675675</v>
      </c>
      <c r="Q493">
        <v>15612162.162162161</v>
      </c>
      <c r="R493">
        <v>21158963.963963967</v>
      </c>
      <c r="S493">
        <v>10872</v>
      </c>
      <c r="T493">
        <v>10559</v>
      </c>
    </row>
    <row r="494" spans="1:20" x14ac:dyDescent="0.35">
      <c r="A494" s="7" t="s">
        <v>11</v>
      </c>
      <c r="B494" s="12" t="s">
        <v>193</v>
      </c>
      <c r="C494">
        <v>69918352.668663278</v>
      </c>
      <c r="D494">
        <v>71488219.689578727</v>
      </c>
      <c r="E494">
        <v>336936.93693693797</v>
      </c>
      <c r="F494">
        <v>112612.612612615</v>
      </c>
      <c r="G494">
        <v>17</v>
      </c>
      <c r="H494">
        <v>16</v>
      </c>
      <c r="K494">
        <v>20</v>
      </c>
      <c r="L494">
        <v>19</v>
      </c>
      <c r="M494">
        <v>2563963.9639639659</v>
      </c>
      <c r="N494">
        <v>1914414.4144144161</v>
      </c>
      <c r="O494">
        <v>22366621.621621624</v>
      </c>
      <c r="P494">
        <v>24303153.153153151</v>
      </c>
      <c r="Q494">
        <v>2608558.5585585572</v>
      </c>
      <c r="R494">
        <v>1468468.4684684691</v>
      </c>
      <c r="S494">
        <v>3868</v>
      </c>
      <c r="T494">
        <v>3923</v>
      </c>
    </row>
    <row r="495" spans="1:20" x14ac:dyDescent="0.35">
      <c r="A495" s="7" t="s">
        <v>12</v>
      </c>
      <c r="B495" s="12" t="s">
        <v>193</v>
      </c>
      <c r="C495">
        <v>49888191.728259481</v>
      </c>
      <c r="D495">
        <v>46015713.827778712</v>
      </c>
      <c r="E495">
        <v>57657.657657659001</v>
      </c>
      <c r="F495">
        <v>2214414.414414417</v>
      </c>
      <c r="G495">
        <v>10</v>
      </c>
      <c r="H495">
        <v>6</v>
      </c>
      <c r="K495">
        <v>15</v>
      </c>
      <c r="L495">
        <v>6</v>
      </c>
      <c r="M495">
        <v>4590540.5405405406</v>
      </c>
      <c r="N495">
        <v>5367567.5675675692</v>
      </c>
      <c r="O495">
        <v>18153558.558558561</v>
      </c>
      <c r="P495">
        <v>18729720.72072072</v>
      </c>
      <c r="Q495">
        <v>2409909.9099099082</v>
      </c>
      <c r="R495">
        <v>5006306.3063063072</v>
      </c>
      <c r="S495">
        <v>2837</v>
      </c>
      <c r="T495">
        <v>3761</v>
      </c>
    </row>
    <row r="496" spans="1:20" x14ac:dyDescent="0.35">
      <c r="A496" s="7" t="s">
        <v>587</v>
      </c>
      <c r="B496" s="12" t="s">
        <v>60</v>
      </c>
      <c r="C496">
        <v>38244863.086172476</v>
      </c>
      <c r="D496">
        <v>40754799.149049811</v>
      </c>
      <c r="E496">
        <v>200900.90090090301</v>
      </c>
      <c r="F496">
        <v>263963.96396396297</v>
      </c>
      <c r="G496">
        <v>7</v>
      </c>
      <c r="H496">
        <v>10</v>
      </c>
      <c r="K496">
        <v>7</v>
      </c>
      <c r="L496">
        <v>24</v>
      </c>
      <c r="M496">
        <v>5155855.8558558561</v>
      </c>
      <c r="N496">
        <v>6957657.6576576568</v>
      </c>
      <c r="O496">
        <v>13932027.027027028</v>
      </c>
      <c r="P496">
        <v>15204506.756756756</v>
      </c>
      <c r="Q496">
        <v>3966756.7567567569</v>
      </c>
      <c r="R496">
        <v>5754234.2342342352</v>
      </c>
      <c r="S496">
        <v>1927</v>
      </c>
      <c r="T496">
        <v>1835</v>
      </c>
    </row>
    <row r="497" spans="1:20" x14ac:dyDescent="0.35">
      <c r="A497" s="7" t="s">
        <v>588</v>
      </c>
      <c r="B497" s="12" t="s">
        <v>307</v>
      </c>
      <c r="C497">
        <v>1143793763.5234835</v>
      </c>
      <c r="D497">
        <v>1105874531.3978124</v>
      </c>
      <c r="E497">
        <v>670533367.56756759</v>
      </c>
      <c r="F497">
        <v>625251556.75675678</v>
      </c>
      <c r="G497">
        <v>390</v>
      </c>
      <c r="H497">
        <v>315</v>
      </c>
      <c r="I497">
        <v>1</v>
      </c>
      <c r="K497">
        <v>489</v>
      </c>
      <c r="L497">
        <v>481</v>
      </c>
      <c r="M497">
        <v>100809774.77477479</v>
      </c>
      <c r="N497">
        <v>151368063.06306309</v>
      </c>
      <c r="O497">
        <v>347981270.27027029</v>
      </c>
      <c r="P497">
        <v>358226518.01801807</v>
      </c>
      <c r="Q497">
        <v>94051351.351351365</v>
      </c>
      <c r="R497">
        <v>143416081.08108106</v>
      </c>
      <c r="S497">
        <v>63578</v>
      </c>
      <c r="T497">
        <v>63292</v>
      </c>
    </row>
    <row r="498" spans="1:20" x14ac:dyDescent="0.35">
      <c r="A498" s="7" t="s">
        <v>589</v>
      </c>
      <c r="B498" s="12" t="s">
        <v>52</v>
      </c>
      <c r="C498">
        <v>278375363.96304929</v>
      </c>
      <c r="D498">
        <v>264530457.89812723</v>
      </c>
      <c r="E498">
        <v>3006306.3063063072</v>
      </c>
      <c r="F498">
        <v>3597297.2972973008</v>
      </c>
      <c r="G498">
        <v>35</v>
      </c>
      <c r="H498">
        <v>71</v>
      </c>
      <c r="K498">
        <v>56</v>
      </c>
      <c r="L498">
        <v>127</v>
      </c>
      <c r="M498">
        <v>18340900.900900897</v>
      </c>
      <c r="N498">
        <v>81024279.279279277</v>
      </c>
      <c r="O498">
        <v>106176581.08108109</v>
      </c>
      <c r="P498">
        <v>107600144.14414415</v>
      </c>
      <c r="Q498">
        <v>18352882.882882874</v>
      </c>
      <c r="R498">
        <v>93983828.828828827</v>
      </c>
      <c r="S498">
        <v>14653</v>
      </c>
      <c r="T498">
        <v>13876</v>
      </c>
    </row>
    <row r="499" spans="1:20" x14ac:dyDescent="0.35">
      <c r="A499" s="7" t="s">
        <v>590</v>
      </c>
      <c r="B499" s="12" t="s">
        <v>54</v>
      </c>
      <c r="C499">
        <v>22508444.054614656</v>
      </c>
      <c r="D499">
        <v>23157899.753357287</v>
      </c>
      <c r="E499">
        <v>345045.04504504497</v>
      </c>
      <c r="F499">
        <v>194594.594594594</v>
      </c>
      <c r="G499">
        <v>4</v>
      </c>
      <c r="H499">
        <v>7</v>
      </c>
      <c r="K499">
        <v>4</v>
      </c>
      <c r="L499">
        <v>9</v>
      </c>
      <c r="M499">
        <v>6399099.0990990987</v>
      </c>
      <c r="N499">
        <v>4212612.6126126116</v>
      </c>
      <c r="O499">
        <v>7637918.9189189188</v>
      </c>
      <c r="P499">
        <v>6965423.4234234234</v>
      </c>
      <c r="Q499">
        <v>4943333.333333333</v>
      </c>
      <c r="R499">
        <v>2936576.576576577</v>
      </c>
      <c r="S499">
        <v>1628</v>
      </c>
      <c r="T499">
        <v>1533</v>
      </c>
    </row>
    <row r="500" spans="1:20" x14ac:dyDescent="0.35">
      <c r="A500" s="7" t="s">
        <v>591</v>
      </c>
      <c r="B500" s="12" t="s">
        <v>169</v>
      </c>
      <c r="C500">
        <v>675103703.51501203</v>
      </c>
      <c r="D500">
        <v>623486637.73351204</v>
      </c>
      <c r="E500">
        <v>3001081.0810810812</v>
      </c>
      <c r="F500">
        <v>3769144.1441441458</v>
      </c>
      <c r="G500">
        <v>70</v>
      </c>
      <c r="H500">
        <v>35</v>
      </c>
      <c r="I500">
        <v>1</v>
      </c>
      <c r="K500">
        <v>81</v>
      </c>
      <c r="L500">
        <v>79</v>
      </c>
      <c r="M500">
        <v>111866936.93693694</v>
      </c>
      <c r="N500">
        <v>133907747.74774775</v>
      </c>
      <c r="O500">
        <v>216736252.25225225</v>
      </c>
      <c r="P500">
        <v>212648858.1081081</v>
      </c>
      <c r="Q500">
        <v>88713063.063063055</v>
      </c>
      <c r="R500">
        <v>128068378.37837839</v>
      </c>
      <c r="S500">
        <v>23336</v>
      </c>
      <c r="T500">
        <v>23855</v>
      </c>
    </row>
    <row r="501" spans="1:20" x14ac:dyDescent="0.35">
      <c r="A501" s="7" t="s">
        <v>592</v>
      </c>
      <c r="B501" s="12" t="s">
        <v>87</v>
      </c>
      <c r="C501">
        <v>3856883.6892512292</v>
      </c>
      <c r="D501">
        <v>3291773.298533849</v>
      </c>
      <c r="H501">
        <v>2</v>
      </c>
      <c r="L501">
        <v>2</v>
      </c>
      <c r="O501">
        <v>624585.58558558603</v>
      </c>
      <c r="P501">
        <v>716396.39639639598</v>
      </c>
      <c r="S501">
        <v>336</v>
      </c>
      <c r="T501">
        <v>304</v>
      </c>
    </row>
    <row r="502" spans="1:20" x14ac:dyDescent="0.35">
      <c r="A502" s="7" t="s">
        <v>593</v>
      </c>
      <c r="B502" s="12" t="s">
        <v>143</v>
      </c>
      <c r="C502">
        <v>48255512.237914465</v>
      </c>
      <c r="D502">
        <v>47588234.452409379</v>
      </c>
      <c r="E502">
        <v>14414.414414415</v>
      </c>
      <c r="F502">
        <v>127927.92792792901</v>
      </c>
      <c r="G502">
        <v>6</v>
      </c>
      <c r="H502">
        <v>18</v>
      </c>
      <c r="K502">
        <v>6</v>
      </c>
      <c r="L502">
        <v>20</v>
      </c>
      <c r="M502">
        <v>3329729.7297297288</v>
      </c>
      <c r="N502">
        <v>3100900.9009009022</v>
      </c>
      <c r="O502">
        <v>4547252.2522522518</v>
      </c>
      <c r="P502">
        <v>5286036.036036035</v>
      </c>
      <c r="Q502">
        <v>1750180.1801801799</v>
      </c>
      <c r="R502">
        <v>2299279.2792792781</v>
      </c>
      <c r="S502">
        <v>1641</v>
      </c>
      <c r="T502">
        <v>1606</v>
      </c>
    </row>
    <row r="503" spans="1:20" x14ac:dyDescent="0.35">
      <c r="A503" s="7" t="s">
        <v>594</v>
      </c>
      <c r="B503" s="12" t="s">
        <v>290</v>
      </c>
      <c r="C503">
        <v>13947843.50690861</v>
      </c>
      <c r="D503">
        <v>11447903.578442171</v>
      </c>
      <c r="F503">
        <v>6306306.3063063063</v>
      </c>
      <c r="G503">
        <v>1</v>
      </c>
      <c r="H503">
        <v>1</v>
      </c>
      <c r="K503">
        <v>1</v>
      </c>
      <c r="L503">
        <v>1</v>
      </c>
      <c r="N503">
        <v>27027.027027027001</v>
      </c>
      <c r="O503">
        <v>467927.92792792799</v>
      </c>
      <c r="P503">
        <v>829099.09909909905</v>
      </c>
      <c r="S503">
        <v>568</v>
      </c>
      <c r="T503">
        <v>688</v>
      </c>
    </row>
    <row r="504" spans="1:20" x14ac:dyDescent="0.35">
      <c r="A504" s="7" t="s">
        <v>595</v>
      </c>
      <c r="B504" s="12" t="s">
        <v>92</v>
      </c>
      <c r="C504">
        <v>16796223.458057567</v>
      </c>
      <c r="D504">
        <v>15269098.356989464</v>
      </c>
      <c r="E504">
        <v>48764197.297297299</v>
      </c>
      <c r="F504">
        <v>106383276.57657658</v>
      </c>
      <c r="G504">
        <v>7</v>
      </c>
      <c r="H504">
        <v>5</v>
      </c>
      <c r="K504">
        <v>7</v>
      </c>
      <c r="L504">
        <v>14</v>
      </c>
      <c r="M504">
        <v>16386981.981981982</v>
      </c>
      <c r="N504">
        <v>1898198.1981981981</v>
      </c>
      <c r="O504">
        <v>2444234.2342342339</v>
      </c>
      <c r="P504">
        <v>2979540.5405405401</v>
      </c>
      <c r="Q504">
        <v>354234.23423423403</v>
      </c>
      <c r="R504">
        <v>2123873.8738738741</v>
      </c>
      <c r="S504">
        <v>631</v>
      </c>
      <c r="T504">
        <v>628</v>
      </c>
    </row>
    <row r="505" spans="1:20" x14ac:dyDescent="0.35">
      <c r="A505" s="7" t="s">
        <v>596</v>
      </c>
      <c r="B505" s="12" t="s">
        <v>50</v>
      </c>
      <c r="C505">
        <v>62239380.937750377</v>
      </c>
      <c r="D505">
        <v>55583401.468659975</v>
      </c>
      <c r="E505">
        <v>656756.75675675797</v>
      </c>
      <c r="F505">
        <v>1246621.6216216229</v>
      </c>
      <c r="G505">
        <v>8</v>
      </c>
      <c r="H505">
        <v>6</v>
      </c>
      <c r="K505">
        <v>8</v>
      </c>
      <c r="L505">
        <v>6</v>
      </c>
      <c r="M505">
        <v>4512972.9729729732</v>
      </c>
      <c r="N505">
        <v>2662612.6126126121</v>
      </c>
      <c r="O505">
        <v>12445266.666666666</v>
      </c>
      <c r="P505">
        <v>11623583.783783784</v>
      </c>
      <c r="Q505">
        <v>4667837.8378378376</v>
      </c>
      <c r="R505">
        <v>2456036.036036035</v>
      </c>
      <c r="S505">
        <v>1606</v>
      </c>
      <c r="T505">
        <v>1671</v>
      </c>
    </row>
    <row r="506" spans="1:20" x14ac:dyDescent="0.35">
      <c r="A506" s="7" t="s">
        <v>597</v>
      </c>
      <c r="B506" s="12" t="s">
        <v>89</v>
      </c>
      <c r="C506">
        <v>85062381.111339882</v>
      </c>
      <c r="D506">
        <v>86173141.205394238</v>
      </c>
      <c r="E506">
        <v>345945.94594594499</v>
      </c>
      <c r="F506">
        <v>560360.36036036501</v>
      </c>
      <c r="G506">
        <v>12</v>
      </c>
      <c r="H506">
        <v>15</v>
      </c>
      <c r="K506">
        <v>14</v>
      </c>
      <c r="L506">
        <v>32</v>
      </c>
      <c r="M506">
        <v>6092792.7927927878</v>
      </c>
      <c r="N506">
        <v>7000360.360360356</v>
      </c>
      <c r="O506">
        <v>18607520.72072072</v>
      </c>
      <c r="P506">
        <v>20621324.324324325</v>
      </c>
      <c r="Q506">
        <v>5278558.5585585544</v>
      </c>
      <c r="R506">
        <v>6336756.7567567518</v>
      </c>
      <c r="S506">
        <v>3556</v>
      </c>
      <c r="T506">
        <v>3334</v>
      </c>
    </row>
    <row r="507" spans="1:20" x14ac:dyDescent="0.35">
      <c r="A507" s="7" t="s">
        <v>598</v>
      </c>
      <c r="B507" s="12" t="s">
        <v>143</v>
      </c>
      <c r="C507">
        <v>33018932.928536136</v>
      </c>
      <c r="D507">
        <v>33682621.402743071</v>
      </c>
      <c r="E507">
        <v>54054.054054054002</v>
      </c>
      <c r="F507">
        <v>229729.72972973</v>
      </c>
      <c r="G507">
        <v>10</v>
      </c>
      <c r="K507">
        <v>10</v>
      </c>
      <c r="L507">
        <v>1</v>
      </c>
      <c r="M507">
        <v>2873873.8738738731</v>
      </c>
      <c r="N507">
        <v>2932432.4324324331</v>
      </c>
      <c r="O507">
        <v>1855495.4954954949</v>
      </c>
      <c r="P507">
        <v>2741720.72072072</v>
      </c>
      <c r="Q507">
        <v>2646846.8468468459</v>
      </c>
      <c r="R507">
        <v>2139909.9099099101</v>
      </c>
      <c r="S507">
        <v>1175</v>
      </c>
      <c r="T507">
        <v>1124</v>
      </c>
    </row>
    <row r="508" spans="1:20" x14ac:dyDescent="0.35">
      <c r="A508" s="7" t="s">
        <v>599</v>
      </c>
      <c r="B508" s="12" t="s">
        <v>125</v>
      </c>
      <c r="C508">
        <v>87917320.821540609</v>
      </c>
      <c r="D508">
        <v>82811132.960932225</v>
      </c>
      <c r="E508">
        <v>28672040.540540539</v>
      </c>
      <c r="F508">
        <v>73329132.432432428</v>
      </c>
      <c r="G508">
        <v>5</v>
      </c>
      <c r="H508">
        <v>6</v>
      </c>
      <c r="K508">
        <v>6</v>
      </c>
      <c r="L508">
        <v>7</v>
      </c>
      <c r="M508">
        <v>24973513.513513513</v>
      </c>
      <c r="N508">
        <v>16818153.153153155</v>
      </c>
      <c r="O508">
        <v>31299459.459459461</v>
      </c>
      <c r="P508">
        <v>31463774.774774775</v>
      </c>
      <c r="Q508">
        <v>17328918.918918919</v>
      </c>
      <c r="R508">
        <v>4520900.9009009004</v>
      </c>
      <c r="S508">
        <v>3308</v>
      </c>
      <c r="T508">
        <v>3269</v>
      </c>
    </row>
    <row r="509" spans="1:20" x14ac:dyDescent="0.35">
      <c r="A509" s="7" t="s">
        <v>600</v>
      </c>
      <c r="B509" s="12" t="s">
        <v>50</v>
      </c>
      <c r="C509">
        <v>211390720.51684982</v>
      </c>
      <c r="D509">
        <v>210794477.4745723</v>
      </c>
      <c r="E509">
        <v>1741081.0810810809</v>
      </c>
      <c r="F509">
        <v>2072072.072072075</v>
      </c>
      <c r="G509">
        <v>28</v>
      </c>
      <c r="H509">
        <v>20</v>
      </c>
      <c r="I509">
        <v>1</v>
      </c>
      <c r="K509">
        <v>29</v>
      </c>
      <c r="L509">
        <v>22</v>
      </c>
      <c r="M509">
        <v>26748468.468468465</v>
      </c>
      <c r="N509">
        <v>23525045.045045048</v>
      </c>
      <c r="O509">
        <v>85892909.909909904</v>
      </c>
      <c r="P509">
        <v>86979891.891891882</v>
      </c>
      <c r="Q509">
        <v>20964054.054054052</v>
      </c>
      <c r="R509">
        <v>22587567.567567568</v>
      </c>
      <c r="S509">
        <v>6478</v>
      </c>
      <c r="T509">
        <v>7522</v>
      </c>
    </row>
    <row r="510" spans="1:20" x14ac:dyDescent="0.35">
      <c r="A510" s="7" t="s">
        <v>601</v>
      </c>
      <c r="B510" s="12" t="s">
        <v>89</v>
      </c>
      <c r="C510">
        <v>62286772.440746754</v>
      </c>
      <c r="D510">
        <v>62072733.16623456</v>
      </c>
      <c r="E510">
        <v>24418018.018018015</v>
      </c>
      <c r="F510">
        <v>134450450.45045045</v>
      </c>
      <c r="G510">
        <v>10</v>
      </c>
      <c r="H510">
        <v>7</v>
      </c>
      <c r="K510">
        <v>10</v>
      </c>
      <c r="L510">
        <v>7</v>
      </c>
      <c r="M510">
        <v>4463963.9639639631</v>
      </c>
      <c r="N510">
        <v>22738198.198198199</v>
      </c>
      <c r="O510">
        <v>17215000</v>
      </c>
      <c r="P510">
        <v>19153558.558558561</v>
      </c>
      <c r="Q510">
        <v>4226846.8468468469</v>
      </c>
      <c r="R510">
        <v>22438378.37837838</v>
      </c>
      <c r="S510">
        <v>2719</v>
      </c>
      <c r="T510">
        <v>3063</v>
      </c>
    </row>
    <row r="511" spans="1:20" x14ac:dyDescent="0.35">
      <c r="A511" s="7" t="s">
        <v>602</v>
      </c>
      <c r="B511" s="12" t="s">
        <v>87</v>
      </c>
      <c r="C511">
        <v>58924718.659531906</v>
      </c>
      <c r="D511">
        <v>55896360.80570592</v>
      </c>
      <c r="E511">
        <v>76576.576576577005</v>
      </c>
      <c r="F511">
        <v>207207.20720720699</v>
      </c>
      <c r="G511">
        <v>4</v>
      </c>
      <c r="H511">
        <v>4</v>
      </c>
      <c r="K511">
        <v>4</v>
      </c>
      <c r="L511">
        <v>5</v>
      </c>
      <c r="M511">
        <v>662162.16216216201</v>
      </c>
      <c r="N511">
        <v>486486.48648648598</v>
      </c>
      <c r="O511">
        <v>4426439.6396396402</v>
      </c>
      <c r="P511">
        <v>3610495.4954954949</v>
      </c>
      <c r="Q511">
        <v>702295.49549549504</v>
      </c>
      <c r="R511">
        <v>451801.80180180201</v>
      </c>
      <c r="S511">
        <v>1286</v>
      </c>
      <c r="T511">
        <v>1269</v>
      </c>
    </row>
    <row r="512" spans="1:20" x14ac:dyDescent="0.35">
      <c r="A512" s="7" t="s">
        <v>603</v>
      </c>
      <c r="B512" s="12" t="s">
        <v>140</v>
      </c>
      <c r="C512">
        <v>435223490.45601708</v>
      </c>
      <c r="D512">
        <v>440740260.6575495</v>
      </c>
      <c r="E512">
        <v>416453109.9099099</v>
      </c>
      <c r="F512">
        <v>248874573.87387389</v>
      </c>
      <c r="G512">
        <v>100</v>
      </c>
      <c r="H512">
        <v>128</v>
      </c>
      <c r="I512">
        <v>1</v>
      </c>
      <c r="K512">
        <v>125</v>
      </c>
      <c r="L512">
        <v>194</v>
      </c>
      <c r="M512">
        <v>78806216.216216207</v>
      </c>
      <c r="N512">
        <v>73710270.270270273</v>
      </c>
      <c r="O512">
        <v>99292293.693693697</v>
      </c>
      <c r="P512">
        <v>111187675.67567568</v>
      </c>
      <c r="Q512">
        <v>66916036.036036037</v>
      </c>
      <c r="R512">
        <v>76521351.351351351</v>
      </c>
      <c r="S512">
        <v>19130</v>
      </c>
      <c r="T512">
        <v>18619</v>
      </c>
    </row>
    <row r="513" spans="1:20" x14ac:dyDescent="0.35">
      <c r="A513" s="7" t="s">
        <v>604</v>
      </c>
      <c r="B513" s="12" t="s">
        <v>224</v>
      </c>
      <c r="C513">
        <v>84818183.204764381</v>
      </c>
      <c r="D513">
        <v>74757182.531610996</v>
      </c>
      <c r="E513">
        <v>9009.0090090089998</v>
      </c>
      <c r="F513">
        <v>16216.216216216</v>
      </c>
      <c r="G513">
        <v>13</v>
      </c>
      <c r="H513">
        <v>14</v>
      </c>
      <c r="K513">
        <v>15</v>
      </c>
      <c r="L513">
        <v>14</v>
      </c>
      <c r="M513">
        <v>2261261.2612612611</v>
      </c>
      <c r="N513">
        <v>16216.216216216</v>
      </c>
      <c r="O513">
        <v>25237306.306306303</v>
      </c>
      <c r="P513">
        <v>25023765.765765768</v>
      </c>
      <c r="Q513">
        <v>1812162.1621621619</v>
      </c>
      <c r="R513">
        <v>2338468.4684684682</v>
      </c>
      <c r="S513">
        <v>3706</v>
      </c>
      <c r="T513">
        <v>3557</v>
      </c>
    </row>
    <row r="514" spans="1:20" x14ac:dyDescent="0.35">
      <c r="A514" s="7" t="s">
        <v>605</v>
      </c>
      <c r="B514" s="12" t="s">
        <v>224</v>
      </c>
      <c r="C514">
        <v>52476217.898205355</v>
      </c>
      <c r="D514">
        <v>47730567.115994878</v>
      </c>
      <c r="E514">
        <v>5405.4054054050002</v>
      </c>
      <c r="F514">
        <v>13513.513513514001</v>
      </c>
      <c r="G514">
        <v>17</v>
      </c>
      <c r="H514">
        <v>11</v>
      </c>
      <c r="K514">
        <v>18</v>
      </c>
      <c r="L514">
        <v>11</v>
      </c>
      <c r="M514">
        <v>3609009.0090090092</v>
      </c>
      <c r="N514">
        <v>2716216.2162162159</v>
      </c>
      <c r="O514">
        <v>13428108.108108109</v>
      </c>
      <c r="P514">
        <v>13761513.513513515</v>
      </c>
      <c r="Q514">
        <v>2707027.0270270272</v>
      </c>
      <c r="R514">
        <v>2503243.2432432431</v>
      </c>
      <c r="S514">
        <v>3034</v>
      </c>
      <c r="T514">
        <v>3912</v>
      </c>
    </row>
    <row r="515" spans="1:20" x14ac:dyDescent="0.35">
      <c r="A515" s="7" t="s">
        <v>606</v>
      </c>
      <c r="B515" s="12" t="s">
        <v>241</v>
      </c>
      <c r="C515">
        <v>43595889.486877769</v>
      </c>
      <c r="D515">
        <v>41584790.650331549</v>
      </c>
      <c r="E515">
        <v>9009.0090090089998</v>
      </c>
      <c r="F515">
        <v>4504.5045045050001</v>
      </c>
      <c r="G515">
        <v>20</v>
      </c>
      <c r="H515">
        <v>25</v>
      </c>
      <c r="K515">
        <v>21</v>
      </c>
      <c r="L515">
        <v>27</v>
      </c>
      <c r="M515">
        <v>2926486.4864864871</v>
      </c>
      <c r="N515">
        <v>1474774.7747747749</v>
      </c>
      <c r="O515">
        <v>12004594.594594594</v>
      </c>
      <c r="P515">
        <v>12541207.207207208</v>
      </c>
      <c r="Q515">
        <v>3500360.3603603598</v>
      </c>
      <c r="R515">
        <v>1085495.4954954961</v>
      </c>
      <c r="S515">
        <v>2377</v>
      </c>
      <c r="T515">
        <v>2453</v>
      </c>
    </row>
    <row r="516" spans="1:20" x14ac:dyDescent="0.35">
      <c r="A516" s="7" t="s">
        <v>607</v>
      </c>
      <c r="B516" s="12" t="s">
        <v>140</v>
      </c>
      <c r="C516">
        <v>12779913.907355284</v>
      </c>
      <c r="D516">
        <v>12468448.143043833</v>
      </c>
      <c r="F516">
        <v>2702.7027027029999</v>
      </c>
      <c r="H516">
        <v>4</v>
      </c>
      <c r="L516">
        <v>4</v>
      </c>
      <c r="M516">
        <v>360360.36036036001</v>
      </c>
      <c r="N516">
        <v>2702.7027027029999</v>
      </c>
      <c r="O516">
        <v>1688918.9189189191</v>
      </c>
      <c r="P516">
        <v>1273909.9099099101</v>
      </c>
      <c r="Q516">
        <v>285405.40540540498</v>
      </c>
      <c r="R516">
        <v>273963.96396396402</v>
      </c>
      <c r="S516">
        <v>342</v>
      </c>
      <c r="T516">
        <v>338</v>
      </c>
    </row>
    <row r="517" spans="1:20" x14ac:dyDescent="0.35">
      <c r="A517" s="7" t="s">
        <v>608</v>
      </c>
      <c r="B517" s="12" t="s">
        <v>189</v>
      </c>
      <c r="C517">
        <v>50139721.388160825</v>
      </c>
      <c r="D517">
        <v>45814749.834708989</v>
      </c>
      <c r="E517">
        <v>30006827.02702703</v>
      </c>
      <c r="F517">
        <v>28270275.675675675</v>
      </c>
      <c r="G517">
        <v>16</v>
      </c>
      <c r="H517">
        <v>28</v>
      </c>
      <c r="K517">
        <v>19</v>
      </c>
      <c r="L517">
        <v>29</v>
      </c>
      <c r="M517">
        <v>6458558.558558559</v>
      </c>
      <c r="N517">
        <v>20206527.02702703</v>
      </c>
      <c r="O517">
        <v>9765792.7927927915</v>
      </c>
      <c r="P517">
        <v>12040454.954954956</v>
      </c>
      <c r="Q517">
        <v>4445495.4954954972</v>
      </c>
      <c r="R517">
        <v>4144054.054054053</v>
      </c>
      <c r="S517">
        <v>1687</v>
      </c>
      <c r="T517">
        <v>1632</v>
      </c>
    </row>
    <row r="518" spans="1:20" x14ac:dyDescent="0.35">
      <c r="A518" s="7" t="s">
        <v>609</v>
      </c>
      <c r="B518" s="12" t="s">
        <v>189</v>
      </c>
      <c r="C518">
        <v>148983954.62412676</v>
      </c>
      <c r="D518">
        <v>137520250.65518582</v>
      </c>
      <c r="E518">
        <v>17117.117117116999</v>
      </c>
      <c r="F518">
        <v>270270.27027027099</v>
      </c>
      <c r="G518">
        <v>53</v>
      </c>
      <c r="H518">
        <v>35</v>
      </c>
      <c r="K518">
        <v>62</v>
      </c>
      <c r="L518">
        <v>38</v>
      </c>
      <c r="M518">
        <v>5755855.8558558542</v>
      </c>
      <c r="N518">
        <v>6801801.8018018007</v>
      </c>
      <c r="O518">
        <v>24088873.873873871</v>
      </c>
      <c r="P518">
        <v>24325765.765765768</v>
      </c>
      <c r="Q518">
        <v>5110360.3603603588</v>
      </c>
      <c r="R518">
        <v>3737117.1171171162</v>
      </c>
      <c r="S518">
        <v>5149</v>
      </c>
      <c r="T518">
        <v>4980</v>
      </c>
    </row>
    <row r="519" spans="1:20" x14ac:dyDescent="0.35">
      <c r="A519" s="7" t="s">
        <v>610</v>
      </c>
      <c r="B519" s="12" t="s">
        <v>189</v>
      </c>
      <c r="C519">
        <v>55801583.96649839</v>
      </c>
      <c r="D519">
        <v>53043253.365517408</v>
      </c>
      <c r="E519">
        <v>231531.531531532</v>
      </c>
      <c r="F519">
        <v>484459.45945946203</v>
      </c>
      <c r="G519">
        <v>9</v>
      </c>
      <c r="H519">
        <v>12</v>
      </c>
      <c r="K519">
        <v>9</v>
      </c>
      <c r="L519">
        <v>14</v>
      </c>
      <c r="M519">
        <v>3886486.4864864871</v>
      </c>
      <c r="N519">
        <v>3256756.7567567579</v>
      </c>
      <c r="O519">
        <v>6406666.666666666</v>
      </c>
      <c r="P519">
        <v>5893918.9189189188</v>
      </c>
      <c r="Q519">
        <v>2857387.3873873861</v>
      </c>
      <c r="R519">
        <v>2891351.351351351</v>
      </c>
      <c r="S519">
        <v>1705</v>
      </c>
      <c r="T519">
        <v>1706</v>
      </c>
    </row>
    <row r="520" spans="1:20" x14ac:dyDescent="0.35">
      <c r="A520" s="7" t="s">
        <v>611</v>
      </c>
      <c r="B520" s="12" t="s">
        <v>189</v>
      </c>
      <c r="C520">
        <v>16989473.277902123</v>
      </c>
      <c r="D520">
        <v>21442967.393851627</v>
      </c>
      <c r="E520">
        <v>8108.1081081080001</v>
      </c>
      <c r="F520">
        <v>134684.68468468499</v>
      </c>
      <c r="G520">
        <v>14</v>
      </c>
      <c r="H520">
        <v>7</v>
      </c>
      <c r="K520">
        <v>16</v>
      </c>
      <c r="L520">
        <v>9</v>
      </c>
      <c r="M520">
        <v>1594594.5945945941</v>
      </c>
      <c r="N520">
        <v>3067927.927927928</v>
      </c>
      <c r="O520">
        <v>3016801.8018018021</v>
      </c>
      <c r="P520">
        <v>3962945.945945946</v>
      </c>
      <c r="Q520">
        <v>793243.24324324296</v>
      </c>
      <c r="R520">
        <v>2926936.9369369368</v>
      </c>
      <c r="S520">
        <v>936</v>
      </c>
      <c r="T520">
        <v>958</v>
      </c>
    </row>
    <row r="521" spans="1:20" x14ac:dyDescent="0.35">
      <c r="A521" s="7" t="s">
        <v>612</v>
      </c>
      <c r="B521" s="12" t="s">
        <v>143</v>
      </c>
      <c r="C521">
        <v>147674435.63609689</v>
      </c>
      <c r="D521">
        <v>153023127.00812349</v>
      </c>
      <c r="E521">
        <v>89855.855855856993</v>
      </c>
      <c r="F521">
        <v>760601.80180180306</v>
      </c>
      <c r="G521">
        <v>37</v>
      </c>
      <c r="H521">
        <v>41</v>
      </c>
      <c r="K521">
        <v>54</v>
      </c>
      <c r="L521">
        <v>52</v>
      </c>
      <c r="M521">
        <v>9647747.7477477454</v>
      </c>
      <c r="N521">
        <v>6279279.2792792777</v>
      </c>
      <c r="O521">
        <v>17512025.225225225</v>
      </c>
      <c r="P521">
        <v>18924247.747747749</v>
      </c>
      <c r="Q521">
        <v>13460720.72072072</v>
      </c>
      <c r="R521">
        <v>13870223.423423423</v>
      </c>
      <c r="S521">
        <v>6966</v>
      </c>
      <c r="T521">
        <v>6816</v>
      </c>
    </row>
    <row r="522" spans="1:20" x14ac:dyDescent="0.35">
      <c r="A522" s="7" t="s">
        <v>613</v>
      </c>
      <c r="B522" s="12" t="s">
        <v>189</v>
      </c>
      <c r="C522">
        <v>189664621.11678961</v>
      </c>
      <c r="D522">
        <v>174609561.45793775</v>
      </c>
      <c r="E522">
        <v>120720.72072072201</v>
      </c>
      <c r="F522">
        <v>1031306.306306309</v>
      </c>
      <c r="G522">
        <v>62</v>
      </c>
      <c r="H522">
        <v>51</v>
      </c>
      <c r="K522">
        <v>77</v>
      </c>
      <c r="L522">
        <v>68</v>
      </c>
      <c r="M522">
        <v>5192792.7927927943</v>
      </c>
      <c r="N522">
        <v>8672072.0720720701</v>
      </c>
      <c r="O522">
        <v>16172095.495495496</v>
      </c>
      <c r="P522">
        <v>16863439.639639638</v>
      </c>
      <c r="Q522">
        <v>4141077.4774774769</v>
      </c>
      <c r="R522">
        <v>8405178.3783783782</v>
      </c>
      <c r="S522">
        <v>7717</v>
      </c>
      <c r="T522">
        <v>7399</v>
      </c>
    </row>
    <row r="523" spans="1:20" x14ac:dyDescent="0.35">
      <c r="A523" s="7" t="s">
        <v>614</v>
      </c>
      <c r="B523" s="12" t="s">
        <v>54</v>
      </c>
      <c r="C523">
        <v>128573994.79596412</v>
      </c>
      <c r="D523">
        <v>122188510.88731654</v>
      </c>
      <c r="E523">
        <v>1269819.819819822</v>
      </c>
      <c r="F523">
        <v>1757657.6576576589</v>
      </c>
      <c r="G523">
        <v>32</v>
      </c>
      <c r="H523">
        <v>30</v>
      </c>
      <c r="K523">
        <v>35</v>
      </c>
      <c r="L523">
        <v>53</v>
      </c>
      <c r="M523">
        <v>18179729.729729727</v>
      </c>
      <c r="N523">
        <v>19613513.513513513</v>
      </c>
      <c r="O523">
        <v>37009864.864864863</v>
      </c>
      <c r="P523">
        <v>39318108.108108111</v>
      </c>
      <c r="Q523">
        <v>20879099.099099096</v>
      </c>
      <c r="R523">
        <v>19272432.432432432</v>
      </c>
      <c r="S523">
        <v>6636</v>
      </c>
      <c r="T523">
        <v>7008</v>
      </c>
    </row>
    <row r="524" spans="1:20" x14ac:dyDescent="0.35">
      <c r="A524" s="7" t="s">
        <v>615</v>
      </c>
      <c r="B524" s="12" t="s">
        <v>54</v>
      </c>
      <c r="C524">
        <v>66879444.20860707</v>
      </c>
      <c r="D524">
        <v>66240391.098459251</v>
      </c>
      <c r="E524">
        <v>24324.324324325</v>
      </c>
      <c r="F524">
        <v>81081.081081081997</v>
      </c>
      <c r="G524">
        <v>11</v>
      </c>
      <c r="H524">
        <v>7</v>
      </c>
      <c r="K524">
        <v>11</v>
      </c>
      <c r="L524">
        <v>8</v>
      </c>
      <c r="M524">
        <v>2672972.9729729728</v>
      </c>
      <c r="N524">
        <v>2063063.063063063</v>
      </c>
      <c r="O524">
        <v>10820576.576576576</v>
      </c>
      <c r="P524">
        <v>11280387.387387387</v>
      </c>
      <c r="Q524">
        <v>2996126.126126125</v>
      </c>
      <c r="R524">
        <v>2037027.027027027</v>
      </c>
      <c r="S524">
        <v>2902</v>
      </c>
      <c r="T524">
        <v>2722</v>
      </c>
    </row>
    <row r="525" spans="1:20" x14ac:dyDescent="0.35">
      <c r="A525" s="7" t="s">
        <v>616</v>
      </c>
      <c r="B525" s="12" t="s">
        <v>60</v>
      </c>
      <c r="C525">
        <v>103484362.24778989</v>
      </c>
      <c r="D525">
        <v>101750551.90827882</v>
      </c>
      <c r="E525">
        <v>172972.97297297401</v>
      </c>
      <c r="F525">
        <v>2021621.6216216269</v>
      </c>
      <c r="G525">
        <v>15</v>
      </c>
      <c r="H525">
        <v>38</v>
      </c>
      <c r="K525">
        <v>18</v>
      </c>
      <c r="L525">
        <v>104</v>
      </c>
      <c r="M525">
        <v>14007207.207207207</v>
      </c>
      <c r="N525">
        <v>16250450.450450452</v>
      </c>
      <c r="O525">
        <v>30656441.441441439</v>
      </c>
      <c r="P525">
        <v>32761891.891891893</v>
      </c>
      <c r="Q525">
        <v>12329009.009009009</v>
      </c>
      <c r="R525">
        <v>14010090.09009009</v>
      </c>
      <c r="S525">
        <v>4521</v>
      </c>
      <c r="T525">
        <v>4449</v>
      </c>
    </row>
    <row r="526" spans="1:20" x14ac:dyDescent="0.35">
      <c r="A526" s="7" t="s">
        <v>617</v>
      </c>
      <c r="B526" s="12" t="s">
        <v>60</v>
      </c>
      <c r="C526">
        <v>113940792.51185977</v>
      </c>
      <c r="D526">
        <v>108931925.65163061</v>
      </c>
      <c r="E526">
        <v>304504.50450450601</v>
      </c>
      <c r="F526">
        <v>619819.81981982198</v>
      </c>
      <c r="G526">
        <v>21</v>
      </c>
      <c r="H526">
        <v>30</v>
      </c>
      <c r="K526">
        <v>22</v>
      </c>
      <c r="L526">
        <v>35</v>
      </c>
      <c r="M526">
        <v>11484684.684684685</v>
      </c>
      <c r="N526">
        <v>12335135.135135135</v>
      </c>
      <c r="O526">
        <v>57585495.495495498</v>
      </c>
      <c r="P526">
        <v>56328612.612612613</v>
      </c>
      <c r="Q526">
        <v>10911171.171171172</v>
      </c>
      <c r="R526">
        <v>12642252.252252251</v>
      </c>
      <c r="S526">
        <v>5595</v>
      </c>
      <c r="T526">
        <v>4928</v>
      </c>
    </row>
    <row r="527" spans="1:20" x14ac:dyDescent="0.35">
      <c r="A527" s="7" t="s">
        <v>618</v>
      </c>
      <c r="B527" s="12" t="s">
        <v>60</v>
      </c>
      <c r="C527">
        <v>146161938.944745</v>
      </c>
      <c r="D527">
        <v>138369216.36170822</v>
      </c>
      <c r="E527">
        <v>969369.36936937005</v>
      </c>
      <c r="F527">
        <v>1400900.900900902</v>
      </c>
      <c r="G527">
        <v>23</v>
      </c>
      <c r="H527">
        <v>21</v>
      </c>
      <c r="K527">
        <v>27</v>
      </c>
      <c r="L527">
        <v>26</v>
      </c>
      <c r="M527">
        <v>10041441.441441437</v>
      </c>
      <c r="N527">
        <v>19772072.072072074</v>
      </c>
      <c r="O527">
        <v>44851072.072072074</v>
      </c>
      <c r="P527">
        <v>44771403.603603601</v>
      </c>
      <c r="Q527">
        <v>7342522.5225225221</v>
      </c>
      <c r="R527">
        <v>18484684.684684686</v>
      </c>
      <c r="S527">
        <v>6050</v>
      </c>
      <c r="T527">
        <v>5641</v>
      </c>
    </row>
    <row r="528" spans="1:20" x14ac:dyDescent="0.35">
      <c r="A528" s="7" t="s">
        <v>619</v>
      </c>
      <c r="B528" s="12" t="s">
        <v>620</v>
      </c>
      <c r="C528">
        <v>165450748.36645997</v>
      </c>
      <c r="D528">
        <v>169448009.90462324</v>
      </c>
      <c r="E528">
        <v>902662.16216216201</v>
      </c>
      <c r="F528">
        <v>39711843.243243247</v>
      </c>
      <c r="G528">
        <v>58</v>
      </c>
      <c r="H528">
        <v>65</v>
      </c>
      <c r="I528">
        <v>2</v>
      </c>
      <c r="K528">
        <v>72</v>
      </c>
      <c r="L528">
        <v>159</v>
      </c>
      <c r="M528">
        <v>14875265.765765764</v>
      </c>
      <c r="N528">
        <v>10313890.990990991</v>
      </c>
      <c r="O528">
        <v>19670000</v>
      </c>
      <c r="P528">
        <v>19878387.387387387</v>
      </c>
      <c r="Q528">
        <v>10796126.126126125</v>
      </c>
      <c r="R528">
        <v>11368918.918918921</v>
      </c>
      <c r="S528">
        <v>7390</v>
      </c>
      <c r="T528">
        <v>9228</v>
      </c>
    </row>
    <row r="529" spans="1:20" x14ac:dyDescent="0.35">
      <c r="A529" s="7" t="s">
        <v>621</v>
      </c>
      <c r="B529" s="12" t="s">
        <v>620</v>
      </c>
      <c r="C529">
        <v>129432892.56759925</v>
      </c>
      <c r="D529">
        <v>123463711.16172761</v>
      </c>
      <c r="E529">
        <v>575675.67567567597</v>
      </c>
      <c r="F529">
        <v>2580180.1801801822</v>
      </c>
      <c r="G529">
        <v>40</v>
      </c>
      <c r="H529">
        <v>39</v>
      </c>
      <c r="I529">
        <v>2</v>
      </c>
      <c r="K529">
        <v>55</v>
      </c>
      <c r="L529">
        <v>57</v>
      </c>
      <c r="M529">
        <v>9215315.3153153118</v>
      </c>
      <c r="N529">
        <v>11327927.927927928</v>
      </c>
      <c r="O529">
        <v>17304932.432432432</v>
      </c>
      <c r="P529">
        <v>20226154.054054052</v>
      </c>
      <c r="Q529">
        <v>9447657.6576576568</v>
      </c>
      <c r="R529">
        <v>9781171.1711711716</v>
      </c>
      <c r="S529">
        <v>6122</v>
      </c>
      <c r="T529">
        <v>5766</v>
      </c>
    </row>
    <row r="530" spans="1:20" x14ac:dyDescent="0.35">
      <c r="A530" s="7" t="s">
        <v>622</v>
      </c>
      <c r="B530" s="12" t="s">
        <v>620</v>
      </c>
      <c r="C530">
        <v>137989843.6144301</v>
      </c>
      <c r="D530">
        <v>129726802.61975324</v>
      </c>
      <c r="E530">
        <v>636936.93693693797</v>
      </c>
      <c r="F530">
        <v>948648.64864865097</v>
      </c>
      <c r="G530">
        <v>58</v>
      </c>
      <c r="H530">
        <v>46</v>
      </c>
      <c r="I530">
        <v>1</v>
      </c>
      <c r="K530">
        <v>73</v>
      </c>
      <c r="L530">
        <v>56</v>
      </c>
      <c r="M530">
        <v>11601801.801801801</v>
      </c>
      <c r="N530">
        <v>8681981.9819819797</v>
      </c>
      <c r="O530">
        <v>18666666.666666664</v>
      </c>
      <c r="P530">
        <v>19848193.693693697</v>
      </c>
      <c r="Q530">
        <v>9787207.2072072085</v>
      </c>
      <c r="R530">
        <v>5723243.2432432454</v>
      </c>
      <c r="S530">
        <v>5857</v>
      </c>
      <c r="T530">
        <v>5298</v>
      </c>
    </row>
    <row r="531" spans="1:20" x14ac:dyDescent="0.35">
      <c r="A531" s="7" t="s">
        <v>623</v>
      </c>
      <c r="B531" s="12" t="s">
        <v>620</v>
      </c>
      <c r="C531">
        <v>96624638.938767403</v>
      </c>
      <c r="D531">
        <v>93147801.571485326</v>
      </c>
      <c r="E531">
        <v>176576.57657657599</v>
      </c>
      <c r="F531">
        <v>232432.43243243301</v>
      </c>
      <c r="G531">
        <v>42</v>
      </c>
      <c r="H531">
        <v>19</v>
      </c>
      <c r="I531">
        <v>1</v>
      </c>
      <c r="K531">
        <v>54</v>
      </c>
      <c r="L531">
        <v>33</v>
      </c>
      <c r="M531">
        <v>8111711.7117117113</v>
      </c>
      <c r="N531">
        <v>7334234.2342342352</v>
      </c>
      <c r="O531">
        <v>11905045.045045048</v>
      </c>
      <c r="P531">
        <v>12216977.477477478</v>
      </c>
      <c r="Q531">
        <v>6954504.5045045046</v>
      </c>
      <c r="R531">
        <v>7124774.7747747758</v>
      </c>
      <c r="S531">
        <v>3690</v>
      </c>
      <c r="T531">
        <v>3625</v>
      </c>
    </row>
    <row r="532" spans="1:20" x14ac:dyDescent="0.35">
      <c r="A532" s="7" t="s">
        <v>624</v>
      </c>
      <c r="B532" s="12" t="s">
        <v>260</v>
      </c>
      <c r="C532">
        <v>54497369.24689056</v>
      </c>
      <c r="D532">
        <v>49094660.142521091</v>
      </c>
      <c r="E532">
        <v>18018.018018018</v>
      </c>
      <c r="F532">
        <v>191891.89189189201</v>
      </c>
      <c r="G532">
        <v>5</v>
      </c>
      <c r="H532">
        <v>8</v>
      </c>
      <c r="K532">
        <v>5</v>
      </c>
      <c r="L532">
        <v>8</v>
      </c>
      <c r="M532">
        <v>8981981.9819819815</v>
      </c>
      <c r="N532">
        <v>833333.33333333302</v>
      </c>
      <c r="O532">
        <v>17354900.9009009</v>
      </c>
      <c r="P532">
        <v>16027711.711711712</v>
      </c>
      <c r="Q532">
        <v>6719189.18918919</v>
      </c>
      <c r="R532">
        <v>4158198.1981981969</v>
      </c>
      <c r="S532">
        <v>2001</v>
      </c>
      <c r="T532">
        <v>2023</v>
      </c>
    </row>
    <row r="533" spans="1:20" x14ac:dyDescent="0.35">
      <c r="A533" s="7" t="s">
        <v>625</v>
      </c>
      <c r="B533" s="12" t="s">
        <v>52</v>
      </c>
      <c r="C533">
        <v>76525297.677574769</v>
      </c>
      <c r="D533">
        <v>77063440.225077733</v>
      </c>
      <c r="E533">
        <v>29072252.252252251</v>
      </c>
      <c r="F533">
        <v>117179279.27927928</v>
      </c>
      <c r="G533">
        <v>9</v>
      </c>
      <c r="H533">
        <v>23</v>
      </c>
      <c r="K533">
        <v>11</v>
      </c>
      <c r="L533">
        <v>49</v>
      </c>
      <c r="M533">
        <v>1589819.8198198189</v>
      </c>
      <c r="N533">
        <v>2215315.315315315</v>
      </c>
      <c r="O533">
        <v>25316432.432432432</v>
      </c>
      <c r="P533">
        <v>27463990.990990993</v>
      </c>
      <c r="Q533">
        <v>1555405.4054054059</v>
      </c>
      <c r="R533">
        <v>1683963.963963964</v>
      </c>
      <c r="S533">
        <v>3939</v>
      </c>
      <c r="T533">
        <v>4365</v>
      </c>
    </row>
    <row r="534" spans="1:20" x14ac:dyDescent="0.35">
      <c r="A534" s="7" t="s">
        <v>626</v>
      </c>
      <c r="B534" s="12" t="s">
        <v>96</v>
      </c>
      <c r="C534">
        <v>191532570.93459481</v>
      </c>
      <c r="D534">
        <v>186388245.34216979</v>
      </c>
      <c r="E534">
        <v>63819217.117117122</v>
      </c>
      <c r="F534">
        <v>142052837.83783785</v>
      </c>
      <c r="G534">
        <v>94</v>
      </c>
      <c r="H534">
        <v>87</v>
      </c>
      <c r="I534">
        <v>1</v>
      </c>
      <c r="K534">
        <v>117</v>
      </c>
      <c r="L534">
        <v>114</v>
      </c>
      <c r="M534">
        <v>31046306.306306303</v>
      </c>
      <c r="N534">
        <v>65892648.648648649</v>
      </c>
      <c r="O534">
        <v>59570945.945945941</v>
      </c>
      <c r="P534">
        <v>61837660.360360362</v>
      </c>
      <c r="Q534">
        <v>32086486.486486487</v>
      </c>
      <c r="R534">
        <v>33781621.621621624</v>
      </c>
      <c r="S534">
        <v>10839</v>
      </c>
      <c r="T534">
        <v>12004</v>
      </c>
    </row>
    <row r="535" spans="1:20" x14ac:dyDescent="0.35">
      <c r="A535" s="7" t="s">
        <v>627</v>
      </c>
      <c r="B535" s="12" t="s">
        <v>96</v>
      </c>
      <c r="C535">
        <v>338184614.10596168</v>
      </c>
      <c r="D535">
        <v>310355779.25945204</v>
      </c>
      <c r="E535">
        <v>393333.33333333401</v>
      </c>
      <c r="F535">
        <v>1618018.018018018</v>
      </c>
      <c r="G535">
        <v>91</v>
      </c>
      <c r="H535">
        <v>59</v>
      </c>
      <c r="I535">
        <v>1</v>
      </c>
      <c r="K535">
        <v>119</v>
      </c>
      <c r="L535">
        <v>77</v>
      </c>
      <c r="M535">
        <v>51018198.198198199</v>
      </c>
      <c r="N535">
        <v>84630990.990990996</v>
      </c>
      <c r="O535">
        <v>130813837.83783785</v>
      </c>
      <c r="P535">
        <v>123424659.9099099</v>
      </c>
      <c r="Q535">
        <v>62447207.20720721</v>
      </c>
      <c r="R535">
        <v>79778918.918918908</v>
      </c>
      <c r="S535">
        <v>13946</v>
      </c>
      <c r="T535">
        <v>13383</v>
      </c>
    </row>
    <row r="536" spans="1:20" x14ac:dyDescent="0.35">
      <c r="A536" s="7" t="s">
        <v>628</v>
      </c>
      <c r="B536" s="12" t="s">
        <v>448</v>
      </c>
      <c r="C536">
        <v>241463860.95324549</v>
      </c>
      <c r="D536">
        <v>225811516.15498236</v>
      </c>
      <c r="E536">
        <v>134717101.8018018</v>
      </c>
      <c r="F536">
        <v>124719127.92792794</v>
      </c>
      <c r="G536">
        <v>120</v>
      </c>
      <c r="H536">
        <v>68</v>
      </c>
      <c r="K536">
        <v>140</v>
      </c>
      <c r="L536">
        <v>86</v>
      </c>
      <c r="M536">
        <v>63706756.756756753</v>
      </c>
      <c r="N536">
        <v>57973873.873873882</v>
      </c>
      <c r="O536">
        <v>68186783.783783779</v>
      </c>
      <c r="P536">
        <v>68562583.783783779</v>
      </c>
      <c r="Q536">
        <v>50879009.009009011</v>
      </c>
      <c r="R536">
        <v>48043513.513513513</v>
      </c>
      <c r="S536">
        <v>11548</v>
      </c>
      <c r="T536">
        <v>11116</v>
      </c>
    </row>
    <row r="537" spans="1:20" x14ac:dyDescent="0.35">
      <c r="A537" s="7" t="s">
        <v>629</v>
      </c>
      <c r="B537" s="12" t="s">
        <v>78</v>
      </c>
      <c r="C537">
        <v>10858979.31986662</v>
      </c>
      <c r="D537">
        <v>10429350.683072086</v>
      </c>
      <c r="E537">
        <v>185585.58558558501</v>
      </c>
      <c r="F537">
        <v>278378.37837837799</v>
      </c>
      <c r="G537">
        <v>2</v>
      </c>
      <c r="H537">
        <v>1</v>
      </c>
      <c r="K537">
        <v>2</v>
      </c>
      <c r="L537">
        <v>1</v>
      </c>
      <c r="M537">
        <v>509909.90990990901</v>
      </c>
      <c r="N537">
        <v>909009.00900900899</v>
      </c>
      <c r="O537">
        <v>2799189.1891891891</v>
      </c>
      <c r="P537">
        <v>2945162.1621621619</v>
      </c>
      <c r="Q537">
        <v>605405.40540540603</v>
      </c>
      <c r="R537">
        <v>563963.96396396402</v>
      </c>
      <c r="S537">
        <v>436</v>
      </c>
      <c r="T537">
        <v>345</v>
      </c>
    </row>
    <row r="538" spans="1:20" x14ac:dyDescent="0.35">
      <c r="A538" s="7" t="s">
        <v>630</v>
      </c>
      <c r="B538" s="12" t="s">
        <v>241</v>
      </c>
      <c r="C538">
        <v>63811047.239699908</v>
      </c>
      <c r="D538">
        <v>58195972.794167116</v>
      </c>
      <c r="E538">
        <v>58738.738738738997</v>
      </c>
      <c r="F538">
        <v>146621.62162162401</v>
      </c>
      <c r="G538">
        <v>29</v>
      </c>
      <c r="H538">
        <v>18</v>
      </c>
      <c r="K538">
        <v>35</v>
      </c>
      <c r="L538">
        <v>25</v>
      </c>
      <c r="M538">
        <v>8998468.4684684686</v>
      </c>
      <c r="N538">
        <v>3805225.2252252232</v>
      </c>
      <c r="O538">
        <v>14964369.369369371</v>
      </c>
      <c r="P538">
        <v>12739414.414414411</v>
      </c>
      <c r="Q538">
        <v>9973333.3333333321</v>
      </c>
      <c r="R538">
        <v>3797567.5675675632</v>
      </c>
      <c r="S538">
        <v>2632</v>
      </c>
      <c r="T538">
        <v>2570</v>
      </c>
    </row>
    <row r="539" spans="1:20" x14ac:dyDescent="0.35">
      <c r="A539" s="7" t="s">
        <v>631</v>
      </c>
      <c r="B539" s="12" t="s">
        <v>68</v>
      </c>
      <c r="C539">
        <v>280974309.5337649</v>
      </c>
      <c r="D539">
        <v>267813439.35097939</v>
      </c>
      <c r="E539">
        <v>1283783.783783786</v>
      </c>
      <c r="F539">
        <v>2409234.2342342348</v>
      </c>
      <c r="G539">
        <v>130</v>
      </c>
      <c r="H539">
        <v>63</v>
      </c>
      <c r="K539">
        <v>143</v>
      </c>
      <c r="L539">
        <v>106</v>
      </c>
      <c r="M539">
        <v>31152072.072072066</v>
      </c>
      <c r="N539">
        <v>27012162.162162159</v>
      </c>
      <c r="O539">
        <v>46743243.24324324</v>
      </c>
      <c r="P539">
        <v>47010912.612612613</v>
      </c>
      <c r="Q539">
        <v>22268918.918918919</v>
      </c>
      <c r="R539">
        <v>22679639.639639638</v>
      </c>
      <c r="S539">
        <v>8699</v>
      </c>
      <c r="T539">
        <v>8900</v>
      </c>
    </row>
    <row r="540" spans="1:20" x14ac:dyDescent="0.35">
      <c r="A540" s="7" t="s">
        <v>632</v>
      </c>
      <c r="B540" s="12" t="s">
        <v>70</v>
      </c>
      <c r="C540">
        <v>2195506.6348838611</v>
      </c>
      <c r="D540">
        <v>1967241.7892973099</v>
      </c>
      <c r="E540">
        <v>18018.018018018</v>
      </c>
      <c r="F540">
        <v>40540.540540540998</v>
      </c>
      <c r="G540">
        <v>2</v>
      </c>
      <c r="K540">
        <v>2</v>
      </c>
      <c r="L540">
        <v>1</v>
      </c>
      <c r="M540">
        <v>18018.018018018</v>
      </c>
      <c r="N540">
        <v>40540.540540540998</v>
      </c>
      <c r="O540">
        <v>1231666.666666667</v>
      </c>
      <c r="P540">
        <v>1146621.621621622</v>
      </c>
      <c r="Q540">
        <v>41261.261261261003</v>
      </c>
      <c r="R540">
        <v>164864.864864865</v>
      </c>
      <c r="S540">
        <v>202</v>
      </c>
      <c r="T540">
        <v>185</v>
      </c>
    </row>
    <row r="541" spans="1:20" x14ac:dyDescent="0.35">
      <c r="A541" s="7" t="s">
        <v>633</v>
      </c>
      <c r="B541" s="12" t="s">
        <v>60</v>
      </c>
      <c r="C541">
        <v>20448015.140753727</v>
      </c>
      <c r="D541">
        <v>20719175.416012459</v>
      </c>
      <c r="E541">
        <v>136936.93693693701</v>
      </c>
      <c r="F541">
        <v>2702.7027027029999</v>
      </c>
      <c r="G541">
        <v>4</v>
      </c>
      <c r="H541">
        <v>5</v>
      </c>
      <c r="K541">
        <v>4</v>
      </c>
      <c r="L541">
        <v>6</v>
      </c>
      <c r="M541">
        <v>506306.30630630598</v>
      </c>
      <c r="N541">
        <v>1002702.702702702</v>
      </c>
      <c r="O541">
        <v>7676081.0810810812</v>
      </c>
      <c r="P541">
        <v>8862234.2342342343</v>
      </c>
      <c r="Q541">
        <v>518918.91891891899</v>
      </c>
      <c r="R541">
        <v>140990.99099099101</v>
      </c>
      <c r="S541">
        <v>1007</v>
      </c>
      <c r="T541">
        <v>1041</v>
      </c>
    </row>
    <row r="542" spans="1:20" x14ac:dyDescent="0.35">
      <c r="A542" s="7" t="s">
        <v>634</v>
      </c>
      <c r="B542" s="12" t="s">
        <v>80</v>
      </c>
      <c r="C542">
        <v>219111609.0620482</v>
      </c>
      <c r="D542">
        <v>209894747.71554908</v>
      </c>
      <c r="E542">
        <v>55970270.270270273</v>
      </c>
      <c r="F542">
        <v>19138738.738738742</v>
      </c>
      <c r="G542">
        <v>62</v>
      </c>
      <c r="H542">
        <v>27</v>
      </c>
      <c r="K542">
        <v>76</v>
      </c>
      <c r="L542">
        <v>28</v>
      </c>
      <c r="M542">
        <v>27208918.918918919</v>
      </c>
      <c r="N542">
        <v>25133333.333333332</v>
      </c>
      <c r="O542">
        <v>39195081.081081077</v>
      </c>
      <c r="P542">
        <v>42495391.891891889</v>
      </c>
      <c r="Q542">
        <v>26702702.702702705</v>
      </c>
      <c r="R542">
        <v>20451351.351351351</v>
      </c>
      <c r="S542">
        <v>6303</v>
      </c>
      <c r="T542">
        <v>7460</v>
      </c>
    </row>
    <row r="543" spans="1:20" x14ac:dyDescent="0.35">
      <c r="A543" s="7" t="s">
        <v>635</v>
      </c>
      <c r="B543" s="12" t="s">
        <v>134</v>
      </c>
      <c r="C543">
        <v>36255627.913827166</v>
      </c>
      <c r="D543">
        <v>37555294.23263032</v>
      </c>
      <c r="G543">
        <v>4</v>
      </c>
      <c r="H543">
        <v>7</v>
      </c>
      <c r="K543">
        <v>4</v>
      </c>
      <c r="L543">
        <v>7</v>
      </c>
      <c r="N543">
        <v>630630.630630631</v>
      </c>
      <c r="O543">
        <v>2176576.576576577</v>
      </c>
      <c r="P543">
        <v>2412297.297297297</v>
      </c>
      <c r="Q543">
        <v>747297.29729729705</v>
      </c>
      <c r="R543">
        <v>508738.73873873899</v>
      </c>
      <c r="S543">
        <v>1425</v>
      </c>
      <c r="T543">
        <v>1757</v>
      </c>
    </row>
    <row r="544" spans="1:20" x14ac:dyDescent="0.35">
      <c r="A544" s="7" t="s">
        <v>636</v>
      </c>
      <c r="B544" s="12" t="s">
        <v>479</v>
      </c>
      <c r="C544">
        <v>124411839.6905728</v>
      </c>
      <c r="D544">
        <v>110236494.70129488</v>
      </c>
      <c r="E544">
        <v>261711.71171171201</v>
      </c>
      <c r="F544">
        <v>619819.81981982104</v>
      </c>
      <c r="G544">
        <v>24</v>
      </c>
      <c r="H544">
        <v>9</v>
      </c>
      <c r="K544">
        <v>25</v>
      </c>
      <c r="L544">
        <v>13</v>
      </c>
      <c r="M544">
        <v>17820270.270270269</v>
      </c>
      <c r="N544">
        <v>23597297.297297295</v>
      </c>
      <c r="O544">
        <v>40133238.738738738</v>
      </c>
      <c r="P544">
        <v>37888666.666666664</v>
      </c>
      <c r="Q544">
        <v>20938558.558558561</v>
      </c>
      <c r="R544">
        <v>24370540.540540535</v>
      </c>
      <c r="S544">
        <v>5800</v>
      </c>
      <c r="T544">
        <v>5755</v>
      </c>
    </row>
    <row r="545" spans="1:20" x14ac:dyDescent="0.35">
      <c r="A545" s="7" t="s">
        <v>637</v>
      </c>
      <c r="B545" s="12" t="s">
        <v>143</v>
      </c>
      <c r="C545">
        <v>203200833.6345624</v>
      </c>
      <c r="D545">
        <v>197326286.9274368</v>
      </c>
      <c r="E545">
        <v>890990.99099099101</v>
      </c>
      <c r="F545">
        <v>2545495.4954954991</v>
      </c>
      <c r="G545">
        <v>32</v>
      </c>
      <c r="H545">
        <v>36</v>
      </c>
      <c r="K545">
        <v>43</v>
      </c>
      <c r="L545">
        <v>59</v>
      </c>
      <c r="M545">
        <v>16257477.477477476</v>
      </c>
      <c r="N545">
        <v>10720720.720720723</v>
      </c>
      <c r="O545">
        <v>19493801.801801801</v>
      </c>
      <c r="P545">
        <v>24259081.081081081</v>
      </c>
      <c r="Q545">
        <v>11088828.828828828</v>
      </c>
      <c r="R545">
        <v>8294774.7747747721</v>
      </c>
      <c r="S545">
        <v>9518</v>
      </c>
      <c r="T545">
        <v>9480</v>
      </c>
    </row>
    <row r="546" spans="1:20" x14ac:dyDescent="0.35">
      <c r="A546" s="7" t="s">
        <v>638</v>
      </c>
      <c r="B546" s="12" t="s">
        <v>241</v>
      </c>
      <c r="C546">
        <v>219863093.90206861</v>
      </c>
      <c r="D546">
        <v>204364719.38361457</v>
      </c>
      <c r="E546">
        <v>533333.33333333395</v>
      </c>
      <c r="F546">
        <v>1290090.090090093</v>
      </c>
      <c r="G546">
        <v>106</v>
      </c>
      <c r="H546">
        <v>109</v>
      </c>
      <c r="K546">
        <v>119</v>
      </c>
      <c r="L546">
        <v>127</v>
      </c>
      <c r="M546">
        <v>8711441.441441441</v>
      </c>
      <c r="N546">
        <v>9785585.5855855811</v>
      </c>
      <c r="O546">
        <v>71492504.504504502</v>
      </c>
      <c r="P546">
        <v>66525953.153153151</v>
      </c>
      <c r="Q546">
        <v>10238018.018018017</v>
      </c>
      <c r="R546">
        <v>7850630.6306306301</v>
      </c>
      <c r="S546">
        <v>12790</v>
      </c>
      <c r="T546">
        <v>14125</v>
      </c>
    </row>
    <row r="547" spans="1:20" x14ac:dyDescent="0.35">
      <c r="A547" s="7" t="s">
        <v>639</v>
      </c>
      <c r="B547" s="12" t="s">
        <v>132</v>
      </c>
      <c r="C547">
        <v>90949494.580475926</v>
      </c>
      <c r="D547">
        <v>76701366.888932064</v>
      </c>
      <c r="E547">
        <v>3603.603603604</v>
      </c>
      <c r="F547">
        <v>27027.027027027001</v>
      </c>
      <c r="G547">
        <v>37</v>
      </c>
      <c r="H547">
        <v>25</v>
      </c>
      <c r="K547">
        <v>46</v>
      </c>
      <c r="L547">
        <v>39</v>
      </c>
      <c r="M547">
        <v>3877477.4774774769</v>
      </c>
      <c r="N547">
        <v>3034234.2342342339</v>
      </c>
      <c r="O547">
        <v>32541909.909909911</v>
      </c>
      <c r="P547">
        <v>27622540.540540539</v>
      </c>
      <c r="Q547">
        <v>4176126.1261261259</v>
      </c>
      <c r="R547">
        <v>1869909.9099099101</v>
      </c>
      <c r="S547">
        <v>5565</v>
      </c>
      <c r="T547">
        <v>4915</v>
      </c>
    </row>
    <row r="548" spans="1:20" x14ac:dyDescent="0.35">
      <c r="A548" s="7" t="s">
        <v>640</v>
      </c>
      <c r="B548" s="12" t="s">
        <v>134</v>
      </c>
      <c r="C548">
        <v>256405335.88098401</v>
      </c>
      <c r="D548">
        <v>246860795.07858339</v>
      </c>
      <c r="E548">
        <v>434234.23423423502</v>
      </c>
      <c r="F548">
        <v>451351.35135135299</v>
      </c>
      <c r="G548">
        <v>46</v>
      </c>
      <c r="H548">
        <v>31</v>
      </c>
      <c r="K548">
        <v>48</v>
      </c>
      <c r="L548">
        <v>36</v>
      </c>
      <c r="M548">
        <v>17731531.531531531</v>
      </c>
      <c r="N548">
        <v>17666846.846846845</v>
      </c>
      <c r="O548">
        <v>28652948.648648649</v>
      </c>
      <c r="P548">
        <v>31412290.990990993</v>
      </c>
      <c r="Q548">
        <v>14600540.540540541</v>
      </c>
      <c r="R548">
        <v>14791845.045045044</v>
      </c>
      <c r="S548">
        <v>7533</v>
      </c>
      <c r="T548">
        <v>7422</v>
      </c>
    </row>
    <row r="549" spans="1:20" x14ac:dyDescent="0.35">
      <c r="A549" s="7" t="s">
        <v>641</v>
      </c>
      <c r="B549" s="12" t="s">
        <v>80</v>
      </c>
      <c r="C549">
        <v>131008623.39860573</v>
      </c>
      <c r="D549">
        <v>131179964.97169633</v>
      </c>
      <c r="E549">
        <v>1801.801801802</v>
      </c>
      <c r="F549">
        <v>399099.09909909999</v>
      </c>
      <c r="G549">
        <v>21</v>
      </c>
      <c r="H549">
        <v>25</v>
      </c>
      <c r="I549">
        <v>1</v>
      </c>
      <c r="K549">
        <v>23</v>
      </c>
      <c r="L549">
        <v>28</v>
      </c>
      <c r="M549">
        <v>16760360.36036036</v>
      </c>
      <c r="N549">
        <v>9700900.9009009022</v>
      </c>
      <c r="O549">
        <v>43915106.306306303</v>
      </c>
      <c r="P549">
        <v>45694400.900900893</v>
      </c>
      <c r="Q549">
        <v>12350180.180180181</v>
      </c>
      <c r="R549">
        <v>10675495.495495496</v>
      </c>
      <c r="S549">
        <v>4952</v>
      </c>
      <c r="T549">
        <v>4902</v>
      </c>
    </row>
    <row r="550" spans="1:20" x14ac:dyDescent="0.35">
      <c r="A550" s="7" t="s">
        <v>642</v>
      </c>
      <c r="B550" s="12" t="s">
        <v>169</v>
      </c>
      <c r="C550">
        <v>237860483.488399</v>
      </c>
      <c r="D550">
        <v>207757471.2490662</v>
      </c>
      <c r="E550">
        <v>1022072.072072072</v>
      </c>
      <c r="F550">
        <v>721621.62162162201</v>
      </c>
      <c r="G550">
        <v>27</v>
      </c>
      <c r="H550">
        <v>24</v>
      </c>
      <c r="I550">
        <v>1</v>
      </c>
      <c r="K550">
        <v>29</v>
      </c>
      <c r="L550">
        <v>35</v>
      </c>
      <c r="M550">
        <v>17643693.693693694</v>
      </c>
      <c r="N550">
        <v>13874774.774774777</v>
      </c>
      <c r="O550">
        <v>77480990.990990996</v>
      </c>
      <c r="P550">
        <v>74796513.51351352</v>
      </c>
      <c r="Q550">
        <v>16084774.774774777</v>
      </c>
      <c r="R550">
        <v>15806036.036036037</v>
      </c>
      <c r="S550">
        <v>9274</v>
      </c>
      <c r="T550">
        <v>8761</v>
      </c>
    </row>
    <row r="551" spans="1:20" x14ac:dyDescent="0.35">
      <c r="A551" s="7" t="s">
        <v>643</v>
      </c>
      <c r="B551" s="12" t="s">
        <v>58</v>
      </c>
      <c r="C551">
        <v>380575340.98966926</v>
      </c>
      <c r="D551">
        <v>363120521.93323135</v>
      </c>
      <c r="E551">
        <v>1431081.0810810809</v>
      </c>
      <c r="F551">
        <v>3039639.6396396388</v>
      </c>
      <c r="G551">
        <v>86</v>
      </c>
      <c r="H551">
        <v>77</v>
      </c>
      <c r="K551">
        <v>105</v>
      </c>
      <c r="L551">
        <v>94</v>
      </c>
      <c r="M551">
        <v>31793693.693693694</v>
      </c>
      <c r="N551">
        <v>23826576.576576576</v>
      </c>
      <c r="O551">
        <v>72998412.612612605</v>
      </c>
      <c r="P551">
        <v>76193806.306306303</v>
      </c>
      <c r="Q551">
        <v>28591891.891891897</v>
      </c>
      <c r="R551">
        <v>24830540.540540542</v>
      </c>
      <c r="S551">
        <v>17469</v>
      </c>
      <c r="T551">
        <v>18208</v>
      </c>
    </row>
    <row r="552" spans="1:20" x14ac:dyDescent="0.35">
      <c r="A552" s="7" t="s">
        <v>644</v>
      </c>
      <c r="B552" s="12" t="s">
        <v>58</v>
      </c>
      <c r="C552">
        <v>475447667.87828958</v>
      </c>
      <c r="D552">
        <v>466426619.34467554</v>
      </c>
      <c r="E552">
        <v>205735690.990991</v>
      </c>
      <c r="F552">
        <v>19607657.657657661</v>
      </c>
      <c r="G552">
        <v>118</v>
      </c>
      <c r="H552">
        <v>114</v>
      </c>
      <c r="K552">
        <v>147</v>
      </c>
      <c r="L552">
        <v>152</v>
      </c>
      <c r="M552">
        <v>75615315.315315306</v>
      </c>
      <c r="N552">
        <v>75465765.765765756</v>
      </c>
      <c r="O552">
        <v>124473367.56756757</v>
      </c>
      <c r="P552">
        <v>132465081.08108109</v>
      </c>
      <c r="Q552">
        <v>59354774.774774775</v>
      </c>
      <c r="R552">
        <v>66112252.252252251</v>
      </c>
      <c r="S552">
        <v>22064</v>
      </c>
      <c r="T552">
        <v>21737</v>
      </c>
    </row>
    <row r="553" spans="1:20" x14ac:dyDescent="0.35">
      <c r="A553" s="7" t="s">
        <v>645</v>
      </c>
      <c r="B553" s="12" t="s">
        <v>307</v>
      </c>
      <c r="C553">
        <v>148492663.50781828</v>
      </c>
      <c r="D553">
        <v>149192841.45375651</v>
      </c>
      <c r="E553">
        <v>1018918.9189189191</v>
      </c>
      <c r="F553">
        <v>987387.38738738699</v>
      </c>
      <c r="G553">
        <v>17</v>
      </c>
      <c r="H553">
        <v>11</v>
      </c>
      <c r="K553">
        <v>19</v>
      </c>
      <c r="L553">
        <v>15</v>
      </c>
      <c r="M553">
        <v>3881621.6216216208</v>
      </c>
      <c r="N553">
        <v>3139639.6396396388</v>
      </c>
      <c r="O553">
        <v>23868783.783783782</v>
      </c>
      <c r="P553">
        <v>25043689.189189192</v>
      </c>
      <c r="Q553">
        <v>3803423.423423422</v>
      </c>
      <c r="R553">
        <v>2475945.9459459451</v>
      </c>
      <c r="S553">
        <v>5225</v>
      </c>
      <c r="T553">
        <v>5044</v>
      </c>
    </row>
    <row r="554" spans="1:20" x14ac:dyDescent="0.35">
      <c r="A554" s="7" t="s">
        <v>13</v>
      </c>
      <c r="B554" s="12" t="s">
        <v>158</v>
      </c>
      <c r="C554">
        <v>177406340.99793226</v>
      </c>
      <c r="D554">
        <v>166446190.48822337</v>
      </c>
      <c r="E554">
        <v>529279.27927928197</v>
      </c>
      <c r="F554">
        <v>970270.27027027204</v>
      </c>
      <c r="G554">
        <v>26</v>
      </c>
      <c r="H554">
        <v>14</v>
      </c>
      <c r="I554">
        <v>1</v>
      </c>
      <c r="K554">
        <v>246</v>
      </c>
      <c r="L554">
        <v>99</v>
      </c>
      <c r="M554">
        <v>27749009.009009011</v>
      </c>
      <c r="N554">
        <v>41250900.900900893</v>
      </c>
      <c r="O554">
        <v>102257572.07207206</v>
      </c>
      <c r="P554">
        <v>94542387.387387395</v>
      </c>
      <c r="Q554">
        <v>30479189.189189188</v>
      </c>
      <c r="R554">
        <v>40399459.459459454</v>
      </c>
      <c r="S554">
        <v>7264</v>
      </c>
      <c r="T554">
        <v>7095</v>
      </c>
    </row>
    <row r="555" spans="1:20" x14ac:dyDescent="0.35">
      <c r="A555" s="7" t="s">
        <v>646</v>
      </c>
      <c r="B555" s="12" t="s">
        <v>121</v>
      </c>
      <c r="C555">
        <v>116570109.25414428</v>
      </c>
      <c r="D555">
        <v>122551070.27774759</v>
      </c>
      <c r="E555">
        <v>900.900900901</v>
      </c>
      <c r="F555">
        <v>81981.981981981997</v>
      </c>
      <c r="G555">
        <v>27</v>
      </c>
      <c r="H555">
        <v>25</v>
      </c>
      <c r="K555">
        <v>31</v>
      </c>
      <c r="L555">
        <v>25</v>
      </c>
      <c r="M555">
        <v>181081.08108108101</v>
      </c>
      <c r="N555">
        <v>265765.76576576597</v>
      </c>
      <c r="O555">
        <v>9891423.4234234244</v>
      </c>
      <c r="P555">
        <v>9871038.2882882878</v>
      </c>
      <c r="Q555">
        <v>176126.12612612601</v>
      </c>
      <c r="R555">
        <v>483513.51351351402</v>
      </c>
      <c r="S555">
        <v>3022</v>
      </c>
      <c r="T555">
        <v>3313</v>
      </c>
    </row>
    <row r="556" spans="1:20" x14ac:dyDescent="0.35">
      <c r="A556" s="7" t="s">
        <v>647</v>
      </c>
      <c r="B556" s="12" t="s">
        <v>315</v>
      </c>
      <c r="C556">
        <v>45555861.187843964</v>
      </c>
      <c r="D556">
        <v>39304073.11053133</v>
      </c>
      <c r="E556">
        <v>461261.26126126101</v>
      </c>
      <c r="F556">
        <v>301801.80180180201</v>
      </c>
      <c r="G556">
        <v>14</v>
      </c>
      <c r="H556">
        <v>8</v>
      </c>
      <c r="K556">
        <v>15</v>
      </c>
      <c r="L556">
        <v>10</v>
      </c>
      <c r="M556">
        <v>4026576.576576577</v>
      </c>
      <c r="N556">
        <v>7582882.8828828819</v>
      </c>
      <c r="O556">
        <v>10353761.26126126</v>
      </c>
      <c r="P556">
        <v>9648756.7567567565</v>
      </c>
      <c r="Q556">
        <v>4077567.5675675669</v>
      </c>
      <c r="R556">
        <v>5681981.9819819834</v>
      </c>
      <c r="S556">
        <v>1342</v>
      </c>
      <c r="T556">
        <v>1226</v>
      </c>
    </row>
    <row r="557" spans="1:20" x14ac:dyDescent="0.35">
      <c r="A557" s="7" t="s">
        <v>648</v>
      </c>
      <c r="B557" s="12" t="s">
        <v>260</v>
      </c>
      <c r="C557">
        <v>111663311.92431037</v>
      </c>
      <c r="D557">
        <v>108214713.83226793</v>
      </c>
      <c r="E557">
        <v>148918.918918918</v>
      </c>
      <c r="F557">
        <v>546171.17117117206</v>
      </c>
      <c r="G557">
        <v>27</v>
      </c>
      <c r="H557">
        <v>24</v>
      </c>
      <c r="K557">
        <v>33</v>
      </c>
      <c r="L557">
        <v>28</v>
      </c>
      <c r="M557">
        <v>20536306.306306303</v>
      </c>
      <c r="N557">
        <v>18176576.576576576</v>
      </c>
      <c r="O557">
        <v>34635630.630630635</v>
      </c>
      <c r="P557">
        <v>34834315.315315314</v>
      </c>
      <c r="Q557">
        <v>21090990.990990993</v>
      </c>
      <c r="R557">
        <v>18467297.297297295</v>
      </c>
      <c r="S557">
        <v>4392</v>
      </c>
      <c r="T557">
        <v>4189</v>
      </c>
    </row>
    <row r="558" spans="1:20" x14ac:dyDescent="0.35">
      <c r="A558" s="7" t="s">
        <v>649</v>
      </c>
      <c r="B558" s="12" t="s">
        <v>224</v>
      </c>
      <c r="C558">
        <v>117499728.54814529</v>
      </c>
      <c r="D558">
        <v>101251096.41547112</v>
      </c>
      <c r="E558">
        <v>64414.414414414998</v>
      </c>
      <c r="F558">
        <v>512387.38738738903</v>
      </c>
      <c r="G558">
        <v>20</v>
      </c>
      <c r="H558">
        <v>24</v>
      </c>
      <c r="K558">
        <v>23</v>
      </c>
      <c r="L558">
        <v>31</v>
      </c>
      <c r="M558">
        <v>7199009.0090090111</v>
      </c>
      <c r="N558">
        <v>7383423.4234234216</v>
      </c>
      <c r="O558">
        <v>23590720.72072072</v>
      </c>
      <c r="P558">
        <v>24144099.099099096</v>
      </c>
      <c r="Q558">
        <v>6743063.0630630618</v>
      </c>
      <c r="R558">
        <v>8359459.4594594575</v>
      </c>
      <c r="S558">
        <v>5606</v>
      </c>
      <c r="T558">
        <v>5504</v>
      </c>
    </row>
    <row r="559" spans="1:20" x14ac:dyDescent="0.35">
      <c r="A559" s="7" t="s">
        <v>650</v>
      </c>
      <c r="B559" s="12" t="s">
        <v>224</v>
      </c>
      <c r="C559">
        <v>94360614.403332263</v>
      </c>
      <c r="D559">
        <v>82194025.294374749</v>
      </c>
      <c r="E559">
        <v>26126.126126126001</v>
      </c>
      <c r="F559">
        <v>27027.027027028002</v>
      </c>
      <c r="G559">
        <v>12</v>
      </c>
      <c r="H559">
        <v>15</v>
      </c>
      <c r="K559">
        <v>13</v>
      </c>
      <c r="L559">
        <v>17</v>
      </c>
      <c r="M559">
        <v>4627927.9279279271</v>
      </c>
      <c r="N559">
        <v>837837.83783783799</v>
      </c>
      <c r="O559">
        <v>11688783.783783784</v>
      </c>
      <c r="P559">
        <v>12927648.648648648</v>
      </c>
      <c r="Q559">
        <v>3138918.9189189211</v>
      </c>
      <c r="R559">
        <v>1880900.9009009011</v>
      </c>
      <c r="S559">
        <v>3176</v>
      </c>
      <c r="T559">
        <v>3107</v>
      </c>
    </row>
    <row r="560" spans="1:20" x14ac:dyDescent="0.35">
      <c r="A560" s="7" t="s">
        <v>651</v>
      </c>
      <c r="B560" s="12" t="s">
        <v>224</v>
      </c>
      <c r="C560">
        <v>362419134.42148709</v>
      </c>
      <c r="D560">
        <v>312977183.87653434</v>
      </c>
      <c r="E560">
        <v>96036873.873873875</v>
      </c>
      <c r="F560">
        <v>68869627.927927941</v>
      </c>
      <c r="G560">
        <v>92</v>
      </c>
      <c r="H560">
        <v>88</v>
      </c>
      <c r="I560">
        <v>2</v>
      </c>
      <c r="K560">
        <v>127</v>
      </c>
      <c r="L560">
        <v>127</v>
      </c>
      <c r="M560">
        <v>49216846.846846841</v>
      </c>
      <c r="N560">
        <v>56537477.477477483</v>
      </c>
      <c r="O560">
        <v>79024882.882882878</v>
      </c>
      <c r="P560">
        <v>80187819.819819823</v>
      </c>
      <c r="Q560">
        <v>42207477.477477483</v>
      </c>
      <c r="R560">
        <v>41295495.495495498</v>
      </c>
      <c r="S560">
        <v>18156</v>
      </c>
      <c r="T560">
        <v>18263</v>
      </c>
    </row>
    <row r="561" spans="1:20" x14ac:dyDescent="0.35">
      <c r="A561" s="7" t="s">
        <v>652</v>
      </c>
      <c r="B561" s="12" t="s">
        <v>224</v>
      </c>
      <c r="C561">
        <v>41022834.357751369</v>
      </c>
      <c r="D561">
        <v>39586821.852848545</v>
      </c>
      <c r="F561">
        <v>207207.207207208</v>
      </c>
      <c r="G561">
        <v>12</v>
      </c>
      <c r="H561">
        <v>10</v>
      </c>
      <c r="K561">
        <v>14</v>
      </c>
      <c r="L561">
        <v>11</v>
      </c>
      <c r="M561">
        <v>1561081.0810810821</v>
      </c>
      <c r="N561">
        <v>657657.65765765798</v>
      </c>
      <c r="O561">
        <v>6425090.0900900904</v>
      </c>
      <c r="P561">
        <v>6358423.4234234234</v>
      </c>
      <c r="Q561">
        <v>788288.28828828898</v>
      </c>
      <c r="R561">
        <v>543513.51351351303</v>
      </c>
      <c r="S561">
        <v>1793</v>
      </c>
      <c r="T561">
        <v>1737</v>
      </c>
    </row>
    <row r="562" spans="1:20" x14ac:dyDescent="0.35">
      <c r="A562" s="7" t="s">
        <v>653</v>
      </c>
      <c r="B562" s="12" t="s">
        <v>96</v>
      </c>
      <c r="C562">
        <v>219118637.93710226</v>
      </c>
      <c r="D562">
        <v>203758118.58918551</v>
      </c>
      <c r="E562">
        <v>154954.95495495599</v>
      </c>
      <c r="F562">
        <v>175675.67567567801</v>
      </c>
      <c r="G562">
        <v>45</v>
      </c>
      <c r="H562">
        <v>91</v>
      </c>
      <c r="K562">
        <v>57</v>
      </c>
      <c r="L562">
        <v>122</v>
      </c>
      <c r="M562">
        <v>6571171.1711711716</v>
      </c>
      <c r="N562">
        <v>4524324.3243243238</v>
      </c>
      <c r="O562">
        <v>26533549.54954955</v>
      </c>
      <c r="P562">
        <v>27949360.360360362</v>
      </c>
      <c r="Q562">
        <v>7069189.18918919</v>
      </c>
      <c r="R562">
        <v>3016396.396396399</v>
      </c>
      <c r="S562">
        <v>8907</v>
      </c>
      <c r="T562">
        <v>9240</v>
      </c>
    </row>
    <row r="563" spans="1:20" x14ac:dyDescent="0.35">
      <c r="A563" s="7" t="s">
        <v>654</v>
      </c>
      <c r="B563" s="12" t="s">
        <v>66</v>
      </c>
      <c r="C563">
        <v>125138221.89951573</v>
      </c>
      <c r="D563">
        <v>128388170.89787138</v>
      </c>
      <c r="E563">
        <v>1689189.18918919</v>
      </c>
      <c r="F563">
        <v>1849549.5495495489</v>
      </c>
      <c r="G563">
        <v>35</v>
      </c>
      <c r="H563">
        <v>50</v>
      </c>
      <c r="K563">
        <v>39</v>
      </c>
      <c r="L563">
        <v>77</v>
      </c>
      <c r="M563">
        <v>15574504.504504507</v>
      </c>
      <c r="N563">
        <v>20450450.45045045</v>
      </c>
      <c r="O563">
        <v>78646171.171171173</v>
      </c>
      <c r="P563">
        <v>82176261.261261269</v>
      </c>
      <c r="Q563">
        <v>13772612.612612616</v>
      </c>
      <c r="R563">
        <v>22931801.801801804</v>
      </c>
      <c r="S563">
        <v>5496</v>
      </c>
      <c r="T563">
        <v>5312</v>
      </c>
    </row>
    <row r="564" spans="1:20" x14ac:dyDescent="0.35">
      <c r="A564" s="7" t="s">
        <v>655</v>
      </c>
      <c r="B564" s="12" t="s">
        <v>68</v>
      </c>
      <c r="C564">
        <v>221153367.22864568</v>
      </c>
      <c r="D564">
        <v>193568683.74645421</v>
      </c>
      <c r="E564">
        <v>391711.71171171201</v>
      </c>
      <c r="F564">
        <v>609009.00900901004</v>
      </c>
      <c r="G564">
        <v>57</v>
      </c>
      <c r="H564">
        <v>34</v>
      </c>
      <c r="I564">
        <v>4</v>
      </c>
      <c r="K564">
        <v>63</v>
      </c>
      <c r="L564">
        <v>38</v>
      </c>
      <c r="M564">
        <v>12306306.306306306</v>
      </c>
      <c r="N564">
        <v>8785585.5855855867</v>
      </c>
      <c r="O564">
        <v>29104563.063063063</v>
      </c>
      <c r="P564">
        <v>27543288.288288288</v>
      </c>
      <c r="Q564">
        <v>10411711.711711712</v>
      </c>
      <c r="R564">
        <v>7767387.3873873884</v>
      </c>
      <c r="S564">
        <v>7234</v>
      </c>
      <c r="T564">
        <v>7072</v>
      </c>
    </row>
    <row r="565" spans="1:20" x14ac:dyDescent="0.35">
      <c r="A565" s="7" t="s">
        <v>14</v>
      </c>
      <c r="B565" s="12" t="s">
        <v>158</v>
      </c>
      <c r="C565">
        <v>94857956.564103648</v>
      </c>
      <c r="D565">
        <v>86487994.224916518</v>
      </c>
      <c r="E565">
        <v>80180.180180184005</v>
      </c>
      <c r="F565">
        <v>669369.36936937098</v>
      </c>
      <c r="G565">
        <v>9</v>
      </c>
      <c r="H565">
        <v>11</v>
      </c>
      <c r="K565">
        <v>9</v>
      </c>
      <c r="L565">
        <v>15</v>
      </c>
      <c r="M565">
        <v>9575495.4954954963</v>
      </c>
      <c r="N565">
        <v>25846846.846846849</v>
      </c>
      <c r="O565">
        <v>30825486.486486487</v>
      </c>
      <c r="P565">
        <v>29626063.063063063</v>
      </c>
      <c r="Q565">
        <v>9223963.9639639612</v>
      </c>
      <c r="R565">
        <v>28104504.504504506</v>
      </c>
      <c r="S565">
        <v>4104</v>
      </c>
      <c r="T565">
        <v>4080</v>
      </c>
    </row>
    <row r="566" spans="1:20" x14ac:dyDescent="0.35">
      <c r="A566" s="7" t="s">
        <v>656</v>
      </c>
      <c r="B566" s="12" t="s">
        <v>304</v>
      </c>
      <c r="C566">
        <v>79966860.372188091</v>
      </c>
      <c r="D566">
        <v>97093461.264110371</v>
      </c>
      <c r="E566">
        <v>39639.639639640001</v>
      </c>
      <c r="F566">
        <v>500900.90090089903</v>
      </c>
      <c r="G566">
        <v>32</v>
      </c>
      <c r="H566">
        <v>16</v>
      </c>
      <c r="K566">
        <v>34</v>
      </c>
      <c r="L566">
        <v>18</v>
      </c>
      <c r="M566">
        <v>16976576.576576576</v>
      </c>
      <c r="N566">
        <v>14310810.81081081</v>
      </c>
      <c r="O566">
        <v>25558189.189189188</v>
      </c>
      <c r="P566">
        <v>23861743.243243244</v>
      </c>
      <c r="Q566">
        <v>15533873.873873876</v>
      </c>
      <c r="R566">
        <v>13144414.414414413</v>
      </c>
      <c r="S566">
        <v>3225</v>
      </c>
      <c r="T566">
        <v>3068</v>
      </c>
    </row>
    <row r="567" spans="1:20" x14ac:dyDescent="0.35">
      <c r="A567" s="7" t="s">
        <v>657</v>
      </c>
      <c r="B567" s="12" t="s">
        <v>48</v>
      </c>
      <c r="C567">
        <v>134622144.95723051</v>
      </c>
      <c r="D567">
        <v>113793428.97162728</v>
      </c>
      <c r="E567">
        <v>481981.98198198201</v>
      </c>
      <c r="F567">
        <v>711711.711711713</v>
      </c>
      <c r="G567">
        <v>5</v>
      </c>
      <c r="H567">
        <v>13</v>
      </c>
      <c r="K567">
        <v>8</v>
      </c>
      <c r="L567">
        <v>27</v>
      </c>
      <c r="M567">
        <v>16776756.75675676</v>
      </c>
      <c r="N567">
        <v>26402342.342342339</v>
      </c>
      <c r="O567">
        <v>39503864.864864863</v>
      </c>
      <c r="P567">
        <v>33729531.531531535</v>
      </c>
      <c r="Q567">
        <v>15844234.234234236</v>
      </c>
      <c r="R567">
        <v>17627027.027027026</v>
      </c>
      <c r="S567">
        <v>3403</v>
      </c>
      <c r="T567">
        <v>3152</v>
      </c>
    </row>
    <row r="568" spans="1:20" x14ac:dyDescent="0.35">
      <c r="A568" s="7" t="s">
        <v>658</v>
      </c>
      <c r="B568" s="12" t="s">
        <v>54</v>
      </c>
      <c r="C568">
        <v>38176904.024870113</v>
      </c>
      <c r="D568">
        <v>38767161.450153328</v>
      </c>
      <c r="E568">
        <v>194594.59459459499</v>
      </c>
      <c r="F568">
        <v>92792.792792793</v>
      </c>
      <c r="G568">
        <v>5</v>
      </c>
      <c r="K568">
        <v>5</v>
      </c>
      <c r="M568">
        <v>5403603.6036036042</v>
      </c>
      <c r="N568">
        <v>2727927.927927928</v>
      </c>
      <c r="O568">
        <v>8550900.9009009004</v>
      </c>
      <c r="P568">
        <v>9273333.333333334</v>
      </c>
      <c r="Q568">
        <v>4129639.6396396402</v>
      </c>
      <c r="R568">
        <v>2890720.72072072</v>
      </c>
      <c r="S568">
        <v>1343</v>
      </c>
      <c r="T568">
        <v>1530</v>
      </c>
    </row>
    <row r="569" spans="1:20" x14ac:dyDescent="0.35">
      <c r="A569" s="7" t="s">
        <v>659</v>
      </c>
      <c r="B569" s="12" t="s">
        <v>50</v>
      </c>
      <c r="C569">
        <v>168109190.33600447</v>
      </c>
      <c r="D569">
        <v>170032271.8803114</v>
      </c>
      <c r="E569">
        <v>280810.81081081199</v>
      </c>
      <c r="F569">
        <v>543243.24324324494</v>
      </c>
      <c r="G569">
        <v>19</v>
      </c>
      <c r="H569">
        <v>30</v>
      </c>
      <c r="K569">
        <v>21</v>
      </c>
      <c r="L569">
        <v>35</v>
      </c>
      <c r="M569">
        <v>42626846.846846849</v>
      </c>
      <c r="N569">
        <v>43302702.702702701</v>
      </c>
      <c r="O569">
        <v>81794351.351351365</v>
      </c>
      <c r="P569">
        <v>81295000</v>
      </c>
      <c r="Q569">
        <v>38337747.747747749</v>
      </c>
      <c r="R569">
        <v>36266306.306306303</v>
      </c>
      <c r="S569">
        <v>6170</v>
      </c>
      <c r="T569">
        <v>5641</v>
      </c>
    </row>
    <row r="570" spans="1:20" x14ac:dyDescent="0.35">
      <c r="A570" s="7" t="s">
        <v>660</v>
      </c>
      <c r="B570" s="12" t="s">
        <v>83</v>
      </c>
      <c r="C570">
        <v>196671866.89634708</v>
      </c>
      <c r="D570">
        <v>207231996.00953579</v>
      </c>
      <c r="E570">
        <v>826216.21621621598</v>
      </c>
      <c r="F570">
        <v>1480180.1801801811</v>
      </c>
      <c r="G570">
        <v>51</v>
      </c>
      <c r="H570">
        <v>59</v>
      </c>
      <c r="I570">
        <v>2</v>
      </c>
      <c r="K570">
        <v>60</v>
      </c>
      <c r="L570">
        <v>71</v>
      </c>
      <c r="M570">
        <v>18435225.225225225</v>
      </c>
      <c r="N570">
        <v>40600900.900900893</v>
      </c>
      <c r="O570">
        <v>46605783.783783786</v>
      </c>
      <c r="P570">
        <v>54347684.684684686</v>
      </c>
      <c r="Q570">
        <v>16014954.954954952</v>
      </c>
      <c r="R570">
        <v>18595315.315315317</v>
      </c>
      <c r="S570">
        <v>8698</v>
      </c>
      <c r="T570">
        <v>8836</v>
      </c>
    </row>
    <row r="571" spans="1:20" x14ac:dyDescent="0.35">
      <c r="A571" s="14" t="s">
        <v>665</v>
      </c>
      <c r="B571" s="15"/>
      <c r="C571" s="16">
        <v>85257453595.846848</v>
      </c>
      <c r="D571" s="16">
        <v>83300947386.079926</v>
      </c>
      <c r="E571" s="16">
        <v>14432464327.027033</v>
      </c>
      <c r="F571" s="16">
        <v>16755259302.702713</v>
      </c>
      <c r="G571" s="16">
        <v>22838</v>
      </c>
      <c r="H571" s="16">
        <v>22779</v>
      </c>
      <c r="I571" s="16">
        <v>217</v>
      </c>
      <c r="J571" s="16"/>
      <c r="K571" s="16">
        <v>30703</v>
      </c>
      <c r="L571" s="16">
        <v>35249</v>
      </c>
      <c r="M571" s="16">
        <v>14089062573.87388</v>
      </c>
      <c r="N571" s="16">
        <v>14893310771.171181</v>
      </c>
      <c r="O571" s="16">
        <v>22339609207.207211</v>
      </c>
      <c r="P571" s="16">
        <v>24015815115.765778</v>
      </c>
      <c r="Q571" s="16">
        <v>11687824677.477467</v>
      </c>
      <c r="R571" s="16">
        <v>11473442257.65765</v>
      </c>
      <c r="S571" s="16">
        <v>3711130</v>
      </c>
      <c r="T571" s="16">
        <v>3711152</v>
      </c>
    </row>
    <row r="572" spans="1:20" x14ac:dyDescent="0.35">
      <c r="A572" s="14" t="s">
        <v>665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665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665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2026-09-13T13:57:29Z</dcterms:modified>
</cp:coreProperties>
</file>