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 activeTab="1"/>
  </bookViews>
  <sheets>
    <sheet name="Sheet1" sheetId="1" r:id="rId1"/>
    <sheet name="MASTER" sheetId="2" r:id="rId2"/>
  </sheets>
  <definedNames>
    <definedName name="_xlnm._FilterDatabase" localSheetId="0" hidden="1">Sheet1!$A$5:$T$22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7" i="1" l="1"/>
  <c r="S7" i="1"/>
  <c r="R8" i="1"/>
  <c r="S8" i="1"/>
  <c r="R9" i="1"/>
  <c r="S9" i="1"/>
  <c r="R10" i="1"/>
  <c r="S10" i="1"/>
  <c r="R11" i="1"/>
  <c r="S11" i="1"/>
  <c r="R12" i="1"/>
  <c r="S12" i="1"/>
  <c r="R13" i="1"/>
  <c r="S13" i="1"/>
  <c r="R14" i="1"/>
  <c r="S14" i="1"/>
  <c r="R15" i="1"/>
  <c r="S15" i="1"/>
  <c r="R16" i="1"/>
  <c r="S16" i="1"/>
  <c r="R17" i="1"/>
  <c r="S17" i="1"/>
  <c r="R18" i="1"/>
  <c r="S18" i="1"/>
  <c r="R19" i="1"/>
  <c r="S19" i="1"/>
  <c r="R20" i="1"/>
  <c r="S20" i="1"/>
  <c r="R21" i="1"/>
  <c r="S21" i="1"/>
  <c r="R22" i="1"/>
  <c r="S22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O16" i="1"/>
  <c r="P16" i="1"/>
  <c r="O17" i="1"/>
  <c r="P17" i="1"/>
  <c r="O18" i="1"/>
  <c r="P18" i="1"/>
  <c r="O19" i="1"/>
  <c r="P19" i="1"/>
  <c r="O20" i="1"/>
  <c r="P20" i="1"/>
  <c r="O21" i="1"/>
  <c r="P21" i="1"/>
  <c r="O22" i="1"/>
  <c r="P22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R6" i="1"/>
  <c r="S6" i="1"/>
  <c r="P6" i="1"/>
  <c r="O6" i="1"/>
  <c r="M6" i="1"/>
  <c r="L6" i="1"/>
  <c r="J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6" i="1"/>
  <c r="C7" i="1"/>
  <c r="D7" i="1"/>
  <c r="C8" i="1"/>
  <c r="D8" i="1"/>
  <c r="C9" i="1"/>
  <c r="D9" i="1"/>
  <c r="C10" i="1"/>
  <c r="D10" i="1"/>
  <c r="C11" i="1"/>
  <c r="D1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C19" i="1"/>
  <c r="D19" i="1"/>
  <c r="C20" i="1"/>
  <c r="D20" i="1"/>
  <c r="C21" i="1"/>
  <c r="D21" i="1"/>
  <c r="C22" i="1"/>
  <c r="D22" i="1"/>
  <c r="D6" i="1"/>
  <c r="C6" i="1"/>
  <c r="T20" i="1" l="1"/>
  <c r="T22" i="1"/>
  <c r="K17" i="1"/>
  <c r="K16" i="1"/>
  <c r="T21" i="1"/>
  <c r="N21" i="1"/>
  <c r="N22" i="1"/>
  <c r="Q21" i="1"/>
  <c r="Q22" i="1"/>
  <c r="Q20" i="1"/>
  <c r="N20" i="1"/>
  <c r="K15" i="1"/>
  <c r="K13" i="1"/>
  <c r="K18" i="1"/>
  <c r="K12" i="1"/>
  <c r="K11" i="1"/>
  <c r="K22" i="1"/>
  <c r="K10" i="1"/>
  <c r="K21" i="1"/>
  <c r="K9" i="1"/>
  <c r="K14" i="1"/>
  <c r="K20" i="1"/>
  <c r="K8" i="1"/>
  <c r="K19" i="1"/>
  <c r="K7" i="1"/>
  <c r="K6" i="1"/>
  <c r="H19" i="1"/>
  <c r="H7" i="1"/>
  <c r="H20" i="1"/>
  <c r="H8" i="1"/>
  <c r="H22" i="1"/>
  <c r="H10" i="1"/>
  <c r="H21" i="1"/>
  <c r="H9" i="1"/>
  <c r="H18" i="1"/>
  <c r="H6" i="1"/>
  <c r="H17" i="1"/>
  <c r="H16" i="1"/>
  <c r="H15" i="1"/>
  <c r="H14" i="1"/>
  <c r="H13" i="1"/>
  <c r="H12" i="1"/>
  <c r="H11" i="1"/>
  <c r="E20" i="1"/>
  <c r="E8" i="1"/>
  <c r="E13" i="1"/>
  <c r="E7" i="1"/>
  <c r="E18" i="1"/>
  <c r="E19" i="1"/>
  <c r="E17" i="1"/>
  <c r="E16" i="1"/>
  <c r="E15" i="1"/>
  <c r="E21" i="1"/>
  <c r="E9" i="1"/>
  <c r="E14" i="1"/>
  <c r="E12" i="1"/>
  <c r="E22" i="1"/>
  <c r="E10" i="1"/>
  <c r="E11" i="1"/>
  <c r="T15" i="1"/>
  <c r="T17" i="1"/>
  <c r="T14" i="1" l="1"/>
  <c r="T19" i="1"/>
  <c r="T7" i="1"/>
  <c r="T18" i="1"/>
  <c r="T16" i="1"/>
  <c r="T10" i="1"/>
  <c r="T11" i="1"/>
  <c r="T9" i="1"/>
  <c r="T8" i="1"/>
  <c r="T13" i="1"/>
  <c r="T12" i="1"/>
  <c r="T6" i="1"/>
  <c r="Q12" i="1" l="1"/>
  <c r="Q14" i="1"/>
  <c r="Q15" i="1"/>
  <c r="Q17" i="1"/>
  <c r="N10" i="1"/>
  <c r="N12" i="1"/>
  <c r="N6" i="1"/>
  <c r="Q16" i="1" l="1"/>
  <c r="N11" i="1"/>
  <c r="N8" i="1"/>
  <c r="Q10" i="1"/>
  <c r="Q19" i="1"/>
  <c r="Q7" i="1"/>
  <c r="N9" i="1"/>
  <c r="Q13" i="1"/>
  <c r="Q8" i="1"/>
  <c r="Q9" i="1"/>
  <c r="N16" i="1"/>
  <c r="N15" i="1"/>
  <c r="N19" i="1"/>
  <c r="N7" i="1"/>
  <c r="Q11" i="1"/>
  <c r="Q18" i="1"/>
  <c r="N18" i="1"/>
  <c r="N17" i="1"/>
  <c r="N14" i="1"/>
  <c r="N13" i="1"/>
  <c r="Q6" i="1"/>
  <c r="E6" i="1"/>
</calcChain>
</file>

<file path=xl/sharedStrings.xml><?xml version="1.0" encoding="utf-8"?>
<sst xmlns="http://schemas.openxmlformats.org/spreadsheetml/2006/main" count="1237" uniqueCount="679">
  <si>
    <t>KECAMATAN</t>
  </si>
  <si>
    <t>BENGKAYANG|BENGKAYANG</t>
  </si>
  <si>
    <t>CAPKALA|BENGKAYANG</t>
  </si>
  <si>
    <t>JAGOI BABANG|BENGKAYANG</t>
  </si>
  <si>
    <t>LEDO|BENGKAYANG</t>
  </si>
  <si>
    <t>LUMAR|BENGKAYANG</t>
  </si>
  <si>
    <t>MONTERADO|BENGKAYANG</t>
  </si>
  <si>
    <t>SAMALANTAN|BENGKAYANG</t>
  </si>
  <si>
    <t>SANGGAU LEDO|BENGKAYANG</t>
  </si>
  <si>
    <t>SELUAS|BENGKAYANG</t>
  </si>
  <si>
    <t>SUNGAI BETUNG|BENGKAYANG</t>
  </si>
  <si>
    <t>SUNGAI RAYA KEPULAUAN|BENGKAYANG</t>
  </si>
  <si>
    <t>SUNGAI RAYA|BENGKAYANG</t>
  </si>
  <si>
    <t>TERIAK|BENGKAYANG</t>
  </si>
  <si>
    <t>TUJUH BELAS|BENGKAYANG</t>
  </si>
  <si>
    <t>PARTNER</t>
  </si>
  <si>
    <t>SDP JAGOI BABANG</t>
  </si>
  <si>
    <t>SDP MONTERADO</t>
  </si>
  <si>
    <t>REVENUE MTD</t>
  </si>
  <si>
    <t>PRIMARY MTD</t>
  </si>
  <si>
    <t>SECONDARY MTD</t>
  </si>
  <si>
    <t>TERTIARY B# MTD</t>
  </si>
  <si>
    <t>TRADE SUPPLY MTD</t>
  </si>
  <si>
    <t>REVENUE LMTD</t>
  </si>
  <si>
    <t>PRIMARY LMTD</t>
  </si>
  <si>
    <t>SECONDARY LMTD</t>
  </si>
  <si>
    <t>TERTIARY B# LMTD</t>
  </si>
  <si>
    <t>TRADE SUPPLY LMTD</t>
  </si>
  <si>
    <t>VLR SUBS MTD</t>
  </si>
  <si>
    <t>VLR SUBS LMTD</t>
  </si>
  <si>
    <t>VLR_SUBS</t>
  </si>
  <si>
    <t>MTD</t>
  </si>
  <si>
    <t>LMTD</t>
  </si>
  <si>
    <t>GROWTH</t>
  </si>
  <si>
    <t>LEMBAH BAWANG|BENGKAYANG</t>
  </si>
  <si>
    <t>SIDING|BENGKAYANG</t>
  </si>
  <si>
    <t>SUTI SEMARANG|BENGKAYANG</t>
  </si>
  <si>
    <t>parameter</t>
  </si>
  <si>
    <t>Prepaid Rev</t>
  </si>
  <si>
    <t>Primary</t>
  </si>
  <si>
    <t>QSC 100MB</t>
  </si>
  <si>
    <t>RGUGA FWA ALL CHANNEL</t>
  </si>
  <si>
    <t>RGUGA-Trad</t>
  </si>
  <si>
    <t>Secondary</t>
  </si>
  <si>
    <t>Tertiary B#</t>
  </si>
  <si>
    <t>Trade Supply</t>
  </si>
  <si>
    <t>kec_unik</t>
  </si>
  <si>
    <t>pt_id</t>
  </si>
  <si>
    <t>AIR UPAS|KETAPANG</t>
  </si>
  <si>
    <t>PT-PEMAHAN</t>
  </si>
  <si>
    <t>ALALAK|BARITO KUALA</t>
  </si>
  <si>
    <t>PT-MEKAR SARI</t>
  </si>
  <si>
    <t>ALUH-ALUH|BANJAR</t>
  </si>
  <si>
    <t>PT-MARTAPURA</t>
  </si>
  <si>
    <t>AMUNTAI SELATAN|HULU SUNGAI UTARA</t>
  </si>
  <si>
    <t>PT-TANJUNG</t>
  </si>
  <si>
    <t>AMUNTAI TENGAH|HULU SUNGAI UTARA</t>
  </si>
  <si>
    <t>AMUNTAI UTARA|HULU SUNGAI UTARA</t>
  </si>
  <si>
    <t>ANGGANA|KUTAI KARTANEGARA</t>
  </si>
  <si>
    <t>PT-TENGGARONG</t>
  </si>
  <si>
    <t>ANGKINANG|HULU SUNGAI SELATAN</t>
  </si>
  <si>
    <t>PT-KANDANGAN</t>
  </si>
  <si>
    <t>ANGSANA|TANAH BUMBU</t>
  </si>
  <si>
    <t>PT-BATULICIN</t>
  </si>
  <si>
    <t>ANJIR MUARA|BARITO KUALA</t>
  </si>
  <si>
    <t>ANJIR PASAR|BARITO KUALA</t>
  </si>
  <si>
    <t>ANJONGAN|MEMPAWAH</t>
  </si>
  <si>
    <t>PT-MEMPAWAH</t>
  </si>
  <si>
    <t>ANTANG KALANG|KOTAWARINGIN TIMUR</t>
  </si>
  <si>
    <t>PT-ANTANG KALANG</t>
  </si>
  <si>
    <t>ARANIO|BANJAR</t>
  </si>
  <si>
    <t>PT-KARANG INTAN</t>
  </si>
  <si>
    <t>ARUT SELATAN|KOTAWARINGIN BARAT</t>
  </si>
  <si>
    <t>PT-PANGKALANBUN</t>
  </si>
  <si>
    <t>ARUT UTARA|KOTAWARINGIN BARAT</t>
  </si>
  <si>
    <t>ASTAMBUL|BANJAR</t>
  </si>
  <si>
    <t>AWANG|BARITO TIMUR</t>
  </si>
  <si>
    <t>PT-SOUTH BARITO</t>
  </si>
  <si>
    <t>AWAYAN|BALANGAN</t>
  </si>
  <si>
    <t>PT-BARABAI</t>
  </si>
  <si>
    <t>BAAMANG|KOTAWARINGIN TIMUR</t>
  </si>
  <si>
    <t>PT-SAMPIT</t>
  </si>
  <si>
    <t>BABIRIK|HULU SUNGAI UTARA</t>
  </si>
  <si>
    <t>BABULU|PENAJAM PASER UTARA</t>
  </si>
  <si>
    <t>PT-PENAJAM</t>
  </si>
  <si>
    <t>BADAU|KAPUAS HULU</t>
  </si>
  <si>
    <t>PT-BADAU KAPUAS</t>
  </si>
  <si>
    <t>BAHAU HULU|MALINAU</t>
  </si>
  <si>
    <t>PT-MALINAU BARAT</t>
  </si>
  <si>
    <t>BAJUIN|TANAH LAUT</t>
  </si>
  <si>
    <t>PT-PELAIHARI</t>
  </si>
  <si>
    <t>BAKARANGAN|TAPIN</t>
  </si>
  <si>
    <t>BAKUMPAI|BARITO KUALA</t>
  </si>
  <si>
    <t>PT-MARABAHAN</t>
  </si>
  <si>
    <t>BALAI RIAM|SUKAMARA</t>
  </si>
  <si>
    <t>PT-LAMANDAU</t>
  </si>
  <si>
    <t>BALAI|SANGGAU</t>
  </si>
  <si>
    <t>PT-TAYAN HILIR</t>
  </si>
  <si>
    <t>BALIKPAPAN BARAT|KOTA BALIKPAPAN</t>
  </si>
  <si>
    <t>PT-BALIKPAPAN</t>
  </si>
  <si>
    <t>BALIKPAPAN KOTA|KOTA BALIKPAPAN</t>
  </si>
  <si>
    <t>BALIKPAPAN SELATAN|KOTA BALIKPAPAN</t>
  </si>
  <si>
    <t>BALIKPAPAN TENGAH|KOTA BALIKPAPAN</t>
  </si>
  <si>
    <t>BALIKPAPAN TIMUR|KOTA BALIKPAPAN</t>
  </si>
  <si>
    <t>BALIKPAPAN UTARA|KOTA BALIKPAPAN</t>
  </si>
  <si>
    <t>BANAMA TINGANG|PULANG PISAU</t>
  </si>
  <si>
    <t>PT-PULANG PISAU</t>
  </si>
  <si>
    <t>BANJANG|HULU SUNGAI UTARA</t>
  </si>
  <si>
    <t>BANJARBARU SELATAN|KOTA BANJARBARU</t>
  </si>
  <si>
    <t>PT-BANJARBARU</t>
  </si>
  <si>
    <t>BANJARBARU UTARA|KOTA BANJARBARU</t>
  </si>
  <si>
    <t>BANJARMASIN BARAT|KOTA BANJARMASIN</t>
  </si>
  <si>
    <t>PT-BANJARMASIN</t>
  </si>
  <si>
    <t>BANJARMASIN SELATAN|KOTA BANJARMASIN</t>
  </si>
  <si>
    <t>BANJARMASIN TENGAH|KOTA BANJARMASIN</t>
  </si>
  <si>
    <t>BANJARMASIN TIMUR|KOTA BANJARMASIN</t>
  </si>
  <si>
    <t>BANJARMASIN UTARA|KOTA BANJARMASIN</t>
  </si>
  <si>
    <t>BANUA LAWAS|TABALONG</t>
  </si>
  <si>
    <t>PT-LANDAK</t>
  </si>
  <si>
    <t>BARABAI|HULU SUNGAI TENGAH</t>
  </si>
  <si>
    <t>BARAMBAI|BARITO KUALA</t>
  </si>
  <si>
    <t>BARONG TONGKOK|KUTAI BARAT</t>
  </si>
  <si>
    <t>PT-MELAK</t>
  </si>
  <si>
    <t>BASARANG|KAPUAS</t>
  </si>
  <si>
    <t>PT-KAPUAS</t>
  </si>
  <si>
    <t>BATAGUH|KAPUAS</t>
  </si>
  <si>
    <t>PT-KAPUAS KUALA</t>
  </si>
  <si>
    <t>BATANG ALAI SELATAN|HULU SUNGAI TENGAH</t>
  </si>
  <si>
    <t>BATANG ALAI TIMUR|HULU SUNGAI TENGAH</t>
  </si>
  <si>
    <t>BATANG ALAI UTARA|HULU SUNGAI TENGAH</t>
  </si>
  <si>
    <t>BATANG LUPAR|KAPUAS HULU</t>
  </si>
  <si>
    <t>BATI - BATI|TANAH LAUT</t>
  </si>
  <si>
    <t>BATU AMPAR|KUBU RAYA</t>
  </si>
  <si>
    <t>PT-BATU AMPAR</t>
  </si>
  <si>
    <t>BATU AMPAR|KUTAI TIMUR</t>
  </si>
  <si>
    <t>PT-SANGATTA UTARA</t>
  </si>
  <si>
    <t>BATU AMPAR|SERUYAN</t>
  </si>
  <si>
    <t>PT-SERUYAN</t>
  </si>
  <si>
    <t>BATU AMPAR|TANAH LAUT</t>
  </si>
  <si>
    <t>BATU BENAWA|HULU SUNGAI TENGAH</t>
  </si>
  <si>
    <t>BATU ENGAU|PASER</t>
  </si>
  <si>
    <t>PT-GROGOT</t>
  </si>
  <si>
    <t>BATU LICIN|TANAH BUMBU</t>
  </si>
  <si>
    <t>BATU PUTIH|BERAU</t>
  </si>
  <si>
    <t>PT-BATU PUTIH</t>
  </si>
  <si>
    <t>BATU SOPANG|PASER</t>
  </si>
  <si>
    <t>BATUMANDI|BALANGAN</t>
  </si>
  <si>
    <t>BEDUWAI|SANGGAU</t>
  </si>
  <si>
    <t>PT-KEMBAYAN</t>
  </si>
  <si>
    <t>BELANTIKAN RAYA|LAMANDAU</t>
  </si>
  <si>
    <t>BELAWANG|BARITO KUALA</t>
  </si>
  <si>
    <t>BELIMBING HULU|MELAWI</t>
  </si>
  <si>
    <t>PT-BELIMBING</t>
  </si>
  <si>
    <t>BELIMBING|MELAWI</t>
  </si>
  <si>
    <t>BELITANG HILIR|SEKADAU</t>
  </si>
  <si>
    <t>PT-BELITANG</t>
  </si>
  <si>
    <t>BELITANG HULU|SEKADAU</t>
  </si>
  <si>
    <t>BELITANG|SEKADAU</t>
  </si>
  <si>
    <t>BENGALON|KUTAI TIMUR</t>
  </si>
  <si>
    <t>PT-JAGOI BABANG</t>
  </si>
  <si>
    <t>BENTIAN BESAR|KUTAI BARAT</t>
  </si>
  <si>
    <t>BENUA KAYONG|KETAPANG</t>
  </si>
  <si>
    <t>PT-KETAPANG</t>
  </si>
  <si>
    <t>BENUA LIMA|BARITO TIMUR</t>
  </si>
  <si>
    <t>BERUNTUNG BARU|BANJAR</t>
  </si>
  <si>
    <t>BETAYAU|TANA TIDUNG</t>
  </si>
  <si>
    <t>BIATAN|BERAU</t>
  </si>
  <si>
    <t>BIKA|KAPUAS HULU</t>
  </si>
  <si>
    <t>PT-PUTUSSIBAU</t>
  </si>
  <si>
    <t>BINJAI HULU|SINTANG</t>
  </si>
  <si>
    <t>PT-SINTANG</t>
  </si>
  <si>
    <t>BINTANG ARA|TABALONG</t>
  </si>
  <si>
    <t>BINUANG|TAPIN</t>
  </si>
  <si>
    <t>BONGAN|KUTAI BARAT</t>
  </si>
  <si>
    <t>BONTANG BARAT|KOTA BONTANG</t>
  </si>
  <si>
    <t>PT-BONTANG</t>
  </si>
  <si>
    <t>BONTANG SELATAN|KOTA BONTANG</t>
  </si>
  <si>
    <t>BONTANG UTARA|KOTA BONTANG</t>
  </si>
  <si>
    <t>BONTI|SANGGAU</t>
  </si>
  <si>
    <t>PT-SANGGAU</t>
  </si>
  <si>
    <t>BOYAN TANJUNG|KAPUAS HULU</t>
  </si>
  <si>
    <t>BUKIT BATU|KOTA PALANGKARAYA</t>
  </si>
  <si>
    <t>PT-PALANGKARAYA</t>
  </si>
  <si>
    <t>BULIK TIMUR|LAMANDAU</t>
  </si>
  <si>
    <t>BULIK|LAMANDAU</t>
  </si>
  <si>
    <t>BUMI MAKMUR|TANAH LAUT</t>
  </si>
  <si>
    <t>BUNGUR|TAPIN</t>
  </si>
  <si>
    <t>BUNUT HILIR|KAPUAS HULU</t>
  </si>
  <si>
    <t>BUNUT HULU|KAPUAS HULU</t>
  </si>
  <si>
    <t>BUNYU|BULUNGAN</t>
  </si>
  <si>
    <t>PT-TANJUNG SELOR</t>
  </si>
  <si>
    <t>BUSANG|KUTAI TIMUR</t>
  </si>
  <si>
    <t>CANDI LARAS SELATAN|TAPIN</t>
  </si>
  <si>
    <t>CANDI LARAS UTARA|TAPIN</t>
  </si>
  <si>
    <t>PT-MONTERADO</t>
  </si>
  <si>
    <t>CEMPAGA HULU|KOTAWARINGIN TIMUR</t>
  </si>
  <si>
    <t>PT-PARENGGEAN</t>
  </si>
  <si>
    <t>CEMPAGA|KOTAWARINGIN TIMUR</t>
  </si>
  <si>
    <t>CEMPAKA|KOTA BANJARBARU</t>
  </si>
  <si>
    <t>CERBON|BARITO KUALA</t>
  </si>
  <si>
    <t>DADAHUP|KAPUAS</t>
  </si>
  <si>
    <t>DAHA SELATAN|HULU SUNGAI SELATAN</t>
  </si>
  <si>
    <t>DAHA UTARA|HULU SUNGAI SELATAN</t>
  </si>
  <si>
    <t>DAMAI|KUTAI BARAT</t>
  </si>
  <si>
    <t>DANAU PANGGANG|HULU SUNGAI UTARA</t>
  </si>
  <si>
    <t>DANAU SELULUK|SERUYAN</t>
  </si>
  <si>
    <t>DANAU SEMBULUH|SERUYAN</t>
  </si>
  <si>
    <t>DEDAI|SINTANG</t>
  </si>
  <si>
    <t>DELTA PAWAN|KETAPANG</t>
  </si>
  <si>
    <t>DUSUN HILIR|BARITO SELATAN</t>
  </si>
  <si>
    <t>DUSUN SELATAN|BARITO SELATAN</t>
  </si>
  <si>
    <t>DUSUN TENGAH|BARITO TIMUR</t>
  </si>
  <si>
    <t>DUSUN TIMUR|BARITO TIMUR</t>
  </si>
  <si>
    <t>DUSUN UTARA|BARITO SELATAN</t>
  </si>
  <si>
    <t>ELLA HILIR|MELAWI</t>
  </si>
  <si>
    <t>PT-MELAWI</t>
  </si>
  <si>
    <t>EMBALOH HILIR|KAPUAS HULU</t>
  </si>
  <si>
    <t>EMBALOH HULU|KAPUAS HULU</t>
  </si>
  <si>
    <t>EMPANANG|KAPUAS HULU</t>
  </si>
  <si>
    <t>ENTIKONG|SANGGAU</t>
  </si>
  <si>
    <t>GALING|SAMBAS</t>
  </si>
  <si>
    <t>PT-SAMBAS</t>
  </si>
  <si>
    <t>GAMBUT|BANJAR</t>
  </si>
  <si>
    <t>GUNUNG BINTANG AWAI|BARITO SELATAN</t>
  </si>
  <si>
    <t>GUNUNG PUREI|BARITO UTARA</t>
  </si>
  <si>
    <t>PT-NORTH BARITO</t>
  </si>
  <si>
    <t>GUNUNG TABUR|BERAU</t>
  </si>
  <si>
    <t>GUNUNG TIMANG|BARITO UTARA</t>
  </si>
  <si>
    <t>HALONG|BALANGAN</t>
  </si>
  <si>
    <t>HANAU|SERUYAN</t>
  </si>
  <si>
    <t>HANTAKAN|HULU SUNGAI TENGAH</t>
  </si>
  <si>
    <t>HARUAI|TABALONG</t>
  </si>
  <si>
    <t>HARUYAN|HULU SUNGAI TENGAH</t>
  </si>
  <si>
    <t>HATUNGUN|TAPIN</t>
  </si>
  <si>
    <t>HAUR GADING|HULU SUNGAI UTARA</t>
  </si>
  <si>
    <t>HULU GURUNG|KAPUAS HULU</t>
  </si>
  <si>
    <t>HULU SUNGAI|KETAPANG</t>
  </si>
  <si>
    <t>PT-SANDAI</t>
  </si>
  <si>
    <t>JABIREN RAYA|PULANG PISAU</t>
  </si>
  <si>
    <t>JANGKANG|SANGGAU</t>
  </si>
  <si>
    <t>JARO|TABALONG</t>
  </si>
  <si>
    <t>JAWAI SELATAN|SAMBAS</t>
  </si>
  <si>
    <t>PT-JAWAI</t>
  </si>
  <si>
    <t>JAWAI|SAMBAS</t>
  </si>
  <si>
    <t>JEJANGKIT|BARITO KUALA</t>
  </si>
  <si>
    <t>JEKAN RAYA|KOTA PALANGKARAYA</t>
  </si>
  <si>
    <t>JELAI HULU|KETAPANG</t>
  </si>
  <si>
    <t>JELAI|SUKAMARA</t>
  </si>
  <si>
    <t>JELIMPO|LANDAK</t>
  </si>
  <si>
    <t>JEMPANG|KUTAI BARAT</t>
  </si>
  <si>
    <t>JENAMAS|BARITO SELATAN</t>
  </si>
  <si>
    <t>JONGKONG|KAPUAS HULU</t>
  </si>
  <si>
    <t>JORONG|TANAH LAUT</t>
  </si>
  <si>
    <t>JUAI|BALANGAN</t>
  </si>
  <si>
    <t>KAHAYAN HILIR|PULANG PISAU</t>
  </si>
  <si>
    <t>KAHAYAN KUALA|PULANG PISAU</t>
  </si>
  <si>
    <t>KAHAYAN TENGAH|PULANG PISAU</t>
  </si>
  <si>
    <t>KALIORANG|KUTAI TIMUR</t>
  </si>
  <si>
    <t>KALIS|KAPUAS HULU</t>
  </si>
  <si>
    <t>KALUMPANG|HULU SUNGAI SELATAN</t>
  </si>
  <si>
    <t>KAMIPANG|KATINGAN</t>
  </si>
  <si>
    <t>PT-BUKIT RAYA</t>
  </si>
  <si>
    <t>KANDANGAN|HULU SUNGAI SELATAN</t>
  </si>
  <si>
    <t>KAPUAS BARAT|KAPUAS</t>
  </si>
  <si>
    <t>KAPUAS HILIR|KAPUAS</t>
  </si>
  <si>
    <t>KAPUAS KUALA|KAPUAS</t>
  </si>
  <si>
    <t>KAPUAS MURUNG|KAPUAS</t>
  </si>
  <si>
    <t>KAPUAS TIMUR|KAPUAS</t>
  </si>
  <si>
    <t>KAPUAS|SANGGAU</t>
  </si>
  <si>
    <t>KARANG BINTANG|TANAH BUMBU</t>
  </si>
  <si>
    <t>KARANG INTAN|BANJAR</t>
  </si>
  <si>
    <t>KARANGAN|KUTAI TIMUR</t>
  </si>
  <si>
    <t>KARAU KUALA|BARITO SELATAN</t>
  </si>
  <si>
    <t>KARUSEN JANANG|BARITO TIMUR</t>
  </si>
  <si>
    <t>KATINGAN HILIR|KATINGAN</t>
  </si>
  <si>
    <t>KATINGAN KUALA|KATINGAN</t>
  </si>
  <si>
    <t>KATINGAN TENGAH|KATINGAN</t>
  </si>
  <si>
    <t>KAUBUN|KUTAI TIMUR</t>
  </si>
  <si>
    <t>KAYAN HILIR|SINTANG</t>
  </si>
  <si>
    <t>KAYAN HULU|SINTANG</t>
  </si>
  <si>
    <t>KAYAN SELATAN|MALINAU</t>
  </si>
  <si>
    <t>KELAM PERMAI|SINTANG</t>
  </si>
  <si>
    <t>KELUA|TABALONG</t>
  </si>
  <si>
    <t>KELUMPANG BARAT|KOTABARU</t>
  </si>
  <si>
    <t>PT-KOTABARU</t>
  </si>
  <si>
    <t>KELUMPANG HILIR|KOTABARU</t>
  </si>
  <si>
    <t>KELUMPANG HULU|KOTABARU</t>
  </si>
  <si>
    <t>KELUMPANG SELATAN|KOTABARU</t>
  </si>
  <si>
    <t>KELUMPANG TENGAH|KOTABARU</t>
  </si>
  <si>
    <t>KELUMPANG UTARA|KOTABARU</t>
  </si>
  <si>
    <t>KEMBANG JANGGUT|KUTAI KARTANEGARA</t>
  </si>
  <si>
    <t>PT-MUARA KAMAN</t>
  </si>
  <si>
    <t>KEMBAYAN|SANGGAU</t>
  </si>
  <si>
    <t>KENDAWANGAN|KETAPANG</t>
  </si>
  <si>
    <t>PT-KENDAWANGAN</t>
  </si>
  <si>
    <t>KENOHAN|KUTAI KARTANEGARA</t>
  </si>
  <si>
    <t>KERTAK HANYAR|BANJAR</t>
  </si>
  <si>
    <t>KETUNGAU HILIR|SINTANG</t>
  </si>
  <si>
    <t>KETUNGAU TENGAH|SINTANG</t>
  </si>
  <si>
    <t>KINTAP|TANAH LAUT</t>
  </si>
  <si>
    <t>KONGBENG|KUTAI TIMUR</t>
  </si>
  <si>
    <t>KOTA BANGUN|KUTAI KARTANEGARA</t>
  </si>
  <si>
    <t>KOTA BESI|KOTAWARINGIN TIMUR</t>
  </si>
  <si>
    <t>KOTAWARINGIN LAMA|KOTAWARINGIN BARAT</t>
  </si>
  <si>
    <t>KRAYAN BARAT|NUNUKAN</t>
  </si>
  <si>
    <t>PT-NUNUKAN</t>
  </si>
  <si>
    <t>KUALA BEHE|LANDAK</t>
  </si>
  <si>
    <t>KUALA MANDOR-B|KUBU RAYA</t>
  </si>
  <si>
    <t>PT-KUBU RAYA</t>
  </si>
  <si>
    <t>KUARO|PASER</t>
  </si>
  <si>
    <t>KUBU|KUBU RAYA</t>
  </si>
  <si>
    <t>KUMAI|KOTAWARINGIN BARAT</t>
  </si>
  <si>
    <t>KURANJI|TANAH BUMBU</t>
  </si>
  <si>
    <t>KURAU|TANAH LAUT</t>
  </si>
  <si>
    <t>KURIPAN|BARITO KUALA</t>
  </si>
  <si>
    <t>KURUN|GUNUNG MAS</t>
  </si>
  <si>
    <t>PT-RUNGAN</t>
  </si>
  <si>
    <t>KUSAN HILIR|TANAH BUMBU</t>
  </si>
  <si>
    <t>KUSAN HULU|TANAH BUMBU</t>
  </si>
  <si>
    <t>LABUAN AMAS SELATAN|HULU SUNGAI TENGAH</t>
  </si>
  <si>
    <t>LABUAN AMAS UTARA|HULU SUNGAI TENGAH</t>
  </si>
  <si>
    <t>LAHAM|MAHAKAM ULU</t>
  </si>
  <si>
    <t>LAHEI BARAT|BARITO UTARA</t>
  </si>
  <si>
    <t>LAHEI|BARITO UTARA</t>
  </si>
  <si>
    <t>LAMPIHONG|BALANGAN</t>
  </si>
  <si>
    <t>LANDASAN ULIN|KOTA BANJARBARU</t>
  </si>
  <si>
    <t>LAUNG TUHUP|MURUNG RAYA</t>
  </si>
  <si>
    <t>LIANG ANGGANG|KOTA BANJARBARU</t>
  </si>
  <si>
    <t>LIMPASU|HULU SUNGAI TENGAH</t>
  </si>
  <si>
    <t>LINGGANG BIGUNG|KUTAI BARAT</t>
  </si>
  <si>
    <t>LOA JANAN ILIR|KOTA SAMARINDA</t>
  </si>
  <si>
    <t>PT-SAMARINDA</t>
  </si>
  <si>
    <t>LOA JANAN|KUTAI KARTANEGARA</t>
  </si>
  <si>
    <t>LOA KULU|KUTAI KARTANEGARA</t>
  </si>
  <si>
    <t>LOKPAIKAT|TAPIN</t>
  </si>
  <si>
    <t>LOKSADO|HULU SUNGAI SELATAN</t>
  </si>
  <si>
    <t>LONG APARI|MAHAKAM ULU</t>
  </si>
  <si>
    <t>LONG BAGUN|MAHAKAM ULU</t>
  </si>
  <si>
    <t>LONG HUBUNG|MAHAKAM ULU</t>
  </si>
  <si>
    <t>LONG IKIS|PASER</t>
  </si>
  <si>
    <t>LONG IRAM|KUTAI BARAT</t>
  </si>
  <si>
    <t>LONG KALI|PASER</t>
  </si>
  <si>
    <t>LONG MESANGAT|KUTAI TIMUR</t>
  </si>
  <si>
    <t>LONG PAHANGAI|MAHAKAM ULU</t>
  </si>
  <si>
    <t>LUMBIS|NUNUKAN</t>
  </si>
  <si>
    <t>MALIKU|PULANG PISAU</t>
  </si>
  <si>
    <t>MALINAU BARAT|MALINAU</t>
  </si>
  <si>
    <t>MALINAU KOTA|MALINAU</t>
  </si>
  <si>
    <t>MALINAU SELATAN HILIR|MALINAU</t>
  </si>
  <si>
    <t>MALINAU SELATAN HULU|MALINAU</t>
  </si>
  <si>
    <t>MALINAU SELATAN|MALINAU</t>
  </si>
  <si>
    <t>MALINAU UTARA|MALINAU</t>
  </si>
  <si>
    <t>MANDASTANA|BARITO KUALA</t>
  </si>
  <si>
    <t>MANDAU TALAWANG|KAPUAS</t>
  </si>
  <si>
    <t>MANDOR|LANDAK</t>
  </si>
  <si>
    <t>PT-MANDOR</t>
  </si>
  <si>
    <t>MANIS MATA|KETAPANG</t>
  </si>
  <si>
    <t>MANTANGAI|KAPUAS</t>
  </si>
  <si>
    <t>MANTEWE|TANAH BUMBU</t>
  </si>
  <si>
    <t>MANUHING RAYA|GUNUNG MAS</t>
  </si>
  <si>
    <t>MANUHING|GUNUNG MAS</t>
  </si>
  <si>
    <t>MARABAHAN|BARITO KUALA</t>
  </si>
  <si>
    <t>MARANG KAYU|KUTAI KARTANEGARA</t>
  </si>
  <si>
    <t>MARAU|KETAPANG</t>
  </si>
  <si>
    <t>MARTAPURA BARAT|BANJAR</t>
  </si>
  <si>
    <t>MARTAPURA TIMUR|BANJAR</t>
  </si>
  <si>
    <t>MARTAPURA|BANJAR</t>
  </si>
  <si>
    <t>MATAN HILIR SELATAN|KETAPANG</t>
  </si>
  <si>
    <t>MATAN HILIR UTARA|KETAPANG</t>
  </si>
  <si>
    <t>PT-MUARA PAWAN</t>
  </si>
  <si>
    <t>MATARAMAN|BANJAR</t>
  </si>
  <si>
    <t>MEKAR SARI|BARITO KUALA</t>
  </si>
  <si>
    <t>MELAK|KUTAI BARAT</t>
  </si>
  <si>
    <t>MELIAU|SANGGAU</t>
  </si>
  <si>
    <t>PT-MELIAU</t>
  </si>
  <si>
    <t>MEMPAWAH HILIR|MEMPAWAH</t>
  </si>
  <si>
    <t>MEMPAWAH HULU|LANDAK</t>
  </si>
  <si>
    <t>MEMPAWAH TIMUR|MEMPAWAH</t>
  </si>
  <si>
    <t>MENDAWAI|KATINGAN</t>
  </si>
  <si>
    <t>MENJALIN|LANDAK</t>
  </si>
  <si>
    <t>MENTARANG HULU|MALINAU</t>
  </si>
  <si>
    <t>MENTARANG|MALINAU</t>
  </si>
  <si>
    <t>MENTAWA BARU KETAPANG|KOTAWARINGIN TIMUR</t>
  </si>
  <si>
    <t>MENTAYA HILIR SELATAN|KOTAWARINGIN TIMUR</t>
  </si>
  <si>
    <t>MENTAYA HILIR UTARA|KOTAWARINGIN TIMUR</t>
  </si>
  <si>
    <t>MENTAYA HULU|KOTAWARINGIN TIMUR</t>
  </si>
  <si>
    <t>MENTEBAH|KAPUAS HULU</t>
  </si>
  <si>
    <t>MENTHOBI RAYA|LAMANDAU</t>
  </si>
  <si>
    <t>MENUKUNG|MELAWI</t>
  </si>
  <si>
    <t>MENYUKE|LANDAK</t>
  </si>
  <si>
    <t>MIHING RAYA|GUNUNG MAS</t>
  </si>
  <si>
    <t>MONTALLAT|BARITO UTARA</t>
  </si>
  <si>
    <t>MOOK MANAAR BULATN|KUTAI BARAT</t>
  </si>
  <si>
    <t>MUARA ANCALONG|KUTAI TIMUR</t>
  </si>
  <si>
    <t>MUARA BADAK|KUTAI KARTANEGARA</t>
  </si>
  <si>
    <t>MUARA BENGKAL|KUTAI TIMUR</t>
  </si>
  <si>
    <t>MUARA HARUS|TABALONG</t>
  </si>
  <si>
    <t>MUARA JAWA|KUTAI KARTANEGARA</t>
  </si>
  <si>
    <t>PT-SAMBOJA</t>
  </si>
  <si>
    <t>MUARA KAMAN|KUTAI KARTANEGARA</t>
  </si>
  <si>
    <t>PT-SEBULU</t>
  </si>
  <si>
    <t>MUARA KOMAM|PASER</t>
  </si>
  <si>
    <t>MUARA LAWA|KUTAI BARAT</t>
  </si>
  <si>
    <t>MUARA MUNTAI|KUTAI KARTANEGARA</t>
  </si>
  <si>
    <t>MUARA PAHU|KUTAI BARAT</t>
  </si>
  <si>
    <t>MUARA PAWAN|KETAPANG</t>
  </si>
  <si>
    <t>MUARA SAMU|PASER</t>
  </si>
  <si>
    <t>MUARA UYA|TABALONG</t>
  </si>
  <si>
    <t>MUARA WAHAU|KUTAI TIMUR</t>
  </si>
  <si>
    <t>MUARA WIS|KUTAI KARTANEGARA</t>
  </si>
  <si>
    <t>MUKOK|SANGGAU</t>
  </si>
  <si>
    <t>MURUNG PUDAK|TABALONG</t>
  </si>
  <si>
    <t>MURUNG|MURUNG RAYA</t>
  </si>
  <si>
    <t>NANGA MAHAP|SEKADAU</t>
  </si>
  <si>
    <t>PT-SEKADAU</t>
  </si>
  <si>
    <t>NANGA PINOH|MELAWI</t>
  </si>
  <si>
    <t>NANGA TAMAN|SEKADAU</t>
  </si>
  <si>
    <t>NANGA TAYAP|KETAPANG</t>
  </si>
  <si>
    <t>NGABANG|LANDAK</t>
  </si>
  <si>
    <t>NOYAN|SANGGAU</t>
  </si>
  <si>
    <t>NUNUKAN SELATAN|NUNUKAN</t>
  </si>
  <si>
    <t>NUNUKAN|NUNUKAN</t>
  </si>
  <si>
    <t>NYUATAN|KUTAI BARAT</t>
  </si>
  <si>
    <t>PADANG BATUNG|HULU SUNGAI SELATAN</t>
  </si>
  <si>
    <t>PAHANDUT|KOTA PALANGKARAYA</t>
  </si>
  <si>
    <t>PAJU EPAT|BARITO TIMUR</t>
  </si>
  <si>
    <t>PAKU|BARITO TIMUR</t>
  </si>
  <si>
    <t>PALARAN|KOTA SAMARINDA</t>
  </si>
  <si>
    <t>PALOH|SAMBAS</t>
  </si>
  <si>
    <t>PAMUKAN BARAT|KOTABARU</t>
  </si>
  <si>
    <t>PAMUKAN SELATAN|KOTABARU</t>
  </si>
  <si>
    <t>PAMUKAN UTARA|KOTABARU</t>
  </si>
  <si>
    <t>PANDAWAN|HULU SUNGAI TENGAH</t>
  </si>
  <si>
    <t>PANDIH BATU|PULANG PISAU</t>
  </si>
  <si>
    <t>PANGKALAN BANTENG|KOTAWARINGIN BARAT</t>
  </si>
  <si>
    <t>PANGKALAN LADA|KOTAWARINGIN BARAT</t>
  </si>
  <si>
    <t>PANTAI LUNCI|SUKAMARA</t>
  </si>
  <si>
    <t>PANYIPATAN|TANAH LAUT</t>
  </si>
  <si>
    <t>PARAMASAN|BANJAR</t>
  </si>
  <si>
    <t>PARENGGEAN|KOTAWARINGIN TIMUR</t>
  </si>
  <si>
    <t>PARINDU|SANGGAU</t>
  </si>
  <si>
    <t>PARINGIN SELATAN|BALANGAN</t>
  </si>
  <si>
    <t>PARINGIN|BALANGAN</t>
  </si>
  <si>
    <t>PASAK TALAWANG|KAPUAS</t>
  </si>
  <si>
    <t>PASER BELENGKONG|PASER</t>
  </si>
  <si>
    <t>PATANGKEP TUTUI|BARITO TIMUR</t>
  </si>
  <si>
    <t>PELAIHARI|TANAH LAUT</t>
  </si>
  <si>
    <t>PEMAHAN|KETAPANG</t>
  </si>
  <si>
    <t>PEMANGKAT|SAMBAS</t>
  </si>
  <si>
    <t>PT-PEMANGKAT</t>
  </si>
  <si>
    <t>PEMATANG KARAU|BARITO TIMUR</t>
  </si>
  <si>
    <t>PENAJAM|PENAJAM PASER UTARA</t>
  </si>
  <si>
    <t>PENGARON|BANJAR</t>
  </si>
  <si>
    <t>PENGKADAN|KAPUAS HULU</t>
  </si>
  <si>
    <t>PENYINGGAHAN|KUTAI BARAT</t>
  </si>
  <si>
    <t>PERMATA INTAN|MURUNG RAYA</t>
  </si>
  <si>
    <t>PERMATA KECUBUNG|SUKAMARA</t>
  </si>
  <si>
    <t>PIANI|TAPIN</t>
  </si>
  <si>
    <t>PINOH UTARA|MELAWI</t>
  </si>
  <si>
    <t>PONTIANAK BARAT|KOTA PONTIANAK</t>
  </si>
  <si>
    <t>PT-PONTIANAK</t>
  </si>
  <si>
    <t>PONTIANAK KOTA|KOTA PONTIANAK</t>
  </si>
  <si>
    <t>PONTIANAK SELATAN|KOTA PONTIANAK</t>
  </si>
  <si>
    <t>PONTIANAK TENGGARA|KOTA PONTIANAK</t>
  </si>
  <si>
    <t>PONTIANAK TIMUR|KOTA PONTIANAK</t>
  </si>
  <si>
    <t>PONTIANAK UTARA|KOTA PONTIANAK</t>
  </si>
  <si>
    <t>PUGAAN|TABALONG</t>
  </si>
  <si>
    <t>PUJUNGAN|MALINAU</t>
  </si>
  <si>
    <t>PULAU DERAWAN|BERAU</t>
  </si>
  <si>
    <t>PULAU HANAUT|KOTAWARINGIN TIMUR</t>
  </si>
  <si>
    <t>PULAU LAUT BARAT|KOTABARU</t>
  </si>
  <si>
    <t>PT-PULAU LAUT UTARA</t>
  </si>
  <si>
    <t>PULAU LAUT KEPULAUAN|KOTABARU</t>
  </si>
  <si>
    <t>PULAU LAUT SELATAN|KOTABARU</t>
  </si>
  <si>
    <t>PULAU LAUT TANJUNG SELAYAR|KOTABARU</t>
  </si>
  <si>
    <t>PULAU LAUT TENGAH|KOTABARU</t>
  </si>
  <si>
    <t>PULAU LAUT TIMUR|KOTABARU</t>
  </si>
  <si>
    <t>PULAU LAUT UTARA|KOTABARU</t>
  </si>
  <si>
    <t>PULAU MALAN|KATINGAN</t>
  </si>
  <si>
    <t>PULAU MAYA|KAYONG UTARA</t>
  </si>
  <si>
    <t>PT-KAYONG UTARA</t>
  </si>
  <si>
    <t>PULAU PETAK|KAPUAS</t>
  </si>
  <si>
    <t>PULAU SEBUKU|KOTABARU</t>
  </si>
  <si>
    <t>PUTUSSIBAU SELATAN|KAPUAS HULU</t>
  </si>
  <si>
    <t>PUTUSSIBAU UTARA|KAPUAS HULU</t>
  </si>
  <si>
    <t>RANTAU BADAUH|BARITO KUALA</t>
  </si>
  <si>
    <t>RANTAU PULUNG|KUTAI TIMUR</t>
  </si>
  <si>
    <t>RAREN BATUAH|BARITO TIMUR</t>
  </si>
  <si>
    <t>RASAU JAYA|KUBU RAYA</t>
  </si>
  <si>
    <t>RUNGAN|GUNUNG MAS</t>
  </si>
  <si>
    <t>SABANGAU|KOTA PALANGKARAYA</t>
  </si>
  <si>
    <t>SAJAD|SAMBAS</t>
  </si>
  <si>
    <t>SAJINGAN BESAR|SAMBAS</t>
  </si>
  <si>
    <t>SALAM BABARIS|TAPIN</t>
  </si>
  <si>
    <t>SALATIGA|SAMBAS</t>
  </si>
  <si>
    <t>SAMARINDA ILIR|KOTA SAMARINDA</t>
  </si>
  <si>
    <t>SAMARINDA KOTA|KOTA SAMARINDA</t>
  </si>
  <si>
    <t>SAMARINDA SEBERANG|KOTA SAMARINDA</t>
  </si>
  <si>
    <t>SAMARINDA ULU|KOTA SAMARINDA</t>
  </si>
  <si>
    <t>SAMARINDA UTARA|KOTA SAMARINDA</t>
  </si>
  <si>
    <t>SAMBALIUNG|BERAU</t>
  </si>
  <si>
    <t>SAMBAS|SAMBAS</t>
  </si>
  <si>
    <t>SAMBOJA|KUTAI KARTANEGARA</t>
  </si>
  <si>
    <t>SAMBUNG MAKMUR|BANJAR</t>
  </si>
  <si>
    <t>SAMBUTAN|KOTA SAMARINDA</t>
  </si>
  <si>
    <t>SAMPANAHAN|KOTABARU</t>
  </si>
  <si>
    <t>SANAMAN MANTIKEI|KATINGAN</t>
  </si>
  <si>
    <t>SANDAI|KETAPANG</t>
  </si>
  <si>
    <t>SANDARAN|KUTAI TIMUR</t>
  </si>
  <si>
    <t>SANGASANGA|KUTAI KARTANEGARA</t>
  </si>
  <si>
    <t>SANGATTA SELATAN|KUTAI TIMUR</t>
  </si>
  <si>
    <t>SANGATTA UTARA|KUTAI TIMUR</t>
  </si>
  <si>
    <t>SANGKULIRANG|KUTAI TIMUR</t>
  </si>
  <si>
    <t>SATUI|TANAH BUMBU</t>
  </si>
  <si>
    <t>SEBANGKI|LANDAK</t>
  </si>
  <si>
    <t>SEBATIK BARAT|NUNUKAN</t>
  </si>
  <si>
    <t>SEBATIK TIMUR|NUNUKAN</t>
  </si>
  <si>
    <t>SEBATIK UTARA|NUNUKAN</t>
  </si>
  <si>
    <t>SEBATIK|NUNUKAN</t>
  </si>
  <si>
    <t>SEBAWI|SAMBAS</t>
  </si>
  <si>
    <t>SEBERUANG|KAPUAS HULU</t>
  </si>
  <si>
    <t>SEBUKU|NUNUKAN</t>
  </si>
  <si>
    <t>SEBULU|KUTAI KARTANEGARA</t>
  </si>
  <si>
    <t>SEGAH|BERAU</t>
  </si>
  <si>
    <t>SEGEDONG|MEMPAWAH</t>
  </si>
  <si>
    <t>SEJANGKUNG|SAMBAS</t>
  </si>
  <si>
    <t>SEKADAU HILIR|SEKADAU</t>
  </si>
  <si>
    <t>SEKADAU HULU|SEKADAU</t>
  </si>
  <si>
    <t>SEKAYAM|SANGGAU</t>
  </si>
  <si>
    <t>SEKOLAQ DARAT|KUTAI BARAT</t>
  </si>
  <si>
    <t>SELAKAU TIMUR|SAMBAS</t>
  </si>
  <si>
    <t>SELAKAU|SAMBAS</t>
  </si>
  <si>
    <t>SELAT|KAPUAS</t>
  </si>
  <si>
    <t>SELIMBAU|KAPUAS HULU</t>
  </si>
  <si>
    <t>SEMATU JAYA|LAMANDAU</t>
  </si>
  <si>
    <t>SEMBAKUNG ATULAI|NUNUKAN</t>
  </si>
  <si>
    <t>SEMBAKUNG|NUNUKAN</t>
  </si>
  <si>
    <t>SEMITAU|KAPUAS HULU</t>
  </si>
  <si>
    <t>SEMPARUK|SAMBAS</t>
  </si>
  <si>
    <t>SENGAH TEMILA|LANDAK</t>
  </si>
  <si>
    <t>SEPAKU|PENAJAM PASER UTARA</t>
  </si>
  <si>
    <t>SEPANG SIMIN|GUNUNG MAS</t>
  </si>
  <si>
    <t>SEPAUK|SINTANG</t>
  </si>
  <si>
    <t>SEPONTI|KAYONG UTARA</t>
  </si>
  <si>
    <t>SERANAU|KOTAWARINGIN TIMUR</t>
  </si>
  <si>
    <t>SERAWAI|SINTANG</t>
  </si>
  <si>
    <t>SERIBU RIAM|MURUNG RAYA</t>
  </si>
  <si>
    <t>SERUYAN HILIR TIMUR|SERUYAN</t>
  </si>
  <si>
    <t>SERUYAN HILIR|SERUYAN</t>
  </si>
  <si>
    <t>SERUYAN RAYA|SERUYAN</t>
  </si>
  <si>
    <t>SERUYAN TENGAH|SERUYAN</t>
  </si>
  <si>
    <t>SESAYAP HILIR|TANA TIDUNG</t>
  </si>
  <si>
    <t>SESAYAP|TANA TIDUNG</t>
  </si>
  <si>
    <t>SIANTAN|MEMPAWAH</t>
  </si>
  <si>
    <t>SILAT HILIR|KAPUAS HULU</t>
  </si>
  <si>
    <t>PT-SILAT HILIR</t>
  </si>
  <si>
    <t>SILAT HULU|KAPUAS HULU</t>
  </si>
  <si>
    <t>SILUQ NGURAI|KUTAI BARAT</t>
  </si>
  <si>
    <t>SIMPANG EMPAT|BANJAR</t>
  </si>
  <si>
    <t>SIMPANG EMPAT|TANAH BUMBU</t>
  </si>
  <si>
    <t>SIMPANG HILIR|KAYONG UTARA</t>
  </si>
  <si>
    <t>SIMPANG HULU|KETAPANG</t>
  </si>
  <si>
    <t>SIMPUR|HULU SUNGAI SELATAN</t>
  </si>
  <si>
    <t>SINGKAWANG BARAT|KOTA SINGKAWANG</t>
  </si>
  <si>
    <t>PT-SINGKAWANG</t>
  </si>
  <si>
    <t>SINGKAWANG SELATAN|KOTA SINGKAWANG</t>
  </si>
  <si>
    <t>SINGKAWANG TENGAH|KOTA SINGKAWANG</t>
  </si>
  <si>
    <t>SINGKAWANG TIMUR|KOTA SINGKAWANG</t>
  </si>
  <si>
    <t>SINGKAWANG UTARA|KOTA SINGKAWANG</t>
  </si>
  <si>
    <t>SINGKUP|KETAPANG</t>
  </si>
  <si>
    <t>SINTANG|SINTANG</t>
  </si>
  <si>
    <t>SUBAH|SAMBAS</t>
  </si>
  <si>
    <t>SUHAID|KAPUAS HULU</t>
  </si>
  <si>
    <t>SUKADANA|KAYONG UTARA</t>
  </si>
  <si>
    <t>SUKAMARA|SUKAMARA</t>
  </si>
  <si>
    <t>SUNGAI AMBAWANG|KUBU RAYA</t>
  </si>
  <si>
    <t>SUNGAI BOH|MALINAU</t>
  </si>
  <si>
    <t>SUNGAI DURIAN|KOTABARU</t>
  </si>
  <si>
    <t>SUNGAI KAKAP|KUBU RAYA</t>
  </si>
  <si>
    <t>SUNGAI KUNJANG|KOTA SAMARINDA</t>
  </si>
  <si>
    <t>SUNGAI KUNYIT|MEMPAWAH</t>
  </si>
  <si>
    <t>SUNGAI LAUR|KETAPANG</t>
  </si>
  <si>
    <t>SUNGAI LOBAN|TANAH BUMBU</t>
  </si>
  <si>
    <t>SUNGAI MELAYU RAYAK|KETAPANG</t>
  </si>
  <si>
    <t>SUNGAI PANDAN|HULU SUNGAI UTARA</t>
  </si>
  <si>
    <t>SUNGAI PINANG|BANJAR</t>
  </si>
  <si>
    <t>SUNGAI PINANG|KOTA SAMARINDA</t>
  </si>
  <si>
    <t>SUNGAI PINYUH|MEMPAWAH</t>
  </si>
  <si>
    <t>SUNGAI RAYA|HULU SUNGAI SELATAN</t>
  </si>
  <si>
    <t>SUNGAI RAYA|KUBU RAYA</t>
  </si>
  <si>
    <t>SUNGAI TABUK|BANJAR</t>
  </si>
  <si>
    <t>SUNGAI TABUKAN|HULU SUNGAI UTARA</t>
  </si>
  <si>
    <t>SUNGAI TEBELIAN|SINTANG</t>
  </si>
  <si>
    <t>SUNGAI TUBU|MALINAU</t>
  </si>
  <si>
    <t>TABALAR|BERAU</t>
  </si>
  <si>
    <t>TABANG|KUTAI KARTANEGARA</t>
  </si>
  <si>
    <t>TABUKAN|BARITO KUALA</t>
  </si>
  <si>
    <t>TABUNGANEN|BARITO KUALA</t>
  </si>
  <si>
    <t>TAKISUNG|TANAH LAUT</t>
  </si>
  <si>
    <t>TALISAYAN|BERAU</t>
  </si>
  <si>
    <t>TAMBAN CATUR|KAPUAS</t>
  </si>
  <si>
    <t>TAMBAN|BARITO KUALA</t>
  </si>
  <si>
    <t>TAMBANG ULANG|TANAH LAUT</t>
  </si>
  <si>
    <t>TANA LIA|TANA TIDUNG</t>
  </si>
  <si>
    <t>TANAH GROGOT|PASER</t>
  </si>
  <si>
    <t>TANAH SIANG SELATAN|MURUNG RAYA</t>
  </si>
  <si>
    <t>TANAH SIANG|MURUNG RAYA</t>
  </si>
  <si>
    <t>TANGARAN|SAMBAS</t>
  </si>
  <si>
    <t>TANJUNG HARAPAN|PASER</t>
  </si>
  <si>
    <t>TANJUNG PALAS TENGAH|BULUNGAN</t>
  </si>
  <si>
    <t>TANJUNG PALAS TIMUR|BULUNGAN</t>
  </si>
  <si>
    <t>TANJUNG PALAS UTARA|BULUNGAN</t>
  </si>
  <si>
    <t>TANJUNG PALAS|BULUNGAN</t>
  </si>
  <si>
    <t>TANJUNG REDEB|BERAU</t>
  </si>
  <si>
    <t>TANJUNG SELOR|BULUNGAN</t>
  </si>
  <si>
    <t>TANJUNG|TABALONG</t>
  </si>
  <si>
    <t>TANTA|TABALONG</t>
  </si>
  <si>
    <t>TAPIN SELATAN|TAPIN</t>
  </si>
  <si>
    <t>TAPIN TENGAH|TAPIN</t>
  </si>
  <si>
    <t>TAPIN UTARA|TAPIN</t>
  </si>
  <si>
    <t>TARAKAN BARAT|KOTA TARAKAN</t>
  </si>
  <si>
    <t>PT-TARAKAN BARAT</t>
  </si>
  <si>
    <t>TARAKAN TENGAH|KOTA TARAKAN</t>
  </si>
  <si>
    <t>TARAKAN TIMUR|KOTA TARAKAN</t>
  </si>
  <si>
    <t>TARAKAN UTARA|KOTA TARAKAN</t>
  </si>
  <si>
    <t>TASIK PAYAWAN|KATINGAN</t>
  </si>
  <si>
    <t>TATAH MAKMUR|BANJAR</t>
  </si>
  <si>
    <t>TAYAN HILIR|SANGGAU</t>
  </si>
  <si>
    <t>TAYAN HULU|SANGGAU</t>
  </si>
  <si>
    <t>TEBAS|SAMBAS</t>
  </si>
  <si>
    <t>TEBING TINGGI|BALANGAN</t>
  </si>
  <si>
    <t>TEKARANG|SAMBAS</t>
  </si>
  <si>
    <t>TELAGA ANTANG|KOTAWARINGIN TIMUR</t>
  </si>
  <si>
    <t>TELAGA BAUNTUNG|BANJAR</t>
  </si>
  <si>
    <t>TELAGA LANGSAT|HULU SUNGAI SELATAN</t>
  </si>
  <si>
    <t>TELAWANG|KOTAWARINGIN TIMUR</t>
  </si>
  <si>
    <t>TELEN|KUTAI TIMUR</t>
  </si>
  <si>
    <t>TELUK BATANG|KAYONG UTARA</t>
  </si>
  <si>
    <t>TELUK BAYUR|BERAU</t>
  </si>
  <si>
    <t>TELUK KERAMAT|SAMBAS</t>
  </si>
  <si>
    <t>TELUK PAKEDAI|KUBU RAYA</t>
  </si>
  <si>
    <t>TELUK PANDAN|KUTAI TIMUR</t>
  </si>
  <si>
    <t>TELUK SAMPIT|KOTAWARINGIN TIMUR</t>
  </si>
  <si>
    <t>TEMPUNAK|SINTANG</t>
  </si>
  <si>
    <t>TENGGARONG SEBERANG|KUTAI KARTANEGARA</t>
  </si>
  <si>
    <t>TENGGARONG|KUTAI KARTANEGARA</t>
  </si>
  <si>
    <t>TERENTANG|KUBU RAYA</t>
  </si>
  <si>
    <t>TERING|KUTAI BARAT</t>
  </si>
  <si>
    <t>TEWAH|GUNUNG MAS</t>
  </si>
  <si>
    <t>TEWANG SANGALANG GARING|KATINGAN</t>
  </si>
  <si>
    <t>TEWEH BARU|BARITO UTARA</t>
  </si>
  <si>
    <t>TEWEH SELATAN|BARITO UTARA</t>
  </si>
  <si>
    <t>TEWEH TENGAH|BARITO UTARA</t>
  </si>
  <si>
    <t>TEWEH TIMUR|BARITO UTARA</t>
  </si>
  <si>
    <t>TOBA|SANGGAU</t>
  </si>
  <si>
    <t>TOHO|MEMPAWAH</t>
  </si>
  <si>
    <t>TUALAN HULU|KOTAWARINGIN TIMUR</t>
  </si>
  <si>
    <t>TULIN ONSOI|NUNUKAN</t>
  </si>
  <si>
    <t>TUMBANG TITI|KETAPANG</t>
  </si>
  <si>
    <t>UPAU|TABALONG</t>
  </si>
  <si>
    <t>WANARAYA|BARITO KUALA</t>
  </si>
  <si>
    <t>WARU|PENAJAM PASER UTARA</t>
  </si>
  <si>
    <t>Total</t>
  </si>
  <si>
    <t>SEKATAK|BULUNGAN</t>
  </si>
  <si>
    <t>TANJUNG PALAS BARAT|BULUNGAN</t>
  </si>
  <si>
    <t>BUKIT SANTUAI|KOTAWARINGIN TIMUR</t>
  </si>
  <si>
    <t>KATINGAN HULU|KATINGAN</t>
  </si>
  <si>
    <t>KAYAN HULU|MALINAU</t>
  </si>
  <si>
    <t>LAMANDAU|LAMANDAU</t>
  </si>
  <si>
    <t>PESO HILIR|BULUNGAN</t>
  </si>
  <si>
    <t>AIR BESAR|LANDAK</t>
  </si>
  <si>
    <t>BIDUK BIDUK|BERAU</t>
  </si>
  <si>
    <t>KRAYAN TIMUR|NUNUKAN</t>
  </si>
  <si>
    <t>MURUK RIAN|TANA TIDUNG</t>
  </si>
  <si>
    <t>PINOH SELATAN|MELAWI</t>
  </si>
  <si>
    <t>PULAU SEMBILAN|KOTABARU</t>
  </si>
  <si>
    <t>PURING KENCANA|KAPUAS HULU</t>
  </si>
  <si>
    <t>RUNGAN HULU|GUNUNG MAS</t>
  </si>
  <si>
    <t>SADANIANG|MEMPAWAH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</si>
</sst>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4"/>
      <color indexed="8"/>
      <name val="Century Gothic"/>
      <family val="2"/>
    </font>
    <font>
      <sz val="14"/>
      <color theme="1"/>
      <name val="Calibri"/>
      <family val="2"/>
      <scheme val="minor"/>
    </font>
    <font>
      <b/>
      <sz val="14"/>
      <color indexed="9"/>
      <name val="Century Gothic"/>
      <family val="2"/>
    </font>
    <font>
      <sz val="11"/>
      <color theme="1"/>
      <name val="Calibri"/>
      <family val="2"/>
      <scheme val="minor"/>
    </font>
    <font>
      <sz val="11"/>
      <color indexed="8"/>
      <name val="Century Gothic"/>
      <family val="2"/>
    </font>
    <font>
      <b/>
      <sz val="11"/>
      <name val="Calibri"/>
      <family val="2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8">
    <xf numFmtId="0" fontId="0" fillId="0" borderId="0" xfId="0"/>
    <xf numFmtId="0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vertical="center"/>
    </xf>
    <xf numFmtId="0" fontId="3" fillId="4" borderId="1" xfId="0" applyNumberFormat="1" applyFont="1" applyFill="1" applyBorder="1" applyAlignment="1" applyProtection="1">
      <alignment horizontal="center" vertical="center"/>
    </xf>
    <xf numFmtId="3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0" fontId="0" fillId="0" borderId="2" xfId="0" applyBorder="1"/>
    <xf numFmtId="10" fontId="1" fillId="3" borderId="1" xfId="1" applyNumberFormat="1" applyFont="1" applyFill="1" applyBorder="1" applyAlignment="1" applyProtection="1">
      <alignment horizontal="center" vertical="center"/>
    </xf>
    <xf numFmtId="0" fontId="5" fillId="3" borderId="3" xfId="0" applyNumberFormat="1" applyFont="1" applyFill="1" applyBorder="1" applyAlignment="1" applyProtection="1">
      <alignment horizontal="right" vertical="center" indent="1"/>
    </xf>
    <xf numFmtId="0" fontId="0" fillId="0" borderId="0" xfId="0" applyAlignment="1"/>
    <xf numFmtId="0" fontId="0" fillId="0" borderId="4" xfId="0" applyBorder="1"/>
    <xf numFmtId="0" fontId="6" fillId="0" borderId="0" xfId="0" applyFont="1" applyAlignment="1">
      <alignment vertical="top"/>
    </xf>
    <xf numFmtId="0" fontId="0" fillId="0" borderId="4" xfId="0" applyBorder="1" applyAlignment="1"/>
    <xf numFmtId="0" fontId="6" fillId="0" borderId="0" xfId="0" applyFont="1"/>
    <xf numFmtId="0" fontId="7" fillId="0" borderId="0" xfId="0" applyFont="1" applyAlignment="1">
      <alignment vertical="top"/>
    </xf>
    <xf numFmtId="0" fontId="7" fillId="0" borderId="0" xfId="0" applyFont="1"/>
  </cellXfs>
  <cellStyles count="2">
    <cellStyle name="Normal" xfId="0" builtinId="0"/>
    <cellStyle name="Percent" xfId="1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T22"/>
  <sheetViews>
    <sheetView zoomScale="44" workbookViewId="0">
      <pane xSplit="1" ySplit="5" topLeftCell="I12" activePane="bottomRight" state="frozen"/>
      <selection pane="topRight" activeCell="B1" sqref="B1"/>
      <selection pane="bottomLeft" activeCell="A6" sqref="A6"/>
      <selection pane="bottomRight" activeCell="A5" sqref="A5"/>
    </sheetView>
  </sheetViews>
  <sheetFormatPr defaultColWidth="11.7265625" defaultRowHeight="64.5" customHeight="1" x14ac:dyDescent="0.35"/>
  <cols>
    <col min="1" max="1" width="60.6328125" style="2" bestFit="1" customWidth="1"/>
    <col min="2" max="2" width="29.54296875" style="5" bestFit="1" customWidth="1"/>
    <col min="3" max="17" width="28.6328125" style="5" customWidth="1"/>
    <col min="18" max="18" width="18" style="2" bestFit="1" customWidth="1"/>
    <col min="19" max="19" width="19.08984375" style="2" bestFit="1" customWidth="1"/>
    <col min="20" max="20" width="25.453125" style="2" customWidth="1"/>
    <col min="21" max="16384" width="11.7265625" style="2"/>
  </cols>
  <sheetData>
    <row r="4" spans="1:20" ht="64.5" customHeight="1" x14ac:dyDescent="0.35"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</row>
    <row r="5" spans="1:20" ht="64.5" customHeight="1" x14ac:dyDescent="0.35">
      <c r="A5" s="3" t="s">
        <v>0</v>
      </c>
      <c r="B5" s="3" t="s">
        <v>15</v>
      </c>
      <c r="C5" s="3" t="s">
        <v>18</v>
      </c>
      <c r="D5" s="3" t="s">
        <v>23</v>
      </c>
      <c r="E5" s="3" t="s">
        <v>33</v>
      </c>
      <c r="F5" s="3" t="s">
        <v>19</v>
      </c>
      <c r="G5" s="3" t="s">
        <v>24</v>
      </c>
      <c r="H5" s="3" t="s">
        <v>33</v>
      </c>
      <c r="I5" s="3" t="s">
        <v>20</v>
      </c>
      <c r="J5" s="3" t="s">
        <v>25</v>
      </c>
      <c r="K5" s="3" t="s">
        <v>33</v>
      </c>
      <c r="L5" s="3" t="s">
        <v>21</v>
      </c>
      <c r="M5" s="3" t="s">
        <v>26</v>
      </c>
      <c r="N5" s="3" t="s">
        <v>33</v>
      </c>
      <c r="O5" s="3" t="s">
        <v>22</v>
      </c>
      <c r="P5" s="3" t="s">
        <v>27</v>
      </c>
      <c r="Q5" s="3" t="s">
        <v>33</v>
      </c>
      <c r="R5" s="3" t="s">
        <v>28</v>
      </c>
      <c r="S5" s="3" t="s">
        <v>29</v>
      </c>
      <c r="T5" s="3" t="s">
        <v>33</v>
      </c>
    </row>
    <row r="6" spans="1:20" ht="64.5" customHeight="1" x14ac:dyDescent="0.35">
      <c r="A6" s="10" t="s">
        <v>1</v>
      </c>
      <c r="B6" s="1" t="s">
        <v>16</v>
      </c>
      <c r="C6" s="4">
        <f>IFERROR(VLOOKUP($A:$A,MASTER!$A:$T,3,0),0)</f>
        <v>366606364.68199772</v>
      </c>
      <c r="D6" s="4">
        <f>IFERROR(VLOOKUP($A:$A,MASTER!$A:$T,4,0),0)</f>
        <v>366380906.70689279</v>
      </c>
      <c r="E6" s="9">
        <f>IFERROR(C6/D6-1,0)</f>
        <v>6.1536496847325317E-4</v>
      </c>
      <c r="F6" s="4">
        <f>IFERROR(VLOOKUP(A:A,MASTER!A:E,5,0),0)</f>
        <v>2608108.1081081112</v>
      </c>
      <c r="G6" s="4">
        <f>IFERROR(VLOOKUP(A:A,MASTER!A:F,6,0),0)</f>
        <v>2873873.873873875</v>
      </c>
      <c r="H6" s="9">
        <f>IFERROR(F6/G6-1,0)</f>
        <v>-9.2476489028212483E-2</v>
      </c>
      <c r="I6" s="4">
        <f>IFERROR(VLOOKUP(A:A,MASTER!A:M,13,0),0)</f>
        <v>46652522.522522517</v>
      </c>
      <c r="J6" s="4">
        <f>IFERROR(VLOOKUP($A:$A,MASTER!$A:$T,14,0),0)</f>
        <v>52742567.567567565</v>
      </c>
      <c r="K6" s="9">
        <f>IFERROR(I6/J6-1,0)</f>
        <v>-0.1154673601591959</v>
      </c>
      <c r="L6" s="4">
        <f>IFERROR(VLOOKUP($A:$A,MASTER!$A:$T,15,0),0)</f>
        <v>174648594.5945946</v>
      </c>
      <c r="M6" s="4">
        <f>IFERROR(VLOOKUP($A:$A,MASTER!$A:$T,16,0),0)</f>
        <v>175208000</v>
      </c>
      <c r="N6" s="9">
        <f>IFERROR(L6/M6-1,0)</f>
        <v>-3.1928074369058645E-3</v>
      </c>
      <c r="O6" s="4">
        <f>IFERROR(VLOOKUP($A:$A,MASTER!$A:$T,17,0),0)</f>
        <v>43062072.072072074</v>
      </c>
      <c r="P6" s="4">
        <f>IFERROR(VLOOKUP($A:$A,MASTER!$A:$T,18,0),0)</f>
        <v>53695360.360360362</v>
      </c>
      <c r="Q6" s="9">
        <f>IFERROR(O6/P6-1,0)</f>
        <v>-0.19802992692340926</v>
      </c>
      <c r="R6" s="4">
        <f>IFERROR(VLOOKUP($A:$A,MASTER!$A:$T,19,0),0)</f>
        <v>7758</v>
      </c>
      <c r="S6" s="4">
        <f>IFERROR(VLOOKUP($A:$A,MASTER!$A:$T,20,0),0)</f>
        <v>8140</v>
      </c>
      <c r="T6" s="9">
        <f>IFERROR(R6/S6-1,0)</f>
        <v>-4.6928746928746934E-2</v>
      </c>
    </row>
    <row r="7" spans="1:20" ht="64.5" customHeight="1" x14ac:dyDescent="0.35">
      <c r="A7" s="10" t="s">
        <v>2</v>
      </c>
      <c r="B7" s="1" t="s">
        <v>17</v>
      </c>
      <c r="C7" s="4">
        <f>IFERROR(VLOOKUP($A:$A,MASTER!$A:$T,3,0),0)</f>
        <v>34829506.004046865</v>
      </c>
      <c r="D7" s="4">
        <f>IFERROR(VLOOKUP($A:$A,MASTER!$A:$T,4,0),0)</f>
        <v>18247182.819930792</v>
      </c>
      <c r="E7" s="9">
        <f t="shared" ref="E7:E22" si="0">IFERROR(C7/D7-1,0)</f>
        <v>0.90876073023194315</v>
      </c>
      <c r="F7" s="4">
        <f>IFERROR(VLOOKUP(A:A,MASTER!A:E,5,0),0)</f>
        <v>310810.81081081199</v>
      </c>
      <c r="G7" s="4">
        <f>IFERROR(VLOOKUP(A:A,MASTER!A:F,6,0),0)</f>
        <v>373873.87387387402</v>
      </c>
      <c r="H7" s="9">
        <f t="shared" ref="H7:H22" si="1">IFERROR(F7/G7-1,0)</f>
        <v>-0.16867469879517794</v>
      </c>
      <c r="I7" s="4">
        <f>IFERROR(VLOOKUP(A:A,MASTER!A:M,13,0),0)</f>
        <v>6662162.1621621633</v>
      </c>
      <c r="J7" s="4">
        <f>IFERROR(VLOOKUP($A:$A,MASTER!$A:$T,14,0),0)</f>
        <v>3256756.7567567569</v>
      </c>
      <c r="K7" s="9">
        <f t="shared" ref="K7:K22" si="2">IFERROR(I7/J7-1,0)</f>
        <v>1.0456431535269712</v>
      </c>
      <c r="L7" s="4">
        <f>IFERROR(VLOOKUP($A:$A,MASTER!$A:$T,15,0),0)</f>
        <v>19509630.630630631</v>
      </c>
      <c r="M7" s="4">
        <f>IFERROR(VLOOKUP($A:$A,MASTER!$A:$T,16,0),0)</f>
        <v>11820990.990990993</v>
      </c>
      <c r="N7" s="9">
        <f t="shared" ref="N7:N22" si="3">IFERROR(L7/M7-1,0)</f>
        <v>0.65042259532210966</v>
      </c>
      <c r="O7" s="4">
        <f>IFERROR(VLOOKUP($A:$A,MASTER!$A:$T,17,0),0)</f>
        <v>6509009.0090090092</v>
      </c>
      <c r="P7" s="4">
        <f>IFERROR(VLOOKUP($A:$A,MASTER!$A:$T,18,0),0)</f>
        <v>3004954.9549549548</v>
      </c>
      <c r="Q7" s="9">
        <f t="shared" ref="Q7:Q22" si="4">IFERROR(O7/P7-1,0)</f>
        <v>1.1660920401738872</v>
      </c>
      <c r="R7" s="4">
        <f>IFERROR(VLOOKUP($A:$A,MASTER!$A:$T,19,0),0)</f>
        <v>1032</v>
      </c>
      <c r="S7" s="4">
        <f>IFERROR(VLOOKUP($A:$A,MASTER!$A:$T,20,0),0)</f>
        <v>1194</v>
      </c>
      <c r="T7" s="9">
        <f t="shared" ref="T7:T22" si="5">IFERROR(R7/S7-1,0)</f>
        <v>-0.13567839195979903</v>
      </c>
    </row>
    <row r="8" spans="1:20" ht="64.5" customHeight="1" x14ac:dyDescent="0.35">
      <c r="A8" s="10" t="s">
        <v>3</v>
      </c>
      <c r="B8" s="1" t="s">
        <v>16</v>
      </c>
      <c r="C8" s="4">
        <f>IFERROR(VLOOKUP($A:$A,MASTER!$A:$T,3,0),0)</f>
        <v>274462858.95077032</v>
      </c>
      <c r="D8" s="4">
        <f>IFERROR(VLOOKUP($A:$A,MASTER!$A:$T,4,0),0)</f>
        <v>246228386.05382752</v>
      </c>
      <c r="E8" s="9">
        <f t="shared" si="0"/>
        <v>0.11466782262371056</v>
      </c>
      <c r="F8" s="4">
        <f>IFERROR(VLOOKUP(A:A,MASTER!A:E,5,0),0)</f>
        <v>724630236.03603613</v>
      </c>
      <c r="G8" s="4">
        <f>IFERROR(VLOOKUP(A:A,MASTER!A:F,6,0),0)</f>
        <v>939937932.43243241</v>
      </c>
      <c r="H8" s="9">
        <f t="shared" si="1"/>
        <v>-0.22906586591224065</v>
      </c>
      <c r="I8" s="4">
        <f>IFERROR(VLOOKUP(A:A,MASTER!A:M,13,0),0)</f>
        <v>141636936.93693691</v>
      </c>
      <c r="J8" s="4">
        <f>IFERROR(VLOOKUP($A:$A,MASTER!$A:$T,14,0),0)</f>
        <v>157601351.35135135</v>
      </c>
      <c r="K8" s="9">
        <f t="shared" si="2"/>
        <v>-0.10129617720614514</v>
      </c>
      <c r="L8" s="4">
        <f>IFERROR(VLOOKUP($A:$A,MASTER!$A:$T,15,0),0)</f>
        <v>77716288.288288295</v>
      </c>
      <c r="M8" s="4">
        <f>IFERROR(VLOOKUP($A:$A,MASTER!$A:$T,16,0),0)</f>
        <v>70796522.522522524</v>
      </c>
      <c r="N8" s="9">
        <f t="shared" si="3"/>
        <v>9.774160536719001E-2</v>
      </c>
      <c r="O8" s="4">
        <f>IFERROR(VLOOKUP($A:$A,MASTER!$A:$T,17,0),0)</f>
        <v>55724234.234234229</v>
      </c>
      <c r="P8" s="4">
        <f>IFERROR(VLOOKUP($A:$A,MASTER!$A:$T,18,0),0)</f>
        <v>73076576.576576576</v>
      </c>
      <c r="Q8" s="9">
        <f t="shared" si="4"/>
        <v>-0.23745423164642798</v>
      </c>
      <c r="R8" s="4">
        <f>IFERROR(VLOOKUP($A:$A,MASTER!$A:$T,19,0),0)</f>
        <v>3884</v>
      </c>
      <c r="S8" s="4">
        <f>IFERROR(VLOOKUP($A:$A,MASTER!$A:$T,20,0),0)</f>
        <v>3582</v>
      </c>
      <c r="T8" s="9">
        <f t="shared" si="5"/>
        <v>8.43104410943607E-2</v>
      </c>
    </row>
    <row r="9" spans="1:20" ht="64.5" customHeight="1" x14ac:dyDescent="0.35">
      <c r="A9" s="10" t="s">
        <v>4</v>
      </c>
      <c r="B9" s="1" t="s">
        <v>16</v>
      </c>
      <c r="C9" s="4">
        <f>IFERROR(VLOOKUP($A:$A,MASTER!$A:$T,3,0),0)</f>
        <v>163083514.76234058</v>
      </c>
      <c r="D9" s="4">
        <f>IFERROR(VLOOKUP($A:$A,MASTER!$A:$T,4,0),0)</f>
        <v>157911553.48545378</v>
      </c>
      <c r="E9" s="9">
        <f t="shared" si="0"/>
        <v>3.2752266460118307E-2</v>
      </c>
      <c r="F9" s="4">
        <f>IFERROR(VLOOKUP(A:A,MASTER!A:E,5,0),0)</f>
        <v>2141441.4414414442</v>
      </c>
      <c r="G9" s="4">
        <f>IFERROR(VLOOKUP(A:A,MASTER!A:F,6,0),0)</f>
        <v>2978378.3783783792</v>
      </c>
      <c r="H9" s="9">
        <f t="shared" si="1"/>
        <v>-0.28100423472474212</v>
      </c>
      <c r="I9" s="4">
        <f>IFERROR(VLOOKUP(A:A,MASTER!A:M,13,0),0)</f>
        <v>27266666.666666668</v>
      </c>
      <c r="J9" s="4">
        <f>IFERROR(VLOOKUP($A:$A,MASTER!$A:$T,14,0),0)</f>
        <v>57575225.225225225</v>
      </c>
      <c r="K9" s="9">
        <f t="shared" si="2"/>
        <v>-0.5264166738383782</v>
      </c>
      <c r="L9" s="4">
        <f>IFERROR(VLOOKUP($A:$A,MASTER!$A:$T,15,0),0)</f>
        <v>57452459.459459454</v>
      </c>
      <c r="M9" s="4">
        <f>IFERROR(VLOOKUP($A:$A,MASTER!$A:$T,16,0),0)</f>
        <v>58585198.198198199</v>
      </c>
      <c r="N9" s="9">
        <f t="shared" si="3"/>
        <v>-1.9334896417122382E-2</v>
      </c>
      <c r="O9" s="4">
        <f>IFERROR(VLOOKUP($A:$A,MASTER!$A:$T,17,0),0)</f>
        <v>35466936.936936937</v>
      </c>
      <c r="P9" s="4">
        <f>IFERROR(VLOOKUP($A:$A,MASTER!$A:$T,18,0),0)</f>
        <v>48065945.945945941</v>
      </c>
      <c r="Q9" s="9">
        <f t="shared" si="4"/>
        <v>-0.26211923558474459</v>
      </c>
      <c r="R9" s="4">
        <f>IFERROR(VLOOKUP($A:$A,MASTER!$A:$T,19,0),0)</f>
        <v>3580</v>
      </c>
      <c r="S9" s="4">
        <f>IFERROR(VLOOKUP($A:$A,MASTER!$A:$T,20,0),0)</f>
        <v>3713</v>
      </c>
      <c r="T9" s="9">
        <f t="shared" si="5"/>
        <v>-3.5820091570158863E-2</v>
      </c>
    </row>
    <row r="10" spans="1:20" ht="64.5" customHeight="1" x14ac:dyDescent="0.35">
      <c r="A10" s="10" t="s">
        <v>34</v>
      </c>
      <c r="B10" s="1" t="s">
        <v>17</v>
      </c>
      <c r="C10" s="4">
        <f>IFERROR(VLOOKUP($A:$A,MASTER!$A:$T,3,0),0)</f>
        <v>0</v>
      </c>
      <c r="D10" s="4">
        <f>IFERROR(VLOOKUP($A:$A,MASTER!$A:$T,4,0),0)</f>
        <v>0</v>
      </c>
      <c r="E10" s="9">
        <f t="shared" si="0"/>
        <v>0</v>
      </c>
      <c r="F10" s="4">
        <f>IFERROR(VLOOKUP(A:A,MASTER!A:E,5,0),0)</f>
        <v>0</v>
      </c>
      <c r="G10" s="4">
        <f>IFERROR(VLOOKUP(A:A,MASTER!A:F,6,0),0)</f>
        <v>0</v>
      </c>
      <c r="H10" s="9">
        <f t="shared" si="1"/>
        <v>0</v>
      </c>
      <c r="I10" s="4">
        <f>IFERROR(VLOOKUP(A:A,MASTER!A:M,13,0),0)</f>
        <v>0</v>
      </c>
      <c r="J10" s="4">
        <f>IFERROR(VLOOKUP($A:$A,MASTER!$A:$T,14,0),0)</f>
        <v>0</v>
      </c>
      <c r="K10" s="9">
        <f t="shared" si="2"/>
        <v>0</v>
      </c>
      <c r="L10" s="4">
        <f>IFERROR(VLOOKUP($A:$A,MASTER!$A:$T,15,0),0)</f>
        <v>0</v>
      </c>
      <c r="M10" s="4">
        <f>IFERROR(VLOOKUP($A:$A,MASTER!$A:$T,16,0),0)</f>
        <v>0</v>
      </c>
      <c r="N10" s="9">
        <f t="shared" si="3"/>
        <v>0</v>
      </c>
      <c r="O10" s="4">
        <f>IFERROR(VLOOKUP($A:$A,MASTER!$A:$T,17,0),0)</f>
        <v>0</v>
      </c>
      <c r="P10" s="4">
        <f>IFERROR(VLOOKUP($A:$A,MASTER!$A:$T,18,0),0)</f>
        <v>0</v>
      </c>
      <c r="Q10" s="9">
        <f t="shared" si="4"/>
        <v>0</v>
      </c>
      <c r="R10" s="4">
        <f>IFERROR(VLOOKUP($A:$A,MASTER!$A:$T,19,0),0)</f>
        <v>0</v>
      </c>
      <c r="S10" s="4">
        <f>IFERROR(VLOOKUP($A:$A,MASTER!$A:$T,20,0),0)</f>
        <v>0</v>
      </c>
      <c r="T10" s="9">
        <f t="shared" si="5"/>
        <v>0</v>
      </c>
    </row>
    <row r="11" spans="1:20" ht="64.5" customHeight="1" x14ac:dyDescent="0.35">
      <c r="A11" s="10" t="s">
        <v>5</v>
      </c>
      <c r="B11" s="1" t="s">
        <v>16</v>
      </c>
      <c r="C11" s="4">
        <f>IFERROR(VLOOKUP($A:$A,MASTER!$A:$T,3,0),0)</f>
        <v>171724734.5642744</v>
      </c>
      <c r="D11" s="4">
        <f>IFERROR(VLOOKUP($A:$A,MASTER!$A:$T,4,0),0)</f>
        <v>176393010.40769443</v>
      </c>
      <c r="E11" s="9">
        <f t="shared" si="0"/>
        <v>-2.6465197417008257E-2</v>
      </c>
      <c r="F11" s="4">
        <f>IFERROR(VLOOKUP(A:A,MASTER!A:E,5,0),0)</f>
        <v>870270.27027027204</v>
      </c>
      <c r="G11" s="4">
        <f>IFERROR(VLOOKUP(A:A,MASTER!A:F,6,0),0)</f>
        <v>128828.82882883</v>
      </c>
      <c r="H11" s="9">
        <f t="shared" si="1"/>
        <v>5.7552447552447079</v>
      </c>
      <c r="I11" s="4">
        <f>IFERROR(VLOOKUP(A:A,MASTER!A:M,13,0),0)</f>
        <v>13427027.027027028</v>
      </c>
      <c r="J11" s="4">
        <f>IFERROR(VLOOKUP($A:$A,MASTER!$A:$T,14,0),0)</f>
        <v>17077477.477477476</v>
      </c>
      <c r="K11" s="9">
        <f t="shared" si="2"/>
        <v>-0.21375817683055487</v>
      </c>
      <c r="L11" s="4">
        <f>IFERROR(VLOOKUP($A:$A,MASTER!$A:$T,15,0),0)</f>
        <v>72796522.522522524</v>
      </c>
      <c r="M11" s="4">
        <f>IFERROR(VLOOKUP($A:$A,MASTER!$A:$T,16,0),0)</f>
        <v>74797720.720720723</v>
      </c>
      <c r="N11" s="9">
        <f t="shared" si="3"/>
        <v>-2.6754801869835809E-2</v>
      </c>
      <c r="O11" s="4">
        <f>IFERROR(VLOOKUP($A:$A,MASTER!$A:$T,17,0),0)</f>
        <v>12312252.252252253</v>
      </c>
      <c r="P11" s="4">
        <f>IFERROR(VLOOKUP($A:$A,MASTER!$A:$T,18,0),0)</f>
        <v>15166846.846846847</v>
      </c>
      <c r="Q11" s="9">
        <f t="shared" si="4"/>
        <v>-0.18821279224482035</v>
      </c>
      <c r="R11" s="4">
        <f>IFERROR(VLOOKUP($A:$A,MASTER!$A:$T,19,0),0)</f>
        <v>2937</v>
      </c>
      <c r="S11" s="4">
        <f>IFERROR(VLOOKUP($A:$A,MASTER!$A:$T,20,0),0)</f>
        <v>3092</v>
      </c>
      <c r="T11" s="9">
        <f t="shared" si="5"/>
        <v>-5.0129366106080209E-2</v>
      </c>
    </row>
    <row r="12" spans="1:20" ht="64.5" customHeight="1" x14ac:dyDescent="0.35">
      <c r="A12" s="10" t="s">
        <v>6</v>
      </c>
      <c r="B12" s="1" t="s">
        <v>17</v>
      </c>
      <c r="C12" s="4">
        <f>IFERROR(VLOOKUP($A:$A,MASTER!$A:$T,3,0),0)</f>
        <v>623744640.7432189</v>
      </c>
      <c r="D12" s="4">
        <f>IFERROR(VLOOKUP($A:$A,MASTER!$A:$T,4,0),0)</f>
        <v>598413032.31992209</v>
      </c>
      <c r="E12" s="9">
        <f t="shared" si="0"/>
        <v>4.2331311410601202E-2</v>
      </c>
      <c r="F12" s="4">
        <f>IFERROR(VLOOKUP(A:A,MASTER!A:E,5,0),0)</f>
        <v>6585159.4594594669</v>
      </c>
      <c r="G12" s="4">
        <f>IFERROR(VLOOKUP(A:A,MASTER!A:F,6,0),0)</f>
        <v>22454427.927927926</v>
      </c>
      <c r="H12" s="9">
        <f t="shared" si="1"/>
        <v>-0.70673225429764308</v>
      </c>
      <c r="I12" s="4">
        <f>IFERROR(VLOOKUP(A:A,MASTER!A:M,13,0),0)</f>
        <v>226529850.45045045</v>
      </c>
      <c r="J12" s="4">
        <f>IFERROR(VLOOKUP($A:$A,MASTER!$A:$T,14,0),0)</f>
        <v>425324878.37837839</v>
      </c>
      <c r="K12" s="9">
        <f t="shared" si="2"/>
        <v>-0.46739572038641841</v>
      </c>
      <c r="L12" s="4">
        <f>IFERROR(VLOOKUP($A:$A,MASTER!$A:$T,15,0),0)</f>
        <v>423300297.2972973</v>
      </c>
      <c r="M12" s="4">
        <f>IFERROR(VLOOKUP($A:$A,MASTER!$A:$T,16,0),0)</f>
        <v>396897342.34234232</v>
      </c>
      <c r="N12" s="9">
        <f t="shared" si="3"/>
        <v>6.6523385616881203E-2</v>
      </c>
      <c r="O12" s="4">
        <f>IFERROR(VLOOKUP($A:$A,MASTER!$A:$T,17,0),0)</f>
        <v>198111171.17117116</v>
      </c>
      <c r="P12" s="4">
        <f>IFERROR(VLOOKUP($A:$A,MASTER!$A:$T,18,0),0)</f>
        <v>391180540.54054052</v>
      </c>
      <c r="Q12" s="9">
        <f t="shared" si="4"/>
        <v>-0.49355565873134311</v>
      </c>
      <c r="R12" s="4">
        <f>IFERROR(VLOOKUP($A:$A,MASTER!$A:$T,19,0),0)</f>
        <v>12980</v>
      </c>
      <c r="S12" s="4">
        <f>IFERROR(VLOOKUP($A:$A,MASTER!$A:$T,20,0),0)</f>
        <v>13302</v>
      </c>
      <c r="T12" s="9">
        <f t="shared" si="5"/>
        <v>-2.4206886182528975E-2</v>
      </c>
    </row>
    <row r="13" spans="1:20" ht="64.5" customHeight="1" x14ac:dyDescent="0.35">
      <c r="A13" s="10" t="s">
        <v>7</v>
      </c>
      <c r="B13" s="1" t="s">
        <v>17</v>
      </c>
      <c r="C13" s="4">
        <f>IFERROR(VLOOKUP($A:$A,MASTER!$A:$T,3,0),0)</f>
        <v>148325384.83230361</v>
      </c>
      <c r="D13" s="4">
        <f>IFERROR(VLOOKUP($A:$A,MASTER!$A:$T,4,0),0)</f>
        <v>144712132.3628839</v>
      </c>
      <c r="E13" s="9">
        <f t="shared" si="0"/>
        <v>2.496855246634766E-2</v>
      </c>
      <c r="F13" s="4">
        <f>IFERROR(VLOOKUP(A:A,MASTER!A:E,5,0),0)</f>
        <v>403603.603603606</v>
      </c>
      <c r="G13" s="4">
        <f>IFERROR(VLOOKUP(A:A,MASTER!A:F,6,0),0)</f>
        <v>352252.25225225301</v>
      </c>
      <c r="H13" s="9">
        <f t="shared" si="1"/>
        <v>0.14578005115089954</v>
      </c>
      <c r="I13" s="4">
        <f>IFERROR(VLOOKUP(A:A,MASTER!A:M,13,0),0)</f>
        <v>28275225.225225225</v>
      </c>
      <c r="J13" s="4">
        <f>IFERROR(VLOOKUP($A:$A,MASTER!$A:$T,14,0),0)</f>
        <v>51628828.828828827</v>
      </c>
      <c r="K13" s="9">
        <f t="shared" si="2"/>
        <v>-0.45233649752216099</v>
      </c>
      <c r="L13" s="4">
        <f>IFERROR(VLOOKUP($A:$A,MASTER!$A:$T,15,0),0)</f>
        <v>104059918.91891891</v>
      </c>
      <c r="M13" s="4">
        <f>IFERROR(VLOOKUP($A:$A,MASTER!$A:$T,16,0),0)</f>
        <v>96691369.369369373</v>
      </c>
      <c r="N13" s="9">
        <f t="shared" si="3"/>
        <v>7.6206900342894457E-2</v>
      </c>
      <c r="O13" s="4">
        <f>IFERROR(VLOOKUP($A:$A,MASTER!$A:$T,17,0),0)</f>
        <v>29318828.828828827</v>
      </c>
      <c r="P13" s="4">
        <f>IFERROR(VLOOKUP($A:$A,MASTER!$A:$T,18,0),0)</f>
        <v>50635765.765765771</v>
      </c>
      <c r="Q13" s="9">
        <f t="shared" si="4"/>
        <v>-0.42098577190569653</v>
      </c>
      <c r="R13" s="4">
        <f>IFERROR(VLOOKUP($A:$A,MASTER!$A:$T,19,0),0)</f>
        <v>4728</v>
      </c>
      <c r="S13" s="4">
        <f>IFERROR(VLOOKUP($A:$A,MASTER!$A:$T,20,0),0)</f>
        <v>4778</v>
      </c>
      <c r="T13" s="9">
        <f t="shared" si="5"/>
        <v>-1.0464629552113802E-2</v>
      </c>
    </row>
    <row r="14" spans="1:20" ht="64.5" customHeight="1" x14ac:dyDescent="0.35">
      <c r="A14" s="10" t="s">
        <v>8</v>
      </c>
      <c r="B14" s="1" t="s">
        <v>16</v>
      </c>
      <c r="C14" s="4">
        <f>IFERROR(VLOOKUP($A:$A,MASTER!$A:$T,3,0),0)</f>
        <v>205169915.48012587</v>
      </c>
      <c r="D14" s="4">
        <f>IFERROR(VLOOKUP($A:$A,MASTER!$A:$T,4,0),0)</f>
        <v>208842826.16912249</v>
      </c>
      <c r="E14" s="9">
        <f t="shared" si="0"/>
        <v>-1.7586961239560384E-2</v>
      </c>
      <c r="F14" s="4">
        <f>IFERROR(VLOOKUP(A:A,MASTER!A:E,5,0),0)</f>
        <v>4509009.0090090111</v>
      </c>
      <c r="G14" s="4">
        <f>IFERROR(VLOOKUP(A:A,MASTER!A:F,6,0),0)</f>
        <v>3645045.0450450471</v>
      </c>
      <c r="H14" s="9">
        <f t="shared" si="1"/>
        <v>0.23702422145328716</v>
      </c>
      <c r="I14" s="4">
        <f>IFERROR(VLOOKUP(A:A,MASTER!A:M,13,0),0)</f>
        <v>42163063.063063063</v>
      </c>
      <c r="J14" s="4">
        <f>IFERROR(VLOOKUP($A:$A,MASTER!$A:$T,14,0),0)</f>
        <v>40511261.261261262</v>
      </c>
      <c r="K14" s="9">
        <f t="shared" si="2"/>
        <v>4.0773892255517863E-2</v>
      </c>
      <c r="L14" s="4">
        <f>IFERROR(VLOOKUP($A:$A,MASTER!$A:$T,15,0),0)</f>
        <v>60058756.75675676</v>
      </c>
      <c r="M14" s="4">
        <f>IFERROR(VLOOKUP($A:$A,MASTER!$A:$T,16,0),0)</f>
        <v>63409792.79279279</v>
      </c>
      <c r="N14" s="9">
        <f t="shared" si="3"/>
        <v>-5.2847295164429431E-2</v>
      </c>
      <c r="O14" s="4">
        <f>IFERROR(VLOOKUP($A:$A,MASTER!$A:$T,17,0),0)</f>
        <v>38268468.468468465</v>
      </c>
      <c r="P14" s="4">
        <f>IFERROR(VLOOKUP($A:$A,MASTER!$A:$T,18,0),0)</f>
        <v>36789549.54954955</v>
      </c>
      <c r="Q14" s="9">
        <f t="shared" si="4"/>
        <v>4.019942992036496E-2</v>
      </c>
      <c r="R14" s="4">
        <f>IFERROR(VLOOKUP($A:$A,MASTER!$A:$T,19,0),0)</f>
        <v>3523</v>
      </c>
      <c r="S14" s="4">
        <f>IFERROR(VLOOKUP($A:$A,MASTER!$A:$T,20,0),0)</f>
        <v>3706</v>
      </c>
      <c r="T14" s="9">
        <f t="shared" si="5"/>
        <v>-4.9379384781435554E-2</v>
      </c>
    </row>
    <row r="15" spans="1:20" ht="64.5" customHeight="1" x14ac:dyDescent="0.35">
      <c r="A15" s="10" t="s">
        <v>9</v>
      </c>
      <c r="B15" s="1" t="s">
        <v>16</v>
      </c>
      <c r="C15" s="4">
        <f>IFERROR(VLOOKUP($A:$A,MASTER!$A:$T,3,0),0)</f>
        <v>398526946.65881252</v>
      </c>
      <c r="D15" s="4">
        <f>IFERROR(VLOOKUP($A:$A,MASTER!$A:$T,4,0),0)</f>
        <v>380793152.05891585</v>
      </c>
      <c r="E15" s="9">
        <f t="shared" si="0"/>
        <v>4.6570676242499554E-2</v>
      </c>
      <c r="F15" s="4">
        <f>IFERROR(VLOOKUP(A:A,MASTER!A:E,5,0),0)</f>
        <v>11154598.198198205</v>
      </c>
      <c r="G15" s="4">
        <f>IFERROR(VLOOKUP(A:A,MASTER!A:F,6,0),0)</f>
        <v>6626739.639639644</v>
      </c>
      <c r="H15" s="9">
        <f t="shared" si="1"/>
        <v>0.68327093031902808</v>
      </c>
      <c r="I15" s="4">
        <f>IFERROR(VLOOKUP(A:A,MASTER!A:M,13,0),0)</f>
        <v>564007518.91891897</v>
      </c>
      <c r="J15" s="4">
        <f>IFERROR(VLOOKUP($A:$A,MASTER!$A:$T,14,0),0)</f>
        <v>538896694.5945946</v>
      </c>
      <c r="K15" s="9">
        <f t="shared" si="2"/>
        <v>4.6596731017648718E-2</v>
      </c>
      <c r="L15" s="4">
        <f>IFERROR(VLOOKUP($A:$A,MASTER!$A:$T,15,0),0)</f>
        <v>144462171.17117116</v>
      </c>
      <c r="M15" s="4">
        <f>IFERROR(VLOOKUP($A:$A,MASTER!$A:$T,16,0),0)</f>
        <v>138834151.35135135</v>
      </c>
      <c r="N15" s="9">
        <f t="shared" si="3"/>
        <v>4.0537719034107189E-2</v>
      </c>
      <c r="O15" s="4">
        <f>IFERROR(VLOOKUP($A:$A,MASTER!$A:$T,17,0),0)</f>
        <v>485004324.32432437</v>
      </c>
      <c r="P15" s="4">
        <f>IFERROR(VLOOKUP($A:$A,MASTER!$A:$T,18,0),0)</f>
        <v>486258873.87387383</v>
      </c>
      <c r="Q15" s="9">
        <f t="shared" si="4"/>
        <v>-2.5800034034439978E-3</v>
      </c>
      <c r="R15" s="4">
        <f>IFERROR(VLOOKUP($A:$A,MASTER!$A:$T,19,0),0)</f>
        <v>7014</v>
      </c>
      <c r="S15" s="4">
        <f>IFERROR(VLOOKUP($A:$A,MASTER!$A:$T,20,0),0)</f>
        <v>6936</v>
      </c>
      <c r="T15" s="9">
        <f t="shared" si="5"/>
        <v>1.1245674740484324E-2</v>
      </c>
    </row>
    <row r="16" spans="1:20" ht="64.5" customHeight="1" x14ac:dyDescent="0.35">
      <c r="A16" s="10" t="s">
        <v>35</v>
      </c>
      <c r="B16" s="1" t="s">
        <v>16</v>
      </c>
      <c r="C16" s="4">
        <f>IFERROR(VLOOKUP($A:$A,MASTER!$A:$T,3,0),0)</f>
        <v>0</v>
      </c>
      <c r="D16" s="4">
        <f>IFERROR(VLOOKUP($A:$A,MASTER!$A:$T,4,0),0)</f>
        <v>0</v>
      </c>
      <c r="E16" s="9">
        <f t="shared" si="0"/>
        <v>0</v>
      </c>
      <c r="F16" s="4">
        <f>IFERROR(VLOOKUP(A:A,MASTER!A:E,5,0),0)</f>
        <v>0</v>
      </c>
      <c r="G16" s="4">
        <f>IFERROR(VLOOKUP(A:A,MASTER!A:F,6,0),0)</f>
        <v>0</v>
      </c>
      <c r="H16" s="9">
        <f t="shared" si="1"/>
        <v>0</v>
      </c>
      <c r="I16" s="4">
        <f>IFERROR(VLOOKUP(A:A,MASTER!A:M,13,0),0)</f>
        <v>0</v>
      </c>
      <c r="J16" s="4">
        <f>IFERROR(VLOOKUP($A:$A,MASTER!$A:$T,14,0),0)</f>
        <v>0</v>
      </c>
      <c r="K16" s="9">
        <f t="shared" si="2"/>
        <v>0</v>
      </c>
      <c r="L16" s="4">
        <f>IFERROR(VLOOKUP($A:$A,MASTER!$A:$T,15,0),0)</f>
        <v>0</v>
      </c>
      <c r="M16" s="4">
        <f>IFERROR(VLOOKUP($A:$A,MASTER!$A:$T,16,0),0)</f>
        <v>0</v>
      </c>
      <c r="N16" s="9">
        <f t="shared" si="3"/>
        <v>0</v>
      </c>
      <c r="O16" s="4">
        <f>IFERROR(VLOOKUP($A:$A,MASTER!$A:$T,17,0),0)</f>
        <v>0</v>
      </c>
      <c r="P16" s="4">
        <f>IFERROR(VLOOKUP($A:$A,MASTER!$A:$T,18,0),0)</f>
        <v>0</v>
      </c>
      <c r="Q16" s="9">
        <f t="shared" si="4"/>
        <v>0</v>
      </c>
      <c r="R16" s="4">
        <f>IFERROR(VLOOKUP($A:$A,MASTER!$A:$T,19,0),0)</f>
        <v>0</v>
      </c>
      <c r="S16" s="4">
        <f>IFERROR(VLOOKUP($A:$A,MASTER!$A:$T,20,0),0)</f>
        <v>0</v>
      </c>
      <c r="T16" s="9">
        <f t="shared" si="5"/>
        <v>0</v>
      </c>
    </row>
    <row r="17" spans="1:20" ht="64.5" customHeight="1" x14ac:dyDescent="0.35">
      <c r="A17" s="10" t="s">
        <v>10</v>
      </c>
      <c r="B17" s="1" t="s">
        <v>17</v>
      </c>
      <c r="C17" s="4">
        <f>IFERROR(VLOOKUP($A:$A,MASTER!$A:$T,3,0),0)</f>
        <v>167506811.6595552</v>
      </c>
      <c r="D17" s="4">
        <f>IFERROR(VLOOKUP($A:$A,MASTER!$A:$T,4,0),0)</f>
        <v>167840998.35237032</v>
      </c>
      <c r="E17" s="9">
        <f t="shared" si="0"/>
        <v>-1.991090949742369E-3</v>
      </c>
      <c r="F17" s="4">
        <f>IFERROR(VLOOKUP(A:A,MASTER!A:E,5,0),0)</f>
        <v>0</v>
      </c>
      <c r="G17" s="4">
        <f>IFERROR(VLOOKUP(A:A,MASTER!A:F,6,0),0)</f>
        <v>0</v>
      </c>
      <c r="H17" s="9">
        <f t="shared" si="1"/>
        <v>0</v>
      </c>
      <c r="I17" s="4">
        <f>IFERROR(VLOOKUP(A:A,MASTER!A:M,13,0),0)</f>
        <v>0</v>
      </c>
      <c r="J17" s="4">
        <f>IFERROR(VLOOKUP($A:$A,MASTER!$A:$T,14,0),0)</f>
        <v>0</v>
      </c>
      <c r="K17" s="9">
        <f t="shared" si="2"/>
        <v>0</v>
      </c>
      <c r="L17" s="4">
        <f>IFERROR(VLOOKUP($A:$A,MASTER!$A:$T,15,0),0)</f>
        <v>100501818.01801802</v>
      </c>
      <c r="M17" s="4">
        <f>IFERROR(VLOOKUP($A:$A,MASTER!$A:$T,16,0),0)</f>
        <v>99294873.873873875</v>
      </c>
      <c r="N17" s="9">
        <f t="shared" si="3"/>
        <v>1.2155150583878394E-2</v>
      </c>
      <c r="O17" s="4">
        <f>IFERROR(VLOOKUP($A:$A,MASTER!$A:$T,17,0),0)</f>
        <v>19639.639639640001</v>
      </c>
      <c r="P17" s="4">
        <f>IFERROR(VLOOKUP($A:$A,MASTER!$A:$T,18,0),0)</f>
        <v>576486.48648648604</v>
      </c>
      <c r="Q17" s="9">
        <f t="shared" si="4"/>
        <v>-0.96593217690264033</v>
      </c>
      <c r="R17" s="4">
        <f>IFERROR(VLOOKUP($A:$A,MASTER!$A:$T,19,0),0)</f>
        <v>3580</v>
      </c>
      <c r="S17" s="4">
        <f>IFERROR(VLOOKUP($A:$A,MASTER!$A:$T,20,0),0)</f>
        <v>3596</v>
      </c>
      <c r="T17" s="9">
        <f t="shared" si="5"/>
        <v>-4.4493882091212189E-3</v>
      </c>
    </row>
    <row r="18" spans="1:20" ht="64.5" customHeight="1" x14ac:dyDescent="0.35">
      <c r="A18" s="10" t="s">
        <v>11</v>
      </c>
      <c r="B18" s="1" t="s">
        <v>17</v>
      </c>
      <c r="C18" s="4">
        <f>IFERROR(VLOOKUP($A:$A,MASTER!$A:$T,3,0),0)</f>
        <v>145620600.85605684</v>
      </c>
      <c r="D18" s="4">
        <f>IFERROR(VLOOKUP($A:$A,MASTER!$A:$T,4,0),0)</f>
        <v>136146274.12489367</v>
      </c>
      <c r="E18" s="9">
        <f t="shared" si="0"/>
        <v>6.9589320692477585E-2</v>
      </c>
      <c r="F18" s="4">
        <f>IFERROR(VLOOKUP(A:A,MASTER!A:E,5,0),0)</f>
        <v>397000662.16216218</v>
      </c>
      <c r="G18" s="4">
        <f>IFERROR(VLOOKUP(A:A,MASTER!A:F,6,0),0)</f>
        <v>407811832.43243247</v>
      </c>
      <c r="H18" s="9">
        <f t="shared" si="1"/>
        <v>-2.6510192717523751E-2</v>
      </c>
      <c r="I18" s="4">
        <f>IFERROR(VLOOKUP(A:A,MASTER!A:M,13,0),0)</f>
        <v>17281756.756756756</v>
      </c>
      <c r="J18" s="4">
        <f>IFERROR(VLOOKUP($A:$A,MASTER!$A:$T,14,0),0)</f>
        <v>14055630.630630633</v>
      </c>
      <c r="K18" s="9">
        <f t="shared" si="2"/>
        <v>0.22952553399458364</v>
      </c>
      <c r="L18" s="4">
        <f>IFERROR(VLOOKUP($A:$A,MASTER!$A:$T,15,0),0)</f>
        <v>49592389.639639638</v>
      </c>
      <c r="M18" s="4">
        <f>IFERROR(VLOOKUP($A:$A,MASTER!$A:$T,16,0),0)</f>
        <v>53471405.40540541</v>
      </c>
      <c r="N18" s="9">
        <f t="shared" si="3"/>
        <v>-7.2543740647101895E-2</v>
      </c>
      <c r="O18" s="4">
        <f>IFERROR(VLOOKUP($A:$A,MASTER!$A:$T,17,0),0)</f>
        <v>13835765.765765768</v>
      </c>
      <c r="P18" s="4">
        <f>IFERROR(VLOOKUP($A:$A,MASTER!$A:$T,18,0),0)</f>
        <v>12030810.810810812</v>
      </c>
      <c r="Q18" s="9">
        <f t="shared" si="4"/>
        <v>0.1500277066391098</v>
      </c>
      <c r="R18" s="4">
        <f>IFERROR(VLOOKUP($A:$A,MASTER!$A:$T,19,0),0)</f>
        <v>4089</v>
      </c>
      <c r="S18" s="4">
        <f>IFERROR(VLOOKUP($A:$A,MASTER!$A:$T,20,0),0)</f>
        <v>4470</v>
      </c>
      <c r="T18" s="9">
        <f t="shared" si="5"/>
        <v>-8.5234899328859082E-2</v>
      </c>
    </row>
    <row r="19" spans="1:20" ht="64.5" customHeight="1" x14ac:dyDescent="0.35">
      <c r="A19" s="10" t="s">
        <v>12</v>
      </c>
      <c r="B19" s="1" t="s">
        <v>17</v>
      </c>
      <c r="C19" s="4">
        <f>IFERROR(VLOOKUP($A:$A,MASTER!$A:$T,3,0),0)</f>
        <v>97189547.425589532</v>
      </c>
      <c r="D19" s="4">
        <f>IFERROR(VLOOKUP($A:$A,MASTER!$A:$T,4,0),0)</f>
        <v>89243718.110558689</v>
      </c>
      <c r="E19" s="9">
        <f t="shared" si="0"/>
        <v>8.9035166656629361E-2</v>
      </c>
      <c r="F19" s="4">
        <f>IFERROR(VLOOKUP(A:A,MASTER!A:E,5,0),0)</f>
        <v>4319819.8198198201</v>
      </c>
      <c r="G19" s="4">
        <f>IFERROR(VLOOKUP(A:A,MASTER!A:F,6,0),0)</f>
        <v>479279.27927927999</v>
      </c>
      <c r="H19" s="9">
        <f t="shared" si="1"/>
        <v>8.01315789473683</v>
      </c>
      <c r="I19" s="4">
        <f>IFERROR(VLOOKUP(A:A,MASTER!A:M,13,0),0)</f>
        <v>20626126.126126129</v>
      </c>
      <c r="J19" s="4">
        <f>IFERROR(VLOOKUP($A:$A,MASTER!$A:$T,14,0),0)</f>
        <v>6515315.3153153164</v>
      </c>
      <c r="K19" s="9">
        <f t="shared" si="2"/>
        <v>2.1657909292035398</v>
      </c>
      <c r="L19" s="4">
        <f>IFERROR(VLOOKUP($A:$A,MASTER!$A:$T,15,0),0)</f>
        <v>39185873.873873875</v>
      </c>
      <c r="M19" s="4">
        <f>IFERROR(VLOOKUP($A:$A,MASTER!$A:$T,16,0),0)</f>
        <v>39185144.144144148</v>
      </c>
      <c r="N19" s="9">
        <f t="shared" si="3"/>
        <v>1.8622611851037973E-5</v>
      </c>
      <c r="O19" s="4">
        <f>IFERROR(VLOOKUP($A:$A,MASTER!$A:$T,17,0),0)</f>
        <v>22741531.531531531</v>
      </c>
      <c r="P19" s="4">
        <f>IFERROR(VLOOKUP($A:$A,MASTER!$A:$T,18,0),0)</f>
        <v>8001711.7117117122</v>
      </c>
      <c r="Q19" s="9">
        <f t="shared" si="4"/>
        <v>1.8420833380245214</v>
      </c>
      <c r="R19" s="4">
        <f>IFERROR(VLOOKUP($A:$A,MASTER!$A:$T,19,0),0)</f>
        <v>2985</v>
      </c>
      <c r="S19" s="4">
        <f>IFERROR(VLOOKUP($A:$A,MASTER!$A:$T,20,0),0)</f>
        <v>2777</v>
      </c>
      <c r="T19" s="9">
        <f t="shared" si="5"/>
        <v>7.4900972272236244E-2</v>
      </c>
    </row>
    <row r="20" spans="1:20" ht="64.5" customHeight="1" x14ac:dyDescent="0.35">
      <c r="A20" s="10" t="s">
        <v>36</v>
      </c>
      <c r="B20" s="1" t="s">
        <v>16</v>
      </c>
      <c r="C20" s="4">
        <f>IFERROR(VLOOKUP($A:$A,MASTER!$A:$T,3,0),0)</f>
        <v>0</v>
      </c>
      <c r="D20" s="4">
        <f>IFERROR(VLOOKUP($A:$A,MASTER!$A:$T,4,0),0)</f>
        <v>0</v>
      </c>
      <c r="E20" s="9">
        <f t="shared" si="0"/>
        <v>0</v>
      </c>
      <c r="F20" s="4">
        <f>IFERROR(VLOOKUP(A:A,MASTER!A:E,5,0),0)</f>
        <v>0</v>
      </c>
      <c r="G20" s="4">
        <f>IFERROR(VLOOKUP(A:A,MASTER!A:F,6,0),0)</f>
        <v>0</v>
      </c>
      <c r="H20" s="9">
        <f t="shared" si="1"/>
        <v>0</v>
      </c>
      <c r="I20" s="4">
        <f>IFERROR(VLOOKUP(A:A,MASTER!A:M,13,0),0)</f>
        <v>0</v>
      </c>
      <c r="J20" s="4">
        <f>IFERROR(VLOOKUP($A:$A,MASTER!$A:$T,14,0),0)</f>
        <v>0</v>
      </c>
      <c r="K20" s="9">
        <f t="shared" si="2"/>
        <v>0</v>
      </c>
      <c r="L20" s="4">
        <f>IFERROR(VLOOKUP($A:$A,MASTER!$A:$T,15,0),0)</f>
        <v>0</v>
      </c>
      <c r="M20" s="4">
        <f>IFERROR(VLOOKUP($A:$A,MASTER!$A:$T,16,0),0)</f>
        <v>0</v>
      </c>
      <c r="N20" s="9">
        <f t="shared" si="3"/>
        <v>0</v>
      </c>
      <c r="O20" s="4">
        <f>IFERROR(VLOOKUP($A:$A,MASTER!$A:$T,17,0),0)</f>
        <v>0</v>
      </c>
      <c r="P20" s="4">
        <f>IFERROR(VLOOKUP($A:$A,MASTER!$A:$T,18,0),0)</f>
        <v>0</v>
      </c>
      <c r="Q20" s="9">
        <f t="shared" si="4"/>
        <v>0</v>
      </c>
      <c r="R20" s="4">
        <f>IFERROR(VLOOKUP($A:$A,MASTER!$A:$T,19,0),0)</f>
        <v>0</v>
      </c>
      <c r="S20" s="4">
        <f>IFERROR(VLOOKUP($A:$A,MASTER!$A:$T,20,0),0)</f>
        <v>0</v>
      </c>
      <c r="T20" s="9">
        <f t="shared" si="5"/>
        <v>0</v>
      </c>
    </row>
    <row r="21" spans="1:20" ht="64.5" customHeight="1" x14ac:dyDescent="0.35">
      <c r="A21" s="10" t="s">
        <v>13</v>
      </c>
      <c r="B21" s="1" t="s">
        <v>16</v>
      </c>
      <c r="C21" s="4">
        <f>IFERROR(VLOOKUP($A:$A,MASTER!$A:$T,3,0),0)</f>
        <v>333635254.4885838</v>
      </c>
      <c r="D21" s="4">
        <f>IFERROR(VLOOKUP($A:$A,MASTER!$A:$T,4,0),0)</f>
        <v>316268505.82933658</v>
      </c>
      <c r="E21" s="9">
        <f t="shared" si="0"/>
        <v>5.4911407045438176E-2</v>
      </c>
      <c r="F21" s="4">
        <f>IFERROR(VLOOKUP(A:A,MASTER!A:E,5,0),0)</f>
        <v>3113513.5135135199</v>
      </c>
      <c r="G21" s="4">
        <f>IFERROR(VLOOKUP(A:A,MASTER!A:F,6,0),0)</f>
        <v>1823423.4234234269</v>
      </c>
      <c r="H21" s="9">
        <f t="shared" si="1"/>
        <v>0.70750988142292504</v>
      </c>
      <c r="I21" s="4">
        <f>IFERROR(VLOOKUP(A:A,MASTER!A:M,13,0),0)</f>
        <v>72125855.855855852</v>
      </c>
      <c r="J21" s="4">
        <f>IFERROR(VLOOKUP($A:$A,MASTER!$A:$T,14,0),0)</f>
        <v>69462612.61261262</v>
      </c>
      <c r="K21" s="9">
        <f t="shared" si="2"/>
        <v>3.8340671953931871E-2</v>
      </c>
      <c r="L21" s="4">
        <f>IFERROR(VLOOKUP($A:$A,MASTER!$A:$T,15,0),0)</f>
        <v>193364639.63963965</v>
      </c>
      <c r="M21" s="4">
        <f>IFERROR(VLOOKUP($A:$A,MASTER!$A:$T,16,0),0)</f>
        <v>186076495.4954955</v>
      </c>
      <c r="N21" s="9">
        <f t="shared" si="3"/>
        <v>3.9167462417737609E-2</v>
      </c>
      <c r="O21" s="4">
        <f>IFERROR(VLOOKUP($A:$A,MASTER!$A:$T,17,0),0)</f>
        <v>69363016.216216221</v>
      </c>
      <c r="P21" s="4">
        <f>IFERROR(VLOOKUP($A:$A,MASTER!$A:$T,18,0),0)</f>
        <v>75444234.234234244</v>
      </c>
      <c r="Q21" s="9">
        <f t="shared" si="4"/>
        <v>-8.0605470779085087E-2</v>
      </c>
      <c r="R21" s="4">
        <f>IFERROR(VLOOKUP($A:$A,MASTER!$A:$T,19,0),0)</f>
        <v>7070</v>
      </c>
      <c r="S21" s="4">
        <f>IFERROR(VLOOKUP($A:$A,MASTER!$A:$T,20,0),0)</f>
        <v>7176</v>
      </c>
      <c r="T21" s="9">
        <f t="shared" si="5"/>
        <v>-1.4771460423634308E-2</v>
      </c>
    </row>
    <row r="22" spans="1:20" ht="64.5" customHeight="1" x14ac:dyDescent="0.35">
      <c r="A22" s="10" t="s">
        <v>14</v>
      </c>
      <c r="B22" s="1" t="s">
        <v>16</v>
      </c>
      <c r="C22" s="4">
        <f>IFERROR(VLOOKUP($A:$A,MASTER!$A:$T,3,0),0)</f>
        <v>169745476.28742221</v>
      </c>
      <c r="D22" s="4">
        <f>IFERROR(VLOOKUP($A:$A,MASTER!$A:$T,4,0),0)</f>
        <v>173839078.45874903</v>
      </c>
      <c r="E22" s="9">
        <f t="shared" si="0"/>
        <v>-2.354822751949992E-2</v>
      </c>
      <c r="F22" s="4">
        <f>IFERROR(VLOOKUP(A:A,MASTER!A:E,5,0),0)</f>
        <v>933333.33333333698</v>
      </c>
      <c r="G22" s="4">
        <f>IFERROR(VLOOKUP(A:A,MASTER!A:F,6,0),0)</f>
        <v>602702.702702704</v>
      </c>
      <c r="H22" s="9">
        <f t="shared" si="1"/>
        <v>0.54857997010463655</v>
      </c>
      <c r="I22" s="4">
        <f>IFERROR(VLOOKUP(A:A,MASTER!A:M,13,0),0)</f>
        <v>36453153.153153151</v>
      </c>
      <c r="J22" s="4">
        <f>IFERROR(VLOOKUP($A:$A,MASTER!$A:$T,14,0),0)</f>
        <v>27848198.198198199</v>
      </c>
      <c r="K22" s="9">
        <f t="shared" si="2"/>
        <v>0.30899503421056873</v>
      </c>
      <c r="L22" s="4">
        <f>IFERROR(VLOOKUP($A:$A,MASTER!$A:$T,15,0),0)</f>
        <v>57646441.441441439</v>
      </c>
      <c r="M22" s="4">
        <f>IFERROR(VLOOKUP($A:$A,MASTER!$A:$T,16,0),0)</f>
        <v>61266927.927927926</v>
      </c>
      <c r="N22" s="9">
        <f t="shared" si="3"/>
        <v>-5.9093651484296572E-2</v>
      </c>
      <c r="O22" s="4">
        <f>IFERROR(VLOOKUP($A:$A,MASTER!$A:$T,17,0),0)</f>
        <v>39621081.081081077</v>
      </c>
      <c r="P22" s="4">
        <f>IFERROR(VLOOKUP($A:$A,MASTER!$A:$T,18,0),0)</f>
        <v>25344954.954954956</v>
      </c>
      <c r="Q22" s="9">
        <f t="shared" si="4"/>
        <v>0.56327289401377012</v>
      </c>
      <c r="R22" s="4">
        <f>IFERROR(VLOOKUP($A:$A,MASTER!$A:$T,19,0),0)</f>
        <v>3907</v>
      </c>
      <c r="S22" s="4">
        <f>IFERROR(VLOOKUP($A:$A,MASTER!$A:$T,20,0),0)</f>
        <v>3964</v>
      </c>
      <c r="T22" s="9">
        <f t="shared" si="5"/>
        <v>-1.4379414732593299E-2</v>
      </c>
    </row>
  </sheetData>
  <autoFilter ref="A5:T22"/>
  <conditionalFormatting sqref="E6:E22">
    <cfRule type="cellIs" dxfId="5" priority="11" operator="lessThan">
      <formula>0</formula>
    </cfRule>
  </conditionalFormatting>
  <conditionalFormatting sqref="H6:H22">
    <cfRule type="cellIs" dxfId="4" priority="5" operator="lessThan">
      <formula>0</formula>
    </cfRule>
  </conditionalFormatting>
  <conditionalFormatting sqref="K6:K22">
    <cfRule type="cellIs" dxfId="3" priority="4" operator="lessThan">
      <formula>0</formula>
    </cfRule>
  </conditionalFormatting>
  <conditionalFormatting sqref="N6:N22">
    <cfRule type="cellIs" dxfId="2" priority="3" operator="lessThan">
      <formula>0</formula>
    </cfRule>
  </conditionalFormatting>
  <conditionalFormatting sqref="Q6:Q22">
    <cfRule type="cellIs" dxfId="1" priority="2" operator="lessThan">
      <formula>0</formula>
    </cfRule>
  </conditionalFormatting>
  <conditionalFormatting sqref="T6:T22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76"/>
  <sheetViews>
    <sheetView tabSelected="1" workbookViewId="0">
      <pane xSplit="1" ySplit="2" topLeftCell="B72" activePane="bottomRight" state="frozen"/>
      <selection pane="topRight" activeCell="B1" sqref="B1"/>
      <selection pane="bottomLeft" activeCell="A3" sqref="A3"/>
      <selection pane="bottomRight" activeCell="A3" sqref="A3:T575"/>
    </sheetView>
  </sheetViews>
  <sheetFormatPr defaultRowHeight="14.5" x14ac:dyDescent="0.35"/>
  <cols>
    <col min="1" max="1" width="36.90625" bestFit="1" customWidth="1"/>
    <col min="2" max="2" width="19.36328125" bestFit="1" customWidth="1"/>
    <col min="3" max="3" width="25.81640625" bestFit="1" customWidth="1"/>
    <col min="4" max="4" width="17.6328125" bestFit="1" customWidth="1"/>
    <col min="5" max="5" width="18.6328125" bestFit="1" customWidth="1"/>
    <col min="6" max="6" width="17.1796875" bestFit="1" customWidth="1"/>
    <col min="7" max="7" width="18.1796875" hidden="1" customWidth="1"/>
    <col min="8" max="8" width="15" hidden="1" customWidth="1"/>
    <col min="9" max="9" width="16" hidden="1" customWidth="1"/>
    <col min="10" max="10" width="18.453125" hidden="1" customWidth="1"/>
    <col min="11" max="11" width="19.453125" hidden="1" customWidth="1"/>
    <col min="12" max="12" width="0" hidden="1" customWidth="1"/>
    <col min="13" max="18" width="11.81640625" bestFit="1" customWidth="1"/>
  </cols>
  <sheetData>
    <row r="1" spans="1:20" x14ac:dyDescent="0.35">
      <c r="L1" s="7"/>
      <c r="M1" s="7"/>
    </row>
    <row r="2" spans="1:20" x14ac:dyDescent="0.35">
      <c r="A2" s="7" t="s">
        <v>37</v>
      </c>
      <c r="B2" s="11"/>
      <c r="C2" s="7" t="s">
        <v>38</v>
      </c>
      <c r="D2" s="7" t="s">
        <v>38</v>
      </c>
      <c r="E2" s="7" t="s">
        <v>39</v>
      </c>
      <c r="F2" s="7" t="s">
        <v>39</v>
      </c>
      <c r="G2" s="7" t="s">
        <v>40</v>
      </c>
      <c r="H2" s="7" t="s">
        <v>40</v>
      </c>
      <c r="I2" s="7" t="s">
        <v>41</v>
      </c>
      <c r="J2" s="7" t="s">
        <v>41</v>
      </c>
      <c r="K2" s="7" t="s">
        <v>42</v>
      </c>
      <c r="L2" s="7" t="s">
        <v>42</v>
      </c>
      <c r="M2" s="7" t="s">
        <v>43</v>
      </c>
      <c r="N2" s="7" t="s">
        <v>43</v>
      </c>
      <c r="O2" s="7" t="s">
        <v>44</v>
      </c>
      <c r="P2" s="7" t="s">
        <v>44</v>
      </c>
      <c r="Q2" s="7" t="s">
        <v>45</v>
      </c>
      <c r="R2" s="7" t="s">
        <v>45</v>
      </c>
      <c r="S2" s="7" t="s">
        <v>30</v>
      </c>
      <c r="T2" s="7" t="s">
        <v>30</v>
      </c>
    </row>
    <row r="3" spans="1:20" x14ac:dyDescent="0.35">
      <c r="A3" s="8" t="s">
        <v>46</v>
      </c>
      <c r="B3" s="8" t="s">
        <v>47</v>
      </c>
      <c r="C3" s="8" t="s">
        <v>31</v>
      </c>
      <c r="D3" s="8" t="s">
        <v>32</v>
      </c>
      <c r="E3" s="8" t="s">
        <v>31</v>
      </c>
      <c r="F3" s="8" t="s">
        <v>32</v>
      </c>
      <c r="G3" s="8" t="s">
        <v>31</v>
      </c>
      <c r="H3" s="8" t="s">
        <v>32</v>
      </c>
      <c r="I3" s="8" t="s">
        <v>31</v>
      </c>
      <c r="J3" s="8" t="s">
        <v>32</v>
      </c>
      <c r="K3" s="8" t="s">
        <v>31</v>
      </c>
      <c r="L3" s="8" t="s">
        <v>32</v>
      </c>
      <c r="M3" s="8" t="s">
        <v>31</v>
      </c>
      <c r="N3" s="8" t="s">
        <v>32</v>
      </c>
      <c r="O3" s="8" t="s">
        <v>31</v>
      </c>
      <c r="P3" s="8" t="s">
        <v>32</v>
      </c>
      <c r="Q3" s="8" t="s">
        <v>31</v>
      </c>
      <c r="R3" s="8" t="s">
        <v>32</v>
      </c>
      <c r="S3" s="8" t="s">
        <v>31</v>
      </c>
      <c r="T3" s="8" t="s">
        <v>32</v>
      </c>
    </row>
    <row r="4" spans="1:20" x14ac:dyDescent="0.35">
      <c r="A4" s="7" t="s">
        <v>670</v>
      </c>
      <c r="B4" s="12" t="s">
        <v>118</v>
      </c>
      <c r="E4">
        <v>4617117.1171171172</v>
      </c>
      <c r="F4">
        <v>91066846.846846849</v>
      </c>
      <c r="M4">
        <v>2445945.945945946</v>
      </c>
      <c r="N4">
        <v>1240540.5405405411</v>
      </c>
    </row>
    <row r="5" spans="1:20" x14ac:dyDescent="0.35">
      <c r="A5" s="7" t="s">
        <v>48</v>
      </c>
      <c r="B5" s="12" t="s">
        <v>49</v>
      </c>
      <c r="C5">
        <v>526003510.15542287</v>
      </c>
      <c r="D5">
        <v>589588230.93391061</v>
      </c>
      <c r="E5">
        <v>2193468.46846847</v>
      </c>
      <c r="F5">
        <v>1242342.342342345</v>
      </c>
      <c r="G5">
        <v>58</v>
      </c>
      <c r="H5">
        <v>20</v>
      </c>
      <c r="K5">
        <v>102</v>
      </c>
      <c r="L5">
        <v>28</v>
      </c>
      <c r="M5">
        <v>49061261.261261262</v>
      </c>
      <c r="N5">
        <v>23640090.090090092</v>
      </c>
      <c r="O5">
        <v>65182628.828828834</v>
      </c>
      <c r="P5">
        <v>82613592.792792797</v>
      </c>
      <c r="Q5">
        <v>46388288.288288288</v>
      </c>
      <c r="R5">
        <v>27235405.40540541</v>
      </c>
      <c r="S5">
        <v>8103</v>
      </c>
      <c r="T5">
        <v>8452</v>
      </c>
    </row>
    <row r="6" spans="1:20" x14ac:dyDescent="0.35">
      <c r="A6" s="7" t="s">
        <v>50</v>
      </c>
      <c r="B6" s="12" t="s">
        <v>51</v>
      </c>
      <c r="C6">
        <v>790504727.97189224</v>
      </c>
      <c r="D6">
        <v>826790350.9347837</v>
      </c>
      <c r="E6">
        <v>13533333.333333343</v>
      </c>
      <c r="F6">
        <v>9885381.0810810905</v>
      </c>
      <c r="G6">
        <v>711</v>
      </c>
      <c r="H6">
        <v>519</v>
      </c>
      <c r="K6">
        <v>1053</v>
      </c>
      <c r="L6">
        <v>689</v>
      </c>
      <c r="M6">
        <v>234290630.63063061</v>
      </c>
      <c r="N6">
        <v>268407882.88288289</v>
      </c>
      <c r="O6">
        <v>257625540.54054055</v>
      </c>
      <c r="P6">
        <v>264927612.61261261</v>
      </c>
      <c r="Q6">
        <v>223237387.38738739</v>
      </c>
      <c r="R6">
        <v>263118828.82882884</v>
      </c>
      <c r="S6">
        <v>19557</v>
      </c>
      <c r="T6">
        <v>20246</v>
      </c>
    </row>
    <row r="7" spans="1:20" x14ac:dyDescent="0.35">
      <c r="A7" s="7" t="s">
        <v>52</v>
      </c>
      <c r="B7" s="12" t="s">
        <v>53</v>
      </c>
      <c r="C7">
        <v>200278470.08899462</v>
      </c>
      <c r="D7">
        <v>208381310.32269523</v>
      </c>
      <c r="E7">
        <v>4676576.5765765756</v>
      </c>
      <c r="F7">
        <v>4286936.9369369391</v>
      </c>
      <c r="G7">
        <v>107</v>
      </c>
      <c r="H7">
        <v>124</v>
      </c>
      <c r="K7">
        <v>123</v>
      </c>
      <c r="L7">
        <v>142</v>
      </c>
      <c r="M7">
        <v>67615765.765765771</v>
      </c>
      <c r="N7">
        <v>35262432.432432435</v>
      </c>
      <c r="O7">
        <v>67510666.666666672</v>
      </c>
      <c r="P7">
        <v>69821918.918918923</v>
      </c>
      <c r="Q7">
        <v>55955585.585585594</v>
      </c>
      <c r="R7">
        <v>33457657.657657661</v>
      </c>
      <c r="S7">
        <v>4436</v>
      </c>
      <c r="T7">
        <v>4242</v>
      </c>
    </row>
    <row r="8" spans="1:20" x14ac:dyDescent="0.35">
      <c r="A8" s="7" t="s">
        <v>54</v>
      </c>
      <c r="B8" s="12" t="s">
        <v>55</v>
      </c>
      <c r="C8">
        <v>108422061.58011635</v>
      </c>
      <c r="D8">
        <v>100561420.95280176</v>
      </c>
      <c r="E8">
        <v>2100900.9009009041</v>
      </c>
      <c r="F8">
        <v>2274774.7747747782</v>
      </c>
      <c r="G8">
        <v>26</v>
      </c>
      <c r="H8">
        <v>52</v>
      </c>
      <c r="K8">
        <v>55</v>
      </c>
      <c r="L8">
        <v>69</v>
      </c>
      <c r="M8">
        <v>11379009.009009011</v>
      </c>
      <c r="N8">
        <v>16580450.45045045</v>
      </c>
      <c r="O8">
        <v>34360479.729729734</v>
      </c>
      <c r="P8">
        <v>32983045.045045044</v>
      </c>
      <c r="Q8">
        <v>11814684.684684688</v>
      </c>
      <c r="R8">
        <v>15894864.864864863</v>
      </c>
      <c r="S8">
        <v>3647</v>
      </c>
      <c r="T8">
        <v>3822</v>
      </c>
    </row>
    <row r="9" spans="1:20" x14ac:dyDescent="0.35">
      <c r="A9" s="7" t="s">
        <v>56</v>
      </c>
      <c r="B9" s="12" t="s">
        <v>55</v>
      </c>
      <c r="C9">
        <v>178499876.30449957</v>
      </c>
      <c r="D9">
        <v>185013131.18931815</v>
      </c>
      <c r="E9">
        <v>3626126.1261261292</v>
      </c>
      <c r="F9">
        <v>3347297.2972972989</v>
      </c>
      <c r="G9">
        <v>89</v>
      </c>
      <c r="H9">
        <v>130</v>
      </c>
      <c r="K9">
        <v>491</v>
      </c>
      <c r="L9">
        <v>323</v>
      </c>
      <c r="M9">
        <v>33468648.648648649</v>
      </c>
      <c r="N9">
        <v>135866846.84684685</v>
      </c>
      <c r="O9">
        <v>52379369.369369365</v>
      </c>
      <c r="P9">
        <v>55448259.459459454</v>
      </c>
      <c r="Q9">
        <v>57154144.144144148</v>
      </c>
      <c r="R9">
        <v>61437297.297297299</v>
      </c>
      <c r="S9">
        <v>4673</v>
      </c>
      <c r="T9">
        <v>4584</v>
      </c>
    </row>
    <row r="10" spans="1:20" x14ac:dyDescent="0.35">
      <c r="A10" s="7" t="s">
        <v>57</v>
      </c>
      <c r="B10" s="12" t="s">
        <v>55</v>
      </c>
      <c r="C10">
        <v>87828223.962991312</v>
      </c>
      <c r="D10">
        <v>92970669.964706451</v>
      </c>
      <c r="E10">
        <v>1369369.3693693699</v>
      </c>
      <c r="F10">
        <v>2273873.873873875</v>
      </c>
      <c r="G10">
        <v>23</v>
      </c>
      <c r="H10">
        <v>54</v>
      </c>
      <c r="K10">
        <v>26</v>
      </c>
      <c r="L10">
        <v>86</v>
      </c>
      <c r="M10">
        <v>8901441.441441441</v>
      </c>
      <c r="N10">
        <v>14418738.738738738</v>
      </c>
      <c r="O10">
        <v>26579027.02702703</v>
      </c>
      <c r="P10">
        <v>30079945.945945948</v>
      </c>
      <c r="Q10">
        <v>8520540.5405405406</v>
      </c>
      <c r="R10">
        <v>13938738.73873874</v>
      </c>
      <c r="S10">
        <v>2136</v>
      </c>
      <c r="T10">
        <v>2039</v>
      </c>
    </row>
    <row r="11" spans="1:20" x14ac:dyDescent="0.35">
      <c r="A11" s="7" t="s">
        <v>58</v>
      </c>
      <c r="B11" s="12" t="s">
        <v>59</v>
      </c>
      <c r="C11">
        <v>235078545.46880314</v>
      </c>
      <c r="D11">
        <v>232751519.59198213</v>
      </c>
      <c r="E11">
        <v>1063063.0630630639</v>
      </c>
      <c r="F11">
        <v>306306.30630630802</v>
      </c>
      <c r="G11">
        <v>82</v>
      </c>
      <c r="H11">
        <v>60</v>
      </c>
      <c r="I11">
        <v>1</v>
      </c>
      <c r="K11">
        <v>88</v>
      </c>
      <c r="L11">
        <v>69</v>
      </c>
      <c r="M11">
        <v>4486486.4864864862</v>
      </c>
      <c r="N11">
        <v>4936936.9369369373</v>
      </c>
      <c r="O11">
        <v>43271160.360360362</v>
      </c>
      <c r="P11">
        <v>47341261.261261262</v>
      </c>
      <c r="Q11">
        <v>3777567.5675675678</v>
      </c>
      <c r="R11">
        <v>4808918.9189189197</v>
      </c>
      <c r="S11">
        <v>5537</v>
      </c>
      <c r="T11">
        <v>5424</v>
      </c>
    </row>
    <row r="12" spans="1:20" x14ac:dyDescent="0.35">
      <c r="A12" s="7" t="s">
        <v>60</v>
      </c>
      <c r="B12" s="12" t="s">
        <v>61</v>
      </c>
      <c r="C12">
        <v>100595835.76754653</v>
      </c>
      <c r="D12">
        <v>105001447.19500975</v>
      </c>
      <c r="E12">
        <v>1009009.009009013</v>
      </c>
      <c r="F12">
        <v>1114414.414414414</v>
      </c>
      <c r="G12">
        <v>45</v>
      </c>
      <c r="H12">
        <v>36</v>
      </c>
      <c r="I12">
        <v>1</v>
      </c>
      <c r="K12">
        <v>79</v>
      </c>
      <c r="L12">
        <v>76</v>
      </c>
      <c r="M12">
        <v>16738738.738738736</v>
      </c>
      <c r="N12">
        <v>19366666.666666668</v>
      </c>
      <c r="O12">
        <v>47365279.279279277</v>
      </c>
      <c r="P12">
        <v>50473918.918918923</v>
      </c>
      <c r="Q12">
        <v>11157477.477477476</v>
      </c>
      <c r="R12">
        <v>14020810.81081081</v>
      </c>
      <c r="S12">
        <v>2991</v>
      </c>
      <c r="T12">
        <v>3062</v>
      </c>
    </row>
    <row r="13" spans="1:20" x14ac:dyDescent="0.35">
      <c r="A13" s="7" t="s">
        <v>62</v>
      </c>
      <c r="B13" s="12" t="s">
        <v>63</v>
      </c>
      <c r="C13">
        <v>460689322.41167384</v>
      </c>
      <c r="D13">
        <v>476944144.27538776</v>
      </c>
      <c r="E13">
        <v>5037387.3873873958</v>
      </c>
      <c r="F13">
        <v>4649549.5495495573</v>
      </c>
      <c r="G13">
        <v>60</v>
      </c>
      <c r="H13">
        <v>29</v>
      </c>
      <c r="K13">
        <v>63</v>
      </c>
      <c r="L13">
        <v>44</v>
      </c>
      <c r="M13">
        <v>68452972.972972974</v>
      </c>
      <c r="N13">
        <v>71639639.639639646</v>
      </c>
      <c r="O13">
        <v>48377529.729729727</v>
      </c>
      <c r="P13">
        <v>58203304.504504502</v>
      </c>
      <c r="Q13">
        <v>66972702.702702694</v>
      </c>
      <c r="R13">
        <v>62676396.396396391</v>
      </c>
      <c r="S13">
        <v>8602</v>
      </c>
      <c r="T13">
        <v>8858</v>
      </c>
    </row>
    <row r="14" spans="1:20" x14ac:dyDescent="0.35">
      <c r="A14" s="7" t="s">
        <v>64</v>
      </c>
      <c r="B14" s="12" t="s">
        <v>51</v>
      </c>
      <c r="C14">
        <v>245008694.48776364</v>
      </c>
      <c r="D14">
        <v>241604445.34629664</v>
      </c>
      <c r="E14">
        <v>2844144.144144149</v>
      </c>
      <c r="F14">
        <v>2870720.7207207261</v>
      </c>
      <c r="G14">
        <v>77</v>
      </c>
      <c r="H14">
        <v>72</v>
      </c>
      <c r="K14">
        <v>117</v>
      </c>
      <c r="L14">
        <v>79</v>
      </c>
      <c r="M14">
        <v>82849729.729729727</v>
      </c>
      <c r="N14">
        <v>46529351.351351351</v>
      </c>
      <c r="O14">
        <v>95212216.216216221</v>
      </c>
      <c r="P14">
        <v>97217819.819819823</v>
      </c>
      <c r="Q14">
        <v>79937657.657657668</v>
      </c>
      <c r="R14">
        <v>46479369.369369365</v>
      </c>
      <c r="S14">
        <v>5119</v>
      </c>
      <c r="T14">
        <v>5372</v>
      </c>
    </row>
    <row r="15" spans="1:20" x14ac:dyDescent="0.35">
      <c r="A15" s="7" t="s">
        <v>65</v>
      </c>
      <c r="B15" s="12" t="s">
        <v>51</v>
      </c>
      <c r="C15">
        <v>250101055.15620425</v>
      </c>
      <c r="D15">
        <v>247515884.35741824</v>
      </c>
      <c r="E15">
        <v>3510810.8108108118</v>
      </c>
      <c r="F15">
        <v>3801801.8018018021</v>
      </c>
      <c r="G15">
        <v>57</v>
      </c>
      <c r="H15">
        <v>34</v>
      </c>
      <c r="K15">
        <v>73</v>
      </c>
      <c r="L15">
        <v>41</v>
      </c>
      <c r="M15">
        <v>31072342.342342339</v>
      </c>
      <c r="N15">
        <v>42755315.315315321</v>
      </c>
      <c r="O15">
        <v>95275873.873873875</v>
      </c>
      <c r="P15">
        <v>96442009.009009004</v>
      </c>
      <c r="Q15">
        <v>28380720.72072072</v>
      </c>
      <c r="R15">
        <v>32753783.783783782</v>
      </c>
      <c r="S15">
        <v>5795</v>
      </c>
      <c r="T15">
        <v>5506</v>
      </c>
    </row>
    <row r="16" spans="1:20" x14ac:dyDescent="0.35">
      <c r="A16" s="7" t="s">
        <v>66</v>
      </c>
      <c r="B16" s="12" t="s">
        <v>67</v>
      </c>
      <c r="C16">
        <v>254672915.33559972</v>
      </c>
      <c r="D16">
        <v>251849811.87928849</v>
      </c>
      <c r="E16">
        <v>6718918.9189189216</v>
      </c>
      <c r="F16">
        <v>10348648.648648649</v>
      </c>
      <c r="G16">
        <v>64</v>
      </c>
      <c r="H16">
        <v>68</v>
      </c>
      <c r="K16">
        <v>77</v>
      </c>
      <c r="L16">
        <v>81</v>
      </c>
      <c r="M16">
        <v>147257747.74774775</v>
      </c>
      <c r="N16">
        <v>172101351.35135135</v>
      </c>
      <c r="O16">
        <v>129246873.87387387</v>
      </c>
      <c r="P16">
        <v>124992441.44144145</v>
      </c>
      <c r="Q16">
        <v>126623513.51351352</v>
      </c>
      <c r="R16">
        <v>164132612.61261261</v>
      </c>
      <c r="S16">
        <v>5552</v>
      </c>
      <c r="T16">
        <v>5478</v>
      </c>
    </row>
    <row r="17" spans="1:20" x14ac:dyDescent="0.35">
      <c r="A17" s="7" t="s">
        <v>68</v>
      </c>
      <c r="B17" s="12" t="s">
        <v>69</v>
      </c>
      <c r="C17">
        <v>147461096.08894148</v>
      </c>
      <c r="D17">
        <v>151148156.97618476</v>
      </c>
      <c r="E17">
        <v>1307207.207207209</v>
      </c>
      <c r="F17">
        <v>964864.86486486497</v>
      </c>
      <c r="G17">
        <v>55</v>
      </c>
      <c r="H17">
        <v>25</v>
      </c>
      <c r="K17">
        <v>60</v>
      </c>
      <c r="L17">
        <v>28</v>
      </c>
      <c r="M17">
        <v>27906846.846846849</v>
      </c>
      <c r="N17">
        <v>24581261.261261258</v>
      </c>
      <c r="O17">
        <v>39879855.855855852</v>
      </c>
      <c r="P17">
        <v>44783873.873873875</v>
      </c>
      <c r="Q17">
        <v>19845945.945945945</v>
      </c>
      <c r="R17">
        <v>19283063.063063063</v>
      </c>
      <c r="S17">
        <v>3234</v>
      </c>
      <c r="T17">
        <v>3100</v>
      </c>
    </row>
    <row r="18" spans="1:20" x14ac:dyDescent="0.35">
      <c r="A18" s="7" t="s">
        <v>70</v>
      </c>
      <c r="B18" s="12" t="s">
        <v>71</v>
      </c>
      <c r="C18">
        <v>11565259.141133262</v>
      </c>
      <c r="D18">
        <v>11477229.832551742</v>
      </c>
      <c r="E18">
        <v>116216.216216217</v>
      </c>
      <c r="F18">
        <v>531531.53153153195</v>
      </c>
      <c r="G18">
        <v>3</v>
      </c>
      <c r="H18">
        <v>3</v>
      </c>
      <c r="K18">
        <v>3</v>
      </c>
      <c r="L18">
        <v>3</v>
      </c>
      <c r="M18">
        <v>404504.50450450502</v>
      </c>
      <c r="N18">
        <v>2117117.1171171172</v>
      </c>
      <c r="O18">
        <v>3400103.6036036038</v>
      </c>
      <c r="P18">
        <v>3649765.7657657661</v>
      </c>
      <c r="Q18">
        <v>404054.05405405402</v>
      </c>
      <c r="R18">
        <v>1709909.9099099101</v>
      </c>
      <c r="S18">
        <v>404</v>
      </c>
      <c r="T18">
        <v>291</v>
      </c>
    </row>
    <row r="19" spans="1:20" x14ac:dyDescent="0.35">
      <c r="A19" s="7" t="s">
        <v>72</v>
      </c>
      <c r="B19" s="12" t="s">
        <v>73</v>
      </c>
      <c r="C19">
        <v>1990051472.8759971</v>
      </c>
      <c r="D19">
        <v>2054576552.5288815</v>
      </c>
      <c r="E19">
        <v>495775846.84684682</v>
      </c>
      <c r="F19">
        <v>653057637.83783782</v>
      </c>
      <c r="G19">
        <v>620</v>
      </c>
      <c r="H19">
        <v>748</v>
      </c>
      <c r="I19">
        <v>21</v>
      </c>
      <c r="K19">
        <v>907</v>
      </c>
      <c r="L19">
        <v>1167</v>
      </c>
      <c r="M19">
        <v>224715772.97297296</v>
      </c>
      <c r="N19">
        <v>256429729.72972974</v>
      </c>
      <c r="O19">
        <v>408621900.9009009</v>
      </c>
      <c r="P19">
        <v>519570281.98198199</v>
      </c>
      <c r="Q19">
        <v>190648061.26126125</v>
      </c>
      <c r="R19">
        <v>215913016.21621624</v>
      </c>
      <c r="S19">
        <v>45594</v>
      </c>
      <c r="T19">
        <v>48116</v>
      </c>
    </row>
    <row r="20" spans="1:20" x14ac:dyDescent="0.35">
      <c r="A20" s="7" t="s">
        <v>74</v>
      </c>
      <c r="B20" s="12" t="s">
        <v>73</v>
      </c>
      <c r="C20">
        <v>190578030.46184459</v>
      </c>
      <c r="D20">
        <v>194211656.08957306</v>
      </c>
      <c r="E20">
        <v>160360.360360361</v>
      </c>
      <c r="F20">
        <v>94594.594594594993</v>
      </c>
      <c r="G20">
        <v>43</v>
      </c>
      <c r="H20">
        <v>37</v>
      </c>
      <c r="I20">
        <v>1</v>
      </c>
      <c r="K20">
        <v>45</v>
      </c>
      <c r="L20">
        <v>42</v>
      </c>
      <c r="M20">
        <v>5250450.4504504511</v>
      </c>
      <c r="N20">
        <v>6581081.0810810803</v>
      </c>
      <c r="O20">
        <v>27835153.153153151</v>
      </c>
      <c r="P20">
        <v>30234144.144144144</v>
      </c>
      <c r="Q20">
        <v>5258918.9189189197</v>
      </c>
      <c r="R20">
        <v>4541441.441441441</v>
      </c>
      <c r="S20">
        <v>3439</v>
      </c>
      <c r="T20">
        <v>3795</v>
      </c>
    </row>
    <row r="21" spans="1:20" x14ac:dyDescent="0.35">
      <c r="A21" s="7" t="s">
        <v>75</v>
      </c>
      <c r="B21" s="12" t="s">
        <v>71</v>
      </c>
      <c r="C21">
        <v>203158978.00777879</v>
      </c>
      <c r="D21">
        <v>204145548.03769141</v>
      </c>
      <c r="E21">
        <v>5661261.2612612657</v>
      </c>
      <c r="F21">
        <v>6307657.657657654</v>
      </c>
      <c r="G21">
        <v>67</v>
      </c>
      <c r="H21">
        <v>46</v>
      </c>
      <c r="I21">
        <v>1</v>
      </c>
      <c r="K21">
        <v>85</v>
      </c>
      <c r="L21">
        <v>82</v>
      </c>
      <c r="M21">
        <v>49044144.144144148</v>
      </c>
      <c r="N21">
        <v>247883333.33333334</v>
      </c>
      <c r="O21">
        <v>73812630.630630627</v>
      </c>
      <c r="P21">
        <v>74635774.774774775</v>
      </c>
      <c r="Q21">
        <v>44789189.189189196</v>
      </c>
      <c r="R21">
        <v>244699639.63963965</v>
      </c>
      <c r="S21">
        <v>4345</v>
      </c>
      <c r="T21">
        <v>5327</v>
      </c>
    </row>
    <row r="22" spans="1:20" x14ac:dyDescent="0.35">
      <c r="A22" s="7" t="s">
        <v>76</v>
      </c>
      <c r="B22" s="12" t="s">
        <v>77</v>
      </c>
      <c r="C22">
        <v>58723482.990553923</v>
      </c>
      <c r="D22">
        <v>62270062.587738782</v>
      </c>
      <c r="E22">
        <v>526126.12612612697</v>
      </c>
      <c r="F22">
        <v>449549.54954954999</v>
      </c>
      <c r="G22">
        <v>17</v>
      </c>
      <c r="H22">
        <v>31</v>
      </c>
      <c r="K22">
        <v>18</v>
      </c>
      <c r="L22">
        <v>33</v>
      </c>
      <c r="M22">
        <v>7521981.9819819806</v>
      </c>
      <c r="N22">
        <v>9955855.8558558561</v>
      </c>
      <c r="O22">
        <v>14741270.270270269</v>
      </c>
      <c r="P22">
        <v>18277603.603603605</v>
      </c>
      <c r="Q22">
        <v>5499279.2792792786</v>
      </c>
      <c r="R22">
        <v>7764324.3243243257</v>
      </c>
      <c r="S22">
        <v>1506</v>
      </c>
      <c r="T22">
        <v>1530</v>
      </c>
    </row>
    <row r="23" spans="1:20" x14ac:dyDescent="0.35">
      <c r="A23" s="7" t="s">
        <v>78</v>
      </c>
      <c r="B23" s="12" t="s">
        <v>79</v>
      </c>
      <c r="C23">
        <v>125740880.96312737</v>
      </c>
      <c r="D23">
        <v>131425830.81026798</v>
      </c>
      <c r="E23">
        <v>1862162.16216216</v>
      </c>
      <c r="F23">
        <v>2607657.6576576591</v>
      </c>
      <c r="G23">
        <v>26</v>
      </c>
      <c r="H23">
        <v>47</v>
      </c>
      <c r="K23">
        <v>28</v>
      </c>
      <c r="L23">
        <v>72</v>
      </c>
      <c r="M23">
        <v>15799099.0990991</v>
      </c>
      <c r="N23">
        <v>23828378.378378376</v>
      </c>
      <c r="O23">
        <v>41138522.522522517</v>
      </c>
      <c r="P23">
        <v>42991198.198198199</v>
      </c>
      <c r="Q23">
        <v>15594594.594594592</v>
      </c>
      <c r="R23">
        <v>22616666.666666668</v>
      </c>
      <c r="S23">
        <v>2484</v>
      </c>
      <c r="T23">
        <v>2479</v>
      </c>
    </row>
    <row r="24" spans="1:20" x14ac:dyDescent="0.35">
      <c r="A24" s="7" t="s">
        <v>80</v>
      </c>
      <c r="B24" s="12" t="s">
        <v>81</v>
      </c>
      <c r="C24">
        <v>1175593142.6188104</v>
      </c>
      <c r="D24">
        <v>1314399648.5631609</v>
      </c>
      <c r="E24">
        <v>7067567.5675675776</v>
      </c>
      <c r="F24">
        <v>13716666.666666675</v>
      </c>
      <c r="G24">
        <v>873</v>
      </c>
      <c r="H24">
        <v>784</v>
      </c>
      <c r="I24">
        <v>6</v>
      </c>
      <c r="K24">
        <v>1007</v>
      </c>
      <c r="L24">
        <v>1088</v>
      </c>
      <c r="M24">
        <v>174598198.1981982</v>
      </c>
      <c r="N24">
        <v>161191441.44144145</v>
      </c>
      <c r="O24">
        <v>307371795.04504508</v>
      </c>
      <c r="P24">
        <v>406600203.6036036</v>
      </c>
      <c r="Q24">
        <v>159061261.26126125</v>
      </c>
      <c r="R24">
        <v>142147207.2072072</v>
      </c>
      <c r="S24">
        <v>26383</v>
      </c>
      <c r="T24">
        <v>26373</v>
      </c>
    </row>
    <row r="25" spans="1:20" x14ac:dyDescent="0.35">
      <c r="A25" s="7" t="s">
        <v>82</v>
      </c>
      <c r="B25" s="12" t="s">
        <v>55</v>
      </c>
      <c r="C25">
        <v>36567379.27643282</v>
      </c>
      <c r="D25">
        <v>33526161.066321451</v>
      </c>
      <c r="E25">
        <v>431531.53153153299</v>
      </c>
      <c r="F25">
        <v>247747.74774774801</v>
      </c>
      <c r="G25">
        <v>11</v>
      </c>
      <c r="H25">
        <v>8</v>
      </c>
      <c r="K25">
        <v>17</v>
      </c>
      <c r="L25">
        <v>9</v>
      </c>
      <c r="M25">
        <v>3109729.7297297302</v>
      </c>
      <c r="N25">
        <v>2550450.4504504511</v>
      </c>
      <c r="O25">
        <v>8694126.1261261255</v>
      </c>
      <c r="P25">
        <v>9259666.666666666</v>
      </c>
      <c r="Q25">
        <v>2619459.4594594599</v>
      </c>
      <c r="R25">
        <v>2245405.4054054059</v>
      </c>
      <c r="S25">
        <v>1315</v>
      </c>
      <c r="T25">
        <v>986</v>
      </c>
    </row>
    <row r="26" spans="1:20" x14ac:dyDescent="0.35">
      <c r="A26" s="7" t="s">
        <v>83</v>
      </c>
      <c r="B26" s="12" t="s">
        <v>84</v>
      </c>
      <c r="C26">
        <v>843429450.69114816</v>
      </c>
      <c r="D26">
        <v>837441905.55129242</v>
      </c>
      <c r="E26">
        <v>9584909.9099099115</v>
      </c>
      <c r="F26">
        <v>13944144.144144149</v>
      </c>
      <c r="G26">
        <v>159</v>
      </c>
      <c r="H26">
        <v>126</v>
      </c>
      <c r="I26">
        <v>2</v>
      </c>
      <c r="K26">
        <v>203</v>
      </c>
      <c r="L26">
        <v>153</v>
      </c>
      <c r="M26">
        <v>176309459.45945945</v>
      </c>
      <c r="N26">
        <v>157461711.7117117</v>
      </c>
      <c r="O26">
        <v>246786986.93693691</v>
      </c>
      <c r="P26">
        <v>259827218.01801801</v>
      </c>
      <c r="Q26">
        <v>127954234.23423424</v>
      </c>
      <c r="R26">
        <v>143483423.42342341</v>
      </c>
      <c r="S26">
        <v>14911</v>
      </c>
      <c r="T26">
        <v>14945</v>
      </c>
    </row>
    <row r="27" spans="1:20" x14ac:dyDescent="0.35">
      <c r="A27" s="7" t="s">
        <v>85</v>
      </c>
      <c r="B27" s="12" t="s">
        <v>86</v>
      </c>
      <c r="C27">
        <v>77545270.170501098</v>
      </c>
      <c r="D27">
        <v>75572990.919026822</v>
      </c>
      <c r="E27">
        <v>1659234.234234235</v>
      </c>
      <c r="F27">
        <v>3010810.8108108118</v>
      </c>
      <c r="G27">
        <v>40</v>
      </c>
      <c r="H27">
        <v>129</v>
      </c>
      <c r="K27">
        <v>50</v>
      </c>
      <c r="L27">
        <v>149</v>
      </c>
      <c r="M27">
        <v>170145495.4954955</v>
      </c>
      <c r="N27">
        <v>137781531.53153154</v>
      </c>
      <c r="O27">
        <v>27845612.612612613</v>
      </c>
      <c r="P27">
        <v>36755711.711711712</v>
      </c>
      <c r="Q27">
        <v>143523783.78378376</v>
      </c>
      <c r="R27">
        <v>104843329.72972973</v>
      </c>
      <c r="S27">
        <v>2201</v>
      </c>
      <c r="T27">
        <v>2228</v>
      </c>
    </row>
    <row r="28" spans="1:20" x14ac:dyDescent="0.35">
      <c r="A28" s="7" t="s">
        <v>87</v>
      </c>
      <c r="B28" s="12" t="s">
        <v>88</v>
      </c>
      <c r="C28">
        <v>2985376.8855070728</v>
      </c>
      <c r="D28">
        <v>3682806.0353204771</v>
      </c>
      <c r="G28">
        <v>1</v>
      </c>
      <c r="K28">
        <v>1</v>
      </c>
      <c r="O28">
        <v>1354873.8738738741</v>
      </c>
      <c r="P28">
        <v>2068558.5585585581</v>
      </c>
      <c r="S28">
        <v>174</v>
      </c>
      <c r="T28">
        <v>152</v>
      </c>
    </row>
    <row r="29" spans="1:20" x14ac:dyDescent="0.35">
      <c r="A29" s="7" t="s">
        <v>89</v>
      </c>
      <c r="B29" s="12" t="s">
        <v>90</v>
      </c>
      <c r="C29">
        <v>171730341.49124965</v>
      </c>
      <c r="D29">
        <v>185299604.21428272</v>
      </c>
      <c r="E29">
        <v>3054054.0540540582</v>
      </c>
      <c r="F29">
        <v>2225225.225225226</v>
      </c>
      <c r="G29">
        <v>24</v>
      </c>
      <c r="H29">
        <v>25</v>
      </c>
      <c r="K29">
        <v>29</v>
      </c>
      <c r="L29">
        <v>32</v>
      </c>
      <c r="M29">
        <v>26418378.378378376</v>
      </c>
      <c r="N29">
        <v>31397477.47747748</v>
      </c>
      <c r="O29">
        <v>61564828.828828834</v>
      </c>
      <c r="P29">
        <v>66167891.891891897</v>
      </c>
      <c r="Q29">
        <v>25911261.261261258</v>
      </c>
      <c r="R29">
        <v>33463063.063063063</v>
      </c>
      <c r="S29">
        <v>3375</v>
      </c>
      <c r="T29">
        <v>3326</v>
      </c>
    </row>
    <row r="30" spans="1:20" x14ac:dyDescent="0.35">
      <c r="A30" s="7" t="s">
        <v>91</v>
      </c>
      <c r="B30" s="12" t="s">
        <v>61</v>
      </c>
      <c r="C30">
        <v>61712727.979732893</v>
      </c>
      <c r="D30">
        <v>62680804.716365173</v>
      </c>
      <c r="E30">
        <v>122522.522522524</v>
      </c>
      <c r="F30">
        <v>1118918.9189189191</v>
      </c>
      <c r="G30">
        <v>14</v>
      </c>
      <c r="H30">
        <v>37</v>
      </c>
      <c r="K30">
        <v>140</v>
      </c>
      <c r="L30">
        <v>153</v>
      </c>
      <c r="M30">
        <v>4284684.6846846854</v>
      </c>
      <c r="N30">
        <v>7740540.5405405387</v>
      </c>
      <c r="O30">
        <v>36454720.720720723</v>
      </c>
      <c r="P30">
        <v>37493243.24324324</v>
      </c>
      <c r="Q30">
        <v>3861261.2612612611</v>
      </c>
      <c r="R30">
        <v>7690540.5405405387</v>
      </c>
      <c r="S30">
        <v>1551</v>
      </c>
      <c r="T30">
        <v>2084</v>
      </c>
    </row>
    <row r="31" spans="1:20" x14ac:dyDescent="0.35">
      <c r="A31" s="7" t="s">
        <v>92</v>
      </c>
      <c r="B31" s="12" t="s">
        <v>93</v>
      </c>
      <c r="C31">
        <v>51110212.436772242</v>
      </c>
      <c r="D31">
        <v>47099337.587067224</v>
      </c>
      <c r="E31">
        <v>2318018.018018018</v>
      </c>
      <c r="F31">
        <v>1295495.4954954961</v>
      </c>
      <c r="G31">
        <v>14</v>
      </c>
      <c r="H31">
        <v>6</v>
      </c>
      <c r="K31">
        <v>17</v>
      </c>
      <c r="L31">
        <v>7</v>
      </c>
      <c r="M31">
        <v>16535675.675675675</v>
      </c>
      <c r="N31">
        <v>19757207.207207207</v>
      </c>
      <c r="O31">
        <v>16384468.468468469</v>
      </c>
      <c r="P31">
        <v>17182216.216216218</v>
      </c>
      <c r="Q31">
        <v>16602342.342342343</v>
      </c>
      <c r="R31">
        <v>19246486.486486487</v>
      </c>
      <c r="S31">
        <v>1035</v>
      </c>
      <c r="T31">
        <v>1028</v>
      </c>
    </row>
    <row r="32" spans="1:20" x14ac:dyDescent="0.35">
      <c r="A32" s="7" t="s">
        <v>94</v>
      </c>
      <c r="B32" s="12" t="s">
        <v>95</v>
      </c>
      <c r="C32">
        <v>221559290.94016087</v>
      </c>
      <c r="D32">
        <v>238211383.97114649</v>
      </c>
      <c r="E32">
        <v>452702.70270270499</v>
      </c>
      <c r="F32">
        <v>243243.24324324401</v>
      </c>
      <c r="G32">
        <v>41</v>
      </c>
      <c r="H32">
        <v>19</v>
      </c>
      <c r="K32">
        <v>48</v>
      </c>
      <c r="L32">
        <v>23</v>
      </c>
      <c r="M32">
        <v>31137387.387387387</v>
      </c>
      <c r="N32">
        <v>32342342.342342336</v>
      </c>
      <c r="O32">
        <v>32105881.081081081</v>
      </c>
      <c r="P32">
        <v>41596462.162162162</v>
      </c>
      <c r="Q32">
        <v>24617567.567567568</v>
      </c>
      <c r="R32">
        <v>30363963.963963959</v>
      </c>
      <c r="S32">
        <v>4631</v>
      </c>
      <c r="T32">
        <v>4547</v>
      </c>
    </row>
    <row r="33" spans="1:20" x14ac:dyDescent="0.35">
      <c r="A33" s="7" t="s">
        <v>96</v>
      </c>
      <c r="B33" s="12" t="s">
        <v>97</v>
      </c>
      <c r="C33">
        <v>234006739.1048134</v>
      </c>
      <c r="D33">
        <v>241715947.43497294</v>
      </c>
      <c r="E33">
        <v>1579279.2792792791</v>
      </c>
      <c r="F33">
        <v>2677927.9279279308</v>
      </c>
      <c r="G33">
        <v>53</v>
      </c>
      <c r="H33">
        <v>87</v>
      </c>
      <c r="I33">
        <v>3</v>
      </c>
      <c r="K33">
        <v>60</v>
      </c>
      <c r="L33">
        <v>97</v>
      </c>
      <c r="M33">
        <v>46149549.54954955</v>
      </c>
      <c r="N33">
        <v>42724324.324324325</v>
      </c>
      <c r="O33">
        <v>117961693.6936937</v>
      </c>
      <c r="P33">
        <v>122793324.32432432</v>
      </c>
      <c r="Q33">
        <v>45164324.324324325</v>
      </c>
      <c r="R33">
        <v>43954504.504504502</v>
      </c>
      <c r="S33">
        <v>5825</v>
      </c>
      <c r="T33">
        <v>6313</v>
      </c>
    </row>
    <row r="34" spans="1:20" x14ac:dyDescent="0.35">
      <c r="A34" s="7" t="s">
        <v>98</v>
      </c>
      <c r="B34" s="12" t="s">
        <v>99</v>
      </c>
      <c r="C34">
        <v>809736651.77212811</v>
      </c>
      <c r="D34">
        <v>804804703.36963964</v>
      </c>
      <c r="E34">
        <v>188193693.6936937</v>
      </c>
      <c r="F34">
        <v>212330180.18018019</v>
      </c>
      <c r="G34">
        <v>323</v>
      </c>
      <c r="H34">
        <v>184</v>
      </c>
      <c r="K34">
        <v>435</v>
      </c>
      <c r="L34">
        <v>216</v>
      </c>
      <c r="M34">
        <v>181316891.8918919</v>
      </c>
      <c r="N34">
        <v>229918648.64864865</v>
      </c>
      <c r="O34">
        <v>211156372.52252254</v>
      </c>
      <c r="P34">
        <v>226869099.0990991</v>
      </c>
      <c r="Q34">
        <v>105442612.61261261</v>
      </c>
      <c r="R34">
        <v>166029189.1891892</v>
      </c>
      <c r="S34">
        <v>20799</v>
      </c>
      <c r="T34">
        <v>22774</v>
      </c>
    </row>
    <row r="35" spans="1:20" x14ac:dyDescent="0.35">
      <c r="A35" s="7" t="s">
        <v>100</v>
      </c>
      <c r="B35" s="12" t="s">
        <v>99</v>
      </c>
      <c r="C35">
        <v>1309492612.5277376</v>
      </c>
      <c r="D35">
        <v>1321793952.9536123</v>
      </c>
      <c r="E35">
        <v>5311805.4054054096</v>
      </c>
      <c r="F35">
        <v>6955654.0540540563</v>
      </c>
      <c r="G35">
        <v>406</v>
      </c>
      <c r="H35">
        <v>413</v>
      </c>
      <c r="I35">
        <v>15</v>
      </c>
      <c r="K35">
        <v>705</v>
      </c>
      <c r="L35">
        <v>558</v>
      </c>
      <c r="M35">
        <v>79010810.810810819</v>
      </c>
      <c r="N35">
        <v>273930675.67567569</v>
      </c>
      <c r="O35">
        <v>254485869.81981981</v>
      </c>
      <c r="P35">
        <v>271153421.62162161</v>
      </c>
      <c r="Q35">
        <v>74060360.360360354</v>
      </c>
      <c r="R35">
        <v>91825720.720720723</v>
      </c>
      <c r="S35">
        <v>28776</v>
      </c>
      <c r="T35">
        <v>28078</v>
      </c>
    </row>
    <row r="36" spans="1:20" x14ac:dyDescent="0.35">
      <c r="A36" s="7" t="s">
        <v>101</v>
      </c>
      <c r="B36" s="12" t="s">
        <v>99</v>
      </c>
      <c r="C36">
        <v>1650280857.8518946</v>
      </c>
      <c r="D36">
        <v>1871550496.5799539</v>
      </c>
      <c r="E36">
        <v>13698198.198198205</v>
      </c>
      <c r="F36">
        <v>15548731.531531531</v>
      </c>
      <c r="G36">
        <v>360</v>
      </c>
      <c r="H36">
        <v>467</v>
      </c>
      <c r="I36">
        <v>20</v>
      </c>
      <c r="K36">
        <v>943</v>
      </c>
      <c r="L36">
        <v>556</v>
      </c>
      <c r="M36">
        <v>537768603.6036036</v>
      </c>
      <c r="N36">
        <v>254981749.54954955</v>
      </c>
      <c r="O36">
        <v>672125047.29729724</v>
      </c>
      <c r="P36">
        <v>861644709.90990984</v>
      </c>
      <c r="Q36">
        <v>164843648.64864865</v>
      </c>
      <c r="R36">
        <v>154590945.94594595</v>
      </c>
      <c r="S36">
        <v>32415</v>
      </c>
      <c r="T36">
        <v>33024</v>
      </c>
    </row>
    <row r="37" spans="1:20" x14ac:dyDescent="0.35">
      <c r="A37" s="7" t="s">
        <v>102</v>
      </c>
      <c r="B37" s="12" t="s">
        <v>99</v>
      </c>
      <c r="C37">
        <v>753815973.45165157</v>
      </c>
      <c r="D37">
        <v>763505168.20908296</v>
      </c>
      <c r="E37">
        <v>4209909.9099099087</v>
      </c>
      <c r="F37">
        <v>4978828.8288288303</v>
      </c>
      <c r="G37">
        <v>232</v>
      </c>
      <c r="H37">
        <v>162</v>
      </c>
      <c r="I37">
        <v>6</v>
      </c>
      <c r="K37">
        <v>274</v>
      </c>
      <c r="L37">
        <v>218</v>
      </c>
      <c r="M37">
        <v>61616216.216216214</v>
      </c>
      <c r="N37">
        <v>68212779.279279277</v>
      </c>
      <c r="O37">
        <v>167578009.00900903</v>
      </c>
      <c r="P37">
        <v>173606891.8918919</v>
      </c>
      <c r="Q37">
        <v>55712522.522522517</v>
      </c>
      <c r="R37">
        <v>64886576.576576576</v>
      </c>
      <c r="S37">
        <v>21400</v>
      </c>
      <c r="T37">
        <v>21701</v>
      </c>
    </row>
    <row r="38" spans="1:20" x14ac:dyDescent="0.35">
      <c r="A38" s="7" t="s">
        <v>103</v>
      </c>
      <c r="B38" s="12" t="s">
        <v>99</v>
      </c>
      <c r="C38">
        <v>853505434.345415</v>
      </c>
      <c r="D38">
        <v>877664905.78794384</v>
      </c>
      <c r="E38">
        <v>8554054.0540540572</v>
      </c>
      <c r="F38">
        <v>11987837.837837836</v>
      </c>
      <c r="G38">
        <v>203</v>
      </c>
      <c r="H38">
        <v>67</v>
      </c>
      <c r="I38">
        <v>1</v>
      </c>
      <c r="K38">
        <v>259</v>
      </c>
      <c r="L38">
        <v>95</v>
      </c>
      <c r="M38">
        <v>149762162.16216218</v>
      </c>
      <c r="N38">
        <v>208125765.76576576</v>
      </c>
      <c r="O38">
        <v>250345743.24324322</v>
      </c>
      <c r="P38">
        <v>254030801.8018018</v>
      </c>
      <c r="Q38">
        <v>146548288.2882883</v>
      </c>
      <c r="R38">
        <v>168469279.27927929</v>
      </c>
      <c r="S38">
        <v>24678</v>
      </c>
      <c r="T38">
        <v>27204</v>
      </c>
    </row>
    <row r="39" spans="1:20" x14ac:dyDescent="0.35">
      <c r="A39" s="7" t="s">
        <v>104</v>
      </c>
      <c r="B39" s="12" t="s">
        <v>99</v>
      </c>
      <c r="C39">
        <v>2196490166.910315</v>
      </c>
      <c r="D39">
        <v>2197073775.8279448</v>
      </c>
      <c r="E39">
        <v>942473783.78378379</v>
      </c>
      <c r="F39">
        <v>1601610906.3063064</v>
      </c>
      <c r="G39">
        <v>630</v>
      </c>
      <c r="H39">
        <v>373</v>
      </c>
      <c r="I39">
        <v>17</v>
      </c>
      <c r="K39">
        <v>1006</v>
      </c>
      <c r="L39">
        <v>446</v>
      </c>
      <c r="M39">
        <v>242012460.36036035</v>
      </c>
      <c r="N39">
        <v>1168502252.2522521</v>
      </c>
      <c r="O39">
        <v>469529223.42342341</v>
      </c>
      <c r="P39">
        <v>485107504.5045045</v>
      </c>
      <c r="Q39">
        <v>215428378.37837836</v>
      </c>
      <c r="R39">
        <v>319007837.83783782</v>
      </c>
      <c r="S39">
        <v>54506</v>
      </c>
      <c r="T39">
        <v>54618</v>
      </c>
    </row>
    <row r="40" spans="1:20" x14ac:dyDescent="0.35">
      <c r="A40" s="7" t="s">
        <v>105</v>
      </c>
      <c r="B40" s="12" t="s">
        <v>106</v>
      </c>
      <c r="C40">
        <v>151588958.59247532</v>
      </c>
      <c r="D40">
        <v>144303672.63816297</v>
      </c>
      <c r="E40">
        <v>1254954.9549549541</v>
      </c>
      <c r="F40">
        <v>165765.765765766</v>
      </c>
      <c r="G40">
        <v>31</v>
      </c>
      <c r="H40">
        <v>14</v>
      </c>
      <c r="K40">
        <v>35</v>
      </c>
      <c r="L40">
        <v>14</v>
      </c>
      <c r="M40">
        <v>1705405.405405405</v>
      </c>
      <c r="N40">
        <v>165765.765765766</v>
      </c>
      <c r="O40">
        <v>33192099.0990991</v>
      </c>
      <c r="P40">
        <v>35723693.69369369</v>
      </c>
      <c r="Q40">
        <v>1101261.2612612611</v>
      </c>
      <c r="R40">
        <v>283783.78378378402</v>
      </c>
      <c r="S40">
        <v>2447</v>
      </c>
      <c r="T40">
        <v>2665</v>
      </c>
    </row>
    <row r="41" spans="1:20" x14ac:dyDescent="0.35">
      <c r="A41" s="7" t="s">
        <v>107</v>
      </c>
      <c r="B41" s="12" t="s">
        <v>55</v>
      </c>
      <c r="C41">
        <v>52058012.043995321</v>
      </c>
      <c r="D41">
        <v>50129287.657545544</v>
      </c>
      <c r="E41">
        <v>48648.648648649003</v>
      </c>
      <c r="F41">
        <v>638738.73873873905</v>
      </c>
      <c r="G41">
        <v>29</v>
      </c>
      <c r="H41">
        <v>53</v>
      </c>
      <c r="I41">
        <v>8</v>
      </c>
      <c r="K41">
        <v>35</v>
      </c>
      <c r="L41">
        <v>67</v>
      </c>
      <c r="M41">
        <v>1791171.1711711721</v>
      </c>
      <c r="N41">
        <v>3091351.3513513501</v>
      </c>
      <c r="O41">
        <v>13258495.495495496</v>
      </c>
      <c r="P41">
        <v>13494207.207207208</v>
      </c>
      <c r="Q41">
        <v>1737927.927927928</v>
      </c>
      <c r="R41">
        <v>2575945.945945946</v>
      </c>
      <c r="S41">
        <v>1404</v>
      </c>
      <c r="T41">
        <v>1337</v>
      </c>
    </row>
    <row r="42" spans="1:20" x14ac:dyDescent="0.35">
      <c r="A42" s="7" t="s">
        <v>108</v>
      </c>
      <c r="B42" s="12" t="s">
        <v>109</v>
      </c>
      <c r="C42">
        <v>422513863.58487958</v>
      </c>
      <c r="D42">
        <v>441670016.58859587</v>
      </c>
      <c r="E42">
        <v>5042342.3423423478</v>
      </c>
      <c r="F42">
        <v>7056306.3063063081</v>
      </c>
      <c r="G42">
        <v>124</v>
      </c>
      <c r="H42">
        <v>89</v>
      </c>
      <c r="I42">
        <v>1</v>
      </c>
      <c r="K42">
        <v>147</v>
      </c>
      <c r="L42">
        <v>107</v>
      </c>
      <c r="M42">
        <v>65945225.225225225</v>
      </c>
      <c r="N42">
        <v>64679729.729729727</v>
      </c>
      <c r="O42">
        <v>94648027.027027026</v>
      </c>
      <c r="P42">
        <v>95181297.297297299</v>
      </c>
      <c r="Q42">
        <v>55394144.144144148</v>
      </c>
      <c r="R42">
        <v>56847477.477477483</v>
      </c>
      <c r="S42">
        <v>9676</v>
      </c>
      <c r="T42">
        <v>9470</v>
      </c>
    </row>
    <row r="43" spans="1:20" x14ac:dyDescent="0.35">
      <c r="A43" s="7" t="s">
        <v>110</v>
      </c>
      <c r="B43" s="12" t="s">
        <v>109</v>
      </c>
      <c r="C43">
        <v>601114448.44234765</v>
      </c>
      <c r="D43">
        <v>611223212.95274997</v>
      </c>
      <c r="E43">
        <v>91576653.153153151</v>
      </c>
      <c r="F43">
        <v>639489495.49549556</v>
      </c>
      <c r="G43">
        <v>203</v>
      </c>
      <c r="H43">
        <v>122</v>
      </c>
      <c r="K43">
        <v>307</v>
      </c>
      <c r="L43">
        <v>256</v>
      </c>
      <c r="M43">
        <v>52639539.639639638</v>
      </c>
      <c r="N43">
        <v>341682288.2882883</v>
      </c>
      <c r="O43">
        <v>174224873.87387389</v>
      </c>
      <c r="P43">
        <v>168224594.5945946</v>
      </c>
      <c r="Q43">
        <v>164493513.51351351</v>
      </c>
      <c r="R43">
        <v>201816396.3963964</v>
      </c>
      <c r="S43">
        <v>14668</v>
      </c>
      <c r="T43">
        <v>16961</v>
      </c>
    </row>
    <row r="44" spans="1:20" x14ac:dyDescent="0.35">
      <c r="A44" s="7" t="s">
        <v>111</v>
      </c>
      <c r="B44" s="12" t="s">
        <v>112</v>
      </c>
      <c r="C44">
        <v>686508591.88482559</v>
      </c>
      <c r="D44">
        <v>712031194.70586777</v>
      </c>
      <c r="E44">
        <v>8532432.4324324355</v>
      </c>
      <c r="F44">
        <v>9805855.855855858</v>
      </c>
      <c r="G44">
        <v>248</v>
      </c>
      <c r="H44">
        <v>182</v>
      </c>
      <c r="K44">
        <v>528</v>
      </c>
      <c r="L44">
        <v>348</v>
      </c>
      <c r="M44">
        <v>68573177.477477476</v>
      </c>
      <c r="N44">
        <v>68715405.405405402</v>
      </c>
      <c r="O44">
        <v>241276801.8018018</v>
      </c>
      <c r="P44">
        <v>257101594.5945946</v>
      </c>
      <c r="Q44">
        <v>62641351.351351351</v>
      </c>
      <c r="R44">
        <v>63976126.126126125</v>
      </c>
      <c r="S44">
        <v>18974</v>
      </c>
      <c r="T44">
        <v>19451</v>
      </c>
    </row>
    <row r="45" spans="1:20" x14ac:dyDescent="0.35">
      <c r="A45" s="7" t="s">
        <v>113</v>
      </c>
      <c r="B45" s="12" t="s">
        <v>112</v>
      </c>
      <c r="C45">
        <v>892200760.02120566</v>
      </c>
      <c r="D45">
        <v>905457141.1358645</v>
      </c>
      <c r="E45">
        <v>12522522.522522528</v>
      </c>
      <c r="F45">
        <v>47865532.432432435</v>
      </c>
      <c r="G45">
        <v>365</v>
      </c>
      <c r="H45">
        <v>207</v>
      </c>
      <c r="I45">
        <v>1</v>
      </c>
      <c r="K45">
        <v>622</v>
      </c>
      <c r="L45">
        <v>302</v>
      </c>
      <c r="M45">
        <v>71945147.747747749</v>
      </c>
      <c r="N45">
        <v>121755442.34234233</v>
      </c>
      <c r="O45">
        <v>332991914.41441441</v>
      </c>
      <c r="P45">
        <v>334328648.64864862</v>
      </c>
      <c r="Q45">
        <v>73054054.054054052</v>
      </c>
      <c r="R45">
        <v>136249772.97297299</v>
      </c>
      <c r="S45">
        <v>26763</v>
      </c>
      <c r="T45">
        <v>27918</v>
      </c>
    </row>
    <row r="46" spans="1:20" x14ac:dyDescent="0.35">
      <c r="A46" s="7" t="s">
        <v>114</v>
      </c>
      <c r="B46" s="12" t="s">
        <v>112</v>
      </c>
      <c r="C46">
        <v>1039072799.5307713</v>
      </c>
      <c r="D46">
        <v>617242367.46502101</v>
      </c>
      <c r="E46">
        <v>7006081.0810810858</v>
      </c>
      <c r="F46">
        <v>15750009.909909911</v>
      </c>
      <c r="G46">
        <v>322</v>
      </c>
      <c r="H46">
        <v>200</v>
      </c>
      <c r="K46">
        <v>569</v>
      </c>
      <c r="L46">
        <v>441</v>
      </c>
      <c r="M46">
        <v>489065961.26126122</v>
      </c>
      <c r="N46">
        <v>653536676.57657647</v>
      </c>
      <c r="O46">
        <v>627544286.48648655</v>
      </c>
      <c r="P46">
        <v>204047855.85585585</v>
      </c>
      <c r="Q46">
        <v>37991711.711711705</v>
      </c>
      <c r="R46">
        <v>56041261.261261262</v>
      </c>
      <c r="S46">
        <v>14542</v>
      </c>
      <c r="T46">
        <v>14070</v>
      </c>
    </row>
    <row r="47" spans="1:20" x14ac:dyDescent="0.35">
      <c r="A47" s="7" t="s">
        <v>115</v>
      </c>
      <c r="B47" s="12" t="s">
        <v>112</v>
      </c>
      <c r="C47">
        <v>713975246.8212235</v>
      </c>
      <c r="D47">
        <v>1315229407.818738</v>
      </c>
      <c r="E47">
        <v>91833108.108108133</v>
      </c>
      <c r="F47">
        <v>932891891.89189184</v>
      </c>
      <c r="G47">
        <v>365</v>
      </c>
      <c r="H47">
        <v>188</v>
      </c>
      <c r="I47">
        <v>11</v>
      </c>
      <c r="K47">
        <v>924</v>
      </c>
      <c r="L47">
        <v>335</v>
      </c>
      <c r="M47">
        <v>75602702.702702701</v>
      </c>
      <c r="N47">
        <v>73826306.306306303</v>
      </c>
      <c r="O47">
        <v>210668882.88288289</v>
      </c>
      <c r="P47">
        <v>807073819.81981981</v>
      </c>
      <c r="Q47">
        <v>67117297.297297299</v>
      </c>
      <c r="R47">
        <v>68135045.045045048</v>
      </c>
      <c r="S47">
        <v>19911</v>
      </c>
      <c r="T47">
        <v>19846</v>
      </c>
    </row>
    <row r="48" spans="1:20" x14ac:dyDescent="0.35">
      <c r="A48" s="7" t="s">
        <v>116</v>
      </c>
      <c r="B48" s="12" t="s">
        <v>112</v>
      </c>
      <c r="C48">
        <v>872708786.15779698</v>
      </c>
      <c r="D48">
        <v>855893008.04430461</v>
      </c>
      <c r="E48">
        <v>1677869337.8378379</v>
      </c>
      <c r="F48">
        <v>1660218091.891892</v>
      </c>
      <c r="G48">
        <v>387</v>
      </c>
      <c r="H48">
        <v>310</v>
      </c>
      <c r="K48">
        <v>644</v>
      </c>
      <c r="L48">
        <v>571</v>
      </c>
      <c r="M48">
        <v>736133792.7927928</v>
      </c>
      <c r="N48">
        <v>299550703.6036036</v>
      </c>
      <c r="O48">
        <v>262546079.72972974</v>
      </c>
      <c r="P48">
        <v>239360621.62162164</v>
      </c>
      <c r="Q48">
        <v>150157654.05405405</v>
      </c>
      <c r="R48">
        <v>181319279.27927926</v>
      </c>
      <c r="S48">
        <v>23058</v>
      </c>
      <c r="T48">
        <v>22703</v>
      </c>
    </row>
    <row r="49" spans="1:20" x14ac:dyDescent="0.35">
      <c r="A49" s="7" t="s">
        <v>117</v>
      </c>
      <c r="B49" s="12" t="s">
        <v>55</v>
      </c>
      <c r="C49">
        <v>48264096.777274713</v>
      </c>
      <c r="D49">
        <v>47049758.418693811</v>
      </c>
      <c r="E49">
        <v>53011306.306306303</v>
      </c>
      <c r="F49">
        <v>302272972.97297299</v>
      </c>
      <c r="G49">
        <v>12</v>
      </c>
      <c r="H49">
        <v>7</v>
      </c>
      <c r="K49">
        <v>12</v>
      </c>
      <c r="L49">
        <v>10</v>
      </c>
      <c r="M49">
        <v>4910360.3603603588</v>
      </c>
      <c r="N49">
        <v>7325045.0450450443</v>
      </c>
      <c r="O49">
        <v>12034207.207207208</v>
      </c>
      <c r="P49">
        <v>11617315.315315315</v>
      </c>
      <c r="Q49">
        <v>4101441.44144144</v>
      </c>
      <c r="R49">
        <v>5869009.0090090102</v>
      </c>
      <c r="S49">
        <v>1071</v>
      </c>
      <c r="T49">
        <v>950</v>
      </c>
    </row>
    <row r="50" spans="1:20" x14ac:dyDescent="0.35">
      <c r="A50" s="7" t="s">
        <v>119</v>
      </c>
      <c r="B50" s="12" t="s">
        <v>79</v>
      </c>
      <c r="C50">
        <v>409690257.61238706</v>
      </c>
      <c r="D50">
        <v>441056432.16472495</v>
      </c>
      <c r="E50">
        <v>271364196.3963964</v>
      </c>
      <c r="F50">
        <v>826355071.17117119</v>
      </c>
      <c r="G50">
        <v>152</v>
      </c>
      <c r="H50">
        <v>177</v>
      </c>
      <c r="I50">
        <v>5</v>
      </c>
      <c r="K50">
        <v>193</v>
      </c>
      <c r="L50">
        <v>235</v>
      </c>
      <c r="M50">
        <v>93072522.522522524</v>
      </c>
      <c r="N50">
        <v>100347747.74774775</v>
      </c>
      <c r="O50">
        <v>164613000.45045045</v>
      </c>
      <c r="P50">
        <v>174383405.4054054</v>
      </c>
      <c r="Q50">
        <v>89472882.882882878</v>
      </c>
      <c r="R50">
        <v>94568468.468468487</v>
      </c>
      <c r="S50">
        <v>11980</v>
      </c>
      <c r="T50">
        <v>12476</v>
      </c>
    </row>
    <row r="51" spans="1:20" x14ac:dyDescent="0.35">
      <c r="A51" s="7" t="s">
        <v>120</v>
      </c>
      <c r="B51" s="12" t="s">
        <v>51</v>
      </c>
      <c r="C51">
        <v>129641739.37220453</v>
      </c>
      <c r="D51">
        <v>127877525.22463307</v>
      </c>
      <c r="E51">
        <v>391163577.47747749</v>
      </c>
      <c r="F51">
        <v>247973223.42342341</v>
      </c>
      <c r="G51">
        <v>42</v>
      </c>
      <c r="H51">
        <v>20</v>
      </c>
      <c r="K51">
        <v>46</v>
      </c>
      <c r="L51">
        <v>23</v>
      </c>
      <c r="M51">
        <v>158798378.37837836</v>
      </c>
      <c r="N51">
        <v>121957297.2972973</v>
      </c>
      <c r="O51">
        <v>47264333.333333336</v>
      </c>
      <c r="P51">
        <v>49789018.018018015</v>
      </c>
      <c r="Q51">
        <v>67189099.0990991</v>
      </c>
      <c r="R51">
        <v>17806126.126126125</v>
      </c>
      <c r="S51">
        <v>2422</v>
      </c>
      <c r="T51">
        <v>2360</v>
      </c>
    </row>
    <row r="52" spans="1:20" x14ac:dyDescent="0.35">
      <c r="A52" s="7" t="s">
        <v>121</v>
      </c>
      <c r="B52" s="12" t="s">
        <v>122</v>
      </c>
      <c r="C52">
        <v>439222289.01264924</v>
      </c>
      <c r="D52">
        <v>411270199.11535788</v>
      </c>
      <c r="E52">
        <v>3275000.0000000028</v>
      </c>
      <c r="F52">
        <v>1917117.117117123</v>
      </c>
      <c r="G52">
        <v>169</v>
      </c>
      <c r="H52">
        <v>161</v>
      </c>
      <c r="K52">
        <v>188</v>
      </c>
      <c r="L52">
        <v>189</v>
      </c>
      <c r="M52">
        <v>19237837.837837841</v>
      </c>
      <c r="N52">
        <v>15881081.081081085</v>
      </c>
      <c r="O52">
        <v>37073184.684684686</v>
      </c>
      <c r="P52">
        <v>38885342.342342347</v>
      </c>
      <c r="Q52">
        <v>16014234.234234234</v>
      </c>
      <c r="R52">
        <v>15159279.279279277</v>
      </c>
      <c r="S52">
        <v>7878</v>
      </c>
      <c r="T52">
        <v>8049</v>
      </c>
    </row>
    <row r="53" spans="1:20" x14ac:dyDescent="0.35">
      <c r="A53" s="7" t="s">
        <v>123</v>
      </c>
      <c r="B53" s="12" t="s">
        <v>124</v>
      </c>
      <c r="C53">
        <v>230169368.30119595</v>
      </c>
      <c r="D53">
        <v>237119174.0504635</v>
      </c>
      <c r="E53">
        <v>1048423.4234234249</v>
      </c>
      <c r="F53">
        <v>2463963.963963965</v>
      </c>
      <c r="G53">
        <v>35</v>
      </c>
      <c r="H53">
        <v>20</v>
      </c>
      <c r="K53">
        <v>43</v>
      </c>
      <c r="L53">
        <v>23</v>
      </c>
      <c r="M53">
        <v>42752792.79279279</v>
      </c>
      <c r="N53">
        <v>54902252.252252258</v>
      </c>
      <c r="O53">
        <v>103984981.98198198</v>
      </c>
      <c r="P53">
        <v>107784445.04504503</v>
      </c>
      <c r="Q53">
        <v>42183693.693693697</v>
      </c>
      <c r="R53">
        <v>50076616.216216214</v>
      </c>
      <c r="S53">
        <v>5233</v>
      </c>
      <c r="T53">
        <v>4710</v>
      </c>
    </row>
    <row r="54" spans="1:20" x14ac:dyDescent="0.35">
      <c r="A54" s="7" t="s">
        <v>125</v>
      </c>
      <c r="B54" s="12" t="s">
        <v>126</v>
      </c>
      <c r="C54">
        <v>304579358.5807392</v>
      </c>
      <c r="D54">
        <v>331690949.56306285</v>
      </c>
      <c r="E54">
        <v>148824879.27927929</v>
      </c>
      <c r="F54">
        <v>162178169.36936939</v>
      </c>
      <c r="G54">
        <v>66</v>
      </c>
      <c r="H54">
        <v>59</v>
      </c>
      <c r="K54">
        <v>101</v>
      </c>
      <c r="L54">
        <v>63</v>
      </c>
      <c r="M54">
        <v>104215315.31531531</v>
      </c>
      <c r="N54">
        <v>66731171.171171166</v>
      </c>
      <c r="O54">
        <v>95710188.288288295</v>
      </c>
      <c r="P54">
        <v>103394978.37837839</v>
      </c>
      <c r="Q54">
        <v>102342342.34234235</v>
      </c>
      <c r="R54">
        <v>60056126.126126125</v>
      </c>
      <c r="S54">
        <v>6560</v>
      </c>
      <c r="T54">
        <v>6925</v>
      </c>
    </row>
    <row r="55" spans="1:20" x14ac:dyDescent="0.35">
      <c r="A55" s="7" t="s">
        <v>127</v>
      </c>
      <c r="B55" s="12" t="s">
        <v>79</v>
      </c>
      <c r="C55">
        <v>197834409.09421024</v>
      </c>
      <c r="D55">
        <v>193712441.8087624</v>
      </c>
      <c r="E55">
        <v>4355855.8558558598</v>
      </c>
      <c r="F55">
        <v>5170270.2702702722</v>
      </c>
      <c r="G55">
        <v>62</v>
      </c>
      <c r="H55">
        <v>40</v>
      </c>
      <c r="I55">
        <v>1</v>
      </c>
      <c r="K55">
        <v>75</v>
      </c>
      <c r="L55">
        <v>43</v>
      </c>
      <c r="M55">
        <v>35720720.720720723</v>
      </c>
      <c r="N55">
        <v>39280180.180180177</v>
      </c>
      <c r="O55">
        <v>81610027.027027026</v>
      </c>
      <c r="P55">
        <v>79943162.162162155</v>
      </c>
      <c r="Q55">
        <v>32706216.216216218</v>
      </c>
      <c r="R55">
        <v>38749729.729729727</v>
      </c>
      <c r="S55">
        <v>4867</v>
      </c>
      <c r="T55">
        <v>4975</v>
      </c>
    </row>
    <row r="56" spans="1:20" x14ac:dyDescent="0.35">
      <c r="A56" s="7" t="s">
        <v>128</v>
      </c>
      <c r="B56" s="12" t="s">
        <v>79</v>
      </c>
      <c r="C56">
        <v>33015514.025031976</v>
      </c>
      <c r="D56">
        <v>33116790.812900759</v>
      </c>
      <c r="E56">
        <v>694594.59459459304</v>
      </c>
      <c r="F56">
        <v>685585.58558558696</v>
      </c>
      <c r="G56">
        <v>13</v>
      </c>
      <c r="H56">
        <v>8</v>
      </c>
      <c r="K56">
        <v>17</v>
      </c>
      <c r="L56">
        <v>9</v>
      </c>
      <c r="M56">
        <v>12000900.9009009</v>
      </c>
      <c r="N56">
        <v>14379279.27927928</v>
      </c>
      <c r="O56">
        <v>19061486.486486487</v>
      </c>
      <c r="P56">
        <v>18498990.990990993</v>
      </c>
      <c r="Q56">
        <v>12758918.918918921</v>
      </c>
      <c r="R56">
        <v>10622162.162162162</v>
      </c>
      <c r="S56">
        <v>1216</v>
      </c>
      <c r="T56">
        <v>1138</v>
      </c>
    </row>
    <row r="57" spans="1:20" x14ac:dyDescent="0.35">
      <c r="A57" s="7" t="s">
        <v>129</v>
      </c>
      <c r="B57" s="12" t="s">
        <v>79</v>
      </c>
      <c r="C57">
        <v>190046716.60676986</v>
      </c>
      <c r="D57">
        <v>191816725.00235209</v>
      </c>
      <c r="E57">
        <v>2363063.063063066</v>
      </c>
      <c r="F57">
        <v>3115765.7657657708</v>
      </c>
      <c r="G57">
        <v>144</v>
      </c>
      <c r="H57">
        <v>57</v>
      </c>
      <c r="K57">
        <v>179</v>
      </c>
      <c r="L57">
        <v>76</v>
      </c>
      <c r="M57">
        <v>24615315.315315317</v>
      </c>
      <c r="N57">
        <v>35223873.873873875</v>
      </c>
      <c r="O57">
        <v>74495070.270270273</v>
      </c>
      <c r="P57">
        <v>77521324.324324325</v>
      </c>
      <c r="Q57">
        <v>25841081.081081081</v>
      </c>
      <c r="R57">
        <v>34984054.054054059</v>
      </c>
      <c r="S57">
        <v>5815</v>
      </c>
      <c r="T57">
        <v>5757</v>
      </c>
    </row>
    <row r="58" spans="1:20" x14ac:dyDescent="0.35">
      <c r="A58" s="7" t="s">
        <v>130</v>
      </c>
      <c r="B58" s="12" t="s">
        <v>86</v>
      </c>
      <c r="C58">
        <v>55915409.285994954</v>
      </c>
      <c r="D58">
        <v>58353503.441241935</v>
      </c>
      <c r="E58">
        <v>169369.36936937101</v>
      </c>
      <c r="F58">
        <v>637837.83783783903</v>
      </c>
      <c r="G58">
        <v>12</v>
      </c>
      <c r="H58">
        <v>45</v>
      </c>
      <c r="K58">
        <v>14</v>
      </c>
      <c r="L58">
        <v>51</v>
      </c>
      <c r="M58">
        <v>77624954.954954967</v>
      </c>
      <c r="N58">
        <v>63745495.495495498</v>
      </c>
      <c r="O58">
        <v>26734486.486486487</v>
      </c>
      <c r="P58">
        <v>33914099.0990991</v>
      </c>
      <c r="Q58">
        <v>64462162.162162162</v>
      </c>
      <c r="R58">
        <v>61170540.540540546</v>
      </c>
      <c r="S58">
        <v>1258</v>
      </c>
      <c r="T58">
        <v>1195</v>
      </c>
    </row>
    <row r="59" spans="1:20" x14ac:dyDescent="0.35">
      <c r="A59" s="7" t="s">
        <v>131</v>
      </c>
      <c r="B59" s="12" t="s">
        <v>90</v>
      </c>
      <c r="C59">
        <v>519304302.13609141</v>
      </c>
      <c r="D59">
        <v>529973884.15625155</v>
      </c>
      <c r="E59">
        <v>3939189.1891891952</v>
      </c>
      <c r="F59">
        <v>6962162.1621621707</v>
      </c>
      <c r="G59">
        <v>69</v>
      </c>
      <c r="H59">
        <v>65</v>
      </c>
      <c r="K59">
        <v>98</v>
      </c>
      <c r="L59">
        <v>75</v>
      </c>
      <c r="M59">
        <v>36677567.567567565</v>
      </c>
      <c r="N59">
        <v>52240270.270270273</v>
      </c>
      <c r="O59">
        <v>164361619.81981981</v>
      </c>
      <c r="P59">
        <v>168351045.04504505</v>
      </c>
      <c r="Q59">
        <v>34493016.216216214</v>
      </c>
      <c r="R59">
        <v>52104954.954954959</v>
      </c>
      <c r="S59">
        <v>10575</v>
      </c>
      <c r="T59">
        <v>10826</v>
      </c>
    </row>
    <row r="60" spans="1:20" x14ac:dyDescent="0.35">
      <c r="A60" s="7" t="s">
        <v>132</v>
      </c>
      <c r="B60" s="12" t="s">
        <v>133</v>
      </c>
      <c r="C60">
        <v>283558334.5818994</v>
      </c>
      <c r="D60">
        <v>282909943.58657706</v>
      </c>
      <c r="E60">
        <v>65731609.009009011</v>
      </c>
      <c r="F60">
        <v>76321730.630630642</v>
      </c>
      <c r="G60">
        <v>166</v>
      </c>
      <c r="H60">
        <v>112</v>
      </c>
      <c r="K60">
        <v>176</v>
      </c>
      <c r="L60">
        <v>125</v>
      </c>
      <c r="M60">
        <v>37259909.909909911</v>
      </c>
      <c r="N60">
        <v>61106081.081081077</v>
      </c>
      <c r="O60">
        <v>89594475.22522521</v>
      </c>
      <c r="P60">
        <v>94557981.981981978</v>
      </c>
      <c r="Q60">
        <v>29583423.423423424</v>
      </c>
      <c r="R60">
        <v>48926846.846846849</v>
      </c>
      <c r="S60">
        <v>7246</v>
      </c>
      <c r="T60">
        <v>7235</v>
      </c>
    </row>
    <row r="61" spans="1:20" x14ac:dyDescent="0.35">
      <c r="A61" s="7" t="s">
        <v>134</v>
      </c>
      <c r="B61" s="12" t="s">
        <v>135</v>
      </c>
      <c r="C61">
        <v>29750496.165046431</v>
      </c>
      <c r="D61">
        <v>47348395.981111363</v>
      </c>
      <c r="G61">
        <v>1</v>
      </c>
      <c r="H61">
        <v>4</v>
      </c>
      <c r="K61">
        <v>2</v>
      </c>
      <c r="L61">
        <v>6</v>
      </c>
      <c r="O61">
        <v>5246475.6756756753</v>
      </c>
      <c r="P61">
        <v>8143522.5225225231</v>
      </c>
      <c r="S61">
        <v>2147</v>
      </c>
      <c r="T61">
        <v>2293</v>
      </c>
    </row>
    <row r="62" spans="1:20" x14ac:dyDescent="0.35">
      <c r="A62" s="7" t="s">
        <v>136</v>
      </c>
      <c r="B62" s="12" t="s">
        <v>137</v>
      </c>
      <c r="C62">
        <v>237054976.75150061</v>
      </c>
      <c r="D62">
        <v>239342432.57787251</v>
      </c>
      <c r="E62">
        <v>917117.11711711995</v>
      </c>
      <c r="F62">
        <v>1351351.351351354</v>
      </c>
      <c r="G62">
        <v>65</v>
      </c>
      <c r="H62">
        <v>52</v>
      </c>
      <c r="I62">
        <v>4</v>
      </c>
      <c r="K62">
        <v>72</v>
      </c>
      <c r="L62">
        <v>55</v>
      </c>
      <c r="M62">
        <v>20466666.666666668</v>
      </c>
      <c r="N62">
        <v>26148648.648648653</v>
      </c>
      <c r="O62">
        <v>36645342.342342347</v>
      </c>
      <c r="P62">
        <v>42126619.819819823</v>
      </c>
      <c r="Q62">
        <v>17270450.45045045</v>
      </c>
      <c r="R62">
        <v>20499189.189189188</v>
      </c>
      <c r="S62">
        <v>3549</v>
      </c>
      <c r="T62">
        <v>3560</v>
      </c>
    </row>
    <row r="63" spans="1:20" x14ac:dyDescent="0.35">
      <c r="A63" s="7" t="s">
        <v>138</v>
      </c>
      <c r="B63" s="12" t="s">
        <v>90</v>
      </c>
      <c r="C63">
        <v>254896678.95902196</v>
      </c>
      <c r="D63">
        <v>265672367.95039922</v>
      </c>
      <c r="E63">
        <v>3068243.243243251</v>
      </c>
      <c r="F63">
        <v>4301801.8018018054</v>
      </c>
      <c r="G63">
        <v>49</v>
      </c>
      <c r="H63">
        <v>31</v>
      </c>
      <c r="I63">
        <v>7</v>
      </c>
      <c r="K63">
        <v>220</v>
      </c>
      <c r="L63">
        <v>32</v>
      </c>
      <c r="M63">
        <v>43103873.873873875</v>
      </c>
      <c r="N63">
        <v>53346126.126126125</v>
      </c>
      <c r="O63">
        <v>92155277.477477476</v>
      </c>
      <c r="P63">
        <v>99958207.207207203</v>
      </c>
      <c r="Q63">
        <v>31889819.819819823</v>
      </c>
      <c r="R63">
        <v>55799189.189189181</v>
      </c>
      <c r="S63">
        <v>5198</v>
      </c>
      <c r="T63">
        <v>4770</v>
      </c>
    </row>
    <row r="64" spans="1:20" x14ac:dyDescent="0.35">
      <c r="A64" s="7" t="s">
        <v>139</v>
      </c>
      <c r="B64" s="12" t="s">
        <v>79</v>
      </c>
      <c r="C64">
        <v>184932106.67161921</v>
      </c>
      <c r="D64">
        <v>185817730.49356449</v>
      </c>
      <c r="E64">
        <v>4906306.3063063081</v>
      </c>
      <c r="F64">
        <v>4398198.1981982049</v>
      </c>
      <c r="G64">
        <v>81</v>
      </c>
      <c r="H64">
        <v>62</v>
      </c>
      <c r="I64">
        <v>2</v>
      </c>
      <c r="K64">
        <v>97</v>
      </c>
      <c r="L64">
        <v>68</v>
      </c>
      <c r="M64">
        <v>24690090.090090089</v>
      </c>
      <c r="N64">
        <v>33452252.252252255</v>
      </c>
      <c r="O64">
        <v>80557083.333333328</v>
      </c>
      <c r="P64">
        <v>80690117.117117122</v>
      </c>
      <c r="Q64">
        <v>24091171.171171173</v>
      </c>
      <c r="R64">
        <v>30484504.504504506</v>
      </c>
      <c r="S64">
        <v>5134</v>
      </c>
      <c r="T64">
        <v>5033</v>
      </c>
    </row>
    <row r="65" spans="1:20" x14ac:dyDescent="0.35">
      <c r="A65" s="7" t="s">
        <v>140</v>
      </c>
      <c r="B65" s="12" t="s">
        <v>141</v>
      </c>
      <c r="C65">
        <v>255381777.94736332</v>
      </c>
      <c r="D65">
        <v>282075958.40389669</v>
      </c>
      <c r="E65">
        <v>2930630.630630631</v>
      </c>
      <c r="F65">
        <v>3050450.450450452</v>
      </c>
      <c r="G65">
        <v>21</v>
      </c>
      <c r="H65">
        <v>20</v>
      </c>
      <c r="K65">
        <v>22</v>
      </c>
      <c r="L65">
        <v>30</v>
      </c>
      <c r="M65">
        <v>25625045.045045044</v>
      </c>
      <c r="N65">
        <v>26613513.513513513</v>
      </c>
      <c r="O65">
        <v>46583954.954954952</v>
      </c>
      <c r="P65">
        <v>52675158.558558561</v>
      </c>
      <c r="Q65">
        <v>22387027.027027026</v>
      </c>
      <c r="R65">
        <v>23219729.729729727</v>
      </c>
      <c r="S65">
        <v>4291</v>
      </c>
      <c r="T65">
        <v>4874</v>
      </c>
    </row>
    <row r="66" spans="1:20" x14ac:dyDescent="0.35">
      <c r="A66" s="7" t="s">
        <v>142</v>
      </c>
      <c r="B66" s="12" t="s">
        <v>63</v>
      </c>
      <c r="C66">
        <v>170904403.47580871</v>
      </c>
      <c r="D66">
        <v>176873310.01479384</v>
      </c>
      <c r="E66">
        <v>3104389.1891891928</v>
      </c>
      <c r="F66">
        <v>7203149.5495495498</v>
      </c>
      <c r="G66">
        <v>84</v>
      </c>
      <c r="H66">
        <v>16</v>
      </c>
      <c r="I66">
        <v>4</v>
      </c>
      <c r="K66">
        <v>110</v>
      </c>
      <c r="L66">
        <v>27</v>
      </c>
      <c r="M66">
        <v>94564227.027027026</v>
      </c>
      <c r="N66">
        <v>201145416.21621624</v>
      </c>
      <c r="O66">
        <v>38157405.40540541</v>
      </c>
      <c r="P66">
        <v>41224864.864864863</v>
      </c>
      <c r="Q66">
        <v>95732882.882882878</v>
      </c>
      <c r="R66">
        <v>189330180.18018019</v>
      </c>
      <c r="S66">
        <v>3871</v>
      </c>
      <c r="T66">
        <v>3818</v>
      </c>
    </row>
    <row r="67" spans="1:20" x14ac:dyDescent="0.35">
      <c r="A67" s="7" t="s">
        <v>143</v>
      </c>
      <c r="B67" s="12" t="s">
        <v>144</v>
      </c>
      <c r="C67">
        <v>1706230.647201526</v>
      </c>
      <c r="D67">
        <v>1930960.931682263</v>
      </c>
      <c r="G67">
        <v>1</v>
      </c>
      <c r="K67">
        <v>1</v>
      </c>
      <c r="O67">
        <v>164504.50450450499</v>
      </c>
      <c r="P67">
        <v>254009.00900900899</v>
      </c>
      <c r="S67">
        <v>131</v>
      </c>
      <c r="T67">
        <v>126</v>
      </c>
    </row>
    <row r="68" spans="1:20" x14ac:dyDescent="0.35">
      <c r="A68" s="7" t="s">
        <v>145</v>
      </c>
      <c r="B68" s="12" t="s">
        <v>141</v>
      </c>
      <c r="C68">
        <v>365585284.89845544</v>
      </c>
      <c r="D68">
        <v>365413456.26307213</v>
      </c>
      <c r="E68">
        <v>1888738.7387387401</v>
      </c>
      <c r="F68">
        <v>3152252.2522522551</v>
      </c>
      <c r="G68">
        <v>83</v>
      </c>
      <c r="H68">
        <v>37</v>
      </c>
      <c r="K68">
        <v>103</v>
      </c>
      <c r="L68">
        <v>45</v>
      </c>
      <c r="M68">
        <v>39614774.774774767</v>
      </c>
      <c r="N68">
        <v>48040810.810810819</v>
      </c>
      <c r="O68">
        <v>67952459.459459454</v>
      </c>
      <c r="P68">
        <v>74726432.432432428</v>
      </c>
      <c r="Q68">
        <v>38003513.513513513</v>
      </c>
      <c r="R68">
        <v>48551441.441441439</v>
      </c>
      <c r="S68">
        <v>7340</v>
      </c>
      <c r="T68">
        <v>7728</v>
      </c>
    </row>
    <row r="69" spans="1:20" x14ac:dyDescent="0.35">
      <c r="A69" s="7" t="s">
        <v>146</v>
      </c>
      <c r="B69" s="12" t="s">
        <v>79</v>
      </c>
      <c r="C69">
        <v>259659566.03287223</v>
      </c>
      <c r="D69">
        <v>259885226.27076882</v>
      </c>
      <c r="E69">
        <v>2949549.5495495489</v>
      </c>
      <c r="F69">
        <v>3995495.4954955019</v>
      </c>
      <c r="G69">
        <v>82</v>
      </c>
      <c r="H69">
        <v>57</v>
      </c>
      <c r="K69">
        <v>94</v>
      </c>
      <c r="L69">
        <v>69</v>
      </c>
      <c r="M69">
        <v>22972072.072072074</v>
      </c>
      <c r="N69">
        <v>31238738.738738742</v>
      </c>
      <c r="O69">
        <v>74922756.756756753</v>
      </c>
      <c r="P69">
        <v>76249736.936936945</v>
      </c>
      <c r="Q69">
        <v>27008198.198198199</v>
      </c>
      <c r="R69">
        <v>29025675.675675675</v>
      </c>
      <c r="S69">
        <v>6206</v>
      </c>
      <c r="T69">
        <v>6410</v>
      </c>
    </row>
    <row r="70" spans="1:20" x14ac:dyDescent="0.35">
      <c r="A70" s="7" t="s">
        <v>147</v>
      </c>
      <c r="B70" s="12" t="s">
        <v>148</v>
      </c>
      <c r="C70">
        <v>170189871.3298001</v>
      </c>
      <c r="D70">
        <v>168174651.58828926</v>
      </c>
      <c r="E70">
        <v>3156756.7567567588</v>
      </c>
      <c r="F70">
        <v>3948648.6486486518</v>
      </c>
      <c r="G70">
        <v>34</v>
      </c>
      <c r="H70">
        <v>26</v>
      </c>
      <c r="K70">
        <v>39</v>
      </c>
      <c r="L70">
        <v>27</v>
      </c>
      <c r="M70">
        <v>46594227.927927926</v>
      </c>
      <c r="N70">
        <v>66723423.423423424</v>
      </c>
      <c r="O70">
        <v>55608414.414414413</v>
      </c>
      <c r="P70">
        <v>54655007.20720721</v>
      </c>
      <c r="Q70">
        <v>45784684.684684686</v>
      </c>
      <c r="R70">
        <v>65884144.144144148</v>
      </c>
      <c r="S70">
        <v>3658</v>
      </c>
      <c r="T70">
        <v>3662</v>
      </c>
    </row>
    <row r="71" spans="1:20" x14ac:dyDescent="0.35">
      <c r="A71" s="7" t="s">
        <v>149</v>
      </c>
      <c r="B71" s="12" t="s">
        <v>95</v>
      </c>
      <c r="C71">
        <v>17.531949365999999</v>
      </c>
      <c r="D71">
        <v>22.077324659999999</v>
      </c>
      <c r="T71">
        <v>3</v>
      </c>
    </row>
    <row r="72" spans="1:20" x14ac:dyDescent="0.35">
      <c r="A72" s="7" t="s">
        <v>150</v>
      </c>
      <c r="B72" s="12" t="s">
        <v>51</v>
      </c>
      <c r="C72">
        <v>150486104.77822945</v>
      </c>
      <c r="D72">
        <v>151824641.40691286</v>
      </c>
      <c r="E72">
        <v>545945.94594594499</v>
      </c>
      <c r="F72">
        <v>945045.045045048</v>
      </c>
      <c r="G72">
        <v>38</v>
      </c>
      <c r="H72">
        <v>20</v>
      </c>
      <c r="K72">
        <v>40</v>
      </c>
      <c r="L72">
        <v>23</v>
      </c>
      <c r="M72">
        <v>9613063.0630630646</v>
      </c>
      <c r="N72">
        <v>14731621.621621624</v>
      </c>
      <c r="O72">
        <v>67704144.144144148</v>
      </c>
      <c r="P72">
        <v>69677162.162162155</v>
      </c>
      <c r="Q72">
        <v>9476396.3963963967</v>
      </c>
      <c r="R72">
        <v>13073783.783783784</v>
      </c>
      <c r="S72">
        <v>3475</v>
      </c>
      <c r="T72">
        <v>3514</v>
      </c>
    </row>
    <row r="73" spans="1:20" x14ac:dyDescent="0.35">
      <c r="A73" s="7" t="s">
        <v>151</v>
      </c>
      <c r="B73" s="12" t="s">
        <v>152</v>
      </c>
      <c r="C73">
        <v>45792765.808219634</v>
      </c>
      <c r="D73">
        <v>44076845.911878757</v>
      </c>
      <c r="E73">
        <v>589561962.16216218</v>
      </c>
      <c r="F73">
        <v>493391658.55855852</v>
      </c>
      <c r="G73">
        <v>9</v>
      </c>
      <c r="H73">
        <v>3</v>
      </c>
      <c r="K73">
        <v>10</v>
      </c>
      <c r="L73">
        <v>3</v>
      </c>
      <c r="M73">
        <v>86747522.522522524</v>
      </c>
      <c r="N73">
        <v>65659459.459459454</v>
      </c>
      <c r="O73">
        <v>12688549.54954955</v>
      </c>
      <c r="P73">
        <v>12231477.477477476</v>
      </c>
      <c r="Q73">
        <v>17635045.045045044</v>
      </c>
      <c r="R73">
        <v>32147117.117117114</v>
      </c>
      <c r="S73">
        <v>582</v>
      </c>
      <c r="T73">
        <v>604</v>
      </c>
    </row>
    <row r="74" spans="1:20" x14ac:dyDescent="0.35">
      <c r="A74" s="7" t="s">
        <v>153</v>
      </c>
      <c r="B74" s="12" t="s">
        <v>152</v>
      </c>
      <c r="C74">
        <v>450682711.12282503</v>
      </c>
      <c r="D74">
        <v>441446523.39905864</v>
      </c>
      <c r="E74">
        <v>8021846.8468468506</v>
      </c>
      <c r="F74">
        <v>3289219.819819829</v>
      </c>
      <c r="G74">
        <v>262</v>
      </c>
      <c r="H74">
        <v>36</v>
      </c>
      <c r="I74">
        <v>2</v>
      </c>
      <c r="K74">
        <v>276</v>
      </c>
      <c r="L74">
        <v>51</v>
      </c>
      <c r="M74">
        <v>304978000</v>
      </c>
      <c r="N74">
        <v>332312643.24324328</v>
      </c>
      <c r="O74">
        <v>159586567.56756756</v>
      </c>
      <c r="P74">
        <v>163312081.08108109</v>
      </c>
      <c r="Q74">
        <v>250367556.75675678</v>
      </c>
      <c r="R74">
        <v>262824277.47747746</v>
      </c>
      <c r="S74">
        <v>8609</v>
      </c>
      <c r="T74">
        <v>8629</v>
      </c>
    </row>
    <row r="75" spans="1:20" x14ac:dyDescent="0.35">
      <c r="A75" s="7" t="s">
        <v>154</v>
      </c>
      <c r="B75" s="12" t="s">
        <v>155</v>
      </c>
      <c r="C75">
        <v>387994030.77253348</v>
      </c>
      <c r="D75">
        <v>372268203.81495422</v>
      </c>
      <c r="E75">
        <v>91481807.207207218</v>
      </c>
      <c r="F75">
        <v>160080320.72072074</v>
      </c>
      <c r="G75">
        <v>58</v>
      </c>
      <c r="H75">
        <v>24</v>
      </c>
      <c r="K75">
        <v>65</v>
      </c>
      <c r="L75">
        <v>40</v>
      </c>
      <c r="M75">
        <v>73372072.072072074</v>
      </c>
      <c r="N75">
        <v>72300900.9009009</v>
      </c>
      <c r="O75">
        <v>161100513.51351351</v>
      </c>
      <c r="P75">
        <v>165878144.14414415</v>
      </c>
      <c r="Q75">
        <v>46972882.882882878</v>
      </c>
      <c r="R75">
        <v>59376576.576576576</v>
      </c>
      <c r="S75">
        <v>6992</v>
      </c>
      <c r="T75">
        <v>7057</v>
      </c>
    </row>
    <row r="76" spans="1:20" x14ac:dyDescent="0.35">
      <c r="A76" s="7" t="s">
        <v>156</v>
      </c>
      <c r="B76" s="12" t="s">
        <v>155</v>
      </c>
      <c r="C76">
        <v>42771483.397845648</v>
      </c>
      <c r="D76">
        <v>44065184.778150491</v>
      </c>
      <c r="E76">
        <v>223423.423423425</v>
      </c>
      <c r="F76">
        <v>477477.47747747798</v>
      </c>
      <c r="G76">
        <v>11</v>
      </c>
      <c r="H76">
        <v>7</v>
      </c>
      <c r="K76">
        <v>12</v>
      </c>
      <c r="L76">
        <v>8</v>
      </c>
      <c r="M76">
        <v>5332432.4324324336</v>
      </c>
      <c r="N76">
        <v>18097297.297297295</v>
      </c>
      <c r="O76">
        <v>10858639.63963964</v>
      </c>
      <c r="P76">
        <v>14170882.882882882</v>
      </c>
      <c r="Q76">
        <v>3980090.0900900899</v>
      </c>
      <c r="R76">
        <v>16233153.153153157</v>
      </c>
      <c r="S76">
        <v>1408</v>
      </c>
      <c r="T76">
        <v>1946</v>
      </c>
    </row>
    <row r="77" spans="1:20" x14ac:dyDescent="0.35">
      <c r="A77" s="7" t="s">
        <v>157</v>
      </c>
      <c r="B77" s="12" t="s">
        <v>155</v>
      </c>
      <c r="C77">
        <v>435118830.52369952</v>
      </c>
      <c r="D77">
        <v>429232248.46170974</v>
      </c>
      <c r="E77">
        <v>132165990.990991</v>
      </c>
      <c r="F77">
        <v>22703603.603603609</v>
      </c>
      <c r="G77">
        <v>32</v>
      </c>
      <c r="H77">
        <v>22</v>
      </c>
      <c r="K77">
        <v>131</v>
      </c>
      <c r="L77">
        <v>27</v>
      </c>
      <c r="M77">
        <v>85879279.279279277</v>
      </c>
      <c r="N77">
        <v>118708648.64864865</v>
      </c>
      <c r="O77">
        <v>169501171.17117116</v>
      </c>
      <c r="P77">
        <v>179425774.77477479</v>
      </c>
      <c r="Q77">
        <v>92968108.108108118</v>
      </c>
      <c r="R77">
        <v>102337387.38738739</v>
      </c>
      <c r="S77">
        <v>8380</v>
      </c>
      <c r="T77">
        <v>11638</v>
      </c>
    </row>
    <row r="78" spans="1:20" x14ac:dyDescent="0.35">
      <c r="A78" s="7" t="s">
        <v>158</v>
      </c>
      <c r="B78" s="12" t="s">
        <v>135</v>
      </c>
      <c r="C78">
        <v>203317309.84900662</v>
      </c>
      <c r="D78">
        <v>198103913.11743373</v>
      </c>
      <c r="E78">
        <v>791891.89189189498</v>
      </c>
      <c r="F78">
        <v>2290090.0900900909</v>
      </c>
      <c r="G78">
        <v>39</v>
      </c>
      <c r="H78">
        <v>31</v>
      </c>
      <c r="K78">
        <v>44</v>
      </c>
      <c r="L78">
        <v>49</v>
      </c>
      <c r="M78">
        <v>24656764.864864863</v>
      </c>
      <c r="N78">
        <v>24686486.486486483</v>
      </c>
      <c r="O78">
        <v>20489153.153153151</v>
      </c>
      <c r="P78">
        <v>20643621.621621624</v>
      </c>
      <c r="Q78">
        <v>8915315.3153153174</v>
      </c>
      <c r="R78">
        <v>15196486.486486485</v>
      </c>
      <c r="S78">
        <v>4464</v>
      </c>
      <c r="T78">
        <v>4534</v>
      </c>
    </row>
    <row r="79" spans="1:20" x14ac:dyDescent="0.35">
      <c r="A79" s="7" t="s">
        <v>1</v>
      </c>
      <c r="B79" s="12" t="s">
        <v>159</v>
      </c>
      <c r="C79">
        <v>366606364.68199772</v>
      </c>
      <c r="D79">
        <v>366380906.70689279</v>
      </c>
      <c r="E79">
        <v>2608108.1081081112</v>
      </c>
      <c r="F79">
        <v>2873873.873873875</v>
      </c>
      <c r="G79">
        <v>125</v>
      </c>
      <c r="H79">
        <v>66</v>
      </c>
      <c r="I79">
        <v>1</v>
      </c>
      <c r="K79">
        <v>358</v>
      </c>
      <c r="L79">
        <v>212</v>
      </c>
      <c r="M79">
        <v>46652522.522522517</v>
      </c>
      <c r="N79">
        <v>52742567.567567565</v>
      </c>
      <c r="O79">
        <v>174648594.5945946</v>
      </c>
      <c r="P79">
        <v>175208000</v>
      </c>
      <c r="Q79">
        <v>43062072.072072074</v>
      </c>
      <c r="R79">
        <v>53695360.360360362</v>
      </c>
      <c r="S79">
        <v>7758</v>
      </c>
      <c r="T79">
        <v>8140</v>
      </c>
    </row>
    <row r="80" spans="1:20" x14ac:dyDescent="0.35">
      <c r="A80" s="7" t="s">
        <v>160</v>
      </c>
      <c r="B80" s="12" t="s">
        <v>122</v>
      </c>
      <c r="C80">
        <v>13728162.092544187</v>
      </c>
      <c r="D80">
        <v>11488936.970557895</v>
      </c>
      <c r="G80">
        <v>6</v>
      </c>
      <c r="H80">
        <v>9</v>
      </c>
      <c r="K80">
        <v>7</v>
      </c>
      <c r="L80">
        <v>10</v>
      </c>
      <c r="O80">
        <v>1241261.2612612611</v>
      </c>
      <c r="P80">
        <v>1679054.054054054</v>
      </c>
      <c r="Q80">
        <v>29729.729729729999</v>
      </c>
      <c r="R80">
        <v>74324.324324323999</v>
      </c>
      <c r="S80">
        <v>507</v>
      </c>
      <c r="T80">
        <v>517</v>
      </c>
    </row>
    <row r="81" spans="1:20" x14ac:dyDescent="0.35">
      <c r="A81" s="7" t="s">
        <v>161</v>
      </c>
      <c r="B81" s="12" t="s">
        <v>162</v>
      </c>
      <c r="C81">
        <v>194150684.00562343</v>
      </c>
      <c r="D81">
        <v>205362168.42261031</v>
      </c>
      <c r="E81">
        <v>133566971.17117119</v>
      </c>
      <c r="F81">
        <v>150602934.23423424</v>
      </c>
      <c r="G81">
        <v>146</v>
      </c>
      <c r="H81">
        <v>282</v>
      </c>
      <c r="K81">
        <v>225</v>
      </c>
      <c r="L81">
        <v>466</v>
      </c>
      <c r="M81">
        <v>75575602.702702701</v>
      </c>
      <c r="N81">
        <v>85181361.261261269</v>
      </c>
      <c r="O81">
        <v>85281027.027027026</v>
      </c>
      <c r="P81">
        <v>91827477.477477476</v>
      </c>
      <c r="Q81">
        <v>60544414.414414413</v>
      </c>
      <c r="R81">
        <v>61281846.846846849</v>
      </c>
      <c r="S81">
        <v>5851</v>
      </c>
      <c r="T81">
        <v>6124</v>
      </c>
    </row>
    <row r="82" spans="1:20" x14ac:dyDescent="0.35">
      <c r="A82" s="7" t="s">
        <v>163</v>
      </c>
      <c r="B82" s="12" t="s">
        <v>77</v>
      </c>
      <c r="C82">
        <v>86670916.970973939</v>
      </c>
      <c r="D82">
        <v>89454341.375504166</v>
      </c>
      <c r="E82">
        <v>354054.05405405501</v>
      </c>
      <c r="F82">
        <v>216216.21621621601</v>
      </c>
      <c r="G82">
        <v>41</v>
      </c>
      <c r="H82">
        <v>15</v>
      </c>
      <c r="K82">
        <v>43</v>
      </c>
      <c r="L82">
        <v>15</v>
      </c>
      <c r="M82">
        <v>1498198.1981981981</v>
      </c>
      <c r="N82">
        <v>1279279.2792792791</v>
      </c>
      <c r="O82">
        <v>4856081.0810810812</v>
      </c>
      <c r="P82">
        <v>4698954.9549549548</v>
      </c>
      <c r="Q82">
        <v>1294774.7747747749</v>
      </c>
      <c r="R82">
        <v>1318288.2882882881</v>
      </c>
      <c r="S82">
        <v>954</v>
      </c>
      <c r="T82">
        <v>947</v>
      </c>
    </row>
    <row r="83" spans="1:20" x14ac:dyDescent="0.35">
      <c r="A83" s="7" t="s">
        <v>164</v>
      </c>
      <c r="B83" s="12" t="s">
        <v>53</v>
      </c>
      <c r="C83">
        <v>67128243.479512498</v>
      </c>
      <c r="D83">
        <v>64262854.504402012</v>
      </c>
      <c r="E83">
        <v>1102702.702702703</v>
      </c>
      <c r="F83">
        <v>1123423.4234234251</v>
      </c>
      <c r="G83">
        <v>26</v>
      </c>
      <c r="H83">
        <v>5</v>
      </c>
      <c r="K83">
        <v>28</v>
      </c>
      <c r="L83">
        <v>7</v>
      </c>
      <c r="M83">
        <v>1354954.954954955</v>
      </c>
      <c r="N83">
        <v>2475495.4954954949</v>
      </c>
      <c r="O83">
        <v>32745090.090090089</v>
      </c>
      <c r="P83">
        <v>29749135.135135137</v>
      </c>
      <c r="Q83">
        <v>1412972.972972973</v>
      </c>
      <c r="R83">
        <v>2392522.5225225231</v>
      </c>
      <c r="S83">
        <v>1554</v>
      </c>
      <c r="T83">
        <v>1463</v>
      </c>
    </row>
    <row r="84" spans="1:20" x14ac:dyDescent="0.35">
      <c r="A84" s="7" t="s">
        <v>165</v>
      </c>
      <c r="B84" s="12" t="s">
        <v>88</v>
      </c>
      <c r="C84">
        <v>34955417.916420773</v>
      </c>
      <c r="D84">
        <v>47462916.319318213</v>
      </c>
      <c r="E84">
        <v>144144.144144144</v>
      </c>
      <c r="F84">
        <v>65765.765765766002</v>
      </c>
      <c r="G84">
        <v>11</v>
      </c>
      <c r="H84">
        <v>13</v>
      </c>
      <c r="K84">
        <v>12</v>
      </c>
      <c r="L84">
        <v>15</v>
      </c>
      <c r="M84">
        <v>1526126.1261261259</v>
      </c>
      <c r="N84">
        <v>1881081.0810810821</v>
      </c>
      <c r="O84">
        <v>3255090.0900900899</v>
      </c>
      <c r="P84">
        <v>7484414.4144144142</v>
      </c>
      <c r="Q84">
        <v>1385045.045045044</v>
      </c>
      <c r="R84">
        <v>1934414.4144144149</v>
      </c>
      <c r="S84">
        <v>1139</v>
      </c>
      <c r="T84">
        <v>1242</v>
      </c>
    </row>
    <row r="85" spans="1:20" x14ac:dyDescent="0.35">
      <c r="A85" s="7" t="s">
        <v>166</v>
      </c>
      <c r="B85" s="12" t="s">
        <v>144</v>
      </c>
      <c r="C85">
        <v>11727444.355490748</v>
      </c>
      <c r="D85">
        <v>11326660.801363936</v>
      </c>
      <c r="E85">
        <v>121621.62162162201</v>
      </c>
      <c r="F85">
        <v>297297.29729729798</v>
      </c>
      <c r="G85">
        <v>10</v>
      </c>
      <c r="K85">
        <v>10</v>
      </c>
      <c r="M85">
        <v>1626126.1261261259</v>
      </c>
      <c r="N85">
        <v>747747.74774774804</v>
      </c>
      <c r="O85">
        <v>1433981.981981982</v>
      </c>
      <c r="P85">
        <v>1336477.4774774769</v>
      </c>
      <c r="Q85">
        <v>673333.33333333302</v>
      </c>
      <c r="R85">
        <v>962972.97297297302</v>
      </c>
      <c r="S85">
        <v>329</v>
      </c>
      <c r="T85">
        <v>361</v>
      </c>
    </row>
    <row r="86" spans="1:20" x14ac:dyDescent="0.35">
      <c r="A86" s="7" t="s">
        <v>671</v>
      </c>
      <c r="B86" s="12" t="s">
        <v>144</v>
      </c>
      <c r="E86">
        <v>140085729.72972974</v>
      </c>
      <c r="F86">
        <v>161403803.6036036</v>
      </c>
      <c r="M86">
        <v>8126126.1261261264</v>
      </c>
      <c r="N86">
        <v>27126126.126126129</v>
      </c>
    </row>
    <row r="87" spans="1:20" x14ac:dyDescent="0.35">
      <c r="A87" s="7" t="s">
        <v>167</v>
      </c>
      <c r="B87" s="12" t="s">
        <v>168</v>
      </c>
      <c r="C87">
        <v>47686805.49971579</v>
      </c>
      <c r="D87">
        <v>43862492.552608341</v>
      </c>
      <c r="E87">
        <v>721621.62162162201</v>
      </c>
      <c r="F87">
        <v>618018.01801801799</v>
      </c>
      <c r="G87">
        <v>11</v>
      </c>
      <c r="H87">
        <v>5</v>
      </c>
      <c r="K87">
        <v>11</v>
      </c>
      <c r="L87">
        <v>9</v>
      </c>
      <c r="M87">
        <v>4557207.2072072066</v>
      </c>
      <c r="N87">
        <v>4764864.8648648662</v>
      </c>
      <c r="O87">
        <v>23177890.090090089</v>
      </c>
      <c r="P87">
        <v>23373153.153153151</v>
      </c>
      <c r="Q87">
        <v>4064774.774774774</v>
      </c>
      <c r="R87">
        <v>3286126.1261261259</v>
      </c>
      <c r="S87">
        <v>1384</v>
      </c>
      <c r="T87">
        <v>1392</v>
      </c>
    </row>
    <row r="88" spans="1:20" x14ac:dyDescent="0.35">
      <c r="A88" s="7" t="s">
        <v>169</v>
      </c>
      <c r="B88" s="12" t="s">
        <v>170</v>
      </c>
      <c r="C88">
        <v>221491032.11328754</v>
      </c>
      <c r="D88">
        <v>233461649.79381391</v>
      </c>
      <c r="E88">
        <v>1484684.6846846871</v>
      </c>
      <c r="F88">
        <v>3446846.8468468478</v>
      </c>
      <c r="G88">
        <v>43</v>
      </c>
      <c r="H88">
        <v>30</v>
      </c>
      <c r="K88">
        <v>49</v>
      </c>
      <c r="L88">
        <v>39</v>
      </c>
      <c r="M88">
        <v>37268718.018018015</v>
      </c>
      <c r="N88">
        <v>50987387.387387395</v>
      </c>
      <c r="O88">
        <v>68255939.189189196</v>
      </c>
      <c r="P88">
        <v>76249720.720720723</v>
      </c>
      <c r="Q88">
        <v>35362612.612612613</v>
      </c>
      <c r="R88">
        <v>47371441.441441439</v>
      </c>
      <c r="S88">
        <v>6833</v>
      </c>
      <c r="T88">
        <v>6501</v>
      </c>
    </row>
    <row r="89" spans="1:20" x14ac:dyDescent="0.35">
      <c r="A89" s="7" t="s">
        <v>171</v>
      </c>
      <c r="B89" s="12" t="s">
        <v>55</v>
      </c>
      <c r="C89">
        <v>32722650.470911488</v>
      </c>
      <c r="D89">
        <v>39457950.75079453</v>
      </c>
      <c r="E89">
        <v>381081.08108108101</v>
      </c>
      <c r="F89">
        <v>118918.918918918</v>
      </c>
      <c r="G89">
        <v>2</v>
      </c>
      <c r="H89">
        <v>4</v>
      </c>
      <c r="K89">
        <v>3</v>
      </c>
      <c r="L89">
        <v>5</v>
      </c>
      <c r="M89">
        <v>2680630.630630631</v>
      </c>
      <c r="N89">
        <v>5848648.6486486495</v>
      </c>
      <c r="O89">
        <v>5260720.7207207195</v>
      </c>
      <c r="P89">
        <v>6208873.8738738736</v>
      </c>
      <c r="Q89">
        <v>3234234.2342342339</v>
      </c>
      <c r="R89">
        <v>5126936.9369369373</v>
      </c>
      <c r="S89">
        <v>692</v>
      </c>
      <c r="T89">
        <v>672</v>
      </c>
    </row>
    <row r="90" spans="1:20" x14ac:dyDescent="0.35">
      <c r="A90" s="7" t="s">
        <v>172</v>
      </c>
      <c r="B90" s="12" t="s">
        <v>61</v>
      </c>
      <c r="C90">
        <v>684205147.39516687</v>
      </c>
      <c r="D90">
        <v>678251620.79622996</v>
      </c>
      <c r="E90">
        <v>7798198.1981982011</v>
      </c>
      <c r="F90">
        <v>6000000.0000000075</v>
      </c>
      <c r="G90">
        <v>180</v>
      </c>
      <c r="H90">
        <v>41</v>
      </c>
      <c r="K90">
        <v>204</v>
      </c>
      <c r="L90">
        <v>58</v>
      </c>
      <c r="M90">
        <v>32911711.711711712</v>
      </c>
      <c r="N90">
        <v>40774774.774774775</v>
      </c>
      <c r="O90">
        <v>252461270.27027026</v>
      </c>
      <c r="P90">
        <v>247928169.36936939</v>
      </c>
      <c r="Q90">
        <v>32773963.963963963</v>
      </c>
      <c r="R90">
        <v>34755945.945945948</v>
      </c>
      <c r="S90">
        <v>11654</v>
      </c>
      <c r="T90">
        <v>12124</v>
      </c>
    </row>
    <row r="91" spans="1:20" x14ac:dyDescent="0.35">
      <c r="A91" s="7" t="s">
        <v>173</v>
      </c>
      <c r="B91" s="12" t="s">
        <v>122</v>
      </c>
      <c r="C91">
        <v>280699548.46979678</v>
      </c>
      <c r="D91">
        <v>265635138.45868629</v>
      </c>
      <c r="E91">
        <v>1691891.8918918939</v>
      </c>
      <c r="F91">
        <v>1103603.6036036101</v>
      </c>
      <c r="G91">
        <v>111</v>
      </c>
      <c r="H91">
        <v>99</v>
      </c>
      <c r="K91">
        <v>119</v>
      </c>
      <c r="L91">
        <v>112</v>
      </c>
      <c r="M91">
        <v>19454954.954954956</v>
      </c>
      <c r="N91">
        <v>19527027.02702703</v>
      </c>
      <c r="O91">
        <v>38974087.837837838</v>
      </c>
      <c r="P91">
        <v>44823936.936936937</v>
      </c>
      <c r="Q91">
        <v>13046126.126126124</v>
      </c>
      <c r="R91">
        <v>13419099.099099096</v>
      </c>
      <c r="S91">
        <v>5599</v>
      </c>
      <c r="T91">
        <v>5707</v>
      </c>
    </row>
    <row r="92" spans="1:20" x14ac:dyDescent="0.35">
      <c r="A92" s="7" t="s">
        <v>174</v>
      </c>
      <c r="B92" s="12" t="s">
        <v>175</v>
      </c>
      <c r="C92">
        <v>202545826.6110684</v>
      </c>
      <c r="D92">
        <v>212004461.14198703</v>
      </c>
      <c r="E92">
        <v>5554729.7297297288</v>
      </c>
      <c r="F92">
        <v>3238738.7387387441</v>
      </c>
      <c r="G92">
        <v>95</v>
      </c>
      <c r="H92">
        <v>32</v>
      </c>
      <c r="K92">
        <v>154</v>
      </c>
      <c r="L92">
        <v>46</v>
      </c>
      <c r="M92">
        <v>36093243.24324324</v>
      </c>
      <c r="N92">
        <v>34572072.072072074</v>
      </c>
      <c r="O92">
        <v>25746774.774774775</v>
      </c>
      <c r="P92">
        <v>27080702.702702705</v>
      </c>
      <c r="Q92">
        <v>30897207.207207207</v>
      </c>
      <c r="R92">
        <v>30619459.459459465</v>
      </c>
      <c r="S92">
        <v>4502</v>
      </c>
      <c r="T92">
        <v>4649</v>
      </c>
    </row>
    <row r="93" spans="1:20" x14ac:dyDescent="0.35">
      <c r="A93" s="7" t="s">
        <v>176</v>
      </c>
      <c r="B93" s="12" t="s">
        <v>175</v>
      </c>
      <c r="C93">
        <v>317621482.8751331</v>
      </c>
      <c r="D93">
        <v>329784047.97477961</v>
      </c>
      <c r="E93">
        <v>100971508.10810812</v>
      </c>
      <c r="F93">
        <v>125838460.36036037</v>
      </c>
      <c r="G93">
        <v>147</v>
      </c>
      <c r="H93">
        <v>156</v>
      </c>
      <c r="I93">
        <v>1</v>
      </c>
      <c r="K93">
        <v>182</v>
      </c>
      <c r="L93">
        <v>200</v>
      </c>
      <c r="M93">
        <v>56945945.945945941</v>
      </c>
      <c r="N93">
        <v>53471303.603603609</v>
      </c>
      <c r="O93">
        <v>52834270.270270273</v>
      </c>
      <c r="P93">
        <v>53967072.072072074</v>
      </c>
      <c r="Q93">
        <v>36517657.657657653</v>
      </c>
      <c r="R93">
        <v>37783963.963963971</v>
      </c>
      <c r="S93">
        <v>8369</v>
      </c>
      <c r="T93">
        <v>8580</v>
      </c>
    </row>
    <row r="94" spans="1:20" x14ac:dyDescent="0.35">
      <c r="A94" s="7" t="s">
        <v>177</v>
      </c>
      <c r="B94" s="12" t="s">
        <v>175</v>
      </c>
      <c r="C94">
        <v>432235721.39187104</v>
      </c>
      <c r="D94">
        <v>437880412.94115931</v>
      </c>
      <c r="E94">
        <v>19357882.882882889</v>
      </c>
      <c r="F94">
        <v>15131531.531531541</v>
      </c>
      <c r="G94">
        <v>217</v>
      </c>
      <c r="H94">
        <v>212</v>
      </c>
      <c r="K94">
        <v>265</v>
      </c>
      <c r="L94">
        <v>263</v>
      </c>
      <c r="M94">
        <v>42036036.036036029</v>
      </c>
      <c r="N94">
        <v>52586043.243243247</v>
      </c>
      <c r="O94">
        <v>66330527.027027026</v>
      </c>
      <c r="P94">
        <v>70742900.9009009</v>
      </c>
      <c r="Q94">
        <v>35239099.0990991</v>
      </c>
      <c r="R94">
        <v>46377927.927927926</v>
      </c>
      <c r="S94">
        <v>11675</v>
      </c>
      <c r="T94">
        <v>12263</v>
      </c>
    </row>
    <row r="95" spans="1:20" x14ac:dyDescent="0.35">
      <c r="A95" s="7" t="s">
        <v>178</v>
      </c>
      <c r="B95" s="12" t="s">
        <v>179</v>
      </c>
      <c r="C95">
        <v>146374916.9813278</v>
      </c>
      <c r="D95">
        <v>134065949.77604327</v>
      </c>
      <c r="E95">
        <v>485585.58558558603</v>
      </c>
      <c r="F95">
        <v>1604504.504504506</v>
      </c>
      <c r="G95">
        <v>30</v>
      </c>
      <c r="H95">
        <v>15</v>
      </c>
      <c r="K95">
        <v>36</v>
      </c>
      <c r="L95">
        <v>68</v>
      </c>
      <c r="M95">
        <v>9602027.0270270277</v>
      </c>
      <c r="N95">
        <v>9626576.5765765756</v>
      </c>
      <c r="O95">
        <v>60102376.576576576</v>
      </c>
      <c r="P95">
        <v>53155414.414414413</v>
      </c>
      <c r="Q95">
        <v>9152297.2972972952</v>
      </c>
      <c r="R95">
        <v>7809099.0990990978</v>
      </c>
      <c r="S95">
        <v>3515</v>
      </c>
      <c r="T95">
        <v>3480</v>
      </c>
    </row>
    <row r="96" spans="1:20" x14ac:dyDescent="0.35">
      <c r="A96" s="7" t="s">
        <v>180</v>
      </c>
      <c r="B96" s="12" t="s">
        <v>168</v>
      </c>
      <c r="C96">
        <v>171771563.65573072</v>
      </c>
      <c r="D96">
        <v>191273722.70589161</v>
      </c>
      <c r="E96">
        <v>2044819.8198198201</v>
      </c>
      <c r="F96">
        <v>3870720.7207207219</v>
      </c>
      <c r="G96">
        <v>33</v>
      </c>
      <c r="H96">
        <v>18</v>
      </c>
      <c r="K96">
        <v>48</v>
      </c>
      <c r="L96">
        <v>20</v>
      </c>
      <c r="M96">
        <v>4609909.9099099115</v>
      </c>
      <c r="N96">
        <v>12465765.765765766</v>
      </c>
      <c r="O96">
        <v>43528432.432432435</v>
      </c>
      <c r="P96">
        <v>62458378.378378376</v>
      </c>
      <c r="Q96">
        <v>2602252.2522522551</v>
      </c>
      <c r="R96">
        <v>8077117.117117119</v>
      </c>
      <c r="S96">
        <v>4545</v>
      </c>
      <c r="T96">
        <v>4492</v>
      </c>
    </row>
    <row r="97" spans="1:20" x14ac:dyDescent="0.35">
      <c r="A97" s="7" t="s">
        <v>181</v>
      </c>
      <c r="B97" s="12" t="s">
        <v>182</v>
      </c>
      <c r="C97">
        <v>139373620.24419615</v>
      </c>
      <c r="D97">
        <v>145621741.65776703</v>
      </c>
      <c r="E97">
        <v>357657.65765765798</v>
      </c>
      <c r="F97">
        <v>2320720.7207207228</v>
      </c>
      <c r="G97">
        <v>22</v>
      </c>
      <c r="H97">
        <v>29</v>
      </c>
      <c r="K97">
        <v>25</v>
      </c>
      <c r="L97">
        <v>31</v>
      </c>
      <c r="M97">
        <v>7767387.3873873837</v>
      </c>
      <c r="N97">
        <v>29746396.396396395</v>
      </c>
      <c r="O97">
        <v>34954056.30630631</v>
      </c>
      <c r="P97">
        <v>35580549.54954955</v>
      </c>
      <c r="Q97">
        <v>9752252.2522522472</v>
      </c>
      <c r="R97">
        <v>28420540.540540535</v>
      </c>
      <c r="S97">
        <v>3019</v>
      </c>
      <c r="T97">
        <v>3492</v>
      </c>
    </row>
    <row r="98" spans="1:20" x14ac:dyDescent="0.35">
      <c r="A98" s="7" t="s">
        <v>665</v>
      </c>
      <c r="B98" s="12" t="s">
        <v>69</v>
      </c>
      <c r="E98">
        <v>139374688.2882883</v>
      </c>
      <c r="F98">
        <v>127334977.47747748</v>
      </c>
      <c r="M98">
        <v>2140540.5405405411</v>
      </c>
      <c r="N98">
        <v>27638738.738738734</v>
      </c>
      <c r="T98">
        <v>2</v>
      </c>
    </row>
    <row r="99" spans="1:20" x14ac:dyDescent="0.35">
      <c r="A99" s="7" t="s">
        <v>183</v>
      </c>
      <c r="B99" s="12" t="s">
        <v>95</v>
      </c>
      <c r="C99">
        <v>136034532.13556525</v>
      </c>
      <c r="D99">
        <v>144581723.09158182</v>
      </c>
      <c r="E99">
        <v>54054.054054054002</v>
      </c>
      <c r="F99">
        <v>90090.090090090001</v>
      </c>
      <c r="G99">
        <v>42</v>
      </c>
      <c r="H99">
        <v>34</v>
      </c>
      <c r="I99">
        <v>1</v>
      </c>
      <c r="K99">
        <v>52</v>
      </c>
      <c r="L99">
        <v>41</v>
      </c>
      <c r="M99">
        <v>4477477.4774774769</v>
      </c>
      <c r="N99">
        <v>1891891.8918918921</v>
      </c>
      <c r="O99">
        <v>14800981.981981982</v>
      </c>
      <c r="P99">
        <v>21987162.162162159</v>
      </c>
      <c r="Q99">
        <v>1633963.963963964</v>
      </c>
      <c r="R99">
        <v>638288.28828828898</v>
      </c>
      <c r="S99">
        <v>3638</v>
      </c>
      <c r="T99">
        <v>3768</v>
      </c>
    </row>
    <row r="100" spans="1:20" x14ac:dyDescent="0.35">
      <c r="A100" s="7" t="s">
        <v>184</v>
      </c>
      <c r="B100" s="12" t="s">
        <v>95</v>
      </c>
      <c r="C100">
        <v>831647956.16344881</v>
      </c>
      <c r="D100">
        <v>901767520.90452993</v>
      </c>
      <c r="E100">
        <v>962580420.72072077</v>
      </c>
      <c r="F100">
        <v>205813375.67567569</v>
      </c>
      <c r="G100">
        <v>163</v>
      </c>
      <c r="H100">
        <v>237</v>
      </c>
      <c r="K100">
        <v>199</v>
      </c>
      <c r="L100">
        <v>302</v>
      </c>
      <c r="M100">
        <v>55246396.396396391</v>
      </c>
      <c r="N100">
        <v>62973963.963963963</v>
      </c>
      <c r="O100">
        <v>102084367.11711712</v>
      </c>
      <c r="P100">
        <v>133250459.45945945</v>
      </c>
      <c r="Q100">
        <v>45211981.981981985</v>
      </c>
      <c r="R100">
        <v>46654864.864864863</v>
      </c>
      <c r="S100">
        <v>15951</v>
      </c>
      <c r="T100">
        <v>16718</v>
      </c>
    </row>
    <row r="101" spans="1:20" x14ac:dyDescent="0.35">
      <c r="A101" s="7" t="s">
        <v>185</v>
      </c>
      <c r="B101" s="12" t="s">
        <v>90</v>
      </c>
      <c r="C101">
        <v>75059261.264593691</v>
      </c>
      <c r="D101">
        <v>67269274.434319645</v>
      </c>
      <c r="E101">
        <v>695270.27027027099</v>
      </c>
      <c r="F101">
        <v>1544144.144144143</v>
      </c>
      <c r="G101">
        <v>19</v>
      </c>
      <c r="H101">
        <v>5</v>
      </c>
      <c r="K101">
        <v>19</v>
      </c>
      <c r="L101">
        <v>6</v>
      </c>
      <c r="M101">
        <v>3356216.2162162159</v>
      </c>
      <c r="N101">
        <v>4278378.3783783782</v>
      </c>
      <c r="O101">
        <v>25469801.801801801</v>
      </c>
      <c r="P101">
        <v>26144306.306306303</v>
      </c>
      <c r="Q101">
        <v>3410540.5405405411</v>
      </c>
      <c r="R101">
        <v>4158018.0180180189</v>
      </c>
      <c r="S101">
        <v>1607</v>
      </c>
      <c r="T101">
        <v>1401</v>
      </c>
    </row>
    <row r="102" spans="1:20" x14ac:dyDescent="0.35">
      <c r="A102" s="7" t="s">
        <v>186</v>
      </c>
      <c r="B102" s="12" t="s">
        <v>61</v>
      </c>
      <c r="C102">
        <v>45015078.380528405</v>
      </c>
      <c r="D102">
        <v>49332342.481964007</v>
      </c>
      <c r="E102">
        <v>259459.45945946101</v>
      </c>
      <c r="F102">
        <v>929729.72972973005</v>
      </c>
      <c r="G102">
        <v>11</v>
      </c>
      <c r="H102">
        <v>7</v>
      </c>
      <c r="K102">
        <v>11</v>
      </c>
      <c r="L102">
        <v>8</v>
      </c>
      <c r="M102">
        <v>1250450.450450452</v>
      </c>
      <c r="N102">
        <v>2614414.4144144151</v>
      </c>
      <c r="O102">
        <v>15621731.981981982</v>
      </c>
      <c r="P102">
        <v>17158909.909909911</v>
      </c>
      <c r="Q102">
        <v>953603.60360360402</v>
      </c>
      <c r="R102">
        <v>3398288.2882882878</v>
      </c>
      <c r="S102">
        <v>812</v>
      </c>
      <c r="T102">
        <v>851</v>
      </c>
    </row>
    <row r="103" spans="1:20" x14ac:dyDescent="0.35">
      <c r="A103" s="7" t="s">
        <v>187</v>
      </c>
      <c r="B103" s="12" t="s">
        <v>168</v>
      </c>
      <c r="C103">
        <v>112778250.68533652</v>
      </c>
      <c r="D103">
        <v>108137167.6488779</v>
      </c>
      <c r="E103">
        <v>1630405.4054054059</v>
      </c>
      <c r="F103">
        <v>2130630.630630631</v>
      </c>
      <c r="G103">
        <v>5</v>
      </c>
      <c r="H103">
        <v>6</v>
      </c>
      <c r="K103">
        <v>6</v>
      </c>
      <c r="L103">
        <v>10</v>
      </c>
      <c r="M103">
        <v>1671171.1711711721</v>
      </c>
      <c r="N103">
        <v>2166666.666666667</v>
      </c>
      <c r="O103">
        <v>30003045.045045044</v>
      </c>
      <c r="P103">
        <v>33182034.234234232</v>
      </c>
      <c r="Q103">
        <v>268828.82882882899</v>
      </c>
      <c r="R103">
        <v>1616576.5765765761</v>
      </c>
      <c r="S103">
        <v>2546</v>
      </c>
      <c r="T103">
        <v>2884</v>
      </c>
    </row>
    <row r="104" spans="1:20" x14ac:dyDescent="0.35">
      <c r="A104" s="7" t="s">
        <v>188</v>
      </c>
      <c r="B104" s="12" t="s">
        <v>168</v>
      </c>
      <c r="C104">
        <v>297468917.53822094</v>
      </c>
      <c r="D104">
        <v>320821443.38660353</v>
      </c>
      <c r="E104">
        <v>1033333.333333336</v>
      </c>
      <c r="F104">
        <v>1045045.045045045</v>
      </c>
      <c r="G104">
        <v>33</v>
      </c>
      <c r="H104">
        <v>9</v>
      </c>
      <c r="K104">
        <v>36</v>
      </c>
      <c r="L104">
        <v>11</v>
      </c>
      <c r="M104">
        <v>12394175.675675675</v>
      </c>
      <c r="N104">
        <v>13309909.909909911</v>
      </c>
      <c r="O104">
        <v>60435909.909909911</v>
      </c>
      <c r="P104">
        <v>77540691.891891882</v>
      </c>
      <c r="Q104">
        <v>9370720.7207207233</v>
      </c>
      <c r="R104">
        <v>12275405.405405408</v>
      </c>
      <c r="S104">
        <v>5430</v>
      </c>
      <c r="T104">
        <v>5638</v>
      </c>
    </row>
    <row r="105" spans="1:20" x14ac:dyDescent="0.35">
      <c r="A105" s="7" t="s">
        <v>189</v>
      </c>
      <c r="B105" s="12" t="s">
        <v>190</v>
      </c>
      <c r="C105">
        <v>131036127.74403606</v>
      </c>
      <c r="D105">
        <v>137308580.79146597</v>
      </c>
      <c r="E105">
        <v>270270.27027027</v>
      </c>
      <c r="F105">
        <v>270270.27027027</v>
      </c>
      <c r="G105">
        <v>22</v>
      </c>
      <c r="H105">
        <v>34</v>
      </c>
      <c r="I105">
        <v>1</v>
      </c>
      <c r="K105">
        <v>22</v>
      </c>
      <c r="L105">
        <v>34</v>
      </c>
      <c r="M105">
        <v>2072072.072072072</v>
      </c>
      <c r="N105">
        <v>2657657.6576576582</v>
      </c>
      <c r="O105">
        <v>9582288.2882882878</v>
      </c>
      <c r="P105">
        <v>11881720.72072072</v>
      </c>
      <c r="Q105">
        <v>1700900.9009009011</v>
      </c>
      <c r="R105">
        <v>1861531.5315315321</v>
      </c>
      <c r="S105">
        <v>1654</v>
      </c>
      <c r="T105">
        <v>1704</v>
      </c>
    </row>
    <row r="106" spans="1:20" x14ac:dyDescent="0.35">
      <c r="A106" s="7" t="s">
        <v>191</v>
      </c>
      <c r="B106" s="12" t="s">
        <v>135</v>
      </c>
      <c r="C106">
        <v>31242665.256420739</v>
      </c>
      <c r="D106">
        <v>28807871.343948025</v>
      </c>
      <c r="E106">
        <v>13513.513513514001</v>
      </c>
      <c r="G106">
        <v>19</v>
      </c>
      <c r="H106">
        <v>25</v>
      </c>
      <c r="K106">
        <v>20</v>
      </c>
      <c r="L106">
        <v>29</v>
      </c>
      <c r="M106">
        <v>58558.558558559002</v>
      </c>
      <c r="O106">
        <v>2299684.684684685</v>
      </c>
      <c r="P106">
        <v>2542873.8738738741</v>
      </c>
      <c r="Q106">
        <v>166666.66666666701</v>
      </c>
      <c r="S106">
        <v>932</v>
      </c>
      <c r="T106">
        <v>921</v>
      </c>
    </row>
    <row r="107" spans="1:20" x14ac:dyDescent="0.35">
      <c r="A107" s="7" t="s">
        <v>192</v>
      </c>
      <c r="B107" s="12" t="s">
        <v>61</v>
      </c>
      <c r="C107">
        <v>187802753.54941988</v>
      </c>
      <c r="D107">
        <v>189690230.78352797</v>
      </c>
      <c r="E107">
        <v>2733108.108108107</v>
      </c>
      <c r="F107">
        <v>2318918.9189189202</v>
      </c>
      <c r="G107">
        <v>31</v>
      </c>
      <c r="H107">
        <v>37</v>
      </c>
      <c r="K107">
        <v>58</v>
      </c>
      <c r="L107">
        <v>85</v>
      </c>
      <c r="M107">
        <v>16553153.153153151</v>
      </c>
      <c r="N107">
        <v>23124774.774774771</v>
      </c>
      <c r="O107">
        <v>62403648.648648649</v>
      </c>
      <c r="P107">
        <v>65358297.297297299</v>
      </c>
      <c r="Q107">
        <v>15325945.945945948</v>
      </c>
      <c r="R107">
        <v>22651171.171171173</v>
      </c>
      <c r="S107">
        <v>3809</v>
      </c>
      <c r="T107">
        <v>3923</v>
      </c>
    </row>
    <row r="108" spans="1:20" x14ac:dyDescent="0.35">
      <c r="A108" s="7" t="s">
        <v>193</v>
      </c>
      <c r="B108" s="12" t="s">
        <v>61</v>
      </c>
      <c r="C108">
        <v>324269120.56482464</v>
      </c>
      <c r="D108">
        <v>338339042.63870049</v>
      </c>
      <c r="E108">
        <v>2804504.5045045041</v>
      </c>
      <c r="F108">
        <v>2787387.387387387</v>
      </c>
      <c r="G108">
        <v>29</v>
      </c>
      <c r="H108">
        <v>37</v>
      </c>
      <c r="I108">
        <v>2</v>
      </c>
      <c r="K108">
        <v>36</v>
      </c>
      <c r="L108">
        <v>54</v>
      </c>
      <c r="M108">
        <v>18272972.97297297</v>
      </c>
      <c r="N108">
        <v>30622972.97297297</v>
      </c>
      <c r="O108">
        <v>77768666.666666672</v>
      </c>
      <c r="P108">
        <v>82156637.837837845</v>
      </c>
      <c r="Q108">
        <v>18099729.729729731</v>
      </c>
      <c r="R108">
        <v>29051034.234234236</v>
      </c>
      <c r="S108">
        <v>6512</v>
      </c>
      <c r="T108">
        <v>8093</v>
      </c>
    </row>
    <row r="109" spans="1:20" x14ac:dyDescent="0.35">
      <c r="A109" s="7" t="s">
        <v>2</v>
      </c>
      <c r="B109" s="12" t="s">
        <v>194</v>
      </c>
      <c r="C109">
        <v>34829506.004046865</v>
      </c>
      <c r="D109">
        <v>18247182.819930792</v>
      </c>
      <c r="E109">
        <v>310810.81081081199</v>
      </c>
      <c r="F109">
        <v>373873.87387387402</v>
      </c>
      <c r="G109">
        <v>5</v>
      </c>
      <c r="K109">
        <v>5</v>
      </c>
      <c r="M109">
        <v>6662162.1621621633</v>
      </c>
      <c r="N109">
        <v>3256756.7567567569</v>
      </c>
      <c r="O109">
        <v>19509630.630630631</v>
      </c>
      <c r="P109">
        <v>11820990.990990993</v>
      </c>
      <c r="Q109">
        <v>6509009.0090090092</v>
      </c>
      <c r="R109">
        <v>3004954.9549549548</v>
      </c>
      <c r="S109">
        <v>1032</v>
      </c>
      <c r="T109">
        <v>1194</v>
      </c>
    </row>
    <row r="110" spans="1:20" x14ac:dyDescent="0.35">
      <c r="A110" s="7" t="s">
        <v>195</v>
      </c>
      <c r="B110" s="12" t="s">
        <v>196</v>
      </c>
      <c r="C110">
        <v>1140337611.3753026</v>
      </c>
      <c r="D110">
        <v>1178175560.5016987</v>
      </c>
      <c r="E110">
        <v>3202477.4774774779</v>
      </c>
      <c r="F110">
        <v>4718018.0180180203</v>
      </c>
      <c r="G110">
        <v>299</v>
      </c>
      <c r="H110">
        <v>111</v>
      </c>
      <c r="I110">
        <v>2</v>
      </c>
      <c r="K110">
        <v>362</v>
      </c>
      <c r="L110">
        <v>162</v>
      </c>
      <c r="M110">
        <v>53034594.59459459</v>
      </c>
      <c r="N110">
        <v>54582882.882882878</v>
      </c>
      <c r="O110">
        <v>222557117.11711711</v>
      </c>
      <c r="P110">
        <v>237618081.08108109</v>
      </c>
      <c r="Q110">
        <v>52828468.468468465</v>
      </c>
      <c r="R110">
        <v>51249369.369369365</v>
      </c>
      <c r="S110">
        <v>17344</v>
      </c>
      <c r="T110">
        <v>18548</v>
      </c>
    </row>
    <row r="111" spans="1:20" x14ac:dyDescent="0.35">
      <c r="A111" s="7" t="s">
        <v>197</v>
      </c>
      <c r="B111" s="12" t="s">
        <v>81</v>
      </c>
      <c r="C111">
        <v>349303611.54511648</v>
      </c>
      <c r="D111">
        <v>344925215.03326321</v>
      </c>
      <c r="E111">
        <v>1740540.540540542</v>
      </c>
      <c r="F111">
        <v>3160360.3603603612</v>
      </c>
      <c r="G111">
        <v>81</v>
      </c>
      <c r="H111">
        <v>54</v>
      </c>
      <c r="K111">
        <v>92</v>
      </c>
      <c r="L111">
        <v>71</v>
      </c>
      <c r="M111">
        <v>43524324.324324317</v>
      </c>
      <c r="N111">
        <v>53558108.108108103</v>
      </c>
      <c r="O111">
        <v>95503801.801801801</v>
      </c>
      <c r="P111">
        <v>94254720.720720723</v>
      </c>
      <c r="Q111">
        <v>45325315.315315314</v>
      </c>
      <c r="R111">
        <v>55191081.081081077</v>
      </c>
      <c r="S111">
        <v>6832</v>
      </c>
      <c r="T111">
        <v>6874</v>
      </c>
    </row>
    <row r="112" spans="1:20" x14ac:dyDescent="0.35">
      <c r="A112" s="7" t="s">
        <v>198</v>
      </c>
      <c r="B112" s="12" t="s">
        <v>109</v>
      </c>
      <c r="C112">
        <v>278064272.02499801</v>
      </c>
      <c r="D112">
        <v>278990473.43771571</v>
      </c>
      <c r="E112">
        <v>2476576.5765765761</v>
      </c>
      <c r="F112">
        <v>4155405.4054054092</v>
      </c>
      <c r="G112">
        <v>99</v>
      </c>
      <c r="H112">
        <v>60</v>
      </c>
      <c r="I112">
        <v>1</v>
      </c>
      <c r="K112">
        <v>114</v>
      </c>
      <c r="L112">
        <v>87</v>
      </c>
      <c r="M112">
        <v>15972972.97297297</v>
      </c>
      <c r="N112">
        <v>21694144.144144144</v>
      </c>
      <c r="O112">
        <v>86180765.765765756</v>
      </c>
      <c r="P112">
        <v>85013054.054054052</v>
      </c>
      <c r="Q112">
        <v>15584594.594594594</v>
      </c>
      <c r="R112">
        <v>21620810.810810808</v>
      </c>
      <c r="S112">
        <v>6652</v>
      </c>
      <c r="T112">
        <v>7158</v>
      </c>
    </row>
    <row r="113" spans="1:20" x14ac:dyDescent="0.35">
      <c r="A113" s="7" t="s">
        <v>199</v>
      </c>
      <c r="B113" s="12" t="s">
        <v>93</v>
      </c>
      <c r="C113">
        <v>149199583.17759743</v>
      </c>
      <c r="D113">
        <v>154400719.04674095</v>
      </c>
      <c r="E113">
        <v>5240540.5405405397</v>
      </c>
      <c r="F113">
        <v>4136936.9369369368</v>
      </c>
      <c r="G113">
        <v>182</v>
      </c>
      <c r="H113">
        <v>28</v>
      </c>
      <c r="K113">
        <v>242</v>
      </c>
      <c r="L113">
        <v>29</v>
      </c>
      <c r="M113">
        <v>50025135.135135137</v>
      </c>
      <c r="N113">
        <v>28459009.009009007</v>
      </c>
      <c r="O113">
        <v>40850405.40540541</v>
      </c>
      <c r="P113">
        <v>39808909.909909911</v>
      </c>
      <c r="Q113">
        <v>48544144.144144148</v>
      </c>
      <c r="R113">
        <v>27259639.639639638</v>
      </c>
      <c r="S113">
        <v>2670</v>
      </c>
      <c r="T113">
        <v>3628</v>
      </c>
    </row>
    <row r="114" spans="1:20" x14ac:dyDescent="0.35">
      <c r="A114" s="7" t="s">
        <v>200</v>
      </c>
      <c r="B114" s="12" t="s">
        <v>124</v>
      </c>
      <c r="C114">
        <v>139783329.14347091</v>
      </c>
      <c r="D114">
        <v>118001314.48817721</v>
      </c>
      <c r="E114">
        <v>260360.360360361</v>
      </c>
      <c r="F114">
        <v>1629729.7297297299</v>
      </c>
      <c r="G114">
        <v>42</v>
      </c>
      <c r="H114">
        <v>19</v>
      </c>
      <c r="K114">
        <v>47</v>
      </c>
      <c r="L114">
        <v>22</v>
      </c>
      <c r="M114">
        <v>4034774.774774774</v>
      </c>
      <c r="N114">
        <v>9194414.4144144133</v>
      </c>
      <c r="O114">
        <v>25913648.648648649</v>
      </c>
      <c r="P114">
        <v>27438990.990990993</v>
      </c>
      <c r="Q114">
        <v>5371441.4414414419</v>
      </c>
      <c r="R114">
        <v>6557747.7477477472</v>
      </c>
      <c r="S114">
        <v>2545</v>
      </c>
      <c r="T114">
        <v>2464</v>
      </c>
    </row>
    <row r="115" spans="1:20" x14ac:dyDescent="0.35">
      <c r="A115" s="7" t="s">
        <v>201</v>
      </c>
      <c r="B115" s="12" t="s">
        <v>61</v>
      </c>
      <c r="C115">
        <v>100364479.06573291</v>
      </c>
      <c r="D115">
        <v>103131688.10419379</v>
      </c>
      <c r="E115">
        <v>1584684.6846846859</v>
      </c>
      <c r="F115">
        <v>1310360.360360364</v>
      </c>
      <c r="G115">
        <v>27</v>
      </c>
      <c r="H115">
        <v>7</v>
      </c>
      <c r="I115">
        <v>1</v>
      </c>
      <c r="K115">
        <v>29</v>
      </c>
      <c r="L115">
        <v>17</v>
      </c>
      <c r="M115">
        <v>12809909.909909911</v>
      </c>
      <c r="N115">
        <v>15805855.855855856</v>
      </c>
      <c r="O115">
        <v>18769788.288288288</v>
      </c>
      <c r="P115">
        <v>19591360.360360362</v>
      </c>
      <c r="Q115">
        <v>7280720.7207207195</v>
      </c>
      <c r="R115">
        <v>7660810.8108108127</v>
      </c>
      <c r="S115">
        <v>3605</v>
      </c>
      <c r="T115">
        <v>3595</v>
      </c>
    </row>
    <row r="116" spans="1:20" x14ac:dyDescent="0.35">
      <c r="A116" s="7" t="s">
        <v>202</v>
      </c>
      <c r="B116" s="12" t="s">
        <v>61</v>
      </c>
      <c r="C116">
        <v>33520737.432594787</v>
      </c>
      <c r="D116">
        <v>32940954.607701864</v>
      </c>
      <c r="E116">
        <v>226126.126126127</v>
      </c>
      <c r="F116">
        <v>472072.072072073</v>
      </c>
      <c r="G116">
        <v>15</v>
      </c>
      <c r="H116">
        <v>7</v>
      </c>
      <c r="K116">
        <v>16</v>
      </c>
      <c r="L116">
        <v>9</v>
      </c>
      <c r="M116">
        <v>2199099.0990990992</v>
      </c>
      <c r="N116">
        <v>2634234.2342342348</v>
      </c>
      <c r="O116">
        <v>6187909.9099099096</v>
      </c>
      <c r="P116">
        <v>7120279.2792792786</v>
      </c>
      <c r="Q116">
        <v>514234.23423423403</v>
      </c>
      <c r="R116">
        <v>1382342.3423423429</v>
      </c>
      <c r="S116">
        <v>1167</v>
      </c>
      <c r="T116">
        <v>1044</v>
      </c>
    </row>
    <row r="117" spans="1:20" x14ac:dyDescent="0.35">
      <c r="A117" s="7" t="s">
        <v>203</v>
      </c>
      <c r="B117" s="12" t="s">
        <v>122</v>
      </c>
      <c r="C117">
        <v>64366712.199237876</v>
      </c>
      <c r="D117">
        <v>59498588.228169419</v>
      </c>
      <c r="E117">
        <v>531531.53153153195</v>
      </c>
      <c r="F117">
        <v>774774.774774777</v>
      </c>
      <c r="G117">
        <v>35</v>
      </c>
      <c r="H117">
        <v>17</v>
      </c>
      <c r="K117">
        <v>40</v>
      </c>
      <c r="L117">
        <v>20</v>
      </c>
      <c r="M117">
        <v>1887387.387387387</v>
      </c>
      <c r="N117">
        <v>1180180.180180182</v>
      </c>
      <c r="O117">
        <v>6149756.7567567574</v>
      </c>
      <c r="P117">
        <v>6201207.2072072066</v>
      </c>
      <c r="Q117">
        <v>1427477.4774774781</v>
      </c>
      <c r="R117">
        <v>472972.97297297302</v>
      </c>
      <c r="S117">
        <v>1429</v>
      </c>
      <c r="T117">
        <v>1344</v>
      </c>
    </row>
    <row r="118" spans="1:20" x14ac:dyDescent="0.35">
      <c r="A118" s="7" t="s">
        <v>204</v>
      </c>
      <c r="B118" s="12" t="s">
        <v>55</v>
      </c>
      <c r="C118">
        <v>102779343.16187921</v>
      </c>
      <c r="D118">
        <v>107950884.90189792</v>
      </c>
      <c r="E118">
        <v>702702.70270270295</v>
      </c>
      <c r="F118">
        <v>1508558.55855856</v>
      </c>
      <c r="G118">
        <v>26</v>
      </c>
      <c r="H118">
        <v>18</v>
      </c>
      <c r="K118">
        <v>26</v>
      </c>
      <c r="L118">
        <v>18</v>
      </c>
      <c r="M118">
        <v>5734234.2342342334</v>
      </c>
      <c r="N118">
        <v>7567117.1171171181</v>
      </c>
      <c r="O118">
        <v>26880531.531531531</v>
      </c>
      <c r="P118">
        <v>28339585.585585583</v>
      </c>
      <c r="Q118">
        <v>5877837.8378378386</v>
      </c>
      <c r="R118">
        <v>7301261.2612612611</v>
      </c>
      <c r="S118">
        <v>3990</v>
      </c>
      <c r="T118">
        <v>3891</v>
      </c>
    </row>
    <row r="119" spans="1:20" x14ac:dyDescent="0.35">
      <c r="A119" s="7" t="s">
        <v>205</v>
      </c>
      <c r="B119" s="12" t="s">
        <v>137</v>
      </c>
      <c r="C119">
        <v>372817355.26705617</v>
      </c>
      <c r="D119">
        <v>362595059.75970852</v>
      </c>
      <c r="E119">
        <v>773873.87387387501</v>
      </c>
      <c r="F119">
        <v>1069369.3693693781</v>
      </c>
      <c r="G119">
        <v>54</v>
      </c>
      <c r="H119">
        <v>56</v>
      </c>
      <c r="I119">
        <v>2</v>
      </c>
      <c r="K119">
        <v>61</v>
      </c>
      <c r="L119">
        <v>59</v>
      </c>
      <c r="M119">
        <v>33089189.189189188</v>
      </c>
      <c r="N119">
        <v>32434234.234234236</v>
      </c>
      <c r="O119">
        <v>65788085.585585587</v>
      </c>
      <c r="P119">
        <v>70146108.108108118</v>
      </c>
      <c r="Q119">
        <v>26687657.657657657</v>
      </c>
      <c r="R119">
        <v>29300900.900900904</v>
      </c>
      <c r="S119">
        <v>5826</v>
      </c>
      <c r="T119">
        <v>5659</v>
      </c>
    </row>
    <row r="120" spans="1:20" x14ac:dyDescent="0.35">
      <c r="A120" s="7" t="s">
        <v>206</v>
      </c>
      <c r="B120" s="12" t="s">
        <v>137</v>
      </c>
      <c r="C120">
        <v>187570466.04295665</v>
      </c>
      <c r="D120">
        <v>180988195.67675593</v>
      </c>
      <c r="E120">
        <v>649549.54954955005</v>
      </c>
      <c r="F120">
        <v>65765.765765767006</v>
      </c>
      <c r="G120">
        <v>34</v>
      </c>
      <c r="H120">
        <v>29</v>
      </c>
      <c r="K120">
        <v>40</v>
      </c>
      <c r="L120">
        <v>31</v>
      </c>
      <c r="M120">
        <v>6217117.1171171162</v>
      </c>
      <c r="N120">
        <v>5975675.6756756753</v>
      </c>
      <c r="O120">
        <v>35632448.648648649</v>
      </c>
      <c r="P120">
        <v>41393198.198198199</v>
      </c>
      <c r="Q120">
        <v>3408648.648648649</v>
      </c>
      <c r="R120">
        <v>3774684.6846846831</v>
      </c>
      <c r="S120">
        <v>3165</v>
      </c>
      <c r="T120">
        <v>3086</v>
      </c>
    </row>
    <row r="121" spans="1:20" x14ac:dyDescent="0.35">
      <c r="A121" s="7" t="s">
        <v>207</v>
      </c>
      <c r="B121" s="12" t="s">
        <v>170</v>
      </c>
      <c r="C121">
        <v>436531434.92823255</v>
      </c>
      <c r="D121">
        <v>455180629.82155633</v>
      </c>
      <c r="E121">
        <v>1525225.2252252251</v>
      </c>
      <c r="F121">
        <v>10258828.828828832</v>
      </c>
      <c r="G121">
        <v>18</v>
      </c>
      <c r="H121">
        <v>20</v>
      </c>
      <c r="K121">
        <v>20</v>
      </c>
      <c r="L121">
        <v>23</v>
      </c>
      <c r="M121">
        <v>2470443085.5855856</v>
      </c>
      <c r="N121">
        <v>900217117.11711705</v>
      </c>
      <c r="O121">
        <v>206567747.74774775</v>
      </c>
      <c r="P121">
        <v>224553360.36036035</v>
      </c>
      <c r="Q121">
        <v>673981365.76576579</v>
      </c>
      <c r="R121">
        <v>153766245.04504505</v>
      </c>
      <c r="S121">
        <v>7607</v>
      </c>
      <c r="T121">
        <v>7707</v>
      </c>
    </row>
    <row r="122" spans="1:20" x14ac:dyDescent="0.35">
      <c r="A122" s="7" t="s">
        <v>208</v>
      </c>
      <c r="B122" s="12" t="s">
        <v>162</v>
      </c>
      <c r="C122">
        <v>483658163.81641299</v>
      </c>
      <c r="D122">
        <v>497122671.83882821</v>
      </c>
      <c r="E122">
        <v>3349099.099099101</v>
      </c>
      <c r="F122">
        <v>3142792.7927927962</v>
      </c>
      <c r="G122">
        <v>340</v>
      </c>
      <c r="H122">
        <v>118</v>
      </c>
      <c r="K122">
        <v>530</v>
      </c>
      <c r="L122">
        <v>323</v>
      </c>
      <c r="M122">
        <v>57167747.747747742</v>
      </c>
      <c r="N122">
        <v>66436666.666666664</v>
      </c>
      <c r="O122">
        <v>141399833.33333331</v>
      </c>
      <c r="P122">
        <v>160431234.23423424</v>
      </c>
      <c r="Q122">
        <v>59710396.396396399</v>
      </c>
      <c r="R122">
        <v>64372291.891891889</v>
      </c>
      <c r="S122">
        <v>12242</v>
      </c>
      <c r="T122">
        <v>12498</v>
      </c>
    </row>
    <row r="123" spans="1:20" x14ac:dyDescent="0.35">
      <c r="A123" s="7" t="s">
        <v>209</v>
      </c>
      <c r="B123" s="12" t="s">
        <v>77</v>
      </c>
      <c r="C123">
        <v>14495324.51404874</v>
      </c>
      <c r="D123">
        <v>15765976.763067376</v>
      </c>
      <c r="H123">
        <v>3</v>
      </c>
      <c r="L123">
        <v>3</v>
      </c>
      <c r="O123">
        <v>1055000</v>
      </c>
      <c r="P123">
        <v>1289639.63963964</v>
      </c>
      <c r="S123">
        <v>525</v>
      </c>
      <c r="T123">
        <v>538</v>
      </c>
    </row>
    <row r="124" spans="1:20" x14ac:dyDescent="0.35">
      <c r="A124" s="7" t="s">
        <v>210</v>
      </c>
      <c r="B124" s="12" t="s">
        <v>77</v>
      </c>
      <c r="C124">
        <v>211470044.35863563</v>
      </c>
      <c r="D124">
        <v>212797854.60687855</v>
      </c>
      <c r="E124">
        <v>148134745.94594595</v>
      </c>
      <c r="F124">
        <v>155092243.24324328</v>
      </c>
      <c r="G124">
        <v>107</v>
      </c>
      <c r="H124">
        <v>106</v>
      </c>
      <c r="I124">
        <v>6</v>
      </c>
      <c r="K124">
        <v>237</v>
      </c>
      <c r="L124">
        <v>132</v>
      </c>
      <c r="M124">
        <v>25410450.450450443</v>
      </c>
      <c r="N124">
        <v>23711719.819819815</v>
      </c>
      <c r="O124">
        <v>33882585.585585587</v>
      </c>
      <c r="P124">
        <v>36038801.801801801</v>
      </c>
      <c r="Q124">
        <v>23041981.981981982</v>
      </c>
      <c r="R124">
        <v>20982792.792792793</v>
      </c>
      <c r="S124">
        <v>4289</v>
      </c>
      <c r="T124">
        <v>4510</v>
      </c>
    </row>
    <row r="125" spans="1:20" x14ac:dyDescent="0.35">
      <c r="A125" s="7" t="s">
        <v>211</v>
      </c>
      <c r="B125" s="12" t="s">
        <v>77</v>
      </c>
      <c r="C125">
        <v>269815033.04316908</v>
      </c>
      <c r="D125">
        <v>297202738.79711431</v>
      </c>
      <c r="E125">
        <v>3942342.3423423478</v>
      </c>
      <c r="F125">
        <v>5809009.0090090139</v>
      </c>
      <c r="G125">
        <v>167</v>
      </c>
      <c r="H125">
        <v>287</v>
      </c>
      <c r="I125">
        <v>1</v>
      </c>
      <c r="K125">
        <v>247</v>
      </c>
      <c r="L125">
        <v>317</v>
      </c>
      <c r="M125">
        <v>97683603.603603601</v>
      </c>
      <c r="N125">
        <v>108777747.74774775</v>
      </c>
      <c r="O125">
        <v>83700286.48648648</v>
      </c>
      <c r="P125">
        <v>99231792.792792797</v>
      </c>
      <c r="Q125">
        <v>70085899.0990991</v>
      </c>
      <c r="R125">
        <v>84856486.486486495</v>
      </c>
      <c r="S125">
        <v>6835</v>
      </c>
      <c r="T125">
        <v>6884</v>
      </c>
    </row>
    <row r="126" spans="1:20" x14ac:dyDescent="0.35">
      <c r="A126" s="7" t="s">
        <v>212</v>
      </c>
      <c r="B126" s="12" t="s">
        <v>77</v>
      </c>
      <c r="C126">
        <v>198420615.6735746</v>
      </c>
      <c r="D126">
        <v>190861506.78389299</v>
      </c>
      <c r="E126">
        <v>2582657.6576576638</v>
      </c>
      <c r="F126">
        <v>2600900.9009009032</v>
      </c>
      <c r="G126">
        <v>87</v>
      </c>
      <c r="H126">
        <v>139</v>
      </c>
      <c r="K126">
        <v>102</v>
      </c>
      <c r="L126">
        <v>151</v>
      </c>
      <c r="M126">
        <v>15949909.909909911</v>
      </c>
      <c r="N126">
        <v>25093701.801801804</v>
      </c>
      <c r="O126">
        <v>30511227.477477476</v>
      </c>
      <c r="P126">
        <v>32437369.369369369</v>
      </c>
      <c r="Q126">
        <v>14856486.486486485</v>
      </c>
      <c r="R126">
        <v>22584054.054054052</v>
      </c>
      <c r="S126">
        <v>3878</v>
      </c>
      <c r="T126">
        <v>4866</v>
      </c>
    </row>
    <row r="127" spans="1:20" x14ac:dyDescent="0.35">
      <c r="A127" s="7" t="s">
        <v>213</v>
      </c>
      <c r="B127" s="12" t="s">
        <v>77</v>
      </c>
      <c r="C127">
        <v>72514848.30950579</v>
      </c>
      <c r="D127">
        <v>82513898.062905997</v>
      </c>
      <c r="E127">
        <v>35135.135135135002</v>
      </c>
      <c r="F127">
        <v>106306.306306306</v>
      </c>
      <c r="G127">
        <v>13</v>
      </c>
      <c r="H127">
        <v>10</v>
      </c>
      <c r="K127">
        <v>14</v>
      </c>
      <c r="L127">
        <v>12</v>
      </c>
      <c r="M127">
        <v>1510090.0900900881</v>
      </c>
      <c r="N127">
        <v>4498198.1981981974</v>
      </c>
      <c r="O127">
        <v>11370054.054054054</v>
      </c>
      <c r="P127">
        <v>13319495.495495496</v>
      </c>
      <c r="Q127">
        <v>1798018.018018018</v>
      </c>
      <c r="R127">
        <v>3511261.2612612611</v>
      </c>
      <c r="S127">
        <v>1778</v>
      </c>
      <c r="T127">
        <v>2142</v>
      </c>
    </row>
    <row r="128" spans="1:20" x14ac:dyDescent="0.35">
      <c r="A128" s="7" t="s">
        <v>214</v>
      </c>
      <c r="B128" s="12" t="s">
        <v>215</v>
      </c>
      <c r="C128">
        <v>102885284.86008777</v>
      </c>
      <c r="D128">
        <v>104366609.86439912</v>
      </c>
      <c r="E128">
        <v>749549.54954955005</v>
      </c>
      <c r="F128">
        <v>1201801.8018018019</v>
      </c>
      <c r="G128">
        <v>34</v>
      </c>
      <c r="H128">
        <v>10</v>
      </c>
      <c r="I128">
        <v>1</v>
      </c>
      <c r="K128">
        <v>35</v>
      </c>
      <c r="L128">
        <v>11</v>
      </c>
      <c r="M128">
        <v>13442810.810810812</v>
      </c>
      <c r="N128">
        <v>26978378.37837838</v>
      </c>
      <c r="O128">
        <v>46554990.990990989</v>
      </c>
      <c r="P128">
        <v>51753594.59459459</v>
      </c>
      <c r="Q128">
        <v>11262162.162162162</v>
      </c>
      <c r="R128">
        <v>25111801.801801801</v>
      </c>
      <c r="S128">
        <v>2313</v>
      </c>
      <c r="T128">
        <v>2320</v>
      </c>
    </row>
    <row r="129" spans="1:20" x14ac:dyDescent="0.35">
      <c r="A129" s="7" t="s">
        <v>216</v>
      </c>
      <c r="B129" s="12" t="s">
        <v>168</v>
      </c>
      <c r="C129">
        <v>111747251.9678579</v>
      </c>
      <c r="D129">
        <v>107088411.61465248</v>
      </c>
      <c r="E129">
        <v>1833333.333333333</v>
      </c>
      <c r="G129">
        <v>7</v>
      </c>
      <c r="H129">
        <v>1</v>
      </c>
      <c r="K129">
        <v>7</v>
      </c>
      <c r="L129">
        <v>1</v>
      </c>
      <c r="M129">
        <v>2283783.7837837832</v>
      </c>
      <c r="O129">
        <v>19839369.369369369</v>
      </c>
      <c r="P129">
        <v>30256819.819819819</v>
      </c>
      <c r="Q129">
        <v>171621.62162162201</v>
      </c>
      <c r="R129">
        <v>94144.144144145001</v>
      </c>
      <c r="S129">
        <v>1891</v>
      </c>
      <c r="T129">
        <v>1834</v>
      </c>
    </row>
    <row r="130" spans="1:20" x14ac:dyDescent="0.35">
      <c r="A130" s="7" t="s">
        <v>217</v>
      </c>
      <c r="B130" s="12" t="s">
        <v>86</v>
      </c>
      <c r="C130">
        <v>25783618.774387367</v>
      </c>
      <c r="D130">
        <v>28679740.340790432</v>
      </c>
      <c r="E130">
        <v>585585.58558558603</v>
      </c>
      <c r="F130">
        <v>1557657.6576576589</v>
      </c>
      <c r="G130">
        <v>10</v>
      </c>
      <c r="H130">
        <v>3</v>
      </c>
      <c r="K130">
        <v>12</v>
      </c>
      <c r="L130">
        <v>3</v>
      </c>
      <c r="M130">
        <v>51040090.090090089</v>
      </c>
      <c r="N130">
        <v>38709009.009009011</v>
      </c>
      <c r="O130">
        <v>7870657.6576576577</v>
      </c>
      <c r="P130">
        <v>10198403.603603603</v>
      </c>
      <c r="Q130">
        <v>43566216.216216214</v>
      </c>
      <c r="R130">
        <v>33864594.594594598</v>
      </c>
      <c r="S130">
        <v>640</v>
      </c>
      <c r="T130">
        <v>648</v>
      </c>
    </row>
    <row r="131" spans="1:20" x14ac:dyDescent="0.35">
      <c r="A131" s="7" t="s">
        <v>218</v>
      </c>
      <c r="B131" s="12" t="s">
        <v>86</v>
      </c>
      <c r="C131">
        <v>99651125.850429744</v>
      </c>
      <c r="D131">
        <v>103229283.88907969</v>
      </c>
      <c r="E131">
        <v>399099.099099099</v>
      </c>
      <c r="F131">
        <v>720720.72072072001</v>
      </c>
      <c r="G131">
        <v>34</v>
      </c>
      <c r="H131">
        <v>13</v>
      </c>
      <c r="K131">
        <v>37</v>
      </c>
      <c r="L131">
        <v>19</v>
      </c>
      <c r="M131">
        <v>27636666.666666668</v>
      </c>
      <c r="N131">
        <v>28882890.990990993</v>
      </c>
      <c r="O131">
        <v>19463639.639639638</v>
      </c>
      <c r="P131">
        <v>22367576.576576576</v>
      </c>
      <c r="Q131">
        <v>26848918.918918919</v>
      </c>
      <c r="R131">
        <v>21135585.585585587</v>
      </c>
      <c r="S131">
        <v>2388</v>
      </c>
      <c r="T131">
        <v>2460</v>
      </c>
    </row>
    <row r="132" spans="1:20" x14ac:dyDescent="0.35">
      <c r="A132" s="7" t="s">
        <v>219</v>
      </c>
      <c r="B132" s="12" t="s">
        <v>148</v>
      </c>
      <c r="C132">
        <v>96926394.717174813</v>
      </c>
      <c r="D132">
        <v>89258422.667736083</v>
      </c>
      <c r="E132">
        <v>6792792.7927927924</v>
      </c>
      <c r="F132">
        <v>6691891.8918918921</v>
      </c>
      <c r="G132">
        <v>69</v>
      </c>
      <c r="H132">
        <v>18</v>
      </c>
      <c r="K132">
        <v>83</v>
      </c>
      <c r="L132">
        <v>22</v>
      </c>
      <c r="M132">
        <v>58434890.990990989</v>
      </c>
      <c r="N132">
        <v>82744290.990990996</v>
      </c>
      <c r="O132">
        <v>31687720.72072072</v>
      </c>
      <c r="P132">
        <v>27445396.396396395</v>
      </c>
      <c r="Q132">
        <v>59354954.954954952</v>
      </c>
      <c r="R132">
        <v>79014504.504504517</v>
      </c>
      <c r="S132">
        <v>2426</v>
      </c>
      <c r="T132">
        <v>2653</v>
      </c>
    </row>
    <row r="133" spans="1:20" x14ac:dyDescent="0.35">
      <c r="A133" s="7" t="s">
        <v>220</v>
      </c>
      <c r="B133" s="12" t="s">
        <v>221</v>
      </c>
      <c r="C133">
        <v>192119137.28053644</v>
      </c>
      <c r="D133">
        <v>186457666.82843903</v>
      </c>
      <c r="E133">
        <v>5634298.1981982011</v>
      </c>
      <c r="F133">
        <v>4779076.5765765784</v>
      </c>
      <c r="G133">
        <v>63</v>
      </c>
      <c r="H133">
        <v>84</v>
      </c>
      <c r="K133">
        <v>76</v>
      </c>
      <c r="L133">
        <v>95</v>
      </c>
      <c r="M133">
        <v>175670095.4954955</v>
      </c>
      <c r="N133">
        <v>337761328.82882881</v>
      </c>
      <c r="O133">
        <v>49602804.054054059</v>
      </c>
      <c r="P133">
        <v>52933900.9009009</v>
      </c>
      <c r="Q133">
        <v>269445135.13513511</v>
      </c>
      <c r="R133">
        <v>293711441.44144142</v>
      </c>
      <c r="S133">
        <v>6118</v>
      </c>
      <c r="T133">
        <v>6249</v>
      </c>
    </row>
    <row r="134" spans="1:20" x14ac:dyDescent="0.35">
      <c r="A134" s="7" t="s">
        <v>222</v>
      </c>
      <c r="B134" s="12" t="s">
        <v>53</v>
      </c>
      <c r="C134">
        <v>447754802.76852739</v>
      </c>
      <c r="D134">
        <v>472101782.30814278</v>
      </c>
      <c r="E134">
        <v>4560360.3603603626</v>
      </c>
      <c r="F134">
        <v>5904504.5045045111</v>
      </c>
      <c r="G134">
        <v>100</v>
      </c>
      <c r="H134">
        <v>101</v>
      </c>
      <c r="K134">
        <v>128</v>
      </c>
      <c r="L134">
        <v>146</v>
      </c>
      <c r="M134">
        <v>38884684.684684679</v>
      </c>
      <c r="N134">
        <v>41678468.468468472</v>
      </c>
      <c r="O134">
        <v>145859378.37837836</v>
      </c>
      <c r="P134">
        <v>151880045.04504505</v>
      </c>
      <c r="Q134">
        <v>48946756.756756753</v>
      </c>
      <c r="R134">
        <v>35465675.675675675</v>
      </c>
      <c r="S134">
        <v>10305</v>
      </c>
      <c r="T134">
        <v>10515</v>
      </c>
    </row>
    <row r="135" spans="1:20" x14ac:dyDescent="0.35">
      <c r="A135" s="7" t="s">
        <v>223</v>
      </c>
      <c r="B135" s="12" t="s">
        <v>77</v>
      </c>
      <c r="C135">
        <v>348053486.82500696</v>
      </c>
      <c r="D135">
        <v>364872806.8959192</v>
      </c>
      <c r="E135">
        <v>1062162.1621621691</v>
      </c>
      <c r="F135">
        <v>1503603.6036036101</v>
      </c>
      <c r="G135">
        <v>94</v>
      </c>
      <c r="H135">
        <v>93</v>
      </c>
      <c r="K135">
        <v>104</v>
      </c>
      <c r="L135">
        <v>99</v>
      </c>
      <c r="M135">
        <v>25767387.387387391</v>
      </c>
      <c r="N135">
        <v>35243243.243243247</v>
      </c>
      <c r="O135">
        <v>66677263.963963971</v>
      </c>
      <c r="P135">
        <v>77888909.909909904</v>
      </c>
      <c r="Q135">
        <v>19275765.76576576</v>
      </c>
      <c r="R135">
        <v>29975765.765765768</v>
      </c>
      <c r="S135">
        <v>6926</v>
      </c>
      <c r="T135">
        <v>7080</v>
      </c>
    </row>
    <row r="136" spans="1:20" x14ac:dyDescent="0.35">
      <c r="A136" s="7" t="s">
        <v>224</v>
      </c>
      <c r="B136" s="12" t="s">
        <v>225</v>
      </c>
      <c r="C136">
        <v>31653747.316310704</v>
      </c>
      <c r="D136">
        <v>31179277.459985822</v>
      </c>
      <c r="E136">
        <v>5405.4054054050002</v>
      </c>
      <c r="F136">
        <v>13513.513513514001</v>
      </c>
      <c r="G136">
        <v>2</v>
      </c>
      <c r="H136">
        <v>2</v>
      </c>
      <c r="K136">
        <v>2</v>
      </c>
      <c r="L136">
        <v>2</v>
      </c>
      <c r="M136">
        <v>5405.4054054050002</v>
      </c>
      <c r="N136">
        <v>413513.51351351402</v>
      </c>
      <c r="O136">
        <v>7762639.6396396402</v>
      </c>
      <c r="P136">
        <v>7777549.5495495498</v>
      </c>
      <c r="Q136">
        <v>837567.56756756804</v>
      </c>
      <c r="R136">
        <v>911891.89189189195</v>
      </c>
      <c r="S136">
        <v>791</v>
      </c>
      <c r="T136">
        <v>812</v>
      </c>
    </row>
    <row r="137" spans="1:20" x14ac:dyDescent="0.35">
      <c r="A137" s="7" t="s">
        <v>226</v>
      </c>
      <c r="B137" s="12" t="s">
        <v>144</v>
      </c>
      <c r="C137">
        <v>283988931.01924318</v>
      </c>
      <c r="D137">
        <v>297806754.6743716</v>
      </c>
      <c r="E137">
        <v>3578378.378378381</v>
      </c>
      <c r="F137">
        <v>1522522.5225225289</v>
      </c>
      <c r="G137">
        <v>128</v>
      </c>
      <c r="H137">
        <v>21</v>
      </c>
      <c r="K137">
        <v>135</v>
      </c>
      <c r="L137">
        <v>29</v>
      </c>
      <c r="M137">
        <v>19509909.909909911</v>
      </c>
      <c r="N137">
        <v>20981981.981981982</v>
      </c>
      <c r="O137">
        <v>36494636.486486487</v>
      </c>
      <c r="P137">
        <v>43918441.441441439</v>
      </c>
      <c r="Q137">
        <v>11627657.657657657</v>
      </c>
      <c r="R137">
        <v>14344954.954954954</v>
      </c>
      <c r="S137">
        <v>5787</v>
      </c>
      <c r="T137">
        <v>5939</v>
      </c>
    </row>
    <row r="138" spans="1:20" x14ac:dyDescent="0.35">
      <c r="A138" s="7" t="s">
        <v>227</v>
      </c>
      <c r="B138" s="12" t="s">
        <v>225</v>
      </c>
      <c r="C138">
        <v>32992720.711057074</v>
      </c>
      <c r="D138">
        <v>33370530.67959686</v>
      </c>
      <c r="E138">
        <v>121621.62162162201</v>
      </c>
      <c r="F138">
        <v>117117.117117117</v>
      </c>
      <c r="G138">
        <v>11</v>
      </c>
      <c r="H138">
        <v>9</v>
      </c>
      <c r="K138">
        <v>14</v>
      </c>
      <c r="L138">
        <v>9</v>
      </c>
      <c r="M138">
        <v>4954054.0540540544</v>
      </c>
      <c r="N138">
        <v>3638288.2882882892</v>
      </c>
      <c r="O138">
        <v>9084490.9909909926</v>
      </c>
      <c r="P138">
        <v>7762117.1171171172</v>
      </c>
      <c r="Q138">
        <v>4284864.8648648653</v>
      </c>
      <c r="R138">
        <v>3297747.7477477482</v>
      </c>
      <c r="S138">
        <v>761</v>
      </c>
      <c r="T138">
        <v>760</v>
      </c>
    </row>
    <row r="139" spans="1:20" x14ac:dyDescent="0.35">
      <c r="A139" s="7" t="s">
        <v>228</v>
      </c>
      <c r="B139" s="12" t="s">
        <v>79</v>
      </c>
      <c r="C139">
        <v>267667708.58434454</v>
      </c>
      <c r="D139">
        <v>282395371.27866292</v>
      </c>
      <c r="E139">
        <v>3253153.153153155</v>
      </c>
      <c r="F139">
        <v>2542342.342342345</v>
      </c>
      <c r="G139">
        <v>54</v>
      </c>
      <c r="H139">
        <v>24</v>
      </c>
      <c r="K139">
        <v>65</v>
      </c>
      <c r="L139">
        <v>32</v>
      </c>
      <c r="M139">
        <v>26976036.036036037</v>
      </c>
      <c r="N139">
        <v>27721081.081081081</v>
      </c>
      <c r="O139">
        <v>107864495.49549548</v>
      </c>
      <c r="P139">
        <v>116458675.67567568</v>
      </c>
      <c r="Q139">
        <v>24574504.504504506</v>
      </c>
      <c r="R139">
        <v>23565989.189189188</v>
      </c>
      <c r="S139">
        <v>5147</v>
      </c>
      <c r="T139">
        <v>4883</v>
      </c>
    </row>
    <row r="140" spans="1:20" x14ac:dyDescent="0.35">
      <c r="A140" s="7" t="s">
        <v>229</v>
      </c>
      <c r="B140" s="12" t="s">
        <v>137</v>
      </c>
      <c r="C140">
        <v>356836534.59965539</v>
      </c>
      <c r="D140">
        <v>381120140.131073</v>
      </c>
      <c r="E140">
        <v>15290540.540540544</v>
      </c>
      <c r="F140">
        <v>43511711.71171172</v>
      </c>
      <c r="G140">
        <v>85</v>
      </c>
      <c r="H140">
        <v>64</v>
      </c>
      <c r="I140">
        <v>1</v>
      </c>
      <c r="K140">
        <v>102</v>
      </c>
      <c r="L140">
        <v>74</v>
      </c>
      <c r="M140">
        <v>43147747.747747742</v>
      </c>
      <c r="N140">
        <v>53157657.657657653</v>
      </c>
      <c r="O140">
        <v>83678022.522522524</v>
      </c>
      <c r="P140">
        <v>92791113.51351352</v>
      </c>
      <c r="Q140">
        <v>33948828.828828827</v>
      </c>
      <c r="R140">
        <v>49608198.198198199</v>
      </c>
      <c r="S140">
        <v>7366</v>
      </c>
      <c r="T140">
        <v>9233</v>
      </c>
    </row>
    <row r="141" spans="1:20" x14ac:dyDescent="0.35">
      <c r="A141" s="7" t="s">
        <v>230</v>
      </c>
      <c r="B141" s="12" t="s">
        <v>79</v>
      </c>
      <c r="C141">
        <v>100985448.52509363</v>
      </c>
      <c r="D141">
        <v>110763122.14219558</v>
      </c>
      <c r="E141">
        <v>3586936.9369369368</v>
      </c>
      <c r="F141">
        <v>5095495.4954954963</v>
      </c>
      <c r="G141">
        <v>39</v>
      </c>
      <c r="H141">
        <v>31</v>
      </c>
      <c r="I141">
        <v>2</v>
      </c>
      <c r="K141">
        <v>44</v>
      </c>
      <c r="L141">
        <v>35</v>
      </c>
      <c r="M141">
        <v>22418918.918918919</v>
      </c>
      <c r="N141">
        <v>25122522.52252252</v>
      </c>
      <c r="O141">
        <v>49315214.414414413</v>
      </c>
      <c r="P141">
        <v>54235277.477477483</v>
      </c>
      <c r="Q141">
        <v>22657610.810810808</v>
      </c>
      <c r="R141">
        <v>23098601.801801801</v>
      </c>
      <c r="S141">
        <v>2430</v>
      </c>
      <c r="T141">
        <v>2733</v>
      </c>
    </row>
    <row r="142" spans="1:20" x14ac:dyDescent="0.35">
      <c r="A142" s="7" t="s">
        <v>231</v>
      </c>
      <c r="B142" s="12" t="s">
        <v>55</v>
      </c>
      <c r="C142">
        <v>290695572.48188841</v>
      </c>
      <c r="D142">
        <v>297022883.7712878</v>
      </c>
      <c r="E142">
        <v>982882.88288288296</v>
      </c>
      <c r="F142">
        <v>602702.70270270202</v>
      </c>
      <c r="G142">
        <v>33</v>
      </c>
      <c r="H142">
        <v>43</v>
      </c>
      <c r="K142">
        <v>37</v>
      </c>
      <c r="L142">
        <v>53</v>
      </c>
      <c r="M142">
        <v>22007207.207207207</v>
      </c>
      <c r="N142">
        <v>19809909.909909911</v>
      </c>
      <c r="O142">
        <v>71719610.810810819</v>
      </c>
      <c r="P142">
        <v>75644315.315315306</v>
      </c>
      <c r="Q142">
        <v>24907297.297297299</v>
      </c>
      <c r="R142">
        <v>7659549.5495495517</v>
      </c>
      <c r="S142">
        <v>6677</v>
      </c>
      <c r="T142">
        <v>6731</v>
      </c>
    </row>
    <row r="143" spans="1:20" x14ac:dyDescent="0.35">
      <c r="A143" s="7" t="s">
        <v>232</v>
      </c>
      <c r="B143" s="12" t="s">
        <v>79</v>
      </c>
      <c r="C143">
        <v>111394105.65045127</v>
      </c>
      <c r="D143">
        <v>113639730.89698429</v>
      </c>
      <c r="E143">
        <v>2886486.486486488</v>
      </c>
      <c r="F143">
        <v>6213513.5135135194</v>
      </c>
      <c r="G143">
        <v>54</v>
      </c>
      <c r="H143">
        <v>38</v>
      </c>
      <c r="I143">
        <v>2</v>
      </c>
      <c r="K143">
        <v>72</v>
      </c>
      <c r="L143">
        <v>49</v>
      </c>
      <c r="M143">
        <v>26244144.144144144</v>
      </c>
      <c r="N143">
        <v>33263063.063063063</v>
      </c>
      <c r="O143">
        <v>53354297.297297299</v>
      </c>
      <c r="P143">
        <v>54107783.783783786</v>
      </c>
      <c r="Q143">
        <v>27530540.540540539</v>
      </c>
      <c r="R143">
        <v>33518468.468468472</v>
      </c>
      <c r="S143">
        <v>3979</v>
      </c>
      <c r="T143">
        <v>3818</v>
      </c>
    </row>
    <row r="144" spans="1:20" x14ac:dyDescent="0.35">
      <c r="A144" s="7" t="s">
        <v>233</v>
      </c>
      <c r="B144" s="12" t="s">
        <v>61</v>
      </c>
      <c r="C144">
        <v>101494311.83167446</v>
      </c>
      <c r="D144">
        <v>101251479.60887969</v>
      </c>
      <c r="G144">
        <v>30</v>
      </c>
      <c r="H144">
        <v>1</v>
      </c>
      <c r="K144">
        <v>33</v>
      </c>
      <c r="L144">
        <v>3</v>
      </c>
      <c r="O144">
        <v>42893063.063063063</v>
      </c>
      <c r="P144">
        <v>42739801.801801801</v>
      </c>
      <c r="S144">
        <v>1936</v>
      </c>
      <c r="T144">
        <v>1881</v>
      </c>
    </row>
    <row r="145" spans="1:20" x14ac:dyDescent="0.35">
      <c r="A145" s="7" t="s">
        <v>234</v>
      </c>
      <c r="B145" s="12" t="s">
        <v>55</v>
      </c>
      <c r="C145">
        <v>48885361.210783169</v>
      </c>
      <c r="D145">
        <v>47968699.415818043</v>
      </c>
      <c r="E145">
        <v>98198.198198198996</v>
      </c>
      <c r="F145">
        <v>1608108.1081081079</v>
      </c>
      <c r="G145">
        <v>36</v>
      </c>
      <c r="H145">
        <v>6</v>
      </c>
      <c r="K145">
        <v>61</v>
      </c>
      <c r="L145">
        <v>6</v>
      </c>
      <c r="M145">
        <v>2336306.3063063058</v>
      </c>
      <c r="N145">
        <v>5116936.9369369373</v>
      </c>
      <c r="O145">
        <v>11010171.17117117</v>
      </c>
      <c r="P145">
        <v>11530189.189189188</v>
      </c>
      <c r="Q145">
        <v>2377567.5675675669</v>
      </c>
      <c r="R145">
        <v>4241801.8018018017</v>
      </c>
      <c r="S145">
        <v>1089</v>
      </c>
      <c r="T145">
        <v>1049</v>
      </c>
    </row>
    <row r="146" spans="1:20" x14ac:dyDescent="0.35">
      <c r="A146" s="7" t="s">
        <v>235</v>
      </c>
      <c r="B146" s="12" t="s">
        <v>168</v>
      </c>
      <c r="C146">
        <v>228437054.77151653</v>
      </c>
      <c r="D146">
        <v>218312731.80040285</v>
      </c>
      <c r="E146">
        <v>391891.89189189201</v>
      </c>
      <c r="F146">
        <v>927027.02702702605</v>
      </c>
      <c r="G146">
        <v>17</v>
      </c>
      <c r="H146">
        <v>15</v>
      </c>
      <c r="K146">
        <v>20</v>
      </c>
      <c r="L146">
        <v>23</v>
      </c>
      <c r="M146">
        <v>26552600.900900904</v>
      </c>
      <c r="N146">
        <v>33847747.747747749</v>
      </c>
      <c r="O146">
        <v>63438337.837837838</v>
      </c>
      <c r="P146">
        <v>76121081.081081092</v>
      </c>
      <c r="Q146">
        <v>11653333.333333336</v>
      </c>
      <c r="R146">
        <v>18637027.02702703</v>
      </c>
      <c r="S146">
        <v>5003</v>
      </c>
      <c r="T146">
        <v>4911</v>
      </c>
    </row>
    <row r="147" spans="1:20" x14ac:dyDescent="0.35">
      <c r="A147" s="7" t="s">
        <v>236</v>
      </c>
      <c r="B147" s="12" t="s">
        <v>237</v>
      </c>
      <c r="C147">
        <v>184.30518998100001</v>
      </c>
      <c r="D147">
        <v>1053.4147740129999</v>
      </c>
      <c r="O147">
        <v>4504.5045045050001</v>
      </c>
      <c r="S147">
        <v>2</v>
      </c>
      <c r="T147">
        <v>34</v>
      </c>
    </row>
    <row r="148" spans="1:20" x14ac:dyDescent="0.35">
      <c r="A148" s="7" t="s">
        <v>238</v>
      </c>
      <c r="B148" s="12" t="s">
        <v>106</v>
      </c>
      <c r="C148">
        <v>133454327.27123062</v>
      </c>
      <c r="D148">
        <v>134425863.82069087</v>
      </c>
      <c r="E148">
        <v>6260360.3603603588</v>
      </c>
      <c r="F148">
        <v>119866666.66666667</v>
      </c>
      <c r="G148">
        <v>19</v>
      </c>
      <c r="H148">
        <v>17</v>
      </c>
      <c r="K148">
        <v>21</v>
      </c>
      <c r="L148">
        <v>19</v>
      </c>
      <c r="M148">
        <v>27526936.936936937</v>
      </c>
      <c r="N148">
        <v>20440540.540540542</v>
      </c>
      <c r="O148">
        <v>39498855.855855852</v>
      </c>
      <c r="P148">
        <v>43214333.333333336</v>
      </c>
      <c r="Q148">
        <v>22236576.576576576</v>
      </c>
      <c r="R148">
        <v>17258558.558558561</v>
      </c>
      <c r="S148">
        <v>1965</v>
      </c>
      <c r="T148">
        <v>1936</v>
      </c>
    </row>
    <row r="149" spans="1:20" x14ac:dyDescent="0.35">
      <c r="A149" s="7" t="s">
        <v>3</v>
      </c>
      <c r="B149" s="12" t="s">
        <v>159</v>
      </c>
      <c r="C149">
        <v>274462858.95077032</v>
      </c>
      <c r="D149">
        <v>246228386.05382752</v>
      </c>
      <c r="E149">
        <v>724630236.03603613</v>
      </c>
      <c r="F149">
        <v>939937932.43243241</v>
      </c>
      <c r="G149">
        <v>46</v>
      </c>
      <c r="H149">
        <v>45</v>
      </c>
      <c r="K149">
        <v>50</v>
      </c>
      <c r="L149">
        <v>47</v>
      </c>
      <c r="M149">
        <v>141636936.93693691</v>
      </c>
      <c r="N149">
        <v>157601351.35135135</v>
      </c>
      <c r="O149">
        <v>77716288.288288295</v>
      </c>
      <c r="P149">
        <v>70796522.522522524</v>
      </c>
      <c r="Q149">
        <v>55724234.234234229</v>
      </c>
      <c r="R149">
        <v>73076576.576576576</v>
      </c>
      <c r="S149">
        <v>3884</v>
      </c>
      <c r="T149">
        <v>3582</v>
      </c>
    </row>
    <row r="150" spans="1:20" x14ac:dyDescent="0.35">
      <c r="A150" s="7" t="s">
        <v>239</v>
      </c>
      <c r="B150" s="12" t="s">
        <v>179</v>
      </c>
      <c r="C150">
        <v>211857299.20541349</v>
      </c>
      <c r="D150">
        <v>226116798.05250701</v>
      </c>
      <c r="E150">
        <v>511711.711711713</v>
      </c>
      <c r="F150">
        <v>4922522.522522524</v>
      </c>
      <c r="G150">
        <v>46</v>
      </c>
      <c r="H150">
        <v>46</v>
      </c>
      <c r="K150">
        <v>56</v>
      </c>
      <c r="L150">
        <v>57</v>
      </c>
      <c r="M150">
        <v>31187387.387387387</v>
      </c>
      <c r="N150">
        <v>39552252.252252258</v>
      </c>
      <c r="O150">
        <v>68087594.594594598</v>
      </c>
      <c r="P150">
        <v>72966387.387387395</v>
      </c>
      <c r="Q150">
        <v>26429009.009009007</v>
      </c>
      <c r="R150">
        <v>35382522.522522524</v>
      </c>
      <c r="S150">
        <v>5196</v>
      </c>
      <c r="T150">
        <v>5056</v>
      </c>
    </row>
    <row r="151" spans="1:20" x14ac:dyDescent="0.35">
      <c r="A151" s="7" t="s">
        <v>240</v>
      </c>
      <c r="B151" s="12" t="s">
        <v>55</v>
      </c>
      <c r="C151">
        <v>151091745.65579867</v>
      </c>
      <c r="D151">
        <v>160943186.52295458</v>
      </c>
      <c r="E151">
        <v>3563063.0630630641</v>
      </c>
      <c r="F151">
        <v>1391891.891891893</v>
      </c>
      <c r="G151">
        <v>27</v>
      </c>
      <c r="H151">
        <v>43</v>
      </c>
      <c r="K151">
        <v>27</v>
      </c>
      <c r="L151">
        <v>68</v>
      </c>
      <c r="M151">
        <v>21275135.135135137</v>
      </c>
      <c r="N151">
        <v>21876126.126126129</v>
      </c>
      <c r="O151">
        <v>42107095.495495498</v>
      </c>
      <c r="P151">
        <v>48611075.675675683</v>
      </c>
      <c r="Q151">
        <v>18402068.468468469</v>
      </c>
      <c r="R151">
        <v>21302702.702702701</v>
      </c>
      <c r="S151">
        <v>3432</v>
      </c>
      <c r="T151">
        <v>3418</v>
      </c>
    </row>
    <row r="152" spans="1:20" x14ac:dyDescent="0.35">
      <c r="A152" s="7" t="s">
        <v>241</v>
      </c>
      <c r="B152" s="12" t="s">
        <v>242</v>
      </c>
      <c r="C152">
        <v>130525366.89647287</v>
      </c>
      <c r="D152">
        <v>125879198.45458534</v>
      </c>
      <c r="E152">
        <v>949549.54954955203</v>
      </c>
      <c r="F152">
        <v>653153.15315315395</v>
      </c>
      <c r="G152">
        <v>61</v>
      </c>
      <c r="H152">
        <v>34</v>
      </c>
      <c r="K152">
        <v>66</v>
      </c>
      <c r="L152">
        <v>40</v>
      </c>
      <c r="M152">
        <v>28511891.891891897</v>
      </c>
      <c r="N152">
        <v>18091171.17117117</v>
      </c>
      <c r="O152">
        <v>30266169.369369369</v>
      </c>
      <c r="P152">
        <v>33886018.018018015</v>
      </c>
      <c r="Q152">
        <v>11443333.333333336</v>
      </c>
      <c r="R152">
        <v>16072612.612612609</v>
      </c>
      <c r="S152">
        <v>2737</v>
      </c>
      <c r="T152">
        <v>2718</v>
      </c>
    </row>
    <row r="153" spans="1:20" x14ac:dyDescent="0.35">
      <c r="A153" s="7" t="s">
        <v>243</v>
      </c>
      <c r="B153" s="12" t="s">
        <v>242</v>
      </c>
      <c r="C153">
        <v>341181246.2444461</v>
      </c>
      <c r="D153">
        <v>300115146.15831691</v>
      </c>
      <c r="E153">
        <v>321545927.92792791</v>
      </c>
      <c r="F153">
        <v>158256853.15315315</v>
      </c>
      <c r="G153">
        <v>131</v>
      </c>
      <c r="H153">
        <v>111</v>
      </c>
      <c r="K153">
        <v>146</v>
      </c>
      <c r="L153">
        <v>125</v>
      </c>
      <c r="M153">
        <v>97801981.981981978</v>
      </c>
      <c r="N153">
        <v>114036306.3063063</v>
      </c>
      <c r="O153">
        <v>101233432.43243243</v>
      </c>
      <c r="P153">
        <v>99094666.666666672</v>
      </c>
      <c r="Q153">
        <v>78287477.477477491</v>
      </c>
      <c r="R153">
        <v>99172432.432432428</v>
      </c>
      <c r="S153">
        <v>6639</v>
      </c>
      <c r="T153">
        <v>6820</v>
      </c>
    </row>
    <row r="154" spans="1:20" x14ac:dyDescent="0.35">
      <c r="A154" s="7" t="s">
        <v>244</v>
      </c>
      <c r="B154" s="12" t="s">
        <v>51</v>
      </c>
      <c r="C154">
        <v>58960883.862100624</v>
      </c>
      <c r="D154">
        <v>54829425.275366947</v>
      </c>
      <c r="E154">
        <v>2310810.8108108109</v>
      </c>
      <c r="F154">
        <v>2259459.4594594608</v>
      </c>
      <c r="G154">
        <v>12</v>
      </c>
      <c r="H154">
        <v>9</v>
      </c>
      <c r="K154">
        <v>12</v>
      </c>
      <c r="L154">
        <v>10</v>
      </c>
      <c r="M154">
        <v>12294954.954954956</v>
      </c>
      <c r="N154">
        <v>5528153.1531531522</v>
      </c>
      <c r="O154">
        <v>19220549.549549554</v>
      </c>
      <c r="P154">
        <v>19600693.693693697</v>
      </c>
      <c r="Q154">
        <v>10924774.774774777</v>
      </c>
      <c r="R154">
        <v>4129054.0540540549</v>
      </c>
      <c r="S154">
        <v>1188</v>
      </c>
      <c r="T154">
        <v>1124</v>
      </c>
    </row>
    <row r="155" spans="1:20" x14ac:dyDescent="0.35">
      <c r="A155" s="7" t="s">
        <v>245</v>
      </c>
      <c r="B155" s="12" t="s">
        <v>182</v>
      </c>
      <c r="C155">
        <v>1827192047.5034328</v>
      </c>
      <c r="D155">
        <v>1768417678.5305398</v>
      </c>
      <c r="E155">
        <v>167887270.27027026</v>
      </c>
      <c r="F155">
        <v>189671990.09009013</v>
      </c>
      <c r="G155">
        <v>804</v>
      </c>
      <c r="H155">
        <v>711</v>
      </c>
      <c r="I155">
        <v>14</v>
      </c>
      <c r="K155">
        <v>1329</v>
      </c>
      <c r="L155">
        <v>935</v>
      </c>
      <c r="M155">
        <v>233824954.95495495</v>
      </c>
      <c r="N155">
        <v>487168889.1891892</v>
      </c>
      <c r="O155">
        <v>402046903.6036036</v>
      </c>
      <c r="P155">
        <v>407590538.73873878</v>
      </c>
      <c r="Q155">
        <v>228631171.17117116</v>
      </c>
      <c r="R155">
        <v>474969324.32432437</v>
      </c>
      <c r="S155">
        <v>42062</v>
      </c>
      <c r="T155">
        <v>41226</v>
      </c>
    </row>
    <row r="156" spans="1:20" x14ac:dyDescent="0.35">
      <c r="A156" s="7" t="s">
        <v>246</v>
      </c>
      <c r="B156" s="12" t="s">
        <v>49</v>
      </c>
      <c r="C156">
        <v>80295378.724860132</v>
      </c>
      <c r="D156">
        <v>84967665.36439386</v>
      </c>
      <c r="E156">
        <v>233730581.08108109</v>
      </c>
      <c r="F156">
        <v>156843040.54054055</v>
      </c>
      <c r="G156">
        <v>6</v>
      </c>
      <c r="H156">
        <v>6</v>
      </c>
      <c r="K156">
        <v>8</v>
      </c>
      <c r="L156">
        <v>7</v>
      </c>
      <c r="M156">
        <v>41463114.414414413</v>
      </c>
      <c r="N156">
        <v>35257847.747747749</v>
      </c>
      <c r="O156">
        <v>18334747.747747749</v>
      </c>
      <c r="P156">
        <v>23252135.135135137</v>
      </c>
      <c r="Q156">
        <v>22094774.774774775</v>
      </c>
      <c r="R156">
        <v>8400540.5405405425</v>
      </c>
      <c r="S156">
        <v>1760</v>
      </c>
      <c r="T156">
        <v>1782</v>
      </c>
    </row>
    <row r="157" spans="1:20" x14ac:dyDescent="0.35">
      <c r="A157" s="7" t="s">
        <v>247</v>
      </c>
      <c r="B157" s="12" t="s">
        <v>95</v>
      </c>
      <c r="C157">
        <v>23306582.544384476</v>
      </c>
      <c r="D157">
        <v>21329104.514691982</v>
      </c>
      <c r="E157">
        <v>56734234.234234229</v>
      </c>
      <c r="F157">
        <v>28175675.675675675</v>
      </c>
      <c r="G157">
        <v>3</v>
      </c>
      <c r="K157">
        <v>3</v>
      </c>
      <c r="M157">
        <v>7909459.4594594594</v>
      </c>
      <c r="N157">
        <v>4117567.5675675678</v>
      </c>
      <c r="O157">
        <v>4567909.9099099096</v>
      </c>
      <c r="P157">
        <v>4422324.3243243238</v>
      </c>
      <c r="S157">
        <v>671</v>
      </c>
      <c r="T157">
        <v>698</v>
      </c>
    </row>
    <row r="158" spans="1:20" x14ac:dyDescent="0.35">
      <c r="A158" s="7" t="s">
        <v>248</v>
      </c>
      <c r="B158" s="12" t="s">
        <v>118</v>
      </c>
      <c r="C158">
        <v>75818514.408560231</v>
      </c>
      <c r="D158">
        <v>70307036.08246246</v>
      </c>
      <c r="E158">
        <v>1120889.18918919</v>
      </c>
      <c r="F158">
        <v>1458265.7657657659</v>
      </c>
      <c r="G158">
        <v>9</v>
      </c>
      <c r="H158">
        <v>15</v>
      </c>
      <c r="K158">
        <v>12</v>
      </c>
      <c r="L158">
        <v>19</v>
      </c>
      <c r="M158">
        <v>9292972.972972976</v>
      </c>
      <c r="N158">
        <v>12200400.9009009</v>
      </c>
      <c r="O158">
        <v>36361468.468468465</v>
      </c>
      <c r="P158">
        <v>36412792.79279279</v>
      </c>
      <c r="Q158">
        <v>11489369.369369367</v>
      </c>
      <c r="R158">
        <v>10405945.945945945</v>
      </c>
      <c r="S158">
        <v>1679</v>
      </c>
      <c r="T158">
        <v>1726</v>
      </c>
    </row>
    <row r="159" spans="1:20" x14ac:dyDescent="0.35">
      <c r="A159" s="7" t="s">
        <v>249</v>
      </c>
      <c r="B159" s="12" t="s">
        <v>122</v>
      </c>
      <c r="C159">
        <v>124002029.47248524</v>
      </c>
      <c r="D159">
        <v>112494328.58869243</v>
      </c>
      <c r="E159">
        <v>61912003.603603601</v>
      </c>
      <c r="F159">
        <v>73846266.666666672</v>
      </c>
      <c r="G159">
        <v>80</v>
      </c>
      <c r="H159">
        <v>62</v>
      </c>
      <c r="K159">
        <v>86</v>
      </c>
      <c r="L159">
        <v>71</v>
      </c>
      <c r="M159">
        <v>23862669.369369369</v>
      </c>
      <c r="N159">
        <v>8564414.4144144189</v>
      </c>
      <c r="O159">
        <v>14893117.117117116</v>
      </c>
      <c r="P159">
        <v>12680648.648648648</v>
      </c>
      <c r="Q159">
        <v>4565405.405405405</v>
      </c>
      <c r="R159">
        <v>4819819.8198198183</v>
      </c>
      <c r="S159">
        <v>2303</v>
      </c>
      <c r="T159">
        <v>2302</v>
      </c>
    </row>
    <row r="160" spans="1:20" x14ac:dyDescent="0.35">
      <c r="A160" s="7" t="s">
        <v>250</v>
      </c>
      <c r="B160" s="12" t="s">
        <v>77</v>
      </c>
      <c r="C160">
        <v>53283397.293958314</v>
      </c>
      <c r="D160">
        <v>51096385.710557096</v>
      </c>
      <c r="G160">
        <v>5</v>
      </c>
      <c r="K160">
        <v>6</v>
      </c>
      <c r="O160">
        <v>5303108.1081081079</v>
      </c>
      <c r="P160">
        <v>6024621.6216216208</v>
      </c>
      <c r="S160">
        <v>1650</v>
      </c>
      <c r="T160">
        <v>1730</v>
      </c>
    </row>
    <row r="161" spans="1:20" x14ac:dyDescent="0.35">
      <c r="A161" s="7" t="s">
        <v>251</v>
      </c>
      <c r="B161" s="12" t="s">
        <v>168</v>
      </c>
      <c r="C161">
        <v>173726920.78322336</v>
      </c>
      <c r="D161">
        <v>177860148.26961255</v>
      </c>
      <c r="F161">
        <v>450450.45045045001</v>
      </c>
      <c r="G161">
        <v>37</v>
      </c>
      <c r="H161">
        <v>6</v>
      </c>
      <c r="K161">
        <v>42</v>
      </c>
      <c r="L161">
        <v>8</v>
      </c>
      <c r="M161">
        <v>1828828.8288288291</v>
      </c>
      <c r="N161">
        <v>5938288.2882882878</v>
      </c>
      <c r="O161">
        <v>33359594.594594598</v>
      </c>
      <c r="P161">
        <v>45925990.990990989</v>
      </c>
      <c r="Q161">
        <v>1974414.4144144149</v>
      </c>
      <c r="R161">
        <v>4372882.8828828819</v>
      </c>
      <c r="S161">
        <v>3699</v>
      </c>
      <c r="T161">
        <v>4008</v>
      </c>
    </row>
    <row r="162" spans="1:20" x14ac:dyDescent="0.35">
      <c r="A162" s="7" t="s">
        <v>252</v>
      </c>
      <c r="B162" s="12" t="s">
        <v>90</v>
      </c>
      <c r="C162">
        <v>511038063.14646572</v>
      </c>
      <c r="D162">
        <v>529883478.16571325</v>
      </c>
      <c r="E162">
        <v>2769819.8198198229</v>
      </c>
      <c r="F162">
        <v>3347747.747747757</v>
      </c>
      <c r="G162">
        <v>98</v>
      </c>
      <c r="H162">
        <v>39</v>
      </c>
      <c r="I162">
        <v>1</v>
      </c>
      <c r="K162">
        <v>108</v>
      </c>
      <c r="L162">
        <v>55</v>
      </c>
      <c r="M162">
        <v>38689099.0990991</v>
      </c>
      <c r="N162">
        <v>41255855.855855852</v>
      </c>
      <c r="O162">
        <v>126821666.66666667</v>
      </c>
      <c r="P162">
        <v>140274324.32432431</v>
      </c>
      <c r="Q162">
        <v>38922252.252252251</v>
      </c>
      <c r="R162">
        <v>40387387.387387395</v>
      </c>
      <c r="S162">
        <v>9861</v>
      </c>
      <c r="T162">
        <v>11409</v>
      </c>
    </row>
    <row r="163" spans="1:20" x14ac:dyDescent="0.35">
      <c r="A163" s="7" t="s">
        <v>253</v>
      </c>
      <c r="B163" s="12" t="s">
        <v>79</v>
      </c>
      <c r="C163">
        <v>150011681.81041065</v>
      </c>
      <c r="D163">
        <v>152996249.08026478</v>
      </c>
      <c r="E163">
        <v>66436036.036036037</v>
      </c>
      <c r="F163">
        <v>215871171.17117116</v>
      </c>
      <c r="G163">
        <v>25</v>
      </c>
      <c r="H163">
        <v>8</v>
      </c>
      <c r="K163">
        <v>26</v>
      </c>
      <c r="L163">
        <v>9</v>
      </c>
      <c r="M163">
        <v>31519279.27927928</v>
      </c>
      <c r="N163">
        <v>30038378.37837838</v>
      </c>
      <c r="O163">
        <v>42628342.342342347</v>
      </c>
      <c r="P163">
        <v>44092468.468468465</v>
      </c>
      <c r="Q163">
        <v>29820090.090090089</v>
      </c>
      <c r="R163">
        <v>26644144.144144148</v>
      </c>
      <c r="S163">
        <v>2854</v>
      </c>
      <c r="T163">
        <v>2903</v>
      </c>
    </row>
    <row r="164" spans="1:20" x14ac:dyDescent="0.35">
      <c r="A164" s="7" t="s">
        <v>254</v>
      </c>
      <c r="B164" s="12" t="s">
        <v>106</v>
      </c>
      <c r="C164">
        <v>296016277.16404009</v>
      </c>
      <c r="D164">
        <v>308658164.70891714</v>
      </c>
      <c r="E164">
        <v>171397228.82882884</v>
      </c>
      <c r="F164">
        <v>141945038.73873875</v>
      </c>
      <c r="G164">
        <v>112</v>
      </c>
      <c r="H164">
        <v>75</v>
      </c>
      <c r="K164">
        <v>179</v>
      </c>
      <c r="L164">
        <v>91</v>
      </c>
      <c r="M164">
        <v>45033873.873873875</v>
      </c>
      <c r="N164">
        <v>94132702.702702701</v>
      </c>
      <c r="O164">
        <v>85609531.531531543</v>
      </c>
      <c r="P164">
        <v>92874711.711711705</v>
      </c>
      <c r="Q164">
        <v>44951351.351351343</v>
      </c>
      <c r="R164">
        <v>93602702.702702701</v>
      </c>
      <c r="S164">
        <v>5205</v>
      </c>
      <c r="T164">
        <v>5438</v>
      </c>
    </row>
    <row r="165" spans="1:20" x14ac:dyDescent="0.35">
      <c r="A165" s="7" t="s">
        <v>255</v>
      </c>
      <c r="B165" s="12" t="s">
        <v>106</v>
      </c>
      <c r="C165">
        <v>193866746.35969138</v>
      </c>
      <c r="D165">
        <v>182412810.20027456</v>
      </c>
      <c r="E165">
        <v>1804504.5045045069</v>
      </c>
      <c r="F165">
        <v>1563063.063063063</v>
      </c>
      <c r="G165">
        <v>23</v>
      </c>
      <c r="H165">
        <v>31</v>
      </c>
      <c r="I165">
        <v>1</v>
      </c>
      <c r="K165">
        <v>26</v>
      </c>
      <c r="L165">
        <v>34</v>
      </c>
      <c r="M165">
        <v>15275135.135135137</v>
      </c>
      <c r="N165">
        <v>23899549.54954955</v>
      </c>
      <c r="O165">
        <v>60490837.837837838</v>
      </c>
      <c r="P165">
        <v>63208252.252252258</v>
      </c>
      <c r="Q165">
        <v>14071801.801801801</v>
      </c>
      <c r="R165">
        <v>20329909.909909911</v>
      </c>
      <c r="S165">
        <v>3973</v>
      </c>
      <c r="T165">
        <v>3433</v>
      </c>
    </row>
    <row r="166" spans="1:20" x14ac:dyDescent="0.35">
      <c r="A166" s="7" t="s">
        <v>256</v>
      </c>
      <c r="B166" s="12" t="s">
        <v>106</v>
      </c>
      <c r="C166">
        <v>162273847.40936914</v>
      </c>
      <c r="D166">
        <v>176974622.09138766</v>
      </c>
      <c r="E166">
        <v>132432.43243243301</v>
      </c>
      <c r="F166">
        <v>69369.369369370004</v>
      </c>
      <c r="G166">
        <v>26</v>
      </c>
      <c r="H166">
        <v>18</v>
      </c>
      <c r="I166">
        <v>4</v>
      </c>
      <c r="K166">
        <v>28</v>
      </c>
      <c r="L166">
        <v>18</v>
      </c>
      <c r="M166">
        <v>2384684.684684685</v>
      </c>
      <c r="N166">
        <v>1195495.4954954961</v>
      </c>
      <c r="O166">
        <v>35445872.072072074</v>
      </c>
      <c r="P166">
        <v>42130747.747747742</v>
      </c>
      <c r="Q166">
        <v>2338918.9189189188</v>
      </c>
      <c r="R166">
        <v>1222162.1621621619</v>
      </c>
      <c r="S166">
        <v>2124</v>
      </c>
      <c r="T166">
        <v>2169</v>
      </c>
    </row>
    <row r="167" spans="1:20" x14ac:dyDescent="0.35">
      <c r="A167" s="7" t="s">
        <v>257</v>
      </c>
      <c r="B167" s="12" t="s">
        <v>135</v>
      </c>
      <c r="C167">
        <v>250706728.31292155</v>
      </c>
      <c r="D167">
        <v>270189959.63482362</v>
      </c>
      <c r="E167">
        <v>765765.76576576603</v>
      </c>
      <c r="F167">
        <v>621621.62162162096</v>
      </c>
      <c r="G167">
        <v>23</v>
      </c>
      <c r="H167">
        <v>13</v>
      </c>
      <c r="K167">
        <v>23</v>
      </c>
      <c r="L167">
        <v>15</v>
      </c>
      <c r="M167">
        <v>3387387.387387387</v>
      </c>
      <c r="N167">
        <v>6522522.5225225221</v>
      </c>
      <c r="O167">
        <v>17764531.531531535</v>
      </c>
      <c r="P167">
        <v>27280963.963963963</v>
      </c>
      <c r="Q167">
        <v>4252972.9729729732</v>
      </c>
      <c r="R167">
        <v>4998828.8288288284</v>
      </c>
      <c r="S167">
        <v>4137</v>
      </c>
      <c r="T167">
        <v>4212</v>
      </c>
    </row>
    <row r="168" spans="1:20" x14ac:dyDescent="0.35">
      <c r="A168" s="7" t="s">
        <v>258</v>
      </c>
      <c r="B168" s="12" t="s">
        <v>168</v>
      </c>
      <c r="C168">
        <v>87579619.693360686</v>
      </c>
      <c r="D168">
        <v>100834809.00376853</v>
      </c>
      <c r="E168">
        <v>1171171.1711711709</v>
      </c>
      <c r="F168">
        <v>5405.4054054050002</v>
      </c>
      <c r="G168">
        <v>20</v>
      </c>
      <c r="H168">
        <v>5</v>
      </c>
      <c r="K168">
        <v>25</v>
      </c>
      <c r="L168">
        <v>7</v>
      </c>
      <c r="M168">
        <v>4375467.5675675673</v>
      </c>
      <c r="N168">
        <v>4384684.6846846864</v>
      </c>
      <c r="O168">
        <v>29821678.37837838</v>
      </c>
      <c r="P168">
        <v>38747891.891891889</v>
      </c>
      <c r="Q168">
        <v>4572072.072072072</v>
      </c>
      <c r="R168">
        <v>5632882.8828828838</v>
      </c>
      <c r="S168">
        <v>2478</v>
      </c>
      <c r="T168">
        <v>2615</v>
      </c>
    </row>
    <row r="169" spans="1:20" x14ac:dyDescent="0.35">
      <c r="A169" s="7" t="s">
        <v>259</v>
      </c>
      <c r="B169" s="12" t="s">
        <v>61</v>
      </c>
      <c r="C169">
        <v>34322668.521616921</v>
      </c>
      <c r="D169">
        <v>35467314.793673702</v>
      </c>
      <c r="E169">
        <v>280180.18018018</v>
      </c>
      <c r="F169">
        <v>1245045.045045045</v>
      </c>
      <c r="G169">
        <v>16</v>
      </c>
      <c r="H169">
        <v>7</v>
      </c>
      <c r="I169">
        <v>3</v>
      </c>
      <c r="K169">
        <v>22</v>
      </c>
      <c r="L169">
        <v>11</v>
      </c>
      <c r="M169">
        <v>7118018.0180180185</v>
      </c>
      <c r="N169">
        <v>13227027.027027028</v>
      </c>
      <c r="O169">
        <v>12206702.702702705</v>
      </c>
      <c r="P169">
        <v>12981936.936936935</v>
      </c>
      <c r="Q169">
        <v>7339729.7297297288</v>
      </c>
      <c r="R169">
        <v>9433243.2432432417</v>
      </c>
      <c r="S169">
        <v>589</v>
      </c>
      <c r="T169">
        <v>575</v>
      </c>
    </row>
    <row r="170" spans="1:20" x14ac:dyDescent="0.35">
      <c r="A170" s="7" t="s">
        <v>260</v>
      </c>
      <c r="B170" s="12" t="s">
        <v>261</v>
      </c>
      <c r="C170">
        <v>21073728.638124242</v>
      </c>
      <c r="D170">
        <v>22261040.402840313</v>
      </c>
      <c r="E170">
        <v>13513.513513514001</v>
      </c>
      <c r="F170">
        <v>1090090.0900900899</v>
      </c>
      <c r="G170">
        <v>5</v>
      </c>
      <c r="H170">
        <v>1</v>
      </c>
      <c r="K170">
        <v>6</v>
      </c>
      <c r="L170">
        <v>1</v>
      </c>
      <c r="M170">
        <v>4101351.351351351</v>
      </c>
      <c r="N170">
        <v>2891891.8918918921</v>
      </c>
      <c r="O170">
        <v>3685792.7927927929</v>
      </c>
      <c r="P170">
        <v>5465297.297297297</v>
      </c>
      <c r="Q170">
        <v>1823693.693693694</v>
      </c>
      <c r="R170">
        <v>1537927.927927928</v>
      </c>
      <c r="S170">
        <v>551</v>
      </c>
      <c r="T170">
        <v>558</v>
      </c>
    </row>
    <row r="171" spans="1:20" x14ac:dyDescent="0.35">
      <c r="A171" s="7" t="s">
        <v>262</v>
      </c>
      <c r="B171" s="12" t="s">
        <v>61</v>
      </c>
      <c r="C171">
        <v>327473801.66003376</v>
      </c>
      <c r="D171">
        <v>323673988.14915532</v>
      </c>
      <c r="E171">
        <v>235646744.14414415</v>
      </c>
      <c r="F171">
        <v>702317271.17117119</v>
      </c>
      <c r="G171">
        <v>270</v>
      </c>
      <c r="H171">
        <v>200</v>
      </c>
      <c r="I171">
        <v>2</v>
      </c>
      <c r="K171">
        <v>442</v>
      </c>
      <c r="L171">
        <v>328</v>
      </c>
      <c r="M171">
        <v>68884684.684684694</v>
      </c>
      <c r="N171">
        <v>94101395.495495498</v>
      </c>
      <c r="O171">
        <v>120494011.26126127</v>
      </c>
      <c r="P171">
        <v>119390099.0990991</v>
      </c>
      <c r="Q171">
        <v>73719819.819819823</v>
      </c>
      <c r="R171">
        <v>83597117.117117122</v>
      </c>
      <c r="S171">
        <v>6138</v>
      </c>
      <c r="T171">
        <v>6187</v>
      </c>
    </row>
    <row r="172" spans="1:20" x14ac:dyDescent="0.35">
      <c r="A172" s="7" t="s">
        <v>263</v>
      </c>
      <c r="B172" s="12" t="s">
        <v>124</v>
      </c>
      <c r="C172">
        <v>253766827.57083905</v>
      </c>
      <c r="D172">
        <v>239895027.58665514</v>
      </c>
      <c r="E172">
        <v>426126.12612612703</v>
      </c>
      <c r="F172">
        <v>814414.41441441595</v>
      </c>
      <c r="G172">
        <v>73</v>
      </c>
      <c r="H172">
        <v>67</v>
      </c>
      <c r="I172">
        <v>1</v>
      </c>
      <c r="K172">
        <v>89</v>
      </c>
      <c r="L172">
        <v>88</v>
      </c>
      <c r="M172">
        <v>17325045.045045044</v>
      </c>
      <c r="N172">
        <v>19287837.837837838</v>
      </c>
      <c r="O172">
        <v>100679072.07207206</v>
      </c>
      <c r="P172">
        <v>96444376.576576576</v>
      </c>
      <c r="Q172">
        <v>15655855.855855856</v>
      </c>
      <c r="R172">
        <v>18108648.648648649</v>
      </c>
      <c r="S172">
        <v>4636</v>
      </c>
      <c r="T172">
        <v>5528</v>
      </c>
    </row>
    <row r="173" spans="1:20" x14ac:dyDescent="0.35">
      <c r="A173" s="7" t="s">
        <v>264</v>
      </c>
      <c r="B173" s="12" t="s">
        <v>124</v>
      </c>
      <c r="C173">
        <v>107224586.31567888</v>
      </c>
      <c r="D173">
        <v>112044787.16130653</v>
      </c>
      <c r="E173">
        <v>2331756.7567567579</v>
      </c>
      <c r="F173">
        <v>2806756.7567567611</v>
      </c>
      <c r="G173">
        <v>61</v>
      </c>
      <c r="H173">
        <v>70</v>
      </c>
      <c r="I173">
        <v>1</v>
      </c>
      <c r="K173">
        <v>225</v>
      </c>
      <c r="L173">
        <v>123</v>
      </c>
      <c r="M173">
        <v>42588738.738738738</v>
      </c>
      <c r="N173">
        <v>26030180.180180181</v>
      </c>
      <c r="O173">
        <v>44798144.144144148</v>
      </c>
      <c r="P173">
        <v>48892144.144144148</v>
      </c>
      <c r="Q173">
        <v>40899909.909909911</v>
      </c>
      <c r="R173">
        <v>24594144.144144144</v>
      </c>
      <c r="S173">
        <v>2347</v>
      </c>
      <c r="T173">
        <v>2285</v>
      </c>
    </row>
    <row r="174" spans="1:20" x14ac:dyDescent="0.35">
      <c r="A174" s="7" t="s">
        <v>265</v>
      </c>
      <c r="B174" s="12" t="s">
        <v>126</v>
      </c>
      <c r="C174">
        <v>272466965.41896862</v>
      </c>
      <c r="D174">
        <v>280077946.54106587</v>
      </c>
      <c r="E174">
        <v>3119369.3693693681</v>
      </c>
      <c r="F174">
        <v>3115765.7657657699</v>
      </c>
      <c r="G174">
        <v>80</v>
      </c>
      <c r="H174">
        <v>38</v>
      </c>
      <c r="K174">
        <v>80</v>
      </c>
      <c r="L174">
        <v>39</v>
      </c>
      <c r="M174">
        <v>27533333.333333336</v>
      </c>
      <c r="N174">
        <v>26737387.387387384</v>
      </c>
      <c r="O174">
        <v>98596753.153153151</v>
      </c>
      <c r="P174">
        <v>99310108.108108118</v>
      </c>
      <c r="Q174">
        <v>23905718.918918919</v>
      </c>
      <c r="R174">
        <v>22576666.666666664</v>
      </c>
      <c r="S174">
        <v>4450</v>
      </c>
      <c r="T174">
        <v>4494</v>
      </c>
    </row>
    <row r="175" spans="1:20" x14ac:dyDescent="0.35">
      <c r="A175" s="7" t="s">
        <v>266</v>
      </c>
      <c r="B175" s="12" t="s">
        <v>124</v>
      </c>
      <c r="C175">
        <v>258708161.3035323</v>
      </c>
      <c r="D175">
        <v>260582454.61762962</v>
      </c>
      <c r="E175">
        <v>1866666.6666666679</v>
      </c>
      <c r="F175">
        <v>1986486.4864864899</v>
      </c>
      <c r="G175">
        <v>40</v>
      </c>
      <c r="H175">
        <v>42</v>
      </c>
      <c r="I175">
        <v>1</v>
      </c>
      <c r="K175">
        <v>44</v>
      </c>
      <c r="L175">
        <v>46</v>
      </c>
      <c r="M175">
        <v>25692792.792792793</v>
      </c>
      <c r="N175">
        <v>32771171.171171173</v>
      </c>
      <c r="O175">
        <v>91565381.981981978</v>
      </c>
      <c r="P175">
        <v>99029718.918918908</v>
      </c>
      <c r="Q175">
        <v>26710990.990990989</v>
      </c>
      <c r="R175">
        <v>33614954.954954959</v>
      </c>
      <c r="S175">
        <v>4881</v>
      </c>
      <c r="T175">
        <v>4772</v>
      </c>
    </row>
    <row r="176" spans="1:20" x14ac:dyDescent="0.35">
      <c r="A176" s="7" t="s">
        <v>267</v>
      </c>
      <c r="B176" s="12" t="s">
        <v>124</v>
      </c>
      <c r="C176">
        <v>270540853.26315302</v>
      </c>
      <c r="D176">
        <v>275165308.93671513</v>
      </c>
      <c r="E176">
        <v>2805855.855855857</v>
      </c>
      <c r="F176">
        <v>2669369.3693693769</v>
      </c>
      <c r="G176">
        <v>59</v>
      </c>
      <c r="H176">
        <v>61</v>
      </c>
      <c r="K176">
        <v>63</v>
      </c>
      <c r="L176">
        <v>67</v>
      </c>
      <c r="M176">
        <v>30885765.765765768</v>
      </c>
      <c r="N176">
        <v>36323333.333333336</v>
      </c>
      <c r="O176">
        <v>110466691.89189188</v>
      </c>
      <c r="P176">
        <v>108814547.74774775</v>
      </c>
      <c r="Q176">
        <v>29734234.234234232</v>
      </c>
      <c r="R176">
        <v>34121891.891891889</v>
      </c>
      <c r="S176">
        <v>5366</v>
      </c>
      <c r="T176">
        <v>5428</v>
      </c>
    </row>
    <row r="177" spans="1:20" x14ac:dyDescent="0.35">
      <c r="A177" s="7" t="s">
        <v>268</v>
      </c>
      <c r="B177" s="12" t="s">
        <v>179</v>
      </c>
      <c r="C177">
        <v>1371482763.5741739</v>
      </c>
      <c r="D177">
        <v>1372552377.1238492</v>
      </c>
      <c r="E177">
        <v>987893449.54954958</v>
      </c>
      <c r="F177">
        <v>741861067.56756759</v>
      </c>
      <c r="G177">
        <v>733</v>
      </c>
      <c r="H177">
        <v>450</v>
      </c>
      <c r="I177">
        <v>1</v>
      </c>
      <c r="K177">
        <v>1205</v>
      </c>
      <c r="L177">
        <v>1049</v>
      </c>
      <c r="M177">
        <v>202215068.46846849</v>
      </c>
      <c r="N177">
        <v>217171846.84684685</v>
      </c>
      <c r="O177">
        <v>417600372.07207209</v>
      </c>
      <c r="P177">
        <v>444434095.4954955</v>
      </c>
      <c r="Q177">
        <v>183033873.87387389</v>
      </c>
      <c r="R177">
        <v>201863288.2882883</v>
      </c>
      <c r="S177">
        <v>31968</v>
      </c>
      <c r="T177">
        <v>33340</v>
      </c>
    </row>
    <row r="178" spans="1:20" x14ac:dyDescent="0.35">
      <c r="A178" s="7" t="s">
        <v>269</v>
      </c>
      <c r="B178" s="12" t="s">
        <v>63</v>
      </c>
      <c r="C178">
        <v>223853810.10564712</v>
      </c>
      <c r="D178">
        <v>234421768.29916936</v>
      </c>
      <c r="E178">
        <v>203402702.70270273</v>
      </c>
      <c r="F178">
        <v>92563603.603603601</v>
      </c>
      <c r="G178">
        <v>72</v>
      </c>
      <c r="H178">
        <v>168</v>
      </c>
      <c r="K178">
        <v>78</v>
      </c>
      <c r="L178">
        <v>234</v>
      </c>
      <c r="M178">
        <v>84836081.081081092</v>
      </c>
      <c r="N178">
        <v>83655225.22522521</v>
      </c>
      <c r="O178">
        <v>73807027.027027026</v>
      </c>
      <c r="P178">
        <v>85405007.207207203</v>
      </c>
      <c r="Q178">
        <v>64135945.945945941</v>
      </c>
      <c r="R178">
        <v>66357927.927927926</v>
      </c>
      <c r="S178">
        <v>4673</v>
      </c>
      <c r="T178">
        <v>4896</v>
      </c>
    </row>
    <row r="179" spans="1:20" x14ac:dyDescent="0.35">
      <c r="A179" s="7" t="s">
        <v>270</v>
      </c>
      <c r="B179" s="12" t="s">
        <v>71</v>
      </c>
      <c r="C179">
        <v>288408482.50673521</v>
      </c>
      <c r="D179">
        <v>279506529.05906117</v>
      </c>
      <c r="E179">
        <v>4545855.8558558617</v>
      </c>
      <c r="F179">
        <v>10728828.828828832</v>
      </c>
      <c r="G179">
        <v>107</v>
      </c>
      <c r="H179">
        <v>96</v>
      </c>
      <c r="K179">
        <v>287</v>
      </c>
      <c r="L179">
        <v>128</v>
      </c>
      <c r="M179">
        <v>25191891.891891897</v>
      </c>
      <c r="N179">
        <v>53370937.837837838</v>
      </c>
      <c r="O179">
        <v>134528495.4954955</v>
      </c>
      <c r="P179">
        <v>134269081.08108109</v>
      </c>
      <c r="Q179">
        <v>21951531.531531535</v>
      </c>
      <c r="R179">
        <v>42566576.576576568</v>
      </c>
      <c r="S179">
        <v>6928</v>
      </c>
      <c r="T179">
        <v>6753</v>
      </c>
    </row>
    <row r="180" spans="1:20" x14ac:dyDescent="0.35">
      <c r="A180" s="7" t="s">
        <v>271</v>
      </c>
      <c r="B180" s="12" t="s">
        <v>135</v>
      </c>
      <c r="C180">
        <v>4482908.9270541146</v>
      </c>
      <c r="D180">
        <v>4316958.001506946</v>
      </c>
      <c r="L180">
        <v>1</v>
      </c>
      <c r="O180">
        <v>257297.29729729699</v>
      </c>
      <c r="P180">
        <v>284774.77477477503</v>
      </c>
      <c r="S180">
        <v>246</v>
      </c>
      <c r="T180">
        <v>240</v>
      </c>
    </row>
    <row r="181" spans="1:20" x14ac:dyDescent="0.35">
      <c r="A181" s="7" t="s">
        <v>272</v>
      </c>
      <c r="B181" s="12" t="s">
        <v>77</v>
      </c>
      <c r="C181">
        <v>135707722.12278682</v>
      </c>
      <c r="D181">
        <v>128184388.21454751</v>
      </c>
      <c r="E181">
        <v>76576.576576577005</v>
      </c>
      <c r="F181">
        <v>470270.27027027</v>
      </c>
      <c r="G181">
        <v>18</v>
      </c>
      <c r="H181">
        <v>18</v>
      </c>
      <c r="K181">
        <v>20</v>
      </c>
      <c r="L181">
        <v>19</v>
      </c>
      <c r="M181">
        <v>166666.66666666701</v>
      </c>
      <c r="N181">
        <v>686486.48648648604</v>
      </c>
      <c r="O181">
        <v>8144409.9099099096</v>
      </c>
      <c r="P181">
        <v>9718756.7567567565</v>
      </c>
      <c r="Q181">
        <v>271171.17117117101</v>
      </c>
      <c r="R181">
        <v>554774.77477477503</v>
      </c>
      <c r="S181">
        <v>2418</v>
      </c>
      <c r="T181">
        <v>2472</v>
      </c>
    </row>
    <row r="182" spans="1:20" x14ac:dyDescent="0.35">
      <c r="A182" s="7" t="s">
        <v>273</v>
      </c>
      <c r="B182" s="12" t="s">
        <v>77</v>
      </c>
      <c r="C182">
        <v>46532369.434553988</v>
      </c>
      <c r="D182">
        <v>53640406.953296944</v>
      </c>
      <c r="E182">
        <v>150450.450450451</v>
      </c>
      <c r="F182">
        <v>300000</v>
      </c>
      <c r="G182">
        <v>4</v>
      </c>
      <c r="H182">
        <v>16</v>
      </c>
      <c r="K182">
        <v>6</v>
      </c>
      <c r="L182">
        <v>16</v>
      </c>
      <c r="M182">
        <v>10073153.153153151</v>
      </c>
      <c r="N182">
        <v>13645945.945945946</v>
      </c>
      <c r="O182">
        <v>11739963.963963963</v>
      </c>
      <c r="P182">
        <v>16086574.774774777</v>
      </c>
      <c r="Q182">
        <v>8756396.3963963967</v>
      </c>
      <c r="R182">
        <v>11657207.207207208</v>
      </c>
      <c r="S182">
        <v>719</v>
      </c>
      <c r="T182">
        <v>796</v>
      </c>
    </row>
    <row r="183" spans="1:20" x14ac:dyDescent="0.35">
      <c r="A183" s="7" t="s">
        <v>274</v>
      </c>
      <c r="B183" s="12" t="s">
        <v>261</v>
      </c>
      <c r="C183">
        <v>968915506.6194855</v>
      </c>
      <c r="D183">
        <v>1015917527.4184657</v>
      </c>
      <c r="E183">
        <v>11908108.108108109</v>
      </c>
      <c r="F183">
        <v>12081081.081081092</v>
      </c>
      <c r="G183">
        <v>281</v>
      </c>
      <c r="H183">
        <v>410</v>
      </c>
      <c r="K183">
        <v>372</v>
      </c>
      <c r="L183">
        <v>606</v>
      </c>
      <c r="M183">
        <v>203757657.65765765</v>
      </c>
      <c r="N183">
        <v>241867747.74774775</v>
      </c>
      <c r="O183">
        <v>295849941.44144148</v>
      </c>
      <c r="P183">
        <v>337648081.08108109</v>
      </c>
      <c r="Q183">
        <v>181721711.7117117</v>
      </c>
      <c r="R183">
        <v>221522612.61261261</v>
      </c>
      <c r="S183">
        <v>17973</v>
      </c>
      <c r="T183">
        <v>19022</v>
      </c>
    </row>
    <row r="184" spans="1:20" x14ac:dyDescent="0.35">
      <c r="A184" s="7" t="s">
        <v>666</v>
      </c>
      <c r="B184" s="12" t="s">
        <v>261</v>
      </c>
      <c r="E184">
        <v>345918624.32432437</v>
      </c>
      <c r="F184">
        <v>415615696.3963964</v>
      </c>
      <c r="M184">
        <v>54846846.846846849</v>
      </c>
      <c r="N184">
        <v>32792792.792792793</v>
      </c>
    </row>
    <row r="185" spans="1:20" x14ac:dyDescent="0.35">
      <c r="A185" s="7" t="s">
        <v>275</v>
      </c>
      <c r="B185" s="12" t="s">
        <v>261</v>
      </c>
      <c r="C185">
        <v>214379852.68459958</v>
      </c>
      <c r="D185">
        <v>206629079.0479705</v>
      </c>
      <c r="E185">
        <v>1296621.6216216229</v>
      </c>
      <c r="F185">
        <v>539639.63963964302</v>
      </c>
      <c r="G185">
        <v>12</v>
      </c>
      <c r="H185">
        <v>34</v>
      </c>
      <c r="K185">
        <v>15</v>
      </c>
      <c r="L185">
        <v>36</v>
      </c>
      <c r="M185">
        <v>16214864.864864863</v>
      </c>
      <c r="N185">
        <v>19488288.288288288</v>
      </c>
      <c r="O185">
        <v>43289540.540540546</v>
      </c>
      <c r="P185">
        <v>48851036.036036029</v>
      </c>
      <c r="Q185">
        <v>12875405.405405404</v>
      </c>
      <c r="R185">
        <v>16765178.378378378</v>
      </c>
      <c r="S185">
        <v>3919</v>
      </c>
      <c r="T185">
        <v>3829</v>
      </c>
    </row>
    <row r="186" spans="1:20" x14ac:dyDescent="0.35">
      <c r="A186" s="7" t="s">
        <v>276</v>
      </c>
      <c r="B186" s="12" t="s">
        <v>261</v>
      </c>
      <c r="C186">
        <v>239380307.42858028</v>
      </c>
      <c r="D186">
        <v>279446809.56805158</v>
      </c>
      <c r="E186">
        <v>5715855.855855857</v>
      </c>
      <c r="F186">
        <v>8152210.8108108146</v>
      </c>
      <c r="G186">
        <v>27</v>
      </c>
      <c r="H186">
        <v>45</v>
      </c>
      <c r="K186">
        <v>32</v>
      </c>
      <c r="L186">
        <v>51</v>
      </c>
      <c r="M186">
        <v>47519819.819819823</v>
      </c>
      <c r="N186">
        <v>26611526.126126129</v>
      </c>
      <c r="O186">
        <v>54108126.126126125</v>
      </c>
      <c r="P186">
        <v>75626097.297297299</v>
      </c>
      <c r="Q186">
        <v>47246216.216216214</v>
      </c>
      <c r="R186">
        <v>23487837.837837841</v>
      </c>
      <c r="S186">
        <v>5766</v>
      </c>
      <c r="T186">
        <v>6137</v>
      </c>
    </row>
    <row r="187" spans="1:20" x14ac:dyDescent="0.35">
      <c r="A187" s="7" t="s">
        <v>277</v>
      </c>
      <c r="B187" s="12" t="s">
        <v>135</v>
      </c>
      <c r="C187">
        <v>302063074.88898194</v>
      </c>
      <c r="D187">
        <v>324345755.95551556</v>
      </c>
      <c r="E187">
        <v>2175675.6756756771</v>
      </c>
      <c r="F187">
        <v>2211711.7117117122</v>
      </c>
      <c r="G187">
        <v>62</v>
      </c>
      <c r="H187">
        <v>27</v>
      </c>
      <c r="K187">
        <v>70</v>
      </c>
      <c r="L187">
        <v>30</v>
      </c>
      <c r="M187">
        <v>16139639.639639642</v>
      </c>
      <c r="N187">
        <v>16175675.675675675</v>
      </c>
      <c r="O187">
        <v>26163202.702702705</v>
      </c>
      <c r="P187">
        <v>33911016.216216214</v>
      </c>
      <c r="Q187">
        <v>7108288.2882882878</v>
      </c>
      <c r="R187">
        <v>7953333.333333333</v>
      </c>
      <c r="S187">
        <v>5280</v>
      </c>
      <c r="T187">
        <v>5463</v>
      </c>
    </row>
    <row r="188" spans="1:20" x14ac:dyDescent="0.35">
      <c r="A188" s="7" t="s">
        <v>278</v>
      </c>
      <c r="B188" s="12" t="s">
        <v>170</v>
      </c>
      <c r="C188">
        <v>175023674.390488</v>
      </c>
      <c r="D188">
        <v>165944745.33526891</v>
      </c>
      <c r="E188">
        <v>1485585.585585586</v>
      </c>
      <c r="F188">
        <v>2706306.3063063091</v>
      </c>
      <c r="G188">
        <v>36</v>
      </c>
      <c r="H188">
        <v>13</v>
      </c>
      <c r="K188">
        <v>39</v>
      </c>
      <c r="L188">
        <v>14</v>
      </c>
      <c r="M188">
        <v>15037387.387387387</v>
      </c>
      <c r="N188">
        <v>12093693.693693696</v>
      </c>
      <c r="O188">
        <v>80063547.297297299</v>
      </c>
      <c r="P188">
        <v>76779899.0990991</v>
      </c>
      <c r="Q188">
        <v>11225675.675675675</v>
      </c>
      <c r="R188">
        <v>10144684.684684685</v>
      </c>
      <c r="S188">
        <v>3228</v>
      </c>
      <c r="T188">
        <v>3257</v>
      </c>
    </row>
    <row r="189" spans="1:20" x14ac:dyDescent="0.35">
      <c r="A189" s="7" t="s">
        <v>667</v>
      </c>
      <c r="B189" s="12" t="s">
        <v>88</v>
      </c>
      <c r="M189">
        <v>972972.97297297302</v>
      </c>
      <c r="N189">
        <v>1621621.621621622</v>
      </c>
    </row>
    <row r="190" spans="1:20" x14ac:dyDescent="0.35">
      <c r="A190" s="7" t="s">
        <v>279</v>
      </c>
      <c r="B190" s="12" t="s">
        <v>170</v>
      </c>
      <c r="C190">
        <v>103027433.84138174</v>
      </c>
      <c r="D190">
        <v>96822092.845301136</v>
      </c>
      <c r="E190">
        <v>30630.630630631</v>
      </c>
      <c r="F190">
        <v>7207.2072072069996</v>
      </c>
      <c r="G190">
        <v>18</v>
      </c>
      <c r="H190">
        <v>43</v>
      </c>
      <c r="K190">
        <v>19</v>
      </c>
      <c r="L190">
        <v>44</v>
      </c>
      <c r="M190">
        <v>7721283.7837837841</v>
      </c>
      <c r="N190">
        <v>4151351.3513513519</v>
      </c>
      <c r="O190">
        <v>45424067.567567565</v>
      </c>
      <c r="P190">
        <v>50107954.954954952</v>
      </c>
      <c r="Q190">
        <v>6104774.7747747749</v>
      </c>
      <c r="R190">
        <v>5167747.7477477472</v>
      </c>
      <c r="S190">
        <v>2044</v>
      </c>
      <c r="T190">
        <v>2024</v>
      </c>
    </row>
    <row r="191" spans="1:20" x14ac:dyDescent="0.35">
      <c r="A191" s="7" t="s">
        <v>280</v>
      </c>
      <c r="B191" s="12" t="s">
        <v>88</v>
      </c>
      <c r="C191">
        <v>2450751.8187028542</v>
      </c>
      <c r="D191">
        <v>2686556.7447302309</v>
      </c>
      <c r="G191">
        <v>6</v>
      </c>
      <c r="K191">
        <v>6</v>
      </c>
      <c r="O191">
        <v>931045.04504504497</v>
      </c>
      <c r="P191">
        <v>1079729.7297297299</v>
      </c>
      <c r="S191">
        <v>208</v>
      </c>
      <c r="T191">
        <v>144</v>
      </c>
    </row>
    <row r="192" spans="1:20" x14ac:dyDescent="0.35">
      <c r="A192" s="7" t="s">
        <v>281</v>
      </c>
      <c r="B192" s="12" t="s">
        <v>170</v>
      </c>
      <c r="C192">
        <v>174184630.71455714</v>
      </c>
      <c r="D192">
        <v>200070525.05715868</v>
      </c>
      <c r="E192">
        <v>833333.333333335</v>
      </c>
      <c r="F192">
        <v>1887387.387387387</v>
      </c>
      <c r="G192">
        <v>39</v>
      </c>
      <c r="H192">
        <v>87</v>
      </c>
      <c r="K192">
        <v>40</v>
      </c>
      <c r="L192">
        <v>101</v>
      </c>
      <c r="M192">
        <v>20989009.009009007</v>
      </c>
      <c r="N192">
        <v>23830450.45045045</v>
      </c>
      <c r="O192">
        <v>70273306.306306303</v>
      </c>
      <c r="P192">
        <v>86030522.522522524</v>
      </c>
      <c r="Q192">
        <v>19936306.306306303</v>
      </c>
      <c r="R192">
        <v>20325855.855855856</v>
      </c>
      <c r="S192">
        <v>4151</v>
      </c>
      <c r="T192">
        <v>4359</v>
      </c>
    </row>
    <row r="193" spans="1:20" x14ac:dyDescent="0.35">
      <c r="A193" s="7" t="s">
        <v>282</v>
      </c>
      <c r="B193" s="12" t="s">
        <v>55</v>
      </c>
      <c r="C193">
        <v>131140280.22373763</v>
      </c>
      <c r="D193">
        <v>134618833.5203318</v>
      </c>
      <c r="E193">
        <v>2445045.0450450471</v>
      </c>
      <c r="F193">
        <v>1919819.8198198241</v>
      </c>
      <c r="G193">
        <v>50</v>
      </c>
      <c r="H193">
        <v>56</v>
      </c>
      <c r="K193">
        <v>61</v>
      </c>
      <c r="L193">
        <v>65</v>
      </c>
      <c r="M193">
        <v>15370270.270270268</v>
      </c>
      <c r="N193">
        <v>21404504.504504509</v>
      </c>
      <c r="O193">
        <v>28475297.297297295</v>
      </c>
      <c r="P193">
        <v>31290000</v>
      </c>
      <c r="Q193">
        <v>13905855.855855856</v>
      </c>
      <c r="R193">
        <v>18014324.324324325</v>
      </c>
      <c r="S193">
        <v>3734</v>
      </c>
      <c r="T193">
        <v>3784</v>
      </c>
    </row>
    <row r="194" spans="1:20" x14ac:dyDescent="0.35">
      <c r="A194" s="7" t="s">
        <v>283</v>
      </c>
      <c r="B194" s="12" t="s">
        <v>284</v>
      </c>
      <c r="C194">
        <v>181087094.68634859</v>
      </c>
      <c r="D194">
        <v>215662527.64462739</v>
      </c>
      <c r="E194">
        <v>333333.33333333401</v>
      </c>
      <c r="F194">
        <v>833333.333333335</v>
      </c>
      <c r="G194">
        <v>68</v>
      </c>
      <c r="H194">
        <v>45</v>
      </c>
      <c r="K194">
        <v>85</v>
      </c>
      <c r="L194">
        <v>55</v>
      </c>
      <c r="M194">
        <v>8901981.9819819834</v>
      </c>
      <c r="N194">
        <v>8022522.5225225231</v>
      </c>
      <c r="O194">
        <v>28725441.441441439</v>
      </c>
      <c r="P194">
        <v>31939900.9009009</v>
      </c>
      <c r="Q194">
        <v>9217657.6576576605</v>
      </c>
      <c r="R194">
        <v>6570540.5405405406</v>
      </c>
      <c r="S194">
        <v>3326</v>
      </c>
      <c r="T194">
        <v>3278</v>
      </c>
    </row>
    <row r="195" spans="1:20" x14ac:dyDescent="0.35">
      <c r="A195" s="7" t="s">
        <v>285</v>
      </c>
      <c r="B195" s="12" t="s">
        <v>284</v>
      </c>
      <c r="C195">
        <v>373483620.95169502</v>
      </c>
      <c r="D195">
        <v>375152690.64831299</v>
      </c>
      <c r="E195">
        <v>2768918.918918923</v>
      </c>
      <c r="F195">
        <v>5042342.342342345</v>
      </c>
      <c r="G195">
        <v>72</v>
      </c>
      <c r="H195">
        <v>238</v>
      </c>
      <c r="K195">
        <v>112</v>
      </c>
      <c r="L195">
        <v>348</v>
      </c>
      <c r="M195">
        <v>45738018.018018022</v>
      </c>
      <c r="N195">
        <v>55278738.738738745</v>
      </c>
      <c r="O195">
        <v>79447531.531531543</v>
      </c>
      <c r="P195">
        <v>84262900.9009009</v>
      </c>
      <c r="Q195">
        <v>40294864.864864863</v>
      </c>
      <c r="R195">
        <v>45509279.279279277</v>
      </c>
      <c r="S195">
        <v>7412</v>
      </c>
      <c r="T195">
        <v>8113</v>
      </c>
    </row>
    <row r="196" spans="1:20" x14ac:dyDescent="0.35">
      <c r="A196" s="7" t="s">
        <v>286</v>
      </c>
      <c r="B196" s="12" t="s">
        <v>284</v>
      </c>
      <c r="C196">
        <v>195803518.23810479</v>
      </c>
      <c r="D196">
        <v>207624799.09360713</v>
      </c>
      <c r="E196">
        <v>1737747.7477477479</v>
      </c>
      <c r="F196">
        <v>2341441.4414414428</v>
      </c>
      <c r="G196">
        <v>37</v>
      </c>
      <c r="H196">
        <v>46</v>
      </c>
      <c r="K196">
        <v>58</v>
      </c>
      <c r="L196">
        <v>75</v>
      </c>
      <c r="M196">
        <v>54451531.531531535</v>
      </c>
      <c r="N196">
        <v>62875855.855855852</v>
      </c>
      <c r="O196">
        <v>60109360.360360362</v>
      </c>
      <c r="P196">
        <v>66403909.909909911</v>
      </c>
      <c r="Q196">
        <v>46309639.639639638</v>
      </c>
      <c r="R196">
        <v>55067567.567567565</v>
      </c>
      <c r="S196">
        <v>4614</v>
      </c>
      <c r="T196">
        <v>4779</v>
      </c>
    </row>
    <row r="197" spans="1:20" x14ac:dyDescent="0.35">
      <c r="A197" s="7" t="s">
        <v>287</v>
      </c>
      <c r="B197" s="12" t="s">
        <v>284</v>
      </c>
      <c r="C197">
        <v>146821873.5721153</v>
      </c>
      <c r="D197">
        <v>155335097.37479407</v>
      </c>
      <c r="E197">
        <v>614414.414414417</v>
      </c>
      <c r="F197">
        <v>737837.83783783799</v>
      </c>
      <c r="G197">
        <v>12</v>
      </c>
      <c r="H197">
        <v>8</v>
      </c>
      <c r="K197">
        <v>13</v>
      </c>
      <c r="L197">
        <v>9</v>
      </c>
      <c r="M197">
        <v>31981261.261261266</v>
      </c>
      <c r="N197">
        <v>12992792.792792792</v>
      </c>
      <c r="O197">
        <v>27541486.486486487</v>
      </c>
      <c r="P197">
        <v>31504774.774774775</v>
      </c>
      <c r="Q197">
        <v>30820180.180180181</v>
      </c>
      <c r="R197">
        <v>10367927.927927928</v>
      </c>
      <c r="S197">
        <v>2491</v>
      </c>
      <c r="T197">
        <v>2524</v>
      </c>
    </row>
    <row r="198" spans="1:20" x14ac:dyDescent="0.35">
      <c r="A198" s="7" t="s">
        <v>288</v>
      </c>
      <c r="B198" s="12" t="s">
        <v>284</v>
      </c>
      <c r="C198">
        <v>74247833.183756113</v>
      </c>
      <c r="D198">
        <v>76841522.806904078</v>
      </c>
      <c r="E198">
        <v>456756.75675675902</v>
      </c>
      <c r="F198">
        <v>1267567.567567568</v>
      </c>
      <c r="G198">
        <v>1</v>
      </c>
      <c r="H198">
        <v>1</v>
      </c>
      <c r="K198">
        <v>2</v>
      </c>
      <c r="L198">
        <v>1</v>
      </c>
      <c r="M198">
        <v>12672972.972972972</v>
      </c>
      <c r="N198">
        <v>12388288.288288288</v>
      </c>
      <c r="O198">
        <v>13474252.252252253</v>
      </c>
      <c r="P198">
        <v>16089783.783783784</v>
      </c>
      <c r="Q198">
        <v>12340810.810810812</v>
      </c>
      <c r="R198">
        <v>9744054.0540540516</v>
      </c>
      <c r="S198">
        <v>1336</v>
      </c>
      <c r="T198">
        <v>1456</v>
      </c>
    </row>
    <row r="199" spans="1:20" x14ac:dyDescent="0.35">
      <c r="A199" s="7" t="s">
        <v>289</v>
      </c>
      <c r="B199" s="12" t="s">
        <v>284</v>
      </c>
      <c r="C199">
        <v>11925958.310512997</v>
      </c>
      <c r="D199">
        <v>11877336.989862287</v>
      </c>
      <c r="E199">
        <v>370270.27027027</v>
      </c>
      <c r="F199">
        <v>619819.81981982</v>
      </c>
      <c r="M199">
        <v>19847747.747747749</v>
      </c>
      <c r="N199">
        <v>9055855.8558558561</v>
      </c>
      <c r="O199">
        <v>1774243.2432432431</v>
      </c>
      <c r="P199">
        <v>2607738.7387387389</v>
      </c>
      <c r="Q199">
        <v>19450450.45045045</v>
      </c>
      <c r="R199">
        <v>6527027.0270270268</v>
      </c>
      <c r="S199">
        <v>351</v>
      </c>
      <c r="T199">
        <v>274</v>
      </c>
    </row>
    <row r="200" spans="1:20" x14ac:dyDescent="0.35">
      <c r="A200" s="7" t="s">
        <v>290</v>
      </c>
      <c r="B200" s="12" t="s">
        <v>291</v>
      </c>
      <c r="C200">
        <v>149560418.46765652</v>
      </c>
      <c r="D200">
        <v>155560519.03885227</v>
      </c>
      <c r="E200">
        <v>133333.33333333401</v>
      </c>
      <c r="F200">
        <v>153153.15315315401</v>
      </c>
      <c r="G200">
        <v>42</v>
      </c>
      <c r="H200">
        <v>21</v>
      </c>
      <c r="K200">
        <v>45</v>
      </c>
      <c r="L200">
        <v>23</v>
      </c>
      <c r="M200">
        <v>639639.63963963999</v>
      </c>
      <c r="N200">
        <v>2333333.333333334</v>
      </c>
      <c r="O200">
        <v>13989362.162162162</v>
      </c>
      <c r="P200">
        <v>18037192.792792793</v>
      </c>
      <c r="Q200">
        <v>844594.59459459502</v>
      </c>
      <c r="R200">
        <v>1449549.5495495501</v>
      </c>
      <c r="S200">
        <v>4176</v>
      </c>
      <c r="T200">
        <v>4544</v>
      </c>
    </row>
    <row r="201" spans="1:20" x14ac:dyDescent="0.35">
      <c r="A201" s="7" t="s">
        <v>292</v>
      </c>
      <c r="B201" s="12" t="s">
        <v>148</v>
      </c>
      <c r="C201">
        <v>354264934.20312494</v>
      </c>
      <c r="D201">
        <v>323059237.15648633</v>
      </c>
      <c r="E201">
        <v>406442932.43243247</v>
      </c>
      <c r="F201">
        <v>456856182.88288289</v>
      </c>
      <c r="G201">
        <v>89</v>
      </c>
      <c r="H201">
        <v>108</v>
      </c>
      <c r="I201">
        <v>1</v>
      </c>
      <c r="K201">
        <v>103</v>
      </c>
      <c r="L201">
        <v>127</v>
      </c>
      <c r="M201">
        <v>144154920.72072071</v>
      </c>
      <c r="N201">
        <v>166670418.91891891</v>
      </c>
      <c r="O201">
        <v>139642081.08108109</v>
      </c>
      <c r="P201">
        <v>130190738.73873873</v>
      </c>
      <c r="Q201">
        <v>129690270.27027027</v>
      </c>
      <c r="R201">
        <v>141266666.66666669</v>
      </c>
      <c r="S201">
        <v>7549</v>
      </c>
      <c r="T201">
        <v>7614</v>
      </c>
    </row>
    <row r="202" spans="1:20" x14ac:dyDescent="0.35">
      <c r="A202" s="7" t="s">
        <v>293</v>
      </c>
      <c r="B202" s="12" t="s">
        <v>294</v>
      </c>
      <c r="C202">
        <v>168255629.60394946</v>
      </c>
      <c r="D202">
        <v>179749352.64738065</v>
      </c>
      <c r="E202">
        <v>1402702.702702703</v>
      </c>
      <c r="F202">
        <v>4690540.5405405406</v>
      </c>
      <c r="G202">
        <v>18</v>
      </c>
      <c r="H202">
        <v>7</v>
      </c>
      <c r="K202">
        <v>22</v>
      </c>
      <c r="L202">
        <v>13</v>
      </c>
      <c r="M202">
        <v>41182972.972972974</v>
      </c>
      <c r="N202">
        <v>41006846.846846849</v>
      </c>
      <c r="O202">
        <v>23077774.774774775</v>
      </c>
      <c r="P202">
        <v>25573720.72072072</v>
      </c>
      <c r="Q202">
        <v>42807207.20720721</v>
      </c>
      <c r="R202">
        <v>41348288.288288288</v>
      </c>
      <c r="S202">
        <v>3468</v>
      </c>
      <c r="T202">
        <v>3457</v>
      </c>
    </row>
    <row r="203" spans="1:20" x14ac:dyDescent="0.35">
      <c r="A203" s="7" t="s">
        <v>295</v>
      </c>
      <c r="B203" s="12" t="s">
        <v>291</v>
      </c>
      <c r="C203">
        <v>37471815.27801124</v>
      </c>
      <c r="D203">
        <v>42801733.853600025</v>
      </c>
      <c r="E203">
        <v>833333.33333333302</v>
      </c>
      <c r="F203">
        <v>909909.90990991006</v>
      </c>
      <c r="G203">
        <v>8</v>
      </c>
      <c r="H203">
        <v>7</v>
      </c>
      <c r="K203">
        <v>8</v>
      </c>
      <c r="L203">
        <v>8</v>
      </c>
      <c r="M203">
        <v>2681081.0810810812</v>
      </c>
      <c r="N203">
        <v>1878378.3783783789</v>
      </c>
      <c r="O203">
        <v>5444592.7927927934</v>
      </c>
      <c r="P203">
        <v>4975387.3873873875</v>
      </c>
      <c r="Q203">
        <v>2290000</v>
      </c>
      <c r="R203">
        <v>1972432.432432432</v>
      </c>
      <c r="S203">
        <v>1223</v>
      </c>
      <c r="T203">
        <v>1277</v>
      </c>
    </row>
    <row r="204" spans="1:20" x14ac:dyDescent="0.35">
      <c r="A204" s="7" t="s">
        <v>296</v>
      </c>
      <c r="B204" s="12" t="s">
        <v>53</v>
      </c>
      <c r="C204">
        <v>488164002.67039365</v>
      </c>
      <c r="D204">
        <v>496081274.05412632</v>
      </c>
      <c r="E204">
        <v>6832432.4324324364</v>
      </c>
      <c r="F204">
        <v>8699297.2972973026</v>
      </c>
      <c r="G204">
        <v>142</v>
      </c>
      <c r="H204">
        <v>195</v>
      </c>
      <c r="K204">
        <v>209</v>
      </c>
      <c r="L204">
        <v>339</v>
      </c>
      <c r="M204">
        <v>266355675.67567569</v>
      </c>
      <c r="N204">
        <v>91279477.477477476</v>
      </c>
      <c r="O204">
        <v>133566873.87387387</v>
      </c>
      <c r="P204">
        <v>137352270.27027026</v>
      </c>
      <c r="Q204">
        <v>282963243.24324322</v>
      </c>
      <c r="R204">
        <v>87891441.441441447</v>
      </c>
      <c r="S204">
        <v>11673</v>
      </c>
      <c r="T204">
        <v>11913</v>
      </c>
    </row>
    <row r="205" spans="1:20" x14ac:dyDescent="0.35">
      <c r="A205" s="7" t="s">
        <v>297</v>
      </c>
      <c r="B205" s="12" t="s">
        <v>170</v>
      </c>
      <c r="C205">
        <v>138449320.01490155</v>
      </c>
      <c r="D205">
        <v>165961505.73231569</v>
      </c>
      <c r="E205">
        <v>86486.486486487003</v>
      </c>
      <c r="F205">
        <v>93243.243243243996</v>
      </c>
      <c r="G205">
        <v>21</v>
      </c>
      <c r="H205">
        <v>13</v>
      </c>
      <c r="K205">
        <v>28</v>
      </c>
      <c r="L205">
        <v>14</v>
      </c>
      <c r="M205">
        <v>10627027.027027028</v>
      </c>
      <c r="N205">
        <v>7363513.5135135138</v>
      </c>
      <c r="O205">
        <v>31080486.486486487</v>
      </c>
      <c r="P205">
        <v>43978774.774774775</v>
      </c>
      <c r="Q205">
        <v>8904144.1441441439</v>
      </c>
      <c r="R205">
        <v>8600900.9009009004</v>
      </c>
      <c r="S205">
        <v>3415</v>
      </c>
      <c r="T205">
        <v>4544</v>
      </c>
    </row>
    <row r="206" spans="1:20" x14ac:dyDescent="0.35">
      <c r="A206" s="7" t="s">
        <v>298</v>
      </c>
      <c r="B206" s="12" t="s">
        <v>170</v>
      </c>
      <c r="C206">
        <v>190060424.77911577</v>
      </c>
      <c r="D206">
        <v>149384311.40606812</v>
      </c>
      <c r="E206">
        <v>694261.261261262</v>
      </c>
      <c r="F206">
        <v>116216.216216217</v>
      </c>
      <c r="G206">
        <v>31</v>
      </c>
      <c r="H206">
        <v>21</v>
      </c>
      <c r="K206">
        <v>34</v>
      </c>
      <c r="L206">
        <v>24</v>
      </c>
      <c r="M206">
        <v>1841349054.0540543</v>
      </c>
      <c r="N206">
        <v>1830764864.8648648</v>
      </c>
      <c r="O206">
        <v>66953342.342342347</v>
      </c>
      <c r="P206">
        <v>62915783.783783786</v>
      </c>
      <c r="Q206">
        <v>1827176479.2792795</v>
      </c>
      <c r="R206">
        <v>1820808363.963964</v>
      </c>
      <c r="S206">
        <v>2878</v>
      </c>
      <c r="T206">
        <v>2709</v>
      </c>
    </row>
    <row r="207" spans="1:20" x14ac:dyDescent="0.35">
      <c r="A207" s="7" t="s">
        <v>299</v>
      </c>
      <c r="B207" s="12" t="s">
        <v>90</v>
      </c>
      <c r="C207">
        <v>558118291.39306056</v>
      </c>
      <c r="D207">
        <v>579729600.33292174</v>
      </c>
      <c r="E207">
        <v>8156622.5225225314</v>
      </c>
      <c r="F207">
        <v>3051351.3513513589</v>
      </c>
      <c r="G207">
        <v>109</v>
      </c>
      <c r="H207">
        <v>60</v>
      </c>
      <c r="I207">
        <v>2</v>
      </c>
      <c r="K207">
        <v>210</v>
      </c>
      <c r="L207">
        <v>74</v>
      </c>
      <c r="M207">
        <v>37722285.585585587</v>
      </c>
      <c r="N207">
        <v>582576441.44144142</v>
      </c>
      <c r="O207">
        <v>109596090.0900901</v>
      </c>
      <c r="P207">
        <v>124046306.3063063</v>
      </c>
      <c r="Q207">
        <v>35013873.873873875</v>
      </c>
      <c r="R207">
        <v>444854909.9099099</v>
      </c>
      <c r="S207">
        <v>10744</v>
      </c>
      <c r="T207">
        <v>11104</v>
      </c>
    </row>
    <row r="208" spans="1:20" x14ac:dyDescent="0.35">
      <c r="A208" s="7" t="s">
        <v>300</v>
      </c>
      <c r="B208" s="12" t="s">
        <v>135</v>
      </c>
      <c r="C208">
        <v>309419654.81835979</v>
      </c>
      <c r="D208">
        <v>347066226.66918337</v>
      </c>
      <c r="E208">
        <v>2067567.5675675699</v>
      </c>
      <c r="F208">
        <v>3147747.7477477528</v>
      </c>
      <c r="G208">
        <v>72</v>
      </c>
      <c r="H208">
        <v>75</v>
      </c>
      <c r="K208">
        <v>92</v>
      </c>
      <c r="L208">
        <v>109</v>
      </c>
      <c r="M208">
        <v>22621621.62162162</v>
      </c>
      <c r="N208">
        <v>41167567.567567565</v>
      </c>
      <c r="O208">
        <v>37858945.945945941</v>
      </c>
      <c r="P208">
        <v>50360646.846846849</v>
      </c>
      <c r="Q208">
        <v>19740630.630630627</v>
      </c>
      <c r="R208">
        <v>34144774.774774782</v>
      </c>
      <c r="S208">
        <v>6877</v>
      </c>
      <c r="T208">
        <v>7042</v>
      </c>
    </row>
    <row r="209" spans="1:20" x14ac:dyDescent="0.35">
      <c r="A209" s="7" t="s">
        <v>301</v>
      </c>
      <c r="B209" s="12" t="s">
        <v>291</v>
      </c>
      <c r="C209">
        <v>210365437.55724224</v>
      </c>
      <c r="D209">
        <v>213953665.57152009</v>
      </c>
      <c r="E209">
        <v>192154613.51351351</v>
      </c>
      <c r="F209">
        <v>168599468.46846849</v>
      </c>
      <c r="G209">
        <v>70</v>
      </c>
      <c r="H209">
        <v>63</v>
      </c>
      <c r="K209">
        <v>78</v>
      </c>
      <c r="L209">
        <v>71</v>
      </c>
      <c r="M209">
        <v>37750939.639639638</v>
      </c>
      <c r="N209">
        <v>46933571.171171173</v>
      </c>
      <c r="O209">
        <v>29901200.9009009</v>
      </c>
      <c r="P209">
        <v>34481864.864864863</v>
      </c>
      <c r="Q209">
        <v>15274234.234234232</v>
      </c>
      <c r="R209">
        <v>24645405.405405402</v>
      </c>
      <c r="S209">
        <v>4411</v>
      </c>
      <c r="T209">
        <v>4375</v>
      </c>
    </row>
    <row r="210" spans="1:20" x14ac:dyDescent="0.35">
      <c r="A210" s="7" t="s">
        <v>302</v>
      </c>
      <c r="B210" s="12" t="s">
        <v>81</v>
      </c>
      <c r="C210">
        <v>310297404.15496767</v>
      </c>
      <c r="D210">
        <v>315496263.29899019</v>
      </c>
      <c r="E210">
        <v>89506981.981981978</v>
      </c>
      <c r="F210">
        <v>97757387.387387395</v>
      </c>
      <c r="G210">
        <v>53</v>
      </c>
      <c r="H210">
        <v>22</v>
      </c>
      <c r="I210">
        <v>5</v>
      </c>
      <c r="K210">
        <v>57</v>
      </c>
      <c r="L210">
        <v>30</v>
      </c>
      <c r="M210">
        <v>51146396.396396391</v>
      </c>
      <c r="N210">
        <v>41209736.936936937</v>
      </c>
      <c r="O210">
        <v>64985682.882882878</v>
      </c>
      <c r="P210">
        <v>71899729.729729727</v>
      </c>
      <c r="Q210">
        <v>45849279.279279277</v>
      </c>
      <c r="R210">
        <v>32733063.063063063</v>
      </c>
      <c r="S210">
        <v>5719</v>
      </c>
      <c r="T210">
        <v>5481</v>
      </c>
    </row>
    <row r="211" spans="1:20" x14ac:dyDescent="0.35">
      <c r="A211" s="7" t="s">
        <v>303</v>
      </c>
      <c r="B211" s="12" t="s">
        <v>73</v>
      </c>
      <c r="C211">
        <v>471616991.55478841</v>
      </c>
      <c r="D211">
        <v>503585269.66052407</v>
      </c>
      <c r="E211">
        <v>1318918.9189189209</v>
      </c>
      <c r="F211">
        <v>953153.15315315896</v>
      </c>
      <c r="G211">
        <v>117</v>
      </c>
      <c r="H211">
        <v>59</v>
      </c>
      <c r="I211">
        <v>2</v>
      </c>
      <c r="K211">
        <v>125</v>
      </c>
      <c r="L211">
        <v>68</v>
      </c>
      <c r="M211">
        <v>26943243.243243244</v>
      </c>
      <c r="N211">
        <v>39790990.990990989</v>
      </c>
      <c r="O211">
        <v>70110207.207207203</v>
      </c>
      <c r="P211">
        <v>80600700.9009009</v>
      </c>
      <c r="Q211">
        <v>24446306.306306306</v>
      </c>
      <c r="R211">
        <v>28347657.657657657</v>
      </c>
      <c r="S211">
        <v>9071</v>
      </c>
      <c r="T211">
        <v>9113</v>
      </c>
    </row>
    <row r="212" spans="1:20" x14ac:dyDescent="0.35">
      <c r="A212" s="7" t="s">
        <v>304</v>
      </c>
      <c r="B212" s="12" t="s">
        <v>305</v>
      </c>
      <c r="C212">
        <v>1649449.6172186909</v>
      </c>
      <c r="D212">
        <v>1956815.9152186171</v>
      </c>
      <c r="O212">
        <v>651441.44144144095</v>
      </c>
      <c r="P212">
        <v>356162.16216216201</v>
      </c>
      <c r="S212">
        <v>62</v>
      </c>
      <c r="T212">
        <v>69</v>
      </c>
    </row>
    <row r="213" spans="1:20" x14ac:dyDescent="0.35">
      <c r="A213" s="7" t="s">
        <v>672</v>
      </c>
      <c r="B213" s="12" t="s">
        <v>305</v>
      </c>
      <c r="E213">
        <v>115669927.92792794</v>
      </c>
      <c r="F213">
        <v>143908643.24324325</v>
      </c>
      <c r="M213">
        <v>44594.594594595001</v>
      </c>
      <c r="N213">
        <v>81081.081081081007</v>
      </c>
    </row>
    <row r="214" spans="1:20" x14ac:dyDescent="0.35">
      <c r="A214" s="7" t="s">
        <v>306</v>
      </c>
      <c r="B214" s="12" t="s">
        <v>118</v>
      </c>
      <c r="C214">
        <v>61615112.514237069</v>
      </c>
      <c r="D214">
        <v>63075347.738435373</v>
      </c>
      <c r="E214">
        <v>308108.10810810601</v>
      </c>
      <c r="F214">
        <v>909009.00900900899</v>
      </c>
      <c r="G214">
        <v>20</v>
      </c>
      <c r="H214">
        <v>12</v>
      </c>
      <c r="K214">
        <v>39</v>
      </c>
      <c r="L214">
        <v>19</v>
      </c>
      <c r="M214">
        <v>3283243.243243244</v>
      </c>
      <c r="N214">
        <v>4247747.7477477463</v>
      </c>
      <c r="O214">
        <v>27186081.081081081</v>
      </c>
      <c r="P214">
        <v>25447693.693693697</v>
      </c>
      <c r="Q214">
        <v>3187747.7477477472</v>
      </c>
      <c r="R214">
        <v>3603873.8738738722</v>
      </c>
      <c r="S214">
        <v>1744</v>
      </c>
      <c r="T214">
        <v>1688</v>
      </c>
    </row>
    <row r="215" spans="1:20" x14ac:dyDescent="0.35">
      <c r="A215" s="7" t="s">
        <v>307</v>
      </c>
      <c r="B215" s="12" t="s">
        <v>308</v>
      </c>
      <c r="C215">
        <v>79259373.354699254</v>
      </c>
      <c r="D215">
        <v>75596745.899397537</v>
      </c>
      <c r="E215">
        <v>405054954.95495492</v>
      </c>
      <c r="F215">
        <v>424949369.36936933</v>
      </c>
      <c r="G215">
        <v>40</v>
      </c>
      <c r="H215">
        <v>26</v>
      </c>
      <c r="K215">
        <v>46</v>
      </c>
      <c r="L215">
        <v>34</v>
      </c>
      <c r="M215">
        <v>2362837.8378378372</v>
      </c>
      <c r="N215">
        <v>7676171.1711711707</v>
      </c>
      <c r="O215">
        <v>42365990.990990989</v>
      </c>
      <c r="P215">
        <v>39317378.378378376</v>
      </c>
      <c r="Q215">
        <v>1177387.3873873879</v>
      </c>
      <c r="R215">
        <v>1555225.225225226</v>
      </c>
      <c r="S215">
        <v>4342</v>
      </c>
      <c r="T215">
        <v>4319</v>
      </c>
    </row>
    <row r="216" spans="1:20" x14ac:dyDescent="0.35">
      <c r="A216" s="7" t="s">
        <v>309</v>
      </c>
      <c r="B216" s="12" t="s">
        <v>141</v>
      </c>
      <c r="C216">
        <v>497997022.86560476</v>
      </c>
      <c r="D216">
        <v>522669922.94952828</v>
      </c>
      <c r="E216">
        <v>2212162.1621621698</v>
      </c>
      <c r="F216">
        <v>3444144.1441441481</v>
      </c>
      <c r="G216">
        <v>77</v>
      </c>
      <c r="H216">
        <v>39</v>
      </c>
      <c r="I216">
        <v>4</v>
      </c>
      <c r="K216">
        <v>93</v>
      </c>
      <c r="L216">
        <v>44</v>
      </c>
      <c r="M216">
        <v>92258108.108108118</v>
      </c>
      <c r="N216">
        <v>98802792.792792797</v>
      </c>
      <c r="O216">
        <v>111342175.67567568</v>
      </c>
      <c r="P216">
        <v>121833241.44144145</v>
      </c>
      <c r="Q216">
        <v>51405045.045045048</v>
      </c>
      <c r="R216">
        <v>56244144.144144148</v>
      </c>
      <c r="S216">
        <v>8003</v>
      </c>
      <c r="T216">
        <v>9040</v>
      </c>
    </row>
    <row r="217" spans="1:20" x14ac:dyDescent="0.35">
      <c r="A217" s="7" t="s">
        <v>310</v>
      </c>
      <c r="B217" s="12" t="s">
        <v>133</v>
      </c>
      <c r="C217">
        <v>492693970.37361455</v>
      </c>
      <c r="D217">
        <v>476662808.10268921</v>
      </c>
      <c r="E217">
        <v>3604504.504504506</v>
      </c>
      <c r="F217">
        <v>2855855.8558558561</v>
      </c>
      <c r="G217">
        <v>142</v>
      </c>
      <c r="H217">
        <v>96</v>
      </c>
      <c r="K217">
        <v>160</v>
      </c>
      <c r="L217">
        <v>107</v>
      </c>
      <c r="M217">
        <v>19856756.756756756</v>
      </c>
      <c r="N217">
        <v>17607432.432432432</v>
      </c>
      <c r="O217">
        <v>132174936.93693694</v>
      </c>
      <c r="P217">
        <v>142929288.2882883</v>
      </c>
      <c r="Q217">
        <v>16731441.441441447</v>
      </c>
      <c r="R217">
        <v>14879324.324324325</v>
      </c>
      <c r="S217">
        <v>11911</v>
      </c>
      <c r="T217">
        <v>11944</v>
      </c>
    </row>
    <row r="218" spans="1:20" x14ac:dyDescent="0.35">
      <c r="A218" s="7" t="s">
        <v>311</v>
      </c>
      <c r="B218" s="12" t="s">
        <v>73</v>
      </c>
      <c r="C218">
        <v>803146994.99684894</v>
      </c>
      <c r="D218">
        <v>928139097.84657776</v>
      </c>
      <c r="E218">
        <v>6179504.5045045121</v>
      </c>
      <c r="F218">
        <v>4962162.1621621791</v>
      </c>
      <c r="G218">
        <v>186</v>
      </c>
      <c r="H218">
        <v>90</v>
      </c>
      <c r="I218">
        <v>3</v>
      </c>
      <c r="K218">
        <v>224</v>
      </c>
      <c r="L218">
        <v>102</v>
      </c>
      <c r="M218">
        <v>123587387.38738739</v>
      </c>
      <c r="N218">
        <v>139621621.62162161</v>
      </c>
      <c r="O218">
        <v>202423919.81981981</v>
      </c>
      <c r="P218">
        <v>306251275.67567563</v>
      </c>
      <c r="Q218">
        <v>104475088.2882883</v>
      </c>
      <c r="R218">
        <v>119615495.4954955</v>
      </c>
      <c r="S218">
        <v>16393</v>
      </c>
      <c r="T218">
        <v>16435</v>
      </c>
    </row>
    <row r="219" spans="1:20" x14ac:dyDescent="0.35">
      <c r="A219" s="7" t="s">
        <v>312</v>
      </c>
      <c r="B219" s="12" t="s">
        <v>63</v>
      </c>
      <c r="C219">
        <v>140655490.82068577</v>
      </c>
      <c r="D219">
        <v>141218013.15511015</v>
      </c>
      <c r="E219">
        <v>1684684.6846846871</v>
      </c>
      <c r="F219">
        <v>1523423.4234234239</v>
      </c>
      <c r="G219">
        <v>17</v>
      </c>
      <c r="H219">
        <v>13</v>
      </c>
      <c r="K219">
        <v>18</v>
      </c>
      <c r="L219">
        <v>14</v>
      </c>
      <c r="M219">
        <v>29319459.459459465</v>
      </c>
      <c r="N219">
        <v>29587567.567567568</v>
      </c>
      <c r="O219">
        <v>38940792.79279279</v>
      </c>
      <c r="P219">
        <v>40320927.927927926</v>
      </c>
      <c r="Q219">
        <v>25129189.189189192</v>
      </c>
      <c r="R219">
        <v>27286756.756756756</v>
      </c>
      <c r="S219">
        <v>2236</v>
      </c>
      <c r="T219">
        <v>2268</v>
      </c>
    </row>
    <row r="220" spans="1:20" x14ac:dyDescent="0.35">
      <c r="A220" s="7" t="s">
        <v>313</v>
      </c>
      <c r="B220" s="12" t="s">
        <v>90</v>
      </c>
      <c r="C220">
        <v>48021579.248411566</v>
      </c>
      <c r="D220">
        <v>51350767.302899577</v>
      </c>
      <c r="E220">
        <v>863963.96396396204</v>
      </c>
      <c r="F220">
        <v>1511711.7117117159</v>
      </c>
      <c r="G220">
        <v>13</v>
      </c>
      <c r="H220">
        <v>9</v>
      </c>
      <c r="I220">
        <v>1</v>
      </c>
      <c r="K220">
        <v>16</v>
      </c>
      <c r="L220">
        <v>10</v>
      </c>
      <c r="M220">
        <v>6172612.6126126125</v>
      </c>
      <c r="N220">
        <v>8227027.0270270277</v>
      </c>
      <c r="O220">
        <v>16475342.342342343</v>
      </c>
      <c r="P220">
        <v>18150594.594594598</v>
      </c>
      <c r="Q220">
        <v>6145945.9459459484</v>
      </c>
      <c r="R220">
        <v>7932702.702702703</v>
      </c>
      <c r="S220">
        <v>1262</v>
      </c>
      <c r="T220">
        <v>1169</v>
      </c>
    </row>
    <row r="221" spans="1:20" x14ac:dyDescent="0.35">
      <c r="A221" s="7" t="s">
        <v>314</v>
      </c>
      <c r="B221" s="12" t="s">
        <v>93</v>
      </c>
      <c r="C221">
        <v>21525807.919377752</v>
      </c>
      <c r="D221">
        <v>17931112.571967602</v>
      </c>
      <c r="E221">
        <v>144144.144144144</v>
      </c>
      <c r="F221">
        <v>117117.117117117</v>
      </c>
      <c r="G221">
        <v>4</v>
      </c>
      <c r="H221">
        <v>4</v>
      </c>
      <c r="K221">
        <v>5</v>
      </c>
      <c r="L221">
        <v>4</v>
      </c>
      <c r="M221">
        <v>1360360.36036036</v>
      </c>
      <c r="N221">
        <v>2234242.3423423418</v>
      </c>
      <c r="O221">
        <v>1551936.936936937</v>
      </c>
      <c r="P221">
        <v>1867513.5135135141</v>
      </c>
      <c r="Q221">
        <v>1361261.2612612611</v>
      </c>
      <c r="R221">
        <v>2153153.1531531531</v>
      </c>
      <c r="S221">
        <v>482</v>
      </c>
      <c r="T221">
        <v>864</v>
      </c>
    </row>
    <row r="222" spans="1:20" x14ac:dyDescent="0.35">
      <c r="A222" s="7" t="s">
        <v>315</v>
      </c>
      <c r="B222" s="12" t="s">
        <v>316</v>
      </c>
      <c r="C222">
        <v>164152567.75946462</v>
      </c>
      <c r="D222">
        <v>161724975.92699283</v>
      </c>
      <c r="E222">
        <v>768918.918918918</v>
      </c>
      <c r="F222">
        <v>3123423.4234234262</v>
      </c>
      <c r="G222">
        <v>35</v>
      </c>
      <c r="H222">
        <v>32</v>
      </c>
      <c r="K222">
        <v>37</v>
      </c>
      <c r="L222">
        <v>41</v>
      </c>
      <c r="M222">
        <v>21981081.081081081</v>
      </c>
      <c r="N222">
        <v>39093693.693693697</v>
      </c>
      <c r="O222">
        <v>25003601.801801801</v>
      </c>
      <c r="P222">
        <v>28078351.351351351</v>
      </c>
      <c r="Q222">
        <v>21290360.360360362</v>
      </c>
      <c r="R222">
        <v>28913693.693693694</v>
      </c>
      <c r="S222">
        <v>3286</v>
      </c>
      <c r="T222">
        <v>3607</v>
      </c>
    </row>
    <row r="223" spans="1:20" x14ac:dyDescent="0.35">
      <c r="A223" s="7" t="s">
        <v>317</v>
      </c>
      <c r="B223" s="12" t="s">
        <v>63</v>
      </c>
      <c r="C223">
        <v>276970801.22875208</v>
      </c>
      <c r="D223">
        <v>294310565.5904482</v>
      </c>
      <c r="E223">
        <v>481836343.24324328</v>
      </c>
      <c r="F223">
        <v>705072101.8018018</v>
      </c>
      <c r="G223">
        <v>121</v>
      </c>
      <c r="H223">
        <v>71</v>
      </c>
      <c r="K223">
        <v>190</v>
      </c>
      <c r="L223">
        <v>112</v>
      </c>
      <c r="M223">
        <v>110714949.54954955</v>
      </c>
      <c r="N223">
        <v>103365518.01801802</v>
      </c>
      <c r="O223">
        <v>97192144.144144148</v>
      </c>
      <c r="P223">
        <v>106231684.68468469</v>
      </c>
      <c r="Q223">
        <v>47425675.675675675</v>
      </c>
      <c r="R223">
        <v>48706576.576576576</v>
      </c>
      <c r="S223">
        <v>8637</v>
      </c>
      <c r="T223">
        <v>8939</v>
      </c>
    </row>
    <row r="224" spans="1:20" x14ac:dyDescent="0.35">
      <c r="A224" s="7" t="s">
        <v>318</v>
      </c>
      <c r="B224" s="12" t="s">
        <v>63</v>
      </c>
      <c r="C224">
        <v>256765017.06275618</v>
      </c>
      <c r="D224">
        <v>282209557.77644479</v>
      </c>
      <c r="E224">
        <v>1952252.2522522539</v>
      </c>
      <c r="F224">
        <v>2691891.8918918949</v>
      </c>
      <c r="G224">
        <v>43</v>
      </c>
      <c r="H224">
        <v>11</v>
      </c>
      <c r="K224">
        <v>49</v>
      </c>
      <c r="L224">
        <v>18</v>
      </c>
      <c r="M224">
        <v>37641441.441441439</v>
      </c>
      <c r="N224">
        <v>48791171.171171166</v>
      </c>
      <c r="O224">
        <v>90517540.540540546</v>
      </c>
      <c r="P224">
        <v>99905657.657657668</v>
      </c>
      <c r="Q224">
        <v>36878648.648648649</v>
      </c>
      <c r="R224">
        <v>44192612.612612613</v>
      </c>
      <c r="S224">
        <v>5478</v>
      </c>
      <c r="T224">
        <v>5542</v>
      </c>
    </row>
    <row r="225" spans="1:20" x14ac:dyDescent="0.35">
      <c r="A225" s="7" t="s">
        <v>319</v>
      </c>
      <c r="B225" s="12" t="s">
        <v>79</v>
      </c>
      <c r="C225">
        <v>268667587.59137255</v>
      </c>
      <c r="D225">
        <v>270847014.91172332</v>
      </c>
      <c r="E225">
        <v>5467567.5675675701</v>
      </c>
      <c r="F225">
        <v>6697747.7477477519</v>
      </c>
      <c r="G225">
        <v>111</v>
      </c>
      <c r="H225">
        <v>88</v>
      </c>
      <c r="I225">
        <v>2</v>
      </c>
      <c r="K225">
        <v>156</v>
      </c>
      <c r="L225">
        <v>102</v>
      </c>
      <c r="M225">
        <v>69840990.990990996</v>
      </c>
      <c r="N225">
        <v>80074324.324324325</v>
      </c>
      <c r="O225">
        <v>117810581.08108109</v>
      </c>
      <c r="P225">
        <v>118712025.22522523</v>
      </c>
      <c r="Q225">
        <v>70146036.036036029</v>
      </c>
      <c r="R225">
        <v>73286486.48648648</v>
      </c>
      <c r="S225">
        <v>8546</v>
      </c>
      <c r="T225">
        <v>8923</v>
      </c>
    </row>
    <row r="226" spans="1:20" x14ac:dyDescent="0.35">
      <c r="A226" s="7" t="s">
        <v>320</v>
      </c>
      <c r="B226" s="12" t="s">
        <v>79</v>
      </c>
      <c r="C226">
        <v>161618888.95400381</v>
      </c>
      <c r="D226">
        <v>160837959.37487379</v>
      </c>
      <c r="E226">
        <v>3170270.2702702712</v>
      </c>
      <c r="F226">
        <v>3500900.900900905</v>
      </c>
      <c r="G226">
        <v>80</v>
      </c>
      <c r="H226">
        <v>56</v>
      </c>
      <c r="K226">
        <v>126</v>
      </c>
      <c r="L226">
        <v>102</v>
      </c>
      <c r="M226">
        <v>15566666.666666664</v>
      </c>
      <c r="N226">
        <v>17735135.13513514</v>
      </c>
      <c r="O226">
        <v>61747648.648648649</v>
      </c>
      <c r="P226">
        <v>64586297.297297299</v>
      </c>
      <c r="Q226">
        <v>13709009.009009011</v>
      </c>
      <c r="R226">
        <v>16200270.270270271</v>
      </c>
      <c r="S226">
        <v>5610</v>
      </c>
      <c r="T226">
        <v>5572</v>
      </c>
    </row>
    <row r="227" spans="1:20" x14ac:dyDescent="0.35">
      <c r="A227" s="7" t="s">
        <v>321</v>
      </c>
      <c r="B227" s="12" t="s">
        <v>122</v>
      </c>
      <c r="C227">
        <v>1209686.4817096081</v>
      </c>
      <c r="D227">
        <v>987933.45657627203</v>
      </c>
      <c r="H227">
        <v>2</v>
      </c>
      <c r="L227">
        <v>2</v>
      </c>
      <c r="O227">
        <v>95675.675675676001</v>
      </c>
      <c r="P227">
        <v>353108.10810810799</v>
      </c>
      <c r="S227">
        <v>65</v>
      </c>
      <c r="T227">
        <v>138</v>
      </c>
    </row>
    <row r="228" spans="1:20" x14ac:dyDescent="0.35">
      <c r="A228" s="7" t="s">
        <v>322</v>
      </c>
      <c r="B228" s="12" t="s">
        <v>225</v>
      </c>
      <c r="C228">
        <v>184033343.61946663</v>
      </c>
      <c r="D228">
        <v>194545432.20521456</v>
      </c>
      <c r="E228">
        <v>69369.369369370004</v>
      </c>
      <c r="F228">
        <v>28828.828828828999</v>
      </c>
      <c r="G228">
        <v>46</v>
      </c>
      <c r="H228">
        <v>29</v>
      </c>
      <c r="I228">
        <v>2</v>
      </c>
      <c r="K228">
        <v>52</v>
      </c>
      <c r="L228">
        <v>30</v>
      </c>
      <c r="M228">
        <v>9117297.2972973008</v>
      </c>
      <c r="N228">
        <v>6154954.9549549548</v>
      </c>
      <c r="O228">
        <v>75019890.090090096</v>
      </c>
      <c r="P228">
        <v>83530414.414414421</v>
      </c>
      <c r="Q228">
        <v>9457657.6576576605</v>
      </c>
      <c r="R228">
        <v>7008918.9189189179</v>
      </c>
      <c r="S228">
        <v>3995</v>
      </c>
      <c r="T228">
        <v>5423</v>
      </c>
    </row>
    <row r="229" spans="1:20" x14ac:dyDescent="0.35">
      <c r="A229" s="7" t="s">
        <v>323</v>
      </c>
      <c r="B229" s="12" t="s">
        <v>225</v>
      </c>
      <c r="C229">
        <v>130785501.54993941</v>
      </c>
      <c r="D229">
        <v>147125648.11692962</v>
      </c>
      <c r="E229">
        <v>57657.657657657997</v>
      </c>
      <c r="F229">
        <v>53603.603603604999</v>
      </c>
      <c r="G229">
        <v>10</v>
      </c>
      <c r="H229">
        <v>15</v>
      </c>
      <c r="K229">
        <v>10</v>
      </c>
      <c r="L229">
        <v>23</v>
      </c>
      <c r="M229">
        <v>12781261.26126126</v>
      </c>
      <c r="N229">
        <v>16959009.009009007</v>
      </c>
      <c r="O229">
        <v>40162346.846846849</v>
      </c>
      <c r="P229">
        <v>45675936.936936937</v>
      </c>
      <c r="Q229">
        <v>9685315.3153153155</v>
      </c>
      <c r="R229">
        <v>12727297.297297295</v>
      </c>
      <c r="S229">
        <v>2187</v>
      </c>
      <c r="T229">
        <v>2238</v>
      </c>
    </row>
    <row r="230" spans="1:20" x14ac:dyDescent="0.35">
      <c r="A230" s="7" t="s">
        <v>668</v>
      </c>
      <c r="B230" s="12" t="s">
        <v>95</v>
      </c>
      <c r="T230">
        <v>1</v>
      </c>
    </row>
    <row r="231" spans="1:20" x14ac:dyDescent="0.35">
      <c r="A231" s="7" t="s">
        <v>324</v>
      </c>
      <c r="B231" s="12" t="s">
        <v>79</v>
      </c>
      <c r="C231">
        <v>202233115.19478092</v>
      </c>
      <c r="D231">
        <v>198208509.26516002</v>
      </c>
      <c r="E231">
        <v>1065765.7657657689</v>
      </c>
      <c r="F231">
        <v>1912612.6126126179</v>
      </c>
      <c r="G231">
        <v>126</v>
      </c>
      <c r="H231">
        <v>70</v>
      </c>
      <c r="I231">
        <v>1</v>
      </c>
      <c r="K231">
        <v>157</v>
      </c>
      <c r="L231">
        <v>79</v>
      </c>
      <c r="M231">
        <v>22200900.900900904</v>
      </c>
      <c r="N231">
        <v>26526126.126126129</v>
      </c>
      <c r="O231">
        <v>61023441.441441439</v>
      </c>
      <c r="P231">
        <v>60313018.018018015</v>
      </c>
      <c r="Q231">
        <v>20893783.783783779</v>
      </c>
      <c r="R231">
        <v>23935225.225225225</v>
      </c>
      <c r="S231">
        <v>4565</v>
      </c>
      <c r="T231">
        <v>4518</v>
      </c>
    </row>
    <row r="232" spans="1:20" x14ac:dyDescent="0.35">
      <c r="A232" s="7" t="s">
        <v>325</v>
      </c>
      <c r="B232" s="12" t="s">
        <v>109</v>
      </c>
      <c r="C232">
        <v>1369961659.6966636</v>
      </c>
      <c r="D232">
        <v>1400883999.639914</v>
      </c>
      <c r="E232">
        <v>1823638832.4324324</v>
      </c>
      <c r="F232">
        <v>1190465302.7027025</v>
      </c>
      <c r="G232">
        <v>371</v>
      </c>
      <c r="H232">
        <v>388</v>
      </c>
      <c r="I232">
        <v>4</v>
      </c>
      <c r="K232">
        <v>571</v>
      </c>
      <c r="L232">
        <v>590</v>
      </c>
      <c r="M232">
        <v>568138288.28828824</v>
      </c>
      <c r="N232">
        <v>137902702.7027027</v>
      </c>
      <c r="O232">
        <v>691613792.7927928</v>
      </c>
      <c r="P232">
        <v>699228427.02702713</v>
      </c>
      <c r="Q232">
        <v>120697207.2072072</v>
      </c>
      <c r="R232">
        <v>131319369.36936937</v>
      </c>
      <c r="S232">
        <v>23217</v>
      </c>
      <c r="T232">
        <v>22607</v>
      </c>
    </row>
    <row r="233" spans="1:20" x14ac:dyDescent="0.35">
      <c r="A233" s="7" t="s">
        <v>326</v>
      </c>
      <c r="B233" s="12" t="s">
        <v>225</v>
      </c>
      <c r="C233">
        <v>188465212.01181585</v>
      </c>
      <c r="D233">
        <v>210991086.86229351</v>
      </c>
      <c r="E233">
        <v>577477.47747747798</v>
      </c>
      <c r="F233">
        <v>779279.27927927999</v>
      </c>
      <c r="G233">
        <v>28</v>
      </c>
      <c r="H233">
        <v>38</v>
      </c>
      <c r="K233">
        <v>31</v>
      </c>
      <c r="L233">
        <v>55</v>
      </c>
      <c r="M233">
        <v>17787927.927927926</v>
      </c>
      <c r="N233">
        <v>18085585.585585583</v>
      </c>
      <c r="O233">
        <v>39373630.630630635</v>
      </c>
      <c r="P233">
        <v>49640675.675675683</v>
      </c>
      <c r="Q233">
        <v>16374774.774774771</v>
      </c>
      <c r="R233">
        <v>17769009.009009007</v>
      </c>
      <c r="S233">
        <v>4323</v>
      </c>
      <c r="T233">
        <v>4521</v>
      </c>
    </row>
    <row r="234" spans="1:20" x14ac:dyDescent="0.35">
      <c r="A234" s="7" t="s">
        <v>4</v>
      </c>
      <c r="B234" s="12" t="s">
        <v>159</v>
      </c>
      <c r="C234">
        <v>163083514.76234058</v>
      </c>
      <c r="D234">
        <v>157911553.48545378</v>
      </c>
      <c r="E234">
        <v>2141441.4414414442</v>
      </c>
      <c r="F234">
        <v>2978378.3783783792</v>
      </c>
      <c r="G234">
        <v>13</v>
      </c>
      <c r="H234">
        <v>29</v>
      </c>
      <c r="I234">
        <v>1</v>
      </c>
      <c r="K234">
        <v>17</v>
      </c>
      <c r="L234">
        <v>34</v>
      </c>
      <c r="M234">
        <v>27266666.666666668</v>
      </c>
      <c r="N234">
        <v>57575225.225225225</v>
      </c>
      <c r="O234">
        <v>57452459.459459454</v>
      </c>
      <c r="P234">
        <v>58585198.198198199</v>
      </c>
      <c r="Q234">
        <v>35466936.936936937</v>
      </c>
      <c r="R234">
        <v>48065945.945945941</v>
      </c>
      <c r="S234">
        <v>3580</v>
      </c>
      <c r="T234">
        <v>3713</v>
      </c>
    </row>
    <row r="235" spans="1:20" x14ac:dyDescent="0.35">
      <c r="A235" s="7" t="s">
        <v>327</v>
      </c>
      <c r="B235" s="12" t="s">
        <v>109</v>
      </c>
      <c r="C235">
        <v>759582884.55522716</v>
      </c>
      <c r="D235">
        <v>767520257.97720766</v>
      </c>
      <c r="E235">
        <v>10205336.036036044</v>
      </c>
      <c r="F235">
        <v>70466367.567567572</v>
      </c>
      <c r="G235">
        <v>280</v>
      </c>
      <c r="H235">
        <v>248</v>
      </c>
      <c r="I235">
        <v>1</v>
      </c>
      <c r="K235">
        <v>521</v>
      </c>
      <c r="L235">
        <v>477</v>
      </c>
      <c r="M235">
        <v>558668490.09009016</v>
      </c>
      <c r="N235">
        <v>351449672.97297299</v>
      </c>
      <c r="O235">
        <v>236376515.76576576</v>
      </c>
      <c r="P235">
        <v>235068846.84684685</v>
      </c>
      <c r="Q235">
        <v>103172162.16216215</v>
      </c>
      <c r="R235">
        <v>299591981.98198193</v>
      </c>
      <c r="S235">
        <v>19385</v>
      </c>
      <c r="T235">
        <v>20064</v>
      </c>
    </row>
    <row r="236" spans="1:20" x14ac:dyDescent="0.35">
      <c r="A236" s="7" t="s">
        <v>328</v>
      </c>
      <c r="B236" s="12" t="s">
        <v>79</v>
      </c>
      <c r="C236">
        <v>80040330.886074811</v>
      </c>
      <c r="D236">
        <v>77780022.94681491</v>
      </c>
      <c r="E236">
        <v>538738.73873873998</v>
      </c>
      <c r="F236">
        <v>789189.18918919004</v>
      </c>
      <c r="G236">
        <v>28</v>
      </c>
      <c r="H236">
        <v>28</v>
      </c>
      <c r="K236">
        <v>34</v>
      </c>
      <c r="L236">
        <v>28</v>
      </c>
      <c r="M236">
        <v>5583783.7837837851</v>
      </c>
      <c r="N236">
        <v>8898198.1981981974</v>
      </c>
      <c r="O236">
        <v>25916621.621621624</v>
      </c>
      <c r="P236">
        <v>27256828.828828827</v>
      </c>
      <c r="Q236">
        <v>5785945.9459459446</v>
      </c>
      <c r="R236">
        <v>8791261.261261262</v>
      </c>
      <c r="S236">
        <v>1988</v>
      </c>
      <c r="T236">
        <v>1812</v>
      </c>
    </row>
    <row r="237" spans="1:20" x14ac:dyDescent="0.35">
      <c r="A237" s="7" t="s">
        <v>329</v>
      </c>
      <c r="B237" s="12" t="s">
        <v>122</v>
      </c>
      <c r="C237">
        <v>204184651.46098384</v>
      </c>
      <c r="D237">
        <v>197382859.16095304</v>
      </c>
      <c r="E237">
        <v>975450.45045044995</v>
      </c>
      <c r="F237">
        <v>617117.11711711995</v>
      </c>
      <c r="G237">
        <v>63</v>
      </c>
      <c r="H237">
        <v>73</v>
      </c>
      <c r="I237">
        <v>9</v>
      </c>
      <c r="K237">
        <v>71</v>
      </c>
      <c r="L237">
        <v>80</v>
      </c>
      <c r="M237">
        <v>19162162.162162162</v>
      </c>
      <c r="N237">
        <v>14490990.990990993</v>
      </c>
      <c r="O237">
        <v>32100881.081081081</v>
      </c>
      <c r="P237">
        <v>36204477.477477483</v>
      </c>
      <c r="Q237">
        <v>13782252.252252253</v>
      </c>
      <c r="R237">
        <v>11886396.396396397</v>
      </c>
      <c r="S237">
        <v>3882</v>
      </c>
      <c r="T237">
        <v>3537</v>
      </c>
    </row>
    <row r="238" spans="1:20" x14ac:dyDescent="0.35">
      <c r="A238" s="7" t="s">
        <v>330</v>
      </c>
      <c r="B238" s="12" t="s">
        <v>331</v>
      </c>
      <c r="C238">
        <v>497932506.24603343</v>
      </c>
      <c r="D238">
        <v>480820075.05038458</v>
      </c>
      <c r="E238">
        <v>7049774.7747747768</v>
      </c>
      <c r="F238">
        <v>3222522.5225225319</v>
      </c>
      <c r="G238">
        <v>191</v>
      </c>
      <c r="H238">
        <v>207</v>
      </c>
      <c r="I238">
        <v>25</v>
      </c>
      <c r="K238">
        <v>252</v>
      </c>
      <c r="L238">
        <v>260</v>
      </c>
      <c r="M238">
        <v>74145765.765765756</v>
      </c>
      <c r="N238">
        <v>55499549.54954955</v>
      </c>
      <c r="O238">
        <v>118236398.64864865</v>
      </c>
      <c r="P238">
        <v>111835718.91891891</v>
      </c>
      <c r="Q238">
        <v>68963063.06306307</v>
      </c>
      <c r="R238">
        <v>59740540.540540546</v>
      </c>
      <c r="S238">
        <v>13377</v>
      </c>
      <c r="T238">
        <v>13770</v>
      </c>
    </row>
    <row r="239" spans="1:20" x14ac:dyDescent="0.35">
      <c r="A239" s="7" t="s">
        <v>332</v>
      </c>
      <c r="B239" s="12" t="s">
        <v>291</v>
      </c>
      <c r="C239">
        <v>730298281.8940345</v>
      </c>
      <c r="D239">
        <v>738160755.29400706</v>
      </c>
      <c r="E239">
        <v>4153603.6036036061</v>
      </c>
      <c r="F239">
        <v>2935135.13513515</v>
      </c>
      <c r="G239">
        <v>264</v>
      </c>
      <c r="H239">
        <v>217</v>
      </c>
      <c r="K239">
        <v>393</v>
      </c>
      <c r="L239">
        <v>251</v>
      </c>
      <c r="M239">
        <v>84849549.54954955</v>
      </c>
      <c r="N239">
        <v>72944144.144144148</v>
      </c>
      <c r="O239">
        <v>132405872.07207207</v>
      </c>
      <c r="P239">
        <v>137990565.76576576</v>
      </c>
      <c r="Q239">
        <v>68717387.38738738</v>
      </c>
      <c r="R239">
        <v>82124234.234234244</v>
      </c>
      <c r="S239">
        <v>16932</v>
      </c>
      <c r="T239">
        <v>17009</v>
      </c>
    </row>
    <row r="240" spans="1:20" x14ac:dyDescent="0.35">
      <c r="A240" s="7" t="s">
        <v>333</v>
      </c>
      <c r="B240" s="12" t="s">
        <v>291</v>
      </c>
      <c r="C240">
        <v>555141318.48855996</v>
      </c>
      <c r="D240">
        <v>576363100.60363853</v>
      </c>
      <c r="E240">
        <v>5988288.2882882971</v>
      </c>
      <c r="F240">
        <v>4899099.0990991052</v>
      </c>
      <c r="G240">
        <v>162</v>
      </c>
      <c r="H240">
        <v>180</v>
      </c>
      <c r="I240">
        <v>2</v>
      </c>
      <c r="K240">
        <v>214</v>
      </c>
      <c r="L240">
        <v>299</v>
      </c>
      <c r="M240">
        <v>79831531.531531543</v>
      </c>
      <c r="N240">
        <v>85077027.027027026</v>
      </c>
      <c r="O240">
        <v>148215216.21621624</v>
      </c>
      <c r="P240">
        <v>159606772.97297296</v>
      </c>
      <c r="Q240">
        <v>77863603.603603601</v>
      </c>
      <c r="R240">
        <v>137702612.61261261</v>
      </c>
      <c r="S240">
        <v>14892</v>
      </c>
      <c r="T240">
        <v>14930</v>
      </c>
    </row>
    <row r="241" spans="1:20" x14ac:dyDescent="0.35">
      <c r="A241" s="7" t="s">
        <v>334</v>
      </c>
      <c r="B241" s="12" t="s">
        <v>61</v>
      </c>
      <c r="C241">
        <v>76183923.996586218</v>
      </c>
      <c r="D241">
        <v>76534587.83977662</v>
      </c>
      <c r="E241">
        <v>2315315.3153153169</v>
      </c>
      <c r="F241">
        <v>1336486.4864864871</v>
      </c>
      <c r="G241">
        <v>81</v>
      </c>
      <c r="H241">
        <v>24</v>
      </c>
      <c r="I241">
        <v>2</v>
      </c>
      <c r="K241">
        <v>118</v>
      </c>
      <c r="L241">
        <v>47</v>
      </c>
      <c r="M241">
        <v>33158558.558558561</v>
      </c>
      <c r="N241">
        <v>5255405.4054054059</v>
      </c>
      <c r="O241">
        <v>27267549.54954955</v>
      </c>
      <c r="P241">
        <v>26040927.927927926</v>
      </c>
      <c r="Q241">
        <v>30282252.252252251</v>
      </c>
      <c r="R241">
        <v>3884954.9549549562</v>
      </c>
      <c r="S241">
        <v>1959</v>
      </c>
      <c r="T241">
        <v>1957</v>
      </c>
    </row>
    <row r="242" spans="1:20" x14ac:dyDescent="0.35">
      <c r="A242" s="7" t="s">
        <v>335</v>
      </c>
      <c r="B242" s="12" t="s">
        <v>61</v>
      </c>
      <c r="C242">
        <v>14899112.970209347</v>
      </c>
      <c r="D242">
        <v>17501345.818409741</v>
      </c>
      <c r="E242">
        <v>243243.24324324299</v>
      </c>
      <c r="F242">
        <v>490090.09009009099</v>
      </c>
      <c r="G242">
        <v>6</v>
      </c>
      <c r="H242">
        <v>7</v>
      </c>
      <c r="K242">
        <v>7</v>
      </c>
      <c r="L242">
        <v>10</v>
      </c>
      <c r="M242">
        <v>631981.98198198201</v>
      </c>
      <c r="N242">
        <v>938738.73873873998</v>
      </c>
      <c r="O242">
        <v>8291981.9819819815</v>
      </c>
      <c r="P242">
        <v>8996873.8738738745</v>
      </c>
      <c r="Q242">
        <v>850720.72072072094</v>
      </c>
      <c r="R242">
        <v>999459.45945945894</v>
      </c>
      <c r="S242">
        <v>1039</v>
      </c>
      <c r="T242">
        <v>822</v>
      </c>
    </row>
    <row r="243" spans="1:20" x14ac:dyDescent="0.35">
      <c r="A243" s="7" t="s">
        <v>336</v>
      </c>
      <c r="B243" s="12" t="s">
        <v>122</v>
      </c>
      <c r="C243">
        <v>1659615.9358613479</v>
      </c>
      <c r="D243">
        <v>2023953.638360139</v>
      </c>
      <c r="G243">
        <v>1</v>
      </c>
      <c r="K243">
        <v>1</v>
      </c>
      <c r="L243">
        <v>1</v>
      </c>
      <c r="O243">
        <v>97747.747747747999</v>
      </c>
      <c r="P243">
        <v>495720.720720721</v>
      </c>
      <c r="S243">
        <v>151</v>
      </c>
      <c r="T243">
        <v>161</v>
      </c>
    </row>
    <row r="244" spans="1:20" x14ac:dyDescent="0.35">
      <c r="A244" s="7" t="s">
        <v>337</v>
      </c>
      <c r="B244" s="12" t="s">
        <v>122</v>
      </c>
      <c r="C244">
        <v>2707349.061110748</v>
      </c>
      <c r="D244">
        <v>2792958.940626523</v>
      </c>
      <c r="G244">
        <v>2</v>
      </c>
      <c r="H244">
        <v>1</v>
      </c>
      <c r="K244">
        <v>2</v>
      </c>
      <c r="L244">
        <v>2</v>
      </c>
      <c r="O244">
        <v>537882.88288288296</v>
      </c>
      <c r="P244">
        <v>1103513.5135135141</v>
      </c>
      <c r="S244">
        <v>96</v>
      </c>
      <c r="T244">
        <v>108</v>
      </c>
    </row>
    <row r="245" spans="1:20" x14ac:dyDescent="0.35">
      <c r="A245" s="7" t="s">
        <v>338</v>
      </c>
      <c r="B245" s="12" t="s">
        <v>122</v>
      </c>
      <c r="C245">
        <v>2163531.131896432</v>
      </c>
      <c r="D245">
        <v>2294691.7505407259</v>
      </c>
      <c r="G245">
        <v>1</v>
      </c>
      <c r="K245">
        <v>1</v>
      </c>
      <c r="O245">
        <v>18918.918918919</v>
      </c>
      <c r="P245">
        <v>325450.45045045001</v>
      </c>
      <c r="S245">
        <v>140</v>
      </c>
      <c r="T245">
        <v>130</v>
      </c>
    </row>
    <row r="246" spans="1:20" x14ac:dyDescent="0.35">
      <c r="A246" s="7" t="s">
        <v>339</v>
      </c>
      <c r="B246" s="12" t="s">
        <v>141</v>
      </c>
      <c r="C246">
        <v>831644384.53229952</v>
      </c>
      <c r="D246">
        <v>849388425.13362455</v>
      </c>
      <c r="E246">
        <v>3558558.5585585618</v>
      </c>
      <c r="F246">
        <v>4015315.315315322</v>
      </c>
      <c r="G246">
        <v>293</v>
      </c>
      <c r="H246">
        <v>127</v>
      </c>
      <c r="I246">
        <v>1</v>
      </c>
      <c r="K246">
        <v>333</v>
      </c>
      <c r="L246">
        <v>170</v>
      </c>
      <c r="M246">
        <v>83143063.06306307</v>
      </c>
      <c r="N246">
        <v>93793071.171171173</v>
      </c>
      <c r="O246">
        <v>167799376.57657659</v>
      </c>
      <c r="P246">
        <v>192906084.68468466</v>
      </c>
      <c r="Q246">
        <v>72166846.846846849</v>
      </c>
      <c r="R246">
        <v>79472972.972972974</v>
      </c>
      <c r="S246">
        <v>16197</v>
      </c>
      <c r="T246">
        <v>15922</v>
      </c>
    </row>
    <row r="247" spans="1:20" x14ac:dyDescent="0.35">
      <c r="A247" s="7" t="s">
        <v>340</v>
      </c>
      <c r="B247" s="12" t="s">
        <v>122</v>
      </c>
      <c r="C247">
        <v>129038875.67640221</v>
      </c>
      <c r="D247">
        <v>126661432.04593706</v>
      </c>
      <c r="G247">
        <v>44</v>
      </c>
      <c r="H247">
        <v>41</v>
      </c>
      <c r="K247">
        <v>47</v>
      </c>
      <c r="L247">
        <v>48</v>
      </c>
      <c r="O247">
        <v>8369189.18918919</v>
      </c>
      <c r="P247">
        <v>9260295.4954954963</v>
      </c>
      <c r="S247">
        <v>2539</v>
      </c>
      <c r="T247">
        <v>2384</v>
      </c>
    </row>
    <row r="248" spans="1:20" x14ac:dyDescent="0.35">
      <c r="A248" s="7" t="s">
        <v>341</v>
      </c>
      <c r="B248" s="12" t="s">
        <v>141</v>
      </c>
      <c r="C248">
        <v>441930810.54642844</v>
      </c>
      <c r="D248">
        <v>464870102.9343642</v>
      </c>
      <c r="E248">
        <v>2583333.3333333372</v>
      </c>
      <c r="F248">
        <v>2293693.6936936998</v>
      </c>
      <c r="G248">
        <v>87</v>
      </c>
      <c r="H248">
        <v>53</v>
      </c>
      <c r="I248">
        <v>4</v>
      </c>
      <c r="K248">
        <v>116</v>
      </c>
      <c r="L248">
        <v>65</v>
      </c>
      <c r="M248">
        <v>79715495.495495498</v>
      </c>
      <c r="N248">
        <v>80931036.036036029</v>
      </c>
      <c r="O248">
        <v>132404694.14414415</v>
      </c>
      <c r="P248">
        <v>141456729.72972974</v>
      </c>
      <c r="Q248">
        <v>73790810.810810819</v>
      </c>
      <c r="R248">
        <v>72756891.891891882</v>
      </c>
      <c r="S248">
        <v>9120</v>
      </c>
      <c r="T248">
        <v>8995</v>
      </c>
    </row>
    <row r="249" spans="1:20" x14ac:dyDescent="0.35">
      <c r="A249" s="7" t="s">
        <v>342</v>
      </c>
      <c r="B249" s="12" t="s">
        <v>135</v>
      </c>
      <c r="C249">
        <v>49213124.876497045</v>
      </c>
      <c r="D249">
        <v>45220213.113896795</v>
      </c>
      <c r="E249">
        <v>54054.054054054002</v>
      </c>
      <c r="F249">
        <v>27027.027027028002</v>
      </c>
      <c r="G249">
        <v>12</v>
      </c>
      <c r="H249">
        <v>10</v>
      </c>
      <c r="I249">
        <v>1</v>
      </c>
      <c r="K249">
        <v>13</v>
      </c>
      <c r="L249">
        <v>11</v>
      </c>
      <c r="M249">
        <v>1765765.7657657659</v>
      </c>
      <c r="N249">
        <v>1558558.5585585581</v>
      </c>
      <c r="O249">
        <v>4639783.7837837841</v>
      </c>
      <c r="P249">
        <v>5334513.5135135138</v>
      </c>
      <c r="Q249">
        <v>1248558.558558559</v>
      </c>
      <c r="R249">
        <v>933513.51351351396</v>
      </c>
      <c r="S249">
        <v>1275</v>
      </c>
      <c r="T249">
        <v>1327</v>
      </c>
    </row>
    <row r="250" spans="1:20" x14ac:dyDescent="0.35">
      <c r="A250" s="7" t="s">
        <v>343</v>
      </c>
      <c r="B250" s="12" t="s">
        <v>122</v>
      </c>
      <c r="C250">
        <v>1997395.0016036381</v>
      </c>
      <c r="D250">
        <v>3011644.967977569</v>
      </c>
      <c r="G250">
        <v>10</v>
      </c>
      <c r="H250">
        <v>3</v>
      </c>
      <c r="K250">
        <v>14</v>
      </c>
      <c r="L250">
        <v>4</v>
      </c>
      <c r="O250">
        <v>952882.88288288296</v>
      </c>
      <c r="P250">
        <v>1985810.8108108109</v>
      </c>
      <c r="S250">
        <v>390</v>
      </c>
      <c r="T250">
        <v>367</v>
      </c>
    </row>
    <row r="251" spans="1:20" x14ac:dyDescent="0.35">
      <c r="A251" s="7" t="s">
        <v>5</v>
      </c>
      <c r="B251" s="12" t="s">
        <v>159</v>
      </c>
      <c r="C251">
        <v>171724734.5642744</v>
      </c>
      <c r="D251">
        <v>176393010.40769443</v>
      </c>
      <c r="E251">
        <v>870270.27027027204</v>
      </c>
      <c r="F251">
        <v>128828.82882883</v>
      </c>
      <c r="G251">
        <v>27</v>
      </c>
      <c r="H251">
        <v>20</v>
      </c>
      <c r="I251">
        <v>1</v>
      </c>
      <c r="K251">
        <v>28</v>
      </c>
      <c r="L251">
        <v>25</v>
      </c>
      <c r="M251">
        <v>13427027.027027028</v>
      </c>
      <c r="N251">
        <v>17077477.477477476</v>
      </c>
      <c r="O251">
        <v>72796522.522522524</v>
      </c>
      <c r="P251">
        <v>74797720.720720723</v>
      </c>
      <c r="Q251">
        <v>12312252.252252253</v>
      </c>
      <c r="R251">
        <v>15166846.846846847</v>
      </c>
      <c r="S251">
        <v>2937</v>
      </c>
      <c r="T251">
        <v>3092</v>
      </c>
    </row>
    <row r="252" spans="1:20" x14ac:dyDescent="0.35">
      <c r="A252" s="7" t="s">
        <v>344</v>
      </c>
      <c r="B252" s="12" t="s">
        <v>305</v>
      </c>
      <c r="C252">
        <v>17971359.871414565</v>
      </c>
      <c r="D252">
        <v>28470886.660691835</v>
      </c>
      <c r="E252">
        <v>900900.90090090095</v>
      </c>
      <c r="F252">
        <v>360360.36036036001</v>
      </c>
      <c r="G252">
        <v>12</v>
      </c>
      <c r="H252">
        <v>46</v>
      </c>
      <c r="K252">
        <v>15</v>
      </c>
      <c r="L252">
        <v>58</v>
      </c>
      <c r="M252">
        <v>1351351.351351351</v>
      </c>
      <c r="N252">
        <v>360360.36036036001</v>
      </c>
      <c r="O252">
        <v>2924423.423423423</v>
      </c>
      <c r="P252">
        <v>5912106.3063063063</v>
      </c>
      <c r="Q252">
        <v>256216.21621621601</v>
      </c>
      <c r="R252">
        <v>395495.49549549498</v>
      </c>
      <c r="S252">
        <v>516</v>
      </c>
      <c r="T252">
        <v>595</v>
      </c>
    </row>
    <row r="253" spans="1:20" x14ac:dyDescent="0.35">
      <c r="A253" s="7" t="s">
        <v>345</v>
      </c>
      <c r="B253" s="12" t="s">
        <v>106</v>
      </c>
      <c r="C253">
        <v>348286937.47593361</v>
      </c>
      <c r="D253">
        <v>361343839.61116737</v>
      </c>
      <c r="E253">
        <v>1722972.9729729751</v>
      </c>
      <c r="F253">
        <v>1509009.009009012</v>
      </c>
      <c r="G253">
        <v>61</v>
      </c>
      <c r="H253">
        <v>87</v>
      </c>
      <c r="K253">
        <v>78</v>
      </c>
      <c r="L253">
        <v>98</v>
      </c>
      <c r="M253">
        <v>47759819.819819823</v>
      </c>
      <c r="N253">
        <v>43672522.522522517</v>
      </c>
      <c r="O253">
        <v>85588360.360360354</v>
      </c>
      <c r="P253">
        <v>94473657.657657668</v>
      </c>
      <c r="Q253">
        <v>45304954.954954959</v>
      </c>
      <c r="R253">
        <v>41124144.144144148</v>
      </c>
      <c r="S253">
        <v>5787</v>
      </c>
      <c r="T253">
        <v>6181</v>
      </c>
    </row>
    <row r="254" spans="1:20" x14ac:dyDescent="0.35">
      <c r="A254" s="7" t="s">
        <v>346</v>
      </c>
      <c r="B254" s="12" t="s">
        <v>88</v>
      </c>
      <c r="C254">
        <v>102724046.43649289</v>
      </c>
      <c r="D254">
        <v>105215931.31282856</v>
      </c>
      <c r="E254">
        <v>762162.16216216097</v>
      </c>
      <c r="F254">
        <v>720720.72072072094</v>
      </c>
      <c r="G254">
        <v>46</v>
      </c>
      <c r="H254">
        <v>49</v>
      </c>
      <c r="K254">
        <v>50</v>
      </c>
      <c r="L254">
        <v>55</v>
      </c>
      <c r="M254">
        <v>30563063.063063063</v>
      </c>
      <c r="N254">
        <v>27171171.171171173</v>
      </c>
      <c r="O254">
        <v>27122361.261261258</v>
      </c>
      <c r="P254">
        <v>31886971.171171173</v>
      </c>
      <c r="Q254">
        <v>20455581.981981985</v>
      </c>
      <c r="R254">
        <v>18871261.261261258</v>
      </c>
      <c r="S254">
        <v>2035</v>
      </c>
      <c r="T254">
        <v>2255</v>
      </c>
    </row>
    <row r="255" spans="1:20" x14ac:dyDescent="0.35">
      <c r="A255" s="7" t="s">
        <v>347</v>
      </c>
      <c r="B255" s="12" t="s">
        <v>88</v>
      </c>
      <c r="C255">
        <v>283947967.39058357</v>
      </c>
      <c r="D255">
        <v>277338430.97039795</v>
      </c>
      <c r="E255">
        <v>3290090.0900900918</v>
      </c>
      <c r="F255">
        <v>1626126.1261261329</v>
      </c>
      <c r="G255">
        <v>179</v>
      </c>
      <c r="H255">
        <v>167</v>
      </c>
      <c r="I255">
        <v>4</v>
      </c>
      <c r="K255">
        <v>206</v>
      </c>
      <c r="L255">
        <v>214</v>
      </c>
      <c r="M255">
        <v>28202702.702702705</v>
      </c>
      <c r="N255">
        <v>29509009.009009007</v>
      </c>
      <c r="O255">
        <v>48146800</v>
      </c>
      <c r="P255">
        <v>53572648.648648649</v>
      </c>
      <c r="Q255">
        <v>21450450.45045045</v>
      </c>
      <c r="R255">
        <v>25217657.657657661</v>
      </c>
      <c r="S255">
        <v>5968</v>
      </c>
      <c r="T255">
        <v>6353</v>
      </c>
    </row>
    <row r="256" spans="1:20" x14ac:dyDescent="0.35">
      <c r="A256" s="7" t="s">
        <v>348</v>
      </c>
      <c r="B256" s="12" t="s">
        <v>88</v>
      </c>
      <c r="C256">
        <v>8776623.2940615565</v>
      </c>
      <c r="D256">
        <v>8984901.6422129944</v>
      </c>
      <c r="G256">
        <v>20</v>
      </c>
      <c r="H256">
        <v>6</v>
      </c>
      <c r="K256">
        <v>21</v>
      </c>
      <c r="L256">
        <v>8</v>
      </c>
      <c r="O256">
        <v>3644405.4054054059</v>
      </c>
      <c r="P256">
        <v>4969324.3243243238</v>
      </c>
      <c r="S256">
        <v>839</v>
      </c>
      <c r="T256">
        <v>826</v>
      </c>
    </row>
    <row r="257" spans="1:20" x14ac:dyDescent="0.35">
      <c r="A257" s="7" t="s">
        <v>349</v>
      </c>
      <c r="B257" s="12" t="s">
        <v>88</v>
      </c>
      <c r="C257">
        <v>3963342.9280163678</v>
      </c>
      <c r="D257">
        <v>3118603.2215737961</v>
      </c>
      <c r="G257">
        <v>3</v>
      </c>
      <c r="K257">
        <v>3</v>
      </c>
      <c r="O257">
        <v>1398153.1531531541</v>
      </c>
      <c r="P257">
        <v>914414.41441441397</v>
      </c>
      <c r="S257">
        <v>194</v>
      </c>
      <c r="T257">
        <v>241</v>
      </c>
    </row>
    <row r="258" spans="1:20" x14ac:dyDescent="0.35">
      <c r="A258" s="7" t="s">
        <v>350</v>
      </c>
      <c r="B258" s="12" t="s">
        <v>88</v>
      </c>
      <c r="C258">
        <v>3292035.7503644638</v>
      </c>
      <c r="D258">
        <v>1798077.4314958521</v>
      </c>
      <c r="G258">
        <v>6</v>
      </c>
      <c r="H258">
        <v>5</v>
      </c>
      <c r="K258">
        <v>11</v>
      </c>
      <c r="L258">
        <v>9</v>
      </c>
      <c r="O258">
        <v>1967126.1261261259</v>
      </c>
      <c r="P258">
        <v>1178198.1981981981</v>
      </c>
      <c r="S258">
        <v>523</v>
      </c>
      <c r="T258">
        <v>479</v>
      </c>
    </row>
    <row r="259" spans="1:20" x14ac:dyDescent="0.35">
      <c r="A259" s="7" t="s">
        <v>351</v>
      </c>
      <c r="B259" s="12" t="s">
        <v>88</v>
      </c>
      <c r="C259">
        <v>95244253.980441213</v>
      </c>
      <c r="D259">
        <v>98116803.501128823</v>
      </c>
      <c r="E259">
        <v>160360.36036036201</v>
      </c>
      <c r="F259">
        <v>624324.32432432601</v>
      </c>
      <c r="G259">
        <v>75</v>
      </c>
      <c r="H259">
        <v>44</v>
      </c>
      <c r="I259">
        <v>1</v>
      </c>
      <c r="K259">
        <v>82</v>
      </c>
      <c r="L259">
        <v>54</v>
      </c>
      <c r="M259">
        <v>7884684.6846846836</v>
      </c>
      <c r="N259">
        <v>12146846.846846849</v>
      </c>
      <c r="O259">
        <v>18661283.783783782</v>
      </c>
      <c r="P259">
        <v>22524225.225225225</v>
      </c>
      <c r="Q259">
        <v>5767027.0270270268</v>
      </c>
      <c r="R259">
        <v>9610810.8108108118</v>
      </c>
      <c r="S259">
        <v>1953</v>
      </c>
      <c r="T259">
        <v>2162</v>
      </c>
    </row>
    <row r="260" spans="1:20" x14ac:dyDescent="0.35">
      <c r="A260" s="7" t="s">
        <v>352</v>
      </c>
      <c r="B260" s="12" t="s">
        <v>51</v>
      </c>
      <c r="C260">
        <v>253220939.63635781</v>
      </c>
      <c r="D260">
        <v>241271253.23200914</v>
      </c>
      <c r="E260">
        <v>3225225.225225227</v>
      </c>
      <c r="F260">
        <v>1986486.4864864899</v>
      </c>
      <c r="G260">
        <v>61</v>
      </c>
      <c r="H260">
        <v>99</v>
      </c>
      <c r="K260">
        <v>69</v>
      </c>
      <c r="L260">
        <v>142</v>
      </c>
      <c r="M260">
        <v>43805045.045045048</v>
      </c>
      <c r="N260">
        <v>43116171.171171166</v>
      </c>
      <c r="O260">
        <v>99259905.405405402</v>
      </c>
      <c r="P260">
        <v>101390783.78378378</v>
      </c>
      <c r="Q260">
        <v>39741891.891891897</v>
      </c>
      <c r="R260">
        <v>41938963.963963963</v>
      </c>
      <c r="S260">
        <v>5291</v>
      </c>
      <c r="T260">
        <v>4974</v>
      </c>
    </row>
    <row r="261" spans="1:20" x14ac:dyDescent="0.35">
      <c r="A261" s="7" t="s">
        <v>353</v>
      </c>
      <c r="B261" s="12" t="s">
        <v>124</v>
      </c>
      <c r="C261">
        <v>1531037.5134769219</v>
      </c>
      <c r="D261">
        <v>2716135.4204367902</v>
      </c>
      <c r="G261">
        <v>1</v>
      </c>
      <c r="H261">
        <v>1</v>
      </c>
      <c r="K261">
        <v>1</v>
      </c>
      <c r="L261">
        <v>1</v>
      </c>
      <c r="O261">
        <v>562252.25225225196</v>
      </c>
      <c r="P261">
        <v>826432.43243243196</v>
      </c>
      <c r="S261">
        <v>96</v>
      </c>
      <c r="T261">
        <v>163</v>
      </c>
    </row>
    <row r="262" spans="1:20" x14ac:dyDescent="0.35">
      <c r="A262" s="7" t="s">
        <v>354</v>
      </c>
      <c r="B262" s="12" t="s">
        <v>355</v>
      </c>
      <c r="C262">
        <v>442969146.99688321</v>
      </c>
      <c r="D262">
        <v>466839342.55747831</v>
      </c>
      <c r="E262">
        <v>152319819.81981981</v>
      </c>
      <c r="F262">
        <v>90883847.747747749</v>
      </c>
      <c r="G262">
        <v>387</v>
      </c>
      <c r="H262">
        <v>374</v>
      </c>
      <c r="K262">
        <v>547</v>
      </c>
      <c r="L262">
        <v>391</v>
      </c>
      <c r="M262">
        <v>286526981.98198199</v>
      </c>
      <c r="N262">
        <v>248459973.87387386</v>
      </c>
      <c r="O262">
        <v>264563639.63963965</v>
      </c>
      <c r="P262">
        <v>274629288.2882883</v>
      </c>
      <c r="Q262">
        <v>287271891.8918919</v>
      </c>
      <c r="R262">
        <v>215974954.95495495</v>
      </c>
      <c r="S262">
        <v>9506</v>
      </c>
      <c r="T262">
        <v>10106</v>
      </c>
    </row>
    <row r="263" spans="1:20" x14ac:dyDescent="0.35">
      <c r="A263" s="7" t="s">
        <v>356</v>
      </c>
      <c r="B263" s="12" t="s">
        <v>49</v>
      </c>
      <c r="C263">
        <v>302827814.81924415</v>
      </c>
      <c r="D263">
        <v>350286107.31122464</v>
      </c>
      <c r="E263">
        <v>909009.00900900899</v>
      </c>
      <c r="F263">
        <v>288288.28828828898</v>
      </c>
      <c r="G263">
        <v>24</v>
      </c>
      <c r="H263">
        <v>9</v>
      </c>
      <c r="K263">
        <v>26</v>
      </c>
      <c r="L263">
        <v>10</v>
      </c>
      <c r="M263">
        <v>1654954.9549549541</v>
      </c>
      <c r="N263">
        <v>434234.23423423601</v>
      </c>
      <c r="O263">
        <v>23240441.441441439</v>
      </c>
      <c r="P263">
        <v>28507648.648648649</v>
      </c>
      <c r="Q263">
        <v>1844684.684684684</v>
      </c>
      <c r="R263">
        <v>632522.52252252505</v>
      </c>
      <c r="S263">
        <v>5511</v>
      </c>
      <c r="T263">
        <v>5938</v>
      </c>
    </row>
    <row r="264" spans="1:20" x14ac:dyDescent="0.35">
      <c r="A264" s="7" t="s">
        <v>357</v>
      </c>
      <c r="B264" s="12" t="s">
        <v>124</v>
      </c>
      <c r="C264">
        <v>319971406.78116876</v>
      </c>
      <c r="D264">
        <v>339870926.36997497</v>
      </c>
      <c r="E264">
        <v>158130630.63063061</v>
      </c>
      <c r="F264">
        <v>378863963.96396399</v>
      </c>
      <c r="G264">
        <v>76</v>
      </c>
      <c r="H264">
        <v>60</v>
      </c>
      <c r="K264">
        <v>77</v>
      </c>
      <c r="L264">
        <v>66</v>
      </c>
      <c r="M264">
        <v>10740360.36036036</v>
      </c>
      <c r="N264">
        <v>14183513.513513513</v>
      </c>
      <c r="O264">
        <v>69678081.081081077</v>
      </c>
      <c r="P264">
        <v>83297351.351351365</v>
      </c>
      <c r="Q264">
        <v>8872072.0720720701</v>
      </c>
      <c r="R264">
        <v>13185315.315315315</v>
      </c>
      <c r="S264">
        <v>5285</v>
      </c>
      <c r="T264">
        <v>5391</v>
      </c>
    </row>
    <row r="265" spans="1:20" x14ac:dyDescent="0.35">
      <c r="A265" s="7" t="s">
        <v>358</v>
      </c>
      <c r="B265" s="12" t="s">
        <v>63</v>
      </c>
      <c r="C265">
        <v>180846686.61735535</v>
      </c>
      <c r="D265">
        <v>190577886.28022343</v>
      </c>
      <c r="E265">
        <v>2326126.1261261269</v>
      </c>
      <c r="F265">
        <v>1481081.0810810849</v>
      </c>
      <c r="G265">
        <v>33</v>
      </c>
      <c r="H265">
        <v>7</v>
      </c>
      <c r="K265">
        <v>37</v>
      </c>
      <c r="L265">
        <v>8</v>
      </c>
      <c r="M265">
        <v>30683063.063063063</v>
      </c>
      <c r="N265">
        <v>44253423.423423424</v>
      </c>
      <c r="O265">
        <v>50977675.675675683</v>
      </c>
      <c r="P265">
        <v>59970036.036036029</v>
      </c>
      <c r="Q265">
        <v>31882792.792792793</v>
      </c>
      <c r="R265">
        <v>23724774.774774775</v>
      </c>
      <c r="S265">
        <v>3776</v>
      </c>
      <c r="T265">
        <v>3867</v>
      </c>
    </row>
    <row r="266" spans="1:20" x14ac:dyDescent="0.35">
      <c r="A266" s="7" t="s">
        <v>359</v>
      </c>
      <c r="B266" s="12" t="s">
        <v>316</v>
      </c>
      <c r="C266">
        <v>5700181.1803168757</v>
      </c>
      <c r="D266">
        <v>12002871.762081033</v>
      </c>
      <c r="G266">
        <v>10</v>
      </c>
      <c r="H266">
        <v>13</v>
      </c>
      <c r="K266">
        <v>11</v>
      </c>
      <c r="L266">
        <v>13</v>
      </c>
      <c r="O266">
        <v>2316846.8468468469</v>
      </c>
      <c r="P266">
        <v>6340180.1801801799</v>
      </c>
      <c r="S266">
        <v>3</v>
      </c>
      <c r="T266">
        <v>566</v>
      </c>
    </row>
    <row r="267" spans="1:20" x14ac:dyDescent="0.35">
      <c r="A267" s="7" t="s">
        <v>360</v>
      </c>
      <c r="B267" s="12" t="s">
        <v>316</v>
      </c>
      <c r="C267">
        <v>181910974.35199642</v>
      </c>
      <c r="D267">
        <v>149977564.16722411</v>
      </c>
      <c r="E267">
        <v>166868409.90990993</v>
      </c>
      <c r="F267">
        <v>192476590.990991</v>
      </c>
      <c r="G267">
        <v>46</v>
      </c>
      <c r="H267">
        <v>21</v>
      </c>
      <c r="K267">
        <v>52</v>
      </c>
      <c r="L267">
        <v>27</v>
      </c>
      <c r="M267">
        <v>36933693.693693697</v>
      </c>
      <c r="N267">
        <v>54479279.279279277</v>
      </c>
      <c r="O267">
        <v>66684360.360360362</v>
      </c>
      <c r="P267">
        <v>62658081.081081077</v>
      </c>
      <c r="Q267">
        <v>36607297.297297299</v>
      </c>
      <c r="R267">
        <v>39702342.342342347</v>
      </c>
      <c r="S267">
        <v>3088</v>
      </c>
      <c r="T267">
        <v>3166</v>
      </c>
    </row>
    <row r="268" spans="1:20" x14ac:dyDescent="0.35">
      <c r="A268" s="7" t="s">
        <v>361</v>
      </c>
      <c r="B268" s="12" t="s">
        <v>93</v>
      </c>
      <c r="C268">
        <v>333474225.2030524</v>
      </c>
      <c r="D268">
        <v>336034268.42728841</v>
      </c>
      <c r="E268">
        <v>7289189.1891891891</v>
      </c>
      <c r="F268">
        <v>5008558.5585585609</v>
      </c>
      <c r="G268">
        <v>181</v>
      </c>
      <c r="H268">
        <v>70</v>
      </c>
      <c r="I268">
        <v>2</v>
      </c>
      <c r="K268">
        <v>216</v>
      </c>
      <c r="L268">
        <v>98</v>
      </c>
      <c r="M268">
        <v>77485045.045045033</v>
      </c>
      <c r="N268">
        <v>66360360.360360362</v>
      </c>
      <c r="O268">
        <v>100292493.6936937</v>
      </c>
      <c r="P268">
        <v>100474459.45945945</v>
      </c>
      <c r="Q268">
        <v>73343196.396396399</v>
      </c>
      <c r="R268">
        <v>62273243.24324324</v>
      </c>
      <c r="S268">
        <v>6560</v>
      </c>
      <c r="T268">
        <v>6789</v>
      </c>
    </row>
    <row r="269" spans="1:20" x14ac:dyDescent="0.35">
      <c r="A269" s="7" t="s">
        <v>362</v>
      </c>
      <c r="B269" s="12" t="s">
        <v>59</v>
      </c>
      <c r="C269">
        <v>656108210.6868</v>
      </c>
      <c r="D269">
        <v>685552608.04140532</v>
      </c>
      <c r="E269">
        <v>15012612.612612616</v>
      </c>
      <c r="F269">
        <v>19225225.225225233</v>
      </c>
      <c r="G269">
        <v>111</v>
      </c>
      <c r="H269">
        <v>227</v>
      </c>
      <c r="K269">
        <v>120</v>
      </c>
      <c r="L269">
        <v>247</v>
      </c>
      <c r="M269">
        <v>30468468.468468472</v>
      </c>
      <c r="N269">
        <v>65072072.072072074</v>
      </c>
      <c r="O269">
        <v>103692882.88288288</v>
      </c>
      <c r="P269">
        <v>125593216.21621622</v>
      </c>
      <c r="Q269">
        <v>26107297.297297295</v>
      </c>
      <c r="R269">
        <v>58412612.612612613</v>
      </c>
      <c r="S269">
        <v>12887</v>
      </c>
      <c r="T269">
        <v>13016</v>
      </c>
    </row>
    <row r="270" spans="1:20" x14ac:dyDescent="0.35">
      <c r="A270" s="7" t="s">
        <v>363</v>
      </c>
      <c r="B270" s="12" t="s">
        <v>49</v>
      </c>
      <c r="C270">
        <v>231947479.17179456</v>
      </c>
      <c r="D270">
        <v>254182444.0380609</v>
      </c>
      <c r="E270">
        <v>466666.66666666599</v>
      </c>
      <c r="F270">
        <v>793693.69369369501</v>
      </c>
      <c r="G270">
        <v>14</v>
      </c>
      <c r="H270">
        <v>7</v>
      </c>
      <c r="K270">
        <v>16</v>
      </c>
      <c r="L270">
        <v>9</v>
      </c>
      <c r="M270">
        <v>30860540.540540535</v>
      </c>
      <c r="N270">
        <v>13087387.387387389</v>
      </c>
      <c r="O270">
        <v>38115261.261261262</v>
      </c>
      <c r="P270">
        <v>47202702.702702701</v>
      </c>
      <c r="Q270">
        <v>27624144.144144144</v>
      </c>
      <c r="R270">
        <v>14636126.126126127</v>
      </c>
      <c r="S270">
        <v>3715</v>
      </c>
      <c r="T270">
        <v>3755</v>
      </c>
    </row>
    <row r="271" spans="1:20" x14ac:dyDescent="0.35">
      <c r="A271" s="7" t="s">
        <v>364</v>
      </c>
      <c r="B271" s="12" t="s">
        <v>53</v>
      </c>
      <c r="C271">
        <v>98361659.357434049</v>
      </c>
      <c r="D271">
        <v>96948975.268575415</v>
      </c>
      <c r="E271">
        <v>272072.072072073</v>
      </c>
      <c r="F271">
        <v>974774.774774777</v>
      </c>
      <c r="G271">
        <v>63</v>
      </c>
      <c r="H271">
        <v>11</v>
      </c>
      <c r="K271">
        <v>68</v>
      </c>
      <c r="L271">
        <v>15</v>
      </c>
      <c r="M271">
        <v>2254054.054054053</v>
      </c>
      <c r="N271">
        <v>5783783.7837837832</v>
      </c>
      <c r="O271">
        <v>48405000</v>
      </c>
      <c r="P271">
        <v>46569324.324324317</v>
      </c>
      <c r="Q271">
        <v>2492072.072072071</v>
      </c>
      <c r="R271">
        <v>5588558.5585585563</v>
      </c>
      <c r="S271">
        <v>2367</v>
      </c>
      <c r="T271">
        <v>2280</v>
      </c>
    </row>
    <row r="272" spans="1:20" x14ac:dyDescent="0.35">
      <c r="A272" s="7" t="s">
        <v>365</v>
      </c>
      <c r="B272" s="12" t="s">
        <v>53</v>
      </c>
      <c r="C272">
        <v>75693234.937976614</v>
      </c>
      <c r="D272">
        <v>75806918.30343017</v>
      </c>
      <c r="E272">
        <v>2707207.2072072099</v>
      </c>
      <c r="F272">
        <v>2150900.9009009008</v>
      </c>
      <c r="G272">
        <v>84</v>
      </c>
      <c r="H272">
        <v>41</v>
      </c>
      <c r="K272">
        <v>208</v>
      </c>
      <c r="L272">
        <v>112</v>
      </c>
      <c r="M272">
        <v>7635135.1351351347</v>
      </c>
      <c r="N272">
        <v>13970720.72072072</v>
      </c>
      <c r="O272">
        <v>42235342.342342347</v>
      </c>
      <c r="P272">
        <v>42077468.468468465</v>
      </c>
      <c r="Q272">
        <v>12530180.180180181</v>
      </c>
      <c r="R272">
        <v>12776756.756756756</v>
      </c>
      <c r="S272">
        <v>2297</v>
      </c>
      <c r="T272">
        <v>2342</v>
      </c>
    </row>
    <row r="273" spans="1:20" x14ac:dyDescent="0.35">
      <c r="A273" s="7" t="s">
        <v>366</v>
      </c>
      <c r="B273" s="12" t="s">
        <v>53</v>
      </c>
      <c r="C273">
        <v>858629657.11015975</v>
      </c>
      <c r="D273">
        <v>854058188.01973927</v>
      </c>
      <c r="E273">
        <v>334270104.5045045</v>
      </c>
      <c r="F273">
        <v>356115688.2882883</v>
      </c>
      <c r="G273">
        <v>311</v>
      </c>
      <c r="H273">
        <v>337</v>
      </c>
      <c r="I273">
        <v>3</v>
      </c>
      <c r="K273">
        <v>499</v>
      </c>
      <c r="L273">
        <v>633</v>
      </c>
      <c r="M273">
        <v>50424331.531531535</v>
      </c>
      <c r="N273">
        <v>539195945.94594598</v>
      </c>
      <c r="O273">
        <v>316486836.93693697</v>
      </c>
      <c r="P273">
        <v>319061621.62162161</v>
      </c>
      <c r="Q273">
        <v>71000720.720720723</v>
      </c>
      <c r="R273">
        <v>80611351.351351351</v>
      </c>
      <c r="S273">
        <v>20565</v>
      </c>
      <c r="T273">
        <v>20455</v>
      </c>
    </row>
    <row r="274" spans="1:20" x14ac:dyDescent="0.35">
      <c r="A274" s="7" t="s">
        <v>367</v>
      </c>
      <c r="B274" s="12" t="s">
        <v>294</v>
      </c>
      <c r="C274">
        <v>493427953.15196449</v>
      </c>
      <c r="D274">
        <v>506096846.79868764</v>
      </c>
      <c r="E274">
        <v>99653016.216216207</v>
      </c>
      <c r="F274">
        <v>125912181.08108108</v>
      </c>
      <c r="G274">
        <v>290</v>
      </c>
      <c r="H274">
        <v>62</v>
      </c>
      <c r="K274">
        <v>338</v>
      </c>
      <c r="L274">
        <v>212</v>
      </c>
      <c r="M274">
        <v>62654594.59459459</v>
      </c>
      <c r="N274">
        <v>93532612.612612605</v>
      </c>
      <c r="O274">
        <v>162651588.2882883</v>
      </c>
      <c r="P274">
        <v>165097266.66666666</v>
      </c>
      <c r="Q274">
        <v>56166216.216216214</v>
      </c>
      <c r="R274">
        <v>76350270.270270273</v>
      </c>
      <c r="S274">
        <v>11023</v>
      </c>
      <c r="T274">
        <v>10901</v>
      </c>
    </row>
    <row r="275" spans="1:20" x14ac:dyDescent="0.35">
      <c r="A275" s="7" t="s">
        <v>368</v>
      </c>
      <c r="B275" s="12" t="s">
        <v>369</v>
      </c>
      <c r="C275">
        <v>208378538.74404535</v>
      </c>
      <c r="D275">
        <v>210974847.73536113</v>
      </c>
      <c r="E275">
        <v>1840540.5405405429</v>
      </c>
      <c r="F275">
        <v>6711261.2612612629</v>
      </c>
      <c r="G275">
        <v>48</v>
      </c>
      <c r="H275">
        <v>31</v>
      </c>
      <c r="K275">
        <v>64</v>
      </c>
      <c r="L275">
        <v>35</v>
      </c>
      <c r="M275">
        <v>60980810.810810804</v>
      </c>
      <c r="N275">
        <v>80995135.135135129</v>
      </c>
      <c r="O275">
        <v>89236477.477477476</v>
      </c>
      <c r="P275">
        <v>91375917.117117122</v>
      </c>
      <c r="Q275">
        <v>64973693.69369369</v>
      </c>
      <c r="R275">
        <v>80131801.801801801</v>
      </c>
      <c r="S275">
        <v>3811</v>
      </c>
      <c r="T275">
        <v>3770</v>
      </c>
    </row>
    <row r="276" spans="1:20" x14ac:dyDescent="0.35">
      <c r="A276" s="7" t="s">
        <v>370</v>
      </c>
      <c r="B276" s="12" t="s">
        <v>71</v>
      </c>
      <c r="C276">
        <v>60857799.156390198</v>
      </c>
      <c r="D276">
        <v>62779098.715936139</v>
      </c>
      <c r="E276">
        <v>75802985.585585579</v>
      </c>
      <c r="F276">
        <v>122804361.26126127</v>
      </c>
      <c r="G276">
        <v>41</v>
      </c>
      <c r="H276">
        <v>26</v>
      </c>
      <c r="K276">
        <v>48</v>
      </c>
      <c r="L276">
        <v>45</v>
      </c>
      <c r="M276">
        <v>49933343.24324324</v>
      </c>
      <c r="N276">
        <v>57574010.810810819</v>
      </c>
      <c r="O276">
        <v>20798342.342342343</v>
      </c>
      <c r="P276">
        <v>20509387.387387387</v>
      </c>
      <c r="Q276">
        <v>13327747.747747747</v>
      </c>
      <c r="R276">
        <v>13573783.783783784</v>
      </c>
      <c r="S276">
        <v>1236</v>
      </c>
      <c r="T276">
        <v>1225</v>
      </c>
    </row>
    <row r="277" spans="1:20" x14ac:dyDescent="0.35">
      <c r="A277" s="7" t="s">
        <v>371</v>
      </c>
      <c r="B277" s="12" t="s">
        <v>51</v>
      </c>
      <c r="C277">
        <v>127030547.6737</v>
      </c>
      <c r="D277">
        <v>112121077.27192466</v>
      </c>
      <c r="E277">
        <v>1186486.486486488</v>
      </c>
      <c r="F277">
        <v>1571621.621621622</v>
      </c>
      <c r="G277">
        <v>27</v>
      </c>
      <c r="H277">
        <v>19</v>
      </c>
      <c r="K277">
        <v>30</v>
      </c>
      <c r="L277">
        <v>21</v>
      </c>
      <c r="M277">
        <v>10169549.54954955</v>
      </c>
      <c r="N277">
        <v>12812702.702702705</v>
      </c>
      <c r="O277">
        <v>57335774.774774775</v>
      </c>
      <c r="P277">
        <v>50023666.666666664</v>
      </c>
      <c r="Q277">
        <v>9569459.4594594594</v>
      </c>
      <c r="R277">
        <v>10829189.189189188</v>
      </c>
      <c r="S277">
        <v>2733</v>
      </c>
      <c r="T277">
        <v>2468</v>
      </c>
    </row>
    <row r="278" spans="1:20" x14ac:dyDescent="0.35">
      <c r="A278" s="7" t="s">
        <v>372</v>
      </c>
      <c r="B278" s="12" t="s">
        <v>122</v>
      </c>
      <c r="C278">
        <v>125386726.64196721</v>
      </c>
      <c r="D278">
        <v>115519497.72090852</v>
      </c>
      <c r="E278">
        <v>922522.52252252295</v>
      </c>
      <c r="F278">
        <v>729729.72972973296</v>
      </c>
      <c r="G278">
        <v>52</v>
      </c>
      <c r="H278">
        <v>59</v>
      </c>
      <c r="K278">
        <v>66</v>
      </c>
      <c r="L278">
        <v>69</v>
      </c>
      <c r="M278">
        <v>6306306.3063063063</v>
      </c>
      <c r="N278">
        <v>3477477.4774774779</v>
      </c>
      <c r="O278">
        <v>13041252.252252253</v>
      </c>
      <c r="P278">
        <v>13407468.468468469</v>
      </c>
      <c r="Q278">
        <v>4637387.3873873856</v>
      </c>
      <c r="R278">
        <v>3564774.7747747749</v>
      </c>
      <c r="S278">
        <v>2741</v>
      </c>
      <c r="T278">
        <v>2843</v>
      </c>
    </row>
    <row r="279" spans="1:20" x14ac:dyDescent="0.35">
      <c r="A279" s="7" t="s">
        <v>373</v>
      </c>
      <c r="B279" s="12" t="s">
        <v>374</v>
      </c>
      <c r="C279">
        <v>284698198.84914249</v>
      </c>
      <c r="D279">
        <v>287892842.29982156</v>
      </c>
      <c r="E279">
        <v>32121484.684684686</v>
      </c>
      <c r="F279">
        <v>69190873.873873875</v>
      </c>
      <c r="G279">
        <v>45</v>
      </c>
      <c r="H279">
        <v>24</v>
      </c>
      <c r="K279">
        <v>48</v>
      </c>
      <c r="L279">
        <v>28</v>
      </c>
      <c r="M279">
        <v>63225945.945945941</v>
      </c>
      <c r="N279">
        <v>89638423.423423424</v>
      </c>
      <c r="O279">
        <v>108022342.34234233</v>
      </c>
      <c r="P279">
        <v>117815932.43243243</v>
      </c>
      <c r="Q279">
        <v>54758198.198198192</v>
      </c>
      <c r="R279">
        <v>63071036.036036029</v>
      </c>
      <c r="S279">
        <v>9757</v>
      </c>
      <c r="T279">
        <v>10241</v>
      </c>
    </row>
    <row r="280" spans="1:20" x14ac:dyDescent="0.35">
      <c r="A280" s="7" t="s">
        <v>375</v>
      </c>
      <c r="B280" s="12" t="s">
        <v>67</v>
      </c>
      <c r="C280">
        <v>212196556.97568932</v>
      </c>
      <c r="D280">
        <v>226837636.86741662</v>
      </c>
      <c r="E280">
        <v>9733333.3333333358</v>
      </c>
      <c r="F280">
        <v>9851351.3513513561</v>
      </c>
      <c r="G280">
        <v>84</v>
      </c>
      <c r="H280">
        <v>43</v>
      </c>
      <c r="K280">
        <v>102</v>
      </c>
      <c r="L280">
        <v>48</v>
      </c>
      <c r="M280">
        <v>184618468.46846849</v>
      </c>
      <c r="N280">
        <v>261978603.60360357</v>
      </c>
      <c r="O280">
        <v>78079252.252252251</v>
      </c>
      <c r="P280">
        <v>86995189.189189181</v>
      </c>
      <c r="Q280">
        <v>153076846.84684685</v>
      </c>
      <c r="R280">
        <v>140351216.21621621</v>
      </c>
      <c r="S280">
        <v>7152</v>
      </c>
      <c r="T280">
        <v>7191</v>
      </c>
    </row>
    <row r="281" spans="1:20" x14ac:dyDescent="0.35">
      <c r="A281" s="7" t="s">
        <v>376</v>
      </c>
      <c r="B281" s="12" t="s">
        <v>355</v>
      </c>
      <c r="C281">
        <v>317380446.86991656</v>
      </c>
      <c r="D281">
        <v>325677413.76495034</v>
      </c>
      <c r="E281">
        <v>2674774.7747747782</v>
      </c>
      <c r="F281">
        <v>3705405.4054054078</v>
      </c>
      <c r="G281">
        <v>474</v>
      </c>
      <c r="H281">
        <v>335</v>
      </c>
      <c r="K281">
        <v>484</v>
      </c>
      <c r="L281">
        <v>352</v>
      </c>
      <c r="M281">
        <v>68684594.594594598</v>
      </c>
      <c r="N281">
        <v>70738828.828828827</v>
      </c>
      <c r="O281">
        <v>197099027.02702704</v>
      </c>
      <c r="P281">
        <v>190145711.7117117</v>
      </c>
      <c r="Q281">
        <v>74790990.990990996</v>
      </c>
      <c r="R281">
        <v>63220630.630630635</v>
      </c>
      <c r="S281">
        <v>6861</v>
      </c>
      <c r="T281">
        <v>6828</v>
      </c>
    </row>
    <row r="282" spans="1:20" x14ac:dyDescent="0.35">
      <c r="A282" s="7" t="s">
        <v>377</v>
      </c>
      <c r="B282" s="12" t="s">
        <v>67</v>
      </c>
      <c r="C282">
        <v>122781744.9990606</v>
      </c>
      <c r="D282">
        <v>126586466.05245656</v>
      </c>
      <c r="E282">
        <v>1160360.3603603609</v>
      </c>
      <c r="F282">
        <v>2030180.1801801799</v>
      </c>
      <c r="G282">
        <v>53</v>
      </c>
      <c r="H282">
        <v>19</v>
      </c>
      <c r="K282">
        <v>63</v>
      </c>
      <c r="L282">
        <v>26</v>
      </c>
      <c r="M282">
        <v>10068468.468468469</v>
      </c>
      <c r="N282">
        <v>13551126.126126125</v>
      </c>
      <c r="O282">
        <v>58126851.351351351</v>
      </c>
      <c r="P282">
        <v>57473549.54954955</v>
      </c>
      <c r="Q282">
        <v>13778288.288288286</v>
      </c>
      <c r="R282">
        <v>15712207.207207208</v>
      </c>
      <c r="S282">
        <v>5013</v>
      </c>
      <c r="T282">
        <v>5585</v>
      </c>
    </row>
    <row r="283" spans="1:20" x14ac:dyDescent="0.35">
      <c r="A283" s="7" t="s">
        <v>378</v>
      </c>
      <c r="B283" s="12" t="s">
        <v>261</v>
      </c>
      <c r="C283">
        <v>101966157.60654508</v>
      </c>
      <c r="D283">
        <v>101831338.65905856</v>
      </c>
      <c r="E283">
        <v>13513.513513514001</v>
      </c>
      <c r="F283">
        <v>432432.43243243301</v>
      </c>
      <c r="G283">
        <v>8</v>
      </c>
      <c r="H283">
        <v>24</v>
      </c>
      <c r="K283">
        <v>8</v>
      </c>
      <c r="L283">
        <v>31</v>
      </c>
      <c r="M283">
        <v>6454954.9549549539</v>
      </c>
      <c r="N283">
        <v>7656756.7567567574</v>
      </c>
      <c r="O283">
        <v>16931324.324324325</v>
      </c>
      <c r="P283">
        <v>23585689.189189188</v>
      </c>
      <c r="Q283">
        <v>2965405.405405405</v>
      </c>
      <c r="R283">
        <v>5211171.1711711697</v>
      </c>
      <c r="S283">
        <v>1543</v>
      </c>
      <c r="T283">
        <v>1598</v>
      </c>
    </row>
    <row r="284" spans="1:20" x14ac:dyDescent="0.35">
      <c r="A284" s="7" t="s">
        <v>379</v>
      </c>
      <c r="B284" s="12" t="s">
        <v>355</v>
      </c>
      <c r="C284">
        <v>266933168.20489299</v>
      </c>
      <c r="D284">
        <v>260226481.93267241</v>
      </c>
      <c r="E284">
        <v>245483765.76576576</v>
      </c>
      <c r="F284">
        <v>208935945.94594595</v>
      </c>
      <c r="G284">
        <v>59</v>
      </c>
      <c r="H284">
        <v>71</v>
      </c>
      <c r="K284">
        <v>60</v>
      </c>
      <c r="L284">
        <v>80</v>
      </c>
      <c r="M284">
        <v>52036846.846846849</v>
      </c>
      <c r="N284">
        <v>50955855.855855852</v>
      </c>
      <c r="O284">
        <v>149223753.15315315</v>
      </c>
      <c r="P284">
        <v>143123936.93693694</v>
      </c>
      <c r="Q284">
        <v>51327567.567567565</v>
      </c>
      <c r="R284">
        <v>49240990.990990989</v>
      </c>
      <c r="S284">
        <v>4760</v>
      </c>
      <c r="T284">
        <v>4670</v>
      </c>
    </row>
    <row r="285" spans="1:20" x14ac:dyDescent="0.35">
      <c r="A285" s="7" t="s">
        <v>380</v>
      </c>
      <c r="B285" s="12" t="s">
        <v>88</v>
      </c>
      <c r="C285">
        <v>7162475.1008363487</v>
      </c>
      <c r="D285">
        <v>6804444.7106978428</v>
      </c>
      <c r="G285">
        <v>2</v>
      </c>
      <c r="H285">
        <v>3</v>
      </c>
      <c r="K285">
        <v>3</v>
      </c>
      <c r="L285">
        <v>4</v>
      </c>
      <c r="O285">
        <v>378513.51351351402</v>
      </c>
      <c r="P285">
        <v>1371621.6216216211</v>
      </c>
      <c r="S285">
        <v>143</v>
      </c>
      <c r="T285">
        <v>199</v>
      </c>
    </row>
    <row r="286" spans="1:20" x14ac:dyDescent="0.35">
      <c r="A286" s="7" t="s">
        <v>381</v>
      </c>
      <c r="B286" s="12" t="s">
        <v>88</v>
      </c>
      <c r="C286">
        <v>10439805.666128173</v>
      </c>
      <c r="D286">
        <v>9034706.3858769704</v>
      </c>
      <c r="G286">
        <v>20</v>
      </c>
      <c r="H286">
        <v>23</v>
      </c>
      <c r="K286">
        <v>22</v>
      </c>
      <c r="L286">
        <v>28</v>
      </c>
      <c r="O286">
        <v>1300729.7297297299</v>
      </c>
      <c r="P286">
        <v>1797792.7927927929</v>
      </c>
      <c r="S286">
        <v>390</v>
      </c>
      <c r="T286">
        <v>338</v>
      </c>
    </row>
    <row r="287" spans="1:20" x14ac:dyDescent="0.35">
      <c r="A287" s="7" t="s">
        <v>382</v>
      </c>
      <c r="B287" s="12" t="s">
        <v>81</v>
      </c>
      <c r="C287">
        <v>1794135375.0524964</v>
      </c>
      <c r="D287">
        <v>1824015800.3509357</v>
      </c>
      <c r="E287">
        <v>1036664019.8198198</v>
      </c>
      <c r="F287">
        <v>701969094.5945946</v>
      </c>
      <c r="G287">
        <v>711</v>
      </c>
      <c r="H287">
        <v>423</v>
      </c>
      <c r="I287">
        <v>12</v>
      </c>
      <c r="K287">
        <v>843</v>
      </c>
      <c r="L287">
        <v>666</v>
      </c>
      <c r="M287">
        <v>293995045.04504508</v>
      </c>
      <c r="N287">
        <v>549720923.42342341</v>
      </c>
      <c r="O287">
        <v>466837270.72072071</v>
      </c>
      <c r="P287">
        <v>519520174.77477479</v>
      </c>
      <c r="Q287">
        <v>264087837.83783782</v>
      </c>
      <c r="R287">
        <v>249691351.35135135</v>
      </c>
      <c r="S287">
        <v>36718</v>
      </c>
      <c r="T287">
        <v>36800</v>
      </c>
    </row>
    <row r="288" spans="1:20" x14ac:dyDescent="0.35">
      <c r="A288" s="7" t="s">
        <v>383</v>
      </c>
      <c r="B288" s="12" t="s">
        <v>81</v>
      </c>
      <c r="C288">
        <v>491371079.46141589</v>
      </c>
      <c r="D288">
        <v>480972545.35027009</v>
      </c>
      <c r="E288">
        <v>6102027.0270270314</v>
      </c>
      <c r="F288">
        <v>5372972.9729729798</v>
      </c>
      <c r="G288">
        <v>159</v>
      </c>
      <c r="H288">
        <v>171</v>
      </c>
      <c r="I288">
        <v>1</v>
      </c>
      <c r="K288">
        <v>211</v>
      </c>
      <c r="L288">
        <v>294</v>
      </c>
      <c r="M288">
        <v>100044144.14414415</v>
      </c>
      <c r="N288">
        <v>117877477.47747748</v>
      </c>
      <c r="O288">
        <v>203683041.8918919</v>
      </c>
      <c r="P288">
        <v>209751827.92792794</v>
      </c>
      <c r="Q288">
        <v>84936526.126126125</v>
      </c>
      <c r="R288">
        <v>107130133.33333333</v>
      </c>
      <c r="S288">
        <v>9964</v>
      </c>
      <c r="T288">
        <v>9464</v>
      </c>
    </row>
    <row r="289" spans="1:20" x14ac:dyDescent="0.35">
      <c r="A289" s="7" t="s">
        <v>384</v>
      </c>
      <c r="B289" s="12" t="s">
        <v>81</v>
      </c>
      <c r="C289">
        <v>617962465.3466574</v>
      </c>
      <c r="D289">
        <v>642694600.49910498</v>
      </c>
      <c r="E289">
        <v>749168.46846847096</v>
      </c>
      <c r="F289">
        <v>1763063.0630630639</v>
      </c>
      <c r="G289">
        <v>87</v>
      </c>
      <c r="H289">
        <v>46</v>
      </c>
      <c r="I289">
        <v>2</v>
      </c>
      <c r="K289">
        <v>95</v>
      </c>
      <c r="L289">
        <v>56</v>
      </c>
      <c r="M289">
        <v>52813112.612612605</v>
      </c>
      <c r="N289">
        <v>38734234.234234229</v>
      </c>
      <c r="O289">
        <v>125386981.98198198</v>
      </c>
      <c r="P289">
        <v>140633430.63063061</v>
      </c>
      <c r="Q289">
        <v>50828018.018018015</v>
      </c>
      <c r="R289">
        <v>41185405.40540541</v>
      </c>
      <c r="S289">
        <v>9350</v>
      </c>
      <c r="T289">
        <v>9432</v>
      </c>
    </row>
    <row r="290" spans="1:20" x14ac:dyDescent="0.35">
      <c r="A290" s="7" t="s">
        <v>385</v>
      </c>
      <c r="B290" s="12" t="s">
        <v>69</v>
      </c>
      <c r="C290">
        <v>271242306.75574303</v>
      </c>
      <c r="D290">
        <v>258804099.14830872</v>
      </c>
      <c r="E290">
        <v>1083783.7837837851</v>
      </c>
      <c r="F290">
        <v>1655855.855855861</v>
      </c>
      <c r="G290">
        <v>58</v>
      </c>
      <c r="H290">
        <v>29</v>
      </c>
      <c r="K290">
        <v>62</v>
      </c>
      <c r="L290">
        <v>40</v>
      </c>
      <c r="M290">
        <v>11104054.054054054</v>
      </c>
      <c r="N290">
        <v>13459459.459459459</v>
      </c>
      <c r="O290">
        <v>38615918.918918923</v>
      </c>
      <c r="P290">
        <v>38370419.819819815</v>
      </c>
      <c r="Q290">
        <v>9556306.3063063063</v>
      </c>
      <c r="R290">
        <v>10724234.234234234</v>
      </c>
      <c r="S290">
        <v>5192</v>
      </c>
      <c r="T290">
        <v>5058</v>
      </c>
    </row>
    <row r="291" spans="1:20" x14ac:dyDescent="0.35">
      <c r="A291" s="7" t="s">
        <v>386</v>
      </c>
      <c r="B291" s="12" t="s">
        <v>168</v>
      </c>
      <c r="C291">
        <v>92998774.740274116</v>
      </c>
      <c r="D291">
        <v>106646131.28418927</v>
      </c>
      <c r="E291">
        <v>1709009.0090090111</v>
      </c>
      <c r="F291">
        <v>2427927.9279279271</v>
      </c>
      <c r="G291">
        <v>34</v>
      </c>
      <c r="H291">
        <v>19</v>
      </c>
      <c r="K291">
        <v>42</v>
      </c>
      <c r="L291">
        <v>24</v>
      </c>
      <c r="M291">
        <v>23088354.054054055</v>
      </c>
      <c r="N291">
        <v>17847747.747747749</v>
      </c>
      <c r="O291">
        <v>39435963.963963971</v>
      </c>
      <c r="P291">
        <v>48607214.414414413</v>
      </c>
      <c r="Q291">
        <v>21515225.225225225</v>
      </c>
      <c r="R291">
        <v>20773873.873873871</v>
      </c>
      <c r="S291">
        <v>2480</v>
      </c>
      <c r="T291">
        <v>2422</v>
      </c>
    </row>
    <row r="292" spans="1:20" x14ac:dyDescent="0.35">
      <c r="A292" s="7" t="s">
        <v>387</v>
      </c>
      <c r="B292" s="12" t="s">
        <v>95</v>
      </c>
      <c r="C292">
        <v>538263887.26281857</v>
      </c>
      <c r="D292">
        <v>557240640.45603096</v>
      </c>
      <c r="E292">
        <v>734234.23423423502</v>
      </c>
      <c r="F292">
        <v>1527027.0270270291</v>
      </c>
      <c r="G292">
        <v>119</v>
      </c>
      <c r="H292">
        <v>117</v>
      </c>
      <c r="I292">
        <v>1</v>
      </c>
      <c r="K292">
        <v>128</v>
      </c>
      <c r="L292">
        <v>138</v>
      </c>
      <c r="M292">
        <v>20716216.216216218</v>
      </c>
      <c r="N292">
        <v>22743243.243243244</v>
      </c>
      <c r="O292">
        <v>64482927.927927926</v>
      </c>
      <c r="P292">
        <v>83404486.486486495</v>
      </c>
      <c r="Q292">
        <v>16241171.171171172</v>
      </c>
      <c r="R292">
        <v>14368378.378378378</v>
      </c>
      <c r="S292">
        <v>8085</v>
      </c>
      <c r="T292">
        <v>8703</v>
      </c>
    </row>
    <row r="293" spans="1:20" x14ac:dyDescent="0.35">
      <c r="A293" s="7" t="s">
        <v>388</v>
      </c>
      <c r="B293" s="12" t="s">
        <v>215</v>
      </c>
      <c r="C293">
        <v>99077472.807894573</v>
      </c>
      <c r="D293">
        <v>104604581.92466541</v>
      </c>
      <c r="E293">
        <v>1390990.9909909919</v>
      </c>
      <c r="F293">
        <v>1201801.8018018019</v>
      </c>
      <c r="G293">
        <v>41</v>
      </c>
      <c r="H293">
        <v>5</v>
      </c>
      <c r="K293">
        <v>45</v>
      </c>
      <c r="L293">
        <v>6</v>
      </c>
      <c r="M293">
        <v>3192792.7927927929</v>
      </c>
      <c r="N293">
        <v>4293693.6936936937</v>
      </c>
      <c r="O293">
        <v>47031612.612612613</v>
      </c>
      <c r="P293">
        <v>48911243.24324324</v>
      </c>
      <c r="Q293">
        <v>2376666.666666667</v>
      </c>
      <c r="R293">
        <v>3496216.2162162159</v>
      </c>
      <c r="S293">
        <v>2307</v>
      </c>
      <c r="T293">
        <v>2346</v>
      </c>
    </row>
    <row r="294" spans="1:20" x14ac:dyDescent="0.35">
      <c r="A294" s="7" t="s">
        <v>389</v>
      </c>
      <c r="B294" s="12" t="s">
        <v>118</v>
      </c>
      <c r="C294">
        <v>39428501.926948823</v>
      </c>
      <c r="D294">
        <v>37824028.774083354</v>
      </c>
      <c r="E294">
        <v>569369.36936936795</v>
      </c>
      <c r="F294">
        <v>398198.19819819898</v>
      </c>
      <c r="G294">
        <v>28</v>
      </c>
      <c r="H294">
        <v>24</v>
      </c>
      <c r="K294">
        <v>35</v>
      </c>
      <c r="L294">
        <v>30</v>
      </c>
      <c r="M294">
        <v>9803718.9189189207</v>
      </c>
      <c r="N294">
        <v>8308049.5495495489</v>
      </c>
      <c r="O294">
        <v>18589603.603603605</v>
      </c>
      <c r="P294">
        <v>16884927.927927926</v>
      </c>
      <c r="Q294">
        <v>7644684.6846846854</v>
      </c>
      <c r="R294">
        <v>8080360.3603603607</v>
      </c>
      <c r="S294">
        <v>1779</v>
      </c>
      <c r="T294">
        <v>1743</v>
      </c>
    </row>
    <row r="295" spans="1:20" x14ac:dyDescent="0.35">
      <c r="A295" s="7" t="s">
        <v>390</v>
      </c>
      <c r="B295" s="12" t="s">
        <v>316</v>
      </c>
      <c r="C295">
        <v>171912934.26269588</v>
      </c>
      <c r="D295">
        <v>169345972.32672486</v>
      </c>
      <c r="E295">
        <v>381081.08108108101</v>
      </c>
      <c r="F295">
        <v>31531.531531533001</v>
      </c>
      <c r="G295">
        <v>18</v>
      </c>
      <c r="H295">
        <v>11</v>
      </c>
      <c r="I295">
        <v>2</v>
      </c>
      <c r="K295">
        <v>18</v>
      </c>
      <c r="L295">
        <v>12</v>
      </c>
      <c r="M295">
        <v>7408108.1081081079</v>
      </c>
      <c r="N295">
        <v>7761261.261261262</v>
      </c>
      <c r="O295">
        <v>35623657.657657653</v>
      </c>
      <c r="P295">
        <v>35538234.234234229</v>
      </c>
      <c r="Q295">
        <v>7182252.2522522518</v>
      </c>
      <c r="R295">
        <v>7893963.9639639631</v>
      </c>
      <c r="S295">
        <v>2541</v>
      </c>
      <c r="T295">
        <v>2890</v>
      </c>
    </row>
    <row r="296" spans="1:20" x14ac:dyDescent="0.35">
      <c r="A296" s="7" t="s">
        <v>391</v>
      </c>
      <c r="B296" s="12" t="s">
        <v>225</v>
      </c>
      <c r="C296">
        <v>74407840.548425823</v>
      </c>
      <c r="D296">
        <v>70939928.898028523</v>
      </c>
      <c r="G296">
        <v>7</v>
      </c>
      <c r="H296">
        <v>5</v>
      </c>
      <c r="K296">
        <v>7</v>
      </c>
      <c r="L296">
        <v>5</v>
      </c>
      <c r="O296">
        <v>14194009.009009007</v>
      </c>
      <c r="P296">
        <v>13947774.774774777</v>
      </c>
      <c r="S296">
        <v>1517</v>
      </c>
      <c r="T296">
        <v>1418</v>
      </c>
    </row>
    <row r="297" spans="1:20" x14ac:dyDescent="0.35">
      <c r="A297" s="7" t="s">
        <v>6</v>
      </c>
      <c r="B297" s="12" t="s">
        <v>194</v>
      </c>
      <c r="C297">
        <v>623744640.7432189</v>
      </c>
      <c r="D297">
        <v>598413032.31992209</v>
      </c>
      <c r="E297">
        <v>6585159.4594594669</v>
      </c>
      <c r="F297">
        <v>22454427.927927926</v>
      </c>
      <c r="G297">
        <v>368</v>
      </c>
      <c r="H297">
        <v>315</v>
      </c>
      <c r="K297">
        <v>783</v>
      </c>
      <c r="L297">
        <v>1034</v>
      </c>
      <c r="M297">
        <v>226529850.45045045</v>
      </c>
      <c r="N297">
        <v>425324878.37837839</v>
      </c>
      <c r="O297">
        <v>423300297.2972973</v>
      </c>
      <c r="P297">
        <v>396897342.34234232</v>
      </c>
      <c r="Q297">
        <v>198111171.17117116</v>
      </c>
      <c r="R297">
        <v>391180540.54054052</v>
      </c>
      <c r="S297">
        <v>12980</v>
      </c>
      <c r="T297">
        <v>13302</v>
      </c>
    </row>
    <row r="298" spans="1:20" x14ac:dyDescent="0.35">
      <c r="A298" s="7" t="s">
        <v>392</v>
      </c>
      <c r="B298" s="12" t="s">
        <v>122</v>
      </c>
      <c r="C298">
        <v>27849144.806028936</v>
      </c>
      <c r="D298">
        <v>26566675.069655526</v>
      </c>
      <c r="G298">
        <v>10</v>
      </c>
      <c r="H298">
        <v>19</v>
      </c>
      <c r="K298">
        <v>10</v>
      </c>
      <c r="L298">
        <v>21</v>
      </c>
      <c r="O298">
        <v>1422522.5225225231</v>
      </c>
      <c r="P298">
        <v>1968477.4774774769</v>
      </c>
      <c r="S298">
        <v>503</v>
      </c>
      <c r="T298">
        <v>585</v>
      </c>
    </row>
    <row r="299" spans="1:20" x14ac:dyDescent="0.35">
      <c r="A299" s="7" t="s">
        <v>393</v>
      </c>
      <c r="B299" s="12" t="s">
        <v>135</v>
      </c>
      <c r="C299">
        <v>81947290.817908317</v>
      </c>
      <c r="D299">
        <v>89651472.692155302</v>
      </c>
      <c r="E299">
        <v>269460877.47747749</v>
      </c>
      <c r="F299">
        <v>315263247.74774778</v>
      </c>
      <c r="G299">
        <v>24</v>
      </c>
      <c r="H299">
        <v>14</v>
      </c>
      <c r="K299">
        <v>29</v>
      </c>
      <c r="L299">
        <v>17</v>
      </c>
      <c r="M299">
        <v>52788288.288288288</v>
      </c>
      <c r="N299">
        <v>45008303.603603601</v>
      </c>
      <c r="O299">
        <v>16380124.324324325</v>
      </c>
      <c r="P299">
        <v>25183810.810810812</v>
      </c>
      <c r="Q299">
        <v>1786216.216216217</v>
      </c>
      <c r="R299">
        <v>3268108.1081081089</v>
      </c>
      <c r="S299">
        <v>3545</v>
      </c>
      <c r="T299">
        <v>3622</v>
      </c>
    </row>
    <row r="300" spans="1:20" x14ac:dyDescent="0.35">
      <c r="A300" s="7" t="s">
        <v>394</v>
      </c>
      <c r="B300" s="12" t="s">
        <v>59</v>
      </c>
      <c r="C300">
        <v>405654012.082614</v>
      </c>
      <c r="D300">
        <v>429713417.30442971</v>
      </c>
      <c r="E300">
        <v>12240315.315315319</v>
      </c>
      <c r="F300">
        <v>7097297.2972973036</v>
      </c>
      <c r="G300">
        <v>150</v>
      </c>
      <c r="H300">
        <v>128</v>
      </c>
      <c r="K300">
        <v>186</v>
      </c>
      <c r="L300">
        <v>140</v>
      </c>
      <c r="M300">
        <v>41802702.702702701</v>
      </c>
      <c r="N300">
        <v>76818018.018018022</v>
      </c>
      <c r="O300">
        <v>65023873.873873875</v>
      </c>
      <c r="P300">
        <v>76760711.711711705</v>
      </c>
      <c r="Q300">
        <v>39283963.963963971</v>
      </c>
      <c r="R300">
        <v>70626396.396396399</v>
      </c>
      <c r="S300">
        <v>9002</v>
      </c>
      <c r="T300">
        <v>9260</v>
      </c>
    </row>
    <row r="301" spans="1:20" x14ac:dyDescent="0.35">
      <c r="A301" s="7" t="s">
        <v>395</v>
      </c>
      <c r="B301" s="12" t="s">
        <v>135</v>
      </c>
      <c r="C301">
        <v>140166889.53347546</v>
      </c>
      <c r="D301">
        <v>150646370.65026379</v>
      </c>
      <c r="E301">
        <v>747747.74774774804</v>
      </c>
      <c r="F301">
        <v>899099.09909909905</v>
      </c>
      <c r="G301">
        <v>26</v>
      </c>
      <c r="H301">
        <v>17</v>
      </c>
      <c r="K301">
        <v>30</v>
      </c>
      <c r="L301">
        <v>20</v>
      </c>
      <c r="M301">
        <v>22743243.24324324</v>
      </c>
      <c r="N301">
        <v>23287387.387387387</v>
      </c>
      <c r="O301">
        <v>26082630.630630631</v>
      </c>
      <c r="P301">
        <v>32530558.558558561</v>
      </c>
      <c r="Q301">
        <v>12905765.765765764</v>
      </c>
      <c r="R301">
        <v>14711711.711711712</v>
      </c>
      <c r="S301">
        <v>3881</v>
      </c>
      <c r="T301">
        <v>3985</v>
      </c>
    </row>
    <row r="302" spans="1:20" x14ac:dyDescent="0.35">
      <c r="A302" s="7" t="s">
        <v>396</v>
      </c>
      <c r="B302" s="12" t="s">
        <v>55</v>
      </c>
      <c r="C302">
        <v>58793051.256464787</v>
      </c>
      <c r="D302">
        <v>57592346.327324919</v>
      </c>
      <c r="E302">
        <v>55855.855855856003</v>
      </c>
      <c r="F302">
        <v>558558.558558558</v>
      </c>
      <c r="G302">
        <v>18</v>
      </c>
      <c r="H302">
        <v>13</v>
      </c>
      <c r="K302">
        <v>19</v>
      </c>
      <c r="L302">
        <v>14</v>
      </c>
      <c r="M302">
        <v>3010810.8108108109</v>
      </c>
      <c r="N302">
        <v>3261261.2612612611</v>
      </c>
      <c r="O302">
        <v>9870027.0270270277</v>
      </c>
      <c r="P302">
        <v>9820387.3873873875</v>
      </c>
      <c r="Q302">
        <v>3108288.2882882878</v>
      </c>
      <c r="R302">
        <v>3065045.0450450438</v>
      </c>
      <c r="S302">
        <v>1588</v>
      </c>
      <c r="T302">
        <v>1573</v>
      </c>
    </row>
    <row r="303" spans="1:20" x14ac:dyDescent="0.35">
      <c r="A303" s="7" t="s">
        <v>397</v>
      </c>
      <c r="B303" s="12" t="s">
        <v>398</v>
      </c>
      <c r="C303">
        <v>415835446.63194239</v>
      </c>
      <c r="D303">
        <v>411898583.87177867</v>
      </c>
      <c r="E303">
        <v>3040540.5405405401</v>
      </c>
      <c r="F303">
        <v>4868018.0180180185</v>
      </c>
      <c r="G303">
        <v>181</v>
      </c>
      <c r="H303">
        <v>169</v>
      </c>
      <c r="I303">
        <v>1</v>
      </c>
      <c r="K303">
        <v>347</v>
      </c>
      <c r="L303">
        <v>203</v>
      </c>
      <c r="M303">
        <v>46158558.558558561</v>
      </c>
      <c r="N303">
        <v>49640315.315315314</v>
      </c>
      <c r="O303">
        <v>82384437.837837845</v>
      </c>
      <c r="P303">
        <v>88349378.378378391</v>
      </c>
      <c r="Q303">
        <v>43938918.918918923</v>
      </c>
      <c r="R303">
        <v>44386711.711711712</v>
      </c>
      <c r="S303">
        <v>9386</v>
      </c>
      <c r="T303">
        <v>9287</v>
      </c>
    </row>
    <row r="304" spans="1:20" x14ac:dyDescent="0.35">
      <c r="A304" s="7" t="s">
        <v>399</v>
      </c>
      <c r="B304" s="12" t="s">
        <v>400</v>
      </c>
      <c r="C304">
        <v>450684131.99969327</v>
      </c>
      <c r="D304">
        <v>455485913.10992718</v>
      </c>
      <c r="E304">
        <v>6000675.6756756781</v>
      </c>
      <c r="F304">
        <v>2394594.5945945969</v>
      </c>
      <c r="G304">
        <v>96</v>
      </c>
      <c r="H304">
        <v>95</v>
      </c>
      <c r="K304">
        <v>111</v>
      </c>
      <c r="L304">
        <v>110</v>
      </c>
      <c r="M304">
        <v>47082882.882882878</v>
      </c>
      <c r="N304">
        <v>51390511.711711712</v>
      </c>
      <c r="O304">
        <v>82054765.765765756</v>
      </c>
      <c r="P304">
        <v>92077603.603603601</v>
      </c>
      <c r="Q304">
        <v>45779189.189189196</v>
      </c>
      <c r="R304">
        <v>47371351.351351351</v>
      </c>
      <c r="S304">
        <v>11505</v>
      </c>
      <c r="T304">
        <v>11425</v>
      </c>
    </row>
    <row r="305" spans="1:20" x14ac:dyDescent="0.35">
      <c r="A305" s="7" t="s">
        <v>401</v>
      </c>
      <c r="B305" s="12" t="s">
        <v>141</v>
      </c>
      <c r="C305">
        <v>146119948.04633316</v>
      </c>
      <c r="D305">
        <v>149230426.90730613</v>
      </c>
      <c r="E305">
        <v>112085585.58558558</v>
      </c>
      <c r="F305">
        <v>104253333.33333333</v>
      </c>
      <c r="G305">
        <v>46</v>
      </c>
      <c r="H305">
        <v>25</v>
      </c>
      <c r="K305">
        <v>47</v>
      </c>
      <c r="L305">
        <v>30</v>
      </c>
      <c r="M305">
        <v>34491171.171171173</v>
      </c>
      <c r="N305">
        <v>34431531.531531535</v>
      </c>
      <c r="O305">
        <v>46496594.59459459</v>
      </c>
      <c r="P305">
        <v>49714306.306306303</v>
      </c>
      <c r="Q305">
        <v>31521801.801801801</v>
      </c>
      <c r="R305">
        <v>32328558.558558561</v>
      </c>
      <c r="S305">
        <v>3267</v>
      </c>
      <c r="T305">
        <v>3256</v>
      </c>
    </row>
    <row r="306" spans="1:20" x14ac:dyDescent="0.35">
      <c r="A306" s="7" t="s">
        <v>402</v>
      </c>
      <c r="B306" s="12" t="s">
        <v>122</v>
      </c>
      <c r="C306">
        <v>39724455.091149285</v>
      </c>
      <c r="D306">
        <v>35499935.178828277</v>
      </c>
      <c r="E306">
        <v>400900.900900901</v>
      </c>
      <c r="F306">
        <v>112612.612612613</v>
      </c>
      <c r="G306">
        <v>16</v>
      </c>
      <c r="H306">
        <v>28</v>
      </c>
      <c r="K306">
        <v>22</v>
      </c>
      <c r="L306">
        <v>36</v>
      </c>
      <c r="M306">
        <v>2202702.702702703</v>
      </c>
      <c r="N306">
        <v>1914414.4144144149</v>
      </c>
      <c r="O306">
        <v>3816677.927927928</v>
      </c>
      <c r="P306">
        <v>5280765.7657657657</v>
      </c>
      <c r="Q306">
        <v>985495.49549549504</v>
      </c>
      <c r="R306">
        <v>1569639.6396396391</v>
      </c>
      <c r="S306">
        <v>1074</v>
      </c>
      <c r="T306">
        <v>1065</v>
      </c>
    </row>
    <row r="307" spans="1:20" x14ac:dyDescent="0.35">
      <c r="A307" s="7" t="s">
        <v>403</v>
      </c>
      <c r="B307" s="12" t="s">
        <v>291</v>
      </c>
      <c r="C307">
        <v>62215759.77248013</v>
      </c>
      <c r="D307">
        <v>63296843.030533679</v>
      </c>
      <c r="E307">
        <v>412162.16216216399</v>
      </c>
      <c r="F307">
        <v>90090.090090090001</v>
      </c>
      <c r="G307">
        <v>13</v>
      </c>
      <c r="H307">
        <v>9</v>
      </c>
      <c r="K307">
        <v>16</v>
      </c>
      <c r="L307">
        <v>13</v>
      </c>
      <c r="M307">
        <v>3318018.0180180189</v>
      </c>
      <c r="N307">
        <v>3851351.351351351</v>
      </c>
      <c r="O307">
        <v>8342693.6936936937</v>
      </c>
      <c r="P307">
        <v>9454207.2072072085</v>
      </c>
      <c r="Q307">
        <v>3352252.2522522518</v>
      </c>
      <c r="R307">
        <v>2219459.4594594599</v>
      </c>
      <c r="S307">
        <v>1695</v>
      </c>
      <c r="T307">
        <v>2556</v>
      </c>
    </row>
    <row r="308" spans="1:20" x14ac:dyDescent="0.35">
      <c r="A308" s="7" t="s">
        <v>404</v>
      </c>
      <c r="B308" s="12" t="s">
        <v>122</v>
      </c>
      <c r="C308">
        <v>70858017.948390394</v>
      </c>
      <c r="D308">
        <v>63858472.681085795</v>
      </c>
      <c r="E308">
        <v>55630.630630631</v>
      </c>
      <c r="F308">
        <v>9009.0090090100002</v>
      </c>
      <c r="G308">
        <v>13</v>
      </c>
      <c r="H308">
        <v>9</v>
      </c>
      <c r="K308">
        <v>14</v>
      </c>
      <c r="L308">
        <v>10</v>
      </c>
      <c r="M308">
        <v>58558.558558559002</v>
      </c>
      <c r="N308">
        <v>144144.14414414499</v>
      </c>
      <c r="O308">
        <v>5457243.2432432426</v>
      </c>
      <c r="P308">
        <v>7225135.1351351347</v>
      </c>
      <c r="R308">
        <v>148648.64864864899</v>
      </c>
      <c r="S308">
        <v>1025</v>
      </c>
      <c r="T308">
        <v>1094</v>
      </c>
    </row>
    <row r="309" spans="1:20" x14ac:dyDescent="0.35">
      <c r="A309" s="7" t="s">
        <v>405</v>
      </c>
      <c r="B309" s="12" t="s">
        <v>369</v>
      </c>
      <c r="C309">
        <v>155067544.76781043</v>
      </c>
      <c r="D309">
        <v>163236290.09679049</v>
      </c>
      <c r="E309">
        <v>88628754.954954967</v>
      </c>
      <c r="F309">
        <v>97777168.468468487</v>
      </c>
      <c r="G309">
        <v>111</v>
      </c>
      <c r="H309">
        <v>9</v>
      </c>
      <c r="K309">
        <v>160</v>
      </c>
      <c r="L309">
        <v>12</v>
      </c>
      <c r="M309">
        <v>34836486.486486487</v>
      </c>
      <c r="N309">
        <v>49651531.531531528</v>
      </c>
      <c r="O309">
        <v>56859009.009009011</v>
      </c>
      <c r="P309">
        <v>55233780.180180177</v>
      </c>
      <c r="Q309">
        <v>27607117.117117122</v>
      </c>
      <c r="R309">
        <v>37202792.79279279</v>
      </c>
      <c r="S309">
        <v>4127</v>
      </c>
      <c r="T309">
        <v>3862</v>
      </c>
    </row>
    <row r="310" spans="1:20" x14ac:dyDescent="0.35">
      <c r="A310" s="7" t="s">
        <v>406</v>
      </c>
      <c r="B310" s="12" t="s">
        <v>141</v>
      </c>
      <c r="C310">
        <v>75678350.10463351</v>
      </c>
      <c r="D310">
        <v>77838635.431298643</v>
      </c>
      <c r="E310">
        <v>242117.11711711599</v>
      </c>
      <c r="F310">
        <v>65765.765765767006</v>
      </c>
      <c r="G310">
        <v>18</v>
      </c>
      <c r="H310">
        <v>6</v>
      </c>
      <c r="K310">
        <v>20</v>
      </c>
      <c r="L310">
        <v>6</v>
      </c>
      <c r="M310">
        <v>8982342.3423423432</v>
      </c>
      <c r="N310">
        <v>17466846.846846849</v>
      </c>
      <c r="O310">
        <v>20690800</v>
      </c>
      <c r="P310">
        <v>24433414.414414417</v>
      </c>
      <c r="Q310">
        <v>10286666.666666668</v>
      </c>
      <c r="R310">
        <v>14167477.477477478</v>
      </c>
      <c r="S310">
        <v>1409</v>
      </c>
      <c r="T310">
        <v>1489</v>
      </c>
    </row>
    <row r="311" spans="1:20" x14ac:dyDescent="0.35">
      <c r="A311" s="7" t="s">
        <v>407</v>
      </c>
      <c r="B311" s="12" t="s">
        <v>55</v>
      </c>
      <c r="C311">
        <v>104902887.6025262</v>
      </c>
      <c r="D311">
        <v>106612358.16372408</v>
      </c>
      <c r="E311">
        <v>2184684.6846846859</v>
      </c>
      <c r="F311">
        <v>4503153.153153155</v>
      </c>
      <c r="G311">
        <v>111</v>
      </c>
      <c r="H311">
        <v>71</v>
      </c>
      <c r="I311">
        <v>1</v>
      </c>
      <c r="K311">
        <v>192</v>
      </c>
      <c r="L311">
        <v>111</v>
      </c>
      <c r="M311">
        <v>9973333.333333334</v>
      </c>
      <c r="N311">
        <v>12944594.594594596</v>
      </c>
      <c r="O311">
        <v>24289765.765765768</v>
      </c>
      <c r="P311">
        <v>25628936.936936937</v>
      </c>
      <c r="Q311">
        <v>10959819.819819817</v>
      </c>
      <c r="R311">
        <v>11139459.459459459</v>
      </c>
      <c r="S311">
        <v>2252</v>
      </c>
      <c r="T311">
        <v>2172</v>
      </c>
    </row>
    <row r="312" spans="1:20" x14ac:dyDescent="0.35">
      <c r="A312" s="7" t="s">
        <v>408</v>
      </c>
      <c r="B312" s="12" t="s">
        <v>135</v>
      </c>
      <c r="C312">
        <v>47302355.78777682</v>
      </c>
      <c r="D312">
        <v>52634000.749011435</v>
      </c>
      <c r="E312">
        <v>27027.027027027001</v>
      </c>
      <c r="F312">
        <v>239639.639639639</v>
      </c>
      <c r="G312">
        <v>6</v>
      </c>
      <c r="H312">
        <v>1</v>
      </c>
      <c r="K312">
        <v>6</v>
      </c>
      <c r="L312">
        <v>2</v>
      </c>
      <c r="M312">
        <v>1594594.5945945941</v>
      </c>
      <c r="N312">
        <v>3572972.9729729728</v>
      </c>
      <c r="O312">
        <v>4317315.3153153146</v>
      </c>
      <c r="P312">
        <v>6345891.8918918921</v>
      </c>
      <c r="Q312">
        <v>1279189.1891891879</v>
      </c>
      <c r="R312">
        <v>3358558.558558559</v>
      </c>
      <c r="S312">
        <v>858</v>
      </c>
      <c r="T312">
        <v>954</v>
      </c>
    </row>
    <row r="313" spans="1:20" x14ac:dyDescent="0.35">
      <c r="A313" s="7" t="s">
        <v>409</v>
      </c>
      <c r="B313" s="12" t="s">
        <v>291</v>
      </c>
      <c r="C313">
        <v>26003893.375563513</v>
      </c>
      <c r="D313">
        <v>26845694.871236924</v>
      </c>
      <c r="E313">
        <v>361261.261261262</v>
      </c>
      <c r="F313">
        <v>256756.75675675701</v>
      </c>
      <c r="G313">
        <v>9</v>
      </c>
      <c r="H313">
        <v>10</v>
      </c>
      <c r="K313">
        <v>10</v>
      </c>
      <c r="L313">
        <v>14</v>
      </c>
      <c r="M313">
        <v>5120720.7207207214</v>
      </c>
      <c r="N313">
        <v>4378378.3783783782</v>
      </c>
      <c r="O313">
        <v>5061576.5765765766</v>
      </c>
      <c r="P313">
        <v>6055873.8738738736</v>
      </c>
      <c r="Q313">
        <v>2957297.297297297</v>
      </c>
      <c r="R313">
        <v>2151081.0810810821</v>
      </c>
      <c r="S313">
        <v>907</v>
      </c>
      <c r="T313">
        <v>887</v>
      </c>
    </row>
    <row r="314" spans="1:20" x14ac:dyDescent="0.35">
      <c r="A314" s="7" t="s">
        <v>410</v>
      </c>
      <c r="B314" s="12" t="s">
        <v>179</v>
      </c>
      <c r="C314">
        <v>472170871.52266693</v>
      </c>
      <c r="D314">
        <v>457405939.10978323</v>
      </c>
      <c r="E314">
        <v>7602702.7027027057</v>
      </c>
      <c r="F314">
        <v>84566666.666666672</v>
      </c>
      <c r="G314">
        <v>142</v>
      </c>
      <c r="H314">
        <v>72</v>
      </c>
      <c r="K314">
        <v>282</v>
      </c>
      <c r="L314">
        <v>85</v>
      </c>
      <c r="M314">
        <v>58712243.243243247</v>
      </c>
      <c r="N314">
        <v>63135360.360360362</v>
      </c>
      <c r="O314">
        <v>162630463.96396396</v>
      </c>
      <c r="P314">
        <v>170670691.8918919</v>
      </c>
      <c r="Q314">
        <v>49472252.252252258</v>
      </c>
      <c r="R314">
        <v>58590270.270270273</v>
      </c>
      <c r="S314">
        <v>9381</v>
      </c>
      <c r="T314">
        <v>8815</v>
      </c>
    </row>
    <row r="315" spans="1:20" x14ac:dyDescent="0.35">
      <c r="A315" s="7" t="s">
        <v>673</v>
      </c>
      <c r="B315" s="12" t="s">
        <v>88</v>
      </c>
      <c r="E315">
        <v>3603603.6036036038</v>
      </c>
      <c r="F315">
        <v>23063063.063063063</v>
      </c>
      <c r="M315">
        <v>104054.054054054</v>
      </c>
    </row>
    <row r="316" spans="1:20" x14ac:dyDescent="0.35">
      <c r="A316" s="7" t="s">
        <v>411</v>
      </c>
      <c r="B316" s="12" t="s">
        <v>55</v>
      </c>
      <c r="C316">
        <v>861193186.05813372</v>
      </c>
      <c r="D316">
        <v>842966513.12335348</v>
      </c>
      <c r="E316">
        <v>116884448.64864865</v>
      </c>
      <c r="F316">
        <v>225507317.11711711</v>
      </c>
      <c r="G316">
        <v>308</v>
      </c>
      <c r="H316">
        <v>256</v>
      </c>
      <c r="K316">
        <v>405</v>
      </c>
      <c r="L316">
        <v>444</v>
      </c>
      <c r="M316">
        <v>67406756.756756753</v>
      </c>
      <c r="N316">
        <v>87051351.351351365</v>
      </c>
      <c r="O316">
        <v>178673099.0990991</v>
      </c>
      <c r="P316">
        <v>181996223.42342341</v>
      </c>
      <c r="Q316">
        <v>59972072.072072074</v>
      </c>
      <c r="R316">
        <v>76983693.693693697</v>
      </c>
      <c r="S316">
        <v>18339</v>
      </c>
      <c r="T316">
        <v>18842</v>
      </c>
    </row>
    <row r="317" spans="1:20" x14ac:dyDescent="0.35">
      <c r="A317" s="7" t="s">
        <v>412</v>
      </c>
      <c r="B317" s="12" t="s">
        <v>225</v>
      </c>
      <c r="C317">
        <v>439809957.97061753</v>
      </c>
      <c r="D317">
        <v>510731545.19346792</v>
      </c>
      <c r="E317">
        <v>1875675.6756756799</v>
      </c>
      <c r="F317">
        <v>3302702.7027027048</v>
      </c>
      <c r="G317">
        <v>163</v>
      </c>
      <c r="H317">
        <v>124</v>
      </c>
      <c r="K317">
        <v>181</v>
      </c>
      <c r="L317">
        <v>151</v>
      </c>
      <c r="M317">
        <v>49681801.801801808</v>
      </c>
      <c r="N317">
        <v>70919549.54954955</v>
      </c>
      <c r="O317">
        <v>126959068.46846846</v>
      </c>
      <c r="P317">
        <v>159691935.13513514</v>
      </c>
      <c r="Q317">
        <v>52153917.117117122</v>
      </c>
      <c r="R317">
        <v>64090000</v>
      </c>
      <c r="S317">
        <v>13476</v>
      </c>
      <c r="T317">
        <v>13656</v>
      </c>
    </row>
    <row r="318" spans="1:20" x14ac:dyDescent="0.35">
      <c r="A318" s="7" t="s">
        <v>413</v>
      </c>
      <c r="B318" s="12" t="s">
        <v>414</v>
      </c>
      <c r="C318">
        <v>173436260.78586647</v>
      </c>
      <c r="D318">
        <v>169542634.04218957</v>
      </c>
      <c r="E318">
        <v>558108.10810811096</v>
      </c>
      <c r="F318">
        <v>1227027.0270270309</v>
      </c>
      <c r="G318">
        <v>15</v>
      </c>
      <c r="H318">
        <v>6</v>
      </c>
      <c r="K318">
        <v>16</v>
      </c>
      <c r="L318">
        <v>22</v>
      </c>
      <c r="M318">
        <v>3576576.5765765798</v>
      </c>
      <c r="N318">
        <v>6133783.7837837841</v>
      </c>
      <c r="O318">
        <v>70226720.720720723</v>
      </c>
      <c r="P318">
        <v>75819090.090090096</v>
      </c>
      <c r="Q318">
        <v>3779819.8198198192</v>
      </c>
      <c r="R318">
        <v>4633963.963963964</v>
      </c>
      <c r="S318">
        <v>4094</v>
      </c>
      <c r="T318">
        <v>3961</v>
      </c>
    </row>
    <row r="319" spans="1:20" x14ac:dyDescent="0.35">
      <c r="A319" s="7" t="s">
        <v>415</v>
      </c>
      <c r="B319" s="12" t="s">
        <v>215</v>
      </c>
      <c r="C319">
        <v>1119627974.568233</v>
      </c>
      <c r="D319">
        <v>1032442543.2940983</v>
      </c>
      <c r="E319">
        <v>612676914.41441441</v>
      </c>
      <c r="F319">
        <v>418868919.81981987</v>
      </c>
      <c r="G319">
        <v>1149</v>
      </c>
      <c r="H319">
        <v>537</v>
      </c>
      <c r="I319">
        <v>3</v>
      </c>
      <c r="K319">
        <v>1255</v>
      </c>
      <c r="L319">
        <v>750</v>
      </c>
      <c r="M319">
        <v>159208963.96396396</v>
      </c>
      <c r="N319">
        <v>151857207.2072072</v>
      </c>
      <c r="O319">
        <v>502734831.53153151</v>
      </c>
      <c r="P319">
        <v>471353054.05405408</v>
      </c>
      <c r="Q319">
        <v>148568198.1981982</v>
      </c>
      <c r="R319">
        <v>146509099.0990991</v>
      </c>
      <c r="S319">
        <v>23903</v>
      </c>
      <c r="T319">
        <v>23108</v>
      </c>
    </row>
    <row r="320" spans="1:20" x14ac:dyDescent="0.35">
      <c r="A320" s="7" t="s">
        <v>416</v>
      </c>
      <c r="B320" s="12" t="s">
        <v>414</v>
      </c>
      <c r="C320">
        <v>96275406.71712631</v>
      </c>
      <c r="D320">
        <v>93135569.480167434</v>
      </c>
      <c r="E320">
        <v>735585.58558558696</v>
      </c>
      <c r="F320">
        <v>1603603.6036036049</v>
      </c>
      <c r="G320">
        <v>27</v>
      </c>
      <c r="H320">
        <v>15</v>
      </c>
      <c r="K320">
        <v>33</v>
      </c>
      <c r="L320">
        <v>18</v>
      </c>
      <c r="M320">
        <v>17908326.126126125</v>
      </c>
      <c r="N320">
        <v>14713963.963963963</v>
      </c>
      <c r="O320">
        <v>36261200.45045045</v>
      </c>
      <c r="P320">
        <v>37120063.063063063</v>
      </c>
      <c r="Q320">
        <v>13659549.549549548</v>
      </c>
      <c r="R320">
        <v>13954684.684684685</v>
      </c>
      <c r="S320">
        <v>2976</v>
      </c>
      <c r="T320">
        <v>2926</v>
      </c>
    </row>
    <row r="321" spans="1:20" x14ac:dyDescent="0.35">
      <c r="A321" s="7" t="s">
        <v>417</v>
      </c>
      <c r="B321" s="12" t="s">
        <v>237</v>
      </c>
      <c r="C321">
        <v>693483688.7432543</v>
      </c>
      <c r="D321">
        <v>693010703.38273454</v>
      </c>
      <c r="E321">
        <v>2945045.0450450471</v>
      </c>
      <c r="F321">
        <v>3180630.6306306338</v>
      </c>
      <c r="G321">
        <v>260</v>
      </c>
      <c r="H321">
        <v>178</v>
      </c>
      <c r="I321">
        <v>5</v>
      </c>
      <c r="K321">
        <v>354</v>
      </c>
      <c r="L321">
        <v>277</v>
      </c>
      <c r="M321">
        <v>90686756.756756753</v>
      </c>
      <c r="N321">
        <v>71027477.477477476</v>
      </c>
      <c r="O321">
        <v>162774423.42342341</v>
      </c>
      <c r="P321">
        <v>179204529.72972974</v>
      </c>
      <c r="Q321">
        <v>89629279.279279277</v>
      </c>
      <c r="R321">
        <v>58770360.360360362</v>
      </c>
      <c r="S321">
        <v>10613</v>
      </c>
      <c r="T321">
        <v>10744</v>
      </c>
    </row>
    <row r="322" spans="1:20" x14ac:dyDescent="0.35">
      <c r="A322" s="7" t="s">
        <v>418</v>
      </c>
      <c r="B322" s="12" t="s">
        <v>118</v>
      </c>
      <c r="C322">
        <v>673068023.54249489</v>
      </c>
      <c r="D322">
        <v>680087646.51564014</v>
      </c>
      <c r="E322">
        <v>646089952.25225234</v>
      </c>
      <c r="F322">
        <v>476251763.06306303</v>
      </c>
      <c r="G322">
        <v>510</v>
      </c>
      <c r="H322">
        <v>467</v>
      </c>
      <c r="I322">
        <v>1</v>
      </c>
      <c r="K322">
        <v>877</v>
      </c>
      <c r="L322">
        <v>1216</v>
      </c>
      <c r="M322">
        <v>165953684.68468466</v>
      </c>
      <c r="N322">
        <v>198339687.38738739</v>
      </c>
      <c r="O322">
        <v>307274390.0900901</v>
      </c>
      <c r="P322">
        <v>344145009.009009</v>
      </c>
      <c r="Q322">
        <v>163970630.63063061</v>
      </c>
      <c r="R322">
        <v>200361936.93693691</v>
      </c>
      <c r="S322">
        <v>16913</v>
      </c>
      <c r="T322">
        <v>18035</v>
      </c>
    </row>
    <row r="323" spans="1:20" x14ac:dyDescent="0.35">
      <c r="A323" s="7" t="s">
        <v>419</v>
      </c>
      <c r="B323" s="12" t="s">
        <v>148</v>
      </c>
      <c r="C323">
        <v>16086341.876405537</v>
      </c>
      <c r="D323">
        <v>17886675.370863657</v>
      </c>
      <c r="G323">
        <v>3</v>
      </c>
      <c r="H323">
        <v>4</v>
      </c>
      <c r="K323">
        <v>3</v>
      </c>
      <c r="L323">
        <v>4</v>
      </c>
      <c r="O323">
        <v>5763144.1441441439</v>
      </c>
      <c r="P323">
        <v>5948054.0540540544</v>
      </c>
      <c r="S323">
        <v>489</v>
      </c>
      <c r="T323">
        <v>460</v>
      </c>
    </row>
    <row r="324" spans="1:20" x14ac:dyDescent="0.35">
      <c r="A324" s="7" t="s">
        <v>420</v>
      </c>
      <c r="B324" s="12" t="s">
        <v>305</v>
      </c>
      <c r="C324">
        <v>145888677.08771658</v>
      </c>
      <c r="D324">
        <v>133663343.65489757</v>
      </c>
      <c r="E324">
        <v>4176801.8018017998</v>
      </c>
      <c r="F324">
        <v>2907207.2072072141</v>
      </c>
      <c r="G324">
        <v>101</v>
      </c>
      <c r="H324">
        <v>55</v>
      </c>
      <c r="K324">
        <v>116</v>
      </c>
      <c r="L324">
        <v>70</v>
      </c>
      <c r="M324">
        <v>27700000</v>
      </c>
      <c r="N324">
        <v>34680180.180180185</v>
      </c>
      <c r="O324">
        <v>31869421.62162162</v>
      </c>
      <c r="P324">
        <v>30521549.54954955</v>
      </c>
      <c r="Q324">
        <v>24392072.072072074</v>
      </c>
      <c r="R324">
        <v>33134954.954954952</v>
      </c>
      <c r="S324">
        <v>2362</v>
      </c>
      <c r="T324">
        <v>2215</v>
      </c>
    </row>
    <row r="325" spans="1:20" x14ac:dyDescent="0.35">
      <c r="A325" s="7" t="s">
        <v>421</v>
      </c>
      <c r="B325" s="12" t="s">
        <v>305</v>
      </c>
      <c r="C325">
        <v>166107379.40508154</v>
      </c>
      <c r="D325">
        <v>163204948.19576842</v>
      </c>
      <c r="E325">
        <v>6711486.4864864852</v>
      </c>
      <c r="F325">
        <v>4648648.6486486662</v>
      </c>
      <c r="G325">
        <v>587</v>
      </c>
      <c r="H325">
        <v>255</v>
      </c>
      <c r="K325">
        <v>807</v>
      </c>
      <c r="L325">
        <v>605</v>
      </c>
      <c r="M325">
        <v>33363963.963963959</v>
      </c>
      <c r="N325">
        <v>37718018.018018022</v>
      </c>
      <c r="O325">
        <v>52443016.216216214</v>
      </c>
      <c r="P325">
        <v>56578861.261261255</v>
      </c>
      <c r="Q325">
        <v>24544684.684684679</v>
      </c>
      <c r="R325">
        <v>34472342.342342339</v>
      </c>
      <c r="S325">
        <v>3099</v>
      </c>
      <c r="T325">
        <v>2929</v>
      </c>
    </row>
    <row r="326" spans="1:20" x14ac:dyDescent="0.35">
      <c r="A326" s="7" t="s">
        <v>422</v>
      </c>
      <c r="B326" s="12" t="s">
        <v>122</v>
      </c>
      <c r="C326">
        <v>6580235.7284486648</v>
      </c>
      <c r="D326">
        <v>7617750.1089646909</v>
      </c>
      <c r="E326">
        <v>42342.342342342999</v>
      </c>
      <c r="G326">
        <v>4</v>
      </c>
      <c r="H326">
        <v>4</v>
      </c>
      <c r="K326">
        <v>4</v>
      </c>
      <c r="L326">
        <v>4</v>
      </c>
      <c r="M326">
        <v>42342.342342342999</v>
      </c>
      <c r="N326">
        <v>180180.18018018</v>
      </c>
      <c r="O326">
        <v>658144.14414414403</v>
      </c>
      <c r="P326">
        <v>649324.32432432403</v>
      </c>
      <c r="Q326">
        <v>169369.369369369</v>
      </c>
      <c r="R326">
        <v>262612.61261261202</v>
      </c>
      <c r="S326">
        <v>320</v>
      </c>
      <c r="T326">
        <v>267</v>
      </c>
    </row>
    <row r="327" spans="1:20" x14ac:dyDescent="0.35">
      <c r="A327" s="7" t="s">
        <v>423</v>
      </c>
      <c r="B327" s="12" t="s">
        <v>61</v>
      </c>
      <c r="C327">
        <v>86292667.933508173</v>
      </c>
      <c r="D327">
        <v>82790735.002165452</v>
      </c>
      <c r="E327">
        <v>1117117.1171171181</v>
      </c>
      <c r="F327">
        <v>1207657.657657658</v>
      </c>
      <c r="G327">
        <v>43</v>
      </c>
      <c r="H327">
        <v>38</v>
      </c>
      <c r="I327">
        <v>5</v>
      </c>
      <c r="K327">
        <v>48</v>
      </c>
      <c r="L327">
        <v>52</v>
      </c>
      <c r="M327">
        <v>21893693.693693697</v>
      </c>
      <c r="N327">
        <v>18690540.540540539</v>
      </c>
      <c r="O327">
        <v>30274918.918918919</v>
      </c>
      <c r="P327">
        <v>31839720.72072072</v>
      </c>
      <c r="Q327">
        <v>22393603.603603605</v>
      </c>
      <c r="R327">
        <v>19401891.891891893</v>
      </c>
      <c r="S327">
        <v>2064</v>
      </c>
      <c r="T327">
        <v>2025</v>
      </c>
    </row>
    <row r="328" spans="1:20" x14ac:dyDescent="0.35">
      <c r="A328" s="7" t="s">
        <v>424</v>
      </c>
      <c r="B328" s="12" t="s">
        <v>182</v>
      </c>
      <c r="C328">
        <v>852163985.85763705</v>
      </c>
      <c r="D328">
        <v>874861788.18394256</v>
      </c>
      <c r="E328">
        <v>9136036.0360360444</v>
      </c>
      <c r="F328">
        <v>9772972.9729729816</v>
      </c>
      <c r="G328">
        <v>328</v>
      </c>
      <c r="H328">
        <v>324</v>
      </c>
      <c r="I328">
        <v>1</v>
      </c>
      <c r="K328">
        <v>417</v>
      </c>
      <c r="L328">
        <v>405</v>
      </c>
      <c r="M328">
        <v>133956306.3063063</v>
      </c>
      <c r="N328">
        <v>210148423.42342341</v>
      </c>
      <c r="O328">
        <v>247607879.27927929</v>
      </c>
      <c r="P328">
        <v>258948369.36936939</v>
      </c>
      <c r="Q328">
        <v>130267477.47747748</v>
      </c>
      <c r="R328">
        <v>207368828.82882884</v>
      </c>
      <c r="S328">
        <v>21921</v>
      </c>
      <c r="T328">
        <v>22387</v>
      </c>
    </row>
    <row r="329" spans="1:20" x14ac:dyDescent="0.35">
      <c r="A329" s="7" t="s">
        <v>425</v>
      </c>
      <c r="B329" s="12" t="s">
        <v>77</v>
      </c>
      <c r="C329">
        <v>26843578.448763199</v>
      </c>
      <c r="D329">
        <v>25704882.554779842</v>
      </c>
      <c r="E329">
        <v>54054.054054054999</v>
      </c>
      <c r="F329">
        <v>157657.65765765801</v>
      </c>
      <c r="G329">
        <v>4</v>
      </c>
      <c r="H329">
        <v>3</v>
      </c>
      <c r="K329">
        <v>5</v>
      </c>
      <c r="L329">
        <v>4</v>
      </c>
      <c r="M329">
        <v>1972972.972972973</v>
      </c>
      <c r="N329">
        <v>3130630.630630631</v>
      </c>
      <c r="O329">
        <v>2628306.3063063058</v>
      </c>
      <c r="P329">
        <v>4089459.4594594589</v>
      </c>
      <c r="Q329">
        <v>2106486.4864864862</v>
      </c>
      <c r="R329">
        <v>2141981.981981982</v>
      </c>
      <c r="S329">
        <v>940</v>
      </c>
      <c r="T329">
        <v>929</v>
      </c>
    </row>
    <row r="330" spans="1:20" x14ac:dyDescent="0.35">
      <c r="A330" s="7" t="s">
        <v>426</v>
      </c>
      <c r="B330" s="12" t="s">
        <v>77</v>
      </c>
      <c r="C330">
        <v>98518675.626082018</v>
      </c>
      <c r="D330">
        <v>100670494.53174159</v>
      </c>
      <c r="E330">
        <v>145045.04504504599</v>
      </c>
      <c r="F330">
        <v>979279.27927927906</v>
      </c>
      <c r="G330">
        <v>22</v>
      </c>
      <c r="H330">
        <v>23</v>
      </c>
      <c r="K330">
        <v>24</v>
      </c>
      <c r="L330">
        <v>25</v>
      </c>
      <c r="M330">
        <v>12230720.72072072</v>
      </c>
      <c r="N330">
        <v>22737117.117117122</v>
      </c>
      <c r="O330">
        <v>21565243.243243244</v>
      </c>
      <c r="P330">
        <v>23392513.513513513</v>
      </c>
      <c r="Q330">
        <v>8987387.3873873856</v>
      </c>
      <c r="R330">
        <v>17540990.990990993</v>
      </c>
      <c r="S330">
        <v>1459</v>
      </c>
      <c r="T330">
        <v>1476</v>
      </c>
    </row>
    <row r="331" spans="1:20" x14ac:dyDescent="0.35">
      <c r="A331" s="7" t="s">
        <v>427</v>
      </c>
      <c r="B331" s="12" t="s">
        <v>331</v>
      </c>
      <c r="C331">
        <v>521015827.5921433</v>
      </c>
      <c r="D331">
        <v>468290034.39078069</v>
      </c>
      <c r="E331">
        <v>4195270.270270274</v>
      </c>
      <c r="F331">
        <v>2008108.108108114</v>
      </c>
      <c r="G331">
        <v>192</v>
      </c>
      <c r="H331">
        <v>178</v>
      </c>
      <c r="K331">
        <v>214</v>
      </c>
      <c r="L331">
        <v>207</v>
      </c>
      <c r="M331">
        <v>29666126.126126129</v>
      </c>
      <c r="N331">
        <v>48407207.20720721</v>
      </c>
      <c r="O331">
        <v>144581173.42342341</v>
      </c>
      <c r="P331">
        <v>90367621.621621609</v>
      </c>
      <c r="Q331">
        <v>25309729.729729727</v>
      </c>
      <c r="R331">
        <v>46626576.576576576</v>
      </c>
      <c r="S331">
        <v>11861</v>
      </c>
      <c r="T331">
        <v>11736</v>
      </c>
    </row>
    <row r="332" spans="1:20" x14ac:dyDescent="0.35">
      <c r="A332" s="7" t="s">
        <v>428</v>
      </c>
      <c r="B332" s="12" t="s">
        <v>242</v>
      </c>
      <c r="C332">
        <v>131579436.77127157</v>
      </c>
      <c r="D332">
        <v>122999217.83854046</v>
      </c>
      <c r="E332">
        <v>925225.22522522602</v>
      </c>
      <c r="F332">
        <v>1449549.5495495489</v>
      </c>
      <c r="G332">
        <v>47</v>
      </c>
      <c r="H332">
        <v>38</v>
      </c>
      <c r="K332">
        <v>52</v>
      </c>
      <c r="L332">
        <v>43</v>
      </c>
      <c r="M332">
        <v>16629999.999999998</v>
      </c>
      <c r="N332">
        <v>18829279.27927928</v>
      </c>
      <c r="O332">
        <v>50758414.414414413</v>
      </c>
      <c r="P332">
        <v>50127738.738738738</v>
      </c>
      <c r="Q332">
        <v>15980810.810810808</v>
      </c>
      <c r="R332">
        <v>21306846.846846849</v>
      </c>
      <c r="S332">
        <v>5274</v>
      </c>
      <c r="T332">
        <v>5401</v>
      </c>
    </row>
    <row r="333" spans="1:20" x14ac:dyDescent="0.35">
      <c r="A333" s="7" t="s">
        <v>429</v>
      </c>
      <c r="B333" s="12" t="s">
        <v>284</v>
      </c>
      <c r="C333">
        <v>55075518.09619581</v>
      </c>
      <c r="D333">
        <v>67717184.682818726</v>
      </c>
      <c r="E333">
        <v>555855.85585585702</v>
      </c>
      <c r="F333">
        <v>1476576.576576577</v>
      </c>
      <c r="G333">
        <v>6</v>
      </c>
      <c r="H333">
        <v>64</v>
      </c>
      <c r="K333">
        <v>35</v>
      </c>
      <c r="L333">
        <v>79</v>
      </c>
      <c r="M333">
        <v>25180720.72072072</v>
      </c>
      <c r="N333">
        <v>16377477.47747748</v>
      </c>
      <c r="O333">
        <v>10445252.252252253</v>
      </c>
      <c r="P333">
        <v>16829279.27927928</v>
      </c>
      <c r="Q333">
        <v>26639819.819819823</v>
      </c>
      <c r="R333">
        <v>13015945.945945948</v>
      </c>
      <c r="S333">
        <v>1171</v>
      </c>
      <c r="T333">
        <v>1394</v>
      </c>
    </row>
    <row r="334" spans="1:20" x14ac:dyDescent="0.35">
      <c r="A334" s="7" t="s">
        <v>430</v>
      </c>
      <c r="B334" s="12" t="s">
        <v>284</v>
      </c>
      <c r="C334">
        <v>17562604.555093996</v>
      </c>
      <c r="D334">
        <v>17546836.726652965</v>
      </c>
      <c r="E334">
        <v>207207.20720720699</v>
      </c>
      <c r="F334">
        <v>499099.099099099</v>
      </c>
      <c r="H334">
        <v>1</v>
      </c>
      <c r="L334">
        <v>1</v>
      </c>
      <c r="M334">
        <v>3090090.090090089</v>
      </c>
      <c r="N334">
        <v>5165765.7657657657</v>
      </c>
      <c r="O334">
        <v>1253369.369369369</v>
      </c>
      <c r="P334">
        <v>2017810.8108108109</v>
      </c>
      <c r="Q334">
        <v>2885855.8558558552</v>
      </c>
      <c r="R334">
        <v>4580990.9909909908</v>
      </c>
      <c r="S334">
        <v>556</v>
      </c>
      <c r="T334">
        <v>471</v>
      </c>
    </row>
    <row r="335" spans="1:20" x14ac:dyDescent="0.35">
      <c r="A335" s="7" t="s">
        <v>431</v>
      </c>
      <c r="B335" s="12" t="s">
        <v>284</v>
      </c>
      <c r="C335">
        <v>37251428.730891377</v>
      </c>
      <c r="D335">
        <v>41722275.693371229</v>
      </c>
      <c r="E335">
        <v>198198.19819819799</v>
      </c>
      <c r="F335">
        <v>554054.05405405501</v>
      </c>
      <c r="G335">
        <v>5</v>
      </c>
      <c r="H335">
        <v>1</v>
      </c>
      <c r="K335">
        <v>5</v>
      </c>
      <c r="L335">
        <v>3</v>
      </c>
      <c r="M335">
        <v>288288.28828828799</v>
      </c>
      <c r="N335">
        <v>554054.05405405501</v>
      </c>
      <c r="O335">
        <v>3237297.297297298</v>
      </c>
      <c r="P335">
        <v>3729495.4954954959</v>
      </c>
      <c r="Q335">
        <v>173423.423423423</v>
      </c>
      <c r="R335">
        <v>340720.720720721</v>
      </c>
      <c r="S335">
        <v>755</v>
      </c>
      <c r="T335">
        <v>812</v>
      </c>
    </row>
    <row r="336" spans="1:20" x14ac:dyDescent="0.35">
      <c r="A336" s="7" t="s">
        <v>432</v>
      </c>
      <c r="B336" s="12" t="s">
        <v>79</v>
      </c>
      <c r="C336">
        <v>220204059.36761045</v>
      </c>
      <c r="D336">
        <v>222996072.64575303</v>
      </c>
      <c r="E336">
        <v>3020720.7207207251</v>
      </c>
      <c r="F336">
        <v>5164864.8648648681</v>
      </c>
      <c r="G336">
        <v>205</v>
      </c>
      <c r="H336">
        <v>134</v>
      </c>
      <c r="K336">
        <v>300</v>
      </c>
      <c r="L336">
        <v>210</v>
      </c>
      <c r="M336">
        <v>22863063.063063063</v>
      </c>
      <c r="N336">
        <v>31498198.198198199</v>
      </c>
      <c r="O336">
        <v>97193828.828828827</v>
      </c>
      <c r="P336">
        <v>97485675.675675675</v>
      </c>
      <c r="Q336">
        <v>23428018.018018015</v>
      </c>
      <c r="R336">
        <v>26845495.495495494</v>
      </c>
      <c r="S336">
        <v>6453</v>
      </c>
      <c r="T336">
        <v>6450</v>
      </c>
    </row>
    <row r="337" spans="1:20" x14ac:dyDescent="0.35">
      <c r="A337" s="7" t="s">
        <v>433</v>
      </c>
      <c r="B337" s="12" t="s">
        <v>106</v>
      </c>
      <c r="C337">
        <v>199657668.51450172</v>
      </c>
      <c r="D337">
        <v>187639630.17926362</v>
      </c>
      <c r="E337">
        <v>526126.12612612604</v>
      </c>
      <c r="F337">
        <v>1107207.207207208</v>
      </c>
      <c r="G337">
        <v>21</v>
      </c>
      <c r="H337">
        <v>42</v>
      </c>
      <c r="I337">
        <v>1</v>
      </c>
      <c r="K337">
        <v>23</v>
      </c>
      <c r="L337">
        <v>48</v>
      </c>
      <c r="M337">
        <v>24231306.306306306</v>
      </c>
      <c r="N337">
        <v>31972972.97297297</v>
      </c>
      <c r="O337">
        <v>46892675.675675675</v>
      </c>
      <c r="P337">
        <v>52897657.657657653</v>
      </c>
      <c r="Q337">
        <v>24888783.783783782</v>
      </c>
      <c r="R337">
        <v>32279729.729729727</v>
      </c>
      <c r="S337">
        <v>3626</v>
      </c>
      <c r="T337">
        <v>3012</v>
      </c>
    </row>
    <row r="338" spans="1:20" x14ac:dyDescent="0.35">
      <c r="A338" s="7" t="s">
        <v>434</v>
      </c>
      <c r="B338" s="12" t="s">
        <v>73</v>
      </c>
      <c r="C338">
        <v>1068893515.3037925</v>
      </c>
      <c r="D338">
        <v>1063556732.7312201</v>
      </c>
      <c r="E338">
        <v>6740090.0900901062</v>
      </c>
      <c r="F338">
        <v>5774774.7747747926</v>
      </c>
      <c r="G338">
        <v>317</v>
      </c>
      <c r="H338">
        <v>260</v>
      </c>
      <c r="I338">
        <v>4</v>
      </c>
      <c r="K338">
        <v>445</v>
      </c>
      <c r="L338">
        <v>304</v>
      </c>
      <c r="M338">
        <v>164343693.6936937</v>
      </c>
      <c r="N338">
        <v>171323873.87387386</v>
      </c>
      <c r="O338">
        <v>225065511.26126125</v>
      </c>
      <c r="P338">
        <v>244935117.11711711</v>
      </c>
      <c r="Q338">
        <v>118129279.27927928</v>
      </c>
      <c r="R338">
        <v>124117117.11711712</v>
      </c>
      <c r="S338">
        <v>18357</v>
      </c>
      <c r="T338">
        <v>18141</v>
      </c>
    </row>
    <row r="339" spans="1:20" x14ac:dyDescent="0.35">
      <c r="A339" s="7" t="s">
        <v>435</v>
      </c>
      <c r="B339" s="12" t="s">
        <v>73</v>
      </c>
      <c r="C339">
        <v>732738064.11021137</v>
      </c>
      <c r="D339">
        <v>757596393.40128362</v>
      </c>
      <c r="E339">
        <v>45466891.891891904</v>
      </c>
      <c r="F339">
        <v>70217387.387387395</v>
      </c>
      <c r="G339">
        <v>169</v>
      </c>
      <c r="H339">
        <v>115</v>
      </c>
      <c r="I339">
        <v>2</v>
      </c>
      <c r="K339">
        <v>206</v>
      </c>
      <c r="L339">
        <v>130</v>
      </c>
      <c r="M339">
        <v>87521621.621621609</v>
      </c>
      <c r="N339">
        <v>96870720.720720723</v>
      </c>
      <c r="O339">
        <v>138320873.87387386</v>
      </c>
      <c r="P339">
        <v>162179279.27927929</v>
      </c>
      <c r="Q339">
        <v>60529549.54954955</v>
      </c>
      <c r="R339">
        <v>64850180.180180177</v>
      </c>
      <c r="S339">
        <v>13268</v>
      </c>
      <c r="T339">
        <v>13493</v>
      </c>
    </row>
    <row r="340" spans="1:20" x14ac:dyDescent="0.35">
      <c r="A340" s="7" t="s">
        <v>436</v>
      </c>
      <c r="B340" s="12" t="s">
        <v>95</v>
      </c>
      <c r="C340">
        <v>51744676.943166018</v>
      </c>
      <c r="D340">
        <v>55570278.649446636</v>
      </c>
      <c r="E340">
        <v>13513.513513514001</v>
      </c>
      <c r="G340">
        <v>3</v>
      </c>
      <c r="H340">
        <v>6</v>
      </c>
      <c r="K340">
        <v>3</v>
      </c>
      <c r="L340">
        <v>8</v>
      </c>
      <c r="M340">
        <v>554054.05405405397</v>
      </c>
      <c r="N340">
        <v>450450.45045045001</v>
      </c>
      <c r="O340">
        <v>12551414.414414413</v>
      </c>
      <c r="P340">
        <v>15655819.819819819</v>
      </c>
      <c r="Q340">
        <v>381801.80180180201</v>
      </c>
      <c r="R340">
        <v>308558.55855855899</v>
      </c>
      <c r="S340">
        <v>896</v>
      </c>
      <c r="T340">
        <v>886</v>
      </c>
    </row>
    <row r="341" spans="1:20" x14ac:dyDescent="0.35">
      <c r="A341" s="7" t="s">
        <v>437</v>
      </c>
      <c r="B341" s="12" t="s">
        <v>90</v>
      </c>
      <c r="C341">
        <v>266975617.86495134</v>
      </c>
      <c r="D341">
        <v>287698356.93102348</v>
      </c>
      <c r="E341">
        <v>3623423.4234234309</v>
      </c>
      <c r="F341">
        <v>4664864.8648648709</v>
      </c>
      <c r="G341">
        <v>75</v>
      </c>
      <c r="H341">
        <v>48</v>
      </c>
      <c r="K341">
        <v>86</v>
      </c>
      <c r="L341">
        <v>56</v>
      </c>
      <c r="M341">
        <v>36643963.963963963</v>
      </c>
      <c r="N341">
        <v>41524234.234234229</v>
      </c>
      <c r="O341">
        <v>121780445.94594595</v>
      </c>
      <c r="P341">
        <v>133579315.31531531</v>
      </c>
      <c r="Q341">
        <v>36584684.684684686</v>
      </c>
      <c r="R341">
        <v>45332882.882882878</v>
      </c>
      <c r="S341">
        <v>5319</v>
      </c>
      <c r="T341">
        <v>6337</v>
      </c>
    </row>
    <row r="342" spans="1:20" x14ac:dyDescent="0.35">
      <c r="A342" s="7" t="s">
        <v>438</v>
      </c>
      <c r="B342" s="12" t="s">
        <v>71</v>
      </c>
      <c r="C342">
        <v>8354911.5163482903</v>
      </c>
      <c r="D342">
        <v>7722729.9445628328</v>
      </c>
      <c r="E342">
        <v>76148648.648648649</v>
      </c>
      <c r="F342">
        <v>31081081.081081081</v>
      </c>
      <c r="G342">
        <v>6</v>
      </c>
      <c r="H342">
        <v>5</v>
      </c>
      <c r="K342">
        <v>6</v>
      </c>
      <c r="L342">
        <v>5</v>
      </c>
      <c r="M342">
        <v>26832882.882882886</v>
      </c>
      <c r="N342">
        <v>26726126.126126129</v>
      </c>
      <c r="O342">
        <v>5646252.2522522518</v>
      </c>
      <c r="P342">
        <v>5281207.2072072066</v>
      </c>
      <c r="S342">
        <v>1102</v>
      </c>
      <c r="T342">
        <v>2815</v>
      </c>
    </row>
    <row r="343" spans="1:20" x14ac:dyDescent="0.35">
      <c r="A343" s="7" t="s">
        <v>439</v>
      </c>
      <c r="B343" s="12" t="s">
        <v>196</v>
      </c>
      <c r="C343">
        <v>1269135443.2313461</v>
      </c>
      <c r="D343">
        <v>1274515898.8911464</v>
      </c>
      <c r="E343">
        <v>250269972.97297296</v>
      </c>
      <c r="F343">
        <v>287343135.13513517</v>
      </c>
      <c r="G343">
        <v>348</v>
      </c>
      <c r="H343">
        <v>194</v>
      </c>
      <c r="K343">
        <v>415</v>
      </c>
      <c r="L343">
        <v>275</v>
      </c>
      <c r="M343">
        <v>132094774.77477477</v>
      </c>
      <c r="N343">
        <v>116715765.76576577</v>
      </c>
      <c r="O343">
        <v>218832738.73873875</v>
      </c>
      <c r="P343">
        <v>226940232.43243244</v>
      </c>
      <c r="Q343">
        <v>104925945.94594595</v>
      </c>
      <c r="R343">
        <v>98083783.783783779</v>
      </c>
      <c r="S343">
        <v>20509</v>
      </c>
      <c r="T343">
        <v>22016</v>
      </c>
    </row>
    <row r="344" spans="1:20" x14ac:dyDescent="0.35">
      <c r="A344" s="7" t="s">
        <v>440</v>
      </c>
      <c r="B344" s="12" t="s">
        <v>179</v>
      </c>
      <c r="C344">
        <v>641239483.42029059</v>
      </c>
      <c r="D344">
        <v>628043789.43463039</v>
      </c>
      <c r="E344">
        <v>4343243.2432432454</v>
      </c>
      <c r="F344">
        <v>6631531.531531536</v>
      </c>
      <c r="G344">
        <v>158</v>
      </c>
      <c r="H344">
        <v>76</v>
      </c>
      <c r="I344">
        <v>1</v>
      </c>
      <c r="K344">
        <v>220</v>
      </c>
      <c r="L344">
        <v>99</v>
      </c>
      <c r="M344">
        <v>114501566.66666667</v>
      </c>
      <c r="N344">
        <v>111609009.009009</v>
      </c>
      <c r="O344">
        <v>256815094.5945946</v>
      </c>
      <c r="P344">
        <v>266493207.2072072</v>
      </c>
      <c r="Q344">
        <v>99485180.180180177</v>
      </c>
      <c r="R344">
        <v>100830450.45045045</v>
      </c>
      <c r="S344">
        <v>14417</v>
      </c>
      <c r="T344">
        <v>14929</v>
      </c>
    </row>
    <row r="345" spans="1:20" x14ac:dyDescent="0.35">
      <c r="A345" s="7" t="s">
        <v>441</v>
      </c>
      <c r="B345" s="12" t="s">
        <v>79</v>
      </c>
      <c r="C345">
        <v>271172965.678105</v>
      </c>
      <c r="D345">
        <v>266955118.2299664</v>
      </c>
      <c r="E345">
        <v>3645045.0450450471</v>
      </c>
      <c r="F345">
        <v>5575225.2252252288</v>
      </c>
      <c r="G345">
        <v>57</v>
      </c>
      <c r="H345">
        <v>127</v>
      </c>
      <c r="I345">
        <v>4</v>
      </c>
      <c r="K345">
        <v>118</v>
      </c>
      <c r="L345">
        <v>160</v>
      </c>
      <c r="M345">
        <v>26167567.567567568</v>
      </c>
      <c r="N345">
        <v>34949099.0990991</v>
      </c>
      <c r="O345">
        <v>55261306.306306303</v>
      </c>
      <c r="P345">
        <v>60380360.360360362</v>
      </c>
      <c r="Q345">
        <v>26243153.153153155</v>
      </c>
      <c r="R345">
        <v>31962162.162162162</v>
      </c>
      <c r="S345">
        <v>4696</v>
      </c>
      <c r="T345">
        <v>4972</v>
      </c>
    </row>
    <row r="346" spans="1:20" x14ac:dyDescent="0.35">
      <c r="A346" s="7" t="s">
        <v>442</v>
      </c>
      <c r="B346" s="12" t="s">
        <v>79</v>
      </c>
      <c r="C346">
        <v>114040344.23263757</v>
      </c>
      <c r="D346">
        <v>120834503.41829476</v>
      </c>
      <c r="E346">
        <v>2053153.153153155</v>
      </c>
      <c r="F346">
        <v>1858558.558558563</v>
      </c>
      <c r="G346">
        <v>31</v>
      </c>
      <c r="H346">
        <v>27</v>
      </c>
      <c r="I346">
        <v>1</v>
      </c>
      <c r="K346">
        <v>41</v>
      </c>
      <c r="L346">
        <v>30</v>
      </c>
      <c r="M346">
        <v>26722252.252252247</v>
      </c>
      <c r="N346">
        <v>24505225.225225225</v>
      </c>
      <c r="O346">
        <v>25003738.738738742</v>
      </c>
      <c r="P346">
        <v>25480585.585585583</v>
      </c>
      <c r="Q346">
        <v>24739099.0990991</v>
      </c>
      <c r="R346">
        <v>21198108.108108103</v>
      </c>
      <c r="S346">
        <v>2297</v>
      </c>
      <c r="T346">
        <v>2388</v>
      </c>
    </row>
    <row r="347" spans="1:20" x14ac:dyDescent="0.35">
      <c r="A347" s="7" t="s">
        <v>443</v>
      </c>
      <c r="B347" s="12" t="s">
        <v>124</v>
      </c>
      <c r="C347">
        <v>1854152.3486199621</v>
      </c>
      <c r="D347">
        <v>1083300.47731236</v>
      </c>
      <c r="O347">
        <v>715450.45045044995</v>
      </c>
      <c r="P347">
        <v>392828.82882882899</v>
      </c>
      <c r="S347">
        <v>58</v>
      </c>
      <c r="T347">
        <v>300</v>
      </c>
    </row>
    <row r="348" spans="1:20" x14ac:dyDescent="0.35">
      <c r="A348" s="7" t="s">
        <v>444</v>
      </c>
      <c r="B348" s="12" t="s">
        <v>141</v>
      </c>
      <c r="C348">
        <v>275656252.2061823</v>
      </c>
      <c r="D348">
        <v>279726266.64256263</v>
      </c>
      <c r="E348">
        <v>2296846.8468468469</v>
      </c>
      <c r="F348">
        <v>4850450.4504504539</v>
      </c>
      <c r="G348">
        <v>47</v>
      </c>
      <c r="H348">
        <v>59</v>
      </c>
      <c r="I348">
        <v>10</v>
      </c>
      <c r="K348">
        <v>95</v>
      </c>
      <c r="L348">
        <v>70</v>
      </c>
      <c r="M348">
        <v>33244504.504504506</v>
      </c>
      <c r="N348">
        <v>41147117.117117114</v>
      </c>
      <c r="O348">
        <v>76330360.360360354</v>
      </c>
      <c r="P348">
        <v>81448477.477477476</v>
      </c>
      <c r="Q348">
        <v>26389189.189189184</v>
      </c>
      <c r="R348">
        <v>35063153.153153151</v>
      </c>
      <c r="S348">
        <v>5732</v>
      </c>
      <c r="T348">
        <v>5568</v>
      </c>
    </row>
    <row r="349" spans="1:20" x14ac:dyDescent="0.35">
      <c r="A349" s="7" t="s">
        <v>445</v>
      </c>
      <c r="B349" s="12" t="s">
        <v>77</v>
      </c>
      <c r="C349">
        <v>30837243.235374689</v>
      </c>
      <c r="D349">
        <v>28883226.913937815</v>
      </c>
      <c r="E349">
        <v>254054.054054054</v>
      </c>
      <c r="F349">
        <v>139639.63963963999</v>
      </c>
      <c r="G349">
        <v>5</v>
      </c>
      <c r="H349">
        <v>2</v>
      </c>
      <c r="K349">
        <v>6</v>
      </c>
      <c r="L349">
        <v>2</v>
      </c>
      <c r="M349">
        <v>5258558.558558559</v>
      </c>
      <c r="N349">
        <v>9458558.5585585572</v>
      </c>
      <c r="O349">
        <v>6839702.702702703</v>
      </c>
      <c r="P349">
        <v>6909657.6576576577</v>
      </c>
      <c r="Q349">
        <v>4700000</v>
      </c>
      <c r="R349">
        <v>6962342.3423423423</v>
      </c>
      <c r="S349">
        <v>606</v>
      </c>
      <c r="T349">
        <v>560</v>
      </c>
    </row>
    <row r="350" spans="1:20" x14ac:dyDescent="0.35">
      <c r="A350" s="7" t="s">
        <v>446</v>
      </c>
      <c r="B350" s="12" t="s">
        <v>90</v>
      </c>
      <c r="C350">
        <v>849168179.6874572</v>
      </c>
      <c r="D350">
        <v>841595852.66622281</v>
      </c>
      <c r="E350">
        <v>413346465.76576579</v>
      </c>
      <c r="F350">
        <v>749915838.73873878</v>
      </c>
      <c r="G350">
        <v>359</v>
      </c>
      <c r="H350">
        <v>284</v>
      </c>
      <c r="I350">
        <v>3</v>
      </c>
      <c r="K350">
        <v>1133</v>
      </c>
      <c r="L350">
        <v>444</v>
      </c>
      <c r="M350">
        <v>281502072.07207209</v>
      </c>
      <c r="N350">
        <v>129580720.72072072</v>
      </c>
      <c r="O350">
        <v>281773151.35135138</v>
      </c>
      <c r="P350">
        <v>280592009.009009</v>
      </c>
      <c r="Q350">
        <v>170186486.48648649</v>
      </c>
      <c r="R350">
        <v>125504504.5045045</v>
      </c>
      <c r="S350">
        <v>16211</v>
      </c>
      <c r="T350">
        <v>16172</v>
      </c>
    </row>
    <row r="351" spans="1:20" x14ac:dyDescent="0.35">
      <c r="A351" s="7" t="s">
        <v>447</v>
      </c>
      <c r="B351" s="12" t="s">
        <v>49</v>
      </c>
      <c r="C351">
        <v>83542177.220813379</v>
      </c>
      <c r="D351">
        <v>83319144.461126417</v>
      </c>
      <c r="E351">
        <v>2136036.036036036</v>
      </c>
      <c r="F351">
        <v>1023423.423423424</v>
      </c>
      <c r="G351">
        <v>10</v>
      </c>
      <c r="H351">
        <v>3</v>
      </c>
      <c r="K351">
        <v>12</v>
      </c>
      <c r="L351">
        <v>4</v>
      </c>
      <c r="M351">
        <v>20366126.126126129</v>
      </c>
      <c r="N351">
        <v>14334234.234234236</v>
      </c>
      <c r="O351">
        <v>28617954.954954956</v>
      </c>
      <c r="P351">
        <v>31854180.180180181</v>
      </c>
      <c r="Q351">
        <v>20339639.639639638</v>
      </c>
      <c r="R351">
        <v>14637747.747747747</v>
      </c>
      <c r="S351">
        <v>1050</v>
      </c>
      <c r="T351">
        <v>1120</v>
      </c>
    </row>
    <row r="352" spans="1:20" x14ac:dyDescent="0.35">
      <c r="A352" s="7" t="s">
        <v>448</v>
      </c>
      <c r="B352" s="12" t="s">
        <v>449</v>
      </c>
      <c r="C352">
        <v>169149243.83045813</v>
      </c>
      <c r="D352">
        <v>180505766.42260462</v>
      </c>
      <c r="E352">
        <v>3816216.2162162159</v>
      </c>
      <c r="F352">
        <v>6824324.3243243238</v>
      </c>
      <c r="G352">
        <v>156</v>
      </c>
      <c r="H352">
        <v>84</v>
      </c>
      <c r="K352">
        <v>190</v>
      </c>
      <c r="L352">
        <v>107</v>
      </c>
      <c r="M352">
        <v>15047567.567567568</v>
      </c>
      <c r="N352">
        <v>99889189.189189181</v>
      </c>
      <c r="O352">
        <v>68526711.711711705</v>
      </c>
      <c r="P352">
        <v>73639135.135135129</v>
      </c>
      <c r="Q352">
        <v>16172432.432432435</v>
      </c>
      <c r="R352">
        <v>98589819.819819823</v>
      </c>
      <c r="S352">
        <v>5759</v>
      </c>
      <c r="T352">
        <v>7110</v>
      </c>
    </row>
    <row r="353" spans="1:20" x14ac:dyDescent="0.35">
      <c r="A353" s="7" t="s">
        <v>450</v>
      </c>
      <c r="B353" s="12" t="s">
        <v>77</v>
      </c>
      <c r="C353">
        <v>40003505.153448142</v>
      </c>
      <c r="D353">
        <v>44650077.774330541</v>
      </c>
      <c r="E353">
        <v>74680180.180180177</v>
      </c>
      <c r="F353">
        <v>68036036.036036044</v>
      </c>
      <c r="G353">
        <v>23</v>
      </c>
      <c r="H353">
        <v>20</v>
      </c>
      <c r="I353">
        <v>1</v>
      </c>
      <c r="K353">
        <v>26</v>
      </c>
      <c r="L353">
        <v>27</v>
      </c>
      <c r="M353">
        <v>10726396.396396397</v>
      </c>
      <c r="N353">
        <v>15146846.846846847</v>
      </c>
      <c r="O353">
        <v>14425493.693693694</v>
      </c>
      <c r="P353">
        <v>15651558.558558561</v>
      </c>
      <c r="Q353">
        <v>9064864.8648648635</v>
      </c>
      <c r="R353">
        <v>10252612.612612613</v>
      </c>
      <c r="S353">
        <v>1914</v>
      </c>
      <c r="T353">
        <v>2381</v>
      </c>
    </row>
    <row r="354" spans="1:20" x14ac:dyDescent="0.35">
      <c r="A354" s="7" t="s">
        <v>451</v>
      </c>
      <c r="B354" s="12" t="s">
        <v>84</v>
      </c>
      <c r="C354">
        <v>1511826681.3481336</v>
      </c>
      <c r="D354">
        <v>1556850940.3658733</v>
      </c>
      <c r="E354">
        <v>633725072.97297287</v>
      </c>
      <c r="F354">
        <v>683879286.48648655</v>
      </c>
      <c r="G354">
        <v>476</v>
      </c>
      <c r="H354">
        <v>311</v>
      </c>
      <c r="I354">
        <v>3</v>
      </c>
      <c r="K354">
        <v>604</v>
      </c>
      <c r="L354">
        <v>525</v>
      </c>
      <c r="M354">
        <v>203619594.5945946</v>
      </c>
      <c r="N354">
        <v>248642072.07207206</v>
      </c>
      <c r="O354">
        <v>329292533.78378379</v>
      </c>
      <c r="P354">
        <v>364403511.71171176</v>
      </c>
      <c r="Q354">
        <v>177550585.58558556</v>
      </c>
      <c r="R354">
        <v>221740495.4954955</v>
      </c>
      <c r="S354">
        <v>31273</v>
      </c>
      <c r="T354">
        <v>31902</v>
      </c>
    </row>
    <row r="355" spans="1:20" x14ac:dyDescent="0.35">
      <c r="A355" s="7" t="s">
        <v>452</v>
      </c>
      <c r="B355" s="12" t="s">
        <v>71</v>
      </c>
      <c r="C355">
        <v>99870699.064415023</v>
      </c>
      <c r="D355">
        <v>98356704.952060267</v>
      </c>
      <c r="E355">
        <v>443243.24324324401</v>
      </c>
      <c r="F355">
        <v>1373873.8738738741</v>
      </c>
      <c r="G355">
        <v>22</v>
      </c>
      <c r="H355">
        <v>11</v>
      </c>
      <c r="K355">
        <v>26</v>
      </c>
      <c r="L355">
        <v>12</v>
      </c>
      <c r="M355">
        <v>2827027.0270270281</v>
      </c>
      <c r="N355">
        <v>189845945.94594595</v>
      </c>
      <c r="O355">
        <v>61689405.40540541</v>
      </c>
      <c r="P355">
        <v>56875144.144144148</v>
      </c>
      <c r="Q355">
        <v>2802432.4324324322</v>
      </c>
      <c r="R355">
        <v>188153333.33333334</v>
      </c>
      <c r="S355">
        <v>2900</v>
      </c>
      <c r="T355">
        <v>2718</v>
      </c>
    </row>
    <row r="356" spans="1:20" x14ac:dyDescent="0.35">
      <c r="A356" s="7" t="s">
        <v>453</v>
      </c>
      <c r="B356" s="12" t="s">
        <v>168</v>
      </c>
      <c r="C356">
        <v>120642194.28028253</v>
      </c>
      <c r="D356">
        <v>124285787.49953105</v>
      </c>
      <c r="E356">
        <v>7027027.0270270268</v>
      </c>
      <c r="F356">
        <v>59754054.054054059</v>
      </c>
      <c r="G356">
        <v>4</v>
      </c>
      <c r="H356">
        <v>18</v>
      </c>
      <c r="K356">
        <v>4</v>
      </c>
      <c r="L356">
        <v>21</v>
      </c>
      <c r="M356">
        <v>5159009.0090090092</v>
      </c>
      <c r="N356">
        <v>4159459.459459458</v>
      </c>
      <c r="O356">
        <v>23027891.891891893</v>
      </c>
      <c r="P356">
        <v>30863180.180180181</v>
      </c>
      <c r="Q356">
        <v>6170450.4504504502</v>
      </c>
      <c r="R356">
        <v>3907387.3873873861</v>
      </c>
      <c r="S356">
        <v>2681</v>
      </c>
      <c r="T356">
        <v>2778</v>
      </c>
    </row>
    <row r="357" spans="1:20" x14ac:dyDescent="0.35">
      <c r="A357" s="7" t="s">
        <v>454</v>
      </c>
      <c r="B357" s="12" t="s">
        <v>122</v>
      </c>
      <c r="C357">
        <v>4849224.4665595517</v>
      </c>
      <c r="D357">
        <v>5592015.1244841078</v>
      </c>
      <c r="E357">
        <v>34234.234234233998</v>
      </c>
      <c r="F357">
        <v>9009.0090090100002</v>
      </c>
      <c r="G357">
        <v>2</v>
      </c>
      <c r="K357">
        <v>2</v>
      </c>
      <c r="M357">
        <v>36036.036036035999</v>
      </c>
      <c r="N357">
        <v>99099.0990991</v>
      </c>
      <c r="O357">
        <v>434774.77477477503</v>
      </c>
      <c r="P357">
        <v>393279.279279279</v>
      </c>
      <c r="R357">
        <v>90090.090090090001</v>
      </c>
      <c r="S357">
        <v>115</v>
      </c>
      <c r="T357">
        <v>132</v>
      </c>
    </row>
    <row r="358" spans="1:20" x14ac:dyDescent="0.35">
      <c r="A358" s="7" t="s">
        <v>455</v>
      </c>
      <c r="B358" s="12" t="s">
        <v>225</v>
      </c>
      <c r="C358">
        <v>40832615.685139991</v>
      </c>
      <c r="D358">
        <v>43131742.624909446</v>
      </c>
      <c r="F358">
        <v>13513.513513514001</v>
      </c>
      <c r="G358">
        <v>1</v>
      </c>
      <c r="K358">
        <v>2</v>
      </c>
      <c r="N358">
        <v>914414.41441441397</v>
      </c>
      <c r="O358">
        <v>7809225.2252252251</v>
      </c>
      <c r="P358">
        <v>12636180.180180181</v>
      </c>
      <c r="Q358">
        <v>168648.64864864899</v>
      </c>
      <c r="R358">
        <v>237567.56756756801</v>
      </c>
      <c r="S358">
        <v>1224</v>
      </c>
      <c r="T358">
        <v>1283</v>
      </c>
    </row>
    <row r="359" spans="1:20" x14ac:dyDescent="0.35">
      <c r="A359" s="7" t="s">
        <v>456</v>
      </c>
      <c r="B359" s="12" t="s">
        <v>95</v>
      </c>
      <c r="C359">
        <v>63591436.009895176</v>
      </c>
      <c r="D359">
        <v>79256061.367184281</v>
      </c>
      <c r="E359">
        <v>540540.54054054106</v>
      </c>
      <c r="F359">
        <v>1612612.6126126151</v>
      </c>
      <c r="G359">
        <v>18</v>
      </c>
      <c r="H359">
        <v>30</v>
      </c>
      <c r="K359">
        <v>20</v>
      </c>
      <c r="L359">
        <v>33</v>
      </c>
      <c r="M359">
        <v>27200450.45045045</v>
      </c>
      <c r="N359">
        <v>17378378.378378376</v>
      </c>
      <c r="O359">
        <v>14501869.369369371</v>
      </c>
      <c r="P359">
        <v>20854346.846846849</v>
      </c>
      <c r="Q359">
        <v>26803963.963963963</v>
      </c>
      <c r="R359">
        <v>15224054.054054052</v>
      </c>
      <c r="S359">
        <v>1782</v>
      </c>
      <c r="T359">
        <v>2105</v>
      </c>
    </row>
    <row r="360" spans="1:20" x14ac:dyDescent="0.35">
      <c r="A360" s="7" t="s">
        <v>669</v>
      </c>
      <c r="B360" s="12" t="s">
        <v>190</v>
      </c>
      <c r="E360">
        <v>3603603.6036036038</v>
      </c>
      <c r="F360">
        <v>37972972.972972974</v>
      </c>
      <c r="M360">
        <v>1494144.1441441439</v>
      </c>
      <c r="N360">
        <v>3648648.648648649</v>
      </c>
    </row>
    <row r="361" spans="1:20" x14ac:dyDescent="0.35">
      <c r="A361" s="7" t="s">
        <v>457</v>
      </c>
      <c r="B361" s="12" t="s">
        <v>61</v>
      </c>
      <c r="C361">
        <v>8895407.196737187</v>
      </c>
      <c r="D361">
        <v>10981673.538881144</v>
      </c>
      <c r="E361">
        <v>171171.17117117101</v>
      </c>
      <c r="F361">
        <v>33333.333333333001</v>
      </c>
      <c r="G361">
        <v>5</v>
      </c>
      <c r="H361">
        <v>3</v>
      </c>
      <c r="K361">
        <v>6</v>
      </c>
      <c r="L361">
        <v>5</v>
      </c>
      <c r="M361">
        <v>1207207.207207208</v>
      </c>
      <c r="N361">
        <v>934234.23423423397</v>
      </c>
      <c r="O361">
        <v>3957378.3783783782</v>
      </c>
      <c r="P361">
        <v>5666099.0990990987</v>
      </c>
      <c r="Q361">
        <v>620270.27027026995</v>
      </c>
      <c r="R361">
        <v>979189.189189189</v>
      </c>
      <c r="S361">
        <v>576</v>
      </c>
      <c r="T361">
        <v>563</v>
      </c>
    </row>
    <row r="362" spans="1:20" x14ac:dyDescent="0.35">
      <c r="A362" s="7" t="s">
        <v>674</v>
      </c>
      <c r="B362" s="12" t="s">
        <v>215</v>
      </c>
      <c r="E362">
        <v>2477477.4774774769</v>
      </c>
      <c r="F362">
        <v>88153153.153153151</v>
      </c>
      <c r="M362">
        <v>344144.14414414403</v>
      </c>
      <c r="N362">
        <v>39639.639639640001</v>
      </c>
    </row>
    <row r="363" spans="1:20" x14ac:dyDescent="0.35">
      <c r="A363" s="7" t="s">
        <v>458</v>
      </c>
      <c r="B363" s="12" t="s">
        <v>215</v>
      </c>
      <c r="C363">
        <v>166841957.23524481</v>
      </c>
      <c r="D363">
        <v>162501784.65874788</v>
      </c>
      <c r="E363">
        <v>396396.39639639598</v>
      </c>
      <c r="G363">
        <v>37</v>
      </c>
      <c r="H363">
        <v>10</v>
      </c>
      <c r="K363">
        <v>39</v>
      </c>
      <c r="L363">
        <v>11</v>
      </c>
      <c r="M363">
        <v>936936.93693693704</v>
      </c>
      <c r="N363">
        <v>360360.36036036001</v>
      </c>
      <c r="O363">
        <v>85115189.189189181</v>
      </c>
      <c r="P363">
        <v>86503378.378378391</v>
      </c>
      <c r="Q363">
        <v>1759909.9099099101</v>
      </c>
      <c r="R363">
        <v>427117.11711711698</v>
      </c>
      <c r="S363">
        <v>2842</v>
      </c>
      <c r="T363">
        <v>3116</v>
      </c>
    </row>
    <row r="364" spans="1:20" x14ac:dyDescent="0.35">
      <c r="A364" s="7" t="s">
        <v>459</v>
      </c>
      <c r="B364" s="12" t="s">
        <v>460</v>
      </c>
      <c r="C364">
        <v>649723433.12030888</v>
      </c>
      <c r="D364">
        <v>689260929.6914624</v>
      </c>
      <c r="E364">
        <v>16787387.387387399</v>
      </c>
      <c r="F364">
        <v>21318468.468468476</v>
      </c>
      <c r="G364">
        <v>446</v>
      </c>
      <c r="H364">
        <v>287</v>
      </c>
      <c r="I364">
        <v>1</v>
      </c>
      <c r="K364">
        <v>567</v>
      </c>
      <c r="L364">
        <v>401</v>
      </c>
      <c r="M364">
        <v>250440315.31531531</v>
      </c>
      <c r="N364">
        <v>226045360.36036035</v>
      </c>
      <c r="O364">
        <v>231860867.11711711</v>
      </c>
      <c r="P364">
        <v>260967194.5945946</v>
      </c>
      <c r="Q364">
        <v>173483828.82882884</v>
      </c>
      <c r="R364">
        <v>194361576.57657659</v>
      </c>
      <c r="S364">
        <v>23732</v>
      </c>
      <c r="T364">
        <v>24891</v>
      </c>
    </row>
    <row r="365" spans="1:20" x14ac:dyDescent="0.35">
      <c r="A365" s="7" t="s">
        <v>461</v>
      </c>
      <c r="B365" s="12" t="s">
        <v>460</v>
      </c>
      <c r="C365">
        <v>2213040789.5597506</v>
      </c>
      <c r="D365">
        <v>2056149810.6967857</v>
      </c>
      <c r="E365">
        <v>14890090.090090092</v>
      </c>
      <c r="F365">
        <v>21235585.58558559</v>
      </c>
      <c r="G365">
        <v>646</v>
      </c>
      <c r="H365">
        <v>480</v>
      </c>
      <c r="I365">
        <v>5</v>
      </c>
      <c r="K365">
        <v>765</v>
      </c>
      <c r="L365">
        <v>729</v>
      </c>
      <c r="M365">
        <v>117812747.74774775</v>
      </c>
      <c r="N365">
        <v>161720765.76576576</v>
      </c>
      <c r="O365">
        <v>1428428662.6126127</v>
      </c>
      <c r="P365">
        <v>1252814801.8018017</v>
      </c>
      <c r="Q365">
        <v>111193558.55855854</v>
      </c>
      <c r="R365">
        <v>154664549.54954955</v>
      </c>
      <c r="S365">
        <v>32038</v>
      </c>
      <c r="T365">
        <v>31043</v>
      </c>
    </row>
    <row r="366" spans="1:20" x14ac:dyDescent="0.35">
      <c r="A366" s="7" t="s">
        <v>462</v>
      </c>
      <c r="B366" s="12" t="s">
        <v>460</v>
      </c>
      <c r="C366">
        <v>1031628949.5900595</v>
      </c>
      <c r="D366">
        <v>1035193794.5478667</v>
      </c>
      <c r="E366">
        <v>27472460.360360365</v>
      </c>
      <c r="F366">
        <v>34932130.630630635</v>
      </c>
      <c r="G366">
        <v>458</v>
      </c>
      <c r="H366">
        <v>429</v>
      </c>
      <c r="I366">
        <v>6</v>
      </c>
      <c r="K366">
        <v>566</v>
      </c>
      <c r="L366">
        <v>627</v>
      </c>
      <c r="M366">
        <v>892425398.1981982</v>
      </c>
      <c r="N366">
        <v>1067057806.3063064</v>
      </c>
      <c r="O366">
        <v>288968490.990991</v>
      </c>
      <c r="P366">
        <v>306508484.68468469</v>
      </c>
      <c r="Q366">
        <v>885239594.5945946</v>
      </c>
      <c r="R366">
        <v>184926486.48648649</v>
      </c>
      <c r="S366">
        <v>25463</v>
      </c>
      <c r="T366">
        <v>22903</v>
      </c>
    </row>
    <row r="367" spans="1:20" x14ac:dyDescent="0.35">
      <c r="A367" s="7" t="s">
        <v>463</v>
      </c>
      <c r="B367" s="12" t="s">
        <v>460</v>
      </c>
      <c r="C367">
        <v>750505651.71361136</v>
      </c>
      <c r="D367">
        <v>684148972.45461452</v>
      </c>
      <c r="E367">
        <v>4809009.0090090148</v>
      </c>
      <c r="F367">
        <v>9726126.1261261255</v>
      </c>
      <c r="G367">
        <v>297</v>
      </c>
      <c r="H367">
        <v>134</v>
      </c>
      <c r="I367">
        <v>5</v>
      </c>
      <c r="K367">
        <v>354</v>
      </c>
      <c r="L367">
        <v>167</v>
      </c>
      <c r="M367">
        <v>134790000</v>
      </c>
      <c r="N367">
        <v>98730342.342342332</v>
      </c>
      <c r="O367">
        <v>170934450.45045045</v>
      </c>
      <c r="P367">
        <v>172734295.4954955</v>
      </c>
      <c r="Q367">
        <v>80452342.342342332</v>
      </c>
      <c r="R367">
        <v>98746756.756756753</v>
      </c>
      <c r="S367">
        <v>19417</v>
      </c>
      <c r="T367">
        <v>17649</v>
      </c>
    </row>
    <row r="368" spans="1:20" x14ac:dyDescent="0.35">
      <c r="A368" s="7" t="s">
        <v>464</v>
      </c>
      <c r="B368" s="12" t="s">
        <v>460</v>
      </c>
      <c r="C368">
        <v>724240540.43358922</v>
      </c>
      <c r="D368">
        <v>756528567.41107893</v>
      </c>
      <c r="E368">
        <v>400652297.2972973</v>
      </c>
      <c r="F368">
        <v>139380630.63063064</v>
      </c>
      <c r="G368">
        <v>846</v>
      </c>
      <c r="H368">
        <v>450</v>
      </c>
      <c r="I368">
        <v>1</v>
      </c>
      <c r="K368">
        <v>1033</v>
      </c>
      <c r="L368">
        <v>1123</v>
      </c>
      <c r="M368">
        <v>181407387.38738739</v>
      </c>
      <c r="N368">
        <v>286550675.67567569</v>
      </c>
      <c r="O368">
        <v>291165078.82882881</v>
      </c>
      <c r="P368">
        <v>309443162.16216218</v>
      </c>
      <c r="Q368">
        <v>190482432.43243244</v>
      </c>
      <c r="R368">
        <v>242438333.33333334</v>
      </c>
      <c r="S368">
        <v>25901</v>
      </c>
      <c r="T368">
        <v>26893</v>
      </c>
    </row>
    <row r="369" spans="1:20" x14ac:dyDescent="0.35">
      <c r="A369" s="7" t="s">
        <v>465</v>
      </c>
      <c r="B369" s="12" t="s">
        <v>460</v>
      </c>
      <c r="C369">
        <v>836622274.06550038</v>
      </c>
      <c r="D369">
        <v>819680539.30554283</v>
      </c>
      <c r="E369">
        <v>1968830381.0810812</v>
      </c>
      <c r="F369">
        <v>1388901750.4504504</v>
      </c>
      <c r="G369">
        <v>342</v>
      </c>
      <c r="H369">
        <v>182</v>
      </c>
      <c r="K369">
        <v>393</v>
      </c>
      <c r="L369">
        <v>252</v>
      </c>
      <c r="M369">
        <v>122423553.15315315</v>
      </c>
      <c r="N369">
        <v>196542792.7927928</v>
      </c>
      <c r="O369">
        <v>359391221.17117119</v>
      </c>
      <c r="P369">
        <v>373106801.8018018</v>
      </c>
      <c r="Q369">
        <v>116813423.42342342</v>
      </c>
      <c r="R369">
        <v>191474054.05405405</v>
      </c>
      <c r="S369">
        <v>28030</v>
      </c>
      <c r="T369">
        <v>29884</v>
      </c>
    </row>
    <row r="370" spans="1:20" x14ac:dyDescent="0.35">
      <c r="A370" s="7" t="s">
        <v>466</v>
      </c>
      <c r="B370" s="12" t="s">
        <v>55</v>
      </c>
      <c r="C370">
        <v>54528826.659617119</v>
      </c>
      <c r="D370">
        <v>54817147.423451416</v>
      </c>
      <c r="E370">
        <v>656756.75675675704</v>
      </c>
      <c r="F370">
        <v>592792.79279279395</v>
      </c>
      <c r="G370">
        <v>16</v>
      </c>
      <c r="H370">
        <v>9</v>
      </c>
      <c r="K370">
        <v>24</v>
      </c>
      <c r="L370">
        <v>50</v>
      </c>
      <c r="M370">
        <v>5740360.3603603607</v>
      </c>
      <c r="N370">
        <v>5877117.1171171181</v>
      </c>
      <c r="O370">
        <v>11957738.738738738</v>
      </c>
      <c r="P370">
        <v>11989621.621621622</v>
      </c>
      <c r="Q370">
        <v>5455675.6756756743</v>
      </c>
      <c r="R370">
        <v>5805225.2252252242</v>
      </c>
      <c r="S370">
        <v>1240</v>
      </c>
      <c r="T370">
        <v>1269</v>
      </c>
    </row>
    <row r="371" spans="1:20" x14ac:dyDescent="0.35">
      <c r="A371" s="7" t="s">
        <v>467</v>
      </c>
      <c r="B371" s="12" t="s">
        <v>88</v>
      </c>
      <c r="C371">
        <v>2074605.54696383</v>
      </c>
      <c r="D371">
        <v>2437245.0942917001</v>
      </c>
      <c r="H371">
        <v>1</v>
      </c>
      <c r="L371">
        <v>1</v>
      </c>
      <c r="O371">
        <v>351351.35135135101</v>
      </c>
      <c r="P371">
        <v>1059909.9099099101</v>
      </c>
      <c r="S371">
        <v>96</v>
      </c>
      <c r="T371">
        <v>83</v>
      </c>
    </row>
    <row r="372" spans="1:20" x14ac:dyDescent="0.35">
      <c r="A372" s="7" t="s">
        <v>468</v>
      </c>
      <c r="B372" s="12" t="s">
        <v>144</v>
      </c>
      <c r="C372">
        <v>257621261.00245753</v>
      </c>
      <c r="D372">
        <v>284766800.79009491</v>
      </c>
      <c r="E372">
        <v>257657.657657659</v>
      </c>
      <c r="F372">
        <v>328828.82882882998</v>
      </c>
      <c r="G372">
        <v>67</v>
      </c>
      <c r="H372">
        <v>9</v>
      </c>
      <c r="K372">
        <v>73</v>
      </c>
      <c r="L372">
        <v>10</v>
      </c>
      <c r="M372">
        <v>15834234.234234236</v>
      </c>
      <c r="N372">
        <v>17310810.810810812</v>
      </c>
      <c r="O372">
        <v>40149897.297297299</v>
      </c>
      <c r="P372">
        <v>53960124.324324325</v>
      </c>
      <c r="Q372">
        <v>11424594.594594592</v>
      </c>
      <c r="R372">
        <v>13140493.693693694</v>
      </c>
      <c r="S372">
        <v>4993</v>
      </c>
      <c r="T372">
        <v>5060</v>
      </c>
    </row>
    <row r="373" spans="1:20" x14ac:dyDescent="0.35">
      <c r="A373" s="7" t="s">
        <v>469</v>
      </c>
      <c r="B373" s="12" t="s">
        <v>81</v>
      </c>
      <c r="C373">
        <v>226391209.09846941</v>
      </c>
      <c r="D373">
        <v>220960907.20303142</v>
      </c>
      <c r="E373">
        <v>85135.135135138</v>
      </c>
      <c r="F373">
        <v>1138738.738738741</v>
      </c>
      <c r="G373">
        <v>37</v>
      </c>
      <c r="H373">
        <v>28</v>
      </c>
      <c r="K373">
        <v>42</v>
      </c>
      <c r="L373">
        <v>30</v>
      </c>
      <c r="M373">
        <v>6056306.3063063063</v>
      </c>
      <c r="N373">
        <v>8165765.7657657657</v>
      </c>
      <c r="O373">
        <v>85672486.48648648</v>
      </c>
      <c r="P373">
        <v>85360920.720720723</v>
      </c>
      <c r="Q373">
        <v>5292882.8828828828</v>
      </c>
      <c r="R373">
        <v>5056846.8468468459</v>
      </c>
      <c r="S373">
        <v>5136</v>
      </c>
      <c r="T373">
        <v>5611</v>
      </c>
    </row>
    <row r="374" spans="1:20" x14ac:dyDescent="0.35">
      <c r="A374" s="7" t="s">
        <v>470</v>
      </c>
      <c r="B374" s="12" t="s">
        <v>471</v>
      </c>
      <c r="C374">
        <v>268714004.96391094</v>
      </c>
      <c r="D374">
        <v>267635992.5466556</v>
      </c>
      <c r="E374">
        <v>2010810.8108108109</v>
      </c>
      <c r="F374">
        <v>1934234.2342342359</v>
      </c>
      <c r="G374">
        <v>27</v>
      </c>
      <c r="H374">
        <v>34</v>
      </c>
      <c r="K374">
        <v>29</v>
      </c>
      <c r="L374">
        <v>48</v>
      </c>
      <c r="M374">
        <v>23893243.243243244</v>
      </c>
      <c r="N374">
        <v>15357657.657657659</v>
      </c>
      <c r="O374">
        <v>84221259.459459454</v>
      </c>
      <c r="P374">
        <v>90039311.711711705</v>
      </c>
      <c r="Q374">
        <v>24569502.702702705</v>
      </c>
      <c r="R374">
        <v>32069801.801801801</v>
      </c>
      <c r="S374">
        <v>5402</v>
      </c>
      <c r="T374">
        <v>5596</v>
      </c>
    </row>
    <row r="375" spans="1:20" x14ac:dyDescent="0.35">
      <c r="A375" s="7" t="s">
        <v>472</v>
      </c>
      <c r="B375" s="12" t="s">
        <v>471</v>
      </c>
      <c r="C375">
        <v>22250147.574228834</v>
      </c>
      <c r="D375">
        <v>23047234.256409071</v>
      </c>
      <c r="E375">
        <v>107846846.84684685</v>
      </c>
      <c r="F375">
        <v>63472972.972972974</v>
      </c>
      <c r="G375">
        <v>1</v>
      </c>
      <c r="H375">
        <v>1</v>
      </c>
      <c r="K375">
        <v>2</v>
      </c>
      <c r="L375">
        <v>1</v>
      </c>
      <c r="M375">
        <v>6529279.2792792805</v>
      </c>
      <c r="N375">
        <v>108108.108108108</v>
      </c>
      <c r="O375">
        <v>2087477.4774774769</v>
      </c>
      <c r="P375">
        <v>2988810.8108108109</v>
      </c>
      <c r="Q375">
        <v>2895135.1351351351</v>
      </c>
      <c r="R375">
        <v>111711.71171171201</v>
      </c>
      <c r="S375">
        <v>613</v>
      </c>
      <c r="T375">
        <v>662</v>
      </c>
    </row>
    <row r="376" spans="1:20" x14ac:dyDescent="0.35">
      <c r="A376" s="7" t="s">
        <v>473</v>
      </c>
      <c r="B376" s="12" t="s">
        <v>471</v>
      </c>
      <c r="C376">
        <v>2719209.6084467759</v>
      </c>
      <c r="D376">
        <v>2831055.4697824749</v>
      </c>
      <c r="E376">
        <v>375675.67567567597</v>
      </c>
      <c r="F376">
        <v>229729.72972973</v>
      </c>
      <c r="G376">
        <v>1</v>
      </c>
      <c r="K376">
        <v>1</v>
      </c>
      <c r="M376">
        <v>2925225.225225226</v>
      </c>
      <c r="N376">
        <v>680180.18018018105</v>
      </c>
      <c r="O376">
        <v>611081.08108108095</v>
      </c>
      <c r="P376">
        <v>704054.05405405397</v>
      </c>
      <c r="Q376">
        <v>2703603.6036036038</v>
      </c>
      <c r="R376">
        <v>4247207.2072072066</v>
      </c>
      <c r="S376">
        <v>419</v>
      </c>
      <c r="T376">
        <v>377</v>
      </c>
    </row>
    <row r="377" spans="1:20" x14ac:dyDescent="0.35">
      <c r="A377" s="7" t="s">
        <v>474</v>
      </c>
      <c r="B377" s="12" t="s">
        <v>471</v>
      </c>
      <c r="C377">
        <v>94730703.870106667</v>
      </c>
      <c r="D377">
        <v>92883415.766030222</v>
      </c>
      <c r="E377">
        <v>536936.93693693704</v>
      </c>
      <c r="F377">
        <v>1379184.684684685</v>
      </c>
      <c r="G377">
        <v>13</v>
      </c>
      <c r="H377">
        <v>22</v>
      </c>
      <c r="K377">
        <v>13</v>
      </c>
      <c r="L377">
        <v>40</v>
      </c>
      <c r="M377">
        <v>26016666.666666664</v>
      </c>
      <c r="N377">
        <v>16564954.954954956</v>
      </c>
      <c r="O377">
        <v>12744315.315315315</v>
      </c>
      <c r="P377">
        <v>16847845.045045044</v>
      </c>
      <c r="Q377">
        <v>19031261.261261258</v>
      </c>
      <c r="R377">
        <v>19089819.819819819</v>
      </c>
      <c r="S377">
        <v>2256</v>
      </c>
      <c r="T377">
        <v>2089</v>
      </c>
    </row>
    <row r="378" spans="1:20" x14ac:dyDescent="0.35">
      <c r="A378" s="7" t="s">
        <v>475</v>
      </c>
      <c r="B378" s="12" t="s">
        <v>471</v>
      </c>
      <c r="C378">
        <v>133639901.93148202</v>
      </c>
      <c r="D378">
        <v>131905825.33689664</v>
      </c>
      <c r="E378">
        <v>1087387.3873873891</v>
      </c>
      <c r="F378">
        <v>1254954.954954955</v>
      </c>
      <c r="G378">
        <v>31</v>
      </c>
      <c r="H378">
        <v>14</v>
      </c>
      <c r="K378">
        <v>33</v>
      </c>
      <c r="L378">
        <v>16</v>
      </c>
      <c r="M378">
        <v>10980270.270270269</v>
      </c>
      <c r="N378">
        <v>4412072.072072072</v>
      </c>
      <c r="O378">
        <v>29181009.009009007</v>
      </c>
      <c r="P378">
        <v>32446450.450450446</v>
      </c>
      <c r="Q378">
        <v>11200900.900900904</v>
      </c>
      <c r="R378">
        <v>11692522.522522524</v>
      </c>
      <c r="S378">
        <v>2367</v>
      </c>
      <c r="T378">
        <v>2305</v>
      </c>
    </row>
    <row r="379" spans="1:20" x14ac:dyDescent="0.35">
      <c r="A379" s="7" t="s">
        <v>476</v>
      </c>
      <c r="B379" s="12" t="s">
        <v>471</v>
      </c>
      <c r="C379">
        <v>48978612.497406296</v>
      </c>
      <c r="D379">
        <v>49260629.653822809</v>
      </c>
      <c r="E379">
        <v>183128105.4054054</v>
      </c>
      <c r="F379">
        <v>106450219.81981982</v>
      </c>
      <c r="G379">
        <v>5</v>
      </c>
      <c r="H379">
        <v>5</v>
      </c>
      <c r="K379">
        <v>6</v>
      </c>
      <c r="L379">
        <v>6</v>
      </c>
      <c r="M379">
        <v>31041136.936936937</v>
      </c>
      <c r="N379">
        <v>14870456.756756758</v>
      </c>
      <c r="O379">
        <v>10077133.333333332</v>
      </c>
      <c r="P379">
        <v>12682477.477477476</v>
      </c>
      <c r="Q379">
        <v>6313513.5135135129</v>
      </c>
      <c r="R379">
        <v>7390900.9009009022</v>
      </c>
      <c r="S379">
        <v>1412</v>
      </c>
      <c r="T379">
        <v>1415</v>
      </c>
    </row>
    <row r="380" spans="1:20" x14ac:dyDescent="0.35">
      <c r="A380" s="7" t="s">
        <v>477</v>
      </c>
      <c r="B380" s="12" t="s">
        <v>471</v>
      </c>
      <c r="C380">
        <v>505319681.10268831</v>
      </c>
      <c r="D380">
        <v>521447667.80586624</v>
      </c>
      <c r="E380">
        <v>10134234.23423424</v>
      </c>
      <c r="F380">
        <v>8771171.1711711846</v>
      </c>
      <c r="G380">
        <v>203</v>
      </c>
      <c r="H380">
        <v>387</v>
      </c>
      <c r="K380">
        <v>370</v>
      </c>
      <c r="L380">
        <v>425</v>
      </c>
      <c r="M380">
        <v>141781711.7117117</v>
      </c>
      <c r="N380">
        <v>120392792.7927928</v>
      </c>
      <c r="O380">
        <v>133177754.95495497</v>
      </c>
      <c r="P380">
        <v>145835580.18018019</v>
      </c>
      <c r="Q380">
        <v>138980090.0900901</v>
      </c>
      <c r="R380">
        <v>122039909.9099099</v>
      </c>
      <c r="S380">
        <v>16368</v>
      </c>
      <c r="T380">
        <v>16479</v>
      </c>
    </row>
    <row r="381" spans="1:20" x14ac:dyDescent="0.35">
      <c r="A381" s="7" t="s">
        <v>478</v>
      </c>
      <c r="B381" s="12" t="s">
        <v>261</v>
      </c>
      <c r="C381">
        <v>611451403.40656888</v>
      </c>
      <c r="D381">
        <v>595586443.90935922</v>
      </c>
      <c r="E381">
        <v>3446171.1711711711</v>
      </c>
      <c r="F381">
        <v>5355855.855855858</v>
      </c>
      <c r="G381">
        <v>127</v>
      </c>
      <c r="H381">
        <v>72</v>
      </c>
      <c r="I381">
        <v>1</v>
      </c>
      <c r="K381">
        <v>132</v>
      </c>
      <c r="L381">
        <v>78</v>
      </c>
      <c r="M381">
        <v>79311711.711711705</v>
      </c>
      <c r="N381">
        <v>95109009.009009004</v>
      </c>
      <c r="O381">
        <v>162013950.45045045</v>
      </c>
      <c r="P381">
        <v>170601720.72072074</v>
      </c>
      <c r="Q381">
        <v>77028018.018018022</v>
      </c>
      <c r="R381">
        <v>90159729.729729727</v>
      </c>
      <c r="S381">
        <v>10725</v>
      </c>
      <c r="T381">
        <v>12046</v>
      </c>
    </row>
    <row r="382" spans="1:20" x14ac:dyDescent="0.35">
      <c r="A382" s="7" t="s">
        <v>479</v>
      </c>
      <c r="B382" s="12" t="s">
        <v>480</v>
      </c>
      <c r="C382">
        <v>43041296.859065801</v>
      </c>
      <c r="D382">
        <v>42775044.557534561</v>
      </c>
      <c r="E382">
        <v>667567.56756756897</v>
      </c>
      <c r="F382">
        <v>658558.55855855905</v>
      </c>
      <c r="G382">
        <v>13</v>
      </c>
      <c r="H382">
        <v>12</v>
      </c>
      <c r="K382">
        <v>14</v>
      </c>
      <c r="L382">
        <v>13</v>
      </c>
      <c r="M382">
        <v>16450900.900900902</v>
      </c>
      <c r="N382">
        <v>15968288.288288288</v>
      </c>
      <c r="O382">
        <v>10344774.774774777</v>
      </c>
      <c r="P382">
        <v>11892827.027027028</v>
      </c>
      <c r="Q382">
        <v>16359189.189189188</v>
      </c>
      <c r="R382">
        <v>16315495.495495496</v>
      </c>
      <c r="S382">
        <v>799</v>
      </c>
      <c r="T382">
        <v>776</v>
      </c>
    </row>
    <row r="383" spans="1:20" x14ac:dyDescent="0.35">
      <c r="A383" s="7" t="s">
        <v>481</v>
      </c>
      <c r="B383" s="12" t="s">
        <v>124</v>
      </c>
      <c r="C383">
        <v>321462435.63255274</v>
      </c>
      <c r="D383">
        <v>313605475.93886888</v>
      </c>
      <c r="E383">
        <v>2933333.3333333349</v>
      </c>
      <c r="F383">
        <v>1817567.567567569</v>
      </c>
      <c r="G383">
        <v>67</v>
      </c>
      <c r="H383">
        <v>47</v>
      </c>
      <c r="K383">
        <v>72</v>
      </c>
      <c r="L383">
        <v>51</v>
      </c>
      <c r="M383">
        <v>20927927.927927926</v>
      </c>
      <c r="N383">
        <v>21821171.171171177</v>
      </c>
      <c r="O383">
        <v>121200112.61261261</v>
      </c>
      <c r="P383">
        <v>127538547.74774775</v>
      </c>
      <c r="Q383">
        <v>19556396.396396395</v>
      </c>
      <c r="R383">
        <v>20885405.405405402</v>
      </c>
      <c r="S383">
        <v>5792</v>
      </c>
      <c r="T383">
        <v>5487</v>
      </c>
    </row>
    <row r="384" spans="1:20" x14ac:dyDescent="0.35">
      <c r="A384" s="7" t="s">
        <v>482</v>
      </c>
      <c r="B384" s="12" t="s">
        <v>471</v>
      </c>
      <c r="C384">
        <v>25433878.648107007</v>
      </c>
      <c r="D384">
        <v>25986398.438383799</v>
      </c>
      <c r="E384">
        <v>94594.594594594993</v>
      </c>
      <c r="F384">
        <v>327027.02702702698</v>
      </c>
      <c r="G384">
        <v>3</v>
      </c>
      <c r="H384">
        <v>2</v>
      </c>
      <c r="K384">
        <v>4</v>
      </c>
      <c r="L384">
        <v>2</v>
      </c>
      <c r="M384">
        <v>1445945.945945946</v>
      </c>
      <c r="N384">
        <v>790990.99099099101</v>
      </c>
      <c r="O384">
        <v>3632468.4684684682</v>
      </c>
      <c r="P384">
        <v>3751576.576576577</v>
      </c>
      <c r="Q384">
        <v>873873.87387387303</v>
      </c>
      <c r="R384">
        <v>1151351.351351351</v>
      </c>
      <c r="S384">
        <v>585</v>
      </c>
      <c r="T384">
        <v>600</v>
      </c>
    </row>
    <row r="385" spans="1:20" x14ac:dyDescent="0.35">
      <c r="A385" s="7" t="s">
        <v>675</v>
      </c>
      <c r="B385" s="12" t="s">
        <v>284</v>
      </c>
      <c r="E385">
        <v>213698079.27927926</v>
      </c>
      <c r="F385">
        <v>131300336.93693694</v>
      </c>
      <c r="M385">
        <v>18686820.72072072</v>
      </c>
      <c r="N385">
        <v>13617263.063063065</v>
      </c>
    </row>
    <row r="386" spans="1:20" x14ac:dyDescent="0.35">
      <c r="A386" s="7" t="s">
        <v>676</v>
      </c>
      <c r="B386" s="12" t="s">
        <v>86</v>
      </c>
      <c r="E386">
        <v>521547389.1891892</v>
      </c>
      <c r="F386">
        <v>569189681.08108103</v>
      </c>
      <c r="M386">
        <v>34068918.918918923</v>
      </c>
      <c r="N386">
        <v>21477477.477477476</v>
      </c>
    </row>
    <row r="387" spans="1:20" x14ac:dyDescent="0.35">
      <c r="A387" s="7" t="s">
        <v>483</v>
      </c>
      <c r="B387" s="12" t="s">
        <v>168</v>
      </c>
      <c r="C387">
        <v>263700935.48924533</v>
      </c>
      <c r="D387">
        <v>277334459.61755532</v>
      </c>
      <c r="E387">
        <v>2645045.0450450471</v>
      </c>
      <c r="F387">
        <v>6780180.180180179</v>
      </c>
      <c r="G387">
        <v>235</v>
      </c>
      <c r="H387">
        <v>38</v>
      </c>
      <c r="K387">
        <v>306</v>
      </c>
      <c r="L387">
        <v>88</v>
      </c>
      <c r="M387">
        <v>22373009.909909908</v>
      </c>
      <c r="N387">
        <v>33980405.405405402</v>
      </c>
      <c r="O387">
        <v>110084270.27027027</v>
      </c>
      <c r="P387">
        <v>120011522.52252252</v>
      </c>
      <c r="Q387">
        <v>21558828.828828827</v>
      </c>
      <c r="R387">
        <v>32077612.612612613</v>
      </c>
      <c r="S387">
        <v>8243</v>
      </c>
      <c r="T387">
        <v>8394</v>
      </c>
    </row>
    <row r="388" spans="1:20" x14ac:dyDescent="0.35">
      <c r="A388" s="7" t="s">
        <v>484</v>
      </c>
      <c r="B388" s="12" t="s">
        <v>168</v>
      </c>
      <c r="C388">
        <v>303056371.19561595</v>
      </c>
      <c r="D388">
        <v>312670663.04192334</v>
      </c>
      <c r="E388">
        <v>477162772.97297299</v>
      </c>
      <c r="F388">
        <v>475235703.6036036</v>
      </c>
      <c r="G388">
        <v>544</v>
      </c>
      <c r="H388">
        <v>174</v>
      </c>
      <c r="K388">
        <v>1280</v>
      </c>
      <c r="L388">
        <v>633</v>
      </c>
      <c r="M388">
        <v>50821847.747747749</v>
      </c>
      <c r="N388">
        <v>74650000</v>
      </c>
      <c r="O388">
        <v>116962642.34234233</v>
      </c>
      <c r="P388">
        <v>133032077.47747748</v>
      </c>
      <c r="Q388">
        <v>45983466.666666672</v>
      </c>
      <c r="R388">
        <v>66792836.036036029</v>
      </c>
      <c r="S388">
        <v>9832</v>
      </c>
      <c r="T388">
        <v>10335</v>
      </c>
    </row>
    <row r="389" spans="1:20" x14ac:dyDescent="0.35">
      <c r="A389" s="7" t="s">
        <v>485</v>
      </c>
      <c r="B389" s="12" t="s">
        <v>51</v>
      </c>
      <c r="C389">
        <v>178945815.38131317</v>
      </c>
      <c r="D389">
        <v>181692120.31881106</v>
      </c>
      <c r="E389">
        <v>305036846.84684682</v>
      </c>
      <c r="F389">
        <v>460403603.6036036</v>
      </c>
      <c r="G389">
        <v>49</v>
      </c>
      <c r="H389">
        <v>32</v>
      </c>
      <c r="K389">
        <v>51</v>
      </c>
      <c r="L389">
        <v>35</v>
      </c>
      <c r="M389">
        <v>33011171.17117117</v>
      </c>
      <c r="N389">
        <v>36911306.306306303</v>
      </c>
      <c r="O389">
        <v>80283466.666666672</v>
      </c>
      <c r="P389">
        <v>82752405.405405402</v>
      </c>
      <c r="Q389">
        <v>31793333.333333332</v>
      </c>
      <c r="R389">
        <v>32837567.567567568</v>
      </c>
      <c r="S389">
        <v>3671</v>
      </c>
      <c r="T389">
        <v>3735</v>
      </c>
    </row>
    <row r="390" spans="1:20" x14ac:dyDescent="0.35">
      <c r="A390" s="7" t="s">
        <v>486</v>
      </c>
      <c r="B390" s="12" t="s">
        <v>135</v>
      </c>
      <c r="C390">
        <v>239552682.88124937</v>
      </c>
      <c r="D390">
        <v>245119690.31918329</v>
      </c>
      <c r="E390">
        <v>1745945.945945946</v>
      </c>
      <c r="F390">
        <v>1523423.4234234239</v>
      </c>
      <c r="G390">
        <v>61</v>
      </c>
      <c r="H390">
        <v>48</v>
      </c>
      <c r="K390">
        <v>61</v>
      </c>
      <c r="L390">
        <v>57</v>
      </c>
      <c r="M390">
        <v>38087387.387387387</v>
      </c>
      <c r="N390">
        <v>41181981.981981985</v>
      </c>
      <c r="O390">
        <v>47028214.414414413</v>
      </c>
      <c r="P390">
        <v>54475549.54954955</v>
      </c>
      <c r="Q390">
        <v>24245765.765765768</v>
      </c>
      <c r="R390">
        <v>31712972.97297297</v>
      </c>
      <c r="S390">
        <v>4561</v>
      </c>
      <c r="T390">
        <v>4780</v>
      </c>
    </row>
    <row r="391" spans="1:20" x14ac:dyDescent="0.35">
      <c r="A391" s="7" t="s">
        <v>487</v>
      </c>
      <c r="B391" s="12" t="s">
        <v>77</v>
      </c>
      <c r="C391">
        <v>50931950.957691729</v>
      </c>
      <c r="D391">
        <v>66452350.986419559</v>
      </c>
      <c r="E391">
        <v>1085585.585585586</v>
      </c>
      <c r="F391">
        <v>779279.27927927999</v>
      </c>
      <c r="G391">
        <v>16</v>
      </c>
      <c r="H391">
        <v>19</v>
      </c>
      <c r="K391">
        <v>16</v>
      </c>
      <c r="L391">
        <v>22</v>
      </c>
      <c r="M391">
        <v>13161351.351351352</v>
      </c>
      <c r="N391">
        <v>12954054.054054054</v>
      </c>
      <c r="O391">
        <v>20378852.252252251</v>
      </c>
      <c r="P391">
        <v>24339306.306306303</v>
      </c>
      <c r="Q391">
        <v>10749545.945945945</v>
      </c>
      <c r="R391">
        <v>12809009.009009007</v>
      </c>
      <c r="S391">
        <v>1440</v>
      </c>
      <c r="T391">
        <v>1498</v>
      </c>
    </row>
    <row r="392" spans="1:20" x14ac:dyDescent="0.35">
      <c r="A392" s="7" t="s">
        <v>488</v>
      </c>
      <c r="B392" s="12" t="s">
        <v>308</v>
      </c>
      <c r="C392">
        <v>413855053.64481735</v>
      </c>
      <c r="D392">
        <v>413488346.01543784</v>
      </c>
      <c r="E392">
        <v>4602702.7027027067</v>
      </c>
      <c r="F392">
        <v>5639189.1891891882</v>
      </c>
      <c r="G392">
        <v>158</v>
      </c>
      <c r="H392">
        <v>111</v>
      </c>
      <c r="K392">
        <v>189</v>
      </c>
      <c r="L392">
        <v>129</v>
      </c>
      <c r="M392">
        <v>105410180.18018018</v>
      </c>
      <c r="N392">
        <v>108001036.03603603</v>
      </c>
      <c r="O392">
        <v>176049576.57657659</v>
      </c>
      <c r="P392">
        <v>180924216.21621624</v>
      </c>
      <c r="Q392">
        <v>95542972.972972974</v>
      </c>
      <c r="R392">
        <v>103363108.10810812</v>
      </c>
      <c r="S392">
        <v>11005</v>
      </c>
      <c r="T392">
        <v>11630</v>
      </c>
    </row>
    <row r="393" spans="1:20" x14ac:dyDescent="0.35">
      <c r="A393" s="7" t="s">
        <v>677</v>
      </c>
      <c r="B393" s="12" t="s">
        <v>182</v>
      </c>
      <c r="E393">
        <v>65878378.378378376</v>
      </c>
      <c r="F393">
        <v>188063063.06306309</v>
      </c>
      <c r="M393">
        <v>3030180.1801801799</v>
      </c>
      <c r="N393">
        <v>3270270.2702702698</v>
      </c>
    </row>
    <row r="394" spans="1:20" x14ac:dyDescent="0.35">
      <c r="A394" s="7" t="s">
        <v>489</v>
      </c>
      <c r="B394" s="12" t="s">
        <v>316</v>
      </c>
      <c r="C394">
        <v>92947436.510686547</v>
      </c>
      <c r="D394">
        <v>91580794.085216403</v>
      </c>
      <c r="E394">
        <v>1367567.5675675671</v>
      </c>
      <c r="F394">
        <v>957657.65765766299</v>
      </c>
      <c r="G394">
        <v>7</v>
      </c>
      <c r="H394">
        <v>6</v>
      </c>
      <c r="K394">
        <v>8</v>
      </c>
      <c r="L394">
        <v>6</v>
      </c>
      <c r="M394">
        <v>47217927.927927926</v>
      </c>
      <c r="N394">
        <v>54765495.495495498</v>
      </c>
      <c r="O394">
        <v>40089819.819819823</v>
      </c>
      <c r="P394">
        <v>37208927.927927926</v>
      </c>
      <c r="Q394">
        <v>39752792.79279279</v>
      </c>
      <c r="R394">
        <v>55115855.855855852</v>
      </c>
      <c r="S394">
        <v>1582</v>
      </c>
      <c r="T394">
        <v>1724</v>
      </c>
    </row>
    <row r="395" spans="1:20" x14ac:dyDescent="0.35">
      <c r="A395" s="7" t="s">
        <v>490</v>
      </c>
      <c r="B395" s="12" t="s">
        <v>182</v>
      </c>
      <c r="C395">
        <v>216504072.26529506</v>
      </c>
      <c r="D395">
        <v>227317825.23993424</v>
      </c>
      <c r="E395">
        <v>1400450.4504504511</v>
      </c>
      <c r="F395">
        <v>1504504.5045045051</v>
      </c>
      <c r="G395">
        <v>112</v>
      </c>
      <c r="H395">
        <v>80</v>
      </c>
      <c r="I395">
        <v>1</v>
      </c>
      <c r="K395">
        <v>157</v>
      </c>
      <c r="L395">
        <v>98</v>
      </c>
      <c r="M395">
        <v>23974054.054054052</v>
      </c>
      <c r="N395">
        <v>27693693.693693697</v>
      </c>
      <c r="O395">
        <v>63534891.891891897</v>
      </c>
      <c r="P395">
        <v>72073441.441441447</v>
      </c>
      <c r="Q395">
        <v>23165315.315315317</v>
      </c>
      <c r="R395">
        <v>28538648.648648653</v>
      </c>
      <c r="S395">
        <v>6537</v>
      </c>
      <c r="T395">
        <v>6406</v>
      </c>
    </row>
    <row r="396" spans="1:20" x14ac:dyDescent="0.35">
      <c r="A396" s="7" t="s">
        <v>678</v>
      </c>
      <c r="B396" s="12" t="s">
        <v>67</v>
      </c>
      <c r="E396">
        <v>272174774.77477479</v>
      </c>
      <c r="F396">
        <v>416621621.62162161</v>
      </c>
      <c r="M396">
        <v>15513288.288288288</v>
      </c>
      <c r="N396">
        <v>16492432.432432432</v>
      </c>
    </row>
    <row r="397" spans="1:20" x14ac:dyDescent="0.35">
      <c r="A397" s="7" t="s">
        <v>491</v>
      </c>
      <c r="B397" s="12" t="s">
        <v>221</v>
      </c>
      <c r="C397">
        <v>125924901.34438662</v>
      </c>
      <c r="D397">
        <v>127505426.65100621</v>
      </c>
      <c r="E397">
        <v>101801.80180180199</v>
      </c>
      <c r="G397">
        <v>47</v>
      </c>
      <c r="H397">
        <v>37</v>
      </c>
      <c r="K397">
        <v>55</v>
      </c>
      <c r="L397">
        <v>63</v>
      </c>
      <c r="M397">
        <v>2431891.8918918921</v>
      </c>
      <c r="N397">
        <v>1650450.450450452</v>
      </c>
      <c r="O397">
        <v>31186250.45045045</v>
      </c>
      <c r="P397">
        <v>33876819.819819823</v>
      </c>
      <c r="Q397">
        <v>1653063.063063063</v>
      </c>
      <c r="R397">
        <v>850000.00000000105</v>
      </c>
      <c r="S397">
        <v>3841</v>
      </c>
      <c r="T397">
        <v>3991</v>
      </c>
    </row>
    <row r="398" spans="1:20" x14ac:dyDescent="0.35">
      <c r="A398" s="7" t="s">
        <v>492</v>
      </c>
      <c r="B398" s="12" t="s">
        <v>221</v>
      </c>
      <c r="C398">
        <v>42462841.579939723</v>
      </c>
      <c r="D398">
        <v>29619827.40381223</v>
      </c>
      <c r="E398">
        <v>465765.76576576597</v>
      </c>
      <c r="F398">
        <v>76576.576576577005</v>
      </c>
      <c r="G398">
        <v>22</v>
      </c>
      <c r="H398">
        <v>9</v>
      </c>
      <c r="I398">
        <v>1</v>
      </c>
      <c r="K398">
        <v>25</v>
      </c>
      <c r="L398">
        <v>9</v>
      </c>
      <c r="M398">
        <v>15679729.729729732</v>
      </c>
      <c r="N398">
        <v>11418918.918918921</v>
      </c>
      <c r="O398">
        <v>12699765.765765766</v>
      </c>
      <c r="P398">
        <v>11264772.972972972</v>
      </c>
      <c r="Q398">
        <v>15343423.423423424</v>
      </c>
      <c r="R398">
        <v>11361261.261261262</v>
      </c>
      <c r="S398">
        <v>1239</v>
      </c>
      <c r="T398">
        <v>1176</v>
      </c>
    </row>
    <row r="399" spans="1:20" x14ac:dyDescent="0.35">
      <c r="A399" s="7" t="s">
        <v>493</v>
      </c>
      <c r="B399" s="12" t="s">
        <v>61</v>
      </c>
      <c r="C399">
        <v>143364294.22361165</v>
      </c>
      <c r="D399">
        <v>151422685.05919209</v>
      </c>
      <c r="E399">
        <v>2854954.9549549608</v>
      </c>
      <c r="F399">
        <v>3154054.0540540572</v>
      </c>
      <c r="G399">
        <v>34</v>
      </c>
      <c r="H399">
        <v>16</v>
      </c>
      <c r="K399">
        <v>81</v>
      </c>
      <c r="L399">
        <v>24</v>
      </c>
      <c r="M399">
        <v>29985315.315315314</v>
      </c>
      <c r="N399">
        <v>33095495.495495494</v>
      </c>
      <c r="O399">
        <v>64886090.090090089</v>
      </c>
      <c r="P399">
        <v>69966882.882882878</v>
      </c>
      <c r="Q399">
        <v>28432342.342342339</v>
      </c>
      <c r="R399">
        <v>30117477.477477472</v>
      </c>
      <c r="S399">
        <v>3562</v>
      </c>
      <c r="T399">
        <v>3710</v>
      </c>
    </row>
    <row r="400" spans="1:20" x14ac:dyDescent="0.35">
      <c r="A400" s="7" t="s">
        <v>494</v>
      </c>
      <c r="B400" s="12" t="s">
        <v>449</v>
      </c>
      <c r="C400">
        <v>175165690.78464055</v>
      </c>
      <c r="D400">
        <v>169375769.7332181</v>
      </c>
      <c r="E400">
        <v>319907207.2072072</v>
      </c>
      <c r="F400">
        <v>52029729.729729727</v>
      </c>
      <c r="G400">
        <v>109</v>
      </c>
      <c r="H400">
        <v>77</v>
      </c>
      <c r="K400">
        <v>197</v>
      </c>
      <c r="L400">
        <v>119</v>
      </c>
      <c r="M400">
        <v>15968693.693693692</v>
      </c>
      <c r="N400">
        <v>35703378.378378376</v>
      </c>
      <c r="O400">
        <v>62824603.603603601</v>
      </c>
      <c r="P400">
        <v>68009387.38738738</v>
      </c>
      <c r="Q400">
        <v>13547657.657657661</v>
      </c>
      <c r="R400">
        <v>34759279.279279277</v>
      </c>
      <c r="S400">
        <v>4932</v>
      </c>
      <c r="T400">
        <v>4868</v>
      </c>
    </row>
    <row r="401" spans="1:20" x14ac:dyDescent="0.35">
      <c r="A401" s="7" t="s">
        <v>7</v>
      </c>
      <c r="B401" s="12" t="s">
        <v>194</v>
      </c>
      <c r="C401">
        <v>148325384.83230361</v>
      </c>
      <c r="D401">
        <v>144712132.3628839</v>
      </c>
      <c r="E401">
        <v>403603.603603606</v>
      </c>
      <c r="F401">
        <v>352252.25225225301</v>
      </c>
      <c r="G401">
        <v>43</v>
      </c>
      <c r="H401">
        <v>41</v>
      </c>
      <c r="K401">
        <v>52</v>
      </c>
      <c r="L401">
        <v>50</v>
      </c>
      <c r="M401">
        <v>28275225.225225225</v>
      </c>
      <c r="N401">
        <v>51628828.828828827</v>
      </c>
      <c r="O401">
        <v>104059918.91891891</v>
      </c>
      <c r="P401">
        <v>96691369.369369373</v>
      </c>
      <c r="Q401">
        <v>29318828.828828827</v>
      </c>
      <c r="R401">
        <v>50635765.765765771</v>
      </c>
      <c r="S401">
        <v>4728</v>
      </c>
      <c r="T401">
        <v>4778</v>
      </c>
    </row>
    <row r="402" spans="1:20" x14ac:dyDescent="0.35">
      <c r="A402" s="7" t="s">
        <v>495</v>
      </c>
      <c r="B402" s="12" t="s">
        <v>331</v>
      </c>
      <c r="C402">
        <v>169017093.49523216</v>
      </c>
      <c r="D402">
        <v>170041276.81857696</v>
      </c>
      <c r="E402">
        <v>307207.20720720699</v>
      </c>
      <c r="F402">
        <v>181081.08108108299</v>
      </c>
      <c r="G402">
        <v>86</v>
      </c>
      <c r="H402">
        <v>69</v>
      </c>
      <c r="K402">
        <v>147</v>
      </c>
      <c r="L402">
        <v>88</v>
      </c>
      <c r="M402">
        <v>8597297.2972972989</v>
      </c>
      <c r="N402">
        <v>9333333.3333333321</v>
      </c>
      <c r="O402">
        <v>42013279.279279277</v>
      </c>
      <c r="P402">
        <v>44948027.027027026</v>
      </c>
      <c r="Q402">
        <v>8048468.4684684677</v>
      </c>
      <c r="R402">
        <v>8535585.5855855867</v>
      </c>
      <c r="S402">
        <v>6095</v>
      </c>
      <c r="T402">
        <v>5929</v>
      </c>
    </row>
    <row r="403" spans="1:20" x14ac:dyDescent="0.35">
      <c r="A403" s="7" t="s">
        <v>496</v>
      </c>
      <c r="B403" s="12" t="s">
        <v>331</v>
      </c>
      <c r="C403">
        <v>286963869.93864411</v>
      </c>
      <c r="D403">
        <v>292627652.22621822</v>
      </c>
      <c r="E403">
        <v>2061036.036036039</v>
      </c>
      <c r="F403">
        <v>425225.22522522701</v>
      </c>
      <c r="G403">
        <v>145</v>
      </c>
      <c r="H403">
        <v>96</v>
      </c>
      <c r="K403">
        <v>162</v>
      </c>
      <c r="L403">
        <v>117</v>
      </c>
      <c r="M403">
        <v>10530450.450450454</v>
      </c>
      <c r="N403">
        <v>13805405.405405404</v>
      </c>
      <c r="O403">
        <v>66954824.324324317</v>
      </c>
      <c r="P403">
        <v>72215459.459459454</v>
      </c>
      <c r="Q403">
        <v>10133963.963963963</v>
      </c>
      <c r="R403">
        <v>16769369.369369373</v>
      </c>
      <c r="S403">
        <v>7424</v>
      </c>
      <c r="T403">
        <v>7154</v>
      </c>
    </row>
    <row r="404" spans="1:20" x14ac:dyDescent="0.35">
      <c r="A404" s="7" t="s">
        <v>497</v>
      </c>
      <c r="B404" s="12" t="s">
        <v>331</v>
      </c>
      <c r="C404">
        <v>288688001.2810151</v>
      </c>
      <c r="D404">
        <v>267558646.4177998</v>
      </c>
      <c r="E404">
        <v>3453828.8288288298</v>
      </c>
      <c r="F404">
        <v>2495495.495495501</v>
      </c>
      <c r="G404">
        <v>137</v>
      </c>
      <c r="H404">
        <v>120</v>
      </c>
      <c r="K404">
        <v>184</v>
      </c>
      <c r="L404">
        <v>151</v>
      </c>
      <c r="M404">
        <v>33849009.009009011</v>
      </c>
      <c r="N404">
        <v>30266486.486486487</v>
      </c>
      <c r="O404">
        <v>64925117.117117114</v>
      </c>
      <c r="P404">
        <v>65392963.963963971</v>
      </c>
      <c r="Q404">
        <v>34906306.306306303</v>
      </c>
      <c r="R404">
        <v>31287837.837837841</v>
      </c>
      <c r="S404">
        <v>8635</v>
      </c>
      <c r="T404">
        <v>7935</v>
      </c>
    </row>
    <row r="405" spans="1:20" x14ac:dyDescent="0.35">
      <c r="A405" s="7" t="s">
        <v>498</v>
      </c>
      <c r="B405" s="12" t="s">
        <v>331</v>
      </c>
      <c r="C405">
        <v>1131994992.763844</v>
      </c>
      <c r="D405">
        <v>1055266707.3935304</v>
      </c>
      <c r="E405">
        <v>1013775389.1891892</v>
      </c>
      <c r="F405">
        <v>15431293.693693709</v>
      </c>
      <c r="G405">
        <v>829</v>
      </c>
      <c r="H405">
        <v>516</v>
      </c>
      <c r="K405">
        <v>1536</v>
      </c>
      <c r="L405">
        <v>610</v>
      </c>
      <c r="M405">
        <v>427791862.16216218</v>
      </c>
      <c r="N405">
        <v>384305347.74774778</v>
      </c>
      <c r="O405">
        <v>281082306.3063063</v>
      </c>
      <c r="P405">
        <v>228231576.57657659</v>
      </c>
      <c r="Q405">
        <v>189912702.70270273</v>
      </c>
      <c r="R405">
        <v>302843063.06306303</v>
      </c>
      <c r="S405">
        <v>27882</v>
      </c>
      <c r="T405">
        <v>27453</v>
      </c>
    </row>
    <row r="406" spans="1:20" x14ac:dyDescent="0.35">
      <c r="A406" s="7" t="s">
        <v>499</v>
      </c>
      <c r="B406" s="12" t="s">
        <v>331</v>
      </c>
      <c r="C406">
        <v>887484803.56595218</v>
      </c>
      <c r="D406">
        <v>863164510.16179991</v>
      </c>
      <c r="E406">
        <v>8445045.0450450536</v>
      </c>
      <c r="F406">
        <v>55814414.414414436</v>
      </c>
      <c r="G406">
        <v>356</v>
      </c>
      <c r="H406">
        <v>286</v>
      </c>
      <c r="I406">
        <v>3</v>
      </c>
      <c r="K406">
        <v>478</v>
      </c>
      <c r="L406">
        <v>373</v>
      </c>
      <c r="M406">
        <v>210733558.55855855</v>
      </c>
      <c r="N406">
        <v>110390315.31531531</v>
      </c>
      <c r="O406">
        <v>233466092.34234235</v>
      </c>
      <c r="P406">
        <v>231751794.5945946</v>
      </c>
      <c r="Q406">
        <v>201569009.00900903</v>
      </c>
      <c r="R406">
        <v>111813243.24324325</v>
      </c>
      <c r="S406">
        <v>25795</v>
      </c>
      <c r="T406">
        <v>25899</v>
      </c>
    </row>
    <row r="407" spans="1:20" x14ac:dyDescent="0.35">
      <c r="A407" s="7" t="s">
        <v>500</v>
      </c>
      <c r="B407" s="12" t="s">
        <v>144</v>
      </c>
      <c r="C407">
        <v>370385706.53692716</v>
      </c>
      <c r="D407">
        <v>386379252.51147377</v>
      </c>
      <c r="E407">
        <v>2220945.9459459479</v>
      </c>
      <c r="F407">
        <v>540540.54054054595</v>
      </c>
      <c r="G407">
        <v>222</v>
      </c>
      <c r="H407">
        <v>59</v>
      </c>
      <c r="K407">
        <v>235</v>
      </c>
      <c r="L407">
        <v>78</v>
      </c>
      <c r="M407">
        <v>36536936.936936937</v>
      </c>
      <c r="N407">
        <v>32137837.837837841</v>
      </c>
      <c r="O407">
        <v>58508421.621621624</v>
      </c>
      <c r="P407">
        <v>70523756.756756753</v>
      </c>
      <c r="Q407">
        <v>23406396.396396395</v>
      </c>
      <c r="R407">
        <v>22892612.612612613</v>
      </c>
      <c r="S407">
        <v>8310</v>
      </c>
      <c r="T407">
        <v>8207</v>
      </c>
    </row>
    <row r="408" spans="1:20" x14ac:dyDescent="0.35">
      <c r="A408" s="7" t="s">
        <v>501</v>
      </c>
      <c r="B408" s="12" t="s">
        <v>221</v>
      </c>
      <c r="C408">
        <v>445623520.69917506</v>
      </c>
      <c r="D408">
        <v>466256995.82199275</v>
      </c>
      <c r="E408">
        <v>518713906.3063063</v>
      </c>
      <c r="F408">
        <v>379295808.1081081</v>
      </c>
      <c r="G408">
        <v>196</v>
      </c>
      <c r="H408">
        <v>230</v>
      </c>
      <c r="I408">
        <v>5</v>
      </c>
      <c r="K408">
        <v>249</v>
      </c>
      <c r="L408">
        <v>291</v>
      </c>
      <c r="M408">
        <v>188305765.76576576</v>
      </c>
      <c r="N408">
        <v>328466212.61261261</v>
      </c>
      <c r="O408">
        <v>137249337.83783785</v>
      </c>
      <c r="P408">
        <v>145796477.47747746</v>
      </c>
      <c r="Q408">
        <v>171590090.09009007</v>
      </c>
      <c r="R408">
        <v>297753243.24324328</v>
      </c>
      <c r="S408">
        <v>12400</v>
      </c>
      <c r="T408">
        <v>12380</v>
      </c>
    </row>
    <row r="409" spans="1:20" x14ac:dyDescent="0.35">
      <c r="A409" s="7" t="s">
        <v>502</v>
      </c>
      <c r="B409" s="12" t="s">
        <v>398</v>
      </c>
      <c r="C409">
        <v>1254088714.1493268</v>
      </c>
      <c r="D409">
        <v>1281304835.9597681</v>
      </c>
      <c r="E409">
        <v>208274018.91891891</v>
      </c>
      <c r="F409">
        <v>331540081.08108109</v>
      </c>
      <c r="G409">
        <v>396</v>
      </c>
      <c r="H409">
        <v>255</v>
      </c>
      <c r="I409">
        <v>1</v>
      </c>
      <c r="K409">
        <v>516</v>
      </c>
      <c r="L409">
        <v>309</v>
      </c>
      <c r="M409">
        <v>144628153.15315315</v>
      </c>
      <c r="N409">
        <v>168413243.24324322</v>
      </c>
      <c r="O409">
        <v>269153700.9009009</v>
      </c>
      <c r="P409">
        <v>288926427.02702701</v>
      </c>
      <c r="Q409">
        <v>129366351.35135137</v>
      </c>
      <c r="R409">
        <v>153243783.78378376</v>
      </c>
      <c r="S409">
        <v>26654</v>
      </c>
      <c r="T409">
        <v>27078</v>
      </c>
    </row>
    <row r="410" spans="1:20" x14ac:dyDescent="0.35">
      <c r="A410" s="7" t="s">
        <v>503</v>
      </c>
      <c r="B410" s="12" t="s">
        <v>71</v>
      </c>
      <c r="C410">
        <v>19354868.865364678</v>
      </c>
      <c r="D410">
        <v>19535879.76403404</v>
      </c>
      <c r="E410">
        <v>229729.72972973</v>
      </c>
      <c r="F410">
        <v>675225.22522522497</v>
      </c>
      <c r="G410">
        <v>9</v>
      </c>
      <c r="H410">
        <v>6</v>
      </c>
      <c r="K410">
        <v>10</v>
      </c>
      <c r="L410">
        <v>8</v>
      </c>
      <c r="M410">
        <v>959459.45945945999</v>
      </c>
      <c r="N410">
        <v>2909459.4594594599</v>
      </c>
      <c r="O410">
        <v>13810081.081081079</v>
      </c>
      <c r="P410">
        <v>15096126.126126125</v>
      </c>
      <c r="Q410">
        <v>777297.29729729705</v>
      </c>
      <c r="R410">
        <v>2285495.4954954949</v>
      </c>
      <c r="S410">
        <v>679</v>
      </c>
      <c r="T410">
        <v>730</v>
      </c>
    </row>
    <row r="411" spans="1:20" x14ac:dyDescent="0.35">
      <c r="A411" s="7" t="s">
        <v>504</v>
      </c>
      <c r="B411" s="12" t="s">
        <v>331</v>
      </c>
      <c r="C411">
        <v>530291032.97246706</v>
      </c>
      <c r="D411">
        <v>525402938.84192669</v>
      </c>
      <c r="E411">
        <v>4443918.9189189197</v>
      </c>
      <c r="F411">
        <v>4211711.7117117196</v>
      </c>
      <c r="G411">
        <v>205</v>
      </c>
      <c r="H411">
        <v>169</v>
      </c>
      <c r="K411">
        <v>257</v>
      </c>
      <c r="L411">
        <v>199</v>
      </c>
      <c r="M411">
        <v>60531351.351351343</v>
      </c>
      <c r="N411">
        <v>68994594.594594598</v>
      </c>
      <c r="O411">
        <v>159954515.76576576</v>
      </c>
      <c r="P411">
        <v>139984232.43243244</v>
      </c>
      <c r="Q411">
        <v>60441261.261261262</v>
      </c>
      <c r="R411">
        <v>72643783.783783779</v>
      </c>
      <c r="S411">
        <v>15915</v>
      </c>
      <c r="T411">
        <v>16161</v>
      </c>
    </row>
    <row r="412" spans="1:20" x14ac:dyDescent="0.35">
      <c r="A412" s="7" t="s">
        <v>505</v>
      </c>
      <c r="B412" s="12" t="s">
        <v>284</v>
      </c>
      <c r="C412">
        <v>160871858.84974784</v>
      </c>
      <c r="D412">
        <v>172751862.5895665</v>
      </c>
      <c r="E412">
        <v>135116216.21621624</v>
      </c>
      <c r="F412">
        <v>58670270.270270273</v>
      </c>
      <c r="G412">
        <v>29</v>
      </c>
      <c r="H412">
        <v>11</v>
      </c>
      <c r="K412">
        <v>30</v>
      </c>
      <c r="L412">
        <v>18</v>
      </c>
      <c r="M412">
        <v>15802702.702702705</v>
      </c>
      <c r="N412">
        <v>13575675.675675675</v>
      </c>
      <c r="O412">
        <v>28398765.765765768</v>
      </c>
      <c r="P412">
        <v>33518972.97297297</v>
      </c>
      <c r="Q412">
        <v>12221711.711711712</v>
      </c>
      <c r="R412">
        <v>13000180.180180181</v>
      </c>
      <c r="S412">
        <v>2827</v>
      </c>
      <c r="T412">
        <v>2950</v>
      </c>
    </row>
    <row r="413" spans="1:20" x14ac:dyDescent="0.35">
      <c r="A413" s="7" t="s">
        <v>506</v>
      </c>
      <c r="B413" s="12" t="s">
        <v>261</v>
      </c>
      <c r="C413">
        <v>98953294.987168148</v>
      </c>
      <c r="D413">
        <v>114366830.82345751</v>
      </c>
      <c r="E413">
        <v>54954.954954954999</v>
      </c>
      <c r="F413">
        <v>13513.513513514001</v>
      </c>
      <c r="G413">
        <v>4</v>
      </c>
      <c r="H413">
        <v>12</v>
      </c>
      <c r="K413">
        <v>5</v>
      </c>
      <c r="L413">
        <v>16</v>
      </c>
      <c r="M413">
        <v>1865765.7657657659</v>
      </c>
      <c r="N413">
        <v>2716216.2162162168</v>
      </c>
      <c r="O413">
        <v>22400612.612612613</v>
      </c>
      <c r="P413">
        <v>32007998.198198199</v>
      </c>
      <c r="Q413">
        <v>1402702.7027027039</v>
      </c>
      <c r="R413">
        <v>3331981.9819819811</v>
      </c>
      <c r="S413">
        <v>2093</v>
      </c>
      <c r="T413">
        <v>2244</v>
      </c>
    </row>
    <row r="414" spans="1:20" x14ac:dyDescent="0.35">
      <c r="A414" s="7" t="s">
        <v>507</v>
      </c>
      <c r="B414" s="12" t="s">
        <v>237</v>
      </c>
      <c r="C414">
        <v>244299671.89452991</v>
      </c>
      <c r="D414">
        <v>239605421.47544962</v>
      </c>
      <c r="E414">
        <v>155974451.35135135</v>
      </c>
      <c r="F414">
        <v>141616290.0900901</v>
      </c>
      <c r="G414">
        <v>53</v>
      </c>
      <c r="H414">
        <v>98</v>
      </c>
      <c r="I414">
        <v>1</v>
      </c>
      <c r="K414">
        <v>195</v>
      </c>
      <c r="L414">
        <v>159</v>
      </c>
      <c r="M414">
        <v>77669909.909909904</v>
      </c>
      <c r="N414">
        <v>59039414.414414413</v>
      </c>
      <c r="O414">
        <v>55305135.135135137</v>
      </c>
      <c r="P414">
        <v>58993810.810810804</v>
      </c>
      <c r="Q414">
        <v>50256936.936936937</v>
      </c>
      <c r="R414">
        <v>42004279.279279277</v>
      </c>
      <c r="S414">
        <v>4483</v>
      </c>
      <c r="T414">
        <v>4517</v>
      </c>
    </row>
    <row r="415" spans="1:20" x14ac:dyDescent="0.35">
      <c r="A415" s="7" t="s">
        <v>508</v>
      </c>
      <c r="B415" s="12" t="s">
        <v>135</v>
      </c>
      <c r="C415">
        <v>27253277.01126131</v>
      </c>
      <c r="D415">
        <v>41730072.250672527</v>
      </c>
      <c r="G415">
        <v>1</v>
      </c>
      <c r="H415">
        <v>1</v>
      </c>
      <c r="K415">
        <v>2</v>
      </c>
      <c r="L415">
        <v>1</v>
      </c>
      <c r="O415">
        <v>4706702.702702703</v>
      </c>
      <c r="P415">
        <v>7286918.9189189188</v>
      </c>
      <c r="S415">
        <v>1204</v>
      </c>
      <c r="T415">
        <v>1178</v>
      </c>
    </row>
    <row r="416" spans="1:20" x14ac:dyDescent="0.35">
      <c r="A416" s="7" t="s">
        <v>509</v>
      </c>
      <c r="B416" s="12" t="s">
        <v>398</v>
      </c>
      <c r="C416">
        <v>254542165.6522111</v>
      </c>
      <c r="D416">
        <v>262126065.37082264</v>
      </c>
      <c r="E416">
        <v>1125225.225225226</v>
      </c>
      <c r="F416">
        <v>667567.56756756897</v>
      </c>
      <c r="G416">
        <v>46</v>
      </c>
      <c r="H416">
        <v>50</v>
      </c>
      <c r="K416">
        <v>72</v>
      </c>
      <c r="L416">
        <v>59</v>
      </c>
      <c r="M416">
        <v>28668918.918918919</v>
      </c>
      <c r="N416">
        <v>26766441.441441439</v>
      </c>
      <c r="O416">
        <v>39191774.774774775</v>
      </c>
      <c r="P416">
        <v>41161765.765765771</v>
      </c>
      <c r="Q416">
        <v>26417477.477477476</v>
      </c>
      <c r="R416">
        <v>24852117.117117114</v>
      </c>
      <c r="S416">
        <v>4362</v>
      </c>
      <c r="T416">
        <v>4468</v>
      </c>
    </row>
    <row r="417" spans="1:20" x14ac:dyDescent="0.35">
      <c r="A417" s="7" t="s">
        <v>510</v>
      </c>
      <c r="B417" s="12" t="s">
        <v>135</v>
      </c>
      <c r="C417">
        <v>283382207.60466188</v>
      </c>
      <c r="D417">
        <v>302422742.84021568</v>
      </c>
      <c r="E417">
        <v>1527927.9279279311</v>
      </c>
      <c r="F417">
        <v>2066666.6666666691</v>
      </c>
      <c r="G417">
        <v>70</v>
      </c>
      <c r="H417">
        <v>61</v>
      </c>
      <c r="K417">
        <v>78</v>
      </c>
      <c r="L417">
        <v>70</v>
      </c>
      <c r="M417">
        <v>28090990.990990993</v>
      </c>
      <c r="N417">
        <v>33634234.234234229</v>
      </c>
      <c r="O417">
        <v>47040682.432432435</v>
      </c>
      <c r="P417">
        <v>52277666.666666664</v>
      </c>
      <c r="Q417">
        <v>22496756.756756756</v>
      </c>
      <c r="R417">
        <v>25982072.072072074</v>
      </c>
      <c r="S417">
        <v>5427</v>
      </c>
      <c r="T417">
        <v>5599</v>
      </c>
    </row>
    <row r="418" spans="1:20" x14ac:dyDescent="0.35">
      <c r="A418" s="7" t="s">
        <v>511</v>
      </c>
      <c r="B418" s="12" t="s">
        <v>135</v>
      </c>
      <c r="C418">
        <v>778409238.28371</v>
      </c>
      <c r="D418">
        <v>807647883.28208447</v>
      </c>
      <c r="E418">
        <v>4854954.9549549641</v>
      </c>
      <c r="F418">
        <v>6544144.1441441514</v>
      </c>
      <c r="G418">
        <v>166</v>
      </c>
      <c r="H418">
        <v>141</v>
      </c>
      <c r="K418">
        <v>219</v>
      </c>
      <c r="L418">
        <v>229</v>
      </c>
      <c r="M418">
        <v>62442342.342342347</v>
      </c>
      <c r="N418">
        <v>75447747.747747749</v>
      </c>
      <c r="O418">
        <v>82300009.009009004</v>
      </c>
      <c r="P418">
        <v>93975585.585585579</v>
      </c>
      <c r="Q418">
        <v>58064684.684684679</v>
      </c>
      <c r="R418">
        <v>68852702.702702701</v>
      </c>
      <c r="S418">
        <v>16173</v>
      </c>
      <c r="T418">
        <v>19116</v>
      </c>
    </row>
    <row r="419" spans="1:20" x14ac:dyDescent="0.35">
      <c r="A419" s="7" t="s">
        <v>8</v>
      </c>
      <c r="B419" s="12" t="s">
        <v>159</v>
      </c>
      <c r="C419">
        <v>205169915.48012587</v>
      </c>
      <c r="D419">
        <v>208842826.16912249</v>
      </c>
      <c r="E419">
        <v>4509009.0090090111</v>
      </c>
      <c r="F419">
        <v>3645045.0450450471</v>
      </c>
      <c r="G419">
        <v>19</v>
      </c>
      <c r="H419">
        <v>45</v>
      </c>
      <c r="K419">
        <v>21</v>
      </c>
      <c r="L419">
        <v>46</v>
      </c>
      <c r="M419">
        <v>42163063.063063063</v>
      </c>
      <c r="N419">
        <v>40511261.261261262</v>
      </c>
      <c r="O419">
        <v>60058756.75675676</v>
      </c>
      <c r="P419">
        <v>63409792.79279279</v>
      </c>
      <c r="Q419">
        <v>38268468.468468465</v>
      </c>
      <c r="R419">
        <v>36789549.54954955</v>
      </c>
      <c r="S419">
        <v>3523</v>
      </c>
      <c r="T419">
        <v>3706</v>
      </c>
    </row>
    <row r="420" spans="1:20" x14ac:dyDescent="0.35">
      <c r="A420" s="7" t="s">
        <v>512</v>
      </c>
      <c r="B420" s="12" t="s">
        <v>135</v>
      </c>
      <c r="C420">
        <v>149745839.92593113</v>
      </c>
      <c r="D420">
        <v>172824541.36330956</v>
      </c>
      <c r="E420">
        <v>563063.06306306296</v>
      </c>
      <c r="F420">
        <v>450450.450450451</v>
      </c>
      <c r="G420">
        <v>12</v>
      </c>
      <c r="H420">
        <v>1</v>
      </c>
      <c r="K420">
        <v>13</v>
      </c>
      <c r="L420">
        <v>2</v>
      </c>
      <c r="M420">
        <v>5968468.4684684686</v>
      </c>
      <c r="N420">
        <v>13963963.963963963</v>
      </c>
      <c r="O420">
        <v>20753576.576576576</v>
      </c>
      <c r="P420">
        <v>26757450.450450446</v>
      </c>
      <c r="Q420">
        <v>4430270.2702702703</v>
      </c>
      <c r="R420">
        <v>5619909.9099099096</v>
      </c>
      <c r="S420">
        <v>3890</v>
      </c>
      <c r="T420">
        <v>3940</v>
      </c>
    </row>
    <row r="421" spans="1:20" x14ac:dyDescent="0.35">
      <c r="A421" s="7" t="s">
        <v>513</v>
      </c>
      <c r="B421" s="12" t="s">
        <v>63</v>
      </c>
      <c r="C421">
        <v>650327671.97256029</v>
      </c>
      <c r="D421">
        <v>638370719.55515182</v>
      </c>
      <c r="E421">
        <v>4188288.2882882948</v>
      </c>
      <c r="F421">
        <v>4750450.450450453</v>
      </c>
      <c r="G421">
        <v>197</v>
      </c>
      <c r="H421">
        <v>90</v>
      </c>
      <c r="K421">
        <v>272</v>
      </c>
      <c r="L421">
        <v>151</v>
      </c>
      <c r="M421">
        <v>105642612.61261261</v>
      </c>
      <c r="N421">
        <v>51392972.972972974</v>
      </c>
      <c r="O421">
        <v>135464786.48648649</v>
      </c>
      <c r="P421">
        <v>143528652.25225225</v>
      </c>
      <c r="Q421">
        <v>103373963.96396397</v>
      </c>
      <c r="R421">
        <v>52748151.351351351</v>
      </c>
      <c r="S421">
        <v>14264</v>
      </c>
      <c r="T421">
        <v>14790</v>
      </c>
    </row>
    <row r="422" spans="1:20" x14ac:dyDescent="0.35">
      <c r="A422" s="7" t="s">
        <v>514</v>
      </c>
      <c r="B422" s="12" t="s">
        <v>118</v>
      </c>
      <c r="C422">
        <v>67883035.894140631</v>
      </c>
      <c r="D422">
        <v>58543472.737497218</v>
      </c>
      <c r="E422">
        <v>291891.89189189201</v>
      </c>
      <c r="F422">
        <v>1639639.6396396421</v>
      </c>
      <c r="G422">
        <v>31</v>
      </c>
      <c r="H422">
        <v>24</v>
      </c>
      <c r="K422">
        <v>31</v>
      </c>
      <c r="L422">
        <v>28</v>
      </c>
      <c r="M422">
        <v>3736306.3063063058</v>
      </c>
      <c r="N422">
        <v>5756981.9819819843</v>
      </c>
      <c r="O422">
        <v>29264387.387387387</v>
      </c>
      <c r="P422">
        <v>26757783.783783782</v>
      </c>
      <c r="Q422">
        <v>2975315.3153153169</v>
      </c>
      <c r="R422">
        <v>5021486.4864864862</v>
      </c>
      <c r="S422">
        <v>2019</v>
      </c>
      <c r="T422">
        <v>2017</v>
      </c>
    </row>
    <row r="423" spans="1:20" x14ac:dyDescent="0.35">
      <c r="A423" s="7" t="s">
        <v>515</v>
      </c>
      <c r="B423" s="12" t="s">
        <v>305</v>
      </c>
      <c r="C423">
        <v>121850312.26526664</v>
      </c>
      <c r="D423">
        <v>116274292.43736921</v>
      </c>
      <c r="E423">
        <v>1572072.072072072</v>
      </c>
      <c r="F423">
        <v>477477.47747747903</v>
      </c>
      <c r="G423">
        <v>67</v>
      </c>
      <c r="H423">
        <v>70</v>
      </c>
      <c r="I423">
        <v>2</v>
      </c>
      <c r="K423">
        <v>71</v>
      </c>
      <c r="L423">
        <v>76</v>
      </c>
      <c r="M423">
        <v>10107657.657657659</v>
      </c>
      <c r="N423">
        <v>4544144.1441441439</v>
      </c>
      <c r="O423">
        <v>12173963.963963963</v>
      </c>
      <c r="P423">
        <v>13980243.243243244</v>
      </c>
      <c r="Q423">
        <v>10211801.801801803</v>
      </c>
      <c r="R423">
        <v>4308468.4684684686</v>
      </c>
      <c r="S423">
        <v>1523</v>
      </c>
      <c r="T423">
        <v>1454</v>
      </c>
    </row>
    <row r="424" spans="1:20" x14ac:dyDescent="0.35">
      <c r="A424" s="7" t="s">
        <v>516</v>
      </c>
      <c r="B424" s="12" t="s">
        <v>305</v>
      </c>
      <c r="C424">
        <v>33376900.72642995</v>
      </c>
      <c r="D424">
        <v>39570525.138492063</v>
      </c>
      <c r="E424">
        <v>262162.16216216201</v>
      </c>
      <c r="F424">
        <v>360360.36036036297</v>
      </c>
      <c r="G424">
        <v>9</v>
      </c>
      <c r="H424">
        <v>7</v>
      </c>
      <c r="K424">
        <v>9</v>
      </c>
      <c r="L424">
        <v>7</v>
      </c>
      <c r="M424">
        <v>4313513.5135135129</v>
      </c>
      <c r="N424">
        <v>6405405.4054054059</v>
      </c>
      <c r="O424">
        <v>4900639.6396396393</v>
      </c>
      <c r="P424">
        <v>6526927.927927928</v>
      </c>
      <c r="Q424">
        <v>3170540.5405405401</v>
      </c>
      <c r="R424">
        <v>4761621.6216216199</v>
      </c>
      <c r="S424">
        <v>600</v>
      </c>
      <c r="T424">
        <v>605</v>
      </c>
    </row>
    <row r="425" spans="1:20" x14ac:dyDescent="0.35">
      <c r="A425" s="7" t="s">
        <v>517</v>
      </c>
      <c r="B425" s="12" t="s">
        <v>305</v>
      </c>
      <c r="C425">
        <v>72431101.934754699</v>
      </c>
      <c r="D425">
        <v>74232692.028631553</v>
      </c>
      <c r="E425">
        <v>715315.31531531399</v>
      </c>
      <c r="F425">
        <v>211711.71171171399</v>
      </c>
      <c r="G425">
        <v>36</v>
      </c>
      <c r="H425">
        <v>20</v>
      </c>
      <c r="K425">
        <v>41</v>
      </c>
      <c r="L425">
        <v>26</v>
      </c>
      <c r="M425">
        <v>4019819.8198198192</v>
      </c>
      <c r="N425">
        <v>6211711.7117117122</v>
      </c>
      <c r="O425">
        <v>10735234.234234234</v>
      </c>
      <c r="P425">
        <v>11065693.693693692</v>
      </c>
      <c r="Q425">
        <v>3419279.2792792791</v>
      </c>
      <c r="R425">
        <v>5874054.0540540544</v>
      </c>
      <c r="S425">
        <v>1079</v>
      </c>
      <c r="T425">
        <v>1098</v>
      </c>
    </row>
    <row r="426" spans="1:20" x14ac:dyDescent="0.35">
      <c r="A426" s="7" t="s">
        <v>518</v>
      </c>
      <c r="B426" s="12" t="s">
        <v>305</v>
      </c>
      <c r="C426">
        <v>56588779.299560606</v>
      </c>
      <c r="D426">
        <v>55929012.192484125</v>
      </c>
      <c r="E426">
        <v>94594.594594594993</v>
      </c>
      <c r="F426">
        <v>36036.036036037003</v>
      </c>
      <c r="G426">
        <v>21</v>
      </c>
      <c r="H426">
        <v>17</v>
      </c>
      <c r="K426">
        <v>22</v>
      </c>
      <c r="L426">
        <v>17</v>
      </c>
      <c r="M426">
        <v>1445945.945945946</v>
      </c>
      <c r="N426">
        <v>2103603.6036036029</v>
      </c>
      <c r="O426">
        <v>7278954.9549549539</v>
      </c>
      <c r="P426">
        <v>8637558.5585585572</v>
      </c>
      <c r="Q426">
        <v>1076486.4864864859</v>
      </c>
      <c r="R426">
        <v>1240090.090090089</v>
      </c>
      <c r="S426">
        <v>723</v>
      </c>
      <c r="T426">
        <v>733</v>
      </c>
    </row>
    <row r="427" spans="1:20" x14ac:dyDescent="0.35">
      <c r="A427" s="7" t="s">
        <v>519</v>
      </c>
      <c r="B427" s="12" t="s">
        <v>449</v>
      </c>
      <c r="C427">
        <v>58156658.405174583</v>
      </c>
      <c r="D427">
        <v>56853474.17704612</v>
      </c>
      <c r="E427">
        <v>347747.74774774798</v>
      </c>
      <c r="F427">
        <v>1523423.4234234239</v>
      </c>
      <c r="G427">
        <v>13</v>
      </c>
      <c r="H427">
        <v>22</v>
      </c>
      <c r="K427">
        <v>15</v>
      </c>
      <c r="L427">
        <v>31</v>
      </c>
      <c r="M427">
        <v>4161711.7117117122</v>
      </c>
      <c r="N427">
        <v>66217387.387387387</v>
      </c>
      <c r="O427">
        <v>19898912.162162159</v>
      </c>
      <c r="P427">
        <v>19512666.666666668</v>
      </c>
      <c r="Q427">
        <v>4226126.1261261264</v>
      </c>
      <c r="R427">
        <v>66833513.513513513</v>
      </c>
      <c r="S427">
        <v>1775</v>
      </c>
      <c r="T427">
        <v>1811</v>
      </c>
    </row>
    <row r="428" spans="1:20" x14ac:dyDescent="0.35">
      <c r="A428" s="7" t="s">
        <v>520</v>
      </c>
      <c r="B428" s="12" t="s">
        <v>86</v>
      </c>
      <c r="C428">
        <v>179559682.26912329</v>
      </c>
      <c r="D428">
        <v>184885529.89613482</v>
      </c>
      <c r="E428">
        <v>1396396.3963963969</v>
      </c>
      <c r="F428">
        <v>2810810.8108108132</v>
      </c>
      <c r="G428">
        <v>29</v>
      </c>
      <c r="H428">
        <v>13</v>
      </c>
      <c r="K428">
        <v>34</v>
      </c>
      <c r="L428">
        <v>18</v>
      </c>
      <c r="M428">
        <v>38541891.891891897</v>
      </c>
      <c r="N428">
        <v>59055945.945945941</v>
      </c>
      <c r="O428">
        <v>44568441.441441439</v>
      </c>
      <c r="P428">
        <v>53250261.261261262</v>
      </c>
      <c r="Q428">
        <v>33257790.990990993</v>
      </c>
      <c r="R428">
        <v>49678288.288288288</v>
      </c>
      <c r="S428">
        <v>4146</v>
      </c>
      <c r="T428">
        <v>4097</v>
      </c>
    </row>
    <row r="429" spans="1:20" x14ac:dyDescent="0.35">
      <c r="A429" s="7" t="s">
        <v>521</v>
      </c>
      <c r="B429" s="12" t="s">
        <v>305</v>
      </c>
      <c r="C429">
        <v>92418412.064745501</v>
      </c>
      <c r="D429">
        <v>92782021.028492793</v>
      </c>
      <c r="E429">
        <v>44144.144144143997</v>
      </c>
      <c r="G429">
        <v>13</v>
      </c>
      <c r="H429">
        <v>13</v>
      </c>
      <c r="K429">
        <v>13</v>
      </c>
      <c r="L429">
        <v>15</v>
      </c>
      <c r="M429">
        <v>5756756.7567567565</v>
      </c>
      <c r="N429">
        <v>4157657.6576576568</v>
      </c>
      <c r="O429">
        <v>15470734.234234236</v>
      </c>
      <c r="P429">
        <v>17436297.297297299</v>
      </c>
      <c r="Q429">
        <v>2678378.3783783782</v>
      </c>
      <c r="R429">
        <v>3831621.6216216208</v>
      </c>
      <c r="S429">
        <v>1338</v>
      </c>
      <c r="T429">
        <v>1341</v>
      </c>
    </row>
    <row r="430" spans="1:20" x14ac:dyDescent="0.35">
      <c r="A430" s="7" t="s">
        <v>522</v>
      </c>
      <c r="B430" s="12" t="s">
        <v>400</v>
      </c>
      <c r="C430">
        <v>632562577.29881942</v>
      </c>
      <c r="D430">
        <v>638479166.04381537</v>
      </c>
      <c r="E430">
        <v>162110435.13513514</v>
      </c>
      <c r="F430">
        <v>154150139.63963965</v>
      </c>
      <c r="G430">
        <v>273</v>
      </c>
      <c r="H430">
        <v>148</v>
      </c>
      <c r="I430">
        <v>1</v>
      </c>
      <c r="K430">
        <v>589</v>
      </c>
      <c r="L430">
        <v>332</v>
      </c>
      <c r="M430">
        <v>123266216.21621622</v>
      </c>
      <c r="N430">
        <v>189498423.42342341</v>
      </c>
      <c r="O430">
        <v>161321684.68468466</v>
      </c>
      <c r="P430">
        <v>166171972.97297296</v>
      </c>
      <c r="Q430">
        <v>100215135.13513513</v>
      </c>
      <c r="R430">
        <v>127708241.44144145</v>
      </c>
      <c r="S430">
        <v>13559</v>
      </c>
      <c r="T430">
        <v>14563</v>
      </c>
    </row>
    <row r="431" spans="1:20" x14ac:dyDescent="0.35">
      <c r="A431" s="7" t="s">
        <v>523</v>
      </c>
      <c r="B431" s="12" t="s">
        <v>144</v>
      </c>
      <c r="C431">
        <v>177246641.61864093</v>
      </c>
      <c r="D431">
        <v>188351912.8906678</v>
      </c>
      <c r="E431">
        <v>303603.60360360402</v>
      </c>
      <c r="F431">
        <v>337837.83783783799</v>
      </c>
      <c r="G431">
        <v>53</v>
      </c>
      <c r="H431">
        <v>12</v>
      </c>
      <c r="K431">
        <v>56</v>
      </c>
      <c r="L431">
        <v>13</v>
      </c>
      <c r="M431">
        <v>11564864.864864865</v>
      </c>
      <c r="N431">
        <v>9346846.8468468487</v>
      </c>
      <c r="O431">
        <v>22816531.531531531</v>
      </c>
      <c r="P431">
        <v>23924890.090090089</v>
      </c>
      <c r="Q431">
        <v>10107297.297297295</v>
      </c>
      <c r="R431">
        <v>8634504.5045045055</v>
      </c>
      <c r="S431">
        <v>2923</v>
      </c>
      <c r="T431">
        <v>3051</v>
      </c>
    </row>
    <row r="432" spans="1:20" x14ac:dyDescent="0.35">
      <c r="A432" s="7" t="s">
        <v>524</v>
      </c>
      <c r="B432" s="12" t="s">
        <v>67</v>
      </c>
      <c r="C432">
        <v>125083910.97600302</v>
      </c>
      <c r="D432">
        <v>115312970.61025524</v>
      </c>
      <c r="E432">
        <v>3063063.0630630651</v>
      </c>
      <c r="F432">
        <v>3083783.7837837832</v>
      </c>
      <c r="G432">
        <v>28</v>
      </c>
      <c r="H432">
        <v>30</v>
      </c>
      <c r="K432">
        <v>34</v>
      </c>
      <c r="L432">
        <v>31</v>
      </c>
      <c r="M432">
        <v>60083243.24324324</v>
      </c>
      <c r="N432">
        <v>48641441.441441439</v>
      </c>
      <c r="O432">
        <v>59962972.972972974</v>
      </c>
      <c r="P432">
        <v>58842918.918918923</v>
      </c>
      <c r="Q432">
        <v>49935315.315315314</v>
      </c>
      <c r="R432">
        <v>45821621.621621624</v>
      </c>
      <c r="S432">
        <v>3883</v>
      </c>
      <c r="T432">
        <v>3636</v>
      </c>
    </row>
    <row r="433" spans="1:20" x14ac:dyDescent="0.35">
      <c r="A433" s="7" t="s">
        <v>525</v>
      </c>
      <c r="B433" s="12" t="s">
        <v>221</v>
      </c>
      <c r="C433">
        <v>160463015.43352664</v>
      </c>
      <c r="D433">
        <v>160619670.4165644</v>
      </c>
      <c r="E433">
        <v>684684.68468468403</v>
      </c>
      <c r="F433">
        <v>270270.27027027099</v>
      </c>
      <c r="G433">
        <v>58</v>
      </c>
      <c r="H433">
        <v>53</v>
      </c>
      <c r="K433">
        <v>65</v>
      </c>
      <c r="L433">
        <v>56</v>
      </c>
      <c r="M433">
        <v>11504504.504504504</v>
      </c>
      <c r="N433">
        <v>10274549.549549548</v>
      </c>
      <c r="O433">
        <v>39975594.59459459</v>
      </c>
      <c r="P433">
        <v>43884790.990990989</v>
      </c>
      <c r="Q433">
        <v>8538918.9189189188</v>
      </c>
      <c r="R433">
        <v>6353738.7387387371</v>
      </c>
      <c r="S433">
        <v>4242</v>
      </c>
      <c r="T433">
        <v>4222</v>
      </c>
    </row>
    <row r="434" spans="1:20" x14ac:dyDescent="0.35">
      <c r="A434" s="7" t="s">
        <v>526</v>
      </c>
      <c r="B434" s="12" t="s">
        <v>414</v>
      </c>
      <c r="C434">
        <v>1770057211.3561888</v>
      </c>
      <c r="D434">
        <v>1792940976.0400217</v>
      </c>
      <c r="E434">
        <v>560616536.93693697</v>
      </c>
      <c r="F434">
        <v>621082575.67567563</v>
      </c>
      <c r="G434">
        <v>470</v>
      </c>
      <c r="H434">
        <v>647</v>
      </c>
      <c r="I434">
        <v>2</v>
      </c>
      <c r="K434">
        <v>1211</v>
      </c>
      <c r="L434">
        <v>1120</v>
      </c>
      <c r="M434">
        <v>147294000</v>
      </c>
      <c r="N434">
        <v>197246171.17117116</v>
      </c>
      <c r="O434">
        <v>520226463.96396399</v>
      </c>
      <c r="P434">
        <v>569551101.8018018</v>
      </c>
      <c r="Q434">
        <v>152428378.37837836</v>
      </c>
      <c r="R434">
        <v>179438198.1981982</v>
      </c>
      <c r="S434">
        <v>31485</v>
      </c>
      <c r="T434">
        <v>34073</v>
      </c>
    </row>
    <row r="435" spans="1:20" x14ac:dyDescent="0.35">
      <c r="A435" s="7" t="s">
        <v>527</v>
      </c>
      <c r="B435" s="12" t="s">
        <v>414</v>
      </c>
      <c r="C435">
        <v>196618936.99763483</v>
      </c>
      <c r="D435">
        <v>204390566.06012338</v>
      </c>
      <c r="E435">
        <v>948873.87387387396</v>
      </c>
      <c r="F435">
        <v>90090.090090091995</v>
      </c>
      <c r="G435">
        <v>35</v>
      </c>
      <c r="H435">
        <v>22</v>
      </c>
      <c r="K435">
        <v>38</v>
      </c>
      <c r="L435">
        <v>33</v>
      </c>
      <c r="M435">
        <v>11848516.216216216</v>
      </c>
      <c r="N435">
        <v>10929279.27927928</v>
      </c>
      <c r="O435">
        <v>61420837.837837838</v>
      </c>
      <c r="P435">
        <v>66464536.036036029</v>
      </c>
      <c r="Q435">
        <v>9927927.927927928</v>
      </c>
      <c r="R435">
        <v>10237477.477477476</v>
      </c>
      <c r="S435">
        <v>4497</v>
      </c>
      <c r="T435">
        <v>4305</v>
      </c>
    </row>
    <row r="436" spans="1:20" x14ac:dyDescent="0.35">
      <c r="A436" s="7" t="s">
        <v>663</v>
      </c>
      <c r="B436" s="12" t="s">
        <v>190</v>
      </c>
      <c r="C436">
        <v>575986.78961665498</v>
      </c>
      <c r="G436">
        <v>1</v>
      </c>
      <c r="K436">
        <v>1</v>
      </c>
      <c r="O436">
        <v>412837.83783783799</v>
      </c>
      <c r="S436">
        <v>104</v>
      </c>
    </row>
    <row r="437" spans="1:20" x14ac:dyDescent="0.35">
      <c r="A437" s="7" t="s">
        <v>528</v>
      </c>
      <c r="B437" s="12" t="s">
        <v>148</v>
      </c>
      <c r="C437">
        <v>410526586.26431012</v>
      </c>
      <c r="D437">
        <v>390504597.70598656</v>
      </c>
      <c r="E437">
        <v>7872297.2972973008</v>
      </c>
      <c r="F437">
        <v>7690090.0900900951</v>
      </c>
      <c r="G437">
        <v>221</v>
      </c>
      <c r="H437">
        <v>135</v>
      </c>
      <c r="K437">
        <v>465</v>
      </c>
      <c r="L437">
        <v>152</v>
      </c>
      <c r="M437">
        <v>111219591.8918919</v>
      </c>
      <c r="N437">
        <v>104935509.009009</v>
      </c>
      <c r="O437">
        <v>148963908.1081081</v>
      </c>
      <c r="P437">
        <v>150850540.54054055</v>
      </c>
      <c r="Q437">
        <v>108074684.68468469</v>
      </c>
      <c r="R437">
        <v>101838828.82882883</v>
      </c>
      <c r="S437">
        <v>9836</v>
      </c>
      <c r="T437">
        <v>9913</v>
      </c>
    </row>
    <row r="438" spans="1:20" x14ac:dyDescent="0.35">
      <c r="A438" s="7" t="s">
        <v>529</v>
      </c>
      <c r="B438" s="12" t="s">
        <v>122</v>
      </c>
      <c r="C438">
        <v>45729643.870584473</v>
      </c>
      <c r="D438">
        <v>40076949.129132837</v>
      </c>
      <c r="E438">
        <v>461261.26126126101</v>
      </c>
      <c r="F438">
        <v>339639.63963964098</v>
      </c>
      <c r="G438">
        <v>23</v>
      </c>
      <c r="H438">
        <v>22</v>
      </c>
      <c r="K438">
        <v>27</v>
      </c>
      <c r="L438">
        <v>25</v>
      </c>
      <c r="M438">
        <v>5321621.6216216218</v>
      </c>
      <c r="N438">
        <v>3537837.837837839</v>
      </c>
      <c r="O438">
        <v>6084067.5675675673</v>
      </c>
      <c r="P438">
        <v>5363360.3603603598</v>
      </c>
      <c r="Q438">
        <v>4269999.9999999991</v>
      </c>
      <c r="R438">
        <v>3424414.4144144151</v>
      </c>
      <c r="S438">
        <v>1041</v>
      </c>
      <c r="T438">
        <v>922</v>
      </c>
    </row>
    <row r="439" spans="1:20" x14ac:dyDescent="0.35">
      <c r="A439" s="7" t="s">
        <v>530</v>
      </c>
      <c r="B439" s="12" t="s">
        <v>449</v>
      </c>
      <c r="C439">
        <v>81856957.698405921</v>
      </c>
      <c r="D439">
        <v>109784616.42128973</v>
      </c>
      <c r="E439">
        <v>415315.31531531701</v>
      </c>
      <c r="F439">
        <v>1277477.4774774769</v>
      </c>
      <c r="G439">
        <v>69</v>
      </c>
      <c r="H439">
        <v>22</v>
      </c>
      <c r="K439">
        <v>146</v>
      </c>
      <c r="L439">
        <v>26</v>
      </c>
      <c r="M439">
        <v>4254054.0540540526</v>
      </c>
      <c r="N439">
        <v>16986936.936936937</v>
      </c>
      <c r="O439">
        <v>40227452.702702701</v>
      </c>
      <c r="P439">
        <v>53775693.693693697</v>
      </c>
      <c r="Q439">
        <v>4097477.4774774751</v>
      </c>
      <c r="R439">
        <v>14788918.918918921</v>
      </c>
      <c r="S439">
        <v>2017</v>
      </c>
      <c r="T439">
        <v>2244</v>
      </c>
    </row>
    <row r="440" spans="1:20" x14ac:dyDescent="0.35">
      <c r="A440" s="7" t="s">
        <v>531</v>
      </c>
      <c r="B440" s="12" t="s">
        <v>449</v>
      </c>
      <c r="C440">
        <v>191643886.48768285</v>
      </c>
      <c r="D440">
        <v>197979698.70528686</v>
      </c>
      <c r="E440">
        <v>1249549.549549551</v>
      </c>
      <c r="F440">
        <v>4506306.3063063072</v>
      </c>
      <c r="G440">
        <v>205</v>
      </c>
      <c r="H440">
        <v>215</v>
      </c>
      <c r="K440">
        <v>217</v>
      </c>
      <c r="L440">
        <v>228</v>
      </c>
      <c r="M440">
        <v>8395045.0450450461</v>
      </c>
      <c r="N440">
        <v>33965990.990990989</v>
      </c>
      <c r="O440">
        <v>91956954.954954967</v>
      </c>
      <c r="P440">
        <v>96563603.603603601</v>
      </c>
      <c r="Q440">
        <v>9208828.8288288284</v>
      </c>
      <c r="R440">
        <v>32171846.846846849</v>
      </c>
      <c r="S440">
        <v>5449</v>
      </c>
      <c r="T440">
        <v>5169</v>
      </c>
    </row>
    <row r="441" spans="1:20" x14ac:dyDescent="0.35">
      <c r="A441" s="7" t="s">
        <v>532</v>
      </c>
      <c r="B441" s="12" t="s">
        <v>124</v>
      </c>
      <c r="C441">
        <v>511112496.6910038</v>
      </c>
      <c r="D441">
        <v>520123546.39506495</v>
      </c>
      <c r="E441">
        <v>244025517.11711711</v>
      </c>
      <c r="F441">
        <v>297977126.12612617</v>
      </c>
      <c r="G441">
        <v>325</v>
      </c>
      <c r="H441">
        <v>397</v>
      </c>
      <c r="I441">
        <v>6</v>
      </c>
      <c r="K441">
        <v>710</v>
      </c>
      <c r="L441">
        <v>710</v>
      </c>
      <c r="M441">
        <v>191849909.90990993</v>
      </c>
      <c r="N441">
        <v>145555765.76576576</v>
      </c>
      <c r="O441">
        <v>181268345.04504505</v>
      </c>
      <c r="P441">
        <v>186717759.45945945</v>
      </c>
      <c r="Q441">
        <v>188051801.8018018</v>
      </c>
      <c r="R441">
        <v>146449549.54954958</v>
      </c>
      <c r="S441">
        <v>11395</v>
      </c>
      <c r="T441">
        <v>11371</v>
      </c>
    </row>
    <row r="442" spans="1:20" x14ac:dyDescent="0.35">
      <c r="A442" s="7" t="s">
        <v>533</v>
      </c>
      <c r="B442" s="12" t="s">
        <v>86</v>
      </c>
      <c r="C442">
        <v>147838824.87854049</v>
      </c>
      <c r="D442">
        <v>170360349.44640976</v>
      </c>
      <c r="E442">
        <v>630630.63063063205</v>
      </c>
      <c r="F442">
        <v>3694594.5945945941</v>
      </c>
      <c r="G442">
        <v>37</v>
      </c>
      <c r="H442">
        <v>14</v>
      </c>
      <c r="K442">
        <v>44</v>
      </c>
      <c r="L442">
        <v>43</v>
      </c>
      <c r="M442">
        <v>22767207.207207207</v>
      </c>
      <c r="N442">
        <v>65895045.045045041</v>
      </c>
      <c r="O442">
        <v>32042792.792792793</v>
      </c>
      <c r="P442">
        <v>44912081.081081077</v>
      </c>
      <c r="Q442">
        <v>17609909.909909911</v>
      </c>
      <c r="R442">
        <v>52767027.027027026</v>
      </c>
      <c r="S442">
        <v>3532</v>
      </c>
      <c r="T442">
        <v>3972</v>
      </c>
    </row>
    <row r="443" spans="1:20" x14ac:dyDescent="0.35">
      <c r="A443" s="7" t="s">
        <v>9</v>
      </c>
      <c r="B443" s="12" t="s">
        <v>159</v>
      </c>
      <c r="C443">
        <v>398526946.65881252</v>
      </c>
      <c r="D443">
        <v>380793152.05891585</v>
      </c>
      <c r="E443">
        <v>11154598.198198205</v>
      </c>
      <c r="F443">
        <v>6626739.639639644</v>
      </c>
      <c r="G443">
        <v>61</v>
      </c>
      <c r="H443">
        <v>94</v>
      </c>
      <c r="K443">
        <v>67</v>
      </c>
      <c r="L443">
        <v>117</v>
      </c>
      <c r="M443">
        <v>564007518.91891897</v>
      </c>
      <c r="N443">
        <v>538896694.5945946</v>
      </c>
      <c r="O443">
        <v>144462171.17117116</v>
      </c>
      <c r="P443">
        <v>138834151.35135135</v>
      </c>
      <c r="Q443">
        <v>485004324.32432437</v>
      </c>
      <c r="R443">
        <v>486258873.87387383</v>
      </c>
      <c r="S443">
        <v>7014</v>
      </c>
      <c r="T443">
        <v>6936</v>
      </c>
    </row>
    <row r="444" spans="1:20" x14ac:dyDescent="0.35">
      <c r="A444" s="7" t="s">
        <v>534</v>
      </c>
      <c r="B444" s="12" t="s">
        <v>95</v>
      </c>
      <c r="C444">
        <v>383913045.04215968</v>
      </c>
      <c r="D444">
        <v>406233821.36328739</v>
      </c>
      <c r="E444">
        <v>1313513.513513518</v>
      </c>
      <c r="F444">
        <v>1248648.6486486511</v>
      </c>
      <c r="G444">
        <v>81</v>
      </c>
      <c r="H444">
        <v>90</v>
      </c>
      <c r="K444">
        <v>90</v>
      </c>
      <c r="L444">
        <v>99</v>
      </c>
      <c r="M444">
        <v>34848648.648648649</v>
      </c>
      <c r="N444">
        <v>40739639.639639638</v>
      </c>
      <c r="O444">
        <v>51983369.369369365</v>
      </c>
      <c r="P444">
        <v>62352005.40540541</v>
      </c>
      <c r="Q444">
        <v>22201531.531531531</v>
      </c>
      <c r="R444">
        <v>25330810.810810812</v>
      </c>
      <c r="S444">
        <v>6319</v>
      </c>
      <c r="T444">
        <v>6496</v>
      </c>
    </row>
    <row r="445" spans="1:20" x14ac:dyDescent="0.35">
      <c r="A445" s="7" t="s">
        <v>535</v>
      </c>
      <c r="B445" s="12" t="s">
        <v>305</v>
      </c>
      <c r="C445">
        <v>10314598.119466864</v>
      </c>
      <c r="D445">
        <v>14545891.594487278</v>
      </c>
      <c r="G445">
        <v>4</v>
      </c>
      <c r="H445">
        <v>6</v>
      </c>
      <c r="K445">
        <v>4</v>
      </c>
      <c r="L445">
        <v>6</v>
      </c>
      <c r="O445">
        <v>1680495.4954954949</v>
      </c>
      <c r="P445">
        <v>1794729.7297297299</v>
      </c>
      <c r="S445">
        <v>416</v>
      </c>
      <c r="T445">
        <v>380</v>
      </c>
    </row>
    <row r="446" spans="1:20" x14ac:dyDescent="0.35">
      <c r="A446" s="7" t="s">
        <v>536</v>
      </c>
      <c r="B446" s="12" t="s">
        <v>305</v>
      </c>
      <c r="C446">
        <v>157189439.08684629</v>
      </c>
      <c r="D446">
        <v>152168705.06127486</v>
      </c>
      <c r="E446">
        <v>708108.10810810805</v>
      </c>
      <c r="F446">
        <v>1599099.0990990989</v>
      </c>
      <c r="G446">
        <v>16</v>
      </c>
      <c r="H446">
        <v>31</v>
      </c>
      <c r="K446">
        <v>22</v>
      </c>
      <c r="L446">
        <v>32</v>
      </c>
      <c r="M446">
        <v>13183783.783783784</v>
      </c>
      <c r="N446">
        <v>12193693.693693696</v>
      </c>
      <c r="O446">
        <v>13984909.90990991</v>
      </c>
      <c r="P446">
        <v>12594270.270270269</v>
      </c>
      <c r="Q446">
        <v>5095315.3153153146</v>
      </c>
      <c r="R446">
        <v>7452612.6126126107</v>
      </c>
      <c r="S446">
        <v>2686</v>
      </c>
      <c r="T446">
        <v>2705</v>
      </c>
    </row>
    <row r="447" spans="1:20" x14ac:dyDescent="0.35">
      <c r="A447" s="7" t="s">
        <v>537</v>
      </c>
      <c r="B447" s="12" t="s">
        <v>86</v>
      </c>
      <c r="C447">
        <v>138113745.34699655</v>
      </c>
      <c r="D447">
        <v>147337272.96164539</v>
      </c>
      <c r="E447">
        <v>816216.21621621796</v>
      </c>
      <c r="F447">
        <v>1005405.405405408</v>
      </c>
      <c r="G447">
        <v>54</v>
      </c>
      <c r="H447">
        <v>83</v>
      </c>
      <c r="I447">
        <v>4</v>
      </c>
      <c r="K447">
        <v>65</v>
      </c>
      <c r="L447">
        <v>128</v>
      </c>
      <c r="M447">
        <v>52336846.846846849</v>
      </c>
      <c r="N447">
        <v>75545765.765765756</v>
      </c>
      <c r="O447">
        <v>63049900.9009009</v>
      </c>
      <c r="P447">
        <v>71320036.036036029</v>
      </c>
      <c r="Q447">
        <v>40337477.477477469</v>
      </c>
      <c r="R447">
        <v>68904594.594594598</v>
      </c>
      <c r="S447">
        <v>2888</v>
      </c>
      <c r="T447">
        <v>3091</v>
      </c>
    </row>
    <row r="448" spans="1:20" x14ac:dyDescent="0.35">
      <c r="A448" s="7" t="s">
        <v>538</v>
      </c>
      <c r="B448" s="12" t="s">
        <v>449</v>
      </c>
      <c r="C448">
        <v>191483711.2911368</v>
      </c>
      <c r="D448">
        <v>181368154.20926467</v>
      </c>
      <c r="E448">
        <v>1904504.5045045069</v>
      </c>
      <c r="F448">
        <v>1204054.0540540549</v>
      </c>
      <c r="G448">
        <v>192</v>
      </c>
      <c r="H448">
        <v>61</v>
      </c>
      <c r="I448">
        <v>2</v>
      </c>
      <c r="K448">
        <v>250</v>
      </c>
      <c r="L448">
        <v>70</v>
      </c>
      <c r="M448">
        <v>15547927.927927926</v>
      </c>
      <c r="N448">
        <v>30319144.144144144</v>
      </c>
      <c r="O448">
        <v>54268043.24324324</v>
      </c>
      <c r="P448">
        <v>55922540.540540546</v>
      </c>
      <c r="Q448">
        <v>16352702.702702699</v>
      </c>
      <c r="R448">
        <v>24314819.819819819</v>
      </c>
      <c r="S448">
        <v>4871</v>
      </c>
      <c r="T448">
        <v>5206</v>
      </c>
    </row>
    <row r="449" spans="1:20" x14ac:dyDescent="0.35">
      <c r="A449" s="7" t="s">
        <v>539</v>
      </c>
      <c r="B449" s="12" t="s">
        <v>118</v>
      </c>
      <c r="C449">
        <v>440436329.73268926</v>
      </c>
      <c r="D449">
        <v>414801585.20051295</v>
      </c>
      <c r="E449">
        <v>10031531.531531533</v>
      </c>
      <c r="F449">
        <v>9301351.3513513543</v>
      </c>
      <c r="G449">
        <v>127</v>
      </c>
      <c r="H449">
        <v>140</v>
      </c>
      <c r="K449">
        <v>183</v>
      </c>
      <c r="L449">
        <v>200</v>
      </c>
      <c r="M449">
        <v>99410539.639639646</v>
      </c>
      <c r="N449">
        <v>95198975.675675675</v>
      </c>
      <c r="O449">
        <v>251501855.85585588</v>
      </c>
      <c r="P449">
        <v>234748072.07207206</v>
      </c>
      <c r="Q449">
        <v>91133963.963963971</v>
      </c>
      <c r="R449">
        <v>85383468.468468457</v>
      </c>
      <c r="S449">
        <v>11285</v>
      </c>
      <c r="T449">
        <v>11143</v>
      </c>
    </row>
    <row r="450" spans="1:20" x14ac:dyDescent="0.35">
      <c r="A450" s="7" t="s">
        <v>540</v>
      </c>
      <c r="B450" s="12" t="s">
        <v>84</v>
      </c>
      <c r="C450">
        <v>1353391703.3852208</v>
      </c>
      <c r="D450">
        <v>1323656838.6455309</v>
      </c>
      <c r="E450">
        <v>6702780.1801801817</v>
      </c>
      <c r="F450">
        <v>8717567.5675675701</v>
      </c>
      <c r="G450">
        <v>283</v>
      </c>
      <c r="H450">
        <v>170</v>
      </c>
      <c r="I450">
        <v>1</v>
      </c>
      <c r="K450">
        <v>322</v>
      </c>
      <c r="L450">
        <v>214</v>
      </c>
      <c r="M450">
        <v>87710441.441441447</v>
      </c>
      <c r="N450">
        <v>99006756.756756753</v>
      </c>
      <c r="O450">
        <v>147600859.00900903</v>
      </c>
      <c r="P450">
        <v>156293295.4954955</v>
      </c>
      <c r="Q450">
        <v>75651484.684684694</v>
      </c>
      <c r="R450">
        <v>81667340.540540546</v>
      </c>
      <c r="S450">
        <v>21360</v>
      </c>
      <c r="T450">
        <v>21706</v>
      </c>
    </row>
    <row r="451" spans="1:20" x14ac:dyDescent="0.35">
      <c r="A451" s="7" t="s">
        <v>541</v>
      </c>
      <c r="B451" s="12" t="s">
        <v>316</v>
      </c>
      <c r="C451">
        <v>166843890.47163978</v>
      </c>
      <c r="D451">
        <v>160786384.01432025</v>
      </c>
      <c r="E451">
        <v>2302027.0270270258</v>
      </c>
      <c r="F451">
        <v>2464864.864864869</v>
      </c>
      <c r="G451">
        <v>33</v>
      </c>
      <c r="H451">
        <v>17</v>
      </c>
      <c r="K451">
        <v>39</v>
      </c>
      <c r="L451">
        <v>17</v>
      </c>
      <c r="M451">
        <v>12890540.540540541</v>
      </c>
      <c r="N451">
        <v>21283783.783783782</v>
      </c>
      <c r="O451">
        <v>32311891.891891893</v>
      </c>
      <c r="P451">
        <v>32878396.396396395</v>
      </c>
      <c r="Q451">
        <v>10858918.918918915</v>
      </c>
      <c r="R451">
        <v>19032612.612612609</v>
      </c>
      <c r="S451">
        <v>2421</v>
      </c>
      <c r="T451">
        <v>2571</v>
      </c>
    </row>
    <row r="452" spans="1:20" x14ac:dyDescent="0.35">
      <c r="A452" s="7" t="s">
        <v>542</v>
      </c>
      <c r="B452" s="12" t="s">
        <v>170</v>
      </c>
      <c r="C452">
        <v>1148702944.9045224</v>
      </c>
      <c r="D452">
        <v>1190115600.4850681</v>
      </c>
      <c r="E452">
        <v>2883783.7837837879</v>
      </c>
      <c r="F452">
        <v>5496396.3963963976</v>
      </c>
      <c r="G452">
        <v>151</v>
      </c>
      <c r="H452">
        <v>185</v>
      </c>
      <c r="I452">
        <v>1</v>
      </c>
      <c r="K452">
        <v>197</v>
      </c>
      <c r="L452">
        <v>255</v>
      </c>
      <c r="M452">
        <v>72558445.945945948</v>
      </c>
      <c r="N452">
        <v>74521530.630630627</v>
      </c>
      <c r="O452">
        <v>424620051.8018018</v>
      </c>
      <c r="P452">
        <v>463704846.84684682</v>
      </c>
      <c r="Q452">
        <v>69926576.576576576</v>
      </c>
      <c r="R452">
        <v>70940000</v>
      </c>
      <c r="S452">
        <v>21566</v>
      </c>
      <c r="T452">
        <v>21302</v>
      </c>
    </row>
    <row r="453" spans="1:20" x14ac:dyDescent="0.35">
      <c r="A453" s="7" t="s">
        <v>543</v>
      </c>
      <c r="B453" s="12" t="s">
        <v>480</v>
      </c>
      <c r="C453">
        <v>356451793.02896988</v>
      </c>
      <c r="D453">
        <v>351218885.66541868</v>
      </c>
      <c r="E453">
        <v>1153153.153153152</v>
      </c>
      <c r="F453">
        <v>1204504.5045045039</v>
      </c>
      <c r="G453">
        <v>37</v>
      </c>
      <c r="H453">
        <v>28</v>
      </c>
      <c r="K453">
        <v>41</v>
      </c>
      <c r="L453">
        <v>33</v>
      </c>
      <c r="M453">
        <v>3351351.3513513491</v>
      </c>
      <c r="N453">
        <v>2429729.729729739</v>
      </c>
      <c r="O453">
        <v>46599108.108108103</v>
      </c>
      <c r="P453">
        <v>65529198.198198199</v>
      </c>
      <c r="Q453">
        <v>2472252.2522522509</v>
      </c>
      <c r="R453">
        <v>2237477.4774774848</v>
      </c>
      <c r="S453">
        <v>5331</v>
      </c>
      <c r="T453">
        <v>5484</v>
      </c>
    </row>
    <row r="454" spans="1:20" x14ac:dyDescent="0.35">
      <c r="A454" s="7" t="s">
        <v>544</v>
      </c>
      <c r="B454" s="12" t="s">
        <v>81</v>
      </c>
      <c r="C454">
        <v>86166426.074833795</v>
      </c>
      <c r="D454">
        <v>95939942.784657419</v>
      </c>
      <c r="E454">
        <v>656306.30630630499</v>
      </c>
      <c r="F454">
        <v>1373873.8738738729</v>
      </c>
      <c r="G454">
        <v>30</v>
      </c>
      <c r="H454">
        <v>5</v>
      </c>
      <c r="K454">
        <v>34</v>
      </c>
      <c r="L454">
        <v>10</v>
      </c>
      <c r="M454">
        <v>26314864.864864863</v>
      </c>
      <c r="N454">
        <v>12201801.801801804</v>
      </c>
      <c r="O454">
        <v>31787900.9009009</v>
      </c>
      <c r="P454">
        <v>34686432.432432435</v>
      </c>
      <c r="Q454">
        <v>24772252.252252251</v>
      </c>
      <c r="R454">
        <v>11037117.117117116</v>
      </c>
      <c r="S454">
        <v>2376</v>
      </c>
      <c r="T454">
        <v>2301</v>
      </c>
    </row>
    <row r="455" spans="1:20" x14ac:dyDescent="0.35">
      <c r="A455" s="7" t="s">
        <v>545</v>
      </c>
      <c r="B455" s="12" t="s">
        <v>170</v>
      </c>
      <c r="C455">
        <v>92773723.128870457</v>
      </c>
      <c r="D455">
        <v>129281140.69184412</v>
      </c>
      <c r="E455">
        <v>277477.47747747699</v>
      </c>
      <c r="F455">
        <v>460360.36036036001</v>
      </c>
      <c r="G455">
        <v>14</v>
      </c>
      <c r="H455">
        <v>2</v>
      </c>
      <c r="K455">
        <v>15</v>
      </c>
      <c r="L455">
        <v>3</v>
      </c>
      <c r="M455">
        <v>1178378.378378378</v>
      </c>
      <c r="N455">
        <v>460360.36036036001</v>
      </c>
      <c r="O455">
        <v>39183367.567567565</v>
      </c>
      <c r="P455">
        <v>46901324.324324317</v>
      </c>
      <c r="Q455">
        <v>571801.80180180096</v>
      </c>
      <c r="R455">
        <v>1029909.9099099101</v>
      </c>
      <c r="S455">
        <v>2441</v>
      </c>
      <c r="T455">
        <v>2516</v>
      </c>
    </row>
    <row r="456" spans="1:20" x14ac:dyDescent="0.35">
      <c r="A456" s="7" t="s">
        <v>546</v>
      </c>
      <c r="B456" s="12" t="s">
        <v>225</v>
      </c>
      <c r="C456">
        <v>9827.3572880310003</v>
      </c>
      <c r="D456">
        <v>42309.395789832997</v>
      </c>
      <c r="P456">
        <v>6081.0810810809999</v>
      </c>
    </row>
    <row r="457" spans="1:20" x14ac:dyDescent="0.35">
      <c r="A457" s="7" t="s">
        <v>547</v>
      </c>
      <c r="B457" s="12" t="s">
        <v>137</v>
      </c>
      <c r="C457">
        <v>226440541.19842708</v>
      </c>
      <c r="D457">
        <v>237557659.93657559</v>
      </c>
      <c r="E457">
        <v>901801.80180180504</v>
      </c>
      <c r="F457">
        <v>1204954.9549549569</v>
      </c>
      <c r="G457">
        <v>77</v>
      </c>
      <c r="H457">
        <v>38</v>
      </c>
      <c r="K457">
        <v>81</v>
      </c>
      <c r="L457">
        <v>42</v>
      </c>
      <c r="M457">
        <v>48976576.576576576</v>
      </c>
      <c r="N457">
        <v>52385135.135135137</v>
      </c>
      <c r="O457">
        <v>74543079.279279277</v>
      </c>
      <c r="P457">
        <v>96042385.585585579</v>
      </c>
      <c r="Q457">
        <v>40882792.79279279</v>
      </c>
      <c r="R457">
        <v>41673243.243243247</v>
      </c>
      <c r="S457">
        <v>4324</v>
      </c>
      <c r="T457">
        <v>4472</v>
      </c>
    </row>
    <row r="458" spans="1:20" x14ac:dyDescent="0.35">
      <c r="A458" s="7" t="s">
        <v>548</v>
      </c>
      <c r="B458" s="12" t="s">
        <v>137</v>
      </c>
      <c r="C458">
        <v>431597083.79194939</v>
      </c>
      <c r="D458">
        <v>424393312.4194538</v>
      </c>
      <c r="E458">
        <v>227071163.96396396</v>
      </c>
      <c r="F458">
        <v>358964770.27027029</v>
      </c>
      <c r="G458">
        <v>210</v>
      </c>
      <c r="H458">
        <v>160</v>
      </c>
      <c r="I458">
        <v>7</v>
      </c>
      <c r="K458">
        <v>243</v>
      </c>
      <c r="L458">
        <v>188</v>
      </c>
      <c r="M458">
        <v>110818018.01801802</v>
      </c>
      <c r="N458">
        <v>99679279.279279277</v>
      </c>
      <c r="O458">
        <v>143420500</v>
      </c>
      <c r="P458">
        <v>147105457.65765765</v>
      </c>
      <c r="Q458">
        <v>92221657.657657668</v>
      </c>
      <c r="R458">
        <v>86329819.819819823</v>
      </c>
      <c r="S458">
        <v>12468</v>
      </c>
      <c r="T458">
        <v>13110</v>
      </c>
    </row>
    <row r="459" spans="1:20" x14ac:dyDescent="0.35">
      <c r="A459" s="7" t="s">
        <v>549</v>
      </c>
      <c r="B459" s="12" t="s">
        <v>137</v>
      </c>
      <c r="C459">
        <v>480007702.45879412</v>
      </c>
      <c r="D459">
        <v>495051113.74916655</v>
      </c>
      <c r="E459">
        <v>3793693.6936936951</v>
      </c>
      <c r="F459">
        <v>1866666.666666667</v>
      </c>
      <c r="G459">
        <v>69</v>
      </c>
      <c r="H459">
        <v>103</v>
      </c>
      <c r="I459">
        <v>6</v>
      </c>
      <c r="K459">
        <v>78</v>
      </c>
      <c r="L459">
        <v>107</v>
      </c>
      <c r="M459">
        <v>19208108.108108107</v>
      </c>
      <c r="N459">
        <v>22452252.252252255</v>
      </c>
      <c r="O459">
        <v>77949574.774774775</v>
      </c>
      <c r="P459">
        <v>86644063.063063055</v>
      </c>
      <c r="Q459">
        <v>17875135.135135137</v>
      </c>
      <c r="R459">
        <v>18239909.909909908</v>
      </c>
      <c r="S459">
        <v>7826</v>
      </c>
      <c r="T459">
        <v>8553</v>
      </c>
    </row>
    <row r="460" spans="1:20" x14ac:dyDescent="0.35">
      <c r="A460" s="7" t="s">
        <v>550</v>
      </c>
      <c r="B460" s="12" t="s">
        <v>137</v>
      </c>
      <c r="C460">
        <v>200613420.93956071</v>
      </c>
      <c r="D460">
        <v>193288697.87120122</v>
      </c>
      <c r="E460">
        <v>564864.86486486602</v>
      </c>
      <c r="F460">
        <v>1154054.054054054</v>
      </c>
      <c r="G460">
        <v>37</v>
      </c>
      <c r="H460">
        <v>49</v>
      </c>
      <c r="I460">
        <v>1</v>
      </c>
      <c r="K460">
        <v>41</v>
      </c>
      <c r="L460">
        <v>51</v>
      </c>
      <c r="M460">
        <v>15330630.630630627</v>
      </c>
      <c r="N460">
        <v>20464864.864864863</v>
      </c>
      <c r="O460">
        <v>33742765.765765771</v>
      </c>
      <c r="P460">
        <v>38547585.585585587</v>
      </c>
      <c r="Q460">
        <v>13157837.837837838</v>
      </c>
      <c r="R460">
        <v>15354054.054054054</v>
      </c>
      <c r="S460">
        <v>3707</v>
      </c>
      <c r="T460">
        <v>3676</v>
      </c>
    </row>
    <row r="461" spans="1:20" x14ac:dyDescent="0.35">
      <c r="A461" s="7" t="s">
        <v>551</v>
      </c>
      <c r="B461" s="12" t="s">
        <v>88</v>
      </c>
      <c r="C461">
        <v>81236651.087244719</v>
      </c>
      <c r="D461">
        <v>82736796.798720479</v>
      </c>
      <c r="E461">
        <v>133333.33333333299</v>
      </c>
      <c r="F461">
        <v>27027.027027028002</v>
      </c>
      <c r="G461">
        <v>32</v>
      </c>
      <c r="H461">
        <v>26</v>
      </c>
      <c r="K461">
        <v>35</v>
      </c>
      <c r="L461">
        <v>30</v>
      </c>
      <c r="M461">
        <v>5427027.0270270268</v>
      </c>
      <c r="N461">
        <v>4567567.5675675673</v>
      </c>
      <c r="O461">
        <v>12777396.396396397</v>
      </c>
      <c r="P461">
        <v>14826954.954954956</v>
      </c>
      <c r="Q461">
        <v>5083243.2432432426</v>
      </c>
      <c r="R461">
        <v>3389729.7297297302</v>
      </c>
      <c r="S461">
        <v>1373</v>
      </c>
      <c r="T461">
        <v>1333</v>
      </c>
    </row>
    <row r="462" spans="1:20" x14ac:dyDescent="0.35">
      <c r="A462" s="7" t="s">
        <v>552</v>
      </c>
      <c r="B462" s="12" t="s">
        <v>88</v>
      </c>
      <c r="C462">
        <v>125008876.27860969</v>
      </c>
      <c r="D462">
        <v>127795542.91155969</v>
      </c>
      <c r="E462">
        <v>468468.46846846899</v>
      </c>
      <c r="F462">
        <v>463963.963963966</v>
      </c>
      <c r="G462">
        <v>74</v>
      </c>
      <c r="H462">
        <v>53</v>
      </c>
      <c r="K462">
        <v>85</v>
      </c>
      <c r="L462">
        <v>56</v>
      </c>
      <c r="M462">
        <v>11383783.783783784</v>
      </c>
      <c r="N462">
        <v>12990990.990990993</v>
      </c>
      <c r="O462">
        <v>19058097.297297295</v>
      </c>
      <c r="P462">
        <v>19451378.37837838</v>
      </c>
      <c r="Q462">
        <v>7901981.9819819815</v>
      </c>
      <c r="R462">
        <v>8752342.3423423432</v>
      </c>
      <c r="S462">
        <v>2443</v>
      </c>
      <c r="T462">
        <v>2707</v>
      </c>
    </row>
    <row r="463" spans="1:20" x14ac:dyDescent="0.35">
      <c r="A463" s="7" t="s">
        <v>553</v>
      </c>
      <c r="B463" s="12" t="s">
        <v>67</v>
      </c>
      <c r="C463">
        <v>249348291.51650441</v>
      </c>
      <c r="D463">
        <v>255879644.66748342</v>
      </c>
      <c r="E463">
        <v>8797297.2972972989</v>
      </c>
      <c r="F463">
        <v>11502702.702702709</v>
      </c>
      <c r="G463">
        <v>152</v>
      </c>
      <c r="H463">
        <v>76</v>
      </c>
      <c r="I463">
        <v>1</v>
      </c>
      <c r="K463">
        <v>176</v>
      </c>
      <c r="L463">
        <v>99</v>
      </c>
      <c r="M463">
        <v>198606126.12612611</v>
      </c>
      <c r="N463">
        <v>238106801.8018018</v>
      </c>
      <c r="O463">
        <v>105967497.74774775</v>
      </c>
      <c r="P463">
        <v>108375333.33333333</v>
      </c>
      <c r="Q463">
        <v>165650180.18018019</v>
      </c>
      <c r="R463">
        <v>136878828.82882884</v>
      </c>
      <c r="S463">
        <v>8865</v>
      </c>
      <c r="T463">
        <v>9199</v>
      </c>
    </row>
    <row r="464" spans="1:20" x14ac:dyDescent="0.35">
      <c r="A464" s="7" t="s">
        <v>554</v>
      </c>
      <c r="B464" s="12" t="s">
        <v>555</v>
      </c>
      <c r="C464">
        <v>496891494.86716604</v>
      </c>
      <c r="D464">
        <v>493082891.16656661</v>
      </c>
      <c r="E464">
        <v>7267117.11711712</v>
      </c>
      <c r="F464">
        <v>8251801.8018018017</v>
      </c>
      <c r="G464">
        <v>95</v>
      </c>
      <c r="H464">
        <v>54</v>
      </c>
      <c r="I464">
        <v>6</v>
      </c>
      <c r="K464">
        <v>121</v>
      </c>
      <c r="L464">
        <v>66</v>
      </c>
      <c r="M464">
        <v>177728828.82882884</v>
      </c>
      <c r="N464">
        <v>149854054.05405405</v>
      </c>
      <c r="O464">
        <v>135428315.31531531</v>
      </c>
      <c r="P464">
        <v>157043630.63063061</v>
      </c>
      <c r="Q464">
        <v>171136936.93693691</v>
      </c>
      <c r="R464">
        <v>141622882.88288289</v>
      </c>
      <c r="S464">
        <v>9169</v>
      </c>
      <c r="T464">
        <v>9120</v>
      </c>
    </row>
    <row r="465" spans="1:20" x14ac:dyDescent="0.35">
      <c r="A465" s="7" t="s">
        <v>556</v>
      </c>
      <c r="B465" s="12" t="s">
        <v>555</v>
      </c>
      <c r="C465">
        <v>77074627.766065806</v>
      </c>
      <c r="D465">
        <v>78789128.091020986</v>
      </c>
      <c r="E465">
        <v>169938391.8918919</v>
      </c>
      <c r="F465">
        <v>174310876.57657659</v>
      </c>
      <c r="G465">
        <v>31</v>
      </c>
      <c r="H465">
        <v>26</v>
      </c>
      <c r="K465">
        <v>32</v>
      </c>
      <c r="L465">
        <v>31</v>
      </c>
      <c r="M465">
        <v>25775675.675675675</v>
      </c>
      <c r="N465">
        <v>24627027.02702703</v>
      </c>
      <c r="O465">
        <v>27776792.792792793</v>
      </c>
      <c r="P465">
        <v>32521837.837837841</v>
      </c>
      <c r="Q465">
        <v>11064594.594594596</v>
      </c>
      <c r="R465">
        <v>6266306.3063063072</v>
      </c>
      <c r="S465">
        <v>1505</v>
      </c>
      <c r="T465">
        <v>1542</v>
      </c>
    </row>
    <row r="466" spans="1:20" x14ac:dyDescent="0.35">
      <c r="A466" s="7" t="s">
        <v>557</v>
      </c>
      <c r="B466" s="12" t="s">
        <v>122</v>
      </c>
      <c r="C466">
        <v>56626656.905681312</v>
      </c>
      <c r="D466">
        <v>58171985.084138528</v>
      </c>
      <c r="E466">
        <v>180180.18018018</v>
      </c>
      <c r="F466">
        <v>157657.65765765801</v>
      </c>
      <c r="G466">
        <v>28</v>
      </c>
      <c r="H466">
        <v>30</v>
      </c>
      <c r="K466">
        <v>33</v>
      </c>
      <c r="L466">
        <v>31</v>
      </c>
      <c r="M466">
        <v>180180.18018018</v>
      </c>
      <c r="N466">
        <v>157657.65765765801</v>
      </c>
      <c r="O466">
        <v>5116432.4324324317</v>
      </c>
      <c r="P466">
        <v>7727117.1171171172</v>
      </c>
      <c r="Q466">
        <v>118918.91891891899</v>
      </c>
      <c r="R466">
        <v>198198.19819819799</v>
      </c>
      <c r="S466">
        <v>1296</v>
      </c>
      <c r="T466">
        <v>1351</v>
      </c>
    </row>
    <row r="467" spans="1:20" x14ac:dyDescent="0.35">
      <c r="A467" s="7" t="s">
        <v>558</v>
      </c>
      <c r="B467" s="12" t="s">
        <v>71</v>
      </c>
      <c r="C467">
        <v>456707486.929627</v>
      </c>
      <c r="D467">
        <v>452160645.57469171</v>
      </c>
      <c r="E467">
        <v>4751351.3513513599</v>
      </c>
      <c r="F467">
        <v>9137387.3873873949</v>
      </c>
      <c r="G467">
        <v>103</v>
      </c>
      <c r="H467">
        <v>76</v>
      </c>
      <c r="I467">
        <v>1</v>
      </c>
      <c r="K467">
        <v>130</v>
      </c>
      <c r="L467">
        <v>90</v>
      </c>
      <c r="M467">
        <v>61170270.270270273</v>
      </c>
      <c r="N467">
        <v>118508558.55855855</v>
      </c>
      <c r="O467">
        <v>193498540.54054055</v>
      </c>
      <c r="P467">
        <v>192656387.38738739</v>
      </c>
      <c r="Q467">
        <v>57880540.540540539</v>
      </c>
      <c r="R467">
        <v>112823873.87387387</v>
      </c>
      <c r="S467">
        <v>10116</v>
      </c>
      <c r="T467">
        <v>10099</v>
      </c>
    </row>
    <row r="468" spans="1:20" x14ac:dyDescent="0.35">
      <c r="A468" s="7" t="s">
        <v>559</v>
      </c>
      <c r="B468" s="12" t="s">
        <v>63</v>
      </c>
      <c r="C468">
        <v>825852041.62889326</v>
      </c>
      <c r="D468">
        <v>820795393.27284157</v>
      </c>
      <c r="E468">
        <v>14053153.153153157</v>
      </c>
      <c r="F468">
        <v>16901801.801801808</v>
      </c>
      <c r="G468">
        <v>342</v>
      </c>
      <c r="H468">
        <v>373</v>
      </c>
      <c r="K468">
        <v>530</v>
      </c>
      <c r="L468">
        <v>714</v>
      </c>
      <c r="M468">
        <v>132456216.21621621</v>
      </c>
      <c r="N468">
        <v>247714954.95495495</v>
      </c>
      <c r="O468">
        <v>191529954.95495495</v>
      </c>
      <c r="P468">
        <v>210401290.09009007</v>
      </c>
      <c r="Q468">
        <v>122633513.51351351</v>
      </c>
      <c r="R468">
        <v>188848378.37837836</v>
      </c>
      <c r="S468">
        <v>17890</v>
      </c>
      <c r="T468">
        <v>18214</v>
      </c>
    </row>
    <row r="469" spans="1:20" x14ac:dyDescent="0.35">
      <c r="A469" s="7" t="s">
        <v>560</v>
      </c>
      <c r="B469" s="12" t="s">
        <v>480</v>
      </c>
      <c r="C469">
        <v>385094166.53502655</v>
      </c>
      <c r="D469">
        <v>397815640.20480394</v>
      </c>
      <c r="E469">
        <v>4156756.7567567588</v>
      </c>
      <c r="F469">
        <v>2985585.5855855858</v>
      </c>
      <c r="G469">
        <v>148</v>
      </c>
      <c r="H469">
        <v>90</v>
      </c>
      <c r="I469">
        <v>1</v>
      </c>
      <c r="K469">
        <v>166</v>
      </c>
      <c r="L469">
        <v>104</v>
      </c>
      <c r="M469">
        <v>62898198.198198199</v>
      </c>
      <c r="N469">
        <v>50029054.054054052</v>
      </c>
      <c r="O469">
        <v>118314160.36036037</v>
      </c>
      <c r="P469">
        <v>124071702.7027027</v>
      </c>
      <c r="Q469">
        <v>53543243.24324324</v>
      </c>
      <c r="R469">
        <v>60419864.864864863</v>
      </c>
      <c r="S469">
        <v>7908</v>
      </c>
      <c r="T469">
        <v>7899</v>
      </c>
    </row>
    <row r="470" spans="1:20" x14ac:dyDescent="0.35">
      <c r="A470" s="7" t="s">
        <v>561</v>
      </c>
      <c r="B470" s="12" t="s">
        <v>237</v>
      </c>
      <c r="C470">
        <v>67634923.588847503</v>
      </c>
      <c r="D470">
        <v>69569519.028536752</v>
      </c>
      <c r="E470">
        <v>1248648.648648649</v>
      </c>
      <c r="F470">
        <v>745045.04504504602</v>
      </c>
      <c r="G470">
        <v>25</v>
      </c>
      <c r="H470">
        <v>18</v>
      </c>
      <c r="K470">
        <v>53</v>
      </c>
      <c r="L470">
        <v>20</v>
      </c>
      <c r="M470">
        <v>5601531.5315315314</v>
      </c>
      <c r="N470">
        <v>3649549.5495495498</v>
      </c>
      <c r="O470">
        <v>25100108.108108107</v>
      </c>
      <c r="P470">
        <v>28682657.657657657</v>
      </c>
      <c r="Q470">
        <v>5369729.7297297278</v>
      </c>
      <c r="R470">
        <v>2532612.6126126121</v>
      </c>
      <c r="S470">
        <v>2033</v>
      </c>
      <c r="T470">
        <v>2109</v>
      </c>
    </row>
    <row r="471" spans="1:20" x14ac:dyDescent="0.35">
      <c r="A471" s="7" t="s">
        <v>562</v>
      </c>
      <c r="B471" s="12" t="s">
        <v>61</v>
      </c>
      <c r="C471">
        <v>63533181.412288591</v>
      </c>
      <c r="D471">
        <v>61732379.796748273</v>
      </c>
      <c r="E471">
        <v>2744144.144144143</v>
      </c>
      <c r="F471">
        <v>1970270.270270271</v>
      </c>
      <c r="G471">
        <v>23</v>
      </c>
      <c r="H471">
        <v>48</v>
      </c>
      <c r="K471">
        <v>40</v>
      </c>
      <c r="L471">
        <v>112</v>
      </c>
      <c r="M471">
        <v>18869369.369369373</v>
      </c>
      <c r="N471">
        <v>17690990.990990989</v>
      </c>
      <c r="O471">
        <v>22225279.27927928</v>
      </c>
      <c r="P471">
        <v>22507189.189189188</v>
      </c>
      <c r="Q471">
        <v>16749549.54954955</v>
      </c>
      <c r="R471">
        <v>14644954.954954954</v>
      </c>
      <c r="S471">
        <v>1221</v>
      </c>
      <c r="T471">
        <v>1117</v>
      </c>
    </row>
    <row r="472" spans="1:20" x14ac:dyDescent="0.35">
      <c r="A472" s="7" t="s">
        <v>563</v>
      </c>
      <c r="B472" s="12" t="s">
        <v>564</v>
      </c>
      <c r="C472">
        <v>360070719.79472452</v>
      </c>
      <c r="D472">
        <v>379119756.27564764</v>
      </c>
      <c r="E472">
        <v>746607676.57657659</v>
      </c>
      <c r="F472">
        <v>535075229.72972971</v>
      </c>
      <c r="G472">
        <v>463</v>
      </c>
      <c r="H472">
        <v>300</v>
      </c>
      <c r="I472">
        <v>3</v>
      </c>
      <c r="K472">
        <v>978</v>
      </c>
      <c r="L472">
        <v>539</v>
      </c>
      <c r="M472">
        <v>678590286.48648655</v>
      </c>
      <c r="N472">
        <v>465565677.47747749</v>
      </c>
      <c r="O472">
        <v>155709423.42342341</v>
      </c>
      <c r="P472">
        <v>178773477.47747746</v>
      </c>
      <c r="Q472">
        <v>506509018.01801807</v>
      </c>
      <c r="R472">
        <v>626078136.93693697</v>
      </c>
      <c r="S472">
        <v>10126</v>
      </c>
      <c r="T472">
        <v>8629</v>
      </c>
    </row>
    <row r="473" spans="1:20" x14ac:dyDescent="0.35">
      <c r="A473" s="7" t="s">
        <v>565</v>
      </c>
      <c r="B473" s="12" t="s">
        <v>564</v>
      </c>
      <c r="C473">
        <v>486818802.52815336</v>
      </c>
      <c r="D473">
        <v>481889238.21615863</v>
      </c>
      <c r="E473">
        <v>55541441.441441439</v>
      </c>
      <c r="F473">
        <v>121136936.93693694</v>
      </c>
      <c r="G473">
        <v>154</v>
      </c>
      <c r="H473">
        <v>132</v>
      </c>
      <c r="K473">
        <v>167</v>
      </c>
      <c r="L473">
        <v>220</v>
      </c>
      <c r="M473">
        <v>74789055.855855852</v>
      </c>
      <c r="N473">
        <v>83345315.315315306</v>
      </c>
      <c r="O473">
        <v>201465765.76576576</v>
      </c>
      <c r="P473">
        <v>212330945.94594595</v>
      </c>
      <c r="Q473">
        <v>53484954.954954952</v>
      </c>
      <c r="R473">
        <v>74130495.495495498</v>
      </c>
      <c r="S473">
        <v>12188</v>
      </c>
      <c r="T473">
        <v>12171</v>
      </c>
    </row>
    <row r="474" spans="1:20" x14ac:dyDescent="0.35">
      <c r="A474" s="7" t="s">
        <v>566</v>
      </c>
      <c r="B474" s="12" t="s">
        <v>564</v>
      </c>
      <c r="C474">
        <v>351919929.11240911</v>
      </c>
      <c r="D474">
        <v>378656354.28147548</v>
      </c>
      <c r="E474">
        <v>5572935.1351351384</v>
      </c>
      <c r="F474">
        <v>6746208.1081081051</v>
      </c>
      <c r="G474">
        <v>308</v>
      </c>
      <c r="H474">
        <v>190</v>
      </c>
      <c r="K474">
        <v>372</v>
      </c>
      <c r="L474">
        <v>256</v>
      </c>
      <c r="M474">
        <v>41097793.693693697</v>
      </c>
      <c r="N474">
        <v>71018964.864864871</v>
      </c>
      <c r="O474">
        <v>156702396.3963964</v>
      </c>
      <c r="P474">
        <v>175130693.6936937</v>
      </c>
      <c r="Q474">
        <v>39680720.720720723</v>
      </c>
      <c r="R474">
        <v>64187432.432432435</v>
      </c>
      <c r="S474">
        <v>11308</v>
      </c>
      <c r="T474">
        <v>12011</v>
      </c>
    </row>
    <row r="475" spans="1:20" x14ac:dyDescent="0.35">
      <c r="A475" s="7" t="s">
        <v>567</v>
      </c>
      <c r="B475" s="12" t="s">
        <v>564</v>
      </c>
      <c r="C475">
        <v>231852940.9482134</v>
      </c>
      <c r="D475">
        <v>246643262.78447765</v>
      </c>
      <c r="E475">
        <v>2989189.18918919</v>
      </c>
      <c r="F475">
        <v>8365315.3153153146</v>
      </c>
      <c r="G475">
        <v>23</v>
      </c>
      <c r="H475">
        <v>24</v>
      </c>
      <c r="K475">
        <v>30</v>
      </c>
      <c r="L475">
        <v>26</v>
      </c>
      <c r="M475">
        <v>39429430.630630635</v>
      </c>
      <c r="N475">
        <v>69978603.603603601</v>
      </c>
      <c r="O475">
        <v>137427666.66666669</v>
      </c>
      <c r="P475">
        <v>139695873.87387386</v>
      </c>
      <c r="Q475">
        <v>37157117.117117114</v>
      </c>
      <c r="R475">
        <v>67561666.666666657</v>
      </c>
      <c r="S475">
        <v>6415</v>
      </c>
      <c r="T475">
        <v>6593</v>
      </c>
    </row>
    <row r="476" spans="1:20" x14ac:dyDescent="0.35">
      <c r="A476" s="7" t="s">
        <v>568</v>
      </c>
      <c r="B476" s="12" t="s">
        <v>564</v>
      </c>
      <c r="C476">
        <v>135984772.61108902</v>
      </c>
      <c r="D476">
        <v>139727449.73476526</v>
      </c>
      <c r="E476">
        <v>4191891.8918918911</v>
      </c>
      <c r="F476">
        <v>6621621.6216216218</v>
      </c>
      <c r="G476">
        <v>40</v>
      </c>
      <c r="H476">
        <v>38</v>
      </c>
      <c r="I476">
        <v>3</v>
      </c>
      <c r="K476">
        <v>49</v>
      </c>
      <c r="L476">
        <v>39</v>
      </c>
      <c r="M476">
        <v>28516929.729729727</v>
      </c>
      <c r="N476">
        <v>61357432.432432435</v>
      </c>
      <c r="O476">
        <v>55613863.063063063</v>
      </c>
      <c r="P476">
        <v>60587594.59459459</v>
      </c>
      <c r="Q476">
        <v>27835540.540540542</v>
      </c>
      <c r="R476">
        <v>55300855.855855852</v>
      </c>
      <c r="S476">
        <v>4608</v>
      </c>
      <c r="T476">
        <v>4840</v>
      </c>
    </row>
    <row r="477" spans="1:20" x14ac:dyDescent="0.35">
      <c r="A477" s="7" t="s">
        <v>569</v>
      </c>
      <c r="B477" s="12" t="s">
        <v>49</v>
      </c>
      <c r="C477">
        <v>300840564.30823666</v>
      </c>
      <c r="D477">
        <v>320366582.19682246</v>
      </c>
      <c r="E477">
        <v>1379279.27927928</v>
      </c>
      <c r="F477">
        <v>1148648.6486486499</v>
      </c>
      <c r="G477">
        <v>17</v>
      </c>
      <c r="H477">
        <v>18</v>
      </c>
      <c r="K477">
        <v>19</v>
      </c>
      <c r="L477">
        <v>21</v>
      </c>
      <c r="M477">
        <v>11991891.891891891</v>
      </c>
      <c r="N477">
        <v>10608108.108108109</v>
      </c>
      <c r="O477">
        <v>37770616.216216214</v>
      </c>
      <c r="P477">
        <v>44203286.486486487</v>
      </c>
      <c r="Q477">
        <v>13227927.927927928</v>
      </c>
      <c r="R477">
        <v>14104908.108108109</v>
      </c>
      <c r="S477">
        <v>5835</v>
      </c>
      <c r="T477">
        <v>6194</v>
      </c>
    </row>
    <row r="478" spans="1:20" x14ac:dyDescent="0.35">
      <c r="A478" s="7" t="s">
        <v>570</v>
      </c>
      <c r="B478" s="12" t="s">
        <v>170</v>
      </c>
      <c r="C478">
        <v>4479171143.6357565</v>
      </c>
      <c r="D478">
        <v>3416763332.7888465</v>
      </c>
      <c r="E478">
        <v>3334132581.0810814</v>
      </c>
      <c r="F478">
        <v>4535820829.7297297</v>
      </c>
      <c r="G478">
        <v>1586</v>
      </c>
      <c r="H478">
        <v>1343</v>
      </c>
      <c r="I478">
        <v>11</v>
      </c>
      <c r="K478">
        <v>2096</v>
      </c>
      <c r="L478">
        <v>3047</v>
      </c>
      <c r="M478">
        <v>608209918.91891897</v>
      </c>
      <c r="N478">
        <v>771498310.8108108</v>
      </c>
      <c r="O478">
        <v>2884333914.4144144</v>
      </c>
      <c r="P478">
        <v>4012045659.4594598</v>
      </c>
      <c r="Q478">
        <v>562570717.11711717</v>
      </c>
      <c r="R478">
        <v>721732113.51351345</v>
      </c>
      <c r="S478">
        <v>54718</v>
      </c>
      <c r="T478">
        <v>58585</v>
      </c>
    </row>
    <row r="479" spans="1:20" x14ac:dyDescent="0.35">
      <c r="A479" s="7" t="s">
        <v>571</v>
      </c>
      <c r="B479" s="12" t="s">
        <v>221</v>
      </c>
      <c r="C479">
        <v>270046451.35839957</v>
      </c>
      <c r="D479">
        <v>277984280.60760039</v>
      </c>
      <c r="E479">
        <v>1470270.2702702719</v>
      </c>
      <c r="F479">
        <v>2246846.8468468459</v>
      </c>
      <c r="G479">
        <v>27</v>
      </c>
      <c r="H479">
        <v>29</v>
      </c>
      <c r="K479">
        <v>30</v>
      </c>
      <c r="L479">
        <v>31</v>
      </c>
      <c r="M479">
        <v>12027657.657657657</v>
      </c>
      <c r="N479">
        <v>22277387.387387387</v>
      </c>
      <c r="O479">
        <v>44465522.522522517</v>
      </c>
      <c r="P479">
        <v>51491367.567567565</v>
      </c>
      <c r="Q479">
        <v>11059009.009009007</v>
      </c>
      <c r="R479">
        <v>21765675.675675679</v>
      </c>
      <c r="S479">
        <v>4272</v>
      </c>
      <c r="T479">
        <v>5116</v>
      </c>
    </row>
    <row r="480" spans="1:20" x14ac:dyDescent="0.35">
      <c r="A480" s="7" t="s">
        <v>572</v>
      </c>
      <c r="B480" s="12" t="s">
        <v>86</v>
      </c>
      <c r="C480">
        <v>328679988.96975106</v>
      </c>
      <c r="D480">
        <v>369306121.62927634</v>
      </c>
      <c r="E480">
        <v>536036.03603603796</v>
      </c>
      <c r="F480">
        <v>2106306.3063063081</v>
      </c>
      <c r="G480">
        <v>40</v>
      </c>
      <c r="H480">
        <v>14</v>
      </c>
      <c r="K480">
        <v>43</v>
      </c>
      <c r="L480">
        <v>21</v>
      </c>
      <c r="M480">
        <v>31006384.684684686</v>
      </c>
      <c r="N480">
        <v>79839009.009009004</v>
      </c>
      <c r="O480">
        <v>75004980.180180177</v>
      </c>
      <c r="P480">
        <v>93869252.252252251</v>
      </c>
      <c r="Q480">
        <v>23595135.13513514</v>
      </c>
      <c r="R480">
        <v>66707657.657657653</v>
      </c>
      <c r="S480">
        <v>4915</v>
      </c>
      <c r="T480">
        <v>5056</v>
      </c>
    </row>
    <row r="481" spans="1:20" x14ac:dyDescent="0.35">
      <c r="A481" s="7" t="s">
        <v>573</v>
      </c>
      <c r="B481" s="12" t="s">
        <v>480</v>
      </c>
      <c r="C481">
        <v>174965742.45331845</v>
      </c>
      <c r="D481">
        <v>157618729.17977768</v>
      </c>
      <c r="E481">
        <v>136997723.42342341</v>
      </c>
      <c r="F481">
        <v>136414907.2072072</v>
      </c>
      <c r="G481">
        <v>116</v>
      </c>
      <c r="H481">
        <v>77</v>
      </c>
      <c r="K481">
        <v>148</v>
      </c>
      <c r="L481">
        <v>93</v>
      </c>
      <c r="M481">
        <v>36190004.504504509</v>
      </c>
      <c r="N481">
        <v>44281081.081081077</v>
      </c>
      <c r="O481">
        <v>72300958.558558553</v>
      </c>
      <c r="P481">
        <v>70554666.666666657</v>
      </c>
      <c r="Q481">
        <v>29472612.612612613</v>
      </c>
      <c r="R481">
        <v>43396486.486486487</v>
      </c>
      <c r="S481">
        <v>5093</v>
      </c>
      <c r="T481">
        <v>5449</v>
      </c>
    </row>
    <row r="482" spans="1:20" x14ac:dyDescent="0.35">
      <c r="A482" s="7" t="s">
        <v>574</v>
      </c>
      <c r="B482" s="12" t="s">
        <v>95</v>
      </c>
      <c r="C482">
        <v>448485899.6676634</v>
      </c>
      <c r="D482">
        <v>482051468.30827403</v>
      </c>
      <c r="E482">
        <v>2696396.3963963981</v>
      </c>
      <c r="F482">
        <v>3796396.396396399</v>
      </c>
      <c r="G482">
        <v>89</v>
      </c>
      <c r="H482">
        <v>129</v>
      </c>
      <c r="K482">
        <v>116</v>
      </c>
      <c r="L482">
        <v>257</v>
      </c>
      <c r="M482">
        <v>850430630.63063061</v>
      </c>
      <c r="N482">
        <v>34782882.882882886</v>
      </c>
      <c r="O482">
        <v>98216378.828828827</v>
      </c>
      <c r="P482">
        <v>111306241.44144145</v>
      </c>
      <c r="Q482">
        <v>36456936.936936937</v>
      </c>
      <c r="R482">
        <v>35547747.747747749</v>
      </c>
      <c r="S482">
        <v>9337</v>
      </c>
      <c r="T482">
        <v>9842</v>
      </c>
    </row>
    <row r="483" spans="1:20" x14ac:dyDescent="0.35">
      <c r="A483" s="7" t="s">
        <v>575</v>
      </c>
      <c r="B483" s="12" t="s">
        <v>308</v>
      </c>
      <c r="C483">
        <v>1043584319.9745812</v>
      </c>
      <c r="D483">
        <v>1059047509.7935988</v>
      </c>
      <c r="E483">
        <v>20596126.126126137</v>
      </c>
      <c r="F483">
        <v>18954954.954954952</v>
      </c>
      <c r="G483">
        <v>448</v>
      </c>
      <c r="H483">
        <v>430</v>
      </c>
      <c r="I483">
        <v>5</v>
      </c>
      <c r="K483">
        <v>541</v>
      </c>
      <c r="L483">
        <v>521</v>
      </c>
      <c r="M483">
        <v>1291996081.0810812</v>
      </c>
      <c r="N483">
        <v>301317927.92792791</v>
      </c>
      <c r="O483">
        <v>423949210.36036038</v>
      </c>
      <c r="P483">
        <v>448192675.67567563</v>
      </c>
      <c r="Q483">
        <v>249376351.35135135</v>
      </c>
      <c r="R483">
        <v>208572252.25225225</v>
      </c>
      <c r="S483">
        <v>31623</v>
      </c>
      <c r="T483">
        <v>32381</v>
      </c>
    </row>
    <row r="484" spans="1:20" x14ac:dyDescent="0.35">
      <c r="A484" s="7" t="s">
        <v>10</v>
      </c>
      <c r="B484" s="12" t="s">
        <v>194</v>
      </c>
      <c r="C484">
        <v>167506811.6595552</v>
      </c>
      <c r="D484">
        <v>167840998.35237032</v>
      </c>
      <c r="G484">
        <v>24</v>
      </c>
      <c r="H484">
        <v>15</v>
      </c>
      <c r="K484">
        <v>25</v>
      </c>
      <c r="L484">
        <v>16</v>
      </c>
      <c r="O484">
        <v>100501818.01801802</v>
      </c>
      <c r="P484">
        <v>99294873.873873875</v>
      </c>
      <c r="Q484">
        <v>19639.639639640001</v>
      </c>
      <c r="R484">
        <v>576486.48648648604</v>
      </c>
      <c r="S484">
        <v>3580</v>
      </c>
      <c r="T484">
        <v>3596</v>
      </c>
    </row>
    <row r="485" spans="1:20" x14ac:dyDescent="0.35">
      <c r="A485" s="7" t="s">
        <v>576</v>
      </c>
      <c r="B485" s="12" t="s">
        <v>88</v>
      </c>
      <c r="C485">
        <v>3633060.7968019382</v>
      </c>
      <c r="D485">
        <v>4294951.0250513665</v>
      </c>
      <c r="G485">
        <v>18</v>
      </c>
      <c r="H485">
        <v>9</v>
      </c>
      <c r="K485">
        <v>19</v>
      </c>
      <c r="L485">
        <v>10</v>
      </c>
      <c r="O485">
        <v>1234971.1711711709</v>
      </c>
      <c r="P485">
        <v>1576306.306306306</v>
      </c>
      <c r="S485">
        <v>234</v>
      </c>
      <c r="T485">
        <v>209</v>
      </c>
    </row>
    <row r="486" spans="1:20" x14ac:dyDescent="0.35">
      <c r="A486" s="7" t="s">
        <v>577</v>
      </c>
      <c r="B486" s="12" t="s">
        <v>284</v>
      </c>
      <c r="C486">
        <v>227278818.87647334</v>
      </c>
      <c r="D486">
        <v>243651305.51370558</v>
      </c>
      <c r="E486">
        <v>336936.93693693698</v>
      </c>
      <c r="F486">
        <v>417117.11711711698</v>
      </c>
      <c r="G486">
        <v>31</v>
      </c>
      <c r="H486">
        <v>11</v>
      </c>
      <c r="I486">
        <v>1</v>
      </c>
      <c r="K486">
        <v>32</v>
      </c>
      <c r="L486">
        <v>15</v>
      </c>
      <c r="M486">
        <v>18859459.459459461</v>
      </c>
      <c r="N486">
        <v>19029729.729729727</v>
      </c>
      <c r="O486">
        <v>36388891.891891889</v>
      </c>
      <c r="P486">
        <v>38292486.486486487</v>
      </c>
      <c r="Q486">
        <v>17991621.621621624</v>
      </c>
      <c r="R486">
        <v>16843783.783783782</v>
      </c>
      <c r="S486">
        <v>3508</v>
      </c>
      <c r="T486">
        <v>3508</v>
      </c>
    </row>
    <row r="487" spans="1:20" x14ac:dyDescent="0.35">
      <c r="A487" s="7" t="s">
        <v>578</v>
      </c>
      <c r="B487" s="12" t="s">
        <v>308</v>
      </c>
      <c r="C487">
        <v>994784089.96125698</v>
      </c>
      <c r="D487">
        <v>1036082771.301787</v>
      </c>
      <c r="E487">
        <v>9459009.0090090167</v>
      </c>
      <c r="F487">
        <v>17866216.216216218</v>
      </c>
      <c r="G487">
        <v>467</v>
      </c>
      <c r="H487">
        <v>338</v>
      </c>
      <c r="K487">
        <v>548</v>
      </c>
      <c r="L487">
        <v>405</v>
      </c>
      <c r="M487">
        <v>134053108.10810812</v>
      </c>
      <c r="N487">
        <v>298186403.6036036</v>
      </c>
      <c r="O487">
        <v>423272063.06306303</v>
      </c>
      <c r="P487">
        <v>439644908.1081081</v>
      </c>
      <c r="Q487">
        <v>116529144.14414415</v>
      </c>
      <c r="R487">
        <v>178002072.07207206</v>
      </c>
      <c r="S487">
        <v>37567</v>
      </c>
      <c r="T487">
        <v>39836</v>
      </c>
    </row>
    <row r="488" spans="1:20" x14ac:dyDescent="0.35">
      <c r="A488" s="7" t="s">
        <v>579</v>
      </c>
      <c r="B488" s="12" t="s">
        <v>331</v>
      </c>
      <c r="C488">
        <v>926460958.45234907</v>
      </c>
      <c r="D488">
        <v>934918907.87522137</v>
      </c>
      <c r="E488">
        <v>9168018.0180180222</v>
      </c>
      <c r="F488">
        <v>6909459.459459465</v>
      </c>
      <c r="G488">
        <v>358</v>
      </c>
      <c r="H488">
        <v>338</v>
      </c>
      <c r="I488">
        <v>14</v>
      </c>
      <c r="K488">
        <v>529</v>
      </c>
      <c r="L488">
        <v>425</v>
      </c>
      <c r="M488">
        <v>169135135.13513514</v>
      </c>
      <c r="N488">
        <v>101476756.75675675</v>
      </c>
      <c r="O488">
        <v>202490450.45045045</v>
      </c>
      <c r="P488">
        <v>212914178.37837836</v>
      </c>
      <c r="Q488">
        <v>153157657.65765765</v>
      </c>
      <c r="R488">
        <v>98645945.945945948</v>
      </c>
      <c r="S488">
        <v>28046</v>
      </c>
      <c r="T488">
        <v>28860</v>
      </c>
    </row>
    <row r="489" spans="1:20" x14ac:dyDescent="0.35">
      <c r="A489" s="7" t="s">
        <v>580</v>
      </c>
      <c r="B489" s="12" t="s">
        <v>67</v>
      </c>
      <c r="C489">
        <v>144203361.56880704</v>
      </c>
      <c r="D489">
        <v>140370146.2876654</v>
      </c>
      <c r="E489">
        <v>390540.540540541</v>
      </c>
      <c r="F489">
        <v>83783.783783784005</v>
      </c>
      <c r="G489">
        <v>25</v>
      </c>
      <c r="H489">
        <v>15</v>
      </c>
      <c r="K489">
        <v>27</v>
      </c>
      <c r="L489">
        <v>16</v>
      </c>
      <c r="M489">
        <v>4723873.8738738736</v>
      </c>
      <c r="N489">
        <v>3198648.6486486471</v>
      </c>
      <c r="O489">
        <v>38961346.846846849</v>
      </c>
      <c r="P489">
        <v>35939387.387387387</v>
      </c>
      <c r="Q489">
        <v>3954054.054054054</v>
      </c>
      <c r="R489">
        <v>3834324.3243243238</v>
      </c>
      <c r="S489">
        <v>3321</v>
      </c>
      <c r="T489">
        <v>3277</v>
      </c>
    </row>
    <row r="490" spans="1:20" x14ac:dyDescent="0.35">
      <c r="A490" s="7" t="s">
        <v>581</v>
      </c>
      <c r="B490" s="12" t="s">
        <v>237</v>
      </c>
      <c r="C490">
        <v>12011.332970474001</v>
      </c>
      <c r="D490">
        <v>36673.318684338003</v>
      </c>
      <c r="P490">
        <v>34234.234234233998</v>
      </c>
    </row>
    <row r="491" spans="1:20" x14ac:dyDescent="0.35">
      <c r="A491" s="7" t="s">
        <v>582</v>
      </c>
      <c r="B491" s="12" t="s">
        <v>63</v>
      </c>
      <c r="C491">
        <v>368542324.09424448</v>
      </c>
      <c r="D491">
        <v>377236325.86599857</v>
      </c>
      <c r="E491">
        <v>3753153.153153162</v>
      </c>
      <c r="F491">
        <v>2189189.189189197</v>
      </c>
      <c r="G491">
        <v>248</v>
      </c>
      <c r="H491">
        <v>51</v>
      </c>
      <c r="K491">
        <v>254</v>
      </c>
      <c r="L491">
        <v>92</v>
      </c>
      <c r="M491">
        <v>34660180.180180185</v>
      </c>
      <c r="N491">
        <v>40228108.108108103</v>
      </c>
      <c r="O491">
        <v>85453450.45045045</v>
      </c>
      <c r="P491">
        <v>96624765.765765756</v>
      </c>
      <c r="Q491">
        <v>34890900.900900893</v>
      </c>
      <c r="R491">
        <v>35518108.108108111</v>
      </c>
      <c r="S491">
        <v>6695</v>
      </c>
      <c r="T491">
        <v>6821</v>
      </c>
    </row>
    <row r="492" spans="1:20" x14ac:dyDescent="0.35">
      <c r="A492" s="7" t="s">
        <v>583</v>
      </c>
      <c r="B492" s="12" t="s">
        <v>49</v>
      </c>
      <c r="C492">
        <v>337094454.67078149</v>
      </c>
      <c r="D492">
        <v>317238548.86023813</v>
      </c>
      <c r="E492">
        <v>1986081.0810810809</v>
      </c>
      <c r="F492">
        <v>4474774.7747747758</v>
      </c>
      <c r="G492">
        <v>45</v>
      </c>
      <c r="H492">
        <v>14</v>
      </c>
      <c r="K492">
        <v>48</v>
      </c>
      <c r="L492">
        <v>16</v>
      </c>
      <c r="M492">
        <v>105892882.88288288</v>
      </c>
      <c r="N492">
        <v>36290090.090090089</v>
      </c>
      <c r="O492">
        <v>49907202.702702701</v>
      </c>
      <c r="P492">
        <v>56127747.747747742</v>
      </c>
      <c r="Q492">
        <v>105233063.06306307</v>
      </c>
      <c r="R492">
        <v>62918108.108108111</v>
      </c>
      <c r="S492">
        <v>5037</v>
      </c>
      <c r="T492">
        <v>7037</v>
      </c>
    </row>
    <row r="493" spans="1:20" x14ac:dyDescent="0.35">
      <c r="A493" s="7" t="s">
        <v>584</v>
      </c>
      <c r="B493" s="12" t="s">
        <v>55</v>
      </c>
      <c r="C493">
        <v>65979562.626098163</v>
      </c>
      <c r="D493">
        <v>64278004.641259737</v>
      </c>
      <c r="E493">
        <v>687387.38738739002</v>
      </c>
      <c r="F493">
        <v>2585135.1351351379</v>
      </c>
      <c r="G493">
        <v>23</v>
      </c>
      <c r="H493">
        <v>58</v>
      </c>
      <c r="K493">
        <v>62</v>
      </c>
      <c r="L493">
        <v>162</v>
      </c>
      <c r="M493">
        <v>10541081.081081079</v>
      </c>
      <c r="N493">
        <v>16534144.144144144</v>
      </c>
      <c r="O493">
        <v>17281677.927927926</v>
      </c>
      <c r="P493">
        <v>18788837.837837841</v>
      </c>
      <c r="Q493">
        <v>9374594.594594596</v>
      </c>
      <c r="R493">
        <v>14067567.567567566</v>
      </c>
      <c r="S493">
        <v>2023</v>
      </c>
      <c r="T493">
        <v>1864</v>
      </c>
    </row>
    <row r="494" spans="1:20" x14ac:dyDescent="0.35">
      <c r="A494" s="7" t="s">
        <v>585</v>
      </c>
      <c r="B494" s="12" t="s">
        <v>71</v>
      </c>
      <c r="C494">
        <v>170514127.11274242</v>
      </c>
      <c r="D494">
        <v>164303732.00411636</v>
      </c>
      <c r="E494">
        <v>105405.405405406</v>
      </c>
      <c r="F494">
        <v>855855.85585585702</v>
      </c>
      <c r="G494">
        <v>43</v>
      </c>
      <c r="H494">
        <v>15</v>
      </c>
      <c r="I494">
        <v>2</v>
      </c>
      <c r="K494">
        <v>45</v>
      </c>
      <c r="L494">
        <v>17</v>
      </c>
      <c r="M494">
        <v>1593693.6936936961</v>
      </c>
      <c r="N494">
        <v>3794594.594594595</v>
      </c>
      <c r="O494">
        <v>77764963.963963971</v>
      </c>
      <c r="P494">
        <v>74958981.981981978</v>
      </c>
      <c r="Q494">
        <v>1812612.6126126139</v>
      </c>
      <c r="R494">
        <v>3056306.3063063049</v>
      </c>
      <c r="S494">
        <v>3467</v>
      </c>
      <c r="T494">
        <v>3511</v>
      </c>
    </row>
    <row r="495" spans="1:20" x14ac:dyDescent="0.35">
      <c r="A495" s="7" t="s">
        <v>586</v>
      </c>
      <c r="B495" s="12" t="s">
        <v>331</v>
      </c>
      <c r="C495">
        <v>639600258.01040721</v>
      </c>
      <c r="D495">
        <v>609464635.94464409</v>
      </c>
      <c r="E495">
        <v>7111711.7117117113</v>
      </c>
      <c r="F495">
        <v>3035135.1351351389</v>
      </c>
      <c r="G495">
        <v>267</v>
      </c>
      <c r="H495">
        <v>261</v>
      </c>
      <c r="K495">
        <v>328</v>
      </c>
      <c r="L495">
        <v>317</v>
      </c>
      <c r="M495">
        <v>81293333.333333328</v>
      </c>
      <c r="N495">
        <v>56461486.486486487</v>
      </c>
      <c r="O495">
        <v>174178327.92792794</v>
      </c>
      <c r="P495">
        <v>165136122.52252254</v>
      </c>
      <c r="Q495">
        <v>74335135.135135129</v>
      </c>
      <c r="R495">
        <v>60155450.45045045</v>
      </c>
      <c r="S495">
        <v>20094</v>
      </c>
      <c r="T495">
        <v>19950</v>
      </c>
    </row>
    <row r="496" spans="1:20" x14ac:dyDescent="0.35">
      <c r="A496" s="7" t="s">
        <v>587</v>
      </c>
      <c r="B496" s="12" t="s">
        <v>67</v>
      </c>
      <c r="C496">
        <v>305391300.99478728</v>
      </c>
      <c r="D496">
        <v>327357361.23025829</v>
      </c>
      <c r="E496">
        <v>712437243.24324322</v>
      </c>
      <c r="F496">
        <v>829136727.92792797</v>
      </c>
      <c r="G496">
        <v>183</v>
      </c>
      <c r="H496">
        <v>113</v>
      </c>
      <c r="K496">
        <v>305</v>
      </c>
      <c r="L496">
        <v>131</v>
      </c>
      <c r="M496">
        <v>77668063.06306307</v>
      </c>
      <c r="N496">
        <v>179734843.24324322</v>
      </c>
      <c r="O496">
        <v>150450945.94594595</v>
      </c>
      <c r="P496">
        <v>166816504.5045045</v>
      </c>
      <c r="Q496">
        <v>67929594.594594598</v>
      </c>
      <c r="R496">
        <v>62842162.162162162</v>
      </c>
      <c r="S496">
        <v>10676</v>
      </c>
      <c r="T496">
        <v>10788</v>
      </c>
    </row>
    <row r="497" spans="1:20" x14ac:dyDescent="0.35">
      <c r="A497" s="7" t="s">
        <v>11</v>
      </c>
      <c r="B497" s="12" t="s">
        <v>194</v>
      </c>
      <c r="C497">
        <v>145620600.85605684</v>
      </c>
      <c r="D497">
        <v>136146274.12489367</v>
      </c>
      <c r="E497">
        <v>397000662.16216218</v>
      </c>
      <c r="F497">
        <v>407811832.43243247</v>
      </c>
      <c r="G497">
        <v>33</v>
      </c>
      <c r="H497">
        <v>30</v>
      </c>
      <c r="K497">
        <v>38</v>
      </c>
      <c r="L497">
        <v>32</v>
      </c>
      <c r="M497">
        <v>17281756.756756756</v>
      </c>
      <c r="N497">
        <v>14055630.630630633</v>
      </c>
      <c r="O497">
        <v>49592389.639639638</v>
      </c>
      <c r="P497">
        <v>53471405.40540541</v>
      </c>
      <c r="Q497">
        <v>13835765.765765768</v>
      </c>
      <c r="R497">
        <v>12030810.810810812</v>
      </c>
      <c r="S497">
        <v>4089</v>
      </c>
      <c r="T497">
        <v>4470</v>
      </c>
    </row>
    <row r="498" spans="1:20" x14ac:dyDescent="0.35">
      <c r="A498" s="7" t="s">
        <v>12</v>
      </c>
      <c r="B498" s="12" t="s">
        <v>194</v>
      </c>
      <c r="C498">
        <v>97189547.425589532</v>
      </c>
      <c r="D498">
        <v>89243718.110558689</v>
      </c>
      <c r="E498">
        <v>4319819.8198198201</v>
      </c>
      <c r="F498">
        <v>479279.27927927999</v>
      </c>
      <c r="G498">
        <v>14</v>
      </c>
      <c r="H498">
        <v>14</v>
      </c>
      <c r="K498">
        <v>15</v>
      </c>
      <c r="L498">
        <v>20</v>
      </c>
      <c r="M498">
        <v>20626126.126126129</v>
      </c>
      <c r="N498">
        <v>6515315.3153153164</v>
      </c>
      <c r="O498">
        <v>39185873.873873875</v>
      </c>
      <c r="P498">
        <v>39185144.144144148</v>
      </c>
      <c r="Q498">
        <v>22741531.531531531</v>
      </c>
      <c r="R498">
        <v>8001711.7117117122</v>
      </c>
      <c r="S498">
        <v>2985</v>
      </c>
      <c r="T498">
        <v>2777</v>
      </c>
    </row>
    <row r="499" spans="1:20" x14ac:dyDescent="0.35">
      <c r="A499" s="7" t="s">
        <v>588</v>
      </c>
      <c r="B499" s="12" t="s">
        <v>61</v>
      </c>
      <c r="C499">
        <v>77992249.336138159</v>
      </c>
      <c r="D499">
        <v>79290149.580615804</v>
      </c>
      <c r="E499">
        <v>609009.00900900899</v>
      </c>
      <c r="F499">
        <v>2479729.7297297311</v>
      </c>
      <c r="G499">
        <v>40</v>
      </c>
      <c r="H499">
        <v>35</v>
      </c>
      <c r="I499">
        <v>3</v>
      </c>
      <c r="K499">
        <v>52</v>
      </c>
      <c r="L499">
        <v>52</v>
      </c>
      <c r="M499">
        <v>13383783.783783784</v>
      </c>
      <c r="N499">
        <v>18164414.414414417</v>
      </c>
      <c r="O499">
        <v>29117921.171171173</v>
      </c>
      <c r="P499">
        <v>30775872.072072074</v>
      </c>
      <c r="Q499">
        <v>12856036.036036037</v>
      </c>
      <c r="R499">
        <v>16816259.459459461</v>
      </c>
      <c r="S499">
        <v>1814</v>
      </c>
      <c r="T499">
        <v>1965</v>
      </c>
    </row>
    <row r="500" spans="1:20" x14ac:dyDescent="0.35">
      <c r="A500" s="7" t="s">
        <v>589</v>
      </c>
      <c r="B500" s="12" t="s">
        <v>308</v>
      </c>
      <c r="C500">
        <v>2176196261.7009835</v>
      </c>
      <c r="D500">
        <v>2171210326.6560879</v>
      </c>
      <c r="E500">
        <v>1732012710.8108108</v>
      </c>
      <c r="F500">
        <v>1503042695.4954953</v>
      </c>
      <c r="G500">
        <v>1150</v>
      </c>
      <c r="H500">
        <v>612</v>
      </c>
      <c r="I500">
        <v>2</v>
      </c>
      <c r="K500">
        <v>1358</v>
      </c>
      <c r="L500">
        <v>782</v>
      </c>
      <c r="M500">
        <v>535407464.86486489</v>
      </c>
      <c r="N500">
        <v>615799144.14414418</v>
      </c>
      <c r="O500">
        <v>696009581.08108103</v>
      </c>
      <c r="P500">
        <v>727986729.72972965</v>
      </c>
      <c r="Q500">
        <v>459753333.33333331</v>
      </c>
      <c r="R500">
        <v>479120360.36036038</v>
      </c>
      <c r="S500">
        <v>62965</v>
      </c>
      <c r="T500">
        <v>64283</v>
      </c>
    </row>
    <row r="501" spans="1:20" x14ac:dyDescent="0.35">
      <c r="A501" s="7" t="s">
        <v>590</v>
      </c>
      <c r="B501" s="12" t="s">
        <v>53</v>
      </c>
      <c r="C501">
        <v>520058384.6217981</v>
      </c>
      <c r="D501">
        <v>541007153.72169983</v>
      </c>
      <c r="E501">
        <v>9490163.0630630646</v>
      </c>
      <c r="F501">
        <v>15383333.333333336</v>
      </c>
      <c r="G501">
        <v>121</v>
      </c>
      <c r="H501">
        <v>310</v>
      </c>
      <c r="K501">
        <v>249</v>
      </c>
      <c r="L501">
        <v>533</v>
      </c>
      <c r="M501">
        <v>147604630.63063061</v>
      </c>
      <c r="N501">
        <v>212199549.54954955</v>
      </c>
      <c r="O501">
        <v>209936774.77477479</v>
      </c>
      <c r="P501">
        <v>228922684.68468466</v>
      </c>
      <c r="Q501">
        <v>159039234.23423424</v>
      </c>
      <c r="R501">
        <v>199384774.77477479</v>
      </c>
      <c r="S501">
        <v>14103</v>
      </c>
      <c r="T501">
        <v>13683</v>
      </c>
    </row>
    <row r="502" spans="1:20" x14ac:dyDescent="0.35">
      <c r="A502" s="7" t="s">
        <v>591</v>
      </c>
      <c r="B502" s="12" t="s">
        <v>55</v>
      </c>
      <c r="C502">
        <v>44746619.261472888</v>
      </c>
      <c r="D502">
        <v>42566278.0031486</v>
      </c>
      <c r="E502">
        <v>736936.93693693797</v>
      </c>
      <c r="F502">
        <v>2009909.909909911</v>
      </c>
      <c r="G502">
        <v>16</v>
      </c>
      <c r="H502">
        <v>33</v>
      </c>
      <c r="K502">
        <v>21</v>
      </c>
      <c r="L502">
        <v>41</v>
      </c>
      <c r="M502">
        <v>9709459.4594594594</v>
      </c>
      <c r="N502">
        <v>6656306.3063063072</v>
      </c>
      <c r="O502">
        <v>13955909.90990991</v>
      </c>
      <c r="P502">
        <v>14832662.162162162</v>
      </c>
      <c r="Q502">
        <v>8372072.0720720729</v>
      </c>
      <c r="R502">
        <v>10542972.972972972</v>
      </c>
      <c r="S502">
        <v>1632</v>
      </c>
      <c r="T502">
        <v>1562</v>
      </c>
    </row>
    <row r="503" spans="1:20" x14ac:dyDescent="0.35">
      <c r="A503" s="7" t="s">
        <v>592</v>
      </c>
      <c r="B503" s="12" t="s">
        <v>170</v>
      </c>
      <c r="C503">
        <v>1271969469.4957156</v>
      </c>
      <c r="D503">
        <v>1262770526.5761476</v>
      </c>
      <c r="E503">
        <v>8234009.009009012</v>
      </c>
      <c r="F503">
        <v>21438560.360360369</v>
      </c>
      <c r="G503">
        <v>125</v>
      </c>
      <c r="H503">
        <v>120</v>
      </c>
      <c r="I503">
        <v>2</v>
      </c>
      <c r="K503">
        <v>143</v>
      </c>
      <c r="L503">
        <v>153</v>
      </c>
      <c r="M503">
        <v>270130448.64864862</v>
      </c>
      <c r="N503">
        <v>267170362.16216218</v>
      </c>
      <c r="O503">
        <v>430387292.7927928</v>
      </c>
      <c r="P503">
        <v>455479666.66666669</v>
      </c>
      <c r="Q503">
        <v>233554324.32432431</v>
      </c>
      <c r="R503">
        <v>209860450.45045045</v>
      </c>
      <c r="S503">
        <v>22699</v>
      </c>
      <c r="T503">
        <v>23152</v>
      </c>
    </row>
    <row r="504" spans="1:20" x14ac:dyDescent="0.35">
      <c r="A504" s="7" t="s">
        <v>593</v>
      </c>
      <c r="B504" s="12" t="s">
        <v>88</v>
      </c>
      <c r="C504">
        <v>6375607.6003546435</v>
      </c>
      <c r="D504">
        <v>5447140.7225456489</v>
      </c>
      <c r="E504">
        <v>92741329.729729727</v>
      </c>
      <c r="F504">
        <v>82837309.009009004</v>
      </c>
      <c r="G504">
        <v>2</v>
      </c>
      <c r="K504">
        <v>2</v>
      </c>
      <c r="N504">
        <v>2702702.702702703</v>
      </c>
      <c r="O504">
        <v>1520135.1351351349</v>
      </c>
      <c r="P504">
        <v>2486621.6216216218</v>
      </c>
      <c r="S504">
        <v>297</v>
      </c>
      <c r="T504">
        <v>236</v>
      </c>
    </row>
    <row r="505" spans="1:20" x14ac:dyDescent="0.35">
      <c r="A505" s="7" t="s">
        <v>594</v>
      </c>
      <c r="B505" s="12" t="s">
        <v>144</v>
      </c>
      <c r="C505">
        <v>89644415.721464843</v>
      </c>
      <c r="D505">
        <v>88778146.152833059</v>
      </c>
      <c r="E505">
        <v>259459.45945946101</v>
      </c>
      <c r="F505">
        <v>135135.13513513599</v>
      </c>
      <c r="G505">
        <v>28</v>
      </c>
      <c r="H505">
        <v>3</v>
      </c>
      <c r="K505">
        <v>30</v>
      </c>
      <c r="L505">
        <v>3</v>
      </c>
      <c r="M505">
        <v>9664864.8648648635</v>
      </c>
      <c r="N505">
        <v>8603603.6036036033</v>
      </c>
      <c r="O505">
        <v>9589720.7207207195</v>
      </c>
      <c r="P505">
        <v>9504450.4504504502</v>
      </c>
      <c r="Q505">
        <v>5086846.8468468469</v>
      </c>
      <c r="R505">
        <v>4844684.6846846854</v>
      </c>
      <c r="S505">
        <v>1530</v>
      </c>
      <c r="T505">
        <v>1589</v>
      </c>
    </row>
    <row r="506" spans="1:20" x14ac:dyDescent="0.35">
      <c r="A506" s="7" t="s">
        <v>595</v>
      </c>
      <c r="B506" s="12" t="s">
        <v>291</v>
      </c>
      <c r="C506">
        <v>23982150.44053736</v>
      </c>
      <c r="D506">
        <v>24000950.627252899</v>
      </c>
      <c r="G506">
        <v>1</v>
      </c>
      <c r="H506">
        <v>10</v>
      </c>
      <c r="K506">
        <v>1</v>
      </c>
      <c r="L506">
        <v>12</v>
      </c>
      <c r="O506">
        <v>1496216.2162162161</v>
      </c>
      <c r="P506">
        <v>1511441.441441441</v>
      </c>
      <c r="S506">
        <v>688</v>
      </c>
      <c r="T506">
        <v>756</v>
      </c>
    </row>
    <row r="507" spans="1:20" x14ac:dyDescent="0.35">
      <c r="A507" s="7" t="s">
        <v>596</v>
      </c>
      <c r="B507" s="12" t="s">
        <v>93</v>
      </c>
      <c r="C507">
        <v>31562585.010391377</v>
      </c>
      <c r="D507">
        <v>32393682.663975179</v>
      </c>
      <c r="E507">
        <v>196443142.34234235</v>
      </c>
      <c r="F507">
        <v>119039447.74774775</v>
      </c>
      <c r="G507">
        <v>24</v>
      </c>
      <c r="H507">
        <v>8</v>
      </c>
      <c r="K507">
        <v>25</v>
      </c>
      <c r="L507">
        <v>9</v>
      </c>
      <c r="M507">
        <v>14024144.144144144</v>
      </c>
      <c r="N507">
        <v>12321981.981981982</v>
      </c>
      <c r="O507">
        <v>5534720.7207207214</v>
      </c>
      <c r="P507">
        <v>5860387.3873873875</v>
      </c>
      <c r="Q507">
        <v>4023693.6936936928</v>
      </c>
      <c r="R507">
        <v>6353603.6036036033</v>
      </c>
      <c r="S507">
        <v>578</v>
      </c>
      <c r="T507">
        <v>794</v>
      </c>
    </row>
    <row r="508" spans="1:20" x14ac:dyDescent="0.35">
      <c r="A508" s="7" t="s">
        <v>597</v>
      </c>
      <c r="B508" s="12" t="s">
        <v>51</v>
      </c>
      <c r="C508">
        <v>109089566.54775606</v>
      </c>
      <c r="D508">
        <v>111063684.16340612</v>
      </c>
      <c r="E508">
        <v>3511486.4864864852</v>
      </c>
      <c r="F508">
        <v>1049549.5495495519</v>
      </c>
      <c r="G508">
        <v>10</v>
      </c>
      <c r="H508">
        <v>9</v>
      </c>
      <c r="K508">
        <v>12</v>
      </c>
      <c r="L508">
        <v>12</v>
      </c>
      <c r="M508">
        <v>29837747.747747749</v>
      </c>
      <c r="N508">
        <v>18014954.954954956</v>
      </c>
      <c r="O508">
        <v>23189726.126126129</v>
      </c>
      <c r="P508">
        <v>24841450.45045045</v>
      </c>
      <c r="Q508">
        <v>26967477.477477476</v>
      </c>
      <c r="R508">
        <v>20974144.144144144</v>
      </c>
      <c r="S508">
        <v>1649</v>
      </c>
      <c r="T508">
        <v>1778</v>
      </c>
    </row>
    <row r="509" spans="1:20" x14ac:dyDescent="0.35">
      <c r="A509" s="7" t="s">
        <v>598</v>
      </c>
      <c r="B509" s="12" t="s">
        <v>90</v>
      </c>
      <c r="C509">
        <v>165306726.78094411</v>
      </c>
      <c r="D509">
        <v>170334128.98045447</v>
      </c>
      <c r="E509">
        <v>2390090.0900900951</v>
      </c>
      <c r="F509">
        <v>3947747.7477477519</v>
      </c>
      <c r="G509">
        <v>39</v>
      </c>
      <c r="H509">
        <v>54</v>
      </c>
      <c r="I509">
        <v>2</v>
      </c>
      <c r="K509">
        <v>240</v>
      </c>
      <c r="L509">
        <v>67</v>
      </c>
      <c r="M509">
        <v>13455315.315315312</v>
      </c>
      <c r="N509">
        <v>31460000</v>
      </c>
      <c r="O509">
        <v>40983018.018018015</v>
      </c>
      <c r="P509">
        <v>47608819.819819823</v>
      </c>
      <c r="Q509">
        <v>12128378.378378373</v>
      </c>
      <c r="R509">
        <v>30754954.954954956</v>
      </c>
      <c r="S509">
        <v>3880</v>
      </c>
      <c r="T509">
        <v>3452</v>
      </c>
    </row>
    <row r="510" spans="1:20" x14ac:dyDescent="0.35">
      <c r="A510" s="7" t="s">
        <v>599</v>
      </c>
      <c r="B510" s="12" t="s">
        <v>144</v>
      </c>
      <c r="C510">
        <v>63909804.698361062</v>
      </c>
      <c r="D510">
        <v>61469550.817474887</v>
      </c>
      <c r="E510">
        <v>1302702.7027027039</v>
      </c>
      <c r="F510">
        <v>261261.26126126101</v>
      </c>
      <c r="G510">
        <v>6</v>
      </c>
      <c r="H510">
        <v>2</v>
      </c>
      <c r="K510">
        <v>6</v>
      </c>
      <c r="L510">
        <v>3</v>
      </c>
      <c r="M510">
        <v>6825225.225225226</v>
      </c>
      <c r="N510">
        <v>4675675.6756756753</v>
      </c>
      <c r="O510">
        <v>6211090.0900900913</v>
      </c>
      <c r="P510">
        <v>5786495.4954954963</v>
      </c>
      <c r="Q510">
        <v>5103243.2432432426</v>
      </c>
      <c r="R510">
        <v>3729639.6396396388</v>
      </c>
      <c r="S510">
        <v>1186</v>
      </c>
      <c r="T510">
        <v>1162</v>
      </c>
    </row>
    <row r="511" spans="1:20" x14ac:dyDescent="0.35">
      <c r="A511" s="7" t="s">
        <v>600</v>
      </c>
      <c r="B511" s="12" t="s">
        <v>126</v>
      </c>
      <c r="C511">
        <v>165463049.09092972</v>
      </c>
      <c r="D511">
        <v>173990952.94503868</v>
      </c>
      <c r="E511">
        <v>109909.909909911</v>
      </c>
      <c r="F511">
        <v>432432.43243243499</v>
      </c>
      <c r="G511">
        <v>18</v>
      </c>
      <c r="H511">
        <v>20</v>
      </c>
      <c r="K511">
        <v>23</v>
      </c>
      <c r="L511">
        <v>23</v>
      </c>
      <c r="M511">
        <v>18224684.684684686</v>
      </c>
      <c r="N511">
        <v>14221891.891891891</v>
      </c>
      <c r="O511">
        <v>63902872.072072074</v>
      </c>
      <c r="P511">
        <v>67281351.351351351</v>
      </c>
      <c r="Q511">
        <v>18055135.135135137</v>
      </c>
      <c r="R511">
        <v>14137477.477477478</v>
      </c>
      <c r="S511">
        <v>3376</v>
      </c>
      <c r="T511">
        <v>3423</v>
      </c>
    </row>
    <row r="512" spans="1:20" x14ac:dyDescent="0.35">
      <c r="A512" s="7" t="s">
        <v>601</v>
      </c>
      <c r="B512" s="12" t="s">
        <v>51</v>
      </c>
      <c r="C512">
        <v>402742394.93940085</v>
      </c>
      <c r="D512">
        <v>432067925.72844994</v>
      </c>
      <c r="E512">
        <v>4549549.5495495535</v>
      </c>
      <c r="F512">
        <v>3555855.8558558589</v>
      </c>
      <c r="G512">
        <v>35</v>
      </c>
      <c r="H512">
        <v>37</v>
      </c>
      <c r="I512">
        <v>1</v>
      </c>
      <c r="K512">
        <v>42</v>
      </c>
      <c r="L512">
        <v>44</v>
      </c>
      <c r="M512">
        <v>65066486.486486487</v>
      </c>
      <c r="N512">
        <v>52477387.387387387</v>
      </c>
      <c r="O512">
        <v>169649675.67567569</v>
      </c>
      <c r="P512">
        <v>186527081.08108109</v>
      </c>
      <c r="Q512">
        <v>63897297.297297299</v>
      </c>
      <c r="R512">
        <v>55279009.009009019</v>
      </c>
      <c r="S512">
        <v>7626</v>
      </c>
      <c r="T512">
        <v>8140</v>
      </c>
    </row>
    <row r="513" spans="1:20" x14ac:dyDescent="0.35">
      <c r="A513" s="7" t="s">
        <v>602</v>
      </c>
      <c r="B513" s="12" t="s">
        <v>90</v>
      </c>
      <c r="C513">
        <v>117281516.17718969</v>
      </c>
      <c r="D513">
        <v>117324306.30415632</v>
      </c>
      <c r="E513">
        <v>137673873.87387386</v>
      </c>
      <c r="F513">
        <v>342317567.56756753</v>
      </c>
      <c r="G513">
        <v>11</v>
      </c>
      <c r="H513">
        <v>10</v>
      </c>
      <c r="K513">
        <v>11</v>
      </c>
      <c r="L513">
        <v>11</v>
      </c>
      <c r="M513">
        <v>28841621.621621624</v>
      </c>
      <c r="N513">
        <v>35695507.20720721</v>
      </c>
      <c r="O513">
        <v>35999522.522522517</v>
      </c>
      <c r="P513">
        <v>38637225.225225225</v>
      </c>
      <c r="Q513">
        <v>27392342.342342339</v>
      </c>
      <c r="R513">
        <v>34297477.477477476</v>
      </c>
      <c r="S513">
        <v>2402</v>
      </c>
      <c r="T513">
        <v>2395</v>
      </c>
    </row>
    <row r="514" spans="1:20" x14ac:dyDescent="0.35">
      <c r="A514" s="7" t="s">
        <v>603</v>
      </c>
      <c r="B514" s="12" t="s">
        <v>88</v>
      </c>
      <c r="C514">
        <v>103480438.00247274</v>
      </c>
      <c r="D514">
        <v>106730606.89074047</v>
      </c>
      <c r="E514">
        <v>617117.11711711704</v>
      </c>
      <c r="F514">
        <v>626126.12612612697</v>
      </c>
      <c r="G514">
        <v>13</v>
      </c>
      <c r="H514">
        <v>10</v>
      </c>
      <c r="K514">
        <v>14</v>
      </c>
      <c r="L514">
        <v>12</v>
      </c>
      <c r="M514">
        <v>1256756.756756756</v>
      </c>
      <c r="N514">
        <v>1527027.027027027</v>
      </c>
      <c r="O514">
        <v>8166693.6936936937</v>
      </c>
      <c r="P514">
        <v>11657288.288288288</v>
      </c>
      <c r="Q514">
        <v>1361441.441441441</v>
      </c>
      <c r="R514">
        <v>1602072.0720720729</v>
      </c>
      <c r="S514">
        <v>1187</v>
      </c>
      <c r="T514">
        <v>1201</v>
      </c>
    </row>
    <row r="515" spans="1:20" x14ac:dyDescent="0.35">
      <c r="A515" s="7" t="s">
        <v>604</v>
      </c>
      <c r="B515" s="12" t="s">
        <v>141</v>
      </c>
      <c r="C515">
        <v>839144987.55448687</v>
      </c>
      <c r="D515">
        <v>884006734.42779768</v>
      </c>
      <c r="E515">
        <v>454851735.13513517</v>
      </c>
      <c r="F515">
        <v>636179322.52252245</v>
      </c>
      <c r="G515">
        <v>493</v>
      </c>
      <c r="H515">
        <v>463</v>
      </c>
      <c r="I515">
        <v>8</v>
      </c>
      <c r="K515">
        <v>905</v>
      </c>
      <c r="L515">
        <v>620</v>
      </c>
      <c r="M515">
        <v>147290720.72072074</v>
      </c>
      <c r="N515">
        <v>231139414.41441444</v>
      </c>
      <c r="O515">
        <v>211542452.25225225</v>
      </c>
      <c r="P515">
        <v>230785291.8918919</v>
      </c>
      <c r="Q515">
        <v>146999279.27927929</v>
      </c>
      <c r="R515">
        <v>182116754.95495495</v>
      </c>
      <c r="S515">
        <v>18690</v>
      </c>
      <c r="T515">
        <v>19337</v>
      </c>
    </row>
    <row r="516" spans="1:20" x14ac:dyDescent="0.35">
      <c r="A516" s="7" t="s">
        <v>605</v>
      </c>
      <c r="B516" s="12" t="s">
        <v>225</v>
      </c>
      <c r="C516">
        <v>143536920.08422679</v>
      </c>
      <c r="D516">
        <v>160452030.67047635</v>
      </c>
      <c r="E516">
        <v>86486.486486485999</v>
      </c>
      <c r="F516">
        <v>2022522.5225225231</v>
      </c>
      <c r="G516">
        <v>27</v>
      </c>
      <c r="H516">
        <v>29</v>
      </c>
      <c r="K516">
        <v>33</v>
      </c>
      <c r="L516">
        <v>32</v>
      </c>
      <c r="M516">
        <v>5311711.7117117113</v>
      </c>
      <c r="N516">
        <v>4536036.036036036</v>
      </c>
      <c r="O516">
        <v>47754153.153153151</v>
      </c>
      <c r="P516">
        <v>59536207.20720721</v>
      </c>
      <c r="Q516">
        <v>5694234.2342342343</v>
      </c>
      <c r="R516">
        <v>5960180.1801801799</v>
      </c>
      <c r="S516">
        <v>3630</v>
      </c>
      <c r="T516">
        <v>3583</v>
      </c>
    </row>
    <row r="517" spans="1:20" x14ac:dyDescent="0.35">
      <c r="A517" s="7" t="s">
        <v>606</v>
      </c>
      <c r="B517" s="12" t="s">
        <v>225</v>
      </c>
      <c r="C517">
        <v>93721012.041186973</v>
      </c>
      <c r="D517">
        <v>103365684.21586461</v>
      </c>
      <c r="E517">
        <v>49549.549549549003</v>
      </c>
      <c r="F517">
        <v>46846.846846847002</v>
      </c>
      <c r="G517">
        <v>36</v>
      </c>
      <c r="H517">
        <v>25</v>
      </c>
      <c r="K517">
        <v>39</v>
      </c>
      <c r="L517">
        <v>28</v>
      </c>
      <c r="M517">
        <v>4554054.0540540544</v>
      </c>
      <c r="N517">
        <v>8280900.9009009013</v>
      </c>
      <c r="O517">
        <v>28506612.612612613</v>
      </c>
      <c r="P517">
        <v>36221315.315315314</v>
      </c>
      <c r="Q517">
        <v>5855585.5855855858</v>
      </c>
      <c r="R517">
        <v>7784144.1441441448</v>
      </c>
      <c r="S517">
        <v>3153</v>
      </c>
      <c r="T517">
        <v>3308</v>
      </c>
    </row>
    <row r="518" spans="1:20" x14ac:dyDescent="0.35">
      <c r="A518" s="7" t="s">
        <v>607</v>
      </c>
      <c r="B518" s="12" t="s">
        <v>242</v>
      </c>
      <c r="C518">
        <v>79022785.285448372</v>
      </c>
      <c r="D518">
        <v>84946965.275052592</v>
      </c>
      <c r="E518">
        <v>351351.351351352</v>
      </c>
      <c r="F518">
        <v>69369.369369370004</v>
      </c>
      <c r="G518">
        <v>45</v>
      </c>
      <c r="H518">
        <v>38</v>
      </c>
      <c r="K518">
        <v>51</v>
      </c>
      <c r="L518">
        <v>42</v>
      </c>
      <c r="M518">
        <v>7230180.180180179</v>
      </c>
      <c r="N518">
        <v>3981081.0810810812</v>
      </c>
      <c r="O518">
        <v>24345909.909909911</v>
      </c>
      <c r="P518">
        <v>28305063.063063063</v>
      </c>
      <c r="Q518">
        <v>7192432.4324324299</v>
      </c>
      <c r="R518">
        <v>4061351.351351351</v>
      </c>
      <c r="S518">
        <v>2480</v>
      </c>
      <c r="T518">
        <v>2295</v>
      </c>
    </row>
    <row r="519" spans="1:20" x14ac:dyDescent="0.35">
      <c r="A519" s="7" t="s">
        <v>608</v>
      </c>
      <c r="B519" s="12" t="s">
        <v>141</v>
      </c>
      <c r="C519">
        <v>23980838.832377661</v>
      </c>
      <c r="D519">
        <v>23602481.661672223</v>
      </c>
      <c r="E519">
        <v>2702.7027027029999</v>
      </c>
      <c r="F519">
        <v>32432.432432432</v>
      </c>
      <c r="G519">
        <v>4</v>
      </c>
      <c r="H519">
        <v>3</v>
      </c>
      <c r="I519">
        <v>1</v>
      </c>
      <c r="K519">
        <v>4</v>
      </c>
      <c r="L519">
        <v>4</v>
      </c>
      <c r="M519">
        <v>227927.92792792799</v>
      </c>
      <c r="N519">
        <v>747747.74774774804</v>
      </c>
      <c r="O519">
        <v>2890531.5315315318</v>
      </c>
      <c r="P519">
        <v>3852747.7477477482</v>
      </c>
      <c r="Q519">
        <v>532432.43243243301</v>
      </c>
      <c r="R519">
        <v>777117.11711711797</v>
      </c>
      <c r="S519">
        <v>367</v>
      </c>
      <c r="T519">
        <v>341</v>
      </c>
    </row>
    <row r="520" spans="1:20" x14ac:dyDescent="0.35">
      <c r="A520" s="7" t="s">
        <v>664</v>
      </c>
      <c r="B520" s="12" t="s">
        <v>190</v>
      </c>
      <c r="E520">
        <v>29148598.198198199</v>
      </c>
      <c r="F520">
        <v>54640449.54954955</v>
      </c>
      <c r="M520">
        <v>14729049.54954955</v>
      </c>
      <c r="S520">
        <v>1</v>
      </c>
    </row>
    <row r="521" spans="1:20" x14ac:dyDescent="0.35">
      <c r="A521" s="7" t="s">
        <v>609</v>
      </c>
      <c r="B521" s="12" t="s">
        <v>190</v>
      </c>
      <c r="C521">
        <v>87978479.012962207</v>
      </c>
      <c r="D521">
        <v>81978408.528975755</v>
      </c>
      <c r="E521">
        <v>1070270.2702702701</v>
      </c>
      <c r="F521">
        <v>22522.522522523999</v>
      </c>
      <c r="G521">
        <v>54</v>
      </c>
      <c r="H521">
        <v>21</v>
      </c>
      <c r="K521">
        <v>59</v>
      </c>
      <c r="L521">
        <v>25</v>
      </c>
      <c r="M521">
        <v>7736936.9369369373</v>
      </c>
      <c r="N521">
        <v>6531531.5315315314</v>
      </c>
      <c r="O521">
        <v>21962995.495495494</v>
      </c>
      <c r="P521">
        <v>21062747.747747749</v>
      </c>
      <c r="Q521">
        <v>5217657.6576576568</v>
      </c>
      <c r="R521">
        <v>4216576.5765765766</v>
      </c>
      <c r="S521">
        <v>1488</v>
      </c>
      <c r="T521">
        <v>1448</v>
      </c>
    </row>
    <row r="522" spans="1:20" x14ac:dyDescent="0.35">
      <c r="A522" s="7" t="s">
        <v>610</v>
      </c>
      <c r="B522" s="12" t="s">
        <v>190</v>
      </c>
      <c r="C522">
        <v>264511189.75183478</v>
      </c>
      <c r="D522">
        <v>256489138.16176301</v>
      </c>
      <c r="E522">
        <v>175675.675675676</v>
      </c>
      <c r="F522">
        <v>148648.64864865001</v>
      </c>
      <c r="G522">
        <v>87</v>
      </c>
      <c r="H522">
        <v>78</v>
      </c>
      <c r="K522">
        <v>94</v>
      </c>
      <c r="L522">
        <v>84</v>
      </c>
      <c r="M522">
        <v>12923423.423423424</v>
      </c>
      <c r="N522">
        <v>12581081.081081081</v>
      </c>
      <c r="O522">
        <v>45631009.009009011</v>
      </c>
      <c r="P522">
        <v>45030891.891891889</v>
      </c>
      <c r="Q522">
        <v>6551621.6216216208</v>
      </c>
      <c r="R522">
        <v>7196576.5765765766</v>
      </c>
      <c r="S522">
        <v>5025</v>
      </c>
      <c r="T522">
        <v>5004</v>
      </c>
    </row>
    <row r="523" spans="1:20" x14ac:dyDescent="0.35">
      <c r="A523" s="7" t="s">
        <v>611</v>
      </c>
      <c r="B523" s="12" t="s">
        <v>190</v>
      </c>
      <c r="C523">
        <v>102224043.56749503</v>
      </c>
      <c r="D523">
        <v>115134060.17476894</v>
      </c>
      <c r="E523">
        <v>1961036.036036039</v>
      </c>
      <c r="F523">
        <v>1727966.6666666679</v>
      </c>
      <c r="G523">
        <v>19</v>
      </c>
      <c r="H523">
        <v>21</v>
      </c>
      <c r="K523">
        <v>20</v>
      </c>
      <c r="L523">
        <v>21</v>
      </c>
      <c r="M523">
        <v>12192792.792792792</v>
      </c>
      <c r="N523">
        <v>15545045.045045048</v>
      </c>
      <c r="O523">
        <v>12471657.657657659</v>
      </c>
      <c r="P523">
        <v>17266000</v>
      </c>
      <c r="Q523">
        <v>10328108.108108109</v>
      </c>
      <c r="R523">
        <v>6953243.2432432417</v>
      </c>
      <c r="S523">
        <v>1641</v>
      </c>
      <c r="T523">
        <v>2407</v>
      </c>
    </row>
    <row r="524" spans="1:20" x14ac:dyDescent="0.35">
      <c r="A524" s="7" t="s">
        <v>612</v>
      </c>
      <c r="B524" s="12" t="s">
        <v>190</v>
      </c>
      <c r="C524">
        <v>38929704.845879763</v>
      </c>
      <c r="D524">
        <v>44186618.915620081</v>
      </c>
      <c r="E524">
        <v>472522.522522524</v>
      </c>
      <c r="F524">
        <v>58558.558558559998</v>
      </c>
      <c r="G524">
        <v>21</v>
      </c>
      <c r="H524">
        <v>36</v>
      </c>
      <c r="K524">
        <v>22</v>
      </c>
      <c r="L524">
        <v>49</v>
      </c>
      <c r="M524">
        <v>4937297.297297298</v>
      </c>
      <c r="N524">
        <v>7306306.3063063072</v>
      </c>
      <c r="O524">
        <v>7013720.7207207214</v>
      </c>
      <c r="P524">
        <v>9321423.4234234244</v>
      </c>
      <c r="Q524">
        <v>3954684.684684685</v>
      </c>
      <c r="R524">
        <v>4741801.8018018017</v>
      </c>
      <c r="S524">
        <v>1020</v>
      </c>
      <c r="T524">
        <v>929</v>
      </c>
    </row>
    <row r="525" spans="1:20" x14ac:dyDescent="0.35">
      <c r="A525" s="7" t="s">
        <v>613</v>
      </c>
      <c r="B525" s="12" t="s">
        <v>144</v>
      </c>
      <c r="C525">
        <v>263970663.23566267</v>
      </c>
      <c r="D525">
        <v>313663489.48486966</v>
      </c>
      <c r="E525">
        <v>3543095.4954954959</v>
      </c>
      <c r="F525">
        <v>755531.53153153695</v>
      </c>
      <c r="G525">
        <v>436</v>
      </c>
      <c r="H525">
        <v>86</v>
      </c>
      <c r="I525">
        <v>13</v>
      </c>
      <c r="K525">
        <v>461</v>
      </c>
      <c r="L525">
        <v>235</v>
      </c>
      <c r="M525">
        <v>30504504.504504506</v>
      </c>
      <c r="N525">
        <v>32590090.090090092</v>
      </c>
      <c r="O525">
        <v>35164932.432432435</v>
      </c>
      <c r="P525">
        <v>47900558.558558561</v>
      </c>
      <c r="Q525">
        <v>28785178.378378376</v>
      </c>
      <c r="R525">
        <v>32740450.45045045</v>
      </c>
      <c r="S525">
        <v>5113</v>
      </c>
      <c r="T525">
        <v>7295</v>
      </c>
    </row>
    <row r="526" spans="1:20" x14ac:dyDescent="0.35">
      <c r="A526" s="7" t="s">
        <v>614</v>
      </c>
      <c r="B526" s="12" t="s">
        <v>190</v>
      </c>
      <c r="C526">
        <v>337696655.24901295</v>
      </c>
      <c r="D526">
        <v>364869225.68687665</v>
      </c>
      <c r="E526">
        <v>1626801.8018018031</v>
      </c>
      <c r="F526">
        <v>1630630.630630634</v>
      </c>
      <c r="G526">
        <v>134</v>
      </c>
      <c r="H526">
        <v>157</v>
      </c>
      <c r="I526">
        <v>3</v>
      </c>
      <c r="K526">
        <v>177</v>
      </c>
      <c r="L526">
        <v>220</v>
      </c>
      <c r="M526">
        <v>12224144.144144144</v>
      </c>
      <c r="N526">
        <v>10725225.225225229</v>
      </c>
      <c r="O526">
        <v>33200077.47747748</v>
      </c>
      <c r="P526">
        <v>41738531.531531528</v>
      </c>
      <c r="Q526">
        <v>10218872.072072074</v>
      </c>
      <c r="R526">
        <v>8808558.5585585628</v>
      </c>
      <c r="S526">
        <v>7317</v>
      </c>
      <c r="T526">
        <v>7500</v>
      </c>
    </row>
    <row r="527" spans="1:20" x14ac:dyDescent="0.35">
      <c r="A527" s="7" t="s">
        <v>615</v>
      </c>
      <c r="B527" s="12" t="s">
        <v>55</v>
      </c>
      <c r="C527">
        <v>237337792.07172436</v>
      </c>
      <c r="D527">
        <v>240065967.76866007</v>
      </c>
      <c r="E527">
        <v>4161261.2612612662</v>
      </c>
      <c r="F527">
        <v>6678378.378378381</v>
      </c>
      <c r="G527">
        <v>81</v>
      </c>
      <c r="H527">
        <v>61</v>
      </c>
      <c r="I527">
        <v>2</v>
      </c>
      <c r="K527">
        <v>99</v>
      </c>
      <c r="L527">
        <v>81</v>
      </c>
      <c r="M527">
        <v>40134234.234234229</v>
      </c>
      <c r="N527">
        <v>46088288.288288288</v>
      </c>
      <c r="O527">
        <v>75547396.396396399</v>
      </c>
      <c r="P527">
        <v>77764108.108108118</v>
      </c>
      <c r="Q527">
        <v>36973873.873873875</v>
      </c>
      <c r="R527">
        <v>45070900.900900893</v>
      </c>
      <c r="S527">
        <v>6368</v>
      </c>
      <c r="T527">
        <v>7222</v>
      </c>
    </row>
    <row r="528" spans="1:20" x14ac:dyDescent="0.35">
      <c r="A528" s="7" t="s">
        <v>616</v>
      </c>
      <c r="B528" s="12" t="s">
        <v>55</v>
      </c>
      <c r="C528">
        <v>129344321.64352524</v>
      </c>
      <c r="D528">
        <v>133194539.53397258</v>
      </c>
      <c r="E528">
        <v>695495.49549549702</v>
      </c>
      <c r="F528">
        <v>1218018.018018018</v>
      </c>
      <c r="G528">
        <v>14</v>
      </c>
      <c r="H528">
        <v>12</v>
      </c>
      <c r="I528">
        <v>1</v>
      </c>
      <c r="K528">
        <v>19</v>
      </c>
      <c r="L528">
        <v>18</v>
      </c>
      <c r="M528">
        <v>5039639.6396396402</v>
      </c>
      <c r="N528">
        <v>6746846.8468468469</v>
      </c>
      <c r="O528">
        <v>21819567.567567568</v>
      </c>
      <c r="P528">
        <v>24029792.792792793</v>
      </c>
      <c r="Q528">
        <v>4027837.837837839</v>
      </c>
      <c r="R528">
        <v>5806666.666666666</v>
      </c>
      <c r="S528">
        <v>2797</v>
      </c>
      <c r="T528">
        <v>2813</v>
      </c>
    </row>
    <row r="529" spans="1:20" x14ac:dyDescent="0.35">
      <c r="A529" s="7" t="s">
        <v>617</v>
      </c>
      <c r="B529" s="12" t="s">
        <v>61</v>
      </c>
      <c r="C529">
        <v>200141374.6050961</v>
      </c>
      <c r="D529">
        <v>214634315.05058563</v>
      </c>
      <c r="E529">
        <v>2792792.792792792</v>
      </c>
      <c r="F529">
        <v>2183783.7837837879</v>
      </c>
      <c r="G529">
        <v>90</v>
      </c>
      <c r="H529">
        <v>36</v>
      </c>
      <c r="K529">
        <v>125</v>
      </c>
      <c r="L529">
        <v>40</v>
      </c>
      <c r="M529">
        <v>31250900.9009009</v>
      </c>
      <c r="N529">
        <v>38800900.9009009</v>
      </c>
      <c r="O529">
        <v>66079918.918918923</v>
      </c>
      <c r="P529">
        <v>69841234.234234229</v>
      </c>
      <c r="Q529">
        <v>30500180.180180177</v>
      </c>
      <c r="R529">
        <v>35779909.909909911</v>
      </c>
      <c r="S529">
        <v>4022</v>
      </c>
      <c r="T529">
        <v>4449</v>
      </c>
    </row>
    <row r="530" spans="1:20" x14ac:dyDescent="0.35">
      <c r="A530" s="7" t="s">
        <v>618</v>
      </c>
      <c r="B530" s="12" t="s">
        <v>61</v>
      </c>
      <c r="C530">
        <v>213886887.21707276</v>
      </c>
      <c r="D530">
        <v>211112305.83320603</v>
      </c>
      <c r="E530">
        <v>30814414.414414417</v>
      </c>
      <c r="F530">
        <v>603760360.36036026</v>
      </c>
      <c r="G530">
        <v>55</v>
      </c>
      <c r="H530">
        <v>43</v>
      </c>
      <c r="K530">
        <v>60</v>
      </c>
      <c r="L530">
        <v>64</v>
      </c>
      <c r="M530">
        <v>26763963.963963967</v>
      </c>
      <c r="N530">
        <v>44168018.018018015</v>
      </c>
      <c r="O530">
        <v>112905472.97297297</v>
      </c>
      <c r="P530">
        <v>110794594.5945946</v>
      </c>
      <c r="Q530">
        <v>25403513.513513513</v>
      </c>
      <c r="R530">
        <v>37255945.945945941</v>
      </c>
      <c r="S530">
        <v>5293</v>
      </c>
      <c r="T530">
        <v>5335</v>
      </c>
    </row>
    <row r="531" spans="1:20" x14ac:dyDescent="0.35">
      <c r="A531" s="7" t="s">
        <v>619</v>
      </c>
      <c r="B531" s="12" t="s">
        <v>61</v>
      </c>
      <c r="C531">
        <v>270971128.05065471</v>
      </c>
      <c r="D531">
        <v>283223049.67708343</v>
      </c>
      <c r="E531">
        <v>3445945.9459459512</v>
      </c>
      <c r="F531">
        <v>8304504.5045045074</v>
      </c>
      <c r="G531">
        <v>47</v>
      </c>
      <c r="H531">
        <v>26</v>
      </c>
      <c r="K531">
        <v>56</v>
      </c>
      <c r="L531">
        <v>37</v>
      </c>
      <c r="M531">
        <v>40222522.522522531</v>
      </c>
      <c r="N531">
        <v>69962162.162162155</v>
      </c>
      <c r="O531">
        <v>90309464.414414421</v>
      </c>
      <c r="P531">
        <v>94340027.027027026</v>
      </c>
      <c r="Q531">
        <v>40007387.387387395</v>
      </c>
      <c r="R531">
        <v>62229909.909909911</v>
      </c>
      <c r="S531">
        <v>6190</v>
      </c>
      <c r="T531">
        <v>5298</v>
      </c>
    </row>
    <row r="532" spans="1:20" x14ac:dyDescent="0.35">
      <c r="A532" s="7" t="s">
        <v>620</v>
      </c>
      <c r="B532" s="12" t="s">
        <v>621</v>
      </c>
      <c r="C532">
        <v>322505454.44163877</v>
      </c>
      <c r="D532">
        <v>324933159.3658911</v>
      </c>
      <c r="E532">
        <v>5655630.6306306338</v>
      </c>
      <c r="F532">
        <v>3299099.0990991071</v>
      </c>
      <c r="G532">
        <v>206</v>
      </c>
      <c r="H532">
        <v>82</v>
      </c>
      <c r="I532">
        <v>2</v>
      </c>
      <c r="K532">
        <v>395</v>
      </c>
      <c r="L532">
        <v>124</v>
      </c>
      <c r="M532">
        <v>20527477.477477476</v>
      </c>
      <c r="N532">
        <v>19015765.765765768</v>
      </c>
      <c r="O532">
        <v>39539828.828828834</v>
      </c>
      <c r="P532">
        <v>45489126.126126125</v>
      </c>
      <c r="Q532">
        <v>23843783.783783782</v>
      </c>
      <c r="R532">
        <v>20861621.62162162</v>
      </c>
      <c r="S532">
        <v>7757</v>
      </c>
      <c r="T532">
        <v>8806</v>
      </c>
    </row>
    <row r="533" spans="1:20" x14ac:dyDescent="0.35">
      <c r="A533" s="7" t="s">
        <v>622</v>
      </c>
      <c r="B533" s="12" t="s">
        <v>621</v>
      </c>
      <c r="C533">
        <v>235725915.23530468</v>
      </c>
      <c r="D533">
        <v>236352286.40168521</v>
      </c>
      <c r="E533">
        <v>4245045.0450450452</v>
      </c>
      <c r="F533">
        <v>2871171.1711711721</v>
      </c>
      <c r="G533">
        <v>91</v>
      </c>
      <c r="H533">
        <v>80</v>
      </c>
      <c r="I533">
        <v>1</v>
      </c>
      <c r="K533">
        <v>106</v>
      </c>
      <c r="L533">
        <v>99</v>
      </c>
      <c r="M533">
        <v>22073873.873873871</v>
      </c>
      <c r="N533">
        <v>19141441.441441439</v>
      </c>
      <c r="O533">
        <v>38547475.675675675</v>
      </c>
      <c r="P533">
        <v>40925036.936936937</v>
      </c>
      <c r="Q533">
        <v>19168018.018018015</v>
      </c>
      <c r="R533">
        <v>19911081.081081081</v>
      </c>
      <c r="S533">
        <v>5958</v>
      </c>
      <c r="T533">
        <v>5813</v>
      </c>
    </row>
    <row r="534" spans="1:20" x14ac:dyDescent="0.35">
      <c r="A534" s="7" t="s">
        <v>623</v>
      </c>
      <c r="B534" s="12" t="s">
        <v>621</v>
      </c>
      <c r="C534">
        <v>246416987.53000361</v>
      </c>
      <c r="D534">
        <v>241150978.07637882</v>
      </c>
      <c r="E534">
        <v>57533609.909909911</v>
      </c>
      <c r="F534">
        <v>103131212.61261262</v>
      </c>
      <c r="G534">
        <v>97</v>
      </c>
      <c r="H534">
        <v>83</v>
      </c>
      <c r="I534">
        <v>1</v>
      </c>
      <c r="K534">
        <v>113</v>
      </c>
      <c r="L534">
        <v>92</v>
      </c>
      <c r="M534">
        <v>33944521.621621624</v>
      </c>
      <c r="N534">
        <v>34715045.045045048</v>
      </c>
      <c r="O534">
        <v>38184236.936936937</v>
      </c>
      <c r="P534">
        <v>42550699.0990991</v>
      </c>
      <c r="Q534">
        <v>14478558.558558557</v>
      </c>
      <c r="R534">
        <v>17463286.486486487</v>
      </c>
      <c r="S534">
        <v>5867</v>
      </c>
      <c r="T534">
        <v>5474</v>
      </c>
    </row>
    <row r="535" spans="1:20" x14ac:dyDescent="0.35">
      <c r="A535" s="7" t="s">
        <v>624</v>
      </c>
      <c r="B535" s="12" t="s">
        <v>621</v>
      </c>
      <c r="C535">
        <v>181229604.0146136</v>
      </c>
      <c r="D535">
        <v>183403486.6102142</v>
      </c>
      <c r="E535">
        <v>653153.15315315395</v>
      </c>
      <c r="F535">
        <v>2354954.9549549571</v>
      </c>
      <c r="G535">
        <v>42</v>
      </c>
      <c r="H535">
        <v>89</v>
      </c>
      <c r="I535">
        <v>4</v>
      </c>
      <c r="K535">
        <v>55</v>
      </c>
      <c r="L535">
        <v>98</v>
      </c>
      <c r="M535">
        <v>15989189.189189188</v>
      </c>
      <c r="N535">
        <v>17086036.036036037</v>
      </c>
      <c r="O535">
        <v>23572959.459459461</v>
      </c>
      <c r="P535">
        <v>26678016.216216218</v>
      </c>
      <c r="Q535">
        <v>15785675.675675675</v>
      </c>
      <c r="R535">
        <v>17327927.927927926</v>
      </c>
      <c r="S535">
        <v>3497</v>
      </c>
      <c r="T535">
        <v>3484</v>
      </c>
    </row>
    <row r="536" spans="1:20" x14ac:dyDescent="0.35">
      <c r="A536" s="7" t="s">
        <v>625</v>
      </c>
      <c r="B536" s="12" t="s">
        <v>261</v>
      </c>
      <c r="C536">
        <v>96374119.304007038</v>
      </c>
      <c r="D536">
        <v>103553781.59297752</v>
      </c>
      <c r="E536">
        <v>363963.96396396501</v>
      </c>
      <c r="F536">
        <v>212612.61261261301</v>
      </c>
      <c r="G536">
        <v>16</v>
      </c>
      <c r="H536">
        <v>3</v>
      </c>
      <c r="K536">
        <v>16</v>
      </c>
      <c r="L536">
        <v>3</v>
      </c>
      <c r="M536">
        <v>7275675.6756756771</v>
      </c>
      <c r="N536">
        <v>9593513.5135135148</v>
      </c>
      <c r="O536">
        <v>30840495.495495494</v>
      </c>
      <c r="P536">
        <v>35864369.369369365</v>
      </c>
      <c r="Q536">
        <v>10389459.459459459</v>
      </c>
      <c r="R536">
        <v>13149099.0990991</v>
      </c>
      <c r="S536">
        <v>2280</v>
      </c>
      <c r="T536">
        <v>2131</v>
      </c>
    </row>
    <row r="537" spans="1:20" x14ac:dyDescent="0.35">
      <c r="A537" s="7" t="s">
        <v>626</v>
      </c>
      <c r="B537" s="12" t="s">
        <v>53</v>
      </c>
      <c r="C537">
        <v>147332134.32267189</v>
      </c>
      <c r="D537">
        <v>149627527.92477468</v>
      </c>
      <c r="E537">
        <v>161413513.51351351</v>
      </c>
      <c r="F537">
        <v>231235585.58558559</v>
      </c>
      <c r="G537">
        <v>49</v>
      </c>
      <c r="H537">
        <v>71</v>
      </c>
      <c r="K537">
        <v>121</v>
      </c>
      <c r="L537">
        <v>135</v>
      </c>
      <c r="M537">
        <v>5921621.6216216227</v>
      </c>
      <c r="N537">
        <v>10247972.972972976</v>
      </c>
      <c r="O537">
        <v>53915027.027027026</v>
      </c>
      <c r="P537">
        <v>54141709.909909911</v>
      </c>
      <c r="Q537">
        <v>3861531.5315315332</v>
      </c>
      <c r="R537">
        <v>4433783.7837837832</v>
      </c>
      <c r="S537">
        <v>4182</v>
      </c>
      <c r="T537">
        <v>4713</v>
      </c>
    </row>
    <row r="538" spans="1:20" x14ac:dyDescent="0.35">
      <c r="A538" s="7" t="s">
        <v>627</v>
      </c>
      <c r="B538" s="12" t="s">
        <v>97</v>
      </c>
      <c r="C538">
        <v>379578545.72500706</v>
      </c>
      <c r="D538">
        <v>345594189.42490232</v>
      </c>
      <c r="E538">
        <v>145684549.54954955</v>
      </c>
      <c r="F538">
        <v>192201237.83783782</v>
      </c>
      <c r="G538">
        <v>176</v>
      </c>
      <c r="H538">
        <v>178</v>
      </c>
      <c r="K538">
        <v>208</v>
      </c>
      <c r="L538">
        <v>269</v>
      </c>
      <c r="M538">
        <v>140168324.32432431</v>
      </c>
      <c r="N538">
        <v>91602252.252252251</v>
      </c>
      <c r="O538">
        <v>124626464.41441442</v>
      </c>
      <c r="P538">
        <v>125249241.44144145</v>
      </c>
      <c r="Q538">
        <v>71307117.117117122</v>
      </c>
      <c r="R538">
        <v>86675628.828828827</v>
      </c>
      <c r="S538">
        <v>10293</v>
      </c>
      <c r="T538">
        <v>10784</v>
      </c>
    </row>
    <row r="539" spans="1:20" x14ac:dyDescent="0.35">
      <c r="A539" s="7" t="s">
        <v>628</v>
      </c>
      <c r="B539" s="12" t="s">
        <v>97</v>
      </c>
      <c r="C539">
        <v>624323039.3408457</v>
      </c>
      <c r="D539">
        <v>609834570.95606077</v>
      </c>
      <c r="E539">
        <v>82532432.432432428</v>
      </c>
      <c r="F539">
        <v>228857657.65765765</v>
      </c>
      <c r="G539">
        <v>157</v>
      </c>
      <c r="H539">
        <v>156</v>
      </c>
      <c r="I539">
        <v>3</v>
      </c>
      <c r="K539">
        <v>232</v>
      </c>
      <c r="L539">
        <v>256</v>
      </c>
      <c r="M539">
        <v>160425765.76576576</v>
      </c>
      <c r="N539">
        <v>152441891.89189187</v>
      </c>
      <c r="O539">
        <v>255579173.42342341</v>
      </c>
      <c r="P539">
        <v>251458666.66666666</v>
      </c>
      <c r="Q539">
        <v>135478648.64864865</v>
      </c>
      <c r="R539">
        <v>144519684.68468466</v>
      </c>
      <c r="S539">
        <v>13559</v>
      </c>
      <c r="T539">
        <v>17297</v>
      </c>
    </row>
    <row r="540" spans="1:20" x14ac:dyDescent="0.35">
      <c r="A540" s="7" t="s">
        <v>629</v>
      </c>
      <c r="B540" s="12" t="s">
        <v>449</v>
      </c>
      <c r="C540">
        <v>455726694.99420106</v>
      </c>
      <c r="D540">
        <v>440655338.81317139</v>
      </c>
      <c r="E540">
        <v>165491648.64864865</v>
      </c>
      <c r="F540">
        <v>254695128.82882884</v>
      </c>
      <c r="G540">
        <v>172</v>
      </c>
      <c r="H540">
        <v>219</v>
      </c>
      <c r="I540">
        <v>1</v>
      </c>
      <c r="K540">
        <v>212</v>
      </c>
      <c r="L540">
        <v>292</v>
      </c>
      <c r="M540">
        <v>141458198.1981982</v>
      </c>
      <c r="N540">
        <v>128044819.81981982</v>
      </c>
      <c r="O540">
        <v>135829944.14414415</v>
      </c>
      <c r="P540">
        <v>146023018.01801801</v>
      </c>
      <c r="Q540">
        <v>134626306.3063063</v>
      </c>
      <c r="R540">
        <v>107778783.78378378</v>
      </c>
      <c r="S540">
        <v>11480</v>
      </c>
      <c r="T540">
        <v>11291</v>
      </c>
    </row>
    <row r="541" spans="1:20" x14ac:dyDescent="0.35">
      <c r="A541" s="7" t="s">
        <v>630</v>
      </c>
      <c r="B541" s="12" t="s">
        <v>79</v>
      </c>
      <c r="C541">
        <v>20224371.026649315</v>
      </c>
      <c r="D541">
        <v>21671178.02432064</v>
      </c>
      <c r="E541">
        <v>327027.02702702698</v>
      </c>
      <c r="F541">
        <v>312612.61261261301</v>
      </c>
      <c r="G541">
        <v>3</v>
      </c>
      <c r="H541">
        <v>3</v>
      </c>
      <c r="K541">
        <v>3</v>
      </c>
      <c r="L541">
        <v>3</v>
      </c>
      <c r="M541">
        <v>1227927.9279279271</v>
      </c>
      <c r="N541">
        <v>2015315.315315315</v>
      </c>
      <c r="O541">
        <v>5752594.594594595</v>
      </c>
      <c r="P541">
        <v>6911450.4504504502</v>
      </c>
      <c r="Q541">
        <v>1232792.7927927929</v>
      </c>
      <c r="R541">
        <v>1420180.1801801799</v>
      </c>
      <c r="S541">
        <v>366</v>
      </c>
      <c r="T541">
        <v>380</v>
      </c>
    </row>
    <row r="542" spans="1:20" x14ac:dyDescent="0.35">
      <c r="A542" s="7" t="s">
        <v>631</v>
      </c>
      <c r="B542" s="12" t="s">
        <v>242</v>
      </c>
      <c r="C542">
        <v>120031459.41818242</v>
      </c>
      <c r="D542">
        <v>111209270.69286394</v>
      </c>
      <c r="E542">
        <v>398873.87387387501</v>
      </c>
      <c r="F542">
        <v>1132432.4324324329</v>
      </c>
      <c r="G542">
        <v>44</v>
      </c>
      <c r="H542">
        <v>22</v>
      </c>
      <c r="K542">
        <v>52</v>
      </c>
      <c r="L542">
        <v>31</v>
      </c>
      <c r="M542">
        <v>12644864.864864863</v>
      </c>
      <c r="N542">
        <v>28215855.855855856</v>
      </c>
      <c r="O542">
        <v>27295099.0990991</v>
      </c>
      <c r="P542">
        <v>27786189.189189192</v>
      </c>
      <c r="Q542">
        <v>12678738.738738738</v>
      </c>
      <c r="R542">
        <v>27791171.171171173</v>
      </c>
      <c r="S542">
        <v>2794</v>
      </c>
      <c r="T542">
        <v>2813</v>
      </c>
    </row>
    <row r="543" spans="1:20" x14ac:dyDescent="0.35">
      <c r="A543" s="7" t="s">
        <v>632</v>
      </c>
      <c r="B543" s="12" t="s">
        <v>69</v>
      </c>
      <c r="C543">
        <v>521500268.6520797</v>
      </c>
      <c r="D543">
        <v>539171517.05847919</v>
      </c>
      <c r="E543">
        <v>5833108.108108107</v>
      </c>
      <c r="F543">
        <v>2982882.8828828838</v>
      </c>
      <c r="G543">
        <v>304</v>
      </c>
      <c r="H543">
        <v>80</v>
      </c>
      <c r="K543">
        <v>349</v>
      </c>
      <c r="L543">
        <v>114</v>
      </c>
      <c r="M543">
        <v>52027477.477477469</v>
      </c>
      <c r="N543">
        <v>62401756.75675676</v>
      </c>
      <c r="O543">
        <v>88664954.054054052</v>
      </c>
      <c r="P543">
        <v>106107131.53153154</v>
      </c>
      <c r="Q543">
        <v>41767927.927927926</v>
      </c>
      <c r="R543">
        <v>46900045.045045048</v>
      </c>
      <c r="S543">
        <v>8941</v>
      </c>
      <c r="T543">
        <v>9005</v>
      </c>
    </row>
    <row r="544" spans="1:20" x14ac:dyDescent="0.35">
      <c r="A544" s="7" t="s">
        <v>633</v>
      </c>
      <c r="B544" s="12" t="s">
        <v>71</v>
      </c>
      <c r="C544">
        <v>3841356.5326040718</v>
      </c>
      <c r="D544">
        <v>3999515.4420061139</v>
      </c>
      <c r="E544">
        <v>40540.540540540998</v>
      </c>
      <c r="F544">
        <v>161261.26126126101</v>
      </c>
      <c r="G544">
        <v>2</v>
      </c>
      <c r="K544">
        <v>2</v>
      </c>
      <c r="M544">
        <v>40540.540540540998</v>
      </c>
      <c r="N544">
        <v>215315.31531531501</v>
      </c>
      <c r="O544">
        <v>2247972.9729729728</v>
      </c>
      <c r="P544">
        <v>2431891.8918918921</v>
      </c>
      <c r="Q544">
        <v>164864.864864865</v>
      </c>
      <c r="S544">
        <v>186</v>
      </c>
      <c r="T544">
        <v>193</v>
      </c>
    </row>
    <row r="545" spans="1:20" x14ac:dyDescent="0.35">
      <c r="A545" s="7" t="s">
        <v>634</v>
      </c>
      <c r="B545" s="12" t="s">
        <v>61</v>
      </c>
      <c r="C545">
        <v>39716243.78223715</v>
      </c>
      <c r="D545">
        <v>39638278.819832824</v>
      </c>
      <c r="E545">
        <v>110810.810810811</v>
      </c>
      <c r="F545">
        <v>345945.94594594702</v>
      </c>
      <c r="G545">
        <v>15</v>
      </c>
      <c r="H545">
        <v>2</v>
      </c>
      <c r="I545">
        <v>1</v>
      </c>
      <c r="K545">
        <v>16</v>
      </c>
      <c r="L545">
        <v>4</v>
      </c>
      <c r="M545">
        <v>1732432.432432432</v>
      </c>
      <c r="N545">
        <v>2688288.2882882878</v>
      </c>
      <c r="O545">
        <v>17463072.072072074</v>
      </c>
      <c r="P545">
        <v>15611657.657657659</v>
      </c>
      <c r="Q545">
        <v>256306.30630630601</v>
      </c>
      <c r="R545">
        <v>2152702.702702703</v>
      </c>
      <c r="S545">
        <v>1041</v>
      </c>
      <c r="T545">
        <v>1103</v>
      </c>
    </row>
    <row r="546" spans="1:20" x14ac:dyDescent="0.35">
      <c r="A546" s="7" t="s">
        <v>635</v>
      </c>
      <c r="B546" s="12" t="s">
        <v>81</v>
      </c>
      <c r="C546">
        <v>408686439.77182686</v>
      </c>
      <c r="D546">
        <v>423318855.87782007</v>
      </c>
      <c r="E546">
        <v>4312162.1621621652</v>
      </c>
      <c r="F546">
        <v>3754954.954954959</v>
      </c>
      <c r="G546">
        <v>60</v>
      </c>
      <c r="H546">
        <v>52</v>
      </c>
      <c r="I546">
        <v>1</v>
      </c>
      <c r="K546">
        <v>64</v>
      </c>
      <c r="L546">
        <v>70</v>
      </c>
      <c r="M546">
        <v>48207657.657657653</v>
      </c>
      <c r="N546">
        <v>57520720.720720723</v>
      </c>
      <c r="O546">
        <v>83580265.765765756</v>
      </c>
      <c r="P546">
        <v>86412648.648648649</v>
      </c>
      <c r="Q546">
        <v>43819279.279279277</v>
      </c>
      <c r="R546">
        <v>51391711.711711712</v>
      </c>
      <c r="S546">
        <v>6117</v>
      </c>
      <c r="T546">
        <v>7112</v>
      </c>
    </row>
    <row r="547" spans="1:20" x14ac:dyDescent="0.35">
      <c r="A547" s="7" t="s">
        <v>636</v>
      </c>
      <c r="B547" s="12" t="s">
        <v>135</v>
      </c>
      <c r="C547">
        <v>73851328.997806802</v>
      </c>
      <c r="D547">
        <v>78888165.707534686</v>
      </c>
      <c r="E547">
        <v>609909.90990991006</v>
      </c>
      <c r="G547">
        <v>17</v>
      </c>
      <c r="H547">
        <v>11</v>
      </c>
      <c r="K547">
        <v>18</v>
      </c>
      <c r="L547">
        <v>12</v>
      </c>
      <c r="M547">
        <v>8551351.3513513505</v>
      </c>
      <c r="N547">
        <v>1162162.1621621619</v>
      </c>
      <c r="O547">
        <v>4074000</v>
      </c>
      <c r="P547">
        <v>6022612.6126126125</v>
      </c>
      <c r="Q547">
        <v>6974504.5045045046</v>
      </c>
      <c r="R547">
        <v>870810.81081080996</v>
      </c>
      <c r="S547">
        <v>1413</v>
      </c>
      <c r="T547">
        <v>1730</v>
      </c>
    </row>
    <row r="548" spans="1:20" x14ac:dyDescent="0.35">
      <c r="A548" s="7" t="s">
        <v>637</v>
      </c>
      <c r="B548" s="12" t="s">
        <v>480</v>
      </c>
      <c r="C548">
        <v>221740822.53689063</v>
      </c>
      <c r="D548">
        <v>221814072.17316121</v>
      </c>
      <c r="E548">
        <v>42403603.603603609</v>
      </c>
      <c r="F548">
        <v>54223873.873873875</v>
      </c>
      <c r="G548">
        <v>74</v>
      </c>
      <c r="H548">
        <v>48</v>
      </c>
      <c r="K548">
        <v>82</v>
      </c>
      <c r="L548">
        <v>53</v>
      </c>
      <c r="M548">
        <v>60986422.522522531</v>
      </c>
      <c r="N548">
        <v>61182342.342342354</v>
      </c>
      <c r="O548">
        <v>79183162.162162155</v>
      </c>
      <c r="P548">
        <v>85675657.657657668</v>
      </c>
      <c r="Q548">
        <v>56543918.918918923</v>
      </c>
      <c r="R548">
        <v>67099684.684684694</v>
      </c>
      <c r="S548">
        <v>5719</v>
      </c>
      <c r="T548">
        <v>5700</v>
      </c>
    </row>
    <row r="549" spans="1:20" x14ac:dyDescent="0.35">
      <c r="A549" s="7" t="s">
        <v>638</v>
      </c>
      <c r="B549" s="12" t="s">
        <v>144</v>
      </c>
      <c r="C549">
        <v>377778603.37212569</v>
      </c>
      <c r="D549">
        <v>402613327.96468943</v>
      </c>
      <c r="E549">
        <v>3487387.3873873898</v>
      </c>
      <c r="F549">
        <v>2454054.054054061</v>
      </c>
      <c r="G549">
        <v>95</v>
      </c>
      <c r="H549">
        <v>32</v>
      </c>
      <c r="K549">
        <v>123</v>
      </c>
      <c r="L549">
        <v>37</v>
      </c>
      <c r="M549">
        <v>26797747.747747745</v>
      </c>
      <c r="N549">
        <v>28903603.603603605</v>
      </c>
      <c r="O549">
        <v>47457078.828828834</v>
      </c>
      <c r="P549">
        <v>49299927.927927926</v>
      </c>
      <c r="Q549">
        <v>21361531.531531531</v>
      </c>
      <c r="R549">
        <v>23593153.153153151</v>
      </c>
      <c r="S549">
        <v>9371</v>
      </c>
      <c r="T549">
        <v>9432</v>
      </c>
    </row>
    <row r="550" spans="1:20" x14ac:dyDescent="0.35">
      <c r="A550" s="7" t="s">
        <v>639</v>
      </c>
      <c r="B550" s="12" t="s">
        <v>242</v>
      </c>
      <c r="C550">
        <v>413259682.10240906</v>
      </c>
      <c r="D550">
        <v>411395553.79025316</v>
      </c>
      <c r="E550">
        <v>1974774.7747747761</v>
      </c>
      <c r="F550">
        <v>4760360.3603603607</v>
      </c>
      <c r="G550">
        <v>217</v>
      </c>
      <c r="H550">
        <v>185</v>
      </c>
      <c r="K550">
        <v>255</v>
      </c>
      <c r="L550">
        <v>217</v>
      </c>
      <c r="M550">
        <v>34650450.45045045</v>
      </c>
      <c r="N550">
        <v>39588018.018018022</v>
      </c>
      <c r="O550">
        <v>134431205.4054054</v>
      </c>
      <c r="P550">
        <v>147954315.31531534</v>
      </c>
      <c r="Q550">
        <v>29240720.72072072</v>
      </c>
      <c r="R550">
        <v>36113783.783783786</v>
      </c>
      <c r="S550">
        <v>12440</v>
      </c>
      <c r="T550">
        <v>14349</v>
      </c>
    </row>
    <row r="551" spans="1:20" x14ac:dyDescent="0.35">
      <c r="A551" s="7" t="s">
        <v>640</v>
      </c>
      <c r="B551" s="12" t="s">
        <v>133</v>
      </c>
      <c r="C551">
        <v>156326598.39248514</v>
      </c>
      <c r="D551">
        <v>165720435.80518362</v>
      </c>
      <c r="E551">
        <v>102702.702702703</v>
      </c>
      <c r="F551">
        <v>56756.756756757</v>
      </c>
      <c r="G551">
        <v>69</v>
      </c>
      <c r="H551">
        <v>58</v>
      </c>
      <c r="K551">
        <v>75</v>
      </c>
      <c r="L551">
        <v>68</v>
      </c>
      <c r="M551">
        <v>3560360.3603603612</v>
      </c>
      <c r="N551">
        <v>4152477.4774774779</v>
      </c>
      <c r="O551">
        <v>56808315.315315314</v>
      </c>
      <c r="P551">
        <v>59897187.387387395</v>
      </c>
      <c r="Q551">
        <v>3954144.1441441439</v>
      </c>
      <c r="R551">
        <v>4616441.441441441</v>
      </c>
      <c r="S551">
        <v>5687</v>
      </c>
      <c r="T551">
        <v>5531</v>
      </c>
    </row>
    <row r="552" spans="1:20" x14ac:dyDescent="0.35">
      <c r="A552" s="7" t="s">
        <v>641</v>
      </c>
      <c r="B552" s="12" t="s">
        <v>135</v>
      </c>
      <c r="C552">
        <v>476588016.30596864</v>
      </c>
      <c r="D552">
        <v>516230805.41647822</v>
      </c>
      <c r="E552">
        <v>1394594.5945945969</v>
      </c>
      <c r="F552">
        <v>3195495.4954955</v>
      </c>
      <c r="G552">
        <v>80</v>
      </c>
      <c r="H552">
        <v>66</v>
      </c>
      <c r="I552">
        <v>1</v>
      </c>
      <c r="K552">
        <v>85</v>
      </c>
      <c r="L552">
        <v>86</v>
      </c>
      <c r="M552">
        <v>40828648.648648649</v>
      </c>
      <c r="N552">
        <v>52507747.747747749</v>
      </c>
      <c r="O552">
        <v>63678221.621621624</v>
      </c>
      <c r="P552">
        <v>75508981.981981978</v>
      </c>
      <c r="Q552">
        <v>31402025.225225225</v>
      </c>
      <c r="R552">
        <v>42589009.009009011</v>
      </c>
      <c r="S552">
        <v>7294</v>
      </c>
      <c r="T552">
        <v>7583</v>
      </c>
    </row>
    <row r="553" spans="1:20" x14ac:dyDescent="0.35">
      <c r="A553" s="7" t="s">
        <v>642</v>
      </c>
      <c r="B553" s="12" t="s">
        <v>81</v>
      </c>
      <c r="C553">
        <v>252834807.67731553</v>
      </c>
      <c r="D553">
        <v>256613374.19305369</v>
      </c>
      <c r="E553">
        <v>1188288.2882882899</v>
      </c>
      <c r="F553">
        <v>1336036.0360360369</v>
      </c>
      <c r="G553">
        <v>46</v>
      </c>
      <c r="H553">
        <v>30</v>
      </c>
      <c r="K553">
        <v>61</v>
      </c>
      <c r="L553">
        <v>68</v>
      </c>
      <c r="M553">
        <v>26718918.918918919</v>
      </c>
      <c r="N553">
        <v>29221621.62162162</v>
      </c>
      <c r="O553">
        <v>91544029.729729727</v>
      </c>
      <c r="P553">
        <v>96134349.54954955</v>
      </c>
      <c r="Q553">
        <v>26389459.459459461</v>
      </c>
      <c r="R553">
        <v>28830090.090090089</v>
      </c>
      <c r="S553">
        <v>4992</v>
      </c>
      <c r="T553">
        <v>4971</v>
      </c>
    </row>
    <row r="554" spans="1:20" x14ac:dyDescent="0.35">
      <c r="A554" s="7" t="s">
        <v>643</v>
      </c>
      <c r="B554" s="12" t="s">
        <v>170</v>
      </c>
      <c r="C554">
        <v>415853739.068694</v>
      </c>
      <c r="D554">
        <v>446465382.36754811</v>
      </c>
      <c r="E554">
        <v>76427927.927927941</v>
      </c>
      <c r="F554">
        <v>249314414.41441441</v>
      </c>
      <c r="G554">
        <v>40</v>
      </c>
      <c r="H554">
        <v>53</v>
      </c>
      <c r="I554">
        <v>2</v>
      </c>
      <c r="K554">
        <v>43</v>
      </c>
      <c r="L554">
        <v>55</v>
      </c>
      <c r="M554">
        <v>46581546.846846849</v>
      </c>
      <c r="N554">
        <v>69672072.072072074</v>
      </c>
      <c r="O554">
        <v>149507261.26126125</v>
      </c>
      <c r="P554">
        <v>172814594.5945946</v>
      </c>
      <c r="Q554">
        <v>35940540.540540539</v>
      </c>
      <c r="R554">
        <v>38987477.477477483</v>
      </c>
      <c r="S554">
        <v>8762</v>
      </c>
      <c r="T554">
        <v>8777</v>
      </c>
    </row>
    <row r="555" spans="1:20" x14ac:dyDescent="0.35">
      <c r="A555" s="7" t="s">
        <v>644</v>
      </c>
      <c r="B555" s="12" t="s">
        <v>59</v>
      </c>
      <c r="C555">
        <v>711142213.35856307</v>
      </c>
      <c r="D555">
        <v>720236809.31627262</v>
      </c>
      <c r="E555">
        <v>7509909.9099099068</v>
      </c>
      <c r="F555">
        <v>8906306.3063063156</v>
      </c>
      <c r="G555">
        <v>200</v>
      </c>
      <c r="H555">
        <v>154</v>
      </c>
      <c r="K555">
        <v>229</v>
      </c>
      <c r="L555">
        <v>192</v>
      </c>
      <c r="M555">
        <v>51585135.135135129</v>
      </c>
      <c r="N555">
        <v>140713963.96396396</v>
      </c>
      <c r="O555">
        <v>148208734.23423424</v>
      </c>
      <c r="P555">
        <v>155259529.72972974</v>
      </c>
      <c r="Q555">
        <v>51999909.909909911</v>
      </c>
      <c r="R555">
        <v>148300000</v>
      </c>
      <c r="S555">
        <v>17429</v>
      </c>
      <c r="T555">
        <v>17575</v>
      </c>
    </row>
    <row r="556" spans="1:20" x14ac:dyDescent="0.35">
      <c r="A556" s="7" t="s">
        <v>645</v>
      </c>
      <c r="B556" s="12" t="s">
        <v>59</v>
      </c>
      <c r="C556">
        <v>891871643.83674765</v>
      </c>
      <c r="D556">
        <v>924050578.6121254</v>
      </c>
      <c r="E556">
        <v>243977121.62162164</v>
      </c>
      <c r="F556">
        <v>535753468.46846849</v>
      </c>
      <c r="G556">
        <v>813</v>
      </c>
      <c r="H556">
        <v>389</v>
      </c>
      <c r="I556">
        <v>1</v>
      </c>
      <c r="K556">
        <v>971</v>
      </c>
      <c r="L556">
        <v>582</v>
      </c>
      <c r="M556">
        <v>154404504.5045045</v>
      </c>
      <c r="N556">
        <v>269552252.25225228</v>
      </c>
      <c r="O556">
        <v>267360770.27027026</v>
      </c>
      <c r="P556">
        <v>268212572.97297296</v>
      </c>
      <c r="Q556">
        <v>137240270.27027026</v>
      </c>
      <c r="R556">
        <v>261768057.65765765</v>
      </c>
      <c r="S556">
        <v>22124</v>
      </c>
      <c r="T556">
        <v>22284</v>
      </c>
    </row>
    <row r="557" spans="1:20" x14ac:dyDescent="0.35">
      <c r="A557" s="7" t="s">
        <v>646</v>
      </c>
      <c r="B557" s="12" t="s">
        <v>308</v>
      </c>
      <c r="C557">
        <v>293672990.16378063</v>
      </c>
      <c r="D557">
        <v>281401854.01024866</v>
      </c>
      <c r="E557">
        <v>1857657.657657658</v>
      </c>
      <c r="F557">
        <v>1690990.990990991</v>
      </c>
      <c r="G557">
        <v>34</v>
      </c>
      <c r="H557">
        <v>26</v>
      </c>
      <c r="K557">
        <v>36</v>
      </c>
      <c r="L557">
        <v>29</v>
      </c>
      <c r="M557">
        <v>5545045.0450450452</v>
      </c>
      <c r="N557">
        <v>5709909.9099099096</v>
      </c>
      <c r="O557">
        <v>49198743.24324324</v>
      </c>
      <c r="P557">
        <v>52826761.261261262</v>
      </c>
      <c r="Q557">
        <v>5486036.036036036</v>
      </c>
      <c r="R557">
        <v>5468828.8288288284</v>
      </c>
      <c r="S557">
        <v>5169</v>
      </c>
      <c r="T557">
        <v>5209</v>
      </c>
    </row>
    <row r="558" spans="1:20" x14ac:dyDescent="0.35">
      <c r="A558" s="7" t="s">
        <v>13</v>
      </c>
      <c r="B558" s="12" t="s">
        <v>159</v>
      </c>
      <c r="C558">
        <v>333635254.4885838</v>
      </c>
      <c r="D558">
        <v>316268505.82933658</v>
      </c>
      <c r="E558">
        <v>3113513.5135135199</v>
      </c>
      <c r="F558">
        <v>1823423.4234234269</v>
      </c>
      <c r="G558">
        <v>80</v>
      </c>
      <c r="H558">
        <v>93</v>
      </c>
      <c r="K558">
        <v>258</v>
      </c>
      <c r="L558">
        <v>408</v>
      </c>
      <c r="M558">
        <v>72125855.855855852</v>
      </c>
      <c r="N558">
        <v>69462612.61261262</v>
      </c>
      <c r="O558">
        <v>193364639.63963965</v>
      </c>
      <c r="P558">
        <v>186076495.4954955</v>
      </c>
      <c r="Q558">
        <v>69363016.216216221</v>
      </c>
      <c r="R558">
        <v>75444234.234234244</v>
      </c>
      <c r="S558">
        <v>7070</v>
      </c>
      <c r="T558">
        <v>7176</v>
      </c>
    </row>
    <row r="559" spans="1:20" x14ac:dyDescent="0.35">
      <c r="A559" s="7" t="s">
        <v>647</v>
      </c>
      <c r="B559" s="12" t="s">
        <v>122</v>
      </c>
      <c r="C559">
        <v>227679943.18868393</v>
      </c>
      <c r="D559">
        <v>230764235.33056295</v>
      </c>
      <c r="E559">
        <v>149549.54954954999</v>
      </c>
      <c r="F559">
        <v>54054.054054054999</v>
      </c>
      <c r="G559">
        <v>49</v>
      </c>
      <c r="H559">
        <v>60</v>
      </c>
      <c r="K559">
        <v>55</v>
      </c>
      <c r="L559">
        <v>61</v>
      </c>
      <c r="M559">
        <v>1144144.1441441439</v>
      </c>
      <c r="N559">
        <v>774774.77477477503</v>
      </c>
      <c r="O559">
        <v>19306236.486486487</v>
      </c>
      <c r="P559">
        <v>23122232.432432432</v>
      </c>
      <c r="Q559">
        <v>1008468.468468469</v>
      </c>
      <c r="R559">
        <v>778378.37837837799</v>
      </c>
      <c r="S559">
        <v>3168</v>
      </c>
      <c r="T559">
        <v>3600</v>
      </c>
    </row>
    <row r="560" spans="1:20" x14ac:dyDescent="0.35">
      <c r="A560" s="7" t="s">
        <v>648</v>
      </c>
      <c r="B560" s="12" t="s">
        <v>316</v>
      </c>
      <c r="C560">
        <v>82158717.605543584</v>
      </c>
      <c r="D560">
        <v>72436761.829603836</v>
      </c>
      <c r="E560">
        <v>1326126.1261261259</v>
      </c>
      <c r="F560">
        <v>1308108.10810811</v>
      </c>
      <c r="G560">
        <v>37</v>
      </c>
      <c r="H560">
        <v>10</v>
      </c>
      <c r="K560">
        <v>42</v>
      </c>
      <c r="L560">
        <v>11</v>
      </c>
      <c r="M560">
        <v>13956756.756756756</v>
      </c>
      <c r="N560">
        <v>22831081.081081081</v>
      </c>
      <c r="O560">
        <v>20980054.054054055</v>
      </c>
      <c r="P560">
        <v>20245333.333333336</v>
      </c>
      <c r="Q560">
        <v>15779009.009009009</v>
      </c>
      <c r="R560">
        <v>19482072.072072074</v>
      </c>
      <c r="S560">
        <v>1296</v>
      </c>
      <c r="T560">
        <v>1347</v>
      </c>
    </row>
    <row r="561" spans="1:20" x14ac:dyDescent="0.35">
      <c r="A561" s="7" t="s">
        <v>649</v>
      </c>
      <c r="B561" s="12" t="s">
        <v>261</v>
      </c>
      <c r="C561">
        <v>209909792.16355991</v>
      </c>
      <c r="D561">
        <v>227163653.48463759</v>
      </c>
      <c r="E561">
        <v>79630855.855855852</v>
      </c>
      <c r="F561">
        <v>42077477.477477483</v>
      </c>
      <c r="G561">
        <v>65</v>
      </c>
      <c r="H561">
        <v>48</v>
      </c>
      <c r="K561">
        <v>69</v>
      </c>
      <c r="L561">
        <v>50</v>
      </c>
      <c r="M561">
        <v>43141441.441441439</v>
      </c>
      <c r="N561">
        <v>42769369.369369365</v>
      </c>
      <c r="O561">
        <v>68042693.693693697</v>
      </c>
      <c r="P561">
        <v>78915540.540540546</v>
      </c>
      <c r="Q561">
        <v>41714594.59459459</v>
      </c>
      <c r="R561">
        <v>46974144.144144148</v>
      </c>
      <c r="S561">
        <v>4168</v>
      </c>
      <c r="T561">
        <v>4668</v>
      </c>
    </row>
    <row r="562" spans="1:20" x14ac:dyDescent="0.35">
      <c r="A562" s="7" t="s">
        <v>650</v>
      </c>
      <c r="B562" s="12" t="s">
        <v>225</v>
      </c>
      <c r="C562">
        <v>200802036.45081863</v>
      </c>
      <c r="D562">
        <v>243457091.19587833</v>
      </c>
      <c r="E562">
        <v>124065540.54054055</v>
      </c>
      <c r="F562">
        <v>158952252.25225225</v>
      </c>
      <c r="G562">
        <v>57</v>
      </c>
      <c r="H562">
        <v>68</v>
      </c>
      <c r="K562">
        <v>67</v>
      </c>
      <c r="L562">
        <v>91</v>
      </c>
      <c r="M562">
        <v>22455090.090090092</v>
      </c>
      <c r="N562">
        <v>29630630.630630631</v>
      </c>
      <c r="O562">
        <v>47082693.693693697</v>
      </c>
      <c r="P562">
        <v>60814846.846846849</v>
      </c>
      <c r="Q562">
        <v>18408198.198198199</v>
      </c>
      <c r="R562">
        <v>23373423.423423424</v>
      </c>
      <c r="S562">
        <v>5433</v>
      </c>
      <c r="T562">
        <v>6387</v>
      </c>
    </row>
    <row r="563" spans="1:20" x14ac:dyDescent="0.35">
      <c r="A563" s="7" t="s">
        <v>651</v>
      </c>
      <c r="B563" s="12" t="s">
        <v>225</v>
      </c>
      <c r="C563">
        <v>161863016.4148331</v>
      </c>
      <c r="D563">
        <v>194847892.45368272</v>
      </c>
      <c r="E563">
        <v>63963.963963964998</v>
      </c>
      <c r="F563">
        <v>75675.675675676001</v>
      </c>
      <c r="G563">
        <v>33</v>
      </c>
      <c r="H563">
        <v>36</v>
      </c>
      <c r="K563">
        <v>36</v>
      </c>
      <c r="L563">
        <v>38</v>
      </c>
      <c r="M563">
        <v>7134234.2342342334</v>
      </c>
      <c r="N563">
        <v>14176576.576576576</v>
      </c>
      <c r="O563">
        <v>23453684.684684683</v>
      </c>
      <c r="P563">
        <v>32264432.432432432</v>
      </c>
      <c r="Q563">
        <v>6937117.1171171162</v>
      </c>
      <c r="R563">
        <v>12083603.603603603</v>
      </c>
      <c r="S563">
        <v>2984</v>
      </c>
      <c r="T563">
        <v>3160</v>
      </c>
    </row>
    <row r="564" spans="1:20" x14ac:dyDescent="0.35">
      <c r="A564" s="7" t="s">
        <v>652</v>
      </c>
      <c r="B564" s="12" t="s">
        <v>225</v>
      </c>
      <c r="C564">
        <v>626266623.16498053</v>
      </c>
      <c r="D564">
        <v>723491232.13184023</v>
      </c>
      <c r="E564">
        <v>194374821.62162164</v>
      </c>
      <c r="F564">
        <v>273744063.06306309</v>
      </c>
      <c r="G564">
        <v>238</v>
      </c>
      <c r="H564">
        <v>250</v>
      </c>
      <c r="K564">
        <v>391</v>
      </c>
      <c r="L564">
        <v>335</v>
      </c>
      <c r="M564">
        <v>130095135.13513513</v>
      </c>
      <c r="N564">
        <v>143060720.72072071</v>
      </c>
      <c r="O564">
        <v>157626963.96396396</v>
      </c>
      <c r="P564">
        <v>189960998.1981982</v>
      </c>
      <c r="Q564">
        <v>110554144.14414415</v>
      </c>
      <c r="R564">
        <v>126162972.97297297</v>
      </c>
      <c r="S564">
        <v>18145</v>
      </c>
      <c r="T564">
        <v>18923</v>
      </c>
    </row>
    <row r="565" spans="1:20" x14ac:dyDescent="0.35">
      <c r="A565" s="7" t="s">
        <v>653</v>
      </c>
      <c r="B565" s="12" t="s">
        <v>225</v>
      </c>
      <c r="C565">
        <v>76203646.692341387</v>
      </c>
      <c r="D565">
        <v>91693200.279285789</v>
      </c>
      <c r="E565">
        <v>207207.207207208</v>
      </c>
      <c r="F565">
        <v>95495.495495495998</v>
      </c>
      <c r="G565">
        <v>19</v>
      </c>
      <c r="H565">
        <v>20</v>
      </c>
      <c r="K565">
        <v>21</v>
      </c>
      <c r="L565">
        <v>21</v>
      </c>
      <c r="M565">
        <v>1648648.6486486481</v>
      </c>
      <c r="N565">
        <v>3279279.2792792791</v>
      </c>
      <c r="O565">
        <v>12436927.927927928</v>
      </c>
      <c r="P565">
        <v>16917655.855855856</v>
      </c>
      <c r="Q565">
        <v>1386936.9369369361</v>
      </c>
      <c r="R565">
        <v>1836666.666666667</v>
      </c>
      <c r="S565">
        <v>1686</v>
      </c>
      <c r="T565">
        <v>1893</v>
      </c>
    </row>
    <row r="566" spans="1:20" x14ac:dyDescent="0.35">
      <c r="A566" s="7" t="s">
        <v>654</v>
      </c>
      <c r="B566" s="12" t="s">
        <v>97</v>
      </c>
      <c r="C566">
        <v>399329703.67982394</v>
      </c>
      <c r="D566">
        <v>387641361.16183484</v>
      </c>
      <c r="E566">
        <v>782882.88288288505</v>
      </c>
      <c r="F566">
        <v>1709009.0090090081</v>
      </c>
      <c r="G566">
        <v>208</v>
      </c>
      <c r="H566">
        <v>104</v>
      </c>
      <c r="K566">
        <v>223</v>
      </c>
      <c r="L566">
        <v>124</v>
      </c>
      <c r="M566">
        <v>9642342.3423423432</v>
      </c>
      <c r="N566">
        <v>18472972.97297297</v>
      </c>
      <c r="O566">
        <v>54837558.558558561</v>
      </c>
      <c r="P566">
        <v>51730549.54954955</v>
      </c>
      <c r="Q566">
        <v>7825315.3153153164</v>
      </c>
      <c r="R566">
        <v>14355585.585585587</v>
      </c>
      <c r="S566">
        <v>8646</v>
      </c>
      <c r="T566">
        <v>8191</v>
      </c>
    </row>
    <row r="567" spans="1:20" x14ac:dyDescent="0.35">
      <c r="A567" s="7" t="s">
        <v>655</v>
      </c>
      <c r="B567" s="12" t="s">
        <v>67</v>
      </c>
      <c r="C567">
        <v>247379333.09472299</v>
      </c>
      <c r="D567">
        <v>231413289.773532</v>
      </c>
      <c r="E567">
        <v>6323423.4234234244</v>
      </c>
      <c r="F567">
        <v>4825225.2252252242</v>
      </c>
      <c r="G567">
        <v>88</v>
      </c>
      <c r="H567">
        <v>60</v>
      </c>
      <c r="K567">
        <v>98</v>
      </c>
      <c r="L567">
        <v>61</v>
      </c>
      <c r="M567">
        <v>85811711.711711705</v>
      </c>
      <c r="N567">
        <v>72723828.828828827</v>
      </c>
      <c r="O567">
        <v>161632450.45045045</v>
      </c>
      <c r="P567">
        <v>153353873.87387389</v>
      </c>
      <c r="Q567">
        <v>78619549.54954955</v>
      </c>
      <c r="R567">
        <v>73924099.0990991</v>
      </c>
      <c r="S567">
        <v>5515</v>
      </c>
      <c r="T567">
        <v>5357</v>
      </c>
    </row>
    <row r="568" spans="1:20" x14ac:dyDescent="0.35">
      <c r="A568" s="7" t="s">
        <v>656</v>
      </c>
      <c r="B568" s="12" t="s">
        <v>69</v>
      </c>
      <c r="C568">
        <v>388349238.91369814</v>
      </c>
      <c r="D568">
        <v>400191160.40976131</v>
      </c>
      <c r="E568">
        <v>1006306.306306307</v>
      </c>
      <c r="F568">
        <v>464864.864864868</v>
      </c>
      <c r="G568">
        <v>67</v>
      </c>
      <c r="H568">
        <v>42</v>
      </c>
      <c r="I568">
        <v>1</v>
      </c>
      <c r="K568">
        <v>72</v>
      </c>
      <c r="L568">
        <v>50</v>
      </c>
      <c r="M568">
        <v>16062698.198198197</v>
      </c>
      <c r="N568">
        <v>25209009.009009011</v>
      </c>
      <c r="O568">
        <v>53051297.297297299</v>
      </c>
      <c r="P568">
        <v>60261792.79279279</v>
      </c>
      <c r="Q568">
        <v>13371351.351351352</v>
      </c>
      <c r="R568">
        <v>18005225.225225225</v>
      </c>
      <c r="S568">
        <v>6340</v>
      </c>
      <c r="T568">
        <v>7025</v>
      </c>
    </row>
    <row r="569" spans="1:20" x14ac:dyDescent="0.35">
      <c r="A569" s="7" t="s">
        <v>14</v>
      </c>
      <c r="B569" s="12" t="s">
        <v>159</v>
      </c>
      <c r="C569">
        <v>169745476.28742221</v>
      </c>
      <c r="D569">
        <v>173839078.45874903</v>
      </c>
      <c r="E569">
        <v>933333.33333333698</v>
      </c>
      <c r="F569">
        <v>602702.702702704</v>
      </c>
      <c r="G569">
        <v>27</v>
      </c>
      <c r="H569">
        <v>23</v>
      </c>
      <c r="K569">
        <v>29</v>
      </c>
      <c r="L569">
        <v>26</v>
      </c>
      <c r="M569">
        <v>36453153.153153151</v>
      </c>
      <c r="N569">
        <v>27848198.198198199</v>
      </c>
      <c r="O569">
        <v>57646441.441441439</v>
      </c>
      <c r="P569">
        <v>61266927.927927926</v>
      </c>
      <c r="Q569">
        <v>39621081.081081077</v>
      </c>
      <c r="R569">
        <v>25344954.954954956</v>
      </c>
      <c r="S569">
        <v>3907</v>
      </c>
      <c r="T569">
        <v>3964</v>
      </c>
    </row>
    <row r="570" spans="1:20" x14ac:dyDescent="0.35">
      <c r="A570" s="7" t="s">
        <v>657</v>
      </c>
      <c r="B570" s="12" t="s">
        <v>305</v>
      </c>
      <c r="C570">
        <v>184588637.57954469</v>
      </c>
      <c r="D570">
        <v>188922647.836687</v>
      </c>
      <c r="E570">
        <v>686486.48648648395</v>
      </c>
      <c r="F570">
        <v>619819.81981982396</v>
      </c>
      <c r="G570">
        <v>213</v>
      </c>
      <c r="H570">
        <v>45</v>
      </c>
      <c r="K570">
        <v>230</v>
      </c>
      <c r="L570">
        <v>47</v>
      </c>
      <c r="M570">
        <v>30401801.801801801</v>
      </c>
      <c r="N570">
        <v>33232432.432432432</v>
      </c>
      <c r="O570">
        <v>53736896.396396399</v>
      </c>
      <c r="P570">
        <v>59343414.414414413</v>
      </c>
      <c r="Q570">
        <v>28030900.9009009</v>
      </c>
      <c r="R570">
        <v>28794414.414414417</v>
      </c>
      <c r="S570">
        <v>3063</v>
      </c>
      <c r="T570">
        <v>3109</v>
      </c>
    </row>
    <row r="571" spans="1:20" x14ac:dyDescent="0.35">
      <c r="A571" s="7" t="s">
        <v>658</v>
      </c>
      <c r="B571" s="12" t="s">
        <v>49</v>
      </c>
      <c r="C571">
        <v>224141436.74085787</v>
      </c>
      <c r="D571">
        <v>221427388.17389178</v>
      </c>
      <c r="E571">
        <v>1551351.3513513519</v>
      </c>
      <c r="F571">
        <v>3071171.1711711749</v>
      </c>
      <c r="G571">
        <v>65</v>
      </c>
      <c r="H571">
        <v>11</v>
      </c>
      <c r="K571">
        <v>131</v>
      </c>
      <c r="L571">
        <v>13</v>
      </c>
      <c r="M571">
        <v>53141801.801801801</v>
      </c>
      <c r="N571">
        <v>18058558.558558557</v>
      </c>
      <c r="O571">
        <v>71795918.918918923</v>
      </c>
      <c r="P571">
        <v>71521926.126126125</v>
      </c>
      <c r="Q571">
        <v>50287657.657657653</v>
      </c>
      <c r="R571">
        <v>18715135.135135137</v>
      </c>
      <c r="S571">
        <v>3295</v>
      </c>
      <c r="T571">
        <v>3140</v>
      </c>
    </row>
    <row r="572" spans="1:20" x14ac:dyDescent="0.35">
      <c r="A572" s="7" t="s">
        <v>659</v>
      </c>
      <c r="B572" s="12" t="s">
        <v>55</v>
      </c>
      <c r="C572">
        <v>74382632.2452977</v>
      </c>
      <c r="D572">
        <v>76038480.74658598</v>
      </c>
      <c r="E572">
        <v>595495.49549549597</v>
      </c>
      <c r="F572">
        <v>2779279.2792792791</v>
      </c>
      <c r="G572">
        <v>1</v>
      </c>
      <c r="H572">
        <v>14</v>
      </c>
      <c r="K572">
        <v>1</v>
      </c>
      <c r="L572">
        <v>21</v>
      </c>
      <c r="M572">
        <v>6378378.3783783792</v>
      </c>
      <c r="N572">
        <v>9211711.7117117122</v>
      </c>
      <c r="O572">
        <v>17364009.009009007</v>
      </c>
      <c r="P572">
        <v>18409342.342342343</v>
      </c>
      <c r="Q572">
        <v>5613333.333333334</v>
      </c>
      <c r="R572">
        <v>6970540.5405405406</v>
      </c>
      <c r="S572">
        <v>1570</v>
      </c>
      <c r="T572">
        <v>1579</v>
      </c>
    </row>
    <row r="573" spans="1:20" x14ac:dyDescent="0.35">
      <c r="A573" s="7" t="s">
        <v>660</v>
      </c>
      <c r="B573" s="12" t="s">
        <v>51</v>
      </c>
      <c r="C573">
        <v>325707672.38611281</v>
      </c>
      <c r="D573">
        <v>340446809.09825724</v>
      </c>
      <c r="E573">
        <v>1651351.3513513559</v>
      </c>
      <c r="F573">
        <v>1520720.720720723</v>
      </c>
      <c r="G573">
        <v>60</v>
      </c>
      <c r="H573">
        <v>16</v>
      </c>
      <c r="K573">
        <v>82</v>
      </c>
      <c r="L573">
        <v>19</v>
      </c>
      <c r="M573">
        <v>86497927.927927941</v>
      </c>
      <c r="N573">
        <v>63082792.79279279</v>
      </c>
      <c r="O573">
        <v>164110135.13513514</v>
      </c>
      <c r="P573">
        <v>174707495.4954955</v>
      </c>
      <c r="Q573">
        <v>78835135.135135129</v>
      </c>
      <c r="R573">
        <v>66077567.567567565</v>
      </c>
      <c r="S573">
        <v>5886</v>
      </c>
      <c r="T573">
        <v>5755</v>
      </c>
    </row>
    <row r="574" spans="1:20" x14ac:dyDescent="0.35">
      <c r="A574" s="7" t="s">
        <v>661</v>
      </c>
      <c r="B574" s="12" t="s">
        <v>84</v>
      </c>
      <c r="C574">
        <v>397677261.4063766</v>
      </c>
      <c r="D574">
        <v>389701792.50839347</v>
      </c>
      <c r="E574">
        <v>3051143.2432432421</v>
      </c>
      <c r="F574">
        <v>3830630.630630631</v>
      </c>
      <c r="G574">
        <v>112</v>
      </c>
      <c r="H574">
        <v>115</v>
      </c>
      <c r="K574">
        <v>130</v>
      </c>
      <c r="L574">
        <v>136</v>
      </c>
      <c r="M574">
        <v>59551713.513513513</v>
      </c>
      <c r="N574">
        <v>45068243.24324324</v>
      </c>
      <c r="O574">
        <v>102419054.05405405</v>
      </c>
      <c r="P574">
        <v>108633958.55855855</v>
      </c>
      <c r="Q574">
        <v>35224639.639639638</v>
      </c>
      <c r="R574">
        <v>40915854.054054059</v>
      </c>
      <c r="S574">
        <v>8688</v>
      </c>
      <c r="T574">
        <v>9044</v>
      </c>
    </row>
    <row r="575" spans="1:20" x14ac:dyDescent="0.35">
      <c r="A575" s="16" t="s">
        <v>662</v>
      </c>
      <c r="B575" s="14"/>
      <c r="C575" s="17">
        <v>165077903080.78256</v>
      </c>
      <c r="D575" s="17">
        <v>166787947532.75107</v>
      </c>
      <c r="E575" s="17">
        <v>38380562584.6847</v>
      </c>
      <c r="F575" s="17">
        <v>42457018647.747734</v>
      </c>
      <c r="G575" s="17">
        <v>59093</v>
      </c>
      <c r="H575" s="17">
        <v>45288</v>
      </c>
      <c r="I575" s="17">
        <v>513</v>
      </c>
      <c r="J575" s="17"/>
      <c r="K575" s="17">
        <v>83686</v>
      </c>
      <c r="L575" s="17">
        <v>66905</v>
      </c>
      <c r="M575" s="17">
        <v>35788876009.00901</v>
      </c>
      <c r="N575" s="17">
        <v>37481004610.810814</v>
      </c>
      <c r="O575" s="17">
        <v>49667870019.819824</v>
      </c>
      <c r="P575" s="17">
        <v>53806458061.261261</v>
      </c>
      <c r="Q575" s="17">
        <v>26357094664.864845</v>
      </c>
      <c r="R575" s="17">
        <v>29162222445.04504</v>
      </c>
      <c r="S575" s="17">
        <v>3651263</v>
      </c>
      <c r="T575" s="17">
        <v>3748831</v>
      </c>
    </row>
    <row r="576" spans="1:20" x14ac:dyDescent="0.35">
      <c r="A576" s="13" t="s">
        <v>662</v>
      </c>
      <c r="B576" s="14"/>
      <c r="C576" s="15">
        <v>128271665346.12497</v>
      </c>
      <c r="D576" s="15">
        <v>132158564620.26212</v>
      </c>
      <c r="E576" s="15">
        <v>27114972049.549534</v>
      </c>
      <c r="F576" s="15">
        <v>30432270579.279301</v>
      </c>
      <c r="G576" s="15">
        <v>40621</v>
      </c>
      <c r="H576" s="15">
        <v>31716</v>
      </c>
      <c r="I576" s="15">
        <v>416</v>
      </c>
      <c r="J576" s="15"/>
      <c r="K576" s="15">
        <v>57338</v>
      </c>
      <c r="L576" s="15">
        <v>49355</v>
      </c>
      <c r="M576" s="15">
        <v>26584693067.56757</v>
      </c>
      <c r="N576" s="15">
        <v>28771765740.540546</v>
      </c>
      <c r="O576" s="15">
        <v>38177585445.045029</v>
      </c>
      <c r="P576" s="15">
        <v>42169923271.171188</v>
      </c>
      <c r="Q576" s="15">
        <v>18703835405.405399</v>
      </c>
      <c r="R576" s="15">
        <v>21162554133.333317</v>
      </c>
      <c r="S576" s="15">
        <v>3721019</v>
      </c>
      <c r="T576" s="15">
        <v>3745925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2026-08-01T16:49:51Z</dcterms:created>
  <dcterms:modified xsi:type="dcterms:W3CDTF">2026-08-24T10:00:34Z</dcterms:modified>
</cp:coreProperties>
</file>