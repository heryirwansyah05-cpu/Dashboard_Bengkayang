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7" i="1" l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<sst xmlns="http://schemas.openxmlformats.org/spreadsheetml/2006/main" count="1236" uniqueCount="678">
  <si>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</si>
  <si>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</si>
  <si>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</si>
  <si>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</si>
  <si>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</si>
  <si>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</si>
  <si>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</si>
  <si>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</si>
  <si>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</si>
  <si>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</si>
  <si>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</si>
  <si>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</si>
  <si>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</si>
  <si>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</si>
  <si>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</si>
  <si>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</si>
  <si>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</si>
  <si>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</si>
  <si>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</si>
  <si>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</si>
  <si>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</si>
  <si>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</si>
  <si>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</si>
  <si>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</si>
  <si>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</si>
  <si>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</si>
  <si>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</si>
  <si>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</si>
  <si>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</si>
  <si>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</si>
  <si>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</si>
  <si>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</si>
  <si>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</si>
  <si>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</si>
  <si>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</si>
  <si>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</si>
  <si>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</si>
  <si>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</si>
  <si>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</si>
  <si>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</si>
  <si>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</si>
  <si>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 FWA ALL CHANNEL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</si>
  <si>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</si>
  <si>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</si>
  <si>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</si>
  <si>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</si>
  <si>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</si>
  <si>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</si>
  <si>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</si>
  <si>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</si>
  <si>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</si>
  <si>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</si>
  <si>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</si>
  <si>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</si>
  <si>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</si>
  <si>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</si>
  <si>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</si>
  <si>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</si>
  <si>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</si>
  <si>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</si>
  <si>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</si>
  <si>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</si>
  <si>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</si>
  <si>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</si>
  <si>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</si>
  <si>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</si>
  <si>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</si>
  <si>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</si>
  <si>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</si>
  <si>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</si>
  <si>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</si>
  <si>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</si>
  <si>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</si>
  <si>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</si>
  <si>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</si>
  <si>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</si>
  <si>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</si>
  <si>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</si>
  <si>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</si>
  <si>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</si>
  <si>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</si>
  <si>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</si>
  <si>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</si>
  <si>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</si>
  <si>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</si>
  <si>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</si>
  <si>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</si>
  <si>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</si>
  <si>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</si>
  <si>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</si>
  <si>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</si>
  <si>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</si>
  <si>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</si>
  <si>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</si>
  <si>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</si>
  <si>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</si>
  <si>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</si>
  <si>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</si>
  <si>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</si>
  <si>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</si>
  <si>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</si>
  <si>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</si>
  <si>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</si>
  <si>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</si>
  <si>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</si>
  <si>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</si>
  <si>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</si>
  <si>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</si>
  <si>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</si>
  <si>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</si>
  <si>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</si>
  <si>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</si>
  <si>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</si>
  <si>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</si>
  <si>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</si>
  <si>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</si>
  <si>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</si>
  <si>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</si>
  <si>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</si>
  <si>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</si>
  <si>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</si>
  <si>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</si>
  <si>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</si>
  <si>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</si>
  <si>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</si>
  <si>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</si>
  <si>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</si>
  <si>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</si>
  <si>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</si>
  <si>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</si>
  <si>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</si>
  <si>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</si>
  <si>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</si>
  <si>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</si>
  <si>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</si>
  <si>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</si>
  <si>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</si>
  <si>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</si>
  <si>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</si>
  <si>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</si>
  <si>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</si>
  <si>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</si>
  <si>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</si>
  <si>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</si>
  <si>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</si>
  <si>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</si>
  <si>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</si>
  <si>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</si>
  <si>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</si>
  <si>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</si>
  <si>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</si>
  <si>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</si>
  <si>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</si>
  <si>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</si>
  <si>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</si>
  <si>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</si>
  <si>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</si>
  <si>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</si>
  <si>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</si>
  <si>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</si>
  <si>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</si>
  <si>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</si>
  <si>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</si>
  <si>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</si>
  <si>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</si>
  <si>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</si>
  <si>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</si>
  <si>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</si>
  <si>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</si>
  <si>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</si>
  <si>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</si>
  <si>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</si>
  <si>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</si>
  <si>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</si>
  <si>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</si>
  <si>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</si>
  <si>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</si>
  <si>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</si>
  <si>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</si>
  <si>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</si>
  <si>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</si>
  <si>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</si>
  <si>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</si>
  <si>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BUKIT SANTUAI|KOTAWARINGIN TIMUR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</si>
  <si>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</si>
  <si>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</si>
  <si>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</si>
  <si>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</si>
  <si>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</si>
  <si>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</si>
  <si>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</si>
  <si>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</si>
  <si>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</si>
  <si>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</si>
  <si>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</si>
  <si>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</si>
  <si>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</si>
  <si>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</si>
  <si>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</si>
  <si>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</si>
  <si>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</si>
  <si>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</si>
  <si>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</si>
  <si>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</si>
  <si>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</si>
  <si>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</si>
  <si>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</si>
  <si>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</si>
  <si>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</si>
  <si>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</si>
  <si>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</si>
  <si>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</si>
  <si>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</si>
  <si>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</si>
  <si>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</si>
  <si>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</si>
  <si>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</si>
  <si>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</si>
  <si>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</si>
  <si>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</si>
  <si>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</si>
  <si>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</si>
  <si>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</si>
  <si>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</si>
  <si>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</si>
  <si>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</si>
  <si>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</si>
  <si>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</si>
  <si>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</si>
  <si>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</si>
  <si>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</si>
  <si>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</si>
  <si>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</si>
  <si>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</si>
  <si>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</si>
  <si>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</si>
  <si>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</si>
  <si>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</si>
  <si>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</si>
  <si>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</si>
  <si>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</si>
  <si>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</si>
  <si>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</si>
  <si>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</si>
  <si>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</si>
  <si>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</si>
  <si>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</si>
  <si>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</si>
  <si>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</si>
  <si>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</si>
  <si>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</si>
  <si>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</si>
  <si>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</si>
  <si>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</si>
  <si>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</si>
  <si>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</si>
  <si>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</si>
  <si>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</si>
  <si>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</si>
  <si>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</si>
  <si>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</si>
  <si>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</si>
  <si>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</si>
  <si>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</si>
  <si>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</si>
  <si>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</si>
  <si>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</si>
  <si>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</si>
  <si>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</si>
  <si>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</si>
  <si>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</si>
  <si>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</si>
  <si>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</si>
  <si>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</si>
  <si>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</si>
  <si>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</si>
  <si>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</si>
  <si>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</si>
  <si>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</si>
  <si>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</si>
  <si>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</si>
  <si>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</si>
  <si>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</si>
  <si>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</si>
  <si>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</si>
  <si>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</si>
  <si>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</si>
  <si>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</si>
  <si>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</si>
  <si>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</si>
  <si>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</si>
  <si>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</si>
  <si>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</si>
  <si>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</si>
  <si>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</si>
  <si>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</si>
  <si>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</si>
  <si>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</si>
  <si>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</si>
  <si>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</si>
  <si>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</si>
  <si>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</si>
  <si>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</si>
  <si>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</si>
  <si>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</si>
  <si>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</si>
  <si>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</si>
  <si>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</si>
  <si>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</si>
  <si>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</si>
  <si>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</si>
  <si>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</si>
  <si>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</si>
  <si>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</si>
  <si>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</si>
  <si>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</si>
  <si>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</si>
  <si>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</si>
  <si>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</si>
  <si>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</si>
  <si>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</si>
  <si>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</si>
  <si>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</si>
  <si>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</si>
  <si>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</si>
  <si>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</si>
  <si>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</si>
  <si>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</si>
  <si>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</si>
  <si>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</si>
  <si>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</si>
  <si>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</si>
  <si>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</si>
  <si>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</si>
  <si>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</si>
  <si>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</si>
  <si>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</si>
  <si>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</si>
  <si>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</si>
  <si>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</si>
  <si>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</si>
  <si>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</si>
  <si>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</si>
  <si>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</si>
  <si>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</si>
  <si>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</si>
  <si>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</si>
  <si>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</si>
  <si>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</si>
  <si>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</si>
  <si>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</si>
  <si>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</si>
  <si>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</si>
  <si>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</si>
  <si>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</si>
  <si>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</si>
  <si>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</si>
  <si>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</si>
  <si>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</si>
  <si>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</si>
  <si>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</si>
  <si>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</si>
  <si>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</si>
  <si>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</si>
  <si>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MARATUA|BERAU</t>
  </si>
  <si>
    <t>MARAU|KETAPANG</t>
  </si>
  <si>
    <t>MARIKIT|KATINGAN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</si>
  <si>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</si>
  <si>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</si>
  <si>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</si>
  <si>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</si>
  <si>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</si>
  <si>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</si>
  <si>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</si>
  <si>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</si>
  <si>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</si>
  <si>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</si>
  <si>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</si>
  <si>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</si>
  <si>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</si>
  <si>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</si>
  <si>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</si>
  <si>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</si>
  <si>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</si>
  <si>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</si>
  <si>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</si>
  <si>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</si>
  <si>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</si>
  <si>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</si>
  <si>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</si>
  <si>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</si>
  <si>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</si>
  <si>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</si>
  <si>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</si>
  <si>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</si>
  <si>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</si>
  <si>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</si>
  <si>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</si>
  <si>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</si>
  <si>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</si>
  <si>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</si>
  <si>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</si>
  <si>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</si>
  <si>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</si>
  <si>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</si>
  <si>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</si>
  <si>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</si>
  <si>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</si>
  <si>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</si>
  <si>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</si>
  <si>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</si>
  <si>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</si>
  <si>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</si>
  <si>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</si>
  <si>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</si>
  <si>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</si>
  <si>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</si>
  <si>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</si>
  <si>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</si>
  <si>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</si>
  <si>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</si>
  <si>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</si>
  <si>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</si>
  <si>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</si>
  <si>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</si>
  <si>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</si>
  <si>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</si>
  <si>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</si>
  <si>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</si>
  <si>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</si>
  <si>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</si>
  <si>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</si>
  <si>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</si>
  <si>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</si>
  <si>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</si>
  <si>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</si>
  <si>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</si>
  <si>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</si>
  <si>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</si>
  <si>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</si>
  <si>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</si>
  <si>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</si>
  <si>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</si>
  <si>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</si>
  <si>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</si>
  <si>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</si>
  <si>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</si>
  <si>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</si>
  <si>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</si>
  <si>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</si>
  <si>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</si>
  <si>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</si>
  <si>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</si>
  <si>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</si>
  <si>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</si>
  <si>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</si>
  <si>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</si>
  <si>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</si>
  <si>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</si>
  <si>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</si>
  <si>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</si>
  <si>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</si>
  <si>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</si>
  <si>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</si>
  <si>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</si>
  <si>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</si>
  <si>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</si>
  <si>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</si>
  <si>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</si>
  <si>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</si>
  <si>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</si>
  <si>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</si>
  <si>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</si>
  <si>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</si>
  <si>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</si>
  <si>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</si>
  <si>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</si>
  <si>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</si>
  <si>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</si>
  <si>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</si>
  <si>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</si>
  <si>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</si>
  <si>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</si>
  <si>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</si>
  <si>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</si>
  <si>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</si>
  <si>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</si>
  <si>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</si>
  <si>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</si>
  <si>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</si>
  <si>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</si>
  <si>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</si>
  <si>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</si>
  <si>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</si>
  <si>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</si>
  <si>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</si>
  <si>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</si>
  <si>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</si>
  <si>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</si>
  <si>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</si>
  <si>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</si>
  <si>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</si>
  <si>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</si>
  <si>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</si>
  <si>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</si>
  <si>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</si>
  <si>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</si>
  <si>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</si>
  <si>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</si>
  <si>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</si>
  <si>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</si>
  <si>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</si>
  <si>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</si>
  <si>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</si>
  <si>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</si>
  <si>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</si>
  <si>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</si>
  <si>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</si>
  <si>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</si>
  <si>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</si>
  <si>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</si>
  <si>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</si>
  <si>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</si>
  <si>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</si>
  <si>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</si>
  <si>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</si>
  <si>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</si>
  <si>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</si>
  <si>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</si>
  <si>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</si>
  <si>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</si>
  <si>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</si>
  <si>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</si>
  <si>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</si>
  <si>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</si>
  <si>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</si>
  <si>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</si>
  <si>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</si>
  <si>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</si>
  <si>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</si>
  <si>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</si>
  <si>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</si>
  <si>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</si>
  <si>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</si>
  <si>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</si>
  <si>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</si>
  <si>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</si>
  <si>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</si>
  <si>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</si>
  <si>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</si>
  <si>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</si>
  <si>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</si>
  <si>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</si>
  <si>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</si>
  <si>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</si>
  <si>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</si>
  <si>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</si>
  <si>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</si>
  <si>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</si>
  <si>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</si>
  <si>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</si>
  <si>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</si>
  <si>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</si>
  <si>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</si>
  <si>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</si>
  <si>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</si>
  <si>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</si>
  <si>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</si>
  <si>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</si>
  <si>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</si>
  <si>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</si>
  <si>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</si>
  <si>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</si>
  <si>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</si>
  <si>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</si>
  <si>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</si>
  <si>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</si>
  <si>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</si>
  <si>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</si>
  <si>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</si>
  <si>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</si>
  <si>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</si>
  <si>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</si>
  <si>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</si>
  <si>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</si>
  <si>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</si>
  <si>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</si>
  <si>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</si>
  <si>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</si>
  <si>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</si>
  <si>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</si>
  <si>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</si>
  <si>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</si>
  <si>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</si>
  <si>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</si>
  <si>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</si>
  <si>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</si>
  <si>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</si>
  <si>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</si>
  <si>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</si>
  <si>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</si>
  <si>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</si>
  <si>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</si>
  <si>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</si>
  <si>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</si>
  <si>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</si>
  <si>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</si>
  <si>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</si>
  <si>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</si>
  <si>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</si>
  <si>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</si>
  <si>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</si>
  <si>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BARAT|BULUNGAN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</si>
  <si>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</si>
  <si>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</si>
  <si>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</si>
  <si>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</si>
  <si>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</si>
  <si>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</si>
  <si>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</si>
  <si>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</si>
  <si>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</si>
  <si>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</si>
  <si>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</si>
  <si>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</si>
  <si>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</si>
  <si>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</si>
  <si>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</si>
  <si>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</si>
  <si>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</si>
  <si>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</si>
  <si>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</si>
  <si>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</si>
  <si>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</si>
  <si>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</si>
  <si>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</si>
  <si>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</si>
  <si>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</si>
  <si>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</si>
  <si>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</si>
  <si>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</si>
  <si>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</si>
  <si>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</si>
  <si>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</si>
  <si>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</si>
  <si>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</si>
  <si>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</si>
  <si>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</si>
  <si>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</si>
  <si>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</si>
  <si>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</si>
  <si>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</si>
  <si>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</si>
  <si>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</si>
  <si>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</si>
  <si>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</si>
  <si>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</si>
  <si>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</si>
  <si>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</si>
  <si>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</si>
  <si>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</si>
  <si>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</si>
  <si>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</si>
  <si>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</si>
  <si>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</si>
  <si>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</si>
  <si>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PURING KENCANA|KAPUAS HULU</t>
  </si>
  <si>
    <t>SEI MENGGARIS|NUNUKAN</t>
  </si>
  <si>
    <t>SOMPAK|LANDAK</t>
  </si>
  <si>
    <t>DAHA BARAT|HULU SUNGAI SELATAN</t>
  </si>
  <si>
    <t>KAYAN HULU|MALINAU</t>
  </si>
  <si>
    <t>LAMANDAU|LAMANDAU</t>
  </si>
  <si>
    <t>PESO HILIR|BULUNGAN</t>
  </si>
  <si>
    <t>RUNGAN BARAT|GUNUNG MAS</t>
  </si>
  <si>
    <t>SEBATIK TENGAH|NUNUKAN</t>
  </si>
  <si>
    <t>SEKATAK|BULUNGAN</t>
  </si>
  <si>
    <t>SULING TAMBUN|SERUYAN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</si>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</sst>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6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0" borderId="0" xfId="0" applyFont="1" applyAlignment="1">
      <alignment vertical="top"/>
    </xf>
    <xf numFmtId="0" fontId="0" fillId="0" borderId="4" xfId="0" applyBorder="1" applyAlignment="1"/>
    <xf numFmtId="0" fontId="6" fillId="0" borderId="0" xfId="0" applyFont="1"/>
  </cellXfs>
  <cellStyles count="2">
    <cellStyle name="Normal" xfId="0" builtinId="0"/>
    <cellStyle name="Percent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T22"/>
  <sheetViews>
    <sheetView tabSelected="1" zoomScale="44" workbookViewId="0">
      <pane xSplit="1" ySplit="5" topLeftCell="I12" activePane="bottomRight" state="frozen"/>
      <selection pane="topRight" activeCell="B1" sqref="B1"/>
      <selection pane="bottomLeft" activeCell="A6" sqref="A6"/>
      <selection pane="bottomRight" activeCell="R6" sqref="R6:S22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28.6328125" style="5" customWidth="1"/>
    <col min="18" max="18" width="18" style="2" bestFit="1" customWidth="1"/>
    <col min="19" max="19" width="19.08984375" style="2" bestFit="1" customWidth="1"/>
    <col min="20" max="20" width="25.453125" style="2" customWidth="1"/>
    <col min="21" max="16384" width="11.7265625" style="2"/>
  </cols>
  <sheetData>
    <row r="4" spans="1:20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0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</row>
    <row r="6" spans="1:20" ht="64.5" customHeight="1" x14ac:dyDescent="0.35">
      <c r="A6" s="10" t="s">
        <v>1</v>
      </c>
      <c r="B6" s="1" t="s">
        <v>16</v>
      </c>
      <c r="C6" s="4">
        <f>IFERROR(VLOOKUP($A:$A,MASTER!$A:$T,3,0),0)</f>
        <v>250423849.25960046</v>
      </c>
      <c r="D6" s="4">
        <f>IFERROR(VLOOKUP($A:$A,MASTER!$A:$T,4,0),0)</f>
        <v>258159262.99716291</v>
      </c>
      <c r="E6" s="9">
        <f>IFERROR(C6/D6-1,0)</f>
        <v>-2.9963727226969383E-2</v>
      </c>
      <c r="F6" s="4">
        <f>IFERROR(VLOOKUP(A:A,MASTER!A:E,5,0),0)</f>
        <v>711509772.97297287</v>
      </c>
      <c r="G6" s="4">
        <f>IFERROR(VLOOKUP(A:A,MASTER!A:F,6,0),0)</f>
        <v>740881898.1981982</v>
      </c>
      <c r="H6" s="9">
        <f>IFERROR(F6/G6-1,0)</f>
        <v>-3.96448142364626E-2</v>
      </c>
      <c r="I6" s="4">
        <f>IFERROR(VLOOKUP(A:A,MASTER!A:M,13,0),0)</f>
        <v>97335045.045045033</v>
      </c>
      <c r="J6" s="4">
        <f>IFERROR(VLOOKUP($A:$A,MASTER!$A:$T,14,0),0)</f>
        <v>96549549.54954955</v>
      </c>
      <c r="K6" s="9">
        <f>IFERROR(I6/J6-1,0)</f>
        <v>8.1356722963514816E-3</v>
      </c>
      <c r="L6" s="4">
        <f>IFERROR(VLOOKUP($A:$A,MASTER!$A:$T,15,0),0)</f>
        <v>119610756.75675675</v>
      </c>
      <c r="M6" s="4">
        <f>IFERROR(VLOOKUP($A:$A,MASTER!$A:$T,16,0),0)</f>
        <v>120674153.15315315</v>
      </c>
      <c r="N6" s="9">
        <f>IFERROR(L6/M6-1,0)</f>
        <v>-8.8121305897774782E-3</v>
      </c>
      <c r="O6" s="4">
        <f>IFERROR(VLOOKUP($A:$A,MASTER!$A:$T,17,0),0)</f>
        <v>31775405.405405398</v>
      </c>
      <c r="P6" s="4">
        <f>IFERROR(VLOOKUP($A:$A,MASTER!$A:$T,18,0),0)</f>
        <v>35458873.873873875</v>
      </c>
      <c r="Q6" s="9">
        <f>IFERROR(O6/P6-1,0)</f>
        <v>-0.10388001834379912</v>
      </c>
      <c r="R6" s="4">
        <f>IFERROR(VLOOKUP($A:$A,MASTER!$A:$T,19,0),0)</f>
        <v>7925</v>
      </c>
      <c r="S6" s="4">
        <f>IFERROR(VLOOKUP($A:$A,MASTER!$A:$T,20,0),0)</f>
        <v>7730</v>
      </c>
      <c r="T6" s="9">
        <f>IFERROR(R6/S6-1,0)</f>
        <v>2.5226390685640254E-2</v>
      </c>
    </row>
    <row r="7" spans="1:20" ht="64.5" customHeight="1" x14ac:dyDescent="0.35">
      <c r="A7" s="10" t="s">
        <v>2</v>
      </c>
      <c r="B7" s="1" t="s">
        <v>17</v>
      </c>
      <c r="C7" s="4">
        <f>IFERROR(VLOOKUP($A:$A,MASTER!$A:$T,3,0),0)</f>
        <v>21389073.525880821</v>
      </c>
      <c r="D7" s="4">
        <f>IFERROR(VLOOKUP($A:$A,MASTER!$A:$T,4,0),0)</f>
        <v>9663067.6915364582</v>
      </c>
      <c r="E7" s="9">
        <f t="shared" ref="E7:E22" si="0">IFERROR(C7/D7-1,0)</f>
        <v>1.2134868769070883</v>
      </c>
      <c r="F7" s="4">
        <f>IFERROR(VLOOKUP(A:A,MASTER!A:E,5,0),0)</f>
        <v>40540.540540542002</v>
      </c>
      <c r="G7" s="4">
        <f>IFERROR(VLOOKUP(A:A,MASTER!A:F,6,0),0)</f>
        <v>90090.090090090001</v>
      </c>
      <c r="H7" s="9">
        <f t="shared" ref="H7:H22" si="1">IFERROR(F7/G7-1,0)</f>
        <v>-0.54999999999998339</v>
      </c>
      <c r="I7" s="4">
        <f>IFERROR(VLOOKUP(A:A,MASTER!A:M,13,0),0)</f>
        <v>40540.540540542002</v>
      </c>
      <c r="J7" s="4">
        <f>IFERROR(VLOOKUP($A:$A,MASTER!$A:$T,14,0),0)</f>
        <v>180180.18018018</v>
      </c>
      <c r="K7" s="9">
        <f t="shared" ref="K7:K22" si="2">IFERROR(I7/J7-1,0)</f>
        <v>-0.7749999999999917</v>
      </c>
      <c r="L7" s="4">
        <f>IFERROR(VLOOKUP($A:$A,MASTER!$A:$T,15,0),0)</f>
        <v>12532828.828828828</v>
      </c>
      <c r="M7" s="4">
        <f>IFERROR(VLOOKUP($A:$A,MASTER!$A:$T,16,0),0)</f>
        <v>6078864.8648648653</v>
      </c>
      <c r="N7" s="9">
        <f t="shared" ref="N7:N22" si="3">IFERROR(L7/M7-1,0)</f>
        <v>1.0617054511718345</v>
      </c>
      <c r="O7" s="4">
        <f>IFERROR(VLOOKUP($A:$A,MASTER!$A:$T,17,0),0)</f>
        <v>157657.65765765801</v>
      </c>
      <c r="P7" s="4">
        <f>IFERROR(VLOOKUP($A:$A,MASTER!$A:$T,18,0),0)</f>
        <v>212162.16216216201</v>
      </c>
      <c r="Q7" s="9">
        <f t="shared" ref="Q7:Q22" si="4">IFERROR(O7/P7-1,0)</f>
        <v>-0.25690021231422289</v>
      </c>
      <c r="R7" s="4">
        <f>IFERROR(VLOOKUP($A:$A,MASTER!$A:$T,19,0),0)</f>
        <v>1023</v>
      </c>
      <c r="S7" s="4">
        <f>IFERROR(VLOOKUP($A:$A,MASTER!$A:$T,20,0),0)</f>
        <v>1150</v>
      </c>
      <c r="T7" s="9">
        <f t="shared" ref="T7:T22" si="5">IFERROR(R7/S7-1,0)</f>
        <v>-0.11043478260869566</v>
      </c>
    </row>
    <row r="8" spans="1:20" ht="64.5" customHeight="1" x14ac:dyDescent="0.35">
      <c r="A8" s="10" t="s">
        <v>3</v>
      </c>
      <c r="B8" s="1" t="s">
        <v>16</v>
      </c>
      <c r="C8" s="4">
        <f>IFERROR(VLOOKUP($A:$A,MASTER!$A:$T,3,0),0)</f>
        <v>186372309.11587834</v>
      </c>
      <c r="D8" s="4">
        <f>IFERROR(VLOOKUP($A:$A,MASTER!$A:$T,4,0),0)</f>
        <v>168343878.49681628</v>
      </c>
      <c r="E8" s="9">
        <f t="shared" si="0"/>
        <v>0.10709287905234421</v>
      </c>
      <c r="F8" s="4">
        <f>IFERROR(VLOOKUP(A:A,MASTER!A:E,5,0),0)</f>
        <v>2776576.5765765789</v>
      </c>
      <c r="G8" s="4">
        <f>IFERROR(VLOOKUP(A:A,MASTER!A:F,6,0),0)</f>
        <v>895495.49549549702</v>
      </c>
      <c r="H8" s="9">
        <f t="shared" si="1"/>
        <v>2.1006036217303796</v>
      </c>
      <c r="I8" s="4">
        <f>IFERROR(VLOOKUP(A:A,MASTER!A:M,13,0),0)</f>
        <v>33897297.297297299</v>
      </c>
      <c r="J8" s="4">
        <f>IFERROR(VLOOKUP($A:$A,MASTER!$A:$T,14,0),0)</f>
        <v>61489189.189189196</v>
      </c>
      <c r="K8" s="9">
        <f t="shared" si="2"/>
        <v>-0.44872752846028752</v>
      </c>
      <c r="L8" s="4">
        <f>IFERROR(VLOOKUP($A:$A,MASTER!$A:$T,15,0),0)</f>
        <v>53441486.486486487</v>
      </c>
      <c r="M8" s="4">
        <f>IFERROR(VLOOKUP($A:$A,MASTER!$A:$T,16,0),0)</f>
        <v>48923801.801801801</v>
      </c>
      <c r="N8" s="9">
        <f t="shared" si="3"/>
        <v>9.2341243286581776E-2</v>
      </c>
      <c r="O8" s="4">
        <f>IFERROR(VLOOKUP($A:$A,MASTER!$A:$T,17,0),0)</f>
        <v>35371801.801801801</v>
      </c>
      <c r="P8" s="4">
        <f>IFERROR(VLOOKUP($A:$A,MASTER!$A:$T,18,0),0)</f>
        <v>60246576.576576576</v>
      </c>
      <c r="Q8" s="9">
        <f t="shared" si="4"/>
        <v>-0.4128827924879287</v>
      </c>
      <c r="R8" s="4">
        <f>IFERROR(VLOOKUP($A:$A,MASTER!$A:$T,19,0),0)</f>
        <v>3785</v>
      </c>
      <c r="S8" s="4">
        <f>IFERROR(VLOOKUP($A:$A,MASTER!$A:$T,20,0),0)</f>
        <v>3579</v>
      </c>
      <c r="T8" s="9">
        <f t="shared" si="5"/>
        <v>5.7557977088572132E-2</v>
      </c>
    </row>
    <row r="9" spans="1:20" ht="64.5" customHeight="1" x14ac:dyDescent="0.35">
      <c r="A9" s="10" t="s">
        <v>4</v>
      </c>
      <c r="B9" s="1" t="s">
        <v>16</v>
      </c>
      <c r="C9" s="4">
        <f>IFERROR(VLOOKUP($A:$A,MASTER!$A:$T,3,0),0)</f>
        <v>112644414.53110898</v>
      </c>
      <c r="D9" s="4">
        <f>IFERROR(VLOOKUP($A:$A,MASTER!$A:$T,4,0),0)</f>
        <v>108237297.88098283</v>
      </c>
      <c r="E9" s="9">
        <f t="shared" si="0"/>
        <v>4.0717171773561711E-2</v>
      </c>
      <c r="F9" s="4">
        <f>IFERROR(VLOOKUP(A:A,MASTER!A:E,5,0),0)</f>
        <v>1206306.3063063079</v>
      </c>
      <c r="G9" s="4">
        <f>IFERROR(VLOOKUP(A:A,MASTER!A:F,6,0),0)</f>
        <v>1481531.5315315321</v>
      </c>
      <c r="H9" s="9">
        <f t="shared" si="1"/>
        <v>-0.18577075098814155</v>
      </c>
      <c r="I9" s="4">
        <f>IFERROR(VLOOKUP(A:A,MASTER!A:M,13,0),0)</f>
        <v>24686486.486486487</v>
      </c>
      <c r="J9" s="4">
        <f>IFERROR(VLOOKUP($A:$A,MASTER!$A:$T,14,0),0)</f>
        <v>35062612.612612613</v>
      </c>
      <c r="K9" s="9">
        <f t="shared" si="2"/>
        <v>-0.29593134546949473</v>
      </c>
      <c r="L9" s="4">
        <f>IFERROR(VLOOKUP($A:$A,MASTER!$A:$T,15,0),0)</f>
        <v>39509774.774774775</v>
      </c>
      <c r="M9" s="4">
        <f>IFERROR(VLOOKUP($A:$A,MASTER!$A:$T,16,0),0)</f>
        <v>40444207.20720721</v>
      </c>
      <c r="N9" s="9">
        <f t="shared" si="3"/>
        <v>-2.3104234127895529E-2</v>
      </c>
      <c r="O9" s="4">
        <f>IFERROR(VLOOKUP($A:$A,MASTER!$A:$T,17,0),0)</f>
        <v>30161801.801801801</v>
      </c>
      <c r="P9" s="4">
        <f>IFERROR(VLOOKUP($A:$A,MASTER!$A:$T,18,0),0)</f>
        <v>31437387.387387387</v>
      </c>
      <c r="Q9" s="9">
        <f t="shared" si="4"/>
        <v>-4.057543236233907E-2</v>
      </c>
      <c r="R9" s="4">
        <f>IFERROR(VLOOKUP($A:$A,MASTER!$A:$T,19,0),0)</f>
        <v>3392</v>
      </c>
      <c r="S9" s="4">
        <f>IFERROR(VLOOKUP($A:$A,MASTER!$A:$T,20,0),0)</f>
        <v>3472</v>
      </c>
      <c r="T9" s="9">
        <f t="shared" si="5"/>
        <v>-2.3041474654377891E-2</v>
      </c>
    </row>
    <row r="10" spans="1:20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303677296.3963964</v>
      </c>
      <c r="G10" s="4">
        <f>IFERROR(VLOOKUP(A:A,MASTER!A:F,6,0),0)</f>
        <v>261824464.86486486</v>
      </c>
      <c r="H10" s="9">
        <f t="shared" si="1"/>
        <v>0.1598507288199098</v>
      </c>
      <c r="I10" s="4">
        <f>IFERROR(VLOOKUP(A:A,MASTER!A:M,13,0),0)</f>
        <v>1908333.333333333</v>
      </c>
      <c r="J10" s="4">
        <f>IFERROR(VLOOKUP($A:$A,MASTER!$A:$T,14,0),0)</f>
        <v>127927.927927928</v>
      </c>
      <c r="K10" s="9">
        <f t="shared" si="2"/>
        <v>13.917253521126749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</row>
    <row r="11" spans="1:20" ht="64.5" customHeight="1" x14ac:dyDescent="0.35">
      <c r="A11" s="10" t="s">
        <v>5</v>
      </c>
      <c r="B11" s="1" t="s">
        <v>16</v>
      </c>
      <c r="C11" s="4">
        <f>IFERROR(VLOOKUP($A:$A,MASTER!$A:$T,3,0),0)</f>
        <v>114427965.93911369</v>
      </c>
      <c r="D11" s="4">
        <f>IFERROR(VLOOKUP($A:$A,MASTER!$A:$T,4,0),0)</f>
        <v>123061893.63853787</v>
      </c>
      <c r="E11" s="9">
        <f t="shared" si="0"/>
        <v>-7.0159229995144456E-2</v>
      </c>
      <c r="F11" s="4">
        <f>IFERROR(VLOOKUP(A:A,MASTER!A:E,5,0),0)</f>
        <v>176576.576576577</v>
      </c>
      <c r="G11" s="4">
        <f>IFERROR(VLOOKUP(A:A,MASTER!A:F,6,0),0)</f>
        <v>37837.837837838</v>
      </c>
      <c r="H11" s="9">
        <f t="shared" si="1"/>
        <v>3.6666666666666581</v>
      </c>
      <c r="I11" s="4">
        <f>IFERROR(VLOOKUP(A:A,MASTER!A:M,13,0),0)</f>
        <v>8922522.5225225221</v>
      </c>
      <c r="J11" s="4">
        <f>IFERROR(VLOOKUP($A:$A,MASTER!$A:$T,14,0),0)</f>
        <v>13891891.891891891</v>
      </c>
      <c r="K11" s="9">
        <f t="shared" si="2"/>
        <v>-0.35771725032425417</v>
      </c>
      <c r="L11" s="4">
        <f>IFERROR(VLOOKUP($A:$A,MASTER!$A:$T,15,0),0)</f>
        <v>48293927.927927926</v>
      </c>
      <c r="M11" s="4">
        <f>IFERROR(VLOOKUP($A:$A,MASTER!$A:$T,16,0),0)</f>
        <v>51200927.927927926</v>
      </c>
      <c r="N11" s="9">
        <f t="shared" si="3"/>
        <v>-5.6776314759216628E-2</v>
      </c>
      <c r="O11" s="4">
        <f>IFERROR(VLOOKUP($A:$A,MASTER!$A:$T,17,0),0)</f>
        <v>8203333.3333333321</v>
      </c>
      <c r="P11" s="4">
        <f>IFERROR(VLOOKUP($A:$A,MASTER!$A:$T,18,0),0)</f>
        <v>12769279.27927928</v>
      </c>
      <c r="Q11" s="9">
        <f t="shared" si="4"/>
        <v>-0.35757272169268883</v>
      </c>
      <c r="R11" s="4">
        <f>IFERROR(VLOOKUP($A:$A,MASTER!$A:$T,19,0),0)</f>
        <v>2763</v>
      </c>
      <c r="S11" s="4">
        <f>IFERROR(VLOOKUP($A:$A,MASTER!$A:$T,20,0),0)</f>
        <v>3353</v>
      </c>
      <c r="T11" s="9">
        <f t="shared" si="5"/>
        <v>-0.17596182523113635</v>
      </c>
    </row>
    <row r="12" spans="1:20" ht="64.5" customHeight="1" x14ac:dyDescent="0.35">
      <c r="A12" s="10" t="s">
        <v>6</v>
      </c>
      <c r="B12" s="1" t="s">
        <v>17</v>
      </c>
      <c r="C12" s="4">
        <f>IFERROR(VLOOKUP($A:$A,MASTER!$A:$T,3,0),0)</f>
        <v>420734733.14502323</v>
      </c>
      <c r="D12" s="4">
        <f>IFERROR(VLOOKUP($A:$A,MASTER!$A:$T,4,0),0)</f>
        <v>426695861.22259206</v>
      </c>
      <c r="E12" s="9">
        <f t="shared" si="0"/>
        <v>-1.3970438008207298E-2</v>
      </c>
      <c r="F12" s="4">
        <f>IFERROR(VLOOKUP(A:A,MASTER!A:E,5,0),0)</f>
        <v>5868132.432432442</v>
      </c>
      <c r="G12" s="4">
        <f>IFERROR(VLOOKUP(A:A,MASTER!A:F,6,0),0)</f>
        <v>10150824.324324323</v>
      </c>
      <c r="H12" s="9">
        <f t="shared" si="1"/>
        <v>-0.42190582311914382</v>
      </c>
      <c r="I12" s="4">
        <f>IFERROR(VLOOKUP(A:A,MASTER!A:M,13,0),0)</f>
        <v>167935706.3063063</v>
      </c>
      <c r="J12" s="4">
        <f>IFERROR(VLOOKUP($A:$A,MASTER!$A:$T,14,0),0)</f>
        <v>289400103.6036036</v>
      </c>
      <c r="K12" s="9">
        <f t="shared" si="2"/>
        <v>-0.41971096687535814</v>
      </c>
      <c r="L12" s="4">
        <f>IFERROR(VLOOKUP($A:$A,MASTER!$A:$T,15,0),0)</f>
        <v>286806333.33333337</v>
      </c>
      <c r="M12" s="4">
        <f>IFERROR(VLOOKUP($A:$A,MASTER!$A:$T,16,0),0)</f>
        <v>276774315.31531531</v>
      </c>
      <c r="N12" s="9">
        <f t="shared" si="3"/>
        <v>3.6246202999686172E-2</v>
      </c>
      <c r="O12" s="4">
        <f>IFERROR(VLOOKUP($A:$A,MASTER!$A:$T,17,0),0)</f>
        <v>152494954.95495495</v>
      </c>
      <c r="P12" s="4">
        <f>IFERROR(VLOOKUP($A:$A,MASTER!$A:$T,18,0),0)</f>
        <v>265385675.67567569</v>
      </c>
      <c r="Q12" s="9">
        <f t="shared" si="4"/>
        <v>-0.42538362491984305</v>
      </c>
      <c r="R12" s="4">
        <f>IFERROR(VLOOKUP($A:$A,MASTER!$A:$T,19,0),0)</f>
        <v>13152</v>
      </c>
      <c r="S12" s="4">
        <f>IFERROR(VLOOKUP($A:$A,MASTER!$A:$T,20,0),0)</f>
        <v>13680</v>
      </c>
      <c r="T12" s="9">
        <f t="shared" si="5"/>
        <v>-3.8596491228070184E-2</v>
      </c>
    </row>
    <row r="13" spans="1:20" ht="64.5" customHeight="1" x14ac:dyDescent="0.35">
      <c r="A13" s="10" t="s">
        <v>7</v>
      </c>
      <c r="B13" s="1" t="s">
        <v>17</v>
      </c>
      <c r="C13" s="4">
        <f>IFERROR(VLOOKUP($A:$A,MASTER!$A:$T,3,0),0)</f>
        <v>100336304.76674682</v>
      </c>
      <c r="D13" s="4">
        <f>IFERROR(VLOOKUP($A:$A,MASTER!$A:$T,4,0),0)</f>
        <v>99521831.063394815</v>
      </c>
      <c r="E13" s="9">
        <f t="shared" si="0"/>
        <v>8.1838697565079777E-3</v>
      </c>
      <c r="F13" s="4">
        <f>IFERROR(VLOOKUP(A:A,MASTER!A:E,5,0),0)</f>
        <v>248648.64864865001</v>
      </c>
      <c r="G13" s="4">
        <f>IFERROR(VLOOKUP(A:A,MASTER!A:F,6,0),0)</f>
        <v>93693.693693694004</v>
      </c>
      <c r="H13" s="9">
        <f t="shared" si="1"/>
        <v>1.6538461538461595</v>
      </c>
      <c r="I13" s="4">
        <f>IFERROR(VLOOKUP(A:A,MASTER!A:M,13,0),0)</f>
        <v>16410810.81081081</v>
      </c>
      <c r="J13" s="4">
        <f>IFERROR(VLOOKUP($A:$A,MASTER!$A:$T,14,0),0)</f>
        <v>36345495.495495498</v>
      </c>
      <c r="K13" s="9">
        <f t="shared" si="2"/>
        <v>-0.54847744989899239</v>
      </c>
      <c r="L13" s="4">
        <f>IFERROR(VLOOKUP($A:$A,MASTER!$A:$T,15,0),0)</f>
        <v>70249396.396396399</v>
      </c>
      <c r="M13" s="4">
        <f>IFERROR(VLOOKUP($A:$A,MASTER!$A:$T,16,0),0)</f>
        <v>65946333.333333336</v>
      </c>
      <c r="N13" s="9">
        <f t="shared" si="3"/>
        <v>6.525098281526498E-2</v>
      </c>
      <c r="O13" s="4">
        <f>IFERROR(VLOOKUP($A:$A,MASTER!$A:$T,17,0),0)</f>
        <v>19745585.585585583</v>
      </c>
      <c r="P13" s="4">
        <f>IFERROR(VLOOKUP($A:$A,MASTER!$A:$T,18,0),0)</f>
        <v>36683243.24324324</v>
      </c>
      <c r="Q13" s="9">
        <f t="shared" si="4"/>
        <v>-0.46172737632127003</v>
      </c>
      <c r="R13" s="4">
        <f>IFERROR(VLOOKUP($A:$A,MASTER!$A:$T,19,0),0)</f>
        <v>4890</v>
      </c>
      <c r="S13" s="4">
        <f>IFERROR(VLOOKUP($A:$A,MASTER!$A:$T,20,0),0)</f>
        <v>4417</v>
      </c>
      <c r="T13" s="9">
        <f t="shared" si="5"/>
        <v>0.10708625764093282</v>
      </c>
    </row>
    <row r="14" spans="1:20" ht="64.5" customHeight="1" x14ac:dyDescent="0.35">
      <c r="A14" s="10" t="s">
        <v>8</v>
      </c>
      <c r="B14" s="1" t="s">
        <v>16</v>
      </c>
      <c r="C14" s="4">
        <f>IFERROR(VLOOKUP($A:$A,MASTER!$A:$T,3,0),0)</f>
        <v>138463115.08858079</v>
      </c>
      <c r="D14" s="4">
        <f>IFERROR(VLOOKUP($A:$A,MASTER!$A:$T,4,0),0)</f>
        <v>145979301.56804514</v>
      </c>
      <c r="E14" s="9">
        <f t="shared" si="0"/>
        <v>-5.1488028773454819E-2</v>
      </c>
      <c r="F14" s="4">
        <f>IFERROR(VLOOKUP(A:A,MASTER!A:E,5,0),0)</f>
        <v>2541441.4414414428</v>
      </c>
      <c r="G14" s="4">
        <f>IFERROR(VLOOKUP(A:A,MASTER!A:F,6,0),0)</f>
        <v>2821621.6216216232</v>
      </c>
      <c r="H14" s="9">
        <f t="shared" si="1"/>
        <v>-9.9297573435504494E-2</v>
      </c>
      <c r="I14" s="4">
        <f>IFERROR(VLOOKUP(A:A,MASTER!A:M,13,0),0)</f>
        <v>22336936.936936937</v>
      </c>
      <c r="J14" s="4">
        <f>IFERROR(VLOOKUP($A:$A,MASTER!$A:$T,14,0),0)</f>
        <v>28572972.972972974</v>
      </c>
      <c r="K14" s="9">
        <f t="shared" si="2"/>
        <v>-0.21824946399293732</v>
      </c>
      <c r="L14" s="4">
        <f>IFERROR(VLOOKUP($A:$A,MASTER!$A:$T,15,0),0)</f>
        <v>41392189.189189196</v>
      </c>
      <c r="M14" s="4">
        <f>IFERROR(VLOOKUP($A:$A,MASTER!$A:$T,16,0),0)</f>
        <v>44896918.918918923</v>
      </c>
      <c r="N14" s="9">
        <f t="shared" si="3"/>
        <v>-7.8061698087992459E-2</v>
      </c>
      <c r="O14" s="4">
        <f>IFERROR(VLOOKUP($A:$A,MASTER!$A:$T,17,0),0)</f>
        <v>20071891.891891889</v>
      </c>
      <c r="P14" s="4">
        <f>IFERROR(VLOOKUP($A:$A,MASTER!$A:$T,18,0),0)</f>
        <v>26052432.432432432</v>
      </c>
      <c r="Q14" s="9">
        <f t="shared" si="4"/>
        <v>-0.22955785629810987</v>
      </c>
      <c r="R14" s="4">
        <f>IFERROR(VLOOKUP($A:$A,MASTER!$A:$T,19,0),0)</f>
        <v>3452</v>
      </c>
      <c r="S14" s="4">
        <f>IFERROR(VLOOKUP($A:$A,MASTER!$A:$T,20,0),0)</f>
        <v>3610</v>
      </c>
      <c r="T14" s="9">
        <f t="shared" si="5"/>
        <v>-4.376731301939063E-2</v>
      </c>
    </row>
    <row r="15" spans="1:20" ht="64.5" customHeight="1" x14ac:dyDescent="0.35">
      <c r="A15" s="10" t="s">
        <v>9</v>
      </c>
      <c r="B15" s="1" t="s">
        <v>16</v>
      </c>
      <c r="C15" s="4">
        <f>IFERROR(VLOOKUP($A:$A,MASTER!$A:$T,3,0),0)</f>
        <v>272882229.47632909</v>
      </c>
      <c r="D15" s="4">
        <f>IFERROR(VLOOKUP($A:$A,MASTER!$A:$T,4,0),0)</f>
        <v>263755474.23720905</v>
      </c>
      <c r="E15" s="9">
        <f t="shared" si="0"/>
        <v>3.4603093132057117E-2</v>
      </c>
      <c r="F15" s="4">
        <f>IFERROR(VLOOKUP(A:A,MASTER!A:E,5,0),0)</f>
        <v>3513762.1621621661</v>
      </c>
      <c r="G15" s="4">
        <f>IFERROR(VLOOKUP(A:A,MASTER!A:F,6,0),0)</f>
        <v>5132145.0450450471</v>
      </c>
      <c r="H15" s="9">
        <f t="shared" si="1"/>
        <v>-0.31534238971780182</v>
      </c>
      <c r="I15" s="4">
        <f>IFERROR(VLOOKUP(A:A,MASTER!A:M,13,0),0)</f>
        <v>341791157.65765768</v>
      </c>
      <c r="J15" s="4">
        <f>IFERROR(VLOOKUP($A:$A,MASTER!$A:$T,14,0),0)</f>
        <v>393965163.06306303</v>
      </c>
      <c r="K15" s="9">
        <f t="shared" si="2"/>
        <v>-0.1324330430633881</v>
      </c>
      <c r="L15" s="4">
        <f>IFERROR(VLOOKUP($A:$A,MASTER!$A:$T,15,0),0)</f>
        <v>99241990.990990996</v>
      </c>
      <c r="M15" s="4">
        <f>IFERROR(VLOOKUP($A:$A,MASTER!$A:$T,16,0),0)</f>
        <v>96601439.639639631</v>
      </c>
      <c r="N15" s="9">
        <f t="shared" si="3"/>
        <v>2.7334492748779304E-2</v>
      </c>
      <c r="O15" s="4">
        <f>IFERROR(VLOOKUP($A:$A,MASTER!$A:$T,17,0),0)</f>
        <v>300203693.6936937</v>
      </c>
      <c r="P15" s="4">
        <f>IFERROR(VLOOKUP($A:$A,MASTER!$A:$T,18,0),0)</f>
        <v>343915900.9009009</v>
      </c>
      <c r="Q15" s="9">
        <f t="shared" si="4"/>
        <v>-0.12710144280244506</v>
      </c>
      <c r="R15" s="4">
        <f>IFERROR(VLOOKUP($A:$A,MASTER!$A:$T,19,0),0)</f>
        <v>6889</v>
      </c>
      <c r="S15" s="4">
        <f>IFERROR(VLOOKUP($A:$A,MASTER!$A:$T,20,0),0)</f>
        <v>7180</v>
      </c>
      <c r="T15" s="9">
        <f t="shared" si="5"/>
        <v>-4.0529247910863542E-2</v>
      </c>
    </row>
    <row r="16" spans="1:20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0</v>
      </c>
      <c r="G16" s="4">
        <f>IFERROR(VLOOKUP(A:A,MASTER!A:F,6,0),0)</f>
        <v>0</v>
      </c>
      <c r="H16" s="9">
        <f t="shared" si="1"/>
        <v>0</v>
      </c>
      <c r="I16" s="4">
        <f>IFERROR(VLOOKUP(A:A,MASTER!A:M,13,0),0)</f>
        <v>0</v>
      </c>
      <c r="J16" s="4">
        <f>IFERROR(VLOOKUP($A:$A,MASTER!$A:$T,14,0),0)</f>
        <v>0</v>
      </c>
      <c r="K16" s="9">
        <f t="shared" si="2"/>
        <v>0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</row>
    <row r="17" spans="1:20" ht="64.5" customHeight="1" x14ac:dyDescent="0.35">
      <c r="A17" s="10" t="s">
        <v>10</v>
      </c>
      <c r="B17" s="1" t="s">
        <v>17</v>
      </c>
      <c r="C17" s="4">
        <f>IFERROR(VLOOKUP($A:$A,MASTER!$A:$T,3,0),0)</f>
        <v>113103060.97704715</v>
      </c>
      <c r="D17" s="4">
        <f>IFERROR(VLOOKUP($A:$A,MASTER!$A:$T,4,0),0)</f>
        <v>117427967.07944895</v>
      </c>
      <c r="E17" s="9">
        <f t="shared" si="0"/>
        <v>-3.683029017674877E-2</v>
      </c>
      <c r="F17" s="4">
        <f>IFERROR(VLOOKUP(A:A,MASTER!A:E,5,0),0)</f>
        <v>0</v>
      </c>
      <c r="G17" s="4">
        <f>IFERROR(VLOOKUP(A:A,MASTER!A:F,6,0),0)</f>
        <v>0</v>
      </c>
      <c r="H17" s="9">
        <f t="shared" si="1"/>
        <v>0</v>
      </c>
      <c r="I17" s="4">
        <f>IFERROR(VLOOKUP(A:A,MASTER!A:M,13,0),0)</f>
        <v>0</v>
      </c>
      <c r="J17" s="4">
        <f>IFERROR(VLOOKUP($A:$A,MASTER!$A:$T,14,0),0)</f>
        <v>0</v>
      </c>
      <c r="K17" s="9">
        <f t="shared" si="2"/>
        <v>0</v>
      </c>
      <c r="L17" s="4">
        <f>IFERROR(VLOOKUP($A:$A,MASTER!$A:$T,15,0),0)</f>
        <v>67892043.243243247</v>
      </c>
      <c r="M17" s="4">
        <f>IFERROR(VLOOKUP($A:$A,MASTER!$A:$T,16,0),0)</f>
        <v>70134486.486486495</v>
      </c>
      <c r="N17" s="9">
        <f t="shared" si="3"/>
        <v>-3.1973474899189891E-2</v>
      </c>
      <c r="O17" s="4">
        <f>IFERROR(VLOOKUP($A:$A,MASTER!$A:$T,17,0),0)</f>
        <v>19639.639639640001</v>
      </c>
      <c r="P17" s="4">
        <f>IFERROR(VLOOKUP($A:$A,MASTER!$A:$T,18,0),0)</f>
        <v>498558.558558558</v>
      </c>
      <c r="Q17" s="9">
        <f t="shared" si="4"/>
        <v>-0.96060715576436495</v>
      </c>
      <c r="R17" s="4">
        <f>IFERROR(VLOOKUP($A:$A,MASTER!$A:$T,19,0),0)</f>
        <v>3817</v>
      </c>
      <c r="S17" s="4">
        <f>IFERROR(VLOOKUP($A:$A,MASTER!$A:$T,20,0),0)</f>
        <v>3657</v>
      </c>
      <c r="T17" s="9">
        <f t="shared" si="5"/>
        <v>4.3751709051134791E-2</v>
      </c>
    </row>
    <row r="18" spans="1:20" ht="64.5" customHeight="1" x14ac:dyDescent="0.35">
      <c r="A18" s="10" t="s">
        <v>11</v>
      </c>
      <c r="B18" s="1" t="s">
        <v>17</v>
      </c>
      <c r="C18" s="4">
        <f>IFERROR(VLOOKUP($A:$A,MASTER!$A:$T,3,0),0)</f>
        <v>97728955.967525989</v>
      </c>
      <c r="D18" s="4">
        <f>IFERROR(VLOOKUP($A:$A,MASTER!$A:$T,4,0),0)</f>
        <v>94060122.784477979</v>
      </c>
      <c r="E18" s="9">
        <f t="shared" si="0"/>
        <v>3.9005192364616414E-2</v>
      </c>
      <c r="F18" s="4">
        <f>IFERROR(VLOOKUP(A:A,MASTER!A:E,5,0),0)</f>
        <v>112612.612612615</v>
      </c>
      <c r="G18" s="4">
        <f>IFERROR(VLOOKUP(A:A,MASTER!A:F,6,0),0)</f>
        <v>18018.018018018</v>
      </c>
      <c r="H18" s="9">
        <f t="shared" si="1"/>
        <v>5.2500000000001394</v>
      </c>
      <c r="I18" s="4">
        <f>IFERROR(VLOOKUP(A:A,MASTER!A:M,13,0),0)</f>
        <v>1914414.4144144161</v>
      </c>
      <c r="J18" s="4">
        <f>IFERROR(VLOOKUP($A:$A,MASTER!$A:$T,14,0),0)</f>
        <v>3081081.0810810812</v>
      </c>
      <c r="K18" s="9">
        <f t="shared" si="2"/>
        <v>-0.37865497076023336</v>
      </c>
      <c r="L18" s="4">
        <f>IFERROR(VLOOKUP($A:$A,MASTER!$A:$T,15,0),0)</f>
        <v>33035126.126126125</v>
      </c>
      <c r="M18" s="4">
        <f>IFERROR(VLOOKUP($A:$A,MASTER!$A:$T,16,0),0)</f>
        <v>37521189.189189196</v>
      </c>
      <c r="N18" s="9">
        <f t="shared" si="3"/>
        <v>-0.11956079111574691</v>
      </c>
      <c r="O18" s="4">
        <f>IFERROR(VLOOKUP($A:$A,MASTER!$A:$T,17,0),0)</f>
        <v>2358198.1981981988</v>
      </c>
      <c r="P18" s="4">
        <f>IFERROR(VLOOKUP($A:$A,MASTER!$A:$T,18,0),0)</f>
        <v>1958288.288288289</v>
      </c>
      <c r="Q18" s="9">
        <f t="shared" si="4"/>
        <v>0.20421401297327124</v>
      </c>
      <c r="R18" s="4">
        <f>IFERROR(VLOOKUP($A:$A,MASTER!$A:$T,19,0),0)</f>
        <v>4257</v>
      </c>
      <c r="S18" s="4">
        <f>IFERROR(VLOOKUP($A:$A,MASTER!$A:$T,20,0),0)</f>
        <v>4000</v>
      </c>
      <c r="T18" s="9">
        <f t="shared" si="5"/>
        <v>6.4249999999999918E-2</v>
      </c>
    </row>
    <row r="19" spans="1:20" ht="64.5" customHeight="1" x14ac:dyDescent="0.35">
      <c r="A19" s="10" t="s">
        <v>12</v>
      </c>
      <c r="B19" s="1" t="s">
        <v>17</v>
      </c>
      <c r="C19" s="4">
        <f>IFERROR(VLOOKUP($A:$A,MASTER!$A:$T,3,0),0)</f>
        <v>62960923.851995565</v>
      </c>
      <c r="D19" s="4">
        <f>IFERROR(VLOOKUP($A:$A,MASTER!$A:$T,4,0),0)</f>
        <v>63123592.909669921</v>
      </c>
      <c r="E19" s="9">
        <f t="shared" si="0"/>
        <v>-2.5769930096839477E-3</v>
      </c>
      <c r="F19" s="4">
        <f>IFERROR(VLOOKUP(A:A,MASTER!A:E,5,0),0)</f>
        <v>2347747.747747751</v>
      </c>
      <c r="G19" s="4">
        <f>IFERROR(VLOOKUP(A:A,MASTER!A:F,6,0),0)</f>
        <v>113513.513513513</v>
      </c>
      <c r="H19" s="9">
        <f t="shared" si="1"/>
        <v>19.682539682539804</v>
      </c>
      <c r="I19" s="4">
        <f>IFERROR(VLOOKUP(A:A,MASTER!A:M,13,0),0)</f>
        <v>5500900.9009009032</v>
      </c>
      <c r="J19" s="4">
        <f>IFERROR(VLOOKUP($A:$A,MASTER!$A:$T,14,0),0)</f>
        <v>563963.96396396297</v>
      </c>
      <c r="K19" s="9">
        <f t="shared" si="2"/>
        <v>8.7539936102236631</v>
      </c>
      <c r="L19" s="4">
        <f>IFERROR(VLOOKUP($A:$A,MASTER!$A:$T,15,0),0)</f>
        <v>25551738.738738742</v>
      </c>
      <c r="M19" s="4">
        <f>IFERROR(VLOOKUP($A:$A,MASTER!$A:$T,16,0),0)</f>
        <v>28099027.02702703</v>
      </c>
      <c r="N19" s="9">
        <f t="shared" si="3"/>
        <v>-9.0653967692126192E-2</v>
      </c>
      <c r="O19" s="4">
        <f>IFERROR(VLOOKUP($A:$A,MASTER!$A:$T,17,0),0)</f>
        <v>7975405.405405405</v>
      </c>
      <c r="P19" s="4">
        <f>IFERROR(VLOOKUP($A:$A,MASTER!$A:$T,18,0),0)</f>
        <v>2424324.3243243238</v>
      </c>
      <c r="Q19" s="9">
        <f t="shared" si="4"/>
        <v>2.2897435897435905</v>
      </c>
      <c r="R19" s="4">
        <f>IFERROR(VLOOKUP($A:$A,MASTER!$A:$T,19,0),0)</f>
        <v>3057</v>
      </c>
      <c r="S19" s="4">
        <f>IFERROR(VLOOKUP($A:$A,MASTER!$A:$T,20,0),0)</f>
        <v>2753</v>
      </c>
      <c r="T19" s="9">
        <f t="shared" si="5"/>
        <v>0.11042499091899738</v>
      </c>
    </row>
    <row r="20" spans="1:20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0</v>
      </c>
      <c r="G20" s="4">
        <f>IFERROR(VLOOKUP(A:A,MASTER!A:F,6,0),0)</f>
        <v>0</v>
      </c>
      <c r="H20" s="9">
        <f t="shared" si="1"/>
        <v>0</v>
      </c>
      <c r="I20" s="4">
        <f>IFERROR(VLOOKUP(A:A,MASTER!A:M,13,0),0)</f>
        <v>0</v>
      </c>
      <c r="J20" s="4">
        <f>IFERROR(VLOOKUP($A:$A,MASTER!$A:$T,14,0),0)</f>
        <v>0</v>
      </c>
      <c r="K20" s="9">
        <f t="shared" si="2"/>
        <v>0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</row>
    <row r="21" spans="1:20" ht="64.5" customHeight="1" x14ac:dyDescent="0.35">
      <c r="A21" s="10" t="s">
        <v>13</v>
      </c>
      <c r="B21" s="1" t="s">
        <v>16</v>
      </c>
      <c r="C21" s="4">
        <f>IFERROR(VLOOKUP($A:$A,MASTER!$A:$T,3,0),0)</f>
        <v>227370438.35212278</v>
      </c>
      <c r="D21" s="4">
        <f>IFERROR(VLOOKUP($A:$A,MASTER!$A:$T,4,0),0)</f>
        <v>218836814.46389043</v>
      </c>
      <c r="E21" s="9">
        <f t="shared" si="0"/>
        <v>3.8995376116848224E-2</v>
      </c>
      <c r="F21" s="4">
        <f>IFERROR(VLOOKUP(A:A,MASTER!A:E,5,0),0)</f>
        <v>1475675.6756756781</v>
      </c>
      <c r="G21" s="4">
        <f>IFERROR(VLOOKUP(A:A,MASTER!A:F,6,0),0)</f>
        <v>814864.86486486497</v>
      </c>
      <c r="H21" s="9">
        <f t="shared" si="1"/>
        <v>0.81094527363184343</v>
      </c>
      <c r="I21" s="4">
        <f>IFERROR(VLOOKUP(A:A,MASTER!A:M,13,0),0)</f>
        <v>50337837.837837838</v>
      </c>
      <c r="J21" s="4">
        <f>IFERROR(VLOOKUP($A:$A,MASTER!$A:$T,14,0),0)</f>
        <v>55555855.855855852</v>
      </c>
      <c r="K21" s="9">
        <f t="shared" si="2"/>
        <v>-9.3923816628018186E-2</v>
      </c>
      <c r="L21" s="4">
        <f>IFERROR(VLOOKUP($A:$A,MASTER!$A:$T,15,0),0)</f>
        <v>128471171.17117117</v>
      </c>
      <c r="M21" s="4">
        <f>IFERROR(VLOOKUP($A:$A,MASTER!$A:$T,16,0),0)</f>
        <v>126355243.24324325</v>
      </c>
      <c r="N21" s="9">
        <f t="shared" si="3"/>
        <v>1.6745865653193359E-2</v>
      </c>
      <c r="O21" s="4">
        <f>IFERROR(VLOOKUP($A:$A,MASTER!$A:$T,17,0),0)</f>
        <v>51271034.234234229</v>
      </c>
      <c r="P21" s="4">
        <f>IFERROR(VLOOKUP($A:$A,MASTER!$A:$T,18,0),0)</f>
        <v>59291801.801801808</v>
      </c>
      <c r="Q21" s="9">
        <f t="shared" si="4"/>
        <v>-0.13527616506543472</v>
      </c>
      <c r="R21" s="4">
        <f>IFERROR(VLOOKUP($A:$A,MASTER!$A:$T,19,0),0)</f>
        <v>7241</v>
      </c>
      <c r="S21" s="4">
        <f>IFERROR(VLOOKUP($A:$A,MASTER!$A:$T,20,0),0)</f>
        <v>7197</v>
      </c>
      <c r="T21" s="9">
        <f t="shared" si="5"/>
        <v>6.1136584688064044E-3</v>
      </c>
    </row>
    <row r="22" spans="1:20" ht="64.5" customHeight="1" x14ac:dyDescent="0.35">
      <c r="A22" s="10" t="s">
        <v>14</v>
      </c>
      <c r="B22" s="1" t="s">
        <v>16</v>
      </c>
      <c r="C22" s="4">
        <f>IFERROR(VLOOKUP($A:$A,MASTER!$A:$T,3,0),0)</f>
        <v>116646623.83874238</v>
      </c>
      <c r="D22" s="4">
        <f>IFERROR(VLOOKUP($A:$A,MASTER!$A:$T,4,0),0)</f>
        <v>124173540.94774349</v>
      </c>
      <c r="E22" s="9">
        <f t="shared" si="0"/>
        <v>-6.0616110739474705E-2</v>
      </c>
      <c r="F22" s="4">
        <f>IFERROR(VLOOKUP(A:A,MASTER!A:E,5,0),0)</f>
        <v>802702.702702704</v>
      </c>
      <c r="G22" s="4">
        <f>IFERROR(VLOOKUP(A:A,MASTER!A:F,6,0),0)</f>
        <v>146846.846846848</v>
      </c>
      <c r="H22" s="9">
        <f t="shared" si="1"/>
        <v>4.4662576687116227</v>
      </c>
      <c r="I22" s="4">
        <f>IFERROR(VLOOKUP(A:A,MASTER!A:M,13,0),0)</f>
        <v>29421621.621621624</v>
      </c>
      <c r="J22" s="4">
        <f>IFERROR(VLOOKUP($A:$A,MASTER!$A:$T,14,0),0)</f>
        <v>18725675.675675675</v>
      </c>
      <c r="K22" s="9">
        <f t="shared" si="2"/>
        <v>0.57119145558201656</v>
      </c>
      <c r="L22" s="4">
        <f>IFERROR(VLOOKUP($A:$A,MASTER!$A:$T,15,0),0)</f>
        <v>40209828.828828834</v>
      </c>
      <c r="M22" s="4">
        <f>IFERROR(VLOOKUP($A:$A,MASTER!$A:$T,16,0),0)</f>
        <v>42651360.360360362</v>
      </c>
      <c r="N22" s="9">
        <f t="shared" si="3"/>
        <v>-5.7243931047054164E-2</v>
      </c>
      <c r="O22" s="4">
        <f>IFERROR(VLOOKUP($A:$A,MASTER!$A:$T,17,0),0)</f>
        <v>30745045.045045048</v>
      </c>
      <c r="P22" s="4">
        <f>IFERROR(VLOOKUP($A:$A,MASTER!$A:$T,18,0),0)</f>
        <v>18914234.234234232</v>
      </c>
      <c r="Q22" s="9">
        <f t="shared" si="4"/>
        <v>0.62549774229809318</v>
      </c>
      <c r="R22" s="4">
        <f>IFERROR(VLOOKUP($A:$A,MASTER!$A:$T,19,0),0)</f>
        <v>4252</v>
      </c>
      <c r="S22" s="4">
        <f>IFERROR(VLOOKUP($A:$A,MASTER!$A:$T,20,0),0)</f>
        <v>3997</v>
      </c>
      <c r="T22" s="9">
        <f t="shared" si="5"/>
        <v>6.3797848386289768E-2</v>
      </c>
    </row>
  </sheetData>
  <autoFilter ref="A5:T22"/>
  <conditionalFormatting sqref="E6:E22">
    <cfRule type="cellIs" dxfId="5" priority="11" operator="lessThan">
      <formula>0</formula>
    </cfRule>
  </conditionalFormatting>
  <conditionalFormatting sqref="H6:H22">
    <cfRule type="cellIs" dxfId="4" priority="5" operator="lessThan">
      <formula>0</formula>
    </cfRule>
  </conditionalFormatting>
  <conditionalFormatting sqref="K6:K22">
    <cfRule type="cellIs" dxfId="3" priority="4" operator="lessThan">
      <formula>0</formula>
    </cfRule>
  </conditionalFormatting>
  <conditionalFormatting sqref="N6:N22">
    <cfRule type="cellIs" dxfId="2" priority="3" operator="lessThan">
      <formula>0</formula>
    </cfRule>
  </conditionalFormatting>
  <conditionalFormatting sqref="Q6:Q22">
    <cfRule type="cellIs" dxfId="1" priority="2" operator="lessThan">
      <formula>0</formula>
    </cfRule>
  </conditionalFormatting>
  <conditionalFormatting sqref="T6:T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5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3" sqref="A3:T575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7.1796875" bestFit="1" customWidth="1"/>
    <col min="7" max="7" width="18.1796875" hidden="1" customWidth="1"/>
    <col min="8" max="8" width="15" hidden="1" customWidth="1"/>
    <col min="9" max="9" width="16" hidden="1" customWidth="1"/>
    <col min="10" max="10" width="18.453125" hidden="1" customWidth="1"/>
    <col min="11" max="11" width="19.453125" hidden="1" customWidth="1"/>
    <col min="12" max="12" width="0" hidden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41</v>
      </c>
      <c r="J2" s="7" t="s">
        <v>41</v>
      </c>
      <c r="K2" s="7" t="s">
        <v>42</v>
      </c>
      <c r="L2" s="7" t="s">
        <v>42</v>
      </c>
      <c r="M2" s="7" t="s">
        <v>43</v>
      </c>
      <c r="N2" s="7" t="s">
        <v>43</v>
      </c>
      <c r="O2" s="7" t="s">
        <v>44</v>
      </c>
      <c r="P2" s="7" t="s">
        <v>44</v>
      </c>
      <c r="Q2" s="7" t="s">
        <v>45</v>
      </c>
      <c r="R2" s="7" t="s">
        <v>45</v>
      </c>
      <c r="S2" s="7" t="s">
        <v>30</v>
      </c>
      <c r="T2" s="7" t="s">
        <v>30</v>
      </c>
    </row>
    <row r="3" spans="1:20" x14ac:dyDescent="0.35">
      <c r="A3" s="8" t="s">
        <v>46</v>
      </c>
      <c r="B3" s="8" t="s">
        <v>47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48</v>
      </c>
      <c r="B4" s="12" t="s">
        <v>49</v>
      </c>
      <c r="C4">
        <v>363000264.66070706</v>
      </c>
      <c r="D4">
        <v>423384216.87808561</v>
      </c>
      <c r="E4">
        <v>1699774.7747747761</v>
      </c>
      <c r="F4">
        <v>888288.28828829003</v>
      </c>
      <c r="G4">
        <v>38</v>
      </c>
      <c r="H4">
        <v>7</v>
      </c>
      <c r="K4">
        <v>57</v>
      </c>
      <c r="L4">
        <v>13</v>
      </c>
      <c r="M4">
        <v>45836216.216216214</v>
      </c>
      <c r="N4">
        <v>13091441.441441437</v>
      </c>
      <c r="O4">
        <v>45383414.414414413</v>
      </c>
      <c r="P4">
        <v>57355396.396396399</v>
      </c>
      <c r="Q4">
        <v>39744774.774774775</v>
      </c>
      <c r="R4">
        <v>18218468.468468469</v>
      </c>
      <c r="S4">
        <v>8312</v>
      </c>
      <c r="T4">
        <v>8493</v>
      </c>
    </row>
    <row r="5" spans="1:20" x14ac:dyDescent="0.35">
      <c r="A5" s="7" t="s">
        <v>50</v>
      </c>
      <c r="B5" s="12" t="s">
        <v>51</v>
      </c>
      <c r="C5">
        <v>549023751.45282936</v>
      </c>
      <c r="D5">
        <v>586472731.29426003</v>
      </c>
      <c r="E5">
        <v>5067567.567567572</v>
      </c>
      <c r="F5">
        <v>7761507.2072072178</v>
      </c>
      <c r="G5">
        <v>354</v>
      </c>
      <c r="H5">
        <v>304</v>
      </c>
      <c r="K5">
        <v>537</v>
      </c>
      <c r="L5">
        <v>517</v>
      </c>
      <c r="M5">
        <v>97535855.855855852</v>
      </c>
      <c r="N5">
        <v>60107072.072072074</v>
      </c>
      <c r="O5">
        <v>174249324.32432431</v>
      </c>
      <c r="P5">
        <v>185380036.03603604</v>
      </c>
      <c r="Q5">
        <v>94927657.657657668</v>
      </c>
      <c r="R5">
        <v>54967207.20720721</v>
      </c>
      <c r="S5">
        <v>19524</v>
      </c>
      <c r="T5">
        <v>20709</v>
      </c>
    </row>
    <row r="6" spans="1:20" x14ac:dyDescent="0.35">
      <c r="A6" s="7" t="s">
        <v>52</v>
      </c>
      <c r="B6" s="12" t="s">
        <v>53</v>
      </c>
      <c r="C6">
        <v>137643879.59470588</v>
      </c>
      <c r="D6">
        <v>147013373.428799</v>
      </c>
      <c r="E6">
        <v>3444144.1441441439</v>
      </c>
      <c r="F6">
        <v>2161261.2612612629</v>
      </c>
      <c r="G6">
        <v>70</v>
      </c>
      <c r="H6">
        <v>35</v>
      </c>
      <c r="K6">
        <v>76</v>
      </c>
      <c r="L6">
        <v>54</v>
      </c>
      <c r="M6">
        <v>47851801.801801801</v>
      </c>
      <c r="N6">
        <v>24719819.819819819</v>
      </c>
      <c r="O6">
        <v>44896216.216216214</v>
      </c>
      <c r="P6">
        <v>47570639.639639638</v>
      </c>
      <c r="Q6">
        <v>40685495.495495498</v>
      </c>
      <c r="R6">
        <v>24248288.288288288</v>
      </c>
      <c r="S6">
        <v>4480</v>
      </c>
      <c r="T6">
        <v>4713</v>
      </c>
    </row>
    <row r="7" spans="1:20" x14ac:dyDescent="0.35">
      <c r="A7" s="7" t="s">
        <v>54</v>
      </c>
      <c r="B7" s="12" t="s">
        <v>55</v>
      </c>
      <c r="C7">
        <v>74782854.444042966</v>
      </c>
      <c r="D7">
        <v>69896005.283448383</v>
      </c>
      <c r="E7">
        <v>584684.68468468799</v>
      </c>
      <c r="F7">
        <v>1567117.1171171181</v>
      </c>
      <c r="G7">
        <v>19</v>
      </c>
      <c r="H7">
        <v>22</v>
      </c>
      <c r="K7">
        <v>30</v>
      </c>
      <c r="L7">
        <v>47</v>
      </c>
      <c r="M7">
        <v>7051711.7117117122</v>
      </c>
      <c r="N7">
        <v>11518918.918918921</v>
      </c>
      <c r="O7">
        <v>24002930.180180181</v>
      </c>
      <c r="P7">
        <v>23001207.207207207</v>
      </c>
      <c r="Q7">
        <v>7296756.7567567583</v>
      </c>
      <c r="R7">
        <v>11674144.144144144</v>
      </c>
      <c r="S7">
        <v>3640</v>
      </c>
      <c r="T7">
        <v>3636</v>
      </c>
    </row>
    <row r="8" spans="1:20" x14ac:dyDescent="0.35">
      <c r="A8" s="7" t="s">
        <v>56</v>
      </c>
      <c r="B8" s="12" t="s">
        <v>55</v>
      </c>
      <c r="C8">
        <v>123001989.44394045</v>
      </c>
      <c r="D8">
        <v>129897449.78763627</v>
      </c>
      <c r="E8">
        <v>2710810.8108108132</v>
      </c>
      <c r="F8">
        <v>1968018.0180180189</v>
      </c>
      <c r="G8">
        <v>46</v>
      </c>
      <c r="H8">
        <v>53</v>
      </c>
      <c r="K8">
        <v>110</v>
      </c>
      <c r="L8">
        <v>95</v>
      </c>
      <c r="M8">
        <v>22222522.522522524</v>
      </c>
      <c r="N8">
        <v>78303243.243243232</v>
      </c>
      <c r="O8">
        <v>35281207.20720721</v>
      </c>
      <c r="P8">
        <v>39225574.774774775</v>
      </c>
      <c r="Q8">
        <v>42380000</v>
      </c>
      <c r="R8">
        <v>45569279.279279277</v>
      </c>
      <c r="S8">
        <v>4380</v>
      </c>
      <c r="T8">
        <v>4528</v>
      </c>
    </row>
    <row r="9" spans="1:20" x14ac:dyDescent="0.35">
      <c r="A9" s="7" t="s">
        <v>57</v>
      </c>
      <c r="B9" s="12" t="s">
        <v>55</v>
      </c>
      <c r="C9">
        <v>59741323.283468418</v>
      </c>
      <c r="D9">
        <v>65984676.825904168</v>
      </c>
      <c r="E9">
        <v>1058558.5585585581</v>
      </c>
      <c r="F9">
        <v>1575675.675675675</v>
      </c>
      <c r="G9">
        <v>12</v>
      </c>
      <c r="H9">
        <v>22</v>
      </c>
      <c r="K9">
        <v>14</v>
      </c>
      <c r="L9">
        <v>65</v>
      </c>
      <c r="M9">
        <v>7253873.8738738736</v>
      </c>
      <c r="N9">
        <v>10848108.108108113</v>
      </c>
      <c r="O9">
        <v>18755027.02702703</v>
      </c>
      <c r="P9">
        <v>21770720.72072072</v>
      </c>
      <c r="Q9">
        <v>6091081.081081083</v>
      </c>
      <c r="R9">
        <v>10772792.792792795</v>
      </c>
      <c r="S9">
        <v>2030</v>
      </c>
      <c r="T9">
        <v>2076</v>
      </c>
    </row>
    <row r="10" spans="1:20" x14ac:dyDescent="0.35">
      <c r="A10" s="7" t="s">
        <v>58</v>
      </c>
      <c r="B10" s="12" t="s">
        <v>59</v>
      </c>
      <c r="C10">
        <v>164230171.54656681</v>
      </c>
      <c r="D10">
        <v>163963620.95982966</v>
      </c>
      <c r="E10">
        <v>121621.621621623</v>
      </c>
      <c r="F10">
        <v>189189.18918918999</v>
      </c>
      <c r="G10">
        <v>54</v>
      </c>
      <c r="H10">
        <v>33</v>
      </c>
      <c r="I10">
        <v>1</v>
      </c>
      <c r="K10">
        <v>61</v>
      </c>
      <c r="L10">
        <v>45</v>
      </c>
      <c r="M10">
        <v>3364864.8648648649</v>
      </c>
      <c r="N10">
        <v>4072072.072072071</v>
      </c>
      <c r="O10">
        <v>30493747.747747749</v>
      </c>
      <c r="P10">
        <v>32877342.342342343</v>
      </c>
      <c r="Q10">
        <v>2272252.2522522528</v>
      </c>
      <c r="R10">
        <v>3478198.1981981969</v>
      </c>
      <c r="S10">
        <v>5666</v>
      </c>
      <c r="T10">
        <v>5465</v>
      </c>
    </row>
    <row r="11" spans="1:20" x14ac:dyDescent="0.35">
      <c r="A11" s="7" t="s">
        <v>60</v>
      </c>
      <c r="B11" s="12" t="s">
        <v>61</v>
      </c>
      <c r="C11">
        <v>69485369.42422758</v>
      </c>
      <c r="D11">
        <v>73769973.028038844</v>
      </c>
      <c r="E11">
        <v>489189.18918919202</v>
      </c>
      <c r="F11">
        <v>566666.66666666605</v>
      </c>
      <c r="G11">
        <v>32</v>
      </c>
      <c r="H11">
        <v>27</v>
      </c>
      <c r="I11">
        <v>1</v>
      </c>
      <c r="K11">
        <v>49</v>
      </c>
      <c r="L11">
        <v>32</v>
      </c>
      <c r="M11">
        <v>10300000</v>
      </c>
      <c r="N11">
        <v>10872972.972972972</v>
      </c>
      <c r="O11">
        <v>31804603.603603605</v>
      </c>
      <c r="P11">
        <v>34914963.963963963</v>
      </c>
      <c r="Q11">
        <v>7944414.4144144151</v>
      </c>
      <c r="R11">
        <v>7551261.2612612601</v>
      </c>
      <c r="S11">
        <v>3025</v>
      </c>
      <c r="T11">
        <v>2902</v>
      </c>
    </row>
    <row r="12" spans="1:20" x14ac:dyDescent="0.35">
      <c r="A12" s="7" t="s">
        <v>62</v>
      </c>
      <c r="B12" s="12" t="s">
        <v>63</v>
      </c>
      <c r="C12">
        <v>317222862.38053179</v>
      </c>
      <c r="D12">
        <v>332384282.86308795</v>
      </c>
      <c r="E12">
        <v>3431981.9819819909</v>
      </c>
      <c r="F12">
        <v>2244144.1441441472</v>
      </c>
      <c r="G12">
        <v>35</v>
      </c>
      <c r="H12">
        <v>20</v>
      </c>
      <c r="K12">
        <v>39</v>
      </c>
      <c r="L12">
        <v>25</v>
      </c>
      <c r="M12">
        <v>54058738.738738745</v>
      </c>
      <c r="N12">
        <v>28742702.702702705</v>
      </c>
      <c r="O12">
        <v>33119358.558558561</v>
      </c>
      <c r="P12">
        <v>40995576.576576576</v>
      </c>
      <c r="Q12">
        <v>50368378.378378369</v>
      </c>
      <c r="R12">
        <v>33252522.52252252</v>
      </c>
      <c r="S12">
        <v>8725</v>
      </c>
      <c r="T12">
        <v>8857</v>
      </c>
    </row>
    <row r="13" spans="1:20" x14ac:dyDescent="0.35">
      <c r="A13" s="7" t="s">
        <v>64</v>
      </c>
      <c r="B13" s="12" t="s">
        <v>51</v>
      </c>
      <c r="C13">
        <v>169840654.37847415</v>
      </c>
      <c r="D13">
        <v>167914034.001632</v>
      </c>
      <c r="E13">
        <v>1860360.360360364</v>
      </c>
      <c r="F13">
        <v>1657207.2072072099</v>
      </c>
      <c r="G13">
        <v>63</v>
      </c>
      <c r="H13">
        <v>41</v>
      </c>
      <c r="K13">
        <v>97</v>
      </c>
      <c r="L13">
        <v>45</v>
      </c>
      <c r="M13">
        <v>47580720.720720723</v>
      </c>
      <c r="N13">
        <v>32116558.558558561</v>
      </c>
      <c r="O13">
        <v>64627144.144144148</v>
      </c>
      <c r="P13">
        <v>66870567.567567565</v>
      </c>
      <c r="Q13">
        <v>44241801.801801801</v>
      </c>
      <c r="R13">
        <v>32812342.342342343</v>
      </c>
      <c r="S13">
        <v>5606</v>
      </c>
      <c r="T13">
        <v>5560</v>
      </c>
    </row>
    <row r="14" spans="1:20" x14ac:dyDescent="0.35">
      <c r="A14" s="7" t="s">
        <v>65</v>
      </c>
      <c r="B14" s="12" t="s">
        <v>51</v>
      </c>
      <c r="C14">
        <v>173054214.37218636</v>
      </c>
      <c r="D14">
        <v>174919209.40731964</v>
      </c>
      <c r="E14">
        <v>2558558.558558559</v>
      </c>
      <c r="F14">
        <v>3120720.7207207228</v>
      </c>
      <c r="G14">
        <v>45</v>
      </c>
      <c r="H14">
        <v>27</v>
      </c>
      <c r="K14">
        <v>59</v>
      </c>
      <c r="L14">
        <v>29</v>
      </c>
      <c r="M14">
        <v>18442342.342342339</v>
      </c>
      <c r="N14">
        <v>31522342.342342343</v>
      </c>
      <c r="O14">
        <v>65897261.261261262</v>
      </c>
      <c r="P14">
        <v>66274657.657657653</v>
      </c>
      <c r="Q14">
        <v>16979909.909909908</v>
      </c>
      <c r="R14">
        <v>22348018.018018015</v>
      </c>
      <c r="S14">
        <v>5631</v>
      </c>
      <c r="T14">
        <v>5489</v>
      </c>
    </row>
    <row r="15" spans="1:20" x14ac:dyDescent="0.35">
      <c r="A15" s="7" t="s">
        <v>66</v>
      </c>
      <c r="B15" s="12" t="s">
        <v>67</v>
      </c>
      <c r="C15">
        <v>174916681.91737503</v>
      </c>
      <c r="D15">
        <v>176814533.4629719</v>
      </c>
      <c r="E15">
        <v>4100900.9009009032</v>
      </c>
      <c r="F15">
        <v>5163513.5135135129</v>
      </c>
      <c r="G15">
        <v>43</v>
      </c>
      <c r="H15">
        <v>39</v>
      </c>
      <c r="K15">
        <v>53</v>
      </c>
      <c r="L15">
        <v>49</v>
      </c>
      <c r="M15">
        <v>132663513.51351352</v>
      </c>
      <c r="N15">
        <v>120569594.5945946</v>
      </c>
      <c r="O15">
        <v>89032846.846846849</v>
      </c>
      <c r="P15">
        <v>86593171.171171173</v>
      </c>
      <c r="Q15">
        <v>79479279.279279277</v>
      </c>
      <c r="R15">
        <v>93517432.432432428</v>
      </c>
      <c r="S15">
        <v>5602</v>
      </c>
      <c r="T15">
        <v>5813</v>
      </c>
    </row>
    <row r="16" spans="1:20" x14ac:dyDescent="0.35">
      <c r="A16" s="7" t="s">
        <v>68</v>
      </c>
      <c r="B16" s="12" t="s">
        <v>69</v>
      </c>
      <c r="C16">
        <v>100266210.56365813</v>
      </c>
      <c r="D16">
        <v>106456761.40767591</v>
      </c>
      <c r="E16">
        <v>1036036.036036035</v>
      </c>
      <c r="F16">
        <v>617117.11711711797</v>
      </c>
      <c r="G16">
        <v>31</v>
      </c>
      <c r="H16">
        <v>15</v>
      </c>
      <c r="K16">
        <v>36</v>
      </c>
      <c r="L16">
        <v>17</v>
      </c>
      <c r="M16">
        <v>19659459.459459461</v>
      </c>
      <c r="N16">
        <v>16020270.270270271</v>
      </c>
      <c r="O16">
        <v>27150378.378378376</v>
      </c>
      <c r="P16">
        <v>31213153.153153151</v>
      </c>
      <c r="Q16">
        <v>12470000</v>
      </c>
      <c r="R16">
        <v>12043873.873873875</v>
      </c>
      <c r="S16">
        <v>3093</v>
      </c>
      <c r="T16">
        <v>3211</v>
      </c>
    </row>
    <row r="17" spans="1:20" x14ac:dyDescent="0.35">
      <c r="A17" s="7" t="s">
        <v>70</v>
      </c>
      <c r="B17" s="12" t="s">
        <v>71</v>
      </c>
      <c r="C17">
        <v>7955816.4130463116</v>
      </c>
      <c r="D17">
        <v>8078367.6116872383</v>
      </c>
      <c r="E17">
        <v>13513.513513514001</v>
      </c>
      <c r="G17">
        <v>2</v>
      </c>
      <c r="H17">
        <v>2</v>
      </c>
      <c r="K17">
        <v>2</v>
      </c>
      <c r="L17">
        <v>3</v>
      </c>
      <c r="M17">
        <v>193693.69369369399</v>
      </c>
      <c r="O17">
        <v>2361756.7567567569</v>
      </c>
      <c r="P17">
        <v>2808414.4144144142</v>
      </c>
      <c r="Q17">
        <v>194594.59459459499</v>
      </c>
      <c r="R17">
        <v>51351.351351350997</v>
      </c>
      <c r="S17">
        <v>620</v>
      </c>
      <c r="T17">
        <v>483</v>
      </c>
    </row>
    <row r="18" spans="1:20" x14ac:dyDescent="0.35">
      <c r="A18" s="7" t="s">
        <v>72</v>
      </c>
      <c r="B18" s="12" t="s">
        <v>73</v>
      </c>
      <c r="C18">
        <v>1397666364.9283979</v>
      </c>
      <c r="D18">
        <v>1431572536.1492147</v>
      </c>
      <c r="E18">
        <v>469587939.63963968</v>
      </c>
      <c r="F18">
        <v>514324736.93693697</v>
      </c>
      <c r="G18">
        <v>389</v>
      </c>
      <c r="H18">
        <v>492</v>
      </c>
      <c r="I18">
        <v>16</v>
      </c>
      <c r="K18">
        <v>677</v>
      </c>
      <c r="L18">
        <v>921</v>
      </c>
      <c r="M18">
        <v>165022529.72972974</v>
      </c>
      <c r="N18">
        <v>180550450.45045045</v>
      </c>
      <c r="O18">
        <v>280910610.36036032</v>
      </c>
      <c r="P18">
        <v>343977752.25225222</v>
      </c>
      <c r="Q18">
        <v>134228691.8918919</v>
      </c>
      <c r="R18">
        <v>150507700.9009009</v>
      </c>
      <c r="S18">
        <v>46775</v>
      </c>
      <c r="T18">
        <v>46895</v>
      </c>
    </row>
    <row r="19" spans="1:20" x14ac:dyDescent="0.35">
      <c r="A19" s="7" t="s">
        <v>74</v>
      </c>
      <c r="B19" s="12" t="s">
        <v>73</v>
      </c>
      <c r="C19">
        <v>136439419.61963755</v>
      </c>
      <c r="D19">
        <v>140168436.42445031</v>
      </c>
      <c r="E19">
        <v>109909.909909911</v>
      </c>
      <c r="F19">
        <v>36036.036036037003</v>
      </c>
      <c r="G19">
        <v>38</v>
      </c>
      <c r="H19">
        <v>23</v>
      </c>
      <c r="I19">
        <v>1</v>
      </c>
      <c r="K19">
        <v>40</v>
      </c>
      <c r="L19">
        <v>29</v>
      </c>
      <c r="M19">
        <v>4299099.0990990987</v>
      </c>
      <c r="N19">
        <v>4774774.774774774</v>
      </c>
      <c r="O19">
        <v>19805342.342342343</v>
      </c>
      <c r="P19">
        <v>21423261.261261258</v>
      </c>
      <c r="Q19">
        <v>4103963.963963964</v>
      </c>
      <c r="R19">
        <v>2578558.5585585581</v>
      </c>
      <c r="S19">
        <v>3386</v>
      </c>
      <c r="T19">
        <v>3622</v>
      </c>
    </row>
    <row r="20" spans="1:20" x14ac:dyDescent="0.35">
      <c r="A20" s="7" t="s">
        <v>75</v>
      </c>
      <c r="B20" s="12" t="s">
        <v>71</v>
      </c>
      <c r="C20">
        <v>139785725.94333816</v>
      </c>
      <c r="D20">
        <v>144094426.2327747</v>
      </c>
      <c r="E20">
        <v>3957657.6576576638</v>
      </c>
      <c r="F20">
        <v>2302252.25225225</v>
      </c>
      <c r="G20">
        <v>46</v>
      </c>
      <c r="H20">
        <v>22</v>
      </c>
      <c r="K20">
        <v>63</v>
      </c>
      <c r="L20">
        <v>56</v>
      </c>
      <c r="M20">
        <v>34209009.009009011</v>
      </c>
      <c r="N20">
        <v>33719369.369369373</v>
      </c>
      <c r="O20">
        <v>50469450.45045045</v>
      </c>
      <c r="P20">
        <v>52466576.576576576</v>
      </c>
      <c r="Q20">
        <v>31884684.684684686</v>
      </c>
      <c r="R20">
        <v>33107027.02702703</v>
      </c>
      <c r="S20">
        <v>4480</v>
      </c>
      <c r="T20">
        <v>4307</v>
      </c>
    </row>
    <row r="21" spans="1:20" x14ac:dyDescent="0.35">
      <c r="A21" s="7" t="s">
        <v>76</v>
      </c>
      <c r="B21" s="12" t="s">
        <v>77</v>
      </c>
      <c r="C21">
        <v>40353405.510924146</v>
      </c>
      <c r="D21">
        <v>42343881.945342794</v>
      </c>
      <c r="E21">
        <v>182882.88288288299</v>
      </c>
      <c r="F21">
        <v>360360.360360361</v>
      </c>
      <c r="G21">
        <v>7</v>
      </c>
      <c r="H21">
        <v>20</v>
      </c>
      <c r="K21">
        <v>8</v>
      </c>
      <c r="L21">
        <v>21</v>
      </c>
      <c r="M21">
        <v>5011891.8918918911</v>
      </c>
      <c r="N21">
        <v>6361261.2612612601</v>
      </c>
      <c r="O21">
        <v>10232405.405405406</v>
      </c>
      <c r="P21">
        <v>12903153.153153153</v>
      </c>
      <c r="Q21">
        <v>3391261.2612612611</v>
      </c>
      <c r="R21">
        <v>5154414.4144144142</v>
      </c>
      <c r="S21">
        <v>1264</v>
      </c>
      <c r="T21">
        <v>1511</v>
      </c>
    </row>
    <row r="22" spans="1:20" x14ac:dyDescent="0.35">
      <c r="A22" s="7" t="s">
        <v>78</v>
      </c>
      <c r="B22" s="12" t="s">
        <v>79</v>
      </c>
      <c r="C22">
        <v>86033917.963888153</v>
      </c>
      <c r="D22">
        <v>92419628.647824779</v>
      </c>
      <c r="E22">
        <v>1209009.0090090099</v>
      </c>
      <c r="F22">
        <v>1763063.063063063</v>
      </c>
      <c r="G22">
        <v>16</v>
      </c>
      <c r="H22">
        <v>22</v>
      </c>
      <c r="K22">
        <v>19</v>
      </c>
      <c r="L22">
        <v>36</v>
      </c>
      <c r="M22">
        <v>10605405.405405404</v>
      </c>
      <c r="N22">
        <v>15745045.045045044</v>
      </c>
      <c r="O22">
        <v>28078045.045045048</v>
      </c>
      <c r="P22">
        <v>29115198.198198199</v>
      </c>
      <c r="Q22">
        <v>11122882.882882884</v>
      </c>
      <c r="R22">
        <v>13231801.801801804</v>
      </c>
      <c r="S22">
        <v>2457</v>
      </c>
      <c r="T22">
        <v>2421</v>
      </c>
    </row>
    <row r="23" spans="1:20" x14ac:dyDescent="0.35">
      <c r="A23" s="7" t="s">
        <v>80</v>
      </c>
      <c r="B23" s="12" t="s">
        <v>81</v>
      </c>
      <c r="C23">
        <v>814950208.21989</v>
      </c>
      <c r="D23">
        <v>903726356.46500301</v>
      </c>
      <c r="E23">
        <v>3899099.0990991089</v>
      </c>
      <c r="F23">
        <v>9006756.7567567602</v>
      </c>
      <c r="G23">
        <v>569</v>
      </c>
      <c r="H23">
        <v>593</v>
      </c>
      <c r="I23">
        <v>6</v>
      </c>
      <c r="K23">
        <v>645</v>
      </c>
      <c r="L23">
        <v>903</v>
      </c>
      <c r="M23">
        <v>89886936.93693693</v>
      </c>
      <c r="N23">
        <v>114977927.92792793</v>
      </c>
      <c r="O23">
        <v>210316842.34234235</v>
      </c>
      <c r="P23">
        <v>261838502.7027027</v>
      </c>
      <c r="Q23">
        <v>74225225.22522521</v>
      </c>
      <c r="R23">
        <v>98548378.378378391</v>
      </c>
      <c r="S23">
        <v>26353</v>
      </c>
      <c r="T23">
        <v>26543</v>
      </c>
    </row>
    <row r="24" spans="1:20" x14ac:dyDescent="0.35">
      <c r="A24" s="7" t="s">
        <v>82</v>
      </c>
      <c r="B24" s="12" t="s">
        <v>55</v>
      </c>
      <c r="C24">
        <v>24684998.562972087</v>
      </c>
      <c r="D24">
        <v>23759649.939487223</v>
      </c>
      <c r="E24">
        <v>319819.81981982198</v>
      </c>
      <c r="F24">
        <v>36036.036036035999</v>
      </c>
      <c r="G24">
        <v>10</v>
      </c>
      <c r="H24">
        <v>3</v>
      </c>
      <c r="K24">
        <v>15</v>
      </c>
      <c r="L24">
        <v>5</v>
      </c>
      <c r="M24">
        <v>2036036.0360360369</v>
      </c>
      <c r="N24">
        <v>1565765.765765765</v>
      </c>
      <c r="O24">
        <v>5604099.0990990978</v>
      </c>
      <c r="P24">
        <v>6844045.0450450452</v>
      </c>
      <c r="Q24">
        <v>1680630.630630631</v>
      </c>
      <c r="R24">
        <v>1548468.4684684679</v>
      </c>
      <c r="S24">
        <v>1441</v>
      </c>
      <c r="T24">
        <v>1278</v>
      </c>
    </row>
    <row r="25" spans="1:20" x14ac:dyDescent="0.35">
      <c r="A25" s="7" t="s">
        <v>83</v>
      </c>
      <c r="B25" s="12" t="s">
        <v>84</v>
      </c>
      <c r="C25">
        <v>586337857.15585053</v>
      </c>
      <c r="D25">
        <v>599716207.69758952</v>
      </c>
      <c r="E25">
        <v>6338063.0630630637</v>
      </c>
      <c r="F25">
        <v>10492792.792792797</v>
      </c>
      <c r="G25">
        <v>104</v>
      </c>
      <c r="H25">
        <v>72</v>
      </c>
      <c r="I25">
        <v>1</v>
      </c>
      <c r="K25">
        <v>125</v>
      </c>
      <c r="L25">
        <v>81</v>
      </c>
      <c r="M25">
        <v>143541891.8918919</v>
      </c>
      <c r="N25">
        <v>115572522.52252252</v>
      </c>
      <c r="O25">
        <v>172125466.21621624</v>
      </c>
      <c r="P25">
        <v>181719185.58558559</v>
      </c>
      <c r="Q25">
        <v>93513963.963963971</v>
      </c>
      <c r="R25">
        <v>102092792.7927928</v>
      </c>
      <c r="S25">
        <v>15174</v>
      </c>
      <c r="T25">
        <v>15549</v>
      </c>
    </row>
    <row r="26" spans="1:20" x14ac:dyDescent="0.35">
      <c r="A26" s="7" t="s">
        <v>85</v>
      </c>
      <c r="B26" s="12" t="s">
        <v>86</v>
      </c>
      <c r="C26">
        <v>52925231.298155516</v>
      </c>
      <c r="D26">
        <v>47644848.998256259</v>
      </c>
      <c r="E26">
        <v>1151126.126126128</v>
      </c>
      <c r="F26">
        <v>2407207.2072072071</v>
      </c>
      <c r="G26">
        <v>31</v>
      </c>
      <c r="H26">
        <v>76</v>
      </c>
      <c r="K26">
        <v>39</v>
      </c>
      <c r="L26">
        <v>98</v>
      </c>
      <c r="M26">
        <v>90121621.621621609</v>
      </c>
      <c r="N26">
        <v>98527027.027027026</v>
      </c>
      <c r="O26">
        <v>19637837.837837838</v>
      </c>
      <c r="P26">
        <v>25487441.441441439</v>
      </c>
      <c r="Q26">
        <v>71246216.216216221</v>
      </c>
      <c r="R26">
        <v>76510086.48648648</v>
      </c>
      <c r="S26">
        <v>2116</v>
      </c>
      <c r="T26">
        <v>2204</v>
      </c>
    </row>
    <row r="27" spans="1:20" x14ac:dyDescent="0.35">
      <c r="A27" s="7" t="s">
        <v>87</v>
      </c>
      <c r="B27" s="12" t="s">
        <v>88</v>
      </c>
      <c r="C27">
        <v>2003223.3622395771</v>
      </c>
      <c r="D27">
        <v>2442485.0726205711</v>
      </c>
      <c r="E27">
        <v>46059541.441441439</v>
      </c>
      <c r="F27">
        <v>55343406.306306303</v>
      </c>
      <c r="G27">
        <v>1</v>
      </c>
      <c r="K27">
        <v>1</v>
      </c>
      <c r="N27">
        <v>2702702.702702703</v>
      </c>
      <c r="O27">
        <v>913342.34234234295</v>
      </c>
      <c r="P27">
        <v>1375090.0900900899</v>
      </c>
      <c r="S27">
        <v>180</v>
      </c>
      <c r="T27">
        <v>144</v>
      </c>
    </row>
    <row r="28" spans="1:20" x14ac:dyDescent="0.35">
      <c r="A28" s="7" t="s">
        <v>89</v>
      </c>
      <c r="B28" s="12" t="s">
        <v>90</v>
      </c>
      <c r="C28">
        <v>118107452.43074152</v>
      </c>
      <c r="D28">
        <v>131518591.4027164</v>
      </c>
      <c r="E28">
        <v>964864.86486486695</v>
      </c>
      <c r="F28">
        <v>1609909.909909911</v>
      </c>
      <c r="G28">
        <v>16</v>
      </c>
      <c r="H28">
        <v>7</v>
      </c>
      <c r="K28">
        <v>17</v>
      </c>
      <c r="L28">
        <v>9</v>
      </c>
      <c r="M28">
        <v>14893873.873873873</v>
      </c>
      <c r="N28">
        <v>24228648.648648649</v>
      </c>
      <c r="O28">
        <v>41108081.081081077</v>
      </c>
      <c r="P28">
        <v>46315153.153153151</v>
      </c>
      <c r="Q28">
        <v>15967747.747747745</v>
      </c>
      <c r="R28">
        <v>24795675.675675675</v>
      </c>
      <c r="S28">
        <v>3273</v>
      </c>
      <c r="T28">
        <v>3297</v>
      </c>
    </row>
    <row r="29" spans="1:20" x14ac:dyDescent="0.35">
      <c r="A29" s="7" t="s">
        <v>91</v>
      </c>
      <c r="B29" s="12" t="s">
        <v>61</v>
      </c>
      <c r="C29">
        <v>43404649.098321274</v>
      </c>
      <c r="D29">
        <v>43703142.603762321</v>
      </c>
      <c r="E29">
        <v>98198.198198198996</v>
      </c>
      <c r="F29">
        <v>483783.78378378501</v>
      </c>
      <c r="G29">
        <v>9</v>
      </c>
      <c r="H29">
        <v>13</v>
      </c>
      <c r="K29">
        <v>102</v>
      </c>
      <c r="L29">
        <v>94</v>
      </c>
      <c r="M29">
        <v>3359459.4594594599</v>
      </c>
      <c r="N29">
        <v>4934234.2342342343</v>
      </c>
      <c r="O29">
        <v>26097207.207207207</v>
      </c>
      <c r="P29">
        <v>24842090.090090089</v>
      </c>
      <c r="Q29">
        <v>3384774.774774774</v>
      </c>
      <c r="R29">
        <v>5450900.9009009013</v>
      </c>
      <c r="S29">
        <v>1545</v>
      </c>
      <c r="T29">
        <v>1820</v>
      </c>
    </row>
    <row r="30" spans="1:20" x14ac:dyDescent="0.35">
      <c r="A30" s="7" t="s">
        <v>92</v>
      </c>
      <c r="B30" s="12" t="s">
        <v>93</v>
      </c>
      <c r="C30">
        <v>35465928.50647904</v>
      </c>
      <c r="D30">
        <v>32114989.221959569</v>
      </c>
      <c r="E30">
        <v>31191891.891891893</v>
      </c>
      <c r="F30">
        <v>12047747.747747747</v>
      </c>
      <c r="G30">
        <v>9</v>
      </c>
      <c r="H30">
        <v>3</v>
      </c>
      <c r="K30">
        <v>12</v>
      </c>
      <c r="L30">
        <v>6</v>
      </c>
      <c r="M30">
        <v>11110810.810810812</v>
      </c>
      <c r="N30">
        <v>19536486.486486487</v>
      </c>
      <c r="O30">
        <v>11305549.54954955</v>
      </c>
      <c r="P30">
        <v>11629441.441441439</v>
      </c>
      <c r="Q30">
        <v>11529279.27927928</v>
      </c>
      <c r="R30">
        <v>19084324.324324325</v>
      </c>
      <c r="S30">
        <v>1102</v>
      </c>
      <c r="T30">
        <v>1059</v>
      </c>
    </row>
    <row r="31" spans="1:20" x14ac:dyDescent="0.35">
      <c r="A31" s="7" t="s">
        <v>94</v>
      </c>
      <c r="B31" s="12" t="s">
        <v>95</v>
      </c>
      <c r="C31">
        <v>154902492.98826084</v>
      </c>
      <c r="D31">
        <v>168047189.97452191</v>
      </c>
      <c r="E31">
        <v>303603.60360360501</v>
      </c>
      <c r="F31">
        <v>63063.063063064001</v>
      </c>
      <c r="G31">
        <v>27</v>
      </c>
      <c r="H31">
        <v>11</v>
      </c>
      <c r="K31">
        <v>30</v>
      </c>
      <c r="L31">
        <v>13</v>
      </c>
      <c r="M31">
        <v>18821621.621621624</v>
      </c>
      <c r="N31">
        <v>22072072.072072074</v>
      </c>
      <c r="O31">
        <v>22485935.135135137</v>
      </c>
      <c r="P31">
        <v>29016624.324324325</v>
      </c>
      <c r="Q31">
        <v>15191891.891891891</v>
      </c>
      <c r="R31">
        <v>21331621.62162162</v>
      </c>
      <c r="S31">
        <v>4370</v>
      </c>
      <c r="T31">
        <v>4520</v>
      </c>
    </row>
    <row r="32" spans="1:20" x14ac:dyDescent="0.35">
      <c r="A32" s="7" t="s">
        <v>96</v>
      </c>
      <c r="B32" s="12" t="s">
        <v>97</v>
      </c>
      <c r="C32">
        <v>160386369.55296335</v>
      </c>
      <c r="D32">
        <v>167770105.54444954</v>
      </c>
      <c r="E32">
        <v>749549.54954955098</v>
      </c>
      <c r="F32">
        <v>909009.00900901295</v>
      </c>
      <c r="G32">
        <v>31</v>
      </c>
      <c r="H32">
        <v>55</v>
      </c>
      <c r="I32">
        <v>1</v>
      </c>
      <c r="K32">
        <v>37</v>
      </c>
      <c r="L32">
        <v>57</v>
      </c>
      <c r="M32">
        <v>34491891.891891889</v>
      </c>
      <c r="N32">
        <v>22067117.117117122</v>
      </c>
      <c r="O32">
        <v>79020972.972972974</v>
      </c>
      <c r="P32">
        <v>82436279.279279277</v>
      </c>
      <c r="Q32">
        <v>30416126.126126125</v>
      </c>
      <c r="R32">
        <v>25522252.252252251</v>
      </c>
      <c r="S32">
        <v>5948</v>
      </c>
      <c r="T32">
        <v>6100</v>
      </c>
    </row>
    <row r="33" spans="1:20" x14ac:dyDescent="0.35">
      <c r="A33" s="7" t="s">
        <v>98</v>
      </c>
      <c r="B33" s="12" t="s">
        <v>99</v>
      </c>
      <c r="C33">
        <v>567461763.15018427</v>
      </c>
      <c r="D33">
        <v>570248020.23511338</v>
      </c>
      <c r="E33">
        <v>49554054.054054059</v>
      </c>
      <c r="F33">
        <v>207883783.78378376</v>
      </c>
      <c r="G33">
        <v>226</v>
      </c>
      <c r="H33">
        <v>95</v>
      </c>
      <c r="K33">
        <v>264</v>
      </c>
      <c r="L33">
        <v>121</v>
      </c>
      <c r="M33">
        <v>134547522.52252254</v>
      </c>
      <c r="N33">
        <v>184217522.52252254</v>
      </c>
      <c r="O33">
        <v>146022163.06306309</v>
      </c>
      <c r="P33">
        <v>160294792.7927928</v>
      </c>
      <c r="Q33">
        <v>71295855.855855852</v>
      </c>
      <c r="R33">
        <v>128356081.08108109</v>
      </c>
      <c r="S33">
        <v>21806</v>
      </c>
      <c r="T33">
        <v>22512</v>
      </c>
    </row>
    <row r="34" spans="1:20" x14ac:dyDescent="0.35">
      <c r="A34" s="7" t="s">
        <v>100</v>
      </c>
      <c r="B34" s="12" t="s">
        <v>99</v>
      </c>
      <c r="C34">
        <v>921281371.60051429</v>
      </c>
      <c r="D34">
        <v>938011862.27456677</v>
      </c>
      <c r="E34">
        <v>4021340.5405405462</v>
      </c>
      <c r="F34">
        <v>3234590.9909909968</v>
      </c>
      <c r="G34">
        <v>274</v>
      </c>
      <c r="H34">
        <v>285</v>
      </c>
      <c r="I34">
        <v>10</v>
      </c>
      <c r="K34">
        <v>435</v>
      </c>
      <c r="L34">
        <v>445</v>
      </c>
      <c r="M34">
        <v>54399099.099099107</v>
      </c>
      <c r="N34">
        <v>243401126.12612611</v>
      </c>
      <c r="O34">
        <v>177136150.9009009</v>
      </c>
      <c r="P34">
        <v>194746718.91891891</v>
      </c>
      <c r="Q34">
        <v>48765225.225225225</v>
      </c>
      <c r="R34">
        <v>61284009.009009011</v>
      </c>
      <c r="S34">
        <v>28930</v>
      </c>
      <c r="T34">
        <v>28033</v>
      </c>
    </row>
    <row r="35" spans="1:20" x14ac:dyDescent="0.35">
      <c r="A35" s="7" t="s">
        <v>101</v>
      </c>
      <c r="B35" s="12" t="s">
        <v>99</v>
      </c>
      <c r="C35">
        <v>1081406815.4021578</v>
      </c>
      <c r="D35">
        <v>1498285371.4515839</v>
      </c>
      <c r="E35">
        <v>9409009.0090090204</v>
      </c>
      <c r="F35">
        <v>6841524.3243243257</v>
      </c>
      <c r="G35">
        <v>224</v>
      </c>
      <c r="H35">
        <v>112</v>
      </c>
      <c r="I35">
        <v>17</v>
      </c>
      <c r="K35">
        <v>532</v>
      </c>
      <c r="L35">
        <v>170</v>
      </c>
      <c r="M35">
        <v>266555630.63063061</v>
      </c>
      <c r="N35">
        <v>199078010.8108108</v>
      </c>
      <c r="O35">
        <v>412966254.5045045</v>
      </c>
      <c r="P35">
        <v>780095421.62162161</v>
      </c>
      <c r="Q35">
        <v>78893738.738738731</v>
      </c>
      <c r="R35">
        <v>100164144.14414415</v>
      </c>
      <c r="S35">
        <v>34302</v>
      </c>
      <c r="T35">
        <v>33022</v>
      </c>
    </row>
    <row r="36" spans="1:20" x14ac:dyDescent="0.35">
      <c r="A36" s="7" t="s">
        <v>102</v>
      </c>
      <c r="B36" s="12" t="s">
        <v>99</v>
      </c>
      <c r="C36">
        <v>529427352.43731189</v>
      </c>
      <c r="D36">
        <v>538894073.42051947</v>
      </c>
      <c r="E36">
        <v>2723423.4234234262</v>
      </c>
      <c r="F36">
        <v>2619819.819819822</v>
      </c>
      <c r="G36">
        <v>151</v>
      </c>
      <c r="H36">
        <v>97</v>
      </c>
      <c r="I36">
        <v>5</v>
      </c>
      <c r="K36">
        <v>190</v>
      </c>
      <c r="L36">
        <v>146</v>
      </c>
      <c r="M36">
        <v>45823423.423423424</v>
      </c>
      <c r="N36">
        <v>49641157.657657661</v>
      </c>
      <c r="O36">
        <v>117076504.5045045</v>
      </c>
      <c r="P36">
        <v>121531117.11711712</v>
      </c>
      <c r="Q36">
        <v>38499729.729729727</v>
      </c>
      <c r="R36">
        <v>43814234.234234244</v>
      </c>
      <c r="S36">
        <v>21128</v>
      </c>
      <c r="T36">
        <v>21654</v>
      </c>
    </row>
    <row r="37" spans="1:20" x14ac:dyDescent="0.35">
      <c r="A37" s="7" t="s">
        <v>103</v>
      </c>
      <c r="B37" s="12" t="s">
        <v>99</v>
      </c>
      <c r="C37">
        <v>598283702.88926649</v>
      </c>
      <c r="D37">
        <v>622537796.67613924</v>
      </c>
      <c r="E37">
        <v>5372072.0720720729</v>
      </c>
      <c r="F37">
        <v>4896846.8468468478</v>
      </c>
      <c r="G37">
        <v>135</v>
      </c>
      <c r="H37">
        <v>44</v>
      </c>
      <c r="K37">
        <v>191</v>
      </c>
      <c r="L37">
        <v>62</v>
      </c>
      <c r="M37">
        <v>87129729.729729727</v>
      </c>
      <c r="N37">
        <v>164122522.52252254</v>
      </c>
      <c r="O37">
        <v>172474182.43243241</v>
      </c>
      <c r="P37">
        <v>180042477.47747746</v>
      </c>
      <c r="Q37">
        <v>92060360.360360369</v>
      </c>
      <c r="R37">
        <v>113182882.88288288</v>
      </c>
      <c r="S37">
        <v>24838</v>
      </c>
      <c r="T37">
        <v>25192</v>
      </c>
    </row>
    <row r="38" spans="1:20" x14ac:dyDescent="0.35">
      <c r="A38" s="7" t="s">
        <v>104</v>
      </c>
      <c r="B38" s="12" t="s">
        <v>99</v>
      </c>
      <c r="C38">
        <v>1538049991.4633431</v>
      </c>
      <c r="D38">
        <v>1552257465.1563952</v>
      </c>
      <c r="E38">
        <v>497444669.36936939</v>
      </c>
      <c r="F38">
        <v>896708927.02702713</v>
      </c>
      <c r="G38">
        <v>412</v>
      </c>
      <c r="H38">
        <v>214</v>
      </c>
      <c r="I38">
        <v>16</v>
      </c>
      <c r="K38">
        <v>610</v>
      </c>
      <c r="L38">
        <v>264</v>
      </c>
      <c r="M38">
        <v>158233636.93693691</v>
      </c>
      <c r="N38">
        <v>405620270.27027029</v>
      </c>
      <c r="O38">
        <v>329433070.27027029</v>
      </c>
      <c r="P38">
        <v>337602414.41441441</v>
      </c>
      <c r="Q38">
        <v>146309189.1891892</v>
      </c>
      <c r="R38">
        <v>164172342.34234235</v>
      </c>
      <c r="S38">
        <v>53882</v>
      </c>
      <c r="T38">
        <v>56634</v>
      </c>
    </row>
    <row r="39" spans="1:20" x14ac:dyDescent="0.35">
      <c r="A39" s="7" t="s">
        <v>105</v>
      </c>
      <c r="B39" s="12" t="s">
        <v>106</v>
      </c>
      <c r="C39">
        <v>105994781.39621794</v>
      </c>
      <c r="D39">
        <v>99339306.749719769</v>
      </c>
      <c r="E39">
        <v>809909.90990991006</v>
      </c>
      <c r="F39">
        <v>163063.06306306299</v>
      </c>
      <c r="G39">
        <v>18</v>
      </c>
      <c r="H39">
        <v>11</v>
      </c>
      <c r="K39">
        <v>19</v>
      </c>
      <c r="L39">
        <v>11</v>
      </c>
      <c r="M39">
        <v>1260360.36036036</v>
      </c>
      <c r="N39">
        <v>163063.06306306299</v>
      </c>
      <c r="O39">
        <v>22254711.711711712</v>
      </c>
      <c r="P39">
        <v>24798828.828828827</v>
      </c>
      <c r="Q39">
        <v>604054.05405405501</v>
      </c>
      <c r="R39">
        <v>232432.43243243301</v>
      </c>
      <c r="S39">
        <v>2400</v>
      </c>
      <c r="T39">
        <v>2662</v>
      </c>
    </row>
    <row r="40" spans="1:20" x14ac:dyDescent="0.35">
      <c r="A40" s="7" t="s">
        <v>107</v>
      </c>
      <c r="B40" s="12" t="s">
        <v>55</v>
      </c>
      <c r="C40">
        <v>35243309.658276334</v>
      </c>
      <c r="D40">
        <v>35576590.95849815</v>
      </c>
      <c r="E40">
        <v>21621.621621621998</v>
      </c>
      <c r="F40">
        <v>581981.98198198096</v>
      </c>
      <c r="G40">
        <v>24</v>
      </c>
      <c r="H40">
        <v>18</v>
      </c>
      <c r="I40">
        <v>5</v>
      </c>
      <c r="K40">
        <v>28</v>
      </c>
      <c r="L40">
        <v>45</v>
      </c>
      <c r="M40">
        <v>957117.11711711704</v>
      </c>
      <c r="N40">
        <v>2041081.0810810821</v>
      </c>
      <c r="O40">
        <v>9337117.1171171181</v>
      </c>
      <c r="P40">
        <v>9503369.3693693671</v>
      </c>
      <c r="Q40">
        <v>1216306.306306306</v>
      </c>
      <c r="R40">
        <v>2032792.792792792</v>
      </c>
      <c r="S40">
        <v>1379</v>
      </c>
      <c r="T40">
        <v>1307</v>
      </c>
    </row>
    <row r="41" spans="1:20" x14ac:dyDescent="0.35">
      <c r="A41" s="7" t="s">
        <v>108</v>
      </c>
      <c r="B41" s="12" t="s">
        <v>109</v>
      </c>
      <c r="C41">
        <v>294886633.03873587</v>
      </c>
      <c r="D41">
        <v>311571173.51031715</v>
      </c>
      <c r="E41">
        <v>3551351.3513513552</v>
      </c>
      <c r="F41">
        <v>2916666.6666666688</v>
      </c>
      <c r="G41">
        <v>82</v>
      </c>
      <c r="H41">
        <v>46</v>
      </c>
      <c r="I41">
        <v>1</v>
      </c>
      <c r="K41">
        <v>98</v>
      </c>
      <c r="L41">
        <v>63</v>
      </c>
      <c r="M41">
        <v>45773153.153153151</v>
      </c>
      <c r="N41">
        <v>40206756.75675676</v>
      </c>
      <c r="O41">
        <v>66552432.432432435</v>
      </c>
      <c r="P41">
        <v>66794162.162162162</v>
      </c>
      <c r="Q41">
        <v>37623153.153153151</v>
      </c>
      <c r="R41">
        <v>35449369.369369373</v>
      </c>
      <c r="S41">
        <v>9907</v>
      </c>
      <c r="T41">
        <v>9333</v>
      </c>
    </row>
    <row r="42" spans="1:20" x14ac:dyDescent="0.35">
      <c r="A42" s="7" t="s">
        <v>110</v>
      </c>
      <c r="B42" s="12" t="s">
        <v>109</v>
      </c>
      <c r="C42">
        <v>420154657.57811272</v>
      </c>
      <c r="D42">
        <v>430699815.48611856</v>
      </c>
      <c r="E42">
        <v>3792109.9099099152</v>
      </c>
      <c r="F42">
        <v>8485891.8918919042</v>
      </c>
      <c r="G42">
        <v>142</v>
      </c>
      <c r="H42">
        <v>66</v>
      </c>
      <c r="K42">
        <v>236</v>
      </c>
      <c r="L42">
        <v>126</v>
      </c>
      <c r="M42">
        <v>29032434.234234232</v>
      </c>
      <c r="N42">
        <v>304849855.85585588</v>
      </c>
      <c r="O42">
        <v>123545441.44144145</v>
      </c>
      <c r="P42">
        <v>117613837.83783785</v>
      </c>
      <c r="Q42">
        <v>113271621.62162161</v>
      </c>
      <c r="R42">
        <v>149611171.17117116</v>
      </c>
      <c r="S42">
        <v>14771</v>
      </c>
      <c r="T42">
        <v>13975</v>
      </c>
    </row>
    <row r="43" spans="1:20" x14ac:dyDescent="0.35">
      <c r="A43" s="7" t="s">
        <v>111</v>
      </c>
      <c r="B43" s="12" t="s">
        <v>112</v>
      </c>
      <c r="C43">
        <v>477860605.50993735</v>
      </c>
      <c r="D43">
        <v>503901783.99889898</v>
      </c>
      <c r="E43">
        <v>90101801.801801801</v>
      </c>
      <c r="F43">
        <v>173513513.51351351</v>
      </c>
      <c r="G43">
        <v>135</v>
      </c>
      <c r="H43">
        <v>101</v>
      </c>
      <c r="K43">
        <v>299</v>
      </c>
      <c r="L43">
        <v>186</v>
      </c>
      <c r="M43">
        <v>50661105.405405402</v>
      </c>
      <c r="N43">
        <v>44199369.369369365</v>
      </c>
      <c r="O43">
        <v>167208963.96396396</v>
      </c>
      <c r="P43">
        <v>178999909.90990993</v>
      </c>
      <c r="Q43">
        <v>44722702.702702694</v>
      </c>
      <c r="R43">
        <v>41438018.018018015</v>
      </c>
      <c r="S43">
        <v>18888</v>
      </c>
      <c r="T43">
        <v>19445</v>
      </c>
    </row>
    <row r="44" spans="1:20" x14ac:dyDescent="0.35">
      <c r="A44" s="7" t="s">
        <v>113</v>
      </c>
      <c r="B44" s="12" t="s">
        <v>112</v>
      </c>
      <c r="C44">
        <v>624556350.11746204</v>
      </c>
      <c r="D44">
        <v>641927843.92308187</v>
      </c>
      <c r="E44">
        <v>8740540.540540548</v>
      </c>
      <c r="F44">
        <v>39570487.387387395</v>
      </c>
      <c r="G44">
        <v>240</v>
      </c>
      <c r="H44">
        <v>66</v>
      </c>
      <c r="I44">
        <v>1</v>
      </c>
      <c r="K44">
        <v>384</v>
      </c>
      <c r="L44">
        <v>139</v>
      </c>
      <c r="M44">
        <v>53281904.504504502</v>
      </c>
      <c r="N44">
        <v>80326163.06306307</v>
      </c>
      <c r="O44">
        <v>230206869.36936939</v>
      </c>
      <c r="P44">
        <v>227235846.84684685</v>
      </c>
      <c r="Q44">
        <v>53321981.981981978</v>
      </c>
      <c r="R44">
        <v>93688918.918918908</v>
      </c>
      <c r="S44">
        <v>26955</v>
      </c>
      <c r="T44">
        <v>27388</v>
      </c>
    </row>
    <row r="45" spans="1:20" x14ac:dyDescent="0.35">
      <c r="A45" s="7" t="s">
        <v>114</v>
      </c>
      <c r="B45" s="12" t="s">
        <v>112</v>
      </c>
      <c r="C45">
        <v>854212461.41958737</v>
      </c>
      <c r="D45">
        <v>437542358.12929666</v>
      </c>
      <c r="E45">
        <v>4260135.1351351431</v>
      </c>
      <c r="F45">
        <v>6982892.7927928008</v>
      </c>
      <c r="G45">
        <v>170</v>
      </c>
      <c r="H45">
        <v>87</v>
      </c>
      <c r="K45">
        <v>401</v>
      </c>
      <c r="L45">
        <v>240</v>
      </c>
      <c r="M45">
        <v>479202537.83783782</v>
      </c>
      <c r="N45">
        <v>624483072.97297287</v>
      </c>
      <c r="O45">
        <v>566871863.06306303</v>
      </c>
      <c r="P45">
        <v>139066783.78378376</v>
      </c>
      <c r="Q45">
        <v>28468648.648648653</v>
      </c>
      <c r="R45">
        <v>30454684.684684679</v>
      </c>
      <c r="S45">
        <v>14882</v>
      </c>
      <c r="T45">
        <v>15967</v>
      </c>
    </row>
    <row r="46" spans="1:20" x14ac:dyDescent="0.35">
      <c r="A46" s="7" t="s">
        <v>115</v>
      </c>
      <c r="B46" s="12" t="s">
        <v>112</v>
      </c>
      <c r="C46">
        <v>502403008.33906692</v>
      </c>
      <c r="D46">
        <v>1105797923.6377039</v>
      </c>
      <c r="E46">
        <v>5873648.6486486569</v>
      </c>
      <c r="F46">
        <v>5311711.7117117159</v>
      </c>
      <c r="G46">
        <v>200</v>
      </c>
      <c r="H46">
        <v>109</v>
      </c>
      <c r="I46">
        <v>9</v>
      </c>
      <c r="K46">
        <v>558</v>
      </c>
      <c r="L46">
        <v>215</v>
      </c>
      <c r="M46">
        <v>48268828.828828841</v>
      </c>
      <c r="N46">
        <v>51152792.79279279</v>
      </c>
      <c r="O46">
        <v>145511855.85585585</v>
      </c>
      <c r="P46">
        <v>741974387.38738739</v>
      </c>
      <c r="Q46">
        <v>42487657.657657653</v>
      </c>
      <c r="R46">
        <v>47236666.666666672</v>
      </c>
      <c r="S46">
        <v>19846</v>
      </c>
      <c r="T46">
        <v>19460</v>
      </c>
    </row>
    <row r="47" spans="1:20" x14ac:dyDescent="0.35">
      <c r="A47" s="7" t="s">
        <v>116</v>
      </c>
      <c r="B47" s="12" t="s">
        <v>112</v>
      </c>
      <c r="C47">
        <v>618110904.28067887</v>
      </c>
      <c r="D47">
        <v>611413959.01798856</v>
      </c>
      <c r="E47">
        <v>1228518281.0810812</v>
      </c>
      <c r="F47">
        <v>1001156852.2522523</v>
      </c>
      <c r="G47">
        <v>280</v>
      </c>
      <c r="H47">
        <v>186</v>
      </c>
      <c r="K47">
        <v>480</v>
      </c>
      <c r="L47">
        <v>328</v>
      </c>
      <c r="M47">
        <v>640956315.31531537</v>
      </c>
      <c r="N47">
        <v>156945027.92792794</v>
      </c>
      <c r="O47">
        <v>194148584.23423424</v>
      </c>
      <c r="P47">
        <v>166514441.44144145</v>
      </c>
      <c r="Q47">
        <v>108123329.72972973</v>
      </c>
      <c r="R47">
        <v>117325495.4954955</v>
      </c>
      <c r="S47">
        <v>22898</v>
      </c>
      <c r="T47">
        <v>22837</v>
      </c>
    </row>
    <row r="48" spans="1:20" x14ac:dyDescent="0.35">
      <c r="A48" s="7" t="s">
        <v>117</v>
      </c>
      <c r="B48" s="12" t="s">
        <v>55</v>
      </c>
      <c r="C48">
        <v>33021570.219706886</v>
      </c>
      <c r="D48">
        <v>33649714.676883765</v>
      </c>
      <c r="E48">
        <v>831306.30630630604</v>
      </c>
      <c r="F48">
        <v>932432.43243243196</v>
      </c>
      <c r="G48">
        <v>8</v>
      </c>
      <c r="H48">
        <v>4</v>
      </c>
      <c r="K48">
        <v>8</v>
      </c>
      <c r="L48">
        <v>5</v>
      </c>
      <c r="M48">
        <v>3128828.8288288279</v>
      </c>
      <c r="N48">
        <v>5436936.9369369382</v>
      </c>
      <c r="O48">
        <v>8098666.666666666</v>
      </c>
      <c r="P48">
        <v>8864693.6936936937</v>
      </c>
      <c r="Q48">
        <v>2784954.9549549539</v>
      </c>
      <c r="R48">
        <v>4487567.5675675683</v>
      </c>
      <c r="S48">
        <v>1048</v>
      </c>
      <c r="T48">
        <v>939</v>
      </c>
    </row>
    <row r="49" spans="1:20" x14ac:dyDescent="0.35">
      <c r="A49" s="7" t="s">
        <v>119</v>
      </c>
      <c r="B49" s="12" t="s">
        <v>79</v>
      </c>
      <c r="C49">
        <v>284956796.82792085</v>
      </c>
      <c r="D49">
        <v>310846460.6500777</v>
      </c>
      <c r="E49">
        <v>266495830.63063061</v>
      </c>
      <c r="F49">
        <v>489641351.35135138</v>
      </c>
      <c r="G49">
        <v>97</v>
      </c>
      <c r="H49">
        <v>116</v>
      </c>
      <c r="I49">
        <v>3</v>
      </c>
      <c r="K49">
        <v>131</v>
      </c>
      <c r="L49">
        <v>156</v>
      </c>
      <c r="M49">
        <v>70046396.396396399</v>
      </c>
      <c r="N49">
        <v>66600450.45045045</v>
      </c>
      <c r="O49">
        <v>112746804.05405405</v>
      </c>
      <c r="P49">
        <v>122013576.57657658</v>
      </c>
      <c r="Q49">
        <v>64997117.117117122</v>
      </c>
      <c r="R49">
        <v>62725405.40540541</v>
      </c>
      <c r="S49">
        <v>11176</v>
      </c>
      <c r="T49">
        <v>11399</v>
      </c>
    </row>
    <row r="50" spans="1:20" x14ac:dyDescent="0.35">
      <c r="A50" s="7" t="s">
        <v>120</v>
      </c>
      <c r="B50" s="12" t="s">
        <v>51</v>
      </c>
      <c r="C50">
        <v>89810670.455642164</v>
      </c>
      <c r="D50">
        <v>90832731.785608768</v>
      </c>
      <c r="E50">
        <v>1996396.3963963969</v>
      </c>
      <c r="F50">
        <v>470270.27027027297</v>
      </c>
      <c r="G50">
        <v>35</v>
      </c>
      <c r="H50">
        <v>13</v>
      </c>
      <c r="K50">
        <v>36</v>
      </c>
      <c r="L50">
        <v>16</v>
      </c>
      <c r="M50">
        <v>39024324.324324325</v>
      </c>
      <c r="N50">
        <v>11976396.396396397</v>
      </c>
      <c r="O50">
        <v>32676783.783783782</v>
      </c>
      <c r="P50">
        <v>34148162.162162162</v>
      </c>
      <c r="Q50">
        <v>36048018.018018015</v>
      </c>
      <c r="R50">
        <v>12629279.27927928</v>
      </c>
      <c r="S50">
        <v>2504</v>
      </c>
      <c r="T50">
        <v>2379</v>
      </c>
    </row>
    <row r="51" spans="1:20" x14ac:dyDescent="0.35">
      <c r="A51" s="7" t="s">
        <v>121</v>
      </c>
      <c r="B51" s="12" t="s">
        <v>122</v>
      </c>
      <c r="C51">
        <v>306325318.32429659</v>
      </c>
      <c r="D51">
        <v>294265631.66293323</v>
      </c>
      <c r="E51">
        <v>2270495.4954954991</v>
      </c>
      <c r="F51">
        <v>1624324.3243243259</v>
      </c>
      <c r="G51">
        <v>107</v>
      </c>
      <c r="H51">
        <v>97</v>
      </c>
      <c r="K51">
        <v>129</v>
      </c>
      <c r="L51">
        <v>110</v>
      </c>
      <c r="M51">
        <v>11872972.972972974</v>
      </c>
      <c r="N51">
        <v>10768468.468468469</v>
      </c>
      <c r="O51">
        <v>23544621.62162162</v>
      </c>
      <c r="P51">
        <v>27204288.288288288</v>
      </c>
      <c r="Q51">
        <v>8793693.6936936937</v>
      </c>
      <c r="R51">
        <v>10625855.855855856</v>
      </c>
      <c r="S51">
        <v>8711</v>
      </c>
      <c r="T51">
        <v>7947</v>
      </c>
    </row>
    <row r="52" spans="1:20" x14ac:dyDescent="0.35">
      <c r="A52" s="7" t="s">
        <v>123</v>
      </c>
      <c r="B52" s="12" t="s">
        <v>124</v>
      </c>
      <c r="C52">
        <v>157309133.02261284</v>
      </c>
      <c r="D52">
        <v>167152896.45344621</v>
      </c>
      <c r="E52">
        <v>764639.63963963999</v>
      </c>
      <c r="F52">
        <v>1111711.711711711</v>
      </c>
      <c r="G52">
        <v>22</v>
      </c>
      <c r="H52">
        <v>12</v>
      </c>
      <c r="K52">
        <v>24</v>
      </c>
      <c r="L52">
        <v>13</v>
      </c>
      <c r="M52">
        <v>31251351.351351351</v>
      </c>
      <c r="N52">
        <v>45750900.9009009</v>
      </c>
      <c r="O52">
        <v>69725621.621621624</v>
      </c>
      <c r="P52">
        <v>75177345.945945948</v>
      </c>
      <c r="Q52">
        <v>29627567.567567568</v>
      </c>
      <c r="R52">
        <v>35084724.324324325</v>
      </c>
      <c r="S52">
        <v>4497</v>
      </c>
      <c r="T52">
        <v>4521</v>
      </c>
    </row>
    <row r="53" spans="1:20" x14ac:dyDescent="0.35">
      <c r="A53" s="7" t="s">
        <v>125</v>
      </c>
      <c r="B53" s="12" t="s">
        <v>126</v>
      </c>
      <c r="C53">
        <v>207731745.57800409</v>
      </c>
      <c r="D53">
        <v>231899876.98684093</v>
      </c>
      <c r="E53">
        <v>94391098.198198214</v>
      </c>
      <c r="F53">
        <v>75666205.405405402</v>
      </c>
      <c r="G53">
        <v>44</v>
      </c>
      <c r="H53">
        <v>35</v>
      </c>
      <c r="K53">
        <v>51</v>
      </c>
      <c r="L53">
        <v>38</v>
      </c>
      <c r="M53">
        <v>81778333.333333328</v>
      </c>
      <c r="N53">
        <v>41131621.621621624</v>
      </c>
      <c r="O53">
        <v>65178502.702702701</v>
      </c>
      <c r="P53">
        <v>72291464.864864871</v>
      </c>
      <c r="Q53">
        <v>79594774.77477479</v>
      </c>
      <c r="R53">
        <v>34314234.234234236</v>
      </c>
      <c r="S53">
        <v>6384</v>
      </c>
      <c r="T53">
        <v>6455</v>
      </c>
    </row>
    <row r="54" spans="1:20" x14ac:dyDescent="0.35">
      <c r="A54" s="7" t="s">
        <v>127</v>
      </c>
      <c r="B54" s="12" t="s">
        <v>79</v>
      </c>
      <c r="C54">
        <v>134545640.727669</v>
      </c>
      <c r="D54">
        <v>134672136.68166253</v>
      </c>
      <c r="E54">
        <v>2778378.3783783801</v>
      </c>
      <c r="F54">
        <v>3178378.3783783852</v>
      </c>
      <c r="G54">
        <v>35</v>
      </c>
      <c r="H54">
        <v>18</v>
      </c>
      <c r="K54">
        <v>41</v>
      </c>
      <c r="L54">
        <v>23</v>
      </c>
      <c r="M54">
        <v>25593693.693693697</v>
      </c>
      <c r="N54">
        <v>26846846.846846849</v>
      </c>
      <c r="O54">
        <v>54092351.351351351</v>
      </c>
      <c r="P54">
        <v>54262081.081081077</v>
      </c>
      <c r="Q54">
        <v>22049279.27927928</v>
      </c>
      <c r="R54">
        <v>27415225.225225225</v>
      </c>
      <c r="S54">
        <v>5096</v>
      </c>
      <c r="T54">
        <v>4928</v>
      </c>
    </row>
    <row r="55" spans="1:20" x14ac:dyDescent="0.35">
      <c r="A55" s="7" t="s">
        <v>128</v>
      </c>
      <c r="B55" s="12" t="s">
        <v>79</v>
      </c>
      <c r="C55">
        <v>22526176.347252931</v>
      </c>
      <c r="D55">
        <v>23190494.297046144</v>
      </c>
      <c r="E55">
        <v>449549.54954955098</v>
      </c>
      <c r="F55">
        <v>157657.65765765801</v>
      </c>
      <c r="G55">
        <v>7</v>
      </c>
      <c r="H55">
        <v>2</v>
      </c>
      <c r="K55">
        <v>9</v>
      </c>
      <c r="L55">
        <v>2</v>
      </c>
      <c r="M55">
        <v>8062162.1621621633</v>
      </c>
      <c r="N55">
        <v>10382882.882882884</v>
      </c>
      <c r="O55">
        <v>12950675.675675675</v>
      </c>
      <c r="P55">
        <v>12356882.882882884</v>
      </c>
      <c r="Q55">
        <v>8780270.2702702712</v>
      </c>
      <c r="R55">
        <v>6876666.666666667</v>
      </c>
      <c r="S55">
        <v>1310</v>
      </c>
      <c r="T55">
        <v>1178</v>
      </c>
    </row>
    <row r="56" spans="1:20" x14ac:dyDescent="0.35">
      <c r="A56" s="7" t="s">
        <v>129</v>
      </c>
      <c r="B56" s="12" t="s">
        <v>79</v>
      </c>
      <c r="C56">
        <v>130965635.12311491</v>
      </c>
      <c r="D56">
        <v>136376246.86126623</v>
      </c>
      <c r="E56">
        <v>1095495.4954954991</v>
      </c>
      <c r="F56">
        <v>1919369.3693693781</v>
      </c>
      <c r="G56">
        <v>68</v>
      </c>
      <c r="H56">
        <v>31</v>
      </c>
      <c r="K56">
        <v>127</v>
      </c>
      <c r="L56">
        <v>33</v>
      </c>
      <c r="M56">
        <v>15987387.387387387</v>
      </c>
      <c r="N56">
        <v>23378828.82882883</v>
      </c>
      <c r="O56">
        <v>52730909.909909911</v>
      </c>
      <c r="P56">
        <v>55817630.630630635</v>
      </c>
      <c r="Q56">
        <v>14659369.369369367</v>
      </c>
      <c r="R56">
        <v>23641171.171171173</v>
      </c>
      <c r="S56">
        <v>5796</v>
      </c>
      <c r="T56">
        <v>5867</v>
      </c>
    </row>
    <row r="57" spans="1:20" x14ac:dyDescent="0.35">
      <c r="A57" s="7" t="s">
        <v>130</v>
      </c>
      <c r="B57" s="12" t="s">
        <v>86</v>
      </c>
      <c r="C57">
        <v>37228813.914093211</v>
      </c>
      <c r="D57">
        <v>37455749.101327695</v>
      </c>
      <c r="E57">
        <v>123423.423423424</v>
      </c>
      <c r="F57">
        <v>529729.72972973099</v>
      </c>
      <c r="G57">
        <v>9</v>
      </c>
      <c r="H57">
        <v>22</v>
      </c>
      <c r="K57">
        <v>11</v>
      </c>
      <c r="L57">
        <v>25</v>
      </c>
      <c r="M57">
        <v>32555675.675675675</v>
      </c>
      <c r="N57">
        <v>13632882.882882884</v>
      </c>
      <c r="O57">
        <v>18347459.459459461</v>
      </c>
      <c r="P57">
        <v>21882972.97297297</v>
      </c>
      <c r="Q57">
        <v>22594594.594594598</v>
      </c>
      <c r="R57">
        <v>11562612.612612614</v>
      </c>
      <c r="S57">
        <v>1374</v>
      </c>
      <c r="T57">
        <v>1240</v>
      </c>
    </row>
    <row r="58" spans="1:20" x14ac:dyDescent="0.35">
      <c r="A58" s="7" t="s">
        <v>131</v>
      </c>
      <c r="B58" s="12" t="s">
        <v>90</v>
      </c>
      <c r="C58">
        <v>355761643.58915836</v>
      </c>
      <c r="D58">
        <v>372684833.21827322</v>
      </c>
      <c r="E58">
        <v>2532882.8828828931</v>
      </c>
      <c r="F58">
        <v>3371171.1711711739</v>
      </c>
      <c r="G58">
        <v>50</v>
      </c>
      <c r="H58">
        <v>35</v>
      </c>
      <c r="K58">
        <v>77</v>
      </c>
      <c r="L58">
        <v>42</v>
      </c>
      <c r="M58">
        <v>23284414.414414421</v>
      </c>
      <c r="N58">
        <v>33067747.747747749</v>
      </c>
      <c r="O58">
        <v>113294414.41441442</v>
      </c>
      <c r="P58">
        <v>117905225.22522523</v>
      </c>
      <c r="Q58">
        <v>22703873.873873878</v>
      </c>
      <c r="R58">
        <v>32185315.315315321</v>
      </c>
      <c r="S58">
        <v>10435</v>
      </c>
      <c r="T58">
        <v>10742</v>
      </c>
    </row>
    <row r="59" spans="1:20" x14ac:dyDescent="0.35">
      <c r="A59" s="7" t="s">
        <v>132</v>
      </c>
      <c r="B59" s="12" t="s">
        <v>133</v>
      </c>
      <c r="C59">
        <v>187580831.79377225</v>
      </c>
      <c r="D59">
        <v>204602741.92262954</v>
      </c>
      <c r="E59">
        <v>30866781.981981985</v>
      </c>
      <c r="F59">
        <v>41568836.936936945</v>
      </c>
      <c r="G59">
        <v>104</v>
      </c>
      <c r="H59">
        <v>72</v>
      </c>
      <c r="K59">
        <v>114</v>
      </c>
      <c r="L59">
        <v>81</v>
      </c>
      <c r="M59">
        <v>16340540.540540541</v>
      </c>
      <c r="N59">
        <v>42180180.180180185</v>
      </c>
      <c r="O59">
        <v>59616367.117117122</v>
      </c>
      <c r="P59">
        <v>67809828.828828827</v>
      </c>
      <c r="Q59">
        <v>15240810.810810812</v>
      </c>
      <c r="R59">
        <v>36229459.459459454</v>
      </c>
      <c r="S59">
        <v>7128</v>
      </c>
      <c r="T59">
        <v>7392</v>
      </c>
    </row>
    <row r="60" spans="1:20" x14ac:dyDescent="0.35">
      <c r="A60" s="7" t="s">
        <v>134</v>
      </c>
      <c r="B60" s="12" t="s">
        <v>135</v>
      </c>
      <c r="C60">
        <v>15791148.024512768</v>
      </c>
      <c r="D60">
        <v>31088651.65477721</v>
      </c>
      <c r="G60">
        <v>1</v>
      </c>
      <c r="H60">
        <v>3</v>
      </c>
      <c r="K60">
        <v>1</v>
      </c>
      <c r="L60">
        <v>3</v>
      </c>
      <c r="O60">
        <v>3444502.702702703</v>
      </c>
      <c r="P60">
        <v>5601324.3243243238</v>
      </c>
      <c r="S60">
        <v>2196</v>
      </c>
      <c r="T60">
        <v>2259</v>
      </c>
    </row>
    <row r="61" spans="1:20" x14ac:dyDescent="0.35">
      <c r="A61" s="7" t="s">
        <v>136</v>
      </c>
      <c r="B61" s="12" t="s">
        <v>137</v>
      </c>
      <c r="C61">
        <v>162006386.95594138</v>
      </c>
      <c r="D61">
        <v>172017704.69920668</v>
      </c>
      <c r="E61">
        <v>800000.00000000303</v>
      </c>
      <c r="F61">
        <v>1256756.7567567611</v>
      </c>
      <c r="G61">
        <v>49</v>
      </c>
      <c r="H61">
        <v>35</v>
      </c>
      <c r="I61">
        <v>3</v>
      </c>
      <c r="K61">
        <v>55</v>
      </c>
      <c r="L61">
        <v>40</v>
      </c>
      <c r="M61">
        <v>11655855.855855856</v>
      </c>
      <c r="N61">
        <v>17932432.432432432</v>
      </c>
      <c r="O61">
        <v>26036738.738738742</v>
      </c>
      <c r="P61">
        <v>31210549.549549554</v>
      </c>
      <c r="Q61">
        <v>11804954.954954956</v>
      </c>
      <c r="R61">
        <v>14090270.270270268</v>
      </c>
      <c r="S61">
        <v>3517</v>
      </c>
      <c r="T61">
        <v>3606</v>
      </c>
    </row>
    <row r="62" spans="1:20" x14ac:dyDescent="0.35">
      <c r="A62" s="7" t="s">
        <v>138</v>
      </c>
      <c r="B62" s="12" t="s">
        <v>90</v>
      </c>
      <c r="C62">
        <v>172503553.9950586</v>
      </c>
      <c r="D62">
        <v>185888216.92775193</v>
      </c>
      <c r="E62">
        <v>1504279.279279286</v>
      </c>
      <c r="F62">
        <v>2185585.5855855891</v>
      </c>
      <c r="G62">
        <v>36</v>
      </c>
      <c r="H62">
        <v>9</v>
      </c>
      <c r="I62">
        <v>2</v>
      </c>
      <c r="K62">
        <v>83</v>
      </c>
      <c r="L62">
        <v>10</v>
      </c>
      <c r="M62">
        <v>21413513.513513513</v>
      </c>
      <c r="N62">
        <v>32539459.459459458</v>
      </c>
      <c r="O62">
        <v>60735682.882882878</v>
      </c>
      <c r="P62">
        <v>69286729.729729727</v>
      </c>
      <c r="Q62">
        <v>20543423.423423428</v>
      </c>
      <c r="R62">
        <v>33407207.207207207</v>
      </c>
      <c r="S62">
        <v>4889</v>
      </c>
      <c r="T62">
        <v>5573</v>
      </c>
    </row>
    <row r="63" spans="1:20" x14ac:dyDescent="0.35">
      <c r="A63" s="7" t="s">
        <v>139</v>
      </c>
      <c r="B63" s="12" t="s">
        <v>79</v>
      </c>
      <c r="C63">
        <v>127214626.91436221</v>
      </c>
      <c r="D63">
        <v>132314037.80945672</v>
      </c>
      <c r="E63">
        <v>3518918.9189189211</v>
      </c>
      <c r="F63">
        <v>2997297.297297305</v>
      </c>
      <c r="G63">
        <v>55</v>
      </c>
      <c r="H63">
        <v>31</v>
      </c>
      <c r="I63">
        <v>1</v>
      </c>
      <c r="K63">
        <v>65</v>
      </c>
      <c r="L63">
        <v>34</v>
      </c>
      <c r="M63">
        <v>15699099.099099098</v>
      </c>
      <c r="N63">
        <v>23055855.85585586</v>
      </c>
      <c r="O63">
        <v>55258713.963963971</v>
      </c>
      <c r="P63">
        <v>56379963.963963963</v>
      </c>
      <c r="Q63">
        <v>14519639.639639642</v>
      </c>
      <c r="R63">
        <v>20556936.936936941</v>
      </c>
      <c r="S63">
        <v>5239</v>
      </c>
      <c r="T63">
        <v>5046</v>
      </c>
    </row>
    <row r="64" spans="1:20" x14ac:dyDescent="0.35">
      <c r="A64" s="7" t="s">
        <v>140</v>
      </c>
      <c r="B64" s="12" t="s">
        <v>141</v>
      </c>
      <c r="C64">
        <v>179186161.49239212</v>
      </c>
      <c r="D64">
        <v>199354904.46137384</v>
      </c>
      <c r="E64">
        <v>1560360.3603603609</v>
      </c>
      <c r="F64">
        <v>1705405.4054054059</v>
      </c>
      <c r="G64">
        <v>18</v>
      </c>
      <c r="H64">
        <v>6</v>
      </c>
      <c r="K64">
        <v>20</v>
      </c>
      <c r="L64">
        <v>9</v>
      </c>
      <c r="M64">
        <v>18218738.738738742</v>
      </c>
      <c r="N64">
        <v>19166666.666666668</v>
      </c>
      <c r="O64">
        <v>34320711.711711712</v>
      </c>
      <c r="P64">
        <v>38196726.126126125</v>
      </c>
      <c r="Q64">
        <v>15385495.495495496</v>
      </c>
      <c r="R64">
        <v>16801981.981981982</v>
      </c>
      <c r="S64">
        <v>4590</v>
      </c>
      <c r="T64">
        <v>5324</v>
      </c>
    </row>
    <row r="65" spans="1:20" x14ac:dyDescent="0.35">
      <c r="A65" s="7" t="s">
        <v>142</v>
      </c>
      <c r="B65" s="12" t="s">
        <v>63</v>
      </c>
      <c r="C65">
        <v>119278583.59431182</v>
      </c>
      <c r="D65">
        <v>127314755.8144508</v>
      </c>
      <c r="E65">
        <v>101747576.57657658</v>
      </c>
      <c r="F65">
        <v>61113509.909909911</v>
      </c>
      <c r="G65">
        <v>52</v>
      </c>
      <c r="H65">
        <v>5</v>
      </c>
      <c r="I65">
        <v>3</v>
      </c>
      <c r="K65">
        <v>62</v>
      </c>
      <c r="L65">
        <v>10</v>
      </c>
      <c r="M65">
        <v>81277702.702702701</v>
      </c>
      <c r="N65">
        <v>133154335.13513513</v>
      </c>
      <c r="O65">
        <v>25725432.432432432</v>
      </c>
      <c r="P65">
        <v>28762900.9009009</v>
      </c>
      <c r="Q65">
        <v>71194684.684684694</v>
      </c>
      <c r="R65">
        <v>137675045.04504505</v>
      </c>
      <c r="S65">
        <v>3889</v>
      </c>
      <c r="T65">
        <v>3822</v>
      </c>
    </row>
    <row r="66" spans="1:20" x14ac:dyDescent="0.35">
      <c r="A66" s="7" t="s">
        <v>143</v>
      </c>
      <c r="B66" s="12" t="s">
        <v>144</v>
      </c>
      <c r="C66">
        <v>1095503.927882924</v>
      </c>
      <c r="D66">
        <v>1331745.108061752</v>
      </c>
      <c r="G66">
        <v>1</v>
      </c>
      <c r="K66">
        <v>1</v>
      </c>
      <c r="O66">
        <v>108198.19819819801</v>
      </c>
      <c r="P66">
        <v>209414.414414414</v>
      </c>
      <c r="S66">
        <v>185</v>
      </c>
      <c r="T66">
        <v>130</v>
      </c>
    </row>
    <row r="67" spans="1:20" x14ac:dyDescent="0.35">
      <c r="A67" s="7" t="s">
        <v>145</v>
      </c>
      <c r="B67" s="12" t="s">
        <v>141</v>
      </c>
      <c r="C67">
        <v>257430967.52951506</v>
      </c>
      <c r="D67">
        <v>256225620.38337475</v>
      </c>
      <c r="E67">
        <v>1086936.936936938</v>
      </c>
      <c r="F67">
        <v>1942342.3423423429</v>
      </c>
      <c r="G67">
        <v>58</v>
      </c>
      <c r="H67">
        <v>21</v>
      </c>
      <c r="K67">
        <v>75</v>
      </c>
      <c r="L67">
        <v>27</v>
      </c>
      <c r="M67">
        <v>30225585.585585583</v>
      </c>
      <c r="N67">
        <v>35105225.225225225</v>
      </c>
      <c r="O67">
        <v>47074756.756756753</v>
      </c>
      <c r="P67">
        <v>52236558.558558561</v>
      </c>
      <c r="Q67">
        <v>26313963.963963963</v>
      </c>
      <c r="R67">
        <v>33866486.486486487</v>
      </c>
      <c r="S67">
        <v>7350</v>
      </c>
      <c r="T67">
        <v>7897</v>
      </c>
    </row>
    <row r="68" spans="1:20" x14ac:dyDescent="0.35">
      <c r="A68" s="7" t="s">
        <v>146</v>
      </c>
      <c r="B68" s="12" t="s">
        <v>79</v>
      </c>
      <c r="C68">
        <v>179200074.30496719</v>
      </c>
      <c r="D68">
        <v>181702152.18900141</v>
      </c>
      <c r="E68">
        <v>2476576.576576578</v>
      </c>
      <c r="F68">
        <v>2694594.5945946001</v>
      </c>
      <c r="G68">
        <v>57</v>
      </c>
      <c r="H68">
        <v>35</v>
      </c>
      <c r="K68">
        <v>63</v>
      </c>
      <c r="L68">
        <v>41</v>
      </c>
      <c r="M68">
        <v>19071171.171171177</v>
      </c>
      <c r="N68">
        <v>22955855.855855856</v>
      </c>
      <c r="O68">
        <v>51463783.783783786</v>
      </c>
      <c r="P68">
        <v>52031765.765765771</v>
      </c>
      <c r="Q68">
        <v>19195405.40540541</v>
      </c>
      <c r="R68">
        <v>21039729.729729727</v>
      </c>
      <c r="S68">
        <v>6349</v>
      </c>
      <c r="T68">
        <v>6441</v>
      </c>
    </row>
    <row r="69" spans="1:20" x14ac:dyDescent="0.35">
      <c r="A69" s="7" t="s">
        <v>147</v>
      </c>
      <c r="B69" s="12" t="s">
        <v>148</v>
      </c>
      <c r="C69">
        <v>115128384.88646065</v>
      </c>
      <c r="D69">
        <v>116079798.14509219</v>
      </c>
      <c r="E69">
        <v>2839639.6396396421</v>
      </c>
      <c r="F69">
        <v>2691891.8918918921</v>
      </c>
      <c r="G69">
        <v>18</v>
      </c>
      <c r="H69">
        <v>12</v>
      </c>
      <c r="K69">
        <v>21</v>
      </c>
      <c r="L69">
        <v>13</v>
      </c>
      <c r="M69">
        <v>40976029.729729727</v>
      </c>
      <c r="N69">
        <v>41495495.495495498</v>
      </c>
      <c r="O69">
        <v>35604990.990990989</v>
      </c>
      <c r="P69">
        <v>38402414.414414413</v>
      </c>
      <c r="Q69">
        <v>39178918.918918923</v>
      </c>
      <c r="R69">
        <v>40138288.288288288</v>
      </c>
      <c r="S69">
        <v>3598</v>
      </c>
      <c r="T69">
        <v>3683</v>
      </c>
    </row>
    <row r="70" spans="1:20" x14ac:dyDescent="0.35">
      <c r="A70" s="7" t="s">
        <v>149</v>
      </c>
      <c r="B70" s="12" t="s">
        <v>95</v>
      </c>
      <c r="C70">
        <v>17.531949365999999</v>
      </c>
      <c r="D70">
        <v>22.077324659999999</v>
      </c>
      <c r="S70">
        <v>18</v>
      </c>
      <c r="T70">
        <v>9</v>
      </c>
    </row>
    <row r="71" spans="1:20" x14ac:dyDescent="0.35">
      <c r="A71" s="7" t="s">
        <v>150</v>
      </c>
      <c r="B71" s="12" t="s">
        <v>51</v>
      </c>
      <c r="C71">
        <v>104450317.30089733</v>
      </c>
      <c r="D71">
        <v>106966168.42927475</v>
      </c>
      <c r="E71">
        <v>296829900.9009009</v>
      </c>
      <c r="F71">
        <v>181323533.33333334</v>
      </c>
      <c r="G71">
        <v>19</v>
      </c>
      <c r="H71">
        <v>11</v>
      </c>
      <c r="K71">
        <v>19</v>
      </c>
      <c r="L71">
        <v>14</v>
      </c>
      <c r="M71">
        <v>93388918.918918908</v>
      </c>
      <c r="N71">
        <v>116391801.8018018</v>
      </c>
      <c r="O71">
        <v>46160513.513513513</v>
      </c>
      <c r="P71">
        <v>47555855.855855852</v>
      </c>
      <c r="Q71">
        <v>6371261.2612612601</v>
      </c>
      <c r="R71">
        <v>10063963.963963963</v>
      </c>
      <c r="S71">
        <v>3524</v>
      </c>
      <c r="T71">
        <v>3462</v>
      </c>
    </row>
    <row r="72" spans="1:20" x14ac:dyDescent="0.35">
      <c r="A72" s="7" t="s">
        <v>151</v>
      </c>
      <c r="B72" s="12" t="s">
        <v>152</v>
      </c>
      <c r="C72">
        <v>32431440.55927866</v>
      </c>
      <c r="D72">
        <v>31016610.547633842</v>
      </c>
      <c r="E72">
        <v>411887387.38738739</v>
      </c>
      <c r="F72">
        <v>264873873.87387389</v>
      </c>
      <c r="G72">
        <v>5</v>
      </c>
      <c r="H72">
        <v>1</v>
      </c>
      <c r="K72">
        <v>6</v>
      </c>
      <c r="L72">
        <v>1</v>
      </c>
      <c r="M72">
        <v>29495045.045045044</v>
      </c>
      <c r="N72">
        <v>28838288.288288288</v>
      </c>
      <c r="O72">
        <v>8311387.3873873875</v>
      </c>
      <c r="P72">
        <v>8773549.5495495498</v>
      </c>
      <c r="Q72">
        <v>10364324.324324325</v>
      </c>
      <c r="R72">
        <v>20641801.801801801</v>
      </c>
      <c r="S72">
        <v>680</v>
      </c>
      <c r="T72">
        <v>610</v>
      </c>
    </row>
    <row r="73" spans="1:20" x14ac:dyDescent="0.35">
      <c r="A73" s="7" t="s">
        <v>153</v>
      </c>
      <c r="B73" s="12" t="s">
        <v>152</v>
      </c>
      <c r="C73">
        <v>307609988.81928724</v>
      </c>
      <c r="D73">
        <v>306936396.57641095</v>
      </c>
      <c r="E73">
        <v>122727880.18018018</v>
      </c>
      <c r="F73">
        <v>132148788.28828831</v>
      </c>
      <c r="G73">
        <v>165</v>
      </c>
      <c r="H73">
        <v>13</v>
      </c>
      <c r="K73">
        <v>179</v>
      </c>
      <c r="L73">
        <v>27</v>
      </c>
      <c r="M73">
        <v>239831603.60360357</v>
      </c>
      <c r="N73">
        <v>240081111.7117117</v>
      </c>
      <c r="O73">
        <v>106712126.12612613</v>
      </c>
      <c r="P73">
        <v>110656630.63063063</v>
      </c>
      <c r="Q73">
        <v>178487427.02702704</v>
      </c>
      <c r="R73">
        <v>170991351.35135135</v>
      </c>
      <c r="S73">
        <v>8144</v>
      </c>
      <c r="T73">
        <v>8584</v>
      </c>
    </row>
    <row r="74" spans="1:20" x14ac:dyDescent="0.35">
      <c r="A74" s="7" t="s">
        <v>154</v>
      </c>
      <c r="B74" s="12" t="s">
        <v>155</v>
      </c>
      <c r="C74">
        <v>274345987.59329033</v>
      </c>
      <c r="D74">
        <v>251737121.3439849</v>
      </c>
      <c r="E74">
        <v>343018.01801801898</v>
      </c>
      <c r="F74">
        <v>768468.46846846899</v>
      </c>
      <c r="G74">
        <v>40</v>
      </c>
      <c r="H74">
        <v>11</v>
      </c>
      <c r="K74">
        <v>43</v>
      </c>
      <c r="L74">
        <v>12</v>
      </c>
      <c r="M74">
        <v>40223423.423423424</v>
      </c>
      <c r="N74">
        <v>37137837.83783783</v>
      </c>
      <c r="O74">
        <v>112270436.93693694</v>
      </c>
      <c r="P74">
        <v>114046882.88288288</v>
      </c>
      <c r="Q74">
        <v>34364504.504504509</v>
      </c>
      <c r="R74">
        <v>40054144.144144148</v>
      </c>
      <c r="S74">
        <v>7030</v>
      </c>
      <c r="T74">
        <v>7054</v>
      </c>
    </row>
    <row r="75" spans="1:20" x14ac:dyDescent="0.35">
      <c r="A75" s="7" t="s">
        <v>156</v>
      </c>
      <c r="B75" s="12" t="s">
        <v>155</v>
      </c>
      <c r="C75">
        <v>30603081.005112045</v>
      </c>
      <c r="D75">
        <v>27366461.469327983</v>
      </c>
      <c r="E75">
        <v>115238738.73873873</v>
      </c>
      <c r="F75">
        <v>10735135.135135137</v>
      </c>
      <c r="G75">
        <v>7</v>
      </c>
      <c r="H75">
        <v>4</v>
      </c>
      <c r="K75">
        <v>9</v>
      </c>
      <c r="L75">
        <v>5</v>
      </c>
      <c r="M75">
        <v>5222522.5225225221</v>
      </c>
      <c r="N75">
        <v>6031081.0810810821</v>
      </c>
      <c r="O75">
        <v>7449405.405405405</v>
      </c>
      <c r="P75">
        <v>9218315.3153153155</v>
      </c>
      <c r="Q75">
        <v>2735135.1351351342</v>
      </c>
      <c r="R75">
        <v>4263783.7837837841</v>
      </c>
      <c r="S75">
        <v>1915</v>
      </c>
      <c r="T75">
        <v>1999</v>
      </c>
    </row>
    <row r="76" spans="1:20" x14ac:dyDescent="0.35">
      <c r="A76" s="7" t="s">
        <v>157</v>
      </c>
      <c r="B76" s="12" t="s">
        <v>155</v>
      </c>
      <c r="C76">
        <v>297401283.50719368</v>
      </c>
      <c r="D76">
        <v>296592335.11090469</v>
      </c>
      <c r="E76">
        <v>66811600.9009009</v>
      </c>
      <c r="F76">
        <v>78621788.288288295</v>
      </c>
      <c r="G76">
        <v>16</v>
      </c>
      <c r="H76">
        <v>9</v>
      </c>
      <c r="K76">
        <v>18</v>
      </c>
      <c r="L76">
        <v>10</v>
      </c>
      <c r="M76">
        <v>72862162.162162155</v>
      </c>
      <c r="N76">
        <v>69271621.621621624</v>
      </c>
      <c r="O76">
        <v>115318675.67567568</v>
      </c>
      <c r="P76">
        <v>123644099.0990991</v>
      </c>
      <c r="Q76">
        <v>60098738.738738738</v>
      </c>
      <c r="R76">
        <v>55878648.648648649</v>
      </c>
      <c r="S76">
        <v>7899</v>
      </c>
      <c r="T76">
        <v>7804</v>
      </c>
    </row>
    <row r="77" spans="1:20" x14ac:dyDescent="0.35">
      <c r="A77" s="7" t="s">
        <v>158</v>
      </c>
      <c r="B77" s="12" t="s">
        <v>135</v>
      </c>
      <c r="C77">
        <v>139802328.48320451</v>
      </c>
      <c r="D77">
        <v>137887424.40024701</v>
      </c>
      <c r="E77">
        <v>511711.71171171399</v>
      </c>
      <c r="F77">
        <v>1328828.8288288291</v>
      </c>
      <c r="G77">
        <v>29</v>
      </c>
      <c r="H77">
        <v>21</v>
      </c>
      <c r="K77">
        <v>33</v>
      </c>
      <c r="L77">
        <v>42</v>
      </c>
      <c r="M77">
        <v>14903611.711711712</v>
      </c>
      <c r="N77">
        <v>15202702.702702699</v>
      </c>
      <c r="O77">
        <v>15476324.324324325</v>
      </c>
      <c r="P77">
        <v>14078441.441441443</v>
      </c>
      <c r="Q77">
        <v>4931981.9819819843</v>
      </c>
      <c r="R77">
        <v>9702882.8828828838</v>
      </c>
      <c r="S77">
        <v>4447</v>
      </c>
      <c r="T77">
        <v>4533</v>
      </c>
    </row>
    <row r="78" spans="1:20" x14ac:dyDescent="0.35">
      <c r="A78" s="7" t="s">
        <v>1</v>
      </c>
      <c r="B78" s="12" t="s">
        <v>159</v>
      </c>
      <c r="C78">
        <v>250423849.25960046</v>
      </c>
      <c r="D78">
        <v>258159262.99716291</v>
      </c>
      <c r="E78">
        <v>711509772.97297287</v>
      </c>
      <c r="F78">
        <v>740881898.1981982</v>
      </c>
      <c r="G78">
        <v>33</v>
      </c>
      <c r="H78">
        <v>50</v>
      </c>
      <c r="K78">
        <v>145</v>
      </c>
      <c r="L78">
        <v>59</v>
      </c>
      <c r="M78">
        <v>97335045.045045033</v>
      </c>
      <c r="N78">
        <v>96549549.54954955</v>
      </c>
      <c r="O78">
        <v>119610756.75675675</v>
      </c>
      <c r="P78">
        <v>120674153.15315315</v>
      </c>
      <c r="Q78">
        <v>31775405.405405398</v>
      </c>
      <c r="R78">
        <v>35458873.873873875</v>
      </c>
      <c r="S78">
        <v>7925</v>
      </c>
      <c r="T78">
        <v>7730</v>
      </c>
    </row>
    <row r="79" spans="1:20" x14ac:dyDescent="0.35">
      <c r="A79" s="7" t="s">
        <v>160</v>
      </c>
      <c r="B79" s="12" t="s">
        <v>122</v>
      </c>
      <c r="C79">
        <v>9662750.0696634967</v>
      </c>
      <c r="D79">
        <v>7622906.20782445</v>
      </c>
      <c r="E79">
        <v>36950275.675675683</v>
      </c>
      <c r="F79">
        <v>36627896.396396399</v>
      </c>
      <c r="G79">
        <v>3</v>
      </c>
      <c r="H79">
        <v>7</v>
      </c>
      <c r="K79">
        <v>5</v>
      </c>
      <c r="L79">
        <v>7</v>
      </c>
      <c r="M79">
        <v>13364937.837837838</v>
      </c>
      <c r="O79">
        <v>906576.57657657703</v>
      </c>
      <c r="P79">
        <v>983108.10810810805</v>
      </c>
      <c r="Q79">
        <v>29729.729729729999</v>
      </c>
      <c r="R79">
        <v>15765.765765766</v>
      </c>
      <c r="S79">
        <v>559</v>
      </c>
      <c r="T79">
        <v>410</v>
      </c>
    </row>
    <row r="80" spans="1:20" x14ac:dyDescent="0.35">
      <c r="A80" s="7" t="s">
        <v>161</v>
      </c>
      <c r="B80" s="12" t="s">
        <v>162</v>
      </c>
      <c r="C80">
        <v>131677415.94425222</v>
      </c>
      <c r="D80">
        <v>143755167.09269664</v>
      </c>
      <c r="E80">
        <v>74562116.216216221</v>
      </c>
      <c r="F80">
        <v>123076645.94594595</v>
      </c>
      <c r="G80">
        <v>82</v>
      </c>
      <c r="H80">
        <v>238</v>
      </c>
      <c r="K80">
        <v>152</v>
      </c>
      <c r="L80">
        <v>344</v>
      </c>
      <c r="M80">
        <v>33426927.927927937</v>
      </c>
      <c r="N80">
        <v>47993973.873873875</v>
      </c>
      <c r="O80">
        <v>57262063.063063063</v>
      </c>
      <c r="P80">
        <v>63516693.693693697</v>
      </c>
      <c r="Q80">
        <v>26980990.990990996</v>
      </c>
      <c r="R80">
        <v>32490225.225225225</v>
      </c>
      <c r="S80">
        <v>5941</v>
      </c>
      <c r="T80">
        <v>6306</v>
      </c>
    </row>
    <row r="81" spans="1:20" x14ac:dyDescent="0.35">
      <c r="A81" s="7" t="s">
        <v>163</v>
      </c>
      <c r="B81" s="12" t="s">
        <v>77</v>
      </c>
      <c r="C81">
        <v>59192318.806639433</v>
      </c>
      <c r="D81">
        <v>61084060.884268746</v>
      </c>
      <c r="E81">
        <v>66284684.684684686</v>
      </c>
      <c r="F81">
        <v>67836936.93693693</v>
      </c>
      <c r="G81">
        <v>11</v>
      </c>
      <c r="H81">
        <v>11</v>
      </c>
      <c r="K81">
        <v>12</v>
      </c>
      <c r="L81">
        <v>13</v>
      </c>
      <c r="M81">
        <v>1521621.6216216211</v>
      </c>
      <c r="N81">
        <v>2102702.702702703</v>
      </c>
      <c r="O81">
        <v>2610765.7657657661</v>
      </c>
      <c r="P81">
        <v>3475324.3243243238</v>
      </c>
      <c r="Q81">
        <v>942792.79279279301</v>
      </c>
      <c r="R81">
        <v>1028828.828828829</v>
      </c>
      <c r="S81">
        <v>868</v>
      </c>
      <c r="T81">
        <v>949</v>
      </c>
    </row>
    <row r="82" spans="1:20" x14ac:dyDescent="0.35">
      <c r="A82" s="7" t="s">
        <v>164</v>
      </c>
      <c r="B82" s="12" t="s">
        <v>53</v>
      </c>
      <c r="C82">
        <v>46383239.502153724</v>
      </c>
      <c r="D82">
        <v>43203592.139558189</v>
      </c>
      <c r="E82">
        <v>742342.34234234202</v>
      </c>
      <c r="F82">
        <v>781081.08108108304</v>
      </c>
      <c r="G82">
        <v>21</v>
      </c>
      <c r="H82">
        <v>2</v>
      </c>
      <c r="K82">
        <v>24</v>
      </c>
      <c r="L82">
        <v>4</v>
      </c>
      <c r="M82">
        <v>904504.50450450403</v>
      </c>
      <c r="N82">
        <v>1384684.6846846859</v>
      </c>
      <c r="O82">
        <v>22807432.432432432</v>
      </c>
      <c r="P82">
        <v>20032972.97297297</v>
      </c>
      <c r="Q82">
        <v>913063.06306306296</v>
      </c>
      <c r="R82">
        <v>1367747.747747747</v>
      </c>
      <c r="S82">
        <v>1609</v>
      </c>
      <c r="T82">
        <v>1471</v>
      </c>
    </row>
    <row r="83" spans="1:20" x14ac:dyDescent="0.35">
      <c r="A83" s="7" t="s">
        <v>165</v>
      </c>
      <c r="B83" s="12" t="s">
        <v>88</v>
      </c>
      <c r="C83">
        <v>23143833.820241343</v>
      </c>
      <c r="D83">
        <v>33005321.477467231</v>
      </c>
      <c r="E83">
        <v>27027.027027027001</v>
      </c>
      <c r="F83">
        <v>65765.765765766002</v>
      </c>
      <c r="G83">
        <v>8</v>
      </c>
      <c r="H83">
        <v>10</v>
      </c>
      <c r="K83">
        <v>10</v>
      </c>
      <c r="L83">
        <v>10</v>
      </c>
      <c r="M83">
        <v>237837.837837837</v>
      </c>
      <c r="N83">
        <v>1597297.297297298</v>
      </c>
      <c r="O83">
        <v>2114504.5045045051</v>
      </c>
      <c r="P83">
        <v>5399684.6846846854</v>
      </c>
      <c r="Q83">
        <v>258918.918918918</v>
      </c>
      <c r="R83">
        <v>1618468.4684684691</v>
      </c>
      <c r="S83">
        <v>1085</v>
      </c>
      <c r="T83">
        <v>1245</v>
      </c>
    </row>
    <row r="84" spans="1:20" x14ac:dyDescent="0.35">
      <c r="A84" s="7" t="s">
        <v>166</v>
      </c>
      <c r="B84" s="12" t="s">
        <v>144</v>
      </c>
      <c r="C84">
        <v>8485394.6129882131</v>
      </c>
      <c r="D84">
        <v>7784554.8504348537</v>
      </c>
      <c r="E84">
        <v>67567.567567567996</v>
      </c>
      <c r="F84">
        <v>283783.78378378402</v>
      </c>
      <c r="G84">
        <v>5</v>
      </c>
      <c r="K84">
        <v>5</v>
      </c>
      <c r="M84">
        <v>518018.01801801799</v>
      </c>
      <c r="N84">
        <v>734234.23423423502</v>
      </c>
      <c r="O84">
        <v>932090.09009008994</v>
      </c>
      <c r="P84">
        <v>961666.66666666698</v>
      </c>
      <c r="Q84">
        <v>214324.324324324</v>
      </c>
      <c r="R84">
        <v>814594.59459459502</v>
      </c>
      <c r="S84">
        <v>340</v>
      </c>
      <c r="T84">
        <v>302</v>
      </c>
    </row>
    <row r="85" spans="1:20" x14ac:dyDescent="0.35">
      <c r="A85" s="7" t="s">
        <v>167</v>
      </c>
      <c r="B85" s="12" t="s">
        <v>168</v>
      </c>
      <c r="C85">
        <v>33239059.413003977</v>
      </c>
      <c r="D85">
        <v>30655235.923641488</v>
      </c>
      <c r="E85">
        <v>6217117.1171171181</v>
      </c>
      <c r="F85">
        <v>57567567.567567565</v>
      </c>
      <c r="G85">
        <v>8</v>
      </c>
      <c r="H85">
        <v>2</v>
      </c>
      <c r="K85">
        <v>8</v>
      </c>
      <c r="L85">
        <v>2</v>
      </c>
      <c r="M85">
        <v>3434684.684684685</v>
      </c>
      <c r="N85">
        <v>1786486.4864864859</v>
      </c>
      <c r="O85">
        <v>15483836.036036037</v>
      </c>
      <c r="P85">
        <v>15980540.540540541</v>
      </c>
      <c r="Q85">
        <v>3022432.4324324322</v>
      </c>
      <c r="R85">
        <v>1555765.7657657659</v>
      </c>
      <c r="S85">
        <v>1366</v>
      </c>
      <c r="T85">
        <v>1323</v>
      </c>
    </row>
    <row r="86" spans="1:20" x14ac:dyDescent="0.35">
      <c r="A86" s="7" t="s">
        <v>169</v>
      </c>
      <c r="B86" s="12" t="s">
        <v>170</v>
      </c>
      <c r="C86">
        <v>148673327.46580887</v>
      </c>
      <c r="D86">
        <v>163515761.86411831</v>
      </c>
      <c r="E86">
        <v>1211711.7117117131</v>
      </c>
      <c r="F86">
        <v>1235135.1351351379</v>
      </c>
      <c r="G86">
        <v>31</v>
      </c>
      <c r="H86">
        <v>17</v>
      </c>
      <c r="K86">
        <v>35</v>
      </c>
      <c r="L86">
        <v>21</v>
      </c>
      <c r="M86">
        <v>25257006.306306303</v>
      </c>
      <c r="N86">
        <v>34667567.567567565</v>
      </c>
      <c r="O86">
        <v>46711623.873873875</v>
      </c>
      <c r="P86">
        <v>53465459.459459454</v>
      </c>
      <c r="Q86">
        <v>24532612.612612613</v>
      </c>
      <c r="R86">
        <v>31651801.801801801</v>
      </c>
      <c r="S86">
        <v>6529</v>
      </c>
      <c r="T86">
        <v>6613</v>
      </c>
    </row>
    <row r="87" spans="1:20" x14ac:dyDescent="0.35">
      <c r="A87" s="7" t="s">
        <v>171</v>
      </c>
      <c r="B87" s="12" t="s">
        <v>55</v>
      </c>
      <c r="C87">
        <v>22662039.755941935</v>
      </c>
      <c r="D87">
        <v>27764948.078699794</v>
      </c>
      <c r="E87">
        <v>367567.56756756798</v>
      </c>
      <c r="F87">
        <v>89189.189189188997</v>
      </c>
      <c r="G87">
        <v>1</v>
      </c>
      <c r="H87">
        <v>3</v>
      </c>
      <c r="K87">
        <v>2</v>
      </c>
      <c r="L87">
        <v>4</v>
      </c>
      <c r="M87">
        <v>1718918.9189189191</v>
      </c>
      <c r="N87">
        <v>4909009.0090090092</v>
      </c>
      <c r="O87">
        <v>3377297.297297298</v>
      </c>
      <c r="P87">
        <v>4168918.9189189188</v>
      </c>
      <c r="Q87">
        <v>2556486.4864864871</v>
      </c>
      <c r="R87">
        <v>3409819.8198198201</v>
      </c>
      <c r="S87">
        <v>730</v>
      </c>
      <c r="T87">
        <v>753</v>
      </c>
    </row>
    <row r="88" spans="1:20" x14ac:dyDescent="0.35">
      <c r="A88" s="7" t="s">
        <v>172</v>
      </c>
      <c r="B88" s="12" t="s">
        <v>61</v>
      </c>
      <c r="C88">
        <v>471191157.03313875</v>
      </c>
      <c r="D88">
        <v>473335214.11374676</v>
      </c>
      <c r="E88">
        <v>5911711.7117117131</v>
      </c>
      <c r="F88">
        <v>3948648.6486486518</v>
      </c>
      <c r="G88">
        <v>113</v>
      </c>
      <c r="H88">
        <v>20</v>
      </c>
      <c r="K88">
        <v>133</v>
      </c>
      <c r="L88">
        <v>29</v>
      </c>
      <c r="M88">
        <v>23241441.441441439</v>
      </c>
      <c r="N88">
        <v>29133333.333333332</v>
      </c>
      <c r="O88">
        <v>174150351.35135135</v>
      </c>
      <c r="P88">
        <v>172498324.32432431</v>
      </c>
      <c r="Q88">
        <v>23567927.927927926</v>
      </c>
      <c r="R88">
        <v>24942792.792792797</v>
      </c>
      <c r="S88">
        <v>11784</v>
      </c>
      <c r="T88">
        <v>11765</v>
      </c>
    </row>
    <row r="89" spans="1:20" x14ac:dyDescent="0.35">
      <c r="A89" s="7" t="s">
        <v>173</v>
      </c>
      <c r="B89" s="12" t="s">
        <v>122</v>
      </c>
      <c r="C89">
        <v>196620681.87172616</v>
      </c>
      <c r="D89">
        <v>189770513.73518381</v>
      </c>
      <c r="E89">
        <v>1417117.1171171181</v>
      </c>
      <c r="F89">
        <v>828828.82882882899</v>
      </c>
      <c r="G89">
        <v>82</v>
      </c>
      <c r="H89">
        <v>59</v>
      </c>
      <c r="K89">
        <v>89</v>
      </c>
      <c r="L89">
        <v>67</v>
      </c>
      <c r="M89">
        <v>12198198.198198196</v>
      </c>
      <c r="N89">
        <v>12315315.315315314</v>
      </c>
      <c r="O89">
        <v>26598930.180180181</v>
      </c>
      <c r="P89">
        <v>31144810.810810812</v>
      </c>
      <c r="Q89">
        <v>8120540.5405405397</v>
      </c>
      <c r="R89">
        <v>8698738.7387387361</v>
      </c>
      <c r="S89">
        <v>6377</v>
      </c>
      <c r="T89">
        <v>5653</v>
      </c>
    </row>
    <row r="90" spans="1:20" x14ac:dyDescent="0.35">
      <c r="A90" s="7" t="s">
        <v>174</v>
      </c>
      <c r="B90" s="12" t="s">
        <v>175</v>
      </c>
      <c r="C90">
        <v>140136785.29348961</v>
      </c>
      <c r="D90">
        <v>148655834.41276848</v>
      </c>
      <c r="E90">
        <v>62561683.783783786</v>
      </c>
      <c r="F90">
        <v>103547989.18918918</v>
      </c>
      <c r="G90">
        <v>73</v>
      </c>
      <c r="H90">
        <v>19</v>
      </c>
      <c r="K90">
        <v>138</v>
      </c>
      <c r="L90">
        <v>29</v>
      </c>
      <c r="M90">
        <v>31922072.072072066</v>
      </c>
      <c r="N90">
        <v>29009591.891891893</v>
      </c>
      <c r="O90">
        <v>18481720.72072072</v>
      </c>
      <c r="P90">
        <v>18926018.018018018</v>
      </c>
      <c r="Q90">
        <v>17100540.540540539</v>
      </c>
      <c r="R90">
        <v>19745405.40540541</v>
      </c>
      <c r="S90">
        <v>4474</v>
      </c>
      <c r="T90">
        <v>4610</v>
      </c>
    </row>
    <row r="91" spans="1:20" x14ac:dyDescent="0.35">
      <c r="A91" s="7" t="s">
        <v>176</v>
      </c>
      <c r="B91" s="12" t="s">
        <v>175</v>
      </c>
      <c r="C91">
        <v>220771511.07191843</v>
      </c>
      <c r="D91">
        <v>233655195.19914329</v>
      </c>
      <c r="E91">
        <v>1351126.126126128</v>
      </c>
      <c r="F91">
        <v>2024324.3243243289</v>
      </c>
      <c r="G91">
        <v>86</v>
      </c>
      <c r="H91">
        <v>103</v>
      </c>
      <c r="I91">
        <v>1</v>
      </c>
      <c r="K91">
        <v>124</v>
      </c>
      <c r="L91">
        <v>123</v>
      </c>
      <c r="M91">
        <v>26591441.441441439</v>
      </c>
      <c r="N91">
        <v>32747297.297297295</v>
      </c>
      <c r="O91">
        <v>37527306.306306303</v>
      </c>
      <c r="P91">
        <v>37451333.333333328</v>
      </c>
      <c r="Q91">
        <v>21880450.45045045</v>
      </c>
      <c r="R91">
        <v>24753963.963963967</v>
      </c>
      <c r="S91">
        <v>8401</v>
      </c>
      <c r="T91">
        <v>10098</v>
      </c>
    </row>
    <row r="92" spans="1:20" x14ac:dyDescent="0.35">
      <c r="A92" s="7" t="s">
        <v>177</v>
      </c>
      <c r="B92" s="12" t="s">
        <v>175</v>
      </c>
      <c r="C92">
        <v>298024865.8910749</v>
      </c>
      <c r="D92">
        <v>309065307.23094392</v>
      </c>
      <c r="E92">
        <v>12579504.504504507</v>
      </c>
      <c r="F92">
        <v>6363963.9639639668</v>
      </c>
      <c r="G92">
        <v>140</v>
      </c>
      <c r="H92">
        <v>147</v>
      </c>
      <c r="K92">
        <v>184</v>
      </c>
      <c r="L92">
        <v>192</v>
      </c>
      <c r="M92">
        <v>32230630.630630631</v>
      </c>
      <c r="N92">
        <v>36389639.639639638</v>
      </c>
      <c r="O92">
        <v>46173599.099099107</v>
      </c>
      <c r="P92">
        <v>50099810.810810819</v>
      </c>
      <c r="Q92">
        <v>24738648.648648646</v>
      </c>
      <c r="R92">
        <v>31052972.97297297</v>
      </c>
      <c r="S92">
        <v>12156</v>
      </c>
      <c r="T92">
        <v>12440</v>
      </c>
    </row>
    <row r="93" spans="1:20" x14ac:dyDescent="0.35">
      <c r="A93" s="7" t="s">
        <v>178</v>
      </c>
      <c r="B93" s="12" t="s">
        <v>179</v>
      </c>
      <c r="C93">
        <v>95887719.331834748</v>
      </c>
      <c r="D93">
        <v>93188849.358929545</v>
      </c>
      <c r="E93">
        <v>5324324.3243243238</v>
      </c>
      <c r="F93">
        <v>80626126.126126125</v>
      </c>
      <c r="G93">
        <v>9</v>
      </c>
      <c r="H93">
        <v>4</v>
      </c>
      <c r="K93">
        <v>12</v>
      </c>
      <c r="L93">
        <v>45</v>
      </c>
      <c r="M93">
        <v>13017117.117117116</v>
      </c>
      <c r="N93">
        <v>9065990.9909909908</v>
      </c>
      <c r="O93">
        <v>37373097.297297299</v>
      </c>
      <c r="P93">
        <v>36379279.279279277</v>
      </c>
      <c r="Q93">
        <v>8275225.2252252242</v>
      </c>
      <c r="R93">
        <v>6453243.2432432426</v>
      </c>
      <c r="S93">
        <v>3844</v>
      </c>
      <c r="T93">
        <v>3459</v>
      </c>
    </row>
    <row r="94" spans="1:20" x14ac:dyDescent="0.35">
      <c r="A94" s="7" t="s">
        <v>180</v>
      </c>
      <c r="B94" s="12" t="s">
        <v>168</v>
      </c>
      <c r="C94">
        <v>115745407.17124581</v>
      </c>
      <c r="D94">
        <v>133975853.5293494</v>
      </c>
      <c r="E94">
        <v>828603.60360360402</v>
      </c>
      <c r="F94">
        <v>1256306.3063063079</v>
      </c>
      <c r="G94">
        <v>21</v>
      </c>
      <c r="H94">
        <v>9</v>
      </c>
      <c r="K94">
        <v>31</v>
      </c>
      <c r="L94">
        <v>11</v>
      </c>
      <c r="M94">
        <v>2155855.8558558561</v>
      </c>
      <c r="N94">
        <v>5891441.4414414419</v>
      </c>
      <c r="O94">
        <v>29851198.198198199</v>
      </c>
      <c r="P94">
        <v>44545108.108108111</v>
      </c>
      <c r="Q94">
        <v>1153603.603603604</v>
      </c>
      <c r="R94">
        <v>3870360.3603603598</v>
      </c>
      <c r="S94">
        <v>4563</v>
      </c>
      <c r="T94">
        <v>4570</v>
      </c>
    </row>
    <row r="95" spans="1:20" x14ac:dyDescent="0.35">
      <c r="A95" s="7" t="s">
        <v>181</v>
      </c>
      <c r="B95" s="12" t="s">
        <v>182</v>
      </c>
      <c r="C95">
        <v>95145224.591292366</v>
      </c>
      <c r="D95">
        <v>102861842.03046143</v>
      </c>
      <c r="E95">
        <v>283783.78378378501</v>
      </c>
      <c r="F95">
        <v>1287387.38738739</v>
      </c>
      <c r="G95">
        <v>17</v>
      </c>
      <c r="H95">
        <v>19</v>
      </c>
      <c r="K95">
        <v>18</v>
      </c>
      <c r="L95">
        <v>23</v>
      </c>
      <c r="M95">
        <v>3995495.4954954949</v>
      </c>
      <c r="N95">
        <v>12460810.81081081</v>
      </c>
      <c r="O95">
        <v>24051903.153153151</v>
      </c>
      <c r="P95">
        <v>24149432.432432432</v>
      </c>
      <c r="Q95">
        <v>6978288.2882882887</v>
      </c>
      <c r="R95">
        <v>12233333.333333332</v>
      </c>
      <c r="S95">
        <v>2899</v>
      </c>
      <c r="T95">
        <v>3157</v>
      </c>
    </row>
    <row r="96" spans="1:20" x14ac:dyDescent="0.35">
      <c r="A96" s="7" t="s">
        <v>183</v>
      </c>
      <c r="B96" s="12" t="s">
        <v>69</v>
      </c>
      <c r="E96">
        <v>83838790.090090096</v>
      </c>
      <c r="F96">
        <v>92684647.747747749</v>
      </c>
      <c r="M96">
        <v>1645945.945945946</v>
      </c>
      <c r="N96">
        <v>27109009.009009007</v>
      </c>
      <c r="T96">
        <v>1</v>
      </c>
    </row>
    <row r="97" spans="1:20" x14ac:dyDescent="0.35">
      <c r="A97" s="7" t="s">
        <v>184</v>
      </c>
      <c r="B97" s="12" t="s">
        <v>95</v>
      </c>
      <c r="C97">
        <v>96810440.818410039</v>
      </c>
      <c r="D97">
        <v>106753807.81117932</v>
      </c>
      <c r="E97">
        <v>13513.513513514001</v>
      </c>
      <c r="F97">
        <v>90090.090090090001</v>
      </c>
      <c r="G97">
        <v>28</v>
      </c>
      <c r="H97">
        <v>18</v>
      </c>
      <c r="I97">
        <v>1</v>
      </c>
      <c r="K97">
        <v>36</v>
      </c>
      <c r="L97">
        <v>23</v>
      </c>
      <c r="M97">
        <v>4436936.9369369363</v>
      </c>
      <c r="N97">
        <v>1891891.8918918921</v>
      </c>
      <c r="O97">
        <v>10636297.297297295</v>
      </c>
      <c r="P97">
        <v>15856234.234234234</v>
      </c>
      <c r="Q97">
        <v>1081711.711711711</v>
      </c>
      <c r="R97">
        <v>452252.25225225301</v>
      </c>
      <c r="S97">
        <v>3681</v>
      </c>
      <c r="T97">
        <v>3744</v>
      </c>
    </row>
    <row r="98" spans="1:20" x14ac:dyDescent="0.35">
      <c r="A98" s="7" t="s">
        <v>185</v>
      </c>
      <c r="B98" s="12" t="s">
        <v>95</v>
      </c>
      <c r="C98">
        <v>580497058.13485372</v>
      </c>
      <c r="D98">
        <v>645541317.17979932</v>
      </c>
      <c r="E98">
        <v>960002981.98198199</v>
      </c>
      <c r="F98">
        <v>157808827.02702704</v>
      </c>
      <c r="G98">
        <v>116</v>
      </c>
      <c r="H98">
        <v>158</v>
      </c>
      <c r="K98">
        <v>155</v>
      </c>
      <c r="L98">
        <v>249</v>
      </c>
      <c r="M98">
        <v>41821171.171171166</v>
      </c>
      <c r="N98">
        <v>46978378.378378376</v>
      </c>
      <c r="O98">
        <v>70620331.081081077</v>
      </c>
      <c r="P98">
        <v>97473315.315315306</v>
      </c>
      <c r="Q98">
        <v>34028828.828828834</v>
      </c>
      <c r="R98">
        <v>34705405.40540541</v>
      </c>
      <c r="S98">
        <v>15906</v>
      </c>
      <c r="T98">
        <v>16498</v>
      </c>
    </row>
    <row r="99" spans="1:20" x14ac:dyDescent="0.35">
      <c r="A99" s="7" t="s">
        <v>186</v>
      </c>
      <c r="B99" s="12" t="s">
        <v>90</v>
      </c>
      <c r="C99">
        <v>51658098.695476323</v>
      </c>
      <c r="D99">
        <v>45749879.405716486</v>
      </c>
      <c r="E99">
        <v>341216.21621621703</v>
      </c>
      <c r="F99">
        <v>1032432.432432435</v>
      </c>
      <c r="G99">
        <v>11</v>
      </c>
      <c r="H99">
        <v>4</v>
      </c>
      <c r="K99">
        <v>12</v>
      </c>
      <c r="L99">
        <v>4</v>
      </c>
      <c r="M99">
        <v>1775675.675675676</v>
      </c>
      <c r="N99">
        <v>3003963.9639639631</v>
      </c>
      <c r="O99">
        <v>17563585.585585587</v>
      </c>
      <c r="P99">
        <v>17890342.342342343</v>
      </c>
      <c r="Q99">
        <v>1699189.1891891891</v>
      </c>
      <c r="R99">
        <v>2893153.153153155</v>
      </c>
      <c r="S99">
        <v>1632</v>
      </c>
      <c r="T99">
        <v>1483</v>
      </c>
    </row>
    <row r="100" spans="1:20" x14ac:dyDescent="0.35">
      <c r="A100" s="7" t="s">
        <v>187</v>
      </c>
      <c r="B100" s="12" t="s">
        <v>61</v>
      </c>
      <c r="C100">
        <v>30948170.6760998</v>
      </c>
      <c r="D100">
        <v>34915946.393505186</v>
      </c>
      <c r="E100">
        <v>235135.13513513701</v>
      </c>
      <c r="F100">
        <v>427927.92792792898</v>
      </c>
      <c r="G100">
        <v>9</v>
      </c>
      <c r="H100">
        <v>5</v>
      </c>
      <c r="K100">
        <v>9</v>
      </c>
      <c r="L100">
        <v>5</v>
      </c>
      <c r="M100">
        <v>910810.81081081298</v>
      </c>
      <c r="N100">
        <v>1211711.7117117119</v>
      </c>
      <c r="O100">
        <v>10844524.774774777</v>
      </c>
      <c r="P100">
        <v>12018189.18918919</v>
      </c>
      <c r="Q100">
        <v>508108.10810810898</v>
      </c>
      <c r="R100">
        <v>1664414.414414414</v>
      </c>
      <c r="S100">
        <v>839</v>
      </c>
      <c r="T100">
        <v>840</v>
      </c>
    </row>
    <row r="101" spans="1:20" x14ac:dyDescent="0.35">
      <c r="A101" s="7" t="s">
        <v>188</v>
      </c>
      <c r="B101" s="12" t="s">
        <v>168</v>
      </c>
      <c r="C101">
        <v>76941934.781821981</v>
      </c>
      <c r="D101">
        <v>74966125.353551462</v>
      </c>
      <c r="E101">
        <v>265540.540540541</v>
      </c>
      <c r="F101">
        <v>130630.630630631</v>
      </c>
      <c r="G101">
        <v>2</v>
      </c>
      <c r="H101">
        <v>2</v>
      </c>
      <c r="K101">
        <v>3</v>
      </c>
      <c r="L101">
        <v>6</v>
      </c>
      <c r="M101">
        <v>306306.30630630697</v>
      </c>
      <c r="N101">
        <v>157657.65765765801</v>
      </c>
      <c r="O101">
        <v>20689531.531531531</v>
      </c>
      <c r="P101">
        <v>22694394.594594598</v>
      </c>
      <c r="Q101">
        <v>140450.45045045001</v>
      </c>
      <c r="R101">
        <v>1549009.009009009</v>
      </c>
      <c r="S101">
        <v>2860</v>
      </c>
      <c r="T101">
        <v>2939</v>
      </c>
    </row>
    <row r="102" spans="1:20" x14ac:dyDescent="0.35">
      <c r="A102" s="7" t="s">
        <v>189</v>
      </c>
      <c r="B102" s="12" t="s">
        <v>168</v>
      </c>
      <c r="C102">
        <v>204198050.19632623</v>
      </c>
      <c r="D102">
        <v>224200122.87928104</v>
      </c>
      <c r="E102">
        <v>95495.495495497002</v>
      </c>
      <c r="F102">
        <v>261261.261261262</v>
      </c>
      <c r="G102">
        <v>18</v>
      </c>
      <c r="H102">
        <v>7</v>
      </c>
      <c r="K102">
        <v>19</v>
      </c>
      <c r="L102">
        <v>10</v>
      </c>
      <c r="M102">
        <v>7995076.5765765803</v>
      </c>
      <c r="N102">
        <v>8503603.6036036089</v>
      </c>
      <c r="O102">
        <v>41418477.477477483</v>
      </c>
      <c r="P102">
        <v>53718565.765765771</v>
      </c>
      <c r="Q102">
        <v>5787567.5675675729</v>
      </c>
      <c r="R102">
        <v>7666036.0360360388</v>
      </c>
      <c r="S102">
        <v>5160</v>
      </c>
      <c r="T102">
        <v>5636</v>
      </c>
    </row>
    <row r="103" spans="1:20" x14ac:dyDescent="0.35">
      <c r="A103" s="7" t="s">
        <v>190</v>
      </c>
      <c r="B103" s="12" t="s">
        <v>191</v>
      </c>
      <c r="C103">
        <v>90737537.481588483</v>
      </c>
      <c r="D103">
        <v>96900245.50575079</v>
      </c>
      <c r="E103">
        <v>270270.27027027</v>
      </c>
      <c r="F103">
        <v>270270.27027027</v>
      </c>
      <c r="G103">
        <v>18</v>
      </c>
      <c r="H103">
        <v>28</v>
      </c>
      <c r="I103">
        <v>1</v>
      </c>
      <c r="K103">
        <v>19</v>
      </c>
      <c r="L103">
        <v>30</v>
      </c>
      <c r="M103">
        <v>1171171.1711711709</v>
      </c>
      <c r="N103">
        <v>1621621.621621622</v>
      </c>
      <c r="O103">
        <v>6423198.1981981983</v>
      </c>
      <c r="P103">
        <v>7867675.6756756753</v>
      </c>
      <c r="Q103">
        <v>1099549.5495495501</v>
      </c>
      <c r="R103">
        <v>1325225.2252252251</v>
      </c>
      <c r="S103">
        <v>1719</v>
      </c>
      <c r="T103">
        <v>1774</v>
      </c>
    </row>
    <row r="104" spans="1:20" x14ac:dyDescent="0.35">
      <c r="A104" s="7" t="s">
        <v>192</v>
      </c>
      <c r="B104" s="12" t="s">
        <v>135</v>
      </c>
      <c r="C104">
        <v>21970756.077674601</v>
      </c>
      <c r="D104">
        <v>19116050.664495453</v>
      </c>
      <c r="E104">
        <v>13513.513513514001</v>
      </c>
      <c r="G104">
        <v>15</v>
      </c>
      <c r="H104">
        <v>12</v>
      </c>
      <c r="K104">
        <v>16</v>
      </c>
      <c r="L104">
        <v>22</v>
      </c>
      <c r="M104">
        <v>13513.513513514001</v>
      </c>
      <c r="O104">
        <v>1809234.234234235</v>
      </c>
      <c r="P104">
        <v>1489855.8558558561</v>
      </c>
      <c r="Q104">
        <v>121621.62162162201</v>
      </c>
      <c r="S104">
        <v>919</v>
      </c>
      <c r="T104">
        <v>928</v>
      </c>
    </row>
    <row r="105" spans="1:20" x14ac:dyDescent="0.35">
      <c r="A105" s="7" t="s">
        <v>193</v>
      </c>
      <c r="B105" s="12" t="s">
        <v>61</v>
      </c>
      <c r="C105">
        <v>129230053.4397999</v>
      </c>
      <c r="D105">
        <v>132019751.69567458</v>
      </c>
      <c r="E105">
        <v>1270045.045045045</v>
      </c>
      <c r="F105">
        <v>1035135.135135137</v>
      </c>
      <c r="G105">
        <v>13</v>
      </c>
      <c r="H105">
        <v>13</v>
      </c>
      <c r="K105">
        <v>46</v>
      </c>
      <c r="L105">
        <v>38</v>
      </c>
      <c r="M105">
        <v>12117117.117117118</v>
      </c>
      <c r="N105">
        <v>14350450.45045045</v>
      </c>
      <c r="O105">
        <v>42056630.630630635</v>
      </c>
      <c r="P105">
        <v>45485882.882882878</v>
      </c>
      <c r="Q105">
        <v>10227837.837837838</v>
      </c>
      <c r="R105">
        <v>13729099.099099101</v>
      </c>
      <c r="S105">
        <v>4409</v>
      </c>
      <c r="T105">
        <v>3840</v>
      </c>
    </row>
    <row r="106" spans="1:20" x14ac:dyDescent="0.35">
      <c r="A106" s="7" t="s">
        <v>194</v>
      </c>
      <c r="B106" s="12" t="s">
        <v>61</v>
      </c>
      <c r="C106">
        <v>222213146.3048695</v>
      </c>
      <c r="D106">
        <v>236548480.32094604</v>
      </c>
      <c r="E106">
        <v>1724324.324324324</v>
      </c>
      <c r="F106">
        <v>1711711.7117117171</v>
      </c>
      <c r="G106">
        <v>16</v>
      </c>
      <c r="H106">
        <v>25</v>
      </c>
      <c r="I106">
        <v>1</v>
      </c>
      <c r="K106">
        <v>25</v>
      </c>
      <c r="L106">
        <v>33</v>
      </c>
      <c r="M106">
        <v>13994594.594594594</v>
      </c>
      <c r="N106">
        <v>20378378.37837838</v>
      </c>
      <c r="O106">
        <v>56092324.324324317</v>
      </c>
      <c r="P106">
        <v>58740394.59459459</v>
      </c>
      <c r="Q106">
        <v>12397927.927927932</v>
      </c>
      <c r="R106">
        <v>18916709.909909908</v>
      </c>
      <c r="S106">
        <v>6356</v>
      </c>
      <c r="T106">
        <v>6657</v>
      </c>
    </row>
    <row r="107" spans="1:20" x14ac:dyDescent="0.35">
      <c r="A107" s="7" t="s">
        <v>2</v>
      </c>
      <c r="B107" s="12" t="s">
        <v>195</v>
      </c>
      <c r="C107">
        <v>21389073.525880821</v>
      </c>
      <c r="D107">
        <v>9663067.6915364582</v>
      </c>
      <c r="E107">
        <v>40540.540540542002</v>
      </c>
      <c r="F107">
        <v>90090.090090090001</v>
      </c>
      <c r="G107">
        <v>3</v>
      </c>
      <c r="K107">
        <v>3</v>
      </c>
      <c r="M107">
        <v>40540.540540542002</v>
      </c>
      <c r="N107">
        <v>180180.18018018</v>
      </c>
      <c r="O107">
        <v>12532828.828828828</v>
      </c>
      <c r="P107">
        <v>6078864.8648648653</v>
      </c>
      <c r="Q107">
        <v>157657.65765765801</v>
      </c>
      <c r="R107">
        <v>212162.16216216201</v>
      </c>
      <c r="S107">
        <v>1023</v>
      </c>
      <c r="T107">
        <v>1150</v>
      </c>
    </row>
    <row r="108" spans="1:20" x14ac:dyDescent="0.35">
      <c r="A108" s="7" t="s">
        <v>196</v>
      </c>
      <c r="B108" s="12" t="s">
        <v>197</v>
      </c>
      <c r="C108">
        <v>799184679.33097804</v>
      </c>
      <c r="D108">
        <v>839100410.0051589</v>
      </c>
      <c r="E108">
        <v>6023198.1981981983</v>
      </c>
      <c r="F108">
        <v>25489189.189189192</v>
      </c>
      <c r="G108">
        <v>191</v>
      </c>
      <c r="H108">
        <v>60</v>
      </c>
      <c r="I108">
        <v>2</v>
      </c>
      <c r="K108">
        <v>247</v>
      </c>
      <c r="L108">
        <v>102</v>
      </c>
      <c r="M108">
        <v>37089189.189189181</v>
      </c>
      <c r="N108">
        <v>33533333.333333336</v>
      </c>
      <c r="O108">
        <v>155589180.18018019</v>
      </c>
      <c r="P108">
        <v>167782531.53153151</v>
      </c>
      <c r="Q108">
        <v>37551711.711711712</v>
      </c>
      <c r="R108">
        <v>30323333.333333332</v>
      </c>
      <c r="S108">
        <v>17997</v>
      </c>
      <c r="T108">
        <v>18412</v>
      </c>
    </row>
    <row r="109" spans="1:20" x14ac:dyDescent="0.35">
      <c r="A109" s="7" t="s">
        <v>198</v>
      </c>
      <c r="B109" s="12" t="s">
        <v>81</v>
      </c>
      <c r="C109">
        <v>243048496.65962461</v>
      </c>
      <c r="D109">
        <v>240638446.1363731</v>
      </c>
      <c r="E109">
        <v>1441441.441441441</v>
      </c>
      <c r="F109">
        <v>2442342.342342345</v>
      </c>
      <c r="G109">
        <v>56</v>
      </c>
      <c r="H109">
        <v>36</v>
      </c>
      <c r="K109">
        <v>63</v>
      </c>
      <c r="L109">
        <v>55</v>
      </c>
      <c r="M109">
        <v>34729729.729729727</v>
      </c>
      <c r="N109">
        <v>42867117.117117122</v>
      </c>
      <c r="O109">
        <v>66770369.369369365</v>
      </c>
      <c r="P109">
        <v>64790270.270270273</v>
      </c>
      <c r="Q109">
        <v>36631261.261261262</v>
      </c>
      <c r="R109">
        <v>42733693.693693697</v>
      </c>
      <c r="S109">
        <v>6611</v>
      </c>
      <c r="T109">
        <v>6726</v>
      </c>
    </row>
    <row r="110" spans="1:20" x14ac:dyDescent="0.35">
      <c r="A110" s="7" t="s">
        <v>199</v>
      </c>
      <c r="B110" s="12" t="s">
        <v>109</v>
      </c>
      <c r="C110">
        <v>193980773.63408697</v>
      </c>
      <c r="D110">
        <v>195566015.63447556</v>
      </c>
      <c r="E110">
        <v>1671171.1711711721</v>
      </c>
      <c r="F110">
        <v>1722072.072072071</v>
      </c>
      <c r="G110">
        <v>61</v>
      </c>
      <c r="H110">
        <v>35</v>
      </c>
      <c r="I110">
        <v>1</v>
      </c>
      <c r="K110">
        <v>75</v>
      </c>
      <c r="L110">
        <v>42</v>
      </c>
      <c r="M110">
        <v>11167567.567567565</v>
      </c>
      <c r="N110">
        <v>13765315.315315314</v>
      </c>
      <c r="O110">
        <v>60132810.810810804</v>
      </c>
      <c r="P110">
        <v>59489702.702702701</v>
      </c>
      <c r="Q110">
        <v>10092162.162162162</v>
      </c>
      <c r="R110">
        <v>13788828.82882883</v>
      </c>
      <c r="S110">
        <v>7303</v>
      </c>
      <c r="T110">
        <v>7133</v>
      </c>
    </row>
    <row r="111" spans="1:20" x14ac:dyDescent="0.35">
      <c r="A111" s="7" t="s">
        <v>200</v>
      </c>
      <c r="B111" s="12" t="s">
        <v>93</v>
      </c>
      <c r="C111">
        <v>103327795.61138983</v>
      </c>
      <c r="D111">
        <v>109416958.90877856</v>
      </c>
      <c r="E111">
        <v>3908108.1081081098</v>
      </c>
      <c r="F111">
        <v>2662162.1621621628</v>
      </c>
      <c r="G111">
        <v>134</v>
      </c>
      <c r="H111">
        <v>16</v>
      </c>
      <c r="K111">
        <v>233</v>
      </c>
      <c r="L111">
        <v>19</v>
      </c>
      <c r="M111">
        <v>32254504.504504506</v>
      </c>
      <c r="N111">
        <v>25840090.090090089</v>
      </c>
      <c r="O111">
        <v>28594360.360360362</v>
      </c>
      <c r="P111">
        <v>28288738.738738742</v>
      </c>
      <c r="Q111">
        <v>31455135.135135137</v>
      </c>
      <c r="R111">
        <v>25944864.864864863</v>
      </c>
      <c r="S111">
        <v>2828</v>
      </c>
      <c r="T111">
        <v>2836</v>
      </c>
    </row>
    <row r="112" spans="1:20" x14ac:dyDescent="0.35">
      <c r="A112" s="7" t="s">
        <v>201</v>
      </c>
      <c r="B112" s="12" t="s">
        <v>124</v>
      </c>
      <c r="C112">
        <v>92114816.992691025</v>
      </c>
      <c r="D112">
        <v>77776202.284032449</v>
      </c>
      <c r="E112">
        <v>56756.756756757997</v>
      </c>
      <c r="F112">
        <v>1291891.8918918921</v>
      </c>
      <c r="G112">
        <v>14</v>
      </c>
      <c r="H112">
        <v>14</v>
      </c>
      <c r="K112">
        <v>15</v>
      </c>
      <c r="L112">
        <v>17</v>
      </c>
      <c r="M112">
        <v>2283963.963963964</v>
      </c>
      <c r="N112">
        <v>7811891.8918918911</v>
      </c>
      <c r="O112">
        <v>15702774.774774777</v>
      </c>
      <c r="P112">
        <v>19045846.846846849</v>
      </c>
      <c r="Q112">
        <v>2889729.7297297311</v>
      </c>
      <c r="R112">
        <v>4374324.3243243247</v>
      </c>
      <c r="S112">
        <v>2506</v>
      </c>
      <c r="T112">
        <v>2424</v>
      </c>
    </row>
    <row r="113" spans="1:20" x14ac:dyDescent="0.35">
      <c r="A113" s="7" t="s">
        <v>669</v>
      </c>
      <c r="B113" s="12" t="s">
        <v>61</v>
      </c>
      <c r="T113">
        <v>1</v>
      </c>
    </row>
    <row r="114" spans="1:20" x14ac:dyDescent="0.35">
      <c r="A114" s="7" t="s">
        <v>202</v>
      </c>
      <c r="B114" s="12" t="s">
        <v>61</v>
      </c>
      <c r="C114">
        <v>67324004.493834928</v>
      </c>
      <c r="D114">
        <v>72287249.122232363</v>
      </c>
      <c r="E114">
        <v>476576.57657657698</v>
      </c>
      <c r="F114">
        <v>754504.50450450799</v>
      </c>
      <c r="G114">
        <v>14</v>
      </c>
      <c r="H114">
        <v>6</v>
      </c>
      <c r="I114">
        <v>1</v>
      </c>
      <c r="K114">
        <v>16</v>
      </c>
      <c r="L114">
        <v>13</v>
      </c>
      <c r="M114">
        <v>9359459.4594594594</v>
      </c>
      <c r="N114">
        <v>10790540.540540541</v>
      </c>
      <c r="O114">
        <v>12331743.243243244</v>
      </c>
      <c r="P114">
        <v>13197396.396396397</v>
      </c>
      <c r="Q114">
        <v>5233243.2432432426</v>
      </c>
      <c r="R114">
        <v>5425765.7657657666</v>
      </c>
      <c r="S114">
        <v>3599</v>
      </c>
      <c r="T114">
        <v>3577</v>
      </c>
    </row>
    <row r="115" spans="1:20" x14ac:dyDescent="0.35">
      <c r="A115" s="7" t="s">
        <v>203</v>
      </c>
      <c r="B115" s="12" t="s">
        <v>61</v>
      </c>
      <c r="C115">
        <v>22616607.561285377</v>
      </c>
      <c r="D115">
        <v>23104572.519422792</v>
      </c>
      <c r="E115">
        <v>5405.4054054050002</v>
      </c>
      <c r="F115">
        <v>152252.25225225399</v>
      </c>
      <c r="G115">
        <v>8</v>
      </c>
      <c r="H115">
        <v>5</v>
      </c>
      <c r="K115">
        <v>8</v>
      </c>
      <c r="L115">
        <v>6</v>
      </c>
      <c r="M115">
        <v>1527927.9279279271</v>
      </c>
      <c r="N115">
        <v>1575675.675675676</v>
      </c>
      <c r="O115">
        <v>4410567.5675675673</v>
      </c>
      <c r="P115">
        <v>5345963.963963964</v>
      </c>
      <c r="Q115">
        <v>443243.24324324302</v>
      </c>
      <c r="R115">
        <v>859819.81981982104</v>
      </c>
      <c r="S115">
        <v>1190</v>
      </c>
      <c r="T115">
        <v>1120</v>
      </c>
    </row>
    <row r="116" spans="1:20" x14ac:dyDescent="0.35">
      <c r="A116" s="7" t="s">
        <v>204</v>
      </c>
      <c r="B116" s="12" t="s">
        <v>122</v>
      </c>
      <c r="C116">
        <v>44990963.982656747</v>
      </c>
      <c r="D116">
        <v>43166387.684797615</v>
      </c>
      <c r="E116">
        <v>193693.69369369399</v>
      </c>
      <c r="F116">
        <v>500000.00000000099</v>
      </c>
      <c r="G116">
        <v>29</v>
      </c>
      <c r="H116">
        <v>9</v>
      </c>
      <c r="K116">
        <v>33</v>
      </c>
      <c r="L116">
        <v>11</v>
      </c>
      <c r="M116">
        <v>198198.19819819901</v>
      </c>
      <c r="N116">
        <v>680180.18018018105</v>
      </c>
      <c r="O116">
        <v>4356513.5135135138</v>
      </c>
      <c r="P116">
        <v>4429684.6846846836</v>
      </c>
      <c r="R116">
        <v>247747.74774774801</v>
      </c>
      <c r="S116">
        <v>1319</v>
      </c>
      <c r="T116">
        <v>1447</v>
      </c>
    </row>
    <row r="117" spans="1:20" x14ac:dyDescent="0.35">
      <c r="A117" s="7" t="s">
        <v>205</v>
      </c>
      <c r="B117" s="12" t="s">
        <v>55</v>
      </c>
      <c r="C117">
        <v>70420818.154190153</v>
      </c>
      <c r="D117">
        <v>77392073.893193856</v>
      </c>
      <c r="E117">
        <v>280180.18018018099</v>
      </c>
      <c r="F117">
        <v>774774.77477477596</v>
      </c>
      <c r="G117">
        <v>13</v>
      </c>
      <c r="H117">
        <v>11</v>
      </c>
      <c r="K117">
        <v>14</v>
      </c>
      <c r="L117">
        <v>13</v>
      </c>
      <c r="M117">
        <v>3311711.7117117131</v>
      </c>
      <c r="N117">
        <v>5252252.2522522537</v>
      </c>
      <c r="O117">
        <v>18179819.819819819</v>
      </c>
      <c r="P117">
        <v>20916900.9009009</v>
      </c>
      <c r="Q117">
        <v>3769729.7297297278</v>
      </c>
      <c r="R117">
        <v>4646486.4864864852</v>
      </c>
      <c r="S117">
        <v>4006</v>
      </c>
      <c r="T117">
        <v>3811</v>
      </c>
    </row>
    <row r="118" spans="1:20" x14ac:dyDescent="0.35">
      <c r="A118" s="7" t="s">
        <v>206</v>
      </c>
      <c r="B118" s="12" t="s">
        <v>137</v>
      </c>
      <c r="C118">
        <v>251961813.74794054</v>
      </c>
      <c r="D118">
        <v>260193149.63617501</v>
      </c>
      <c r="E118">
        <v>502702.702702704</v>
      </c>
      <c r="F118">
        <v>752252.25225225999</v>
      </c>
      <c r="G118">
        <v>30</v>
      </c>
      <c r="H118">
        <v>35</v>
      </c>
      <c r="I118">
        <v>2</v>
      </c>
      <c r="K118">
        <v>34</v>
      </c>
      <c r="L118">
        <v>39</v>
      </c>
      <c r="M118">
        <v>25781981.981981982</v>
      </c>
      <c r="N118">
        <v>22779279.279279284</v>
      </c>
      <c r="O118">
        <v>46571081.081081077</v>
      </c>
      <c r="P118">
        <v>50360675.675675675</v>
      </c>
      <c r="Q118">
        <v>19898378.378378376</v>
      </c>
      <c r="R118">
        <v>20058018.018018015</v>
      </c>
      <c r="S118">
        <v>5636</v>
      </c>
      <c r="T118">
        <v>7174</v>
      </c>
    </row>
    <row r="119" spans="1:20" x14ac:dyDescent="0.35">
      <c r="A119" s="7" t="s">
        <v>207</v>
      </c>
      <c r="B119" s="12" t="s">
        <v>137</v>
      </c>
      <c r="C119">
        <v>131488323.63086545</v>
      </c>
      <c r="D119">
        <v>136358384.16318569</v>
      </c>
      <c r="E119">
        <v>358558.55855855899</v>
      </c>
      <c r="F119">
        <v>52252.252252252998</v>
      </c>
      <c r="G119">
        <v>21</v>
      </c>
      <c r="H119">
        <v>15</v>
      </c>
      <c r="K119">
        <v>26</v>
      </c>
      <c r="L119">
        <v>17</v>
      </c>
      <c r="M119">
        <v>5025225.2252252242</v>
      </c>
      <c r="N119">
        <v>3385585.5855855839</v>
      </c>
      <c r="O119">
        <v>25675565.765765768</v>
      </c>
      <c r="P119">
        <v>29110648.648648649</v>
      </c>
      <c r="Q119">
        <v>2647117.1171171172</v>
      </c>
      <c r="R119">
        <v>2017477.477477476</v>
      </c>
      <c r="S119">
        <v>3088</v>
      </c>
      <c r="T119">
        <v>3158</v>
      </c>
    </row>
    <row r="120" spans="1:20" x14ac:dyDescent="0.35">
      <c r="A120" s="7" t="s">
        <v>208</v>
      </c>
      <c r="B120" s="12" t="s">
        <v>170</v>
      </c>
      <c r="C120">
        <v>297693394.74529636</v>
      </c>
      <c r="D120">
        <v>315894843.40680414</v>
      </c>
      <c r="E120">
        <v>76196396.396396399</v>
      </c>
      <c r="F120">
        <v>255340810.8108108</v>
      </c>
      <c r="G120">
        <v>9</v>
      </c>
      <c r="H120">
        <v>13</v>
      </c>
      <c r="K120">
        <v>13</v>
      </c>
      <c r="L120">
        <v>15</v>
      </c>
      <c r="M120">
        <v>2282265427.927928</v>
      </c>
      <c r="N120">
        <v>685720720.72072077</v>
      </c>
      <c r="O120">
        <v>140408891.8918919</v>
      </c>
      <c r="P120">
        <v>153555369.36936939</v>
      </c>
      <c r="Q120">
        <v>360016007.2072072</v>
      </c>
      <c r="R120">
        <v>21497567.567567568</v>
      </c>
      <c r="S120">
        <v>7967</v>
      </c>
      <c r="T120">
        <v>7805</v>
      </c>
    </row>
    <row r="121" spans="1:20" x14ac:dyDescent="0.35">
      <c r="A121" s="7" t="s">
        <v>209</v>
      </c>
      <c r="B121" s="12" t="s">
        <v>162</v>
      </c>
      <c r="C121">
        <v>335310826.44580936</v>
      </c>
      <c r="D121">
        <v>349032219.75963956</v>
      </c>
      <c r="E121">
        <v>1754054.0540540621</v>
      </c>
      <c r="F121">
        <v>2422072.0720720761</v>
      </c>
      <c r="G121">
        <v>231</v>
      </c>
      <c r="H121">
        <v>86</v>
      </c>
      <c r="K121">
        <v>346</v>
      </c>
      <c r="L121">
        <v>288</v>
      </c>
      <c r="M121">
        <v>36348378.378378384</v>
      </c>
      <c r="N121">
        <v>44847927.927927926</v>
      </c>
      <c r="O121">
        <v>97150029.279279277</v>
      </c>
      <c r="P121">
        <v>110006288.2882883</v>
      </c>
      <c r="Q121">
        <v>33116302.702702712</v>
      </c>
      <c r="R121">
        <v>43165852.252252258</v>
      </c>
      <c r="S121">
        <v>12731</v>
      </c>
      <c r="T121">
        <v>12365</v>
      </c>
    </row>
    <row r="122" spans="1:20" x14ac:dyDescent="0.35">
      <c r="A122" s="7" t="s">
        <v>210</v>
      </c>
      <c r="B122" s="12" t="s">
        <v>77</v>
      </c>
      <c r="C122">
        <v>10066181.061723312</v>
      </c>
      <c r="D122">
        <v>10782666.357261209</v>
      </c>
      <c r="H122">
        <v>2</v>
      </c>
      <c r="L122">
        <v>2</v>
      </c>
      <c r="O122">
        <v>778063.06306306401</v>
      </c>
      <c r="P122">
        <v>977657.65765765798</v>
      </c>
      <c r="S122">
        <v>445</v>
      </c>
      <c r="T122">
        <v>558</v>
      </c>
    </row>
    <row r="123" spans="1:20" x14ac:dyDescent="0.35">
      <c r="A123" s="7" t="s">
        <v>211</v>
      </c>
      <c r="B123" s="12" t="s">
        <v>77</v>
      </c>
      <c r="C123">
        <v>144759342.74407485</v>
      </c>
      <c r="D123">
        <v>143782675.82168162</v>
      </c>
      <c r="E123">
        <v>32654910.810810816</v>
      </c>
      <c r="F123">
        <v>85522963.963963971</v>
      </c>
      <c r="G123">
        <v>65</v>
      </c>
      <c r="H123">
        <v>62</v>
      </c>
      <c r="I123">
        <v>3</v>
      </c>
      <c r="K123">
        <v>74</v>
      </c>
      <c r="L123">
        <v>73</v>
      </c>
      <c r="M123">
        <v>18452612.612612609</v>
      </c>
      <c r="N123">
        <v>12672080.180180181</v>
      </c>
      <c r="O123">
        <v>22520648.648648649</v>
      </c>
      <c r="P123">
        <v>24402504.504504506</v>
      </c>
      <c r="Q123">
        <v>17312612.612612613</v>
      </c>
      <c r="R123">
        <v>11577297.297297295</v>
      </c>
      <c r="S123">
        <v>4363</v>
      </c>
      <c r="T123">
        <v>4485</v>
      </c>
    </row>
    <row r="124" spans="1:20" x14ac:dyDescent="0.35">
      <c r="A124" s="7" t="s">
        <v>212</v>
      </c>
      <c r="B124" s="12" t="s">
        <v>77</v>
      </c>
      <c r="C124">
        <v>186456720.33691216</v>
      </c>
      <c r="D124">
        <v>204118556.86770463</v>
      </c>
      <c r="E124">
        <v>2169369.3693693751</v>
      </c>
      <c r="F124">
        <v>3979279.2792792819</v>
      </c>
      <c r="G124">
        <v>97</v>
      </c>
      <c r="H124">
        <v>209</v>
      </c>
      <c r="I124">
        <v>1</v>
      </c>
      <c r="K124">
        <v>130</v>
      </c>
      <c r="L124">
        <v>226</v>
      </c>
      <c r="M124">
        <v>67709729.729729727</v>
      </c>
      <c r="N124">
        <v>67073423.423423424</v>
      </c>
      <c r="O124">
        <v>56957540.540540546</v>
      </c>
      <c r="P124">
        <v>69185261.261261269</v>
      </c>
      <c r="Q124">
        <v>51497747.747747749</v>
      </c>
      <c r="R124">
        <v>53176126.126126125</v>
      </c>
      <c r="S124">
        <v>6606</v>
      </c>
      <c r="T124">
        <v>6820</v>
      </c>
    </row>
    <row r="125" spans="1:20" x14ac:dyDescent="0.35">
      <c r="A125" s="7" t="s">
        <v>213</v>
      </c>
      <c r="B125" s="12" t="s">
        <v>77</v>
      </c>
      <c r="C125">
        <v>137256051.1551376</v>
      </c>
      <c r="D125">
        <v>130630007.02833374</v>
      </c>
      <c r="E125">
        <v>1622297.2972973031</v>
      </c>
      <c r="F125">
        <v>1499099.099099101</v>
      </c>
      <c r="G125">
        <v>65</v>
      </c>
      <c r="H125">
        <v>109</v>
      </c>
      <c r="K125">
        <v>70</v>
      </c>
      <c r="L125">
        <v>118</v>
      </c>
      <c r="M125">
        <v>11331891.891891897</v>
      </c>
      <c r="N125">
        <v>15003611.711711708</v>
      </c>
      <c r="O125">
        <v>21473164.414414417</v>
      </c>
      <c r="P125">
        <v>22149630.630630631</v>
      </c>
      <c r="Q125">
        <v>11032432.432432435</v>
      </c>
      <c r="R125">
        <v>12865225.225225223</v>
      </c>
      <c r="S125">
        <v>5677</v>
      </c>
      <c r="T125">
        <v>4072</v>
      </c>
    </row>
    <row r="126" spans="1:20" x14ac:dyDescent="0.35">
      <c r="A126" s="7" t="s">
        <v>214</v>
      </c>
      <c r="B126" s="12" t="s">
        <v>77</v>
      </c>
      <c r="C126">
        <v>49753523.944351472</v>
      </c>
      <c r="D126">
        <v>56805018.796926916</v>
      </c>
      <c r="E126">
        <v>33333.333333333001</v>
      </c>
      <c r="F126">
        <v>64864.864864864998</v>
      </c>
      <c r="G126">
        <v>6</v>
      </c>
      <c r="H126">
        <v>6</v>
      </c>
      <c r="K126">
        <v>6</v>
      </c>
      <c r="L126">
        <v>8</v>
      </c>
      <c r="M126">
        <v>1238018.0180180159</v>
      </c>
      <c r="N126">
        <v>2790090.090090089</v>
      </c>
      <c r="O126">
        <v>7472315.3153153164</v>
      </c>
      <c r="P126">
        <v>8952288.2882882878</v>
      </c>
      <c r="Q126">
        <v>1516036.036036036</v>
      </c>
      <c r="R126">
        <v>1609909.909909911</v>
      </c>
      <c r="S126">
        <v>4612</v>
      </c>
      <c r="T126">
        <v>2251</v>
      </c>
    </row>
    <row r="127" spans="1:20" x14ac:dyDescent="0.35">
      <c r="A127" s="7" t="s">
        <v>215</v>
      </c>
      <c r="B127" s="12" t="s">
        <v>216</v>
      </c>
      <c r="C127">
        <v>71041909.017448112</v>
      </c>
      <c r="D127">
        <v>73327626.981312916</v>
      </c>
      <c r="E127">
        <v>2797297.2972972961</v>
      </c>
      <c r="F127">
        <v>89041441.441441447</v>
      </c>
      <c r="G127">
        <v>28</v>
      </c>
      <c r="H127">
        <v>2</v>
      </c>
      <c r="I127">
        <v>1</v>
      </c>
      <c r="K127">
        <v>30</v>
      </c>
      <c r="L127">
        <v>2</v>
      </c>
      <c r="M127">
        <v>8492360.3603603616</v>
      </c>
      <c r="N127">
        <v>20398198.198198199</v>
      </c>
      <c r="O127">
        <v>31716297.297297295</v>
      </c>
      <c r="P127">
        <v>37282873.873873875</v>
      </c>
      <c r="Q127">
        <v>7226126.1261261273</v>
      </c>
      <c r="R127">
        <v>18968018.018018015</v>
      </c>
      <c r="S127">
        <v>2311</v>
      </c>
      <c r="T127">
        <v>2790</v>
      </c>
    </row>
    <row r="128" spans="1:20" x14ac:dyDescent="0.35">
      <c r="A128" s="7" t="s">
        <v>217</v>
      </c>
      <c r="B128" s="12" t="s">
        <v>168</v>
      </c>
      <c r="C128">
        <v>78148403.126667902</v>
      </c>
      <c r="D128">
        <v>74675080.268417984</v>
      </c>
      <c r="E128">
        <v>81081.081081081997</v>
      </c>
      <c r="G128">
        <v>4</v>
      </c>
      <c r="H128">
        <v>1</v>
      </c>
      <c r="K128">
        <v>4</v>
      </c>
      <c r="L128">
        <v>1</v>
      </c>
      <c r="M128">
        <v>531531.53153153195</v>
      </c>
      <c r="O128">
        <v>13849558.558558561</v>
      </c>
      <c r="P128">
        <v>20736288.288288288</v>
      </c>
      <c r="Q128">
        <v>19819.819819820001</v>
      </c>
      <c r="R128">
        <v>62612.612612612997</v>
      </c>
      <c r="S128">
        <v>1852</v>
      </c>
      <c r="T128">
        <v>1730</v>
      </c>
    </row>
    <row r="129" spans="1:20" x14ac:dyDescent="0.35">
      <c r="A129" s="7" t="s">
        <v>218</v>
      </c>
      <c r="B129" s="12" t="s">
        <v>86</v>
      </c>
      <c r="C129">
        <v>18168832.225313433</v>
      </c>
      <c r="D129">
        <v>20066222.012433097</v>
      </c>
      <c r="E129">
        <v>130630.630630631</v>
      </c>
      <c r="F129">
        <v>1557657.6576576589</v>
      </c>
      <c r="G129">
        <v>6</v>
      </c>
      <c r="H129">
        <v>1</v>
      </c>
      <c r="K129">
        <v>8</v>
      </c>
      <c r="L129">
        <v>1</v>
      </c>
      <c r="M129">
        <v>25596396.396396395</v>
      </c>
      <c r="N129">
        <v>27429729.729729731</v>
      </c>
      <c r="O129">
        <v>5421351.3513513505</v>
      </c>
      <c r="P129">
        <v>7425205.405405405</v>
      </c>
      <c r="Q129">
        <v>19580900.9009009</v>
      </c>
      <c r="R129">
        <v>24048198.198198199</v>
      </c>
      <c r="S129">
        <v>722</v>
      </c>
      <c r="T129">
        <v>666</v>
      </c>
    </row>
    <row r="130" spans="1:20" x14ac:dyDescent="0.35">
      <c r="A130" s="7" t="s">
        <v>219</v>
      </c>
      <c r="B130" s="12" t="s">
        <v>86</v>
      </c>
      <c r="C130">
        <v>69179127.832484081</v>
      </c>
      <c r="D130">
        <v>71996998.842721686</v>
      </c>
      <c r="E130">
        <v>218918.91891892001</v>
      </c>
      <c r="F130">
        <v>650450.450450451</v>
      </c>
      <c r="G130">
        <v>23</v>
      </c>
      <c r="H130">
        <v>5</v>
      </c>
      <c r="K130">
        <v>26</v>
      </c>
      <c r="L130">
        <v>8</v>
      </c>
      <c r="M130">
        <v>12449729.729729731</v>
      </c>
      <c r="N130">
        <v>17145954.054054055</v>
      </c>
      <c r="O130">
        <v>13403009.009009007</v>
      </c>
      <c r="P130">
        <v>16584891.891891891</v>
      </c>
      <c r="Q130">
        <v>11963963.963963963</v>
      </c>
      <c r="R130">
        <v>13316936.936936935</v>
      </c>
      <c r="S130">
        <v>2342</v>
      </c>
      <c r="T130">
        <v>2483</v>
      </c>
    </row>
    <row r="131" spans="1:20" x14ac:dyDescent="0.35">
      <c r="A131" s="7" t="s">
        <v>220</v>
      </c>
      <c r="B131" s="12" t="s">
        <v>148</v>
      </c>
      <c r="C131">
        <v>65836570.909655951</v>
      </c>
      <c r="D131">
        <v>58719439.279760987</v>
      </c>
      <c r="E131">
        <v>88145045.045045033</v>
      </c>
      <c r="F131">
        <v>40873873.873873875</v>
      </c>
      <c r="G131">
        <v>58</v>
      </c>
      <c r="H131">
        <v>10</v>
      </c>
      <c r="K131">
        <v>73</v>
      </c>
      <c r="L131">
        <v>12</v>
      </c>
      <c r="M131">
        <v>44171827.927927926</v>
      </c>
      <c r="N131">
        <v>57585372.072072074</v>
      </c>
      <c r="O131">
        <v>21954486.486486487</v>
      </c>
      <c r="P131">
        <v>18214414.414414417</v>
      </c>
      <c r="Q131">
        <v>39358558.558558561</v>
      </c>
      <c r="R131">
        <v>55012252.252252258</v>
      </c>
      <c r="S131">
        <v>2338</v>
      </c>
      <c r="T131">
        <v>2928</v>
      </c>
    </row>
    <row r="132" spans="1:20" x14ac:dyDescent="0.35">
      <c r="A132" s="7" t="s">
        <v>221</v>
      </c>
      <c r="B132" s="12" t="s">
        <v>222</v>
      </c>
      <c r="C132">
        <v>131159389.53931653</v>
      </c>
      <c r="D132">
        <v>131301471.07521324</v>
      </c>
      <c r="E132">
        <v>1657657.6576576589</v>
      </c>
      <c r="F132">
        <v>2915112.612612613</v>
      </c>
      <c r="G132">
        <v>33</v>
      </c>
      <c r="H132">
        <v>51</v>
      </c>
      <c r="K132">
        <v>40</v>
      </c>
      <c r="L132">
        <v>64</v>
      </c>
      <c r="M132">
        <v>114071261.26126127</v>
      </c>
      <c r="N132">
        <v>210599797.2972973</v>
      </c>
      <c r="O132">
        <v>33316993.243243244</v>
      </c>
      <c r="P132">
        <v>38020891.891891889</v>
      </c>
      <c r="Q132">
        <v>181205855.85585588</v>
      </c>
      <c r="R132">
        <v>191750270.27027026</v>
      </c>
      <c r="S132">
        <v>6187</v>
      </c>
      <c r="T132">
        <v>6373</v>
      </c>
    </row>
    <row r="133" spans="1:20" x14ac:dyDescent="0.35">
      <c r="A133" s="7" t="s">
        <v>223</v>
      </c>
      <c r="B133" s="12" t="s">
        <v>53</v>
      </c>
      <c r="C133">
        <v>306275842.42795032</v>
      </c>
      <c r="D133">
        <v>330575350.3982318</v>
      </c>
      <c r="E133">
        <v>2675675.6756756771</v>
      </c>
      <c r="F133">
        <v>3026576.5765765822</v>
      </c>
      <c r="G133">
        <v>72</v>
      </c>
      <c r="H133">
        <v>42</v>
      </c>
      <c r="K133">
        <v>96</v>
      </c>
      <c r="L133">
        <v>75</v>
      </c>
      <c r="M133">
        <v>24162162.162162162</v>
      </c>
      <c r="N133">
        <v>29444144.144144148</v>
      </c>
      <c r="O133">
        <v>99366927.927927941</v>
      </c>
      <c r="P133">
        <v>104110657.65765767</v>
      </c>
      <c r="Q133">
        <v>30274954.954954952</v>
      </c>
      <c r="R133">
        <v>24249549.549549542</v>
      </c>
      <c r="S133">
        <v>10369</v>
      </c>
      <c r="T133">
        <v>10719</v>
      </c>
    </row>
    <row r="134" spans="1:20" x14ac:dyDescent="0.35">
      <c r="A134" s="7" t="s">
        <v>224</v>
      </c>
      <c r="B134" s="12" t="s">
        <v>77</v>
      </c>
      <c r="C134">
        <v>238146713.32059833</v>
      </c>
      <c r="D134">
        <v>248937459.07133287</v>
      </c>
      <c r="E134">
        <v>719819.81981982396</v>
      </c>
      <c r="F134">
        <v>895495.49549549795</v>
      </c>
      <c r="G134">
        <v>58</v>
      </c>
      <c r="H134">
        <v>61</v>
      </c>
      <c r="K134">
        <v>65</v>
      </c>
      <c r="L134">
        <v>69</v>
      </c>
      <c r="M134">
        <v>18801441.441441439</v>
      </c>
      <c r="N134">
        <v>23372972.972972974</v>
      </c>
      <c r="O134">
        <v>44953310.810810804</v>
      </c>
      <c r="P134">
        <v>55387990.990990989</v>
      </c>
      <c r="Q134">
        <v>13955045.045045042</v>
      </c>
      <c r="R134">
        <v>20148828.828828827</v>
      </c>
      <c r="S134">
        <v>6834</v>
      </c>
      <c r="T134">
        <v>7129</v>
      </c>
    </row>
    <row r="135" spans="1:20" x14ac:dyDescent="0.35">
      <c r="A135" s="7" t="s">
        <v>225</v>
      </c>
      <c r="B135" s="12" t="s">
        <v>226</v>
      </c>
      <c r="C135">
        <v>21729855.107652817</v>
      </c>
      <c r="D135">
        <v>21733862.887516811</v>
      </c>
      <c r="F135">
        <v>13513.513513514001</v>
      </c>
      <c r="G135">
        <v>1</v>
      </c>
      <c r="H135">
        <v>2</v>
      </c>
      <c r="K135">
        <v>1</v>
      </c>
      <c r="L135">
        <v>2</v>
      </c>
      <c r="N135">
        <v>13513.513513514001</v>
      </c>
      <c r="O135">
        <v>5292324.3243243238</v>
      </c>
      <c r="P135">
        <v>5186693.6936936937</v>
      </c>
      <c r="Q135">
        <v>486846.84684684698</v>
      </c>
      <c r="R135">
        <v>174144.144144144</v>
      </c>
      <c r="S135">
        <v>877</v>
      </c>
      <c r="T135">
        <v>806</v>
      </c>
    </row>
    <row r="136" spans="1:20" x14ac:dyDescent="0.35">
      <c r="A136" s="7" t="s">
        <v>227</v>
      </c>
      <c r="B136" s="12" t="s">
        <v>144</v>
      </c>
      <c r="C136">
        <v>198296011.9475618</v>
      </c>
      <c r="D136">
        <v>213111427.27839357</v>
      </c>
      <c r="E136">
        <v>2437837.8378378409</v>
      </c>
      <c r="F136">
        <v>1171171.171171176</v>
      </c>
      <c r="G136">
        <v>68</v>
      </c>
      <c r="H136">
        <v>11</v>
      </c>
      <c r="K136">
        <v>76</v>
      </c>
      <c r="L136">
        <v>16</v>
      </c>
      <c r="M136">
        <v>10711711.711711712</v>
      </c>
      <c r="N136">
        <v>11180180.180180183</v>
      </c>
      <c r="O136">
        <v>26666501.351351351</v>
      </c>
      <c r="P136">
        <v>31752729.729729731</v>
      </c>
      <c r="Q136">
        <v>7285765.7657657638</v>
      </c>
      <c r="R136">
        <v>6899819.8198198173</v>
      </c>
      <c r="S136">
        <v>6078</v>
      </c>
      <c r="T136">
        <v>5982</v>
      </c>
    </row>
    <row r="137" spans="1:20" x14ac:dyDescent="0.35">
      <c r="A137" s="7" t="s">
        <v>228</v>
      </c>
      <c r="B137" s="12" t="s">
        <v>226</v>
      </c>
      <c r="C137">
        <v>21990903.896924879</v>
      </c>
      <c r="D137">
        <v>22955355.903285149</v>
      </c>
      <c r="E137">
        <v>121621.62162162201</v>
      </c>
      <c r="F137">
        <v>49549.54954955</v>
      </c>
      <c r="G137">
        <v>9</v>
      </c>
      <c r="H137">
        <v>4</v>
      </c>
      <c r="K137">
        <v>11</v>
      </c>
      <c r="L137">
        <v>5</v>
      </c>
      <c r="M137">
        <v>3539639.6396396402</v>
      </c>
      <c r="N137">
        <v>1585135.1351351331</v>
      </c>
      <c r="O137">
        <v>6864671.1711711707</v>
      </c>
      <c r="P137">
        <v>5744234.2342342343</v>
      </c>
      <c r="Q137">
        <v>2777387.387387387</v>
      </c>
      <c r="R137">
        <v>1162522.522522521</v>
      </c>
      <c r="S137">
        <v>808</v>
      </c>
      <c r="T137">
        <v>742</v>
      </c>
    </row>
    <row r="138" spans="1:20" x14ac:dyDescent="0.35">
      <c r="A138" s="7" t="s">
        <v>229</v>
      </c>
      <c r="B138" s="12" t="s">
        <v>79</v>
      </c>
      <c r="C138">
        <v>182880490.12135327</v>
      </c>
      <c r="D138">
        <v>199042970.33137244</v>
      </c>
      <c r="E138">
        <v>2211711.7117117131</v>
      </c>
      <c r="F138">
        <v>1673873.8738738771</v>
      </c>
      <c r="G138">
        <v>32</v>
      </c>
      <c r="H138">
        <v>12</v>
      </c>
      <c r="K138">
        <v>34</v>
      </c>
      <c r="L138">
        <v>16</v>
      </c>
      <c r="M138">
        <v>21312162.162162162</v>
      </c>
      <c r="N138">
        <v>20542252.252252251</v>
      </c>
      <c r="O138">
        <v>72803828.828828827</v>
      </c>
      <c r="P138">
        <v>80855396.396396399</v>
      </c>
      <c r="Q138">
        <v>15191261.26126126</v>
      </c>
      <c r="R138">
        <v>16457117.117117118</v>
      </c>
      <c r="S138">
        <v>4982</v>
      </c>
      <c r="T138">
        <v>4837</v>
      </c>
    </row>
    <row r="139" spans="1:20" x14ac:dyDescent="0.35">
      <c r="A139" s="7" t="s">
        <v>230</v>
      </c>
      <c r="B139" s="12" t="s">
        <v>137</v>
      </c>
      <c r="C139">
        <v>245462271.74762684</v>
      </c>
      <c r="D139">
        <v>268161631.84839877</v>
      </c>
      <c r="E139">
        <v>1577027.02702703</v>
      </c>
      <c r="F139">
        <v>1882882.8828828889</v>
      </c>
      <c r="G139">
        <v>52</v>
      </c>
      <c r="H139">
        <v>40</v>
      </c>
      <c r="I139">
        <v>1</v>
      </c>
      <c r="K139">
        <v>71</v>
      </c>
      <c r="L139">
        <v>44</v>
      </c>
      <c r="M139">
        <v>31366666.666666664</v>
      </c>
      <c r="N139">
        <v>35162162.162162162</v>
      </c>
      <c r="O139">
        <v>59200013.513513513</v>
      </c>
      <c r="P139">
        <v>64194594.59459459</v>
      </c>
      <c r="Q139">
        <v>23135855.855855856</v>
      </c>
      <c r="R139">
        <v>31825135.135135137</v>
      </c>
      <c r="S139">
        <v>7600</v>
      </c>
      <c r="T139">
        <v>7808</v>
      </c>
    </row>
    <row r="140" spans="1:20" x14ac:dyDescent="0.35">
      <c r="A140" s="7" t="s">
        <v>231</v>
      </c>
      <c r="B140" s="12" t="s">
        <v>79</v>
      </c>
      <c r="C140">
        <v>71522893.20004946</v>
      </c>
      <c r="D140">
        <v>76802048.379389927</v>
      </c>
      <c r="E140">
        <v>2111261.2612612611</v>
      </c>
      <c r="F140">
        <v>4126126.126126125</v>
      </c>
      <c r="G140">
        <v>24</v>
      </c>
      <c r="H140">
        <v>15</v>
      </c>
      <c r="I140">
        <v>2</v>
      </c>
      <c r="K140">
        <v>26</v>
      </c>
      <c r="L140">
        <v>16</v>
      </c>
      <c r="M140">
        <v>15033333.333333332</v>
      </c>
      <c r="N140">
        <v>16126126.126126125</v>
      </c>
      <c r="O140">
        <v>34577180.180180177</v>
      </c>
      <c r="P140">
        <v>36565655.855855852</v>
      </c>
      <c r="Q140">
        <v>15483693.693693692</v>
      </c>
      <c r="R140">
        <v>16679772.972972976</v>
      </c>
      <c r="S140">
        <v>2594</v>
      </c>
      <c r="T140">
        <v>3438</v>
      </c>
    </row>
    <row r="141" spans="1:20" x14ac:dyDescent="0.35">
      <c r="A141" s="7" t="s">
        <v>232</v>
      </c>
      <c r="B141" s="12" t="s">
        <v>55</v>
      </c>
      <c r="C141">
        <v>200275100.24140754</v>
      </c>
      <c r="D141">
        <v>210095748.13878295</v>
      </c>
      <c r="E141">
        <v>860360.36036036105</v>
      </c>
      <c r="F141">
        <v>525225.22522522404</v>
      </c>
      <c r="G141">
        <v>21</v>
      </c>
      <c r="H141">
        <v>27</v>
      </c>
      <c r="K141">
        <v>25</v>
      </c>
      <c r="L141">
        <v>39</v>
      </c>
      <c r="M141">
        <v>17387387.387387387</v>
      </c>
      <c r="N141">
        <v>16669369.369369371</v>
      </c>
      <c r="O141">
        <v>50373863.063063063</v>
      </c>
      <c r="P141">
        <v>53312945.945945941</v>
      </c>
      <c r="Q141">
        <v>21428468.468468469</v>
      </c>
      <c r="R141">
        <v>5199189.18918919</v>
      </c>
      <c r="S141">
        <v>6719</v>
      </c>
      <c r="T141">
        <v>6724</v>
      </c>
    </row>
    <row r="142" spans="1:20" x14ac:dyDescent="0.35">
      <c r="A142" s="7" t="s">
        <v>233</v>
      </c>
      <c r="B142" s="12" t="s">
        <v>79</v>
      </c>
      <c r="C142">
        <v>75041377.925784618</v>
      </c>
      <c r="D142">
        <v>81245167.255827919</v>
      </c>
      <c r="E142">
        <v>1846846.8468468499</v>
      </c>
      <c r="F142">
        <v>4704954.9549549557</v>
      </c>
      <c r="G142">
        <v>28</v>
      </c>
      <c r="H142">
        <v>15</v>
      </c>
      <c r="I142">
        <v>2</v>
      </c>
      <c r="K142">
        <v>55</v>
      </c>
      <c r="L142">
        <v>19</v>
      </c>
      <c r="M142">
        <v>18011711.711711708</v>
      </c>
      <c r="N142">
        <v>22353603.603603605</v>
      </c>
      <c r="O142">
        <v>35497378.378378376</v>
      </c>
      <c r="P142">
        <v>38047405.40540541</v>
      </c>
      <c r="Q142">
        <v>18395585.585585583</v>
      </c>
      <c r="R142">
        <v>23295855.855855856</v>
      </c>
      <c r="S142">
        <v>4105</v>
      </c>
      <c r="T142">
        <v>4195</v>
      </c>
    </row>
    <row r="143" spans="1:20" x14ac:dyDescent="0.35">
      <c r="A143" s="7" t="s">
        <v>234</v>
      </c>
      <c r="B143" s="12" t="s">
        <v>61</v>
      </c>
      <c r="C143">
        <v>70330968.24273245</v>
      </c>
      <c r="D143">
        <v>70629073.474935025</v>
      </c>
      <c r="G143">
        <v>16</v>
      </c>
      <c r="H143">
        <v>1</v>
      </c>
      <c r="K143">
        <v>18</v>
      </c>
      <c r="L143">
        <v>2</v>
      </c>
      <c r="O143">
        <v>29556351.351351351</v>
      </c>
      <c r="P143">
        <v>29651063.063063063</v>
      </c>
      <c r="S143">
        <v>1852</v>
      </c>
      <c r="T143">
        <v>1910</v>
      </c>
    </row>
    <row r="144" spans="1:20" x14ac:dyDescent="0.35">
      <c r="A144" s="7" t="s">
        <v>235</v>
      </c>
      <c r="B144" s="12" t="s">
        <v>55</v>
      </c>
      <c r="C144">
        <v>33610227.788969718</v>
      </c>
      <c r="D144">
        <v>33983854.393116325</v>
      </c>
      <c r="E144">
        <v>58558.558558559002</v>
      </c>
      <c r="F144">
        <v>696396.39639639598</v>
      </c>
      <c r="G144">
        <v>12</v>
      </c>
      <c r="H144">
        <v>2</v>
      </c>
      <c r="K144">
        <v>57</v>
      </c>
      <c r="L144">
        <v>3</v>
      </c>
      <c r="M144">
        <v>1422522.5225225219</v>
      </c>
      <c r="N144">
        <v>3426846.8468468469</v>
      </c>
      <c r="O144">
        <v>6808603.6036036042</v>
      </c>
      <c r="P144">
        <v>8357261.2612612611</v>
      </c>
      <c r="Q144">
        <v>1436936.936936937</v>
      </c>
      <c r="R144">
        <v>3500630.630630631</v>
      </c>
      <c r="S144">
        <v>1099</v>
      </c>
      <c r="T144">
        <v>1961</v>
      </c>
    </row>
    <row r="145" spans="1:20" x14ac:dyDescent="0.35">
      <c r="A145" s="7" t="s">
        <v>236</v>
      </c>
      <c r="B145" s="12" t="s">
        <v>168</v>
      </c>
      <c r="C145">
        <v>154848307.72543532</v>
      </c>
      <c r="D145">
        <v>151578226.59873411</v>
      </c>
      <c r="E145">
        <v>324324.32432432403</v>
      </c>
      <c r="F145">
        <v>206306.30630630601</v>
      </c>
      <c r="G145">
        <v>11</v>
      </c>
      <c r="H145">
        <v>11</v>
      </c>
      <c r="K145">
        <v>14</v>
      </c>
      <c r="L145">
        <v>12</v>
      </c>
      <c r="M145">
        <v>11971519.819819819</v>
      </c>
      <c r="N145">
        <v>26337837.837837841</v>
      </c>
      <c r="O145">
        <v>44350391.891891889</v>
      </c>
      <c r="P145">
        <v>53911855.855855852</v>
      </c>
      <c r="Q145">
        <v>7593873.8738738727</v>
      </c>
      <c r="R145">
        <v>12193423.423423424</v>
      </c>
      <c r="S145">
        <v>5256</v>
      </c>
      <c r="T145">
        <v>4960</v>
      </c>
    </row>
    <row r="146" spans="1:20" x14ac:dyDescent="0.35">
      <c r="A146" s="7" t="s">
        <v>237</v>
      </c>
      <c r="B146" s="12" t="s">
        <v>238</v>
      </c>
      <c r="C146">
        <v>83.335121864000001</v>
      </c>
      <c r="D146">
        <v>942.34148868299997</v>
      </c>
      <c r="S146">
        <v>4</v>
      </c>
      <c r="T146">
        <v>6</v>
      </c>
    </row>
    <row r="147" spans="1:20" x14ac:dyDescent="0.35">
      <c r="A147" s="7" t="s">
        <v>239</v>
      </c>
      <c r="B147" s="12" t="s">
        <v>106</v>
      </c>
      <c r="C147">
        <v>92098909.020979926</v>
      </c>
      <c r="D147">
        <v>95154159.577046975</v>
      </c>
      <c r="E147">
        <v>230630.630630631</v>
      </c>
      <c r="F147">
        <v>272972.97297297302</v>
      </c>
      <c r="G147">
        <v>12</v>
      </c>
      <c r="H147">
        <v>13</v>
      </c>
      <c r="K147">
        <v>13</v>
      </c>
      <c r="L147">
        <v>16</v>
      </c>
      <c r="M147">
        <v>14540540.540540542</v>
      </c>
      <c r="N147">
        <v>15556756.756756756</v>
      </c>
      <c r="O147">
        <v>26793522.52252252</v>
      </c>
      <c r="P147">
        <v>29148495.495495494</v>
      </c>
      <c r="Q147">
        <v>13999819.819819819</v>
      </c>
      <c r="R147">
        <v>12422702.702702705</v>
      </c>
      <c r="S147">
        <v>1873</v>
      </c>
      <c r="T147">
        <v>1909</v>
      </c>
    </row>
    <row r="148" spans="1:20" x14ac:dyDescent="0.35">
      <c r="A148" s="7" t="s">
        <v>3</v>
      </c>
      <c r="B148" s="12" t="s">
        <v>159</v>
      </c>
      <c r="C148">
        <v>186372309.11587834</v>
      </c>
      <c r="D148">
        <v>168343878.49681628</v>
      </c>
      <c r="E148">
        <v>2776576.5765765789</v>
      </c>
      <c r="F148">
        <v>895495.49549549702</v>
      </c>
      <c r="G148">
        <v>30</v>
      </c>
      <c r="H148">
        <v>28</v>
      </c>
      <c r="K148">
        <v>33</v>
      </c>
      <c r="L148">
        <v>30</v>
      </c>
      <c r="M148">
        <v>33897297.297297299</v>
      </c>
      <c r="N148">
        <v>61489189.189189196</v>
      </c>
      <c r="O148">
        <v>53441486.486486487</v>
      </c>
      <c r="P148">
        <v>48923801.801801801</v>
      </c>
      <c r="Q148">
        <v>35371801.801801801</v>
      </c>
      <c r="R148">
        <v>60246576.576576576</v>
      </c>
      <c r="S148">
        <v>3785</v>
      </c>
      <c r="T148">
        <v>3579</v>
      </c>
    </row>
    <row r="149" spans="1:20" x14ac:dyDescent="0.35">
      <c r="A149" s="7" t="s">
        <v>240</v>
      </c>
      <c r="B149" s="12" t="s">
        <v>179</v>
      </c>
      <c r="C149">
        <v>146356767.02848986</v>
      </c>
      <c r="D149">
        <v>155868447.01439992</v>
      </c>
      <c r="E149">
        <v>436936.93693693797</v>
      </c>
      <c r="F149">
        <v>1594594.594594596</v>
      </c>
      <c r="G149">
        <v>31</v>
      </c>
      <c r="H149">
        <v>28</v>
      </c>
      <c r="K149">
        <v>38</v>
      </c>
      <c r="L149">
        <v>30</v>
      </c>
      <c r="M149">
        <v>26382882.882882886</v>
      </c>
      <c r="N149">
        <v>27602702.702702705</v>
      </c>
      <c r="O149">
        <v>44790774.774774775</v>
      </c>
      <c r="P149">
        <v>48907081.081081077</v>
      </c>
      <c r="Q149">
        <v>18652072.072072074</v>
      </c>
      <c r="R149">
        <v>21600810.810810812</v>
      </c>
      <c r="S149">
        <v>5307</v>
      </c>
      <c r="T149">
        <v>5019</v>
      </c>
    </row>
    <row r="150" spans="1:20" x14ac:dyDescent="0.35">
      <c r="A150" s="7" t="s">
        <v>241</v>
      </c>
      <c r="B150" s="12" t="s">
        <v>55</v>
      </c>
      <c r="C150">
        <v>103101944.67265746</v>
      </c>
      <c r="D150">
        <v>114273447.25874393</v>
      </c>
      <c r="E150">
        <v>2181981.9819819839</v>
      </c>
      <c r="F150">
        <v>946846.84684684803</v>
      </c>
      <c r="G150">
        <v>21</v>
      </c>
      <c r="H150">
        <v>27</v>
      </c>
      <c r="K150">
        <v>21</v>
      </c>
      <c r="L150">
        <v>46</v>
      </c>
      <c r="M150">
        <v>14849009.009009007</v>
      </c>
      <c r="N150">
        <v>15676576.576576576</v>
      </c>
      <c r="O150">
        <v>28365158.558558557</v>
      </c>
      <c r="P150">
        <v>34256356.756756753</v>
      </c>
      <c r="Q150">
        <v>12804140.540540542</v>
      </c>
      <c r="R150">
        <v>14613693.693693694</v>
      </c>
      <c r="S150">
        <v>3513</v>
      </c>
      <c r="T150">
        <v>3525</v>
      </c>
    </row>
    <row r="151" spans="1:20" x14ac:dyDescent="0.35">
      <c r="A151" s="7" t="s">
        <v>242</v>
      </c>
      <c r="B151" s="12" t="s">
        <v>243</v>
      </c>
      <c r="C151">
        <v>88716200.486184299</v>
      </c>
      <c r="D151">
        <v>86484124.388358563</v>
      </c>
      <c r="E151">
        <v>631531.53153153404</v>
      </c>
      <c r="F151">
        <v>218018.01801801799</v>
      </c>
      <c r="G151">
        <v>42</v>
      </c>
      <c r="H151">
        <v>24</v>
      </c>
      <c r="K151">
        <v>47</v>
      </c>
      <c r="L151">
        <v>27</v>
      </c>
      <c r="M151">
        <v>6156036.0360360388</v>
      </c>
      <c r="N151">
        <v>11580180.180180175</v>
      </c>
      <c r="O151">
        <v>20659412.612612613</v>
      </c>
      <c r="P151">
        <v>24344495.495495494</v>
      </c>
      <c r="Q151">
        <v>6905315.3153153174</v>
      </c>
      <c r="R151">
        <v>9650810.8108108081</v>
      </c>
      <c r="S151">
        <v>2933</v>
      </c>
      <c r="T151">
        <v>2942</v>
      </c>
    </row>
    <row r="152" spans="1:20" x14ac:dyDescent="0.35">
      <c r="A152" s="7" t="s">
        <v>244</v>
      </c>
      <c r="B152" s="12" t="s">
        <v>243</v>
      </c>
      <c r="C152">
        <v>233029916.69211084</v>
      </c>
      <c r="D152">
        <v>198943189.05351847</v>
      </c>
      <c r="E152">
        <v>2379279.27927928</v>
      </c>
      <c r="F152">
        <v>1748648.6486486529</v>
      </c>
      <c r="G152">
        <v>90</v>
      </c>
      <c r="H152">
        <v>72</v>
      </c>
      <c r="K152">
        <v>101</v>
      </c>
      <c r="L152">
        <v>82</v>
      </c>
      <c r="M152">
        <v>57443603.603603609</v>
      </c>
      <c r="N152">
        <v>48616666.666666664</v>
      </c>
      <c r="O152">
        <v>67947612.612612605</v>
      </c>
      <c r="P152">
        <v>66873792.79279279</v>
      </c>
      <c r="Q152">
        <v>54418378.378378376</v>
      </c>
      <c r="R152">
        <v>44591891.891891889</v>
      </c>
      <c r="S152">
        <v>6574</v>
      </c>
      <c r="T152">
        <v>6979</v>
      </c>
    </row>
    <row r="153" spans="1:20" x14ac:dyDescent="0.35">
      <c r="A153" s="7" t="s">
        <v>245</v>
      </c>
      <c r="B153" s="12" t="s">
        <v>51</v>
      </c>
      <c r="C153">
        <v>39891704.398633249</v>
      </c>
      <c r="D153">
        <v>36742166.292786546</v>
      </c>
      <c r="E153">
        <v>857657.65765765798</v>
      </c>
      <c r="F153">
        <v>1922522.5225225219</v>
      </c>
      <c r="G153">
        <v>4</v>
      </c>
      <c r="H153">
        <v>3</v>
      </c>
      <c r="K153">
        <v>4</v>
      </c>
      <c r="L153">
        <v>3</v>
      </c>
      <c r="M153">
        <v>3471351.351351351</v>
      </c>
      <c r="N153">
        <v>4286711.7117117122</v>
      </c>
      <c r="O153">
        <v>12764972.972972972</v>
      </c>
      <c r="P153">
        <v>13854360.36036036</v>
      </c>
      <c r="Q153">
        <v>3246036.0360360378</v>
      </c>
      <c r="R153">
        <v>3596621.6216216218</v>
      </c>
      <c r="S153">
        <v>1169</v>
      </c>
      <c r="T153">
        <v>1133</v>
      </c>
    </row>
    <row r="154" spans="1:20" x14ac:dyDescent="0.35">
      <c r="A154" s="7" t="s">
        <v>246</v>
      </c>
      <c r="B154" s="12" t="s">
        <v>182</v>
      </c>
      <c r="C154">
        <v>1247016791.8820825</v>
      </c>
      <c r="D154">
        <v>1256316093.3575885</v>
      </c>
      <c r="E154">
        <v>127522908.10810813</v>
      </c>
      <c r="F154">
        <v>359921718.91891891</v>
      </c>
      <c r="G154">
        <v>498</v>
      </c>
      <c r="H154">
        <v>505</v>
      </c>
      <c r="I154">
        <v>9</v>
      </c>
      <c r="K154">
        <v>1100</v>
      </c>
      <c r="L154">
        <v>664</v>
      </c>
      <c r="M154">
        <v>160823963.96396393</v>
      </c>
      <c r="N154">
        <v>331860871.17117119</v>
      </c>
      <c r="O154">
        <v>282849489.1891892</v>
      </c>
      <c r="P154">
        <v>287681565.76576579</v>
      </c>
      <c r="Q154">
        <v>149955225.22522521</v>
      </c>
      <c r="R154">
        <v>322384549.54954958</v>
      </c>
      <c r="S154">
        <v>43963</v>
      </c>
      <c r="T154">
        <v>40481</v>
      </c>
    </row>
    <row r="155" spans="1:20" x14ac:dyDescent="0.35">
      <c r="A155" s="7" t="s">
        <v>247</v>
      </c>
      <c r="B155" s="12" t="s">
        <v>49</v>
      </c>
      <c r="C155">
        <v>55368809.999952093</v>
      </c>
      <c r="D155">
        <v>61261856.997431777</v>
      </c>
      <c r="E155">
        <v>169816895.4954955</v>
      </c>
      <c r="F155">
        <v>89239108.108108118</v>
      </c>
      <c r="G155">
        <v>1</v>
      </c>
      <c r="H155">
        <v>4</v>
      </c>
      <c r="K155">
        <v>2</v>
      </c>
      <c r="L155">
        <v>4</v>
      </c>
      <c r="M155">
        <v>35776306.30630631</v>
      </c>
      <c r="N155">
        <v>19452702.702702705</v>
      </c>
      <c r="O155">
        <v>12006567.567567566</v>
      </c>
      <c r="P155">
        <v>14689000</v>
      </c>
      <c r="Q155">
        <v>18713333.333333332</v>
      </c>
      <c r="R155">
        <v>6346216.2162162177</v>
      </c>
      <c r="S155">
        <v>1798</v>
      </c>
      <c r="T155">
        <v>1803</v>
      </c>
    </row>
    <row r="156" spans="1:20" x14ac:dyDescent="0.35">
      <c r="A156" s="7" t="s">
        <v>248</v>
      </c>
      <c r="B156" s="12" t="s">
        <v>95</v>
      </c>
      <c r="C156">
        <v>14994347.891664758</v>
      </c>
      <c r="D156">
        <v>14561355.782398904</v>
      </c>
      <c r="O156">
        <v>2646666.666666667</v>
      </c>
      <c r="P156">
        <v>2798396.3963963962</v>
      </c>
      <c r="S156">
        <v>700</v>
      </c>
      <c r="T156">
        <v>722</v>
      </c>
    </row>
    <row r="157" spans="1:20" x14ac:dyDescent="0.35">
      <c r="A157" s="7" t="s">
        <v>249</v>
      </c>
      <c r="B157" s="12" t="s">
        <v>118</v>
      </c>
      <c r="C157">
        <v>51571912.938288167</v>
      </c>
      <c r="D157">
        <v>49334229.471288621</v>
      </c>
      <c r="E157">
        <v>729572.97297297395</v>
      </c>
      <c r="F157">
        <v>1099977.4774774781</v>
      </c>
      <c r="G157">
        <v>6</v>
      </c>
      <c r="H157">
        <v>10</v>
      </c>
      <c r="K157">
        <v>8</v>
      </c>
      <c r="L157">
        <v>12</v>
      </c>
      <c r="M157">
        <v>5070810.8108108127</v>
      </c>
      <c r="N157">
        <v>10994094.594594594</v>
      </c>
      <c r="O157">
        <v>25296603.603603605</v>
      </c>
      <c r="P157">
        <v>25979936.936936937</v>
      </c>
      <c r="Q157">
        <v>7135675.6756756762</v>
      </c>
      <c r="R157">
        <v>7864774.774774773</v>
      </c>
      <c r="S157">
        <v>1835</v>
      </c>
      <c r="T157">
        <v>1715</v>
      </c>
    </row>
    <row r="158" spans="1:20" x14ac:dyDescent="0.35">
      <c r="A158" s="7" t="s">
        <v>250</v>
      </c>
      <c r="B158" s="12" t="s">
        <v>122</v>
      </c>
      <c r="C158">
        <v>87908436.126039281</v>
      </c>
      <c r="D158">
        <v>80319563.318302155</v>
      </c>
      <c r="E158">
        <v>697297.29729729798</v>
      </c>
      <c r="F158">
        <v>31531.531531532</v>
      </c>
      <c r="G158">
        <v>55</v>
      </c>
      <c r="H158">
        <v>37</v>
      </c>
      <c r="K158">
        <v>59</v>
      </c>
      <c r="L158">
        <v>40</v>
      </c>
      <c r="M158">
        <v>3905405.405405405</v>
      </c>
      <c r="N158">
        <v>6419819.8198198192</v>
      </c>
      <c r="O158">
        <v>10283531.531531531</v>
      </c>
      <c r="P158">
        <v>8113270.2702702712</v>
      </c>
      <c r="Q158">
        <v>2842432.4324324331</v>
      </c>
      <c r="R158">
        <v>2573423.423423422</v>
      </c>
      <c r="S158">
        <v>2277</v>
      </c>
      <c r="T158">
        <v>2323</v>
      </c>
    </row>
    <row r="159" spans="1:20" x14ac:dyDescent="0.35">
      <c r="A159" s="7" t="s">
        <v>251</v>
      </c>
      <c r="B159" s="12" t="s">
        <v>77</v>
      </c>
      <c r="C159">
        <v>36543742.268146202</v>
      </c>
      <c r="D159">
        <v>32998451.566431623</v>
      </c>
      <c r="G159">
        <v>3</v>
      </c>
      <c r="K159">
        <v>3</v>
      </c>
      <c r="O159">
        <v>3510900.9009009008</v>
      </c>
      <c r="P159">
        <v>4003630.6306306301</v>
      </c>
      <c r="S159">
        <v>1587</v>
      </c>
      <c r="T159">
        <v>1632</v>
      </c>
    </row>
    <row r="160" spans="1:20" x14ac:dyDescent="0.35">
      <c r="A160" s="7" t="s">
        <v>252</v>
      </c>
      <c r="B160" s="12" t="s">
        <v>168</v>
      </c>
      <c r="C160">
        <v>119495393.50318088</v>
      </c>
      <c r="D160">
        <v>124980551.90442207</v>
      </c>
      <c r="G160">
        <v>28</v>
      </c>
      <c r="H160">
        <v>4</v>
      </c>
      <c r="K160">
        <v>32</v>
      </c>
      <c r="L160">
        <v>4</v>
      </c>
      <c r="M160">
        <v>1828828.8288288291</v>
      </c>
      <c r="N160">
        <v>2309009.0090090092</v>
      </c>
      <c r="O160">
        <v>23880495.495495494</v>
      </c>
      <c r="P160">
        <v>31509288.288288288</v>
      </c>
      <c r="Q160">
        <v>1075585.585585586</v>
      </c>
      <c r="R160">
        <v>1472342.3423423411</v>
      </c>
      <c r="S160">
        <v>3740</v>
      </c>
      <c r="T160">
        <v>3611</v>
      </c>
    </row>
    <row r="161" spans="1:20" x14ac:dyDescent="0.35">
      <c r="A161" s="7" t="s">
        <v>253</v>
      </c>
      <c r="B161" s="12" t="s">
        <v>90</v>
      </c>
      <c r="C161">
        <v>358522341.97105682</v>
      </c>
      <c r="D161">
        <v>374949004.50333083</v>
      </c>
      <c r="E161">
        <v>1688288.2882882929</v>
      </c>
      <c r="F161">
        <v>2535135.1351351389</v>
      </c>
      <c r="G161">
        <v>61</v>
      </c>
      <c r="H161">
        <v>20</v>
      </c>
      <c r="I161">
        <v>1</v>
      </c>
      <c r="K161">
        <v>74</v>
      </c>
      <c r="L161">
        <v>24</v>
      </c>
      <c r="M161">
        <v>26683063.063063059</v>
      </c>
      <c r="N161">
        <v>26651531.531531531</v>
      </c>
      <c r="O161">
        <v>87433513.51351352</v>
      </c>
      <c r="P161">
        <v>97644540.540540546</v>
      </c>
      <c r="Q161">
        <v>26073963.963963959</v>
      </c>
      <c r="R161">
        <v>26821801.801801801</v>
      </c>
      <c r="S161">
        <v>10263</v>
      </c>
      <c r="T161">
        <v>11399</v>
      </c>
    </row>
    <row r="162" spans="1:20" x14ac:dyDescent="0.35">
      <c r="A162" s="7" t="s">
        <v>254</v>
      </c>
      <c r="B162" s="12" t="s">
        <v>79</v>
      </c>
      <c r="C162">
        <v>103328248.69119787</v>
      </c>
      <c r="D162">
        <v>107508115.18022065</v>
      </c>
      <c r="E162">
        <v>65105405.40540541</v>
      </c>
      <c r="F162">
        <v>84327027.027027026</v>
      </c>
      <c r="G162">
        <v>15</v>
      </c>
      <c r="H162">
        <v>3</v>
      </c>
      <c r="K162">
        <v>16</v>
      </c>
      <c r="L162">
        <v>4</v>
      </c>
      <c r="M162">
        <v>20057117.117117114</v>
      </c>
      <c r="N162">
        <v>21986936.936936937</v>
      </c>
      <c r="O162">
        <v>29663954.954954956</v>
      </c>
      <c r="P162">
        <v>30475234.234234232</v>
      </c>
      <c r="Q162">
        <v>19325405.40540541</v>
      </c>
      <c r="R162">
        <v>18860090.090090092</v>
      </c>
      <c r="S162">
        <v>2840</v>
      </c>
      <c r="T162">
        <v>2880</v>
      </c>
    </row>
    <row r="163" spans="1:20" x14ac:dyDescent="0.35">
      <c r="A163" s="7" t="s">
        <v>255</v>
      </c>
      <c r="B163" s="12" t="s">
        <v>106</v>
      </c>
      <c r="C163">
        <v>205538325.08336213</v>
      </c>
      <c r="D163">
        <v>218780406.88427415</v>
      </c>
      <c r="E163">
        <v>88619691.891891897</v>
      </c>
      <c r="F163">
        <v>258661970.27027026</v>
      </c>
      <c r="G163">
        <v>50</v>
      </c>
      <c r="H163">
        <v>35</v>
      </c>
      <c r="K163">
        <v>84</v>
      </c>
      <c r="L163">
        <v>63</v>
      </c>
      <c r="M163">
        <v>37696756.75675676</v>
      </c>
      <c r="N163">
        <v>27235675.675675675</v>
      </c>
      <c r="O163">
        <v>58693855.855855852</v>
      </c>
      <c r="P163">
        <v>64454207.20720721</v>
      </c>
      <c r="Q163">
        <v>35322702.702702701</v>
      </c>
      <c r="R163">
        <v>27698288.288288288</v>
      </c>
      <c r="S163">
        <v>5239</v>
      </c>
      <c r="T163">
        <v>5456</v>
      </c>
    </row>
    <row r="164" spans="1:20" x14ac:dyDescent="0.35">
      <c r="A164" s="7" t="s">
        <v>256</v>
      </c>
      <c r="B164" s="12" t="s">
        <v>106</v>
      </c>
      <c r="C164">
        <v>125858169.09032817</v>
      </c>
      <c r="D164">
        <v>120807529.91609856</v>
      </c>
      <c r="E164">
        <v>1036036.036036038</v>
      </c>
      <c r="F164">
        <v>883783.78378378402</v>
      </c>
      <c r="G164">
        <v>11</v>
      </c>
      <c r="H164">
        <v>18</v>
      </c>
      <c r="K164">
        <v>13</v>
      </c>
      <c r="L164">
        <v>21</v>
      </c>
      <c r="M164">
        <v>10203963.963963963</v>
      </c>
      <c r="N164">
        <v>10339639.63963964</v>
      </c>
      <c r="O164">
        <v>38708792.79279279</v>
      </c>
      <c r="P164">
        <v>41014837.837837838</v>
      </c>
      <c r="Q164">
        <v>8510360.3603603598</v>
      </c>
      <c r="R164">
        <v>8205315.3153153127</v>
      </c>
      <c r="S164">
        <v>3918</v>
      </c>
      <c r="T164">
        <v>3843</v>
      </c>
    </row>
    <row r="165" spans="1:20" x14ac:dyDescent="0.35">
      <c r="A165" s="7" t="s">
        <v>257</v>
      </c>
      <c r="B165" s="12" t="s">
        <v>106</v>
      </c>
      <c r="C165">
        <v>113579805.96782064</v>
      </c>
      <c r="D165">
        <v>127004687.5979393</v>
      </c>
      <c r="E165">
        <v>13513.513513514001</v>
      </c>
      <c r="F165">
        <v>55855.855855856003</v>
      </c>
      <c r="G165">
        <v>14</v>
      </c>
      <c r="H165">
        <v>14</v>
      </c>
      <c r="I165">
        <v>4</v>
      </c>
      <c r="K165">
        <v>16</v>
      </c>
      <c r="L165">
        <v>15</v>
      </c>
      <c r="M165">
        <v>1364864.8648648651</v>
      </c>
      <c r="N165">
        <v>1181981.981981982</v>
      </c>
      <c r="O165">
        <v>25061466.666666668</v>
      </c>
      <c r="P165">
        <v>29181045.045045044</v>
      </c>
      <c r="Q165">
        <v>1029279.2792792791</v>
      </c>
      <c r="R165">
        <v>536036.03603603598</v>
      </c>
      <c r="S165">
        <v>1969</v>
      </c>
      <c r="T165">
        <v>2194</v>
      </c>
    </row>
    <row r="166" spans="1:20" x14ac:dyDescent="0.35">
      <c r="A166" s="7" t="s">
        <v>258</v>
      </c>
      <c r="B166" s="12" t="s">
        <v>135</v>
      </c>
      <c r="C166">
        <v>174564385.61029869</v>
      </c>
      <c r="D166">
        <v>190482739.78452101</v>
      </c>
      <c r="E166">
        <v>612612.61261261301</v>
      </c>
      <c r="F166">
        <v>518018.01801801799</v>
      </c>
      <c r="G166">
        <v>15</v>
      </c>
      <c r="H166">
        <v>8</v>
      </c>
      <c r="K166">
        <v>16</v>
      </c>
      <c r="L166">
        <v>10</v>
      </c>
      <c r="M166">
        <v>3234234.2342342339</v>
      </c>
      <c r="N166">
        <v>4436936.9369369373</v>
      </c>
      <c r="O166">
        <v>11982288.288288288</v>
      </c>
      <c r="P166">
        <v>18019936.936936937</v>
      </c>
      <c r="Q166">
        <v>3737837.8378378381</v>
      </c>
      <c r="R166">
        <v>3774954.9549549539</v>
      </c>
      <c r="S166">
        <v>4175</v>
      </c>
      <c r="T166">
        <v>4162</v>
      </c>
    </row>
    <row r="167" spans="1:20" x14ac:dyDescent="0.35">
      <c r="A167" s="7" t="s">
        <v>259</v>
      </c>
      <c r="B167" s="12" t="s">
        <v>168</v>
      </c>
      <c r="C167">
        <v>57003889.74741859</v>
      </c>
      <c r="D167">
        <v>71473402.299033493</v>
      </c>
      <c r="E167">
        <v>900900.90090090095</v>
      </c>
      <c r="G167">
        <v>10</v>
      </c>
      <c r="H167">
        <v>2</v>
      </c>
      <c r="K167">
        <v>14</v>
      </c>
      <c r="L167">
        <v>3</v>
      </c>
      <c r="M167">
        <v>2852945.0450450452</v>
      </c>
      <c r="N167">
        <v>3298198.1981982002</v>
      </c>
      <c r="O167">
        <v>19472265.765765768</v>
      </c>
      <c r="P167">
        <v>27100981.981981985</v>
      </c>
      <c r="Q167">
        <v>2769729.7297297302</v>
      </c>
      <c r="R167">
        <v>3615315.3153153169</v>
      </c>
      <c r="S167">
        <v>2490</v>
      </c>
      <c r="T167">
        <v>2498</v>
      </c>
    </row>
    <row r="168" spans="1:20" x14ac:dyDescent="0.35">
      <c r="A168" s="7" t="s">
        <v>260</v>
      </c>
      <c r="B168" s="12" t="s">
        <v>61</v>
      </c>
      <c r="C168">
        <v>23551008.762587175</v>
      </c>
      <c r="D168">
        <v>25164388.779562559</v>
      </c>
      <c r="E168">
        <v>247747.74774774801</v>
      </c>
      <c r="F168">
        <v>302252.25225225103</v>
      </c>
      <c r="G168">
        <v>12</v>
      </c>
      <c r="H168">
        <v>4</v>
      </c>
      <c r="I168">
        <v>3</v>
      </c>
      <c r="K168">
        <v>19</v>
      </c>
      <c r="L168">
        <v>7</v>
      </c>
      <c r="M168">
        <v>4653153.1531531541</v>
      </c>
      <c r="N168">
        <v>7869819.8198198201</v>
      </c>
      <c r="O168">
        <v>8190801.8018018017</v>
      </c>
      <c r="P168">
        <v>8924639.6396396402</v>
      </c>
      <c r="Q168">
        <v>5159639.6396396402</v>
      </c>
      <c r="R168">
        <v>5007567.5675675673</v>
      </c>
      <c r="S168">
        <v>661</v>
      </c>
      <c r="T168">
        <v>680</v>
      </c>
    </row>
    <row r="169" spans="1:20" x14ac:dyDescent="0.35">
      <c r="A169" s="7" t="s">
        <v>261</v>
      </c>
      <c r="B169" s="12" t="s">
        <v>262</v>
      </c>
      <c r="C169">
        <v>14776903.52568138</v>
      </c>
      <c r="D169">
        <v>15472391.454101615</v>
      </c>
      <c r="E169">
        <v>10810.810810810999</v>
      </c>
      <c r="F169">
        <v>16216.216216216</v>
      </c>
      <c r="G169">
        <v>4</v>
      </c>
      <c r="H169">
        <v>1</v>
      </c>
      <c r="K169">
        <v>5</v>
      </c>
      <c r="L169">
        <v>1</v>
      </c>
      <c r="M169">
        <v>3197747.7477477482</v>
      </c>
      <c r="N169">
        <v>1818018.018018018</v>
      </c>
      <c r="O169">
        <v>2385837.8378378381</v>
      </c>
      <c r="P169">
        <v>3601747.7477477482</v>
      </c>
      <c r="Q169">
        <v>1760180.1801801799</v>
      </c>
      <c r="R169">
        <v>557117.11711711704</v>
      </c>
      <c r="S169">
        <v>572</v>
      </c>
      <c r="T169">
        <v>538</v>
      </c>
    </row>
    <row r="170" spans="1:20" x14ac:dyDescent="0.35">
      <c r="A170" s="7" t="s">
        <v>263</v>
      </c>
      <c r="B170" s="12" t="s">
        <v>61</v>
      </c>
      <c r="C170">
        <v>226654671.49724844</v>
      </c>
      <c r="D170">
        <v>226850235.95941395</v>
      </c>
      <c r="E170">
        <v>232484693.6936937</v>
      </c>
      <c r="F170">
        <v>476082067.56756753</v>
      </c>
      <c r="G170">
        <v>202</v>
      </c>
      <c r="H170">
        <v>118</v>
      </c>
      <c r="K170">
        <v>283</v>
      </c>
      <c r="L170">
        <v>238</v>
      </c>
      <c r="M170">
        <v>51968918.918918923</v>
      </c>
      <c r="N170">
        <v>66179773.873873875</v>
      </c>
      <c r="O170">
        <v>82619240.990990996</v>
      </c>
      <c r="P170">
        <v>80625900.9009009</v>
      </c>
      <c r="Q170">
        <v>58903153.153153151</v>
      </c>
      <c r="R170">
        <v>56752432.432432435</v>
      </c>
      <c r="S170">
        <v>6243</v>
      </c>
      <c r="T170">
        <v>7389</v>
      </c>
    </row>
    <row r="171" spans="1:20" x14ac:dyDescent="0.35">
      <c r="A171" s="7" t="s">
        <v>264</v>
      </c>
      <c r="B171" s="12" t="s">
        <v>124</v>
      </c>
      <c r="C171">
        <v>171256589.05905649</v>
      </c>
      <c r="D171">
        <v>161515805.08365875</v>
      </c>
      <c r="E171">
        <v>293693.69369369501</v>
      </c>
      <c r="F171">
        <v>353153.15315315401</v>
      </c>
      <c r="G171">
        <v>34</v>
      </c>
      <c r="H171">
        <v>24</v>
      </c>
      <c r="K171">
        <v>36</v>
      </c>
      <c r="L171">
        <v>27</v>
      </c>
      <c r="M171">
        <v>11416036.036036037</v>
      </c>
      <c r="N171">
        <v>11486036.036036039</v>
      </c>
      <c r="O171">
        <v>68004180.180180177</v>
      </c>
      <c r="P171">
        <v>63183360.360360362</v>
      </c>
      <c r="Q171">
        <v>9513963.9639639631</v>
      </c>
      <c r="R171">
        <v>11398378.378378378</v>
      </c>
      <c r="S171">
        <v>5653</v>
      </c>
      <c r="T171">
        <v>5353</v>
      </c>
    </row>
    <row r="172" spans="1:20" x14ac:dyDescent="0.35">
      <c r="A172" s="7" t="s">
        <v>265</v>
      </c>
      <c r="B172" s="12" t="s">
        <v>124</v>
      </c>
      <c r="C172">
        <v>74085256.179195583</v>
      </c>
      <c r="D172">
        <v>79639884.353095219</v>
      </c>
      <c r="E172">
        <v>885810.81081081205</v>
      </c>
      <c r="F172">
        <v>213513.513513513</v>
      </c>
      <c r="G172">
        <v>25</v>
      </c>
      <c r="H172">
        <v>51</v>
      </c>
      <c r="I172">
        <v>1</v>
      </c>
      <c r="K172">
        <v>28</v>
      </c>
      <c r="L172">
        <v>56</v>
      </c>
      <c r="M172">
        <v>19966756.756756756</v>
      </c>
      <c r="N172">
        <v>14078378.37837838</v>
      </c>
      <c r="O172">
        <v>29928369.369369369</v>
      </c>
      <c r="P172">
        <v>34046405.40540541</v>
      </c>
      <c r="Q172">
        <v>19329639.639639638</v>
      </c>
      <c r="R172">
        <v>11972072.072072074</v>
      </c>
      <c r="S172">
        <v>2337</v>
      </c>
      <c r="T172">
        <v>2304</v>
      </c>
    </row>
    <row r="173" spans="1:20" x14ac:dyDescent="0.35">
      <c r="A173" s="7" t="s">
        <v>266</v>
      </c>
      <c r="B173" s="12" t="s">
        <v>126</v>
      </c>
      <c r="C173">
        <v>182231111.38271755</v>
      </c>
      <c r="D173">
        <v>193780339.21878296</v>
      </c>
      <c r="E173">
        <v>2155405.405405404</v>
      </c>
      <c r="F173">
        <v>1665315.315315316</v>
      </c>
      <c r="G173">
        <v>51</v>
      </c>
      <c r="H173">
        <v>21</v>
      </c>
      <c r="K173">
        <v>54</v>
      </c>
      <c r="L173">
        <v>22</v>
      </c>
      <c r="M173">
        <v>19287387.387387384</v>
      </c>
      <c r="N173">
        <v>13062612.612612613</v>
      </c>
      <c r="O173">
        <v>65639070.270270273</v>
      </c>
      <c r="P173">
        <v>66123063.063063063</v>
      </c>
      <c r="Q173">
        <v>17625358.558558557</v>
      </c>
      <c r="R173">
        <v>14143243.243243242</v>
      </c>
      <c r="S173">
        <v>4379</v>
      </c>
      <c r="T173">
        <v>4600</v>
      </c>
    </row>
    <row r="174" spans="1:20" x14ac:dyDescent="0.35">
      <c r="A174" s="7" t="s">
        <v>267</v>
      </c>
      <c r="B174" s="12" t="s">
        <v>124</v>
      </c>
      <c r="C174">
        <v>175800855.13029733</v>
      </c>
      <c r="D174">
        <v>180888716.11931047</v>
      </c>
      <c r="E174">
        <v>948648.64864864899</v>
      </c>
      <c r="F174">
        <v>1568468.4684684691</v>
      </c>
      <c r="G174">
        <v>15</v>
      </c>
      <c r="H174">
        <v>30</v>
      </c>
      <c r="K174">
        <v>18</v>
      </c>
      <c r="L174">
        <v>33</v>
      </c>
      <c r="M174">
        <v>16610090.090090089</v>
      </c>
      <c r="N174">
        <v>21691171.171171173</v>
      </c>
      <c r="O174">
        <v>60870338.738738738</v>
      </c>
      <c r="P174">
        <v>69379926.126126125</v>
      </c>
      <c r="Q174">
        <v>15953423.423423424</v>
      </c>
      <c r="R174">
        <v>22933783.783783782</v>
      </c>
      <c r="S174">
        <v>4747</v>
      </c>
      <c r="T174">
        <v>4727</v>
      </c>
    </row>
    <row r="175" spans="1:20" x14ac:dyDescent="0.35">
      <c r="A175" s="7" t="s">
        <v>268</v>
      </c>
      <c r="B175" s="12" t="s">
        <v>124</v>
      </c>
      <c r="C175">
        <v>184918729.65674159</v>
      </c>
      <c r="D175">
        <v>195048352.29898542</v>
      </c>
      <c r="E175">
        <v>2333783.783783786</v>
      </c>
      <c r="F175">
        <v>1929279.2792792851</v>
      </c>
      <c r="G175">
        <v>38</v>
      </c>
      <c r="H175">
        <v>36</v>
      </c>
      <c r="K175">
        <v>41</v>
      </c>
      <c r="L175">
        <v>41</v>
      </c>
      <c r="M175">
        <v>22580900.900900904</v>
      </c>
      <c r="N175">
        <v>25901981.981981985</v>
      </c>
      <c r="O175">
        <v>75985738.738738731</v>
      </c>
      <c r="P175">
        <v>76131763.963963971</v>
      </c>
      <c r="Q175">
        <v>22107567.567567568</v>
      </c>
      <c r="R175">
        <v>24226936.936936937</v>
      </c>
      <c r="S175">
        <v>5631</v>
      </c>
      <c r="T175">
        <v>5409</v>
      </c>
    </row>
    <row r="176" spans="1:20" x14ac:dyDescent="0.35">
      <c r="A176" s="7" t="s">
        <v>269</v>
      </c>
      <c r="B176" s="12" t="s">
        <v>179</v>
      </c>
      <c r="C176">
        <v>937873677.11428106</v>
      </c>
      <c r="D176">
        <v>957425524.41718733</v>
      </c>
      <c r="E176">
        <v>390904445.94594598</v>
      </c>
      <c r="F176">
        <v>462328027.92792791</v>
      </c>
      <c r="G176">
        <v>351</v>
      </c>
      <c r="H176">
        <v>198</v>
      </c>
      <c r="I176">
        <v>1</v>
      </c>
      <c r="K176">
        <v>749</v>
      </c>
      <c r="L176">
        <v>338</v>
      </c>
      <c r="M176">
        <v>137660563.96396399</v>
      </c>
      <c r="N176">
        <v>141043918.91891891</v>
      </c>
      <c r="O176">
        <v>284284822.52252251</v>
      </c>
      <c r="P176">
        <v>308691356.75675672</v>
      </c>
      <c r="Q176">
        <v>121148648.64864865</v>
      </c>
      <c r="R176">
        <v>131758693.6936937</v>
      </c>
      <c r="S176">
        <v>31322</v>
      </c>
      <c r="T176">
        <v>34173</v>
      </c>
    </row>
    <row r="177" spans="1:20" x14ac:dyDescent="0.35">
      <c r="A177" s="7" t="s">
        <v>270</v>
      </c>
      <c r="B177" s="12" t="s">
        <v>63</v>
      </c>
      <c r="C177">
        <v>155260989.93698707</v>
      </c>
      <c r="D177">
        <v>165825421.27645376</v>
      </c>
      <c r="E177">
        <v>3297297.2972972989</v>
      </c>
      <c r="F177">
        <v>2995585.5855855872</v>
      </c>
      <c r="G177">
        <v>47</v>
      </c>
      <c r="H177">
        <v>79</v>
      </c>
      <c r="K177">
        <v>50</v>
      </c>
      <c r="L177">
        <v>229</v>
      </c>
      <c r="M177">
        <v>59152342.342342339</v>
      </c>
      <c r="N177">
        <v>22561171.171171173</v>
      </c>
      <c r="O177">
        <v>49093963.963963971</v>
      </c>
      <c r="P177">
        <v>60374863.063063063</v>
      </c>
      <c r="Q177">
        <v>45669549.549549542</v>
      </c>
      <c r="R177">
        <v>29221711.711711712</v>
      </c>
      <c r="S177">
        <v>4722</v>
      </c>
      <c r="T177">
        <v>4918</v>
      </c>
    </row>
    <row r="178" spans="1:20" x14ac:dyDescent="0.35">
      <c r="A178" s="7" t="s">
        <v>271</v>
      </c>
      <c r="B178" s="12" t="s">
        <v>71</v>
      </c>
      <c r="C178">
        <v>200145801.52768978</v>
      </c>
      <c r="D178">
        <v>193512301.90669304</v>
      </c>
      <c r="E178">
        <v>1776576.5765765789</v>
      </c>
      <c r="F178">
        <v>1297297.297297298</v>
      </c>
      <c r="G178">
        <v>58</v>
      </c>
      <c r="H178">
        <v>28</v>
      </c>
      <c r="K178">
        <v>115</v>
      </c>
      <c r="L178">
        <v>56</v>
      </c>
      <c r="M178">
        <v>15719819.819819825</v>
      </c>
      <c r="N178">
        <v>20912379.279279284</v>
      </c>
      <c r="O178">
        <v>90623468.468468457</v>
      </c>
      <c r="P178">
        <v>92509828.828828827</v>
      </c>
      <c r="Q178">
        <v>13927117.117117122</v>
      </c>
      <c r="R178">
        <v>20163333.333333336</v>
      </c>
      <c r="S178">
        <v>6980</v>
      </c>
      <c r="T178">
        <v>7207</v>
      </c>
    </row>
    <row r="179" spans="1:20" x14ac:dyDescent="0.35">
      <c r="A179" s="7" t="s">
        <v>272</v>
      </c>
      <c r="B179" s="12" t="s">
        <v>135</v>
      </c>
      <c r="C179">
        <v>2802897.2150181169</v>
      </c>
      <c r="D179">
        <v>3716441.5614877269</v>
      </c>
      <c r="E179">
        <v>185298233.33333334</v>
      </c>
      <c r="F179">
        <v>217842710.8108108</v>
      </c>
      <c r="M179">
        <v>35675675.675675675</v>
      </c>
      <c r="N179">
        <v>23789835.135135137</v>
      </c>
      <c r="O179">
        <v>145135.135135135</v>
      </c>
      <c r="P179">
        <v>212252.25225225301</v>
      </c>
      <c r="S179">
        <v>259</v>
      </c>
      <c r="T179">
        <v>226</v>
      </c>
    </row>
    <row r="180" spans="1:20" x14ac:dyDescent="0.35">
      <c r="A180" s="7" t="s">
        <v>273</v>
      </c>
      <c r="B180" s="12" t="s">
        <v>77</v>
      </c>
      <c r="C180">
        <v>93602369.573974982</v>
      </c>
      <c r="D180">
        <v>84024882.237303615</v>
      </c>
      <c r="E180">
        <v>54054.054054054002</v>
      </c>
      <c r="F180">
        <v>470270.27027027</v>
      </c>
      <c r="G180">
        <v>14</v>
      </c>
      <c r="H180">
        <v>15</v>
      </c>
      <c r="K180">
        <v>15</v>
      </c>
      <c r="L180">
        <v>16</v>
      </c>
      <c r="M180">
        <v>144144.144144144</v>
      </c>
      <c r="N180">
        <v>668468.46846846805</v>
      </c>
      <c r="O180">
        <v>6194644.1441441448</v>
      </c>
      <c r="P180">
        <v>6929117.1171171181</v>
      </c>
      <c r="Q180">
        <v>128828.82882882901</v>
      </c>
      <c r="R180">
        <v>471261.26126126101</v>
      </c>
      <c r="S180">
        <v>2373</v>
      </c>
      <c r="T180">
        <v>2543</v>
      </c>
    </row>
    <row r="181" spans="1:20" x14ac:dyDescent="0.35">
      <c r="A181" s="7" t="s">
        <v>274</v>
      </c>
      <c r="B181" s="12" t="s">
        <v>77</v>
      </c>
      <c r="C181">
        <v>31686944.285424542</v>
      </c>
      <c r="D181">
        <v>37731168.937839001</v>
      </c>
      <c r="E181">
        <v>150450.450450451</v>
      </c>
      <c r="F181">
        <v>196396.396396397</v>
      </c>
      <c r="G181">
        <v>2</v>
      </c>
      <c r="H181">
        <v>8</v>
      </c>
      <c r="K181">
        <v>3</v>
      </c>
      <c r="L181">
        <v>9</v>
      </c>
      <c r="M181">
        <v>8781261.2612612601</v>
      </c>
      <c r="N181">
        <v>9854054.0540540516</v>
      </c>
      <c r="O181">
        <v>8836810.8108108118</v>
      </c>
      <c r="P181">
        <v>11811214.414414413</v>
      </c>
      <c r="Q181">
        <v>7260540.5405405406</v>
      </c>
      <c r="R181">
        <v>9156306.3063063081</v>
      </c>
      <c r="S181">
        <v>806</v>
      </c>
      <c r="T181">
        <v>844</v>
      </c>
    </row>
    <row r="182" spans="1:20" x14ac:dyDescent="0.35">
      <c r="A182" s="7" t="s">
        <v>275</v>
      </c>
      <c r="B182" s="12" t="s">
        <v>262</v>
      </c>
      <c r="C182">
        <v>670072216.69750631</v>
      </c>
      <c r="D182">
        <v>720076542.00359643</v>
      </c>
      <c r="E182">
        <v>8108108.1081081098</v>
      </c>
      <c r="F182">
        <v>8564864.8648648728</v>
      </c>
      <c r="G182">
        <v>187</v>
      </c>
      <c r="H182">
        <v>237</v>
      </c>
      <c r="K182">
        <v>275</v>
      </c>
      <c r="L182">
        <v>509</v>
      </c>
      <c r="M182">
        <v>147029729.72972974</v>
      </c>
      <c r="N182">
        <v>170126306.3063063</v>
      </c>
      <c r="O182">
        <v>206464939.1891892</v>
      </c>
      <c r="P182">
        <v>241623468.46846849</v>
      </c>
      <c r="Q182">
        <v>120941171.17117117</v>
      </c>
      <c r="R182">
        <v>158964234.23423424</v>
      </c>
      <c r="S182">
        <v>18226</v>
      </c>
      <c r="T182">
        <v>19514</v>
      </c>
    </row>
    <row r="183" spans="1:20" x14ac:dyDescent="0.35">
      <c r="A183" s="7" t="s">
        <v>276</v>
      </c>
      <c r="B183" s="12" t="s">
        <v>262</v>
      </c>
      <c r="C183">
        <v>144306423.24032664</v>
      </c>
      <c r="D183">
        <v>143801577.26249811</v>
      </c>
      <c r="E183">
        <v>1275000.000000003</v>
      </c>
      <c r="F183">
        <v>318918.91891891899</v>
      </c>
      <c r="G183">
        <v>8</v>
      </c>
      <c r="H183">
        <v>26</v>
      </c>
      <c r="K183">
        <v>10</v>
      </c>
      <c r="L183">
        <v>28</v>
      </c>
      <c r="M183">
        <v>12404954.954954956</v>
      </c>
      <c r="N183">
        <v>11853153.153153151</v>
      </c>
      <c r="O183">
        <v>28349531.531531531</v>
      </c>
      <c r="P183">
        <v>33445621.62162162</v>
      </c>
      <c r="Q183">
        <v>9719009.0090090074</v>
      </c>
      <c r="R183">
        <v>9242792.7927927915</v>
      </c>
      <c r="S183">
        <v>3848</v>
      </c>
      <c r="T183">
        <v>3841</v>
      </c>
    </row>
    <row r="184" spans="1:20" x14ac:dyDescent="0.35">
      <c r="A184" s="7" t="s">
        <v>277</v>
      </c>
      <c r="B184" s="12" t="s">
        <v>262</v>
      </c>
      <c r="C184">
        <v>160201672.07859969</v>
      </c>
      <c r="D184">
        <v>202979600.34201017</v>
      </c>
      <c r="E184">
        <v>4614864.8648648662</v>
      </c>
      <c r="F184">
        <v>7672931.5315315323</v>
      </c>
      <c r="G184">
        <v>15</v>
      </c>
      <c r="H184">
        <v>41</v>
      </c>
      <c r="K184">
        <v>21</v>
      </c>
      <c r="L184">
        <v>44</v>
      </c>
      <c r="M184">
        <v>35352252.252252258</v>
      </c>
      <c r="N184">
        <v>21744859.459459461</v>
      </c>
      <c r="O184">
        <v>35105351.351351351</v>
      </c>
      <c r="P184">
        <v>55006908.108108111</v>
      </c>
      <c r="Q184">
        <v>32772342.342342343</v>
      </c>
      <c r="R184">
        <v>16800720.72072072</v>
      </c>
      <c r="S184">
        <v>5774</v>
      </c>
      <c r="T184">
        <v>6028</v>
      </c>
    </row>
    <row r="185" spans="1:20" x14ac:dyDescent="0.35">
      <c r="A185" s="7" t="s">
        <v>278</v>
      </c>
      <c r="B185" s="12" t="s">
        <v>135</v>
      </c>
      <c r="C185">
        <v>208403403.90380448</v>
      </c>
      <c r="D185">
        <v>226792953.62203503</v>
      </c>
      <c r="E185">
        <v>238738.73873874001</v>
      </c>
      <c r="F185">
        <v>342342.34234234301</v>
      </c>
      <c r="G185">
        <v>42</v>
      </c>
      <c r="H185">
        <v>16</v>
      </c>
      <c r="K185">
        <v>47</v>
      </c>
      <c r="L185">
        <v>18</v>
      </c>
      <c r="M185">
        <v>14202702.702702705</v>
      </c>
      <c r="N185">
        <v>11603603.603603603</v>
      </c>
      <c r="O185">
        <v>17445382.882882886</v>
      </c>
      <c r="P185">
        <v>24163466.666666664</v>
      </c>
      <c r="Q185">
        <v>4771261.2612612611</v>
      </c>
      <c r="R185">
        <v>5695405.4054054059</v>
      </c>
      <c r="S185">
        <v>5380</v>
      </c>
      <c r="T185">
        <v>6307</v>
      </c>
    </row>
    <row r="186" spans="1:20" x14ac:dyDescent="0.35">
      <c r="A186" s="7" t="s">
        <v>279</v>
      </c>
      <c r="B186" s="12" t="s">
        <v>170</v>
      </c>
      <c r="C186">
        <v>123207501.99832803</v>
      </c>
      <c r="D186">
        <v>112650184.23710942</v>
      </c>
      <c r="E186">
        <v>172072.07207207201</v>
      </c>
      <c r="F186">
        <v>2657657.6576576601</v>
      </c>
      <c r="G186">
        <v>18</v>
      </c>
      <c r="H186">
        <v>9</v>
      </c>
      <c r="K186">
        <v>20</v>
      </c>
      <c r="L186">
        <v>10</v>
      </c>
      <c r="M186">
        <v>10120270.270270271</v>
      </c>
      <c r="N186">
        <v>9342342.3423423432</v>
      </c>
      <c r="O186">
        <v>53538961.711711712</v>
      </c>
      <c r="P186">
        <v>51521315.315315314</v>
      </c>
      <c r="Q186">
        <v>7627477.4774774769</v>
      </c>
      <c r="R186">
        <v>8006126.1261261264</v>
      </c>
      <c r="S186">
        <v>3367</v>
      </c>
      <c r="T186">
        <v>3318</v>
      </c>
    </row>
    <row r="187" spans="1:20" x14ac:dyDescent="0.35">
      <c r="A187" s="7" t="s">
        <v>670</v>
      </c>
      <c r="B187" s="12" t="s">
        <v>88</v>
      </c>
      <c r="E187">
        <v>3603603.6036036038</v>
      </c>
      <c r="F187">
        <v>23063063.063063063</v>
      </c>
      <c r="M187">
        <v>750000</v>
      </c>
      <c r="N187">
        <v>1324324.324324324</v>
      </c>
    </row>
    <row r="188" spans="1:20" x14ac:dyDescent="0.35">
      <c r="A188" s="7" t="s">
        <v>280</v>
      </c>
      <c r="B188" s="12" t="s">
        <v>170</v>
      </c>
      <c r="C188">
        <v>65835405.900944375</v>
      </c>
      <c r="D188">
        <v>67045737.081571423</v>
      </c>
      <c r="E188">
        <v>30630.630630631</v>
      </c>
      <c r="F188">
        <v>6306.3063063059999</v>
      </c>
      <c r="G188">
        <v>9</v>
      </c>
      <c r="H188">
        <v>37</v>
      </c>
      <c r="K188">
        <v>10</v>
      </c>
      <c r="L188">
        <v>38</v>
      </c>
      <c r="M188">
        <v>3126689.1891891891</v>
      </c>
      <c r="N188">
        <v>2889189.1891891891</v>
      </c>
      <c r="O188">
        <v>28861797.297297295</v>
      </c>
      <c r="P188">
        <v>35619621.621621624</v>
      </c>
      <c r="Q188">
        <v>3619189.1891891891</v>
      </c>
      <c r="R188">
        <v>3555675.6756756762</v>
      </c>
      <c r="S188">
        <v>2095</v>
      </c>
      <c r="T188">
        <v>2093</v>
      </c>
    </row>
    <row r="189" spans="1:20" x14ac:dyDescent="0.35">
      <c r="A189" s="7" t="s">
        <v>281</v>
      </c>
      <c r="B189" s="12" t="s">
        <v>88</v>
      </c>
      <c r="C189">
        <v>1699834.090472206</v>
      </c>
      <c r="D189">
        <v>1874633.2496555371</v>
      </c>
      <c r="G189">
        <v>3</v>
      </c>
      <c r="K189">
        <v>3</v>
      </c>
      <c r="O189">
        <v>624468.46846846805</v>
      </c>
      <c r="P189">
        <v>790090.09009008994</v>
      </c>
      <c r="S189">
        <v>132</v>
      </c>
      <c r="T189">
        <v>137</v>
      </c>
    </row>
    <row r="190" spans="1:20" x14ac:dyDescent="0.35">
      <c r="A190" s="7" t="s">
        <v>282</v>
      </c>
      <c r="B190" s="12" t="s">
        <v>170</v>
      </c>
      <c r="C190">
        <v>121276585.84595321</v>
      </c>
      <c r="D190">
        <v>138330286.63995501</v>
      </c>
      <c r="E190">
        <v>513513.51351351402</v>
      </c>
      <c r="F190">
        <v>1143693.693693694</v>
      </c>
      <c r="G190">
        <v>30</v>
      </c>
      <c r="H190">
        <v>65</v>
      </c>
      <c r="K190">
        <v>31</v>
      </c>
      <c r="L190">
        <v>91</v>
      </c>
      <c r="M190">
        <v>15407927.927927928</v>
      </c>
      <c r="N190">
        <v>16000990.990990989</v>
      </c>
      <c r="O190">
        <v>50230396.396396399</v>
      </c>
      <c r="P190">
        <v>58763513.513513513</v>
      </c>
      <c r="Q190">
        <v>14466306.306306304</v>
      </c>
      <c r="R190">
        <v>14708468.468468469</v>
      </c>
      <c r="S190">
        <v>4068</v>
      </c>
      <c r="T190">
        <v>4312</v>
      </c>
    </row>
    <row r="191" spans="1:20" x14ac:dyDescent="0.35">
      <c r="A191" s="7" t="s">
        <v>283</v>
      </c>
      <c r="B191" s="12" t="s">
        <v>55</v>
      </c>
      <c r="C191">
        <v>89930472.088048518</v>
      </c>
      <c r="D191">
        <v>95157773.258785829</v>
      </c>
      <c r="E191">
        <v>967567.56756757002</v>
      </c>
      <c r="F191">
        <v>1239639.63963964</v>
      </c>
      <c r="G191">
        <v>31</v>
      </c>
      <c r="H191">
        <v>37</v>
      </c>
      <c r="K191">
        <v>38</v>
      </c>
      <c r="L191">
        <v>46</v>
      </c>
      <c r="M191">
        <v>9718018.0180180185</v>
      </c>
      <c r="N191">
        <v>15584684.684684685</v>
      </c>
      <c r="O191">
        <v>19496468.468468469</v>
      </c>
      <c r="P191">
        <v>22428684.684684683</v>
      </c>
      <c r="Q191">
        <v>9350450.4504504502</v>
      </c>
      <c r="R191">
        <v>13043873.87387388</v>
      </c>
      <c r="S191">
        <v>3615</v>
      </c>
      <c r="T191">
        <v>3790</v>
      </c>
    </row>
    <row r="192" spans="1:20" x14ac:dyDescent="0.35">
      <c r="A192" s="7" t="s">
        <v>284</v>
      </c>
      <c r="B192" s="12" t="s">
        <v>285</v>
      </c>
      <c r="C192">
        <v>114027211.6324109</v>
      </c>
      <c r="D192">
        <v>150538958.32746896</v>
      </c>
      <c r="E192">
        <v>312612.612612614</v>
      </c>
      <c r="F192">
        <v>245045.04504504701</v>
      </c>
      <c r="G192">
        <v>38</v>
      </c>
      <c r="H192">
        <v>17</v>
      </c>
      <c r="K192">
        <v>64</v>
      </c>
      <c r="L192">
        <v>42</v>
      </c>
      <c r="M192">
        <v>6898198.1981982002</v>
      </c>
      <c r="N192">
        <v>3452252.2522522542</v>
      </c>
      <c r="O192">
        <v>19614990.990990993</v>
      </c>
      <c r="P192">
        <v>22712288.288288288</v>
      </c>
      <c r="Q192">
        <v>6720270.2702702722</v>
      </c>
      <c r="R192">
        <v>4559459.4594594603</v>
      </c>
      <c r="S192">
        <v>3206</v>
      </c>
      <c r="T192">
        <v>3203</v>
      </c>
    </row>
    <row r="193" spans="1:20" x14ac:dyDescent="0.35">
      <c r="A193" s="7" t="s">
        <v>286</v>
      </c>
      <c r="B193" s="12" t="s">
        <v>285</v>
      </c>
      <c r="C193">
        <v>260003640.43269312</v>
      </c>
      <c r="D193">
        <v>263170920.91387719</v>
      </c>
      <c r="E193">
        <v>74399549.54954955</v>
      </c>
      <c r="F193">
        <v>55791891.891891897</v>
      </c>
      <c r="G193">
        <v>46</v>
      </c>
      <c r="H193">
        <v>124</v>
      </c>
      <c r="K193">
        <v>72</v>
      </c>
      <c r="L193">
        <v>252</v>
      </c>
      <c r="M193">
        <v>29726126.126126129</v>
      </c>
      <c r="N193">
        <v>36991891.891891897</v>
      </c>
      <c r="O193">
        <v>54243644.144144148</v>
      </c>
      <c r="P193">
        <v>58903342.342342347</v>
      </c>
      <c r="Q193">
        <v>26363963.963963963</v>
      </c>
      <c r="R193">
        <v>28583513.513513517</v>
      </c>
      <c r="S193">
        <v>7924</v>
      </c>
      <c r="T193">
        <v>8201</v>
      </c>
    </row>
    <row r="194" spans="1:20" x14ac:dyDescent="0.35">
      <c r="A194" s="7" t="s">
        <v>287</v>
      </c>
      <c r="B194" s="12" t="s">
        <v>285</v>
      </c>
      <c r="C194">
        <v>137831173.97282228</v>
      </c>
      <c r="D194">
        <v>148348375.16347072</v>
      </c>
      <c r="E194">
        <v>1054054.0540540561</v>
      </c>
      <c r="F194">
        <v>1673873.8738738759</v>
      </c>
      <c r="G194">
        <v>31</v>
      </c>
      <c r="H194">
        <v>18</v>
      </c>
      <c r="K194">
        <v>42</v>
      </c>
      <c r="L194">
        <v>41</v>
      </c>
      <c r="M194">
        <v>37376576.576576576</v>
      </c>
      <c r="N194">
        <v>45001891.891891889</v>
      </c>
      <c r="O194">
        <v>43742756.756756753</v>
      </c>
      <c r="P194">
        <v>47025405.40540541</v>
      </c>
      <c r="Q194">
        <v>31446576.576576576</v>
      </c>
      <c r="R194">
        <v>38081261.261261262</v>
      </c>
      <c r="S194">
        <v>4623</v>
      </c>
      <c r="T194">
        <v>4772</v>
      </c>
    </row>
    <row r="195" spans="1:20" x14ac:dyDescent="0.35">
      <c r="A195" s="7" t="s">
        <v>288</v>
      </c>
      <c r="B195" s="12" t="s">
        <v>285</v>
      </c>
      <c r="C195">
        <v>101676854.77491955</v>
      </c>
      <c r="D195">
        <v>110140937.75732304</v>
      </c>
      <c r="E195">
        <v>320720.72072072298</v>
      </c>
      <c r="F195">
        <v>429729.72972972901</v>
      </c>
      <c r="G195">
        <v>7</v>
      </c>
      <c r="H195">
        <v>4</v>
      </c>
      <c r="K195">
        <v>8</v>
      </c>
      <c r="L195">
        <v>5</v>
      </c>
      <c r="M195">
        <v>28320720.720720723</v>
      </c>
      <c r="N195">
        <v>7456756.7567567565</v>
      </c>
      <c r="O195">
        <v>19874891.891891893</v>
      </c>
      <c r="P195">
        <v>22356666.666666668</v>
      </c>
      <c r="Q195">
        <v>28579549.54954955</v>
      </c>
      <c r="R195">
        <v>6487927.9279279271</v>
      </c>
      <c r="S195">
        <v>2502</v>
      </c>
      <c r="T195">
        <v>2555</v>
      </c>
    </row>
    <row r="196" spans="1:20" x14ac:dyDescent="0.35">
      <c r="A196" s="7" t="s">
        <v>289</v>
      </c>
      <c r="B196" s="12" t="s">
        <v>285</v>
      </c>
      <c r="C196">
        <v>51311520.7317871</v>
      </c>
      <c r="D196">
        <v>52936882.807463832</v>
      </c>
      <c r="E196">
        <v>451351.35135135398</v>
      </c>
      <c r="F196">
        <v>853153.15315315302</v>
      </c>
      <c r="G196">
        <v>1</v>
      </c>
      <c r="H196">
        <v>1</v>
      </c>
      <c r="K196">
        <v>2</v>
      </c>
      <c r="L196">
        <v>1</v>
      </c>
      <c r="M196">
        <v>12397297.297297295</v>
      </c>
      <c r="N196">
        <v>7618918.9189189188</v>
      </c>
      <c r="O196">
        <v>9383351.3513513524</v>
      </c>
      <c r="P196">
        <v>11395027.027027028</v>
      </c>
      <c r="Q196">
        <v>11916666.666666668</v>
      </c>
      <c r="R196">
        <v>7017207.2072072066</v>
      </c>
      <c r="S196">
        <v>1402</v>
      </c>
      <c r="T196">
        <v>1467</v>
      </c>
    </row>
    <row r="197" spans="1:20" x14ac:dyDescent="0.35">
      <c r="A197" s="7" t="s">
        <v>290</v>
      </c>
      <c r="B197" s="12" t="s">
        <v>285</v>
      </c>
      <c r="C197">
        <v>8431071.3756644037</v>
      </c>
      <c r="D197">
        <v>8394579.1484367363</v>
      </c>
      <c r="E197">
        <v>193693.69369369399</v>
      </c>
      <c r="F197">
        <v>387387.38738738699</v>
      </c>
      <c r="M197">
        <v>18319819.819819819</v>
      </c>
      <c r="N197">
        <v>4549549.5495495489</v>
      </c>
      <c r="O197">
        <v>1176900.9009009011</v>
      </c>
      <c r="P197">
        <v>1686387.387387387</v>
      </c>
      <c r="Q197">
        <v>18126126.126126129</v>
      </c>
      <c r="R197">
        <v>4157657.6576576568</v>
      </c>
      <c r="S197">
        <v>336</v>
      </c>
      <c r="T197">
        <v>347</v>
      </c>
    </row>
    <row r="198" spans="1:20" x14ac:dyDescent="0.35">
      <c r="A198" s="7" t="s">
        <v>291</v>
      </c>
      <c r="B198" s="12" t="s">
        <v>292</v>
      </c>
      <c r="C198">
        <v>106448798.25081912</v>
      </c>
      <c r="D198">
        <v>112233920.68451901</v>
      </c>
      <c r="E198">
        <v>115315.31531531599</v>
      </c>
      <c r="F198">
        <v>54054.054054054999</v>
      </c>
      <c r="G198">
        <v>24</v>
      </c>
      <c r="H198">
        <v>10</v>
      </c>
      <c r="K198">
        <v>28</v>
      </c>
      <c r="L198">
        <v>13</v>
      </c>
      <c r="M198">
        <v>171171.171171172</v>
      </c>
      <c r="N198">
        <v>972972.97297297302</v>
      </c>
      <c r="O198">
        <v>9508560.3603603598</v>
      </c>
      <c r="P198">
        <v>12410949.54954955</v>
      </c>
      <c r="Q198">
        <v>480000</v>
      </c>
      <c r="R198">
        <v>746396.39639639703</v>
      </c>
      <c r="S198">
        <v>4477</v>
      </c>
      <c r="T198">
        <v>4544</v>
      </c>
    </row>
    <row r="199" spans="1:20" x14ac:dyDescent="0.35">
      <c r="A199" s="7" t="s">
        <v>293</v>
      </c>
      <c r="B199" s="12" t="s">
        <v>148</v>
      </c>
      <c r="C199">
        <v>238105344.44219869</v>
      </c>
      <c r="D199">
        <v>219867135.25340647</v>
      </c>
      <c r="E199">
        <v>214067627.92792794</v>
      </c>
      <c r="F199">
        <v>213479889.1891892</v>
      </c>
      <c r="G199">
        <v>56</v>
      </c>
      <c r="H199">
        <v>68</v>
      </c>
      <c r="K199">
        <v>68</v>
      </c>
      <c r="L199">
        <v>81</v>
      </c>
      <c r="M199">
        <v>96664740.540540546</v>
      </c>
      <c r="N199">
        <v>94367896.396396399</v>
      </c>
      <c r="O199">
        <v>89515711.711711705</v>
      </c>
      <c r="P199">
        <v>90161576.576576576</v>
      </c>
      <c r="Q199">
        <v>89419819.819819823</v>
      </c>
      <c r="R199">
        <v>78261261.261261269</v>
      </c>
      <c r="S199">
        <v>9104</v>
      </c>
      <c r="T199">
        <v>7581</v>
      </c>
    </row>
    <row r="200" spans="1:20" x14ac:dyDescent="0.35">
      <c r="A200" s="7" t="s">
        <v>294</v>
      </c>
      <c r="B200" s="12" t="s">
        <v>295</v>
      </c>
      <c r="C200">
        <v>116241327.28228006</v>
      </c>
      <c r="D200">
        <v>126786318.59309366</v>
      </c>
      <c r="E200">
        <v>82003154.954954967</v>
      </c>
      <c r="F200">
        <v>70857176.576576576</v>
      </c>
      <c r="G200">
        <v>9</v>
      </c>
      <c r="K200">
        <v>11</v>
      </c>
      <c r="L200">
        <v>7</v>
      </c>
      <c r="M200">
        <v>30450180.180180177</v>
      </c>
      <c r="N200">
        <v>31711441.441441447</v>
      </c>
      <c r="O200">
        <v>16236882.882882884</v>
      </c>
      <c r="P200">
        <v>17973558.558558557</v>
      </c>
      <c r="Q200">
        <v>23631171.17117117</v>
      </c>
      <c r="R200">
        <v>27953513.513513517</v>
      </c>
      <c r="S200">
        <v>3372</v>
      </c>
      <c r="T200">
        <v>3532</v>
      </c>
    </row>
    <row r="201" spans="1:20" x14ac:dyDescent="0.35">
      <c r="A201" s="7" t="s">
        <v>296</v>
      </c>
      <c r="B201" s="12" t="s">
        <v>292</v>
      </c>
      <c r="C201">
        <v>24433294.107814141</v>
      </c>
      <c r="D201">
        <v>29912977.780201562</v>
      </c>
      <c r="E201">
        <v>608108.10810810805</v>
      </c>
      <c r="F201">
        <v>635135.13513513503</v>
      </c>
      <c r="G201">
        <v>6</v>
      </c>
      <c r="H201">
        <v>3</v>
      </c>
      <c r="K201">
        <v>6</v>
      </c>
      <c r="L201">
        <v>5</v>
      </c>
      <c r="M201">
        <v>2455855.8558558552</v>
      </c>
      <c r="N201">
        <v>635135.13513513503</v>
      </c>
      <c r="O201">
        <v>3685583.7837837832</v>
      </c>
      <c r="P201">
        <v>3492054.054054054</v>
      </c>
      <c r="Q201">
        <v>1794144.1441441451</v>
      </c>
      <c r="R201">
        <v>1438288.2882882881</v>
      </c>
      <c r="S201">
        <v>1156</v>
      </c>
      <c r="T201">
        <v>1212</v>
      </c>
    </row>
    <row r="202" spans="1:20" x14ac:dyDescent="0.35">
      <c r="A202" s="7" t="s">
        <v>297</v>
      </c>
      <c r="B202" s="12" t="s">
        <v>53</v>
      </c>
      <c r="C202">
        <v>337703063.67483985</v>
      </c>
      <c r="D202">
        <v>349391520.35726988</v>
      </c>
      <c r="E202">
        <v>3785585.5855855909</v>
      </c>
      <c r="F202">
        <v>5796594.5945945978</v>
      </c>
      <c r="G202">
        <v>96</v>
      </c>
      <c r="H202">
        <v>144</v>
      </c>
      <c r="K202">
        <v>138</v>
      </c>
      <c r="L202">
        <v>233</v>
      </c>
      <c r="M202">
        <v>229588108.1081081</v>
      </c>
      <c r="N202">
        <v>68311909.909909919</v>
      </c>
      <c r="O202">
        <v>91040216.216216207</v>
      </c>
      <c r="P202">
        <v>95215549.54954955</v>
      </c>
      <c r="Q202">
        <v>224664414.41441441</v>
      </c>
      <c r="R202">
        <v>71044864.864864871</v>
      </c>
      <c r="S202">
        <v>11537</v>
      </c>
      <c r="T202">
        <v>12155</v>
      </c>
    </row>
    <row r="203" spans="1:20" x14ac:dyDescent="0.35">
      <c r="A203" s="7" t="s">
        <v>298</v>
      </c>
      <c r="B203" s="12" t="s">
        <v>170</v>
      </c>
      <c r="C203">
        <v>92103280.247402832</v>
      </c>
      <c r="D203">
        <v>122284281.28601463</v>
      </c>
      <c r="E203">
        <v>13513.513513514001</v>
      </c>
      <c r="F203">
        <v>70270.270270270994</v>
      </c>
      <c r="G203">
        <v>15</v>
      </c>
      <c r="H203">
        <v>5</v>
      </c>
      <c r="K203">
        <v>19</v>
      </c>
      <c r="L203">
        <v>6</v>
      </c>
      <c r="M203">
        <v>8436936.9369369373</v>
      </c>
      <c r="N203">
        <v>4845045.0450450452</v>
      </c>
      <c r="O203">
        <v>21693324.324324325</v>
      </c>
      <c r="P203">
        <v>32368963.963963963</v>
      </c>
      <c r="Q203">
        <v>5198018.0180180194</v>
      </c>
      <c r="R203">
        <v>7150900.9009009013</v>
      </c>
      <c r="S203">
        <v>4256</v>
      </c>
      <c r="T203">
        <v>4616</v>
      </c>
    </row>
    <row r="204" spans="1:20" x14ac:dyDescent="0.35">
      <c r="A204" s="7" t="s">
        <v>299</v>
      </c>
      <c r="B204" s="12" t="s">
        <v>170</v>
      </c>
      <c r="C204">
        <v>131547751.79991056</v>
      </c>
      <c r="D204">
        <v>91800253.010729045</v>
      </c>
      <c r="E204">
        <v>103603.603603604</v>
      </c>
      <c r="F204">
        <v>71171.171171171998</v>
      </c>
      <c r="G204">
        <v>22</v>
      </c>
      <c r="H204">
        <v>13</v>
      </c>
      <c r="K204">
        <v>25</v>
      </c>
      <c r="L204">
        <v>15</v>
      </c>
      <c r="M204">
        <v>1829015597.2972975</v>
      </c>
      <c r="N204">
        <v>1188368468.4684684</v>
      </c>
      <c r="O204">
        <v>46837711.711711712</v>
      </c>
      <c r="P204">
        <v>40717675.675675683</v>
      </c>
      <c r="Q204">
        <v>1822132605.4054055</v>
      </c>
      <c r="R204">
        <v>1074587971.1711712</v>
      </c>
      <c r="S204">
        <v>2846</v>
      </c>
      <c r="T204">
        <v>2770</v>
      </c>
    </row>
    <row r="205" spans="1:20" x14ac:dyDescent="0.35">
      <c r="A205" s="7" t="s">
        <v>300</v>
      </c>
      <c r="B205" s="12" t="s">
        <v>90</v>
      </c>
      <c r="C205">
        <v>384663779.44002926</v>
      </c>
      <c r="D205">
        <v>402426995.35777074</v>
      </c>
      <c r="E205">
        <v>2160246.8468468529</v>
      </c>
      <c r="F205">
        <v>2072072.0720720759</v>
      </c>
      <c r="G205">
        <v>77</v>
      </c>
      <c r="H205">
        <v>27</v>
      </c>
      <c r="I205">
        <v>2</v>
      </c>
      <c r="K205">
        <v>137</v>
      </c>
      <c r="L205">
        <v>37</v>
      </c>
      <c r="M205">
        <v>22377594.59459459</v>
      </c>
      <c r="N205">
        <v>396295675.67567563</v>
      </c>
      <c r="O205">
        <v>75870171.171171173</v>
      </c>
      <c r="P205">
        <v>84383621.621621609</v>
      </c>
      <c r="Q205">
        <v>27473153.153153151</v>
      </c>
      <c r="R205">
        <v>351006666.66666669</v>
      </c>
      <c r="S205">
        <v>10907</v>
      </c>
      <c r="T205">
        <v>11217</v>
      </c>
    </row>
    <row r="206" spans="1:20" x14ac:dyDescent="0.35">
      <c r="A206" s="7" t="s">
        <v>301</v>
      </c>
      <c r="B206" s="12" t="s">
        <v>135</v>
      </c>
      <c r="C206">
        <v>211372852.5071432</v>
      </c>
      <c r="D206">
        <v>240047227.65025747</v>
      </c>
      <c r="E206">
        <v>1580180.1801801829</v>
      </c>
      <c r="F206">
        <v>1406306.306306307</v>
      </c>
      <c r="G206">
        <v>48</v>
      </c>
      <c r="H206">
        <v>39</v>
      </c>
      <c r="K206">
        <v>65</v>
      </c>
      <c r="L206">
        <v>75</v>
      </c>
      <c r="M206">
        <v>16156756.756756756</v>
      </c>
      <c r="N206">
        <v>27622522.52252252</v>
      </c>
      <c r="O206">
        <v>26643009.009009007</v>
      </c>
      <c r="P206">
        <v>35235953.153153151</v>
      </c>
      <c r="Q206">
        <v>13716036.036036037</v>
      </c>
      <c r="R206">
        <v>22467927.927927926</v>
      </c>
      <c r="S206">
        <v>6985</v>
      </c>
      <c r="T206">
        <v>7046</v>
      </c>
    </row>
    <row r="207" spans="1:20" x14ac:dyDescent="0.35">
      <c r="A207" s="7" t="s">
        <v>302</v>
      </c>
      <c r="B207" s="12" t="s">
        <v>292</v>
      </c>
      <c r="C207">
        <v>146403170.05896777</v>
      </c>
      <c r="D207">
        <v>154990289.49076244</v>
      </c>
      <c r="E207">
        <v>120181643.24324325</v>
      </c>
      <c r="F207">
        <v>114308335.13513513</v>
      </c>
      <c r="G207">
        <v>54</v>
      </c>
      <c r="H207">
        <v>33</v>
      </c>
      <c r="K207">
        <v>61</v>
      </c>
      <c r="L207">
        <v>40</v>
      </c>
      <c r="M207">
        <v>28090489.189189192</v>
      </c>
      <c r="N207">
        <v>33245282.882882886</v>
      </c>
      <c r="O207">
        <v>20170872.072072074</v>
      </c>
      <c r="P207">
        <v>22892774.774774775</v>
      </c>
      <c r="Q207">
        <v>11395045.045045044</v>
      </c>
      <c r="R207">
        <v>18441441.441441439</v>
      </c>
      <c r="S207">
        <v>4462</v>
      </c>
      <c r="T207">
        <v>4865</v>
      </c>
    </row>
    <row r="208" spans="1:20" x14ac:dyDescent="0.35">
      <c r="A208" s="7" t="s">
        <v>303</v>
      </c>
      <c r="B208" s="12" t="s">
        <v>81</v>
      </c>
      <c r="C208">
        <v>213035207.8644295</v>
      </c>
      <c r="D208">
        <v>223893270.64628541</v>
      </c>
      <c r="E208">
        <v>37825000</v>
      </c>
      <c r="F208">
        <v>71660360.360360354</v>
      </c>
      <c r="G208">
        <v>34</v>
      </c>
      <c r="H208">
        <v>6</v>
      </c>
      <c r="I208">
        <v>5</v>
      </c>
      <c r="K208">
        <v>38</v>
      </c>
      <c r="L208">
        <v>15</v>
      </c>
      <c r="M208">
        <v>22372972.972972967</v>
      </c>
      <c r="N208">
        <v>27432252.252252247</v>
      </c>
      <c r="O208">
        <v>44106036.036036029</v>
      </c>
      <c r="P208">
        <v>50214558.558558561</v>
      </c>
      <c r="Q208">
        <v>19508918.918918919</v>
      </c>
      <c r="R208">
        <v>22806846.846846849</v>
      </c>
      <c r="S208">
        <v>6182</v>
      </c>
      <c r="T208">
        <v>5803</v>
      </c>
    </row>
    <row r="209" spans="1:20" x14ac:dyDescent="0.35">
      <c r="A209" s="7" t="s">
        <v>304</v>
      </c>
      <c r="B209" s="12" t="s">
        <v>73</v>
      </c>
      <c r="C209">
        <v>331907745.00104845</v>
      </c>
      <c r="D209">
        <v>356063206.41922909</v>
      </c>
      <c r="E209">
        <v>965765.76576576906</v>
      </c>
      <c r="F209">
        <v>481981.98198198498</v>
      </c>
      <c r="G209">
        <v>85</v>
      </c>
      <c r="H209">
        <v>31</v>
      </c>
      <c r="I209">
        <v>1</v>
      </c>
      <c r="K209">
        <v>95</v>
      </c>
      <c r="L209">
        <v>39</v>
      </c>
      <c r="M209">
        <v>20192792.792792797</v>
      </c>
      <c r="N209">
        <v>28409909.909909911</v>
      </c>
      <c r="O209">
        <v>50953261.261261262</v>
      </c>
      <c r="P209">
        <v>59687214.414414413</v>
      </c>
      <c r="Q209">
        <v>17951531.531531531</v>
      </c>
      <c r="R209">
        <v>20221711.711711712</v>
      </c>
      <c r="S209">
        <v>10075</v>
      </c>
      <c r="T209">
        <v>9134</v>
      </c>
    </row>
    <row r="210" spans="1:20" x14ac:dyDescent="0.35">
      <c r="A210" s="7" t="s">
        <v>305</v>
      </c>
      <c r="B210" s="12" t="s">
        <v>306</v>
      </c>
      <c r="C210">
        <v>1173646.5040747151</v>
      </c>
      <c r="D210">
        <v>1406621.0532471261</v>
      </c>
      <c r="O210">
        <v>485225.22522522497</v>
      </c>
      <c r="P210">
        <v>319369.369369369</v>
      </c>
      <c r="S210">
        <v>70</v>
      </c>
      <c r="T210">
        <v>75</v>
      </c>
    </row>
    <row r="211" spans="1:20" x14ac:dyDescent="0.35">
      <c r="A211" s="7" t="s">
        <v>307</v>
      </c>
      <c r="B211" s="12" t="s">
        <v>118</v>
      </c>
      <c r="C211">
        <v>43246970.664988138</v>
      </c>
      <c r="D211">
        <v>44173278.791900955</v>
      </c>
      <c r="E211">
        <v>308108.10810810601</v>
      </c>
      <c r="F211">
        <v>458558.558558558</v>
      </c>
      <c r="G211">
        <v>5</v>
      </c>
      <c r="H211">
        <v>10</v>
      </c>
      <c r="K211">
        <v>5</v>
      </c>
      <c r="L211">
        <v>11</v>
      </c>
      <c r="M211">
        <v>2049369.3693693669</v>
      </c>
      <c r="N211">
        <v>3797297.2972972961</v>
      </c>
      <c r="O211">
        <v>18633558.558558561</v>
      </c>
      <c r="P211">
        <v>18254594.59459459</v>
      </c>
      <c r="Q211">
        <v>2577747.7477477472</v>
      </c>
      <c r="R211">
        <v>2991261.2612612592</v>
      </c>
      <c r="S211">
        <v>1993</v>
      </c>
      <c r="T211">
        <v>3540</v>
      </c>
    </row>
    <row r="212" spans="1:20" x14ac:dyDescent="0.35">
      <c r="A212" s="7" t="s">
        <v>308</v>
      </c>
      <c r="B212" s="12" t="s">
        <v>309</v>
      </c>
      <c r="C212">
        <v>51870789.984730147</v>
      </c>
      <c r="D212">
        <v>52412137.772918619</v>
      </c>
      <c r="E212">
        <v>354167567.56756753</v>
      </c>
      <c r="F212">
        <v>186369369.36936939</v>
      </c>
      <c r="G212">
        <v>30</v>
      </c>
      <c r="H212">
        <v>11</v>
      </c>
      <c r="K212">
        <v>35</v>
      </c>
      <c r="L212">
        <v>13</v>
      </c>
      <c r="M212">
        <v>1466216.2162162161</v>
      </c>
      <c r="N212">
        <v>4304729.7297297297</v>
      </c>
      <c r="O212">
        <v>27424018.018018015</v>
      </c>
      <c r="P212">
        <v>25919702.702702705</v>
      </c>
      <c r="Q212">
        <v>407747.74774774798</v>
      </c>
      <c r="R212">
        <v>214774.774774775</v>
      </c>
      <c r="S212">
        <v>4500</v>
      </c>
      <c r="T212">
        <v>4255</v>
      </c>
    </row>
    <row r="213" spans="1:20" x14ac:dyDescent="0.35">
      <c r="A213" s="7" t="s">
        <v>310</v>
      </c>
      <c r="B213" s="12" t="s">
        <v>141</v>
      </c>
      <c r="C213">
        <v>349436680.59410721</v>
      </c>
      <c r="D213">
        <v>372190756.61214268</v>
      </c>
      <c r="E213">
        <v>1331081.0810810891</v>
      </c>
      <c r="F213">
        <v>2293693.693693697</v>
      </c>
      <c r="G213">
        <v>59</v>
      </c>
      <c r="H213">
        <v>13</v>
      </c>
      <c r="I213">
        <v>2</v>
      </c>
      <c r="K213">
        <v>70</v>
      </c>
      <c r="L213">
        <v>21</v>
      </c>
      <c r="M213">
        <v>68646396.396396399</v>
      </c>
      <c r="N213">
        <v>67915405.405405402</v>
      </c>
      <c r="O213">
        <v>77070621.621621609</v>
      </c>
      <c r="P213">
        <v>84845718.918918908</v>
      </c>
      <c r="Q213">
        <v>36696486.486486487</v>
      </c>
      <c r="R213">
        <v>39083063.06306307</v>
      </c>
      <c r="S213">
        <v>7969</v>
      </c>
      <c r="T213">
        <v>8154</v>
      </c>
    </row>
    <row r="214" spans="1:20" x14ac:dyDescent="0.35">
      <c r="A214" s="7" t="s">
        <v>311</v>
      </c>
      <c r="B214" s="12" t="s">
        <v>133</v>
      </c>
      <c r="C214">
        <v>330473576.82237673</v>
      </c>
      <c r="D214">
        <v>337188817.18309069</v>
      </c>
      <c r="E214">
        <v>2716216.2162162168</v>
      </c>
      <c r="F214">
        <v>2280180.1801801808</v>
      </c>
      <c r="G214">
        <v>98</v>
      </c>
      <c r="H214">
        <v>49</v>
      </c>
      <c r="K214">
        <v>116</v>
      </c>
      <c r="L214">
        <v>57</v>
      </c>
      <c r="M214">
        <v>15445945.945945945</v>
      </c>
      <c r="N214">
        <v>11680405.405405406</v>
      </c>
      <c r="O214">
        <v>87775279.279279277</v>
      </c>
      <c r="P214">
        <v>98722477.477477476</v>
      </c>
      <c r="Q214">
        <v>12076306.306306304</v>
      </c>
      <c r="R214">
        <v>8655270.2702702712</v>
      </c>
      <c r="S214">
        <v>12165</v>
      </c>
      <c r="T214">
        <v>12887</v>
      </c>
    </row>
    <row r="215" spans="1:20" x14ac:dyDescent="0.35">
      <c r="A215" s="7" t="s">
        <v>312</v>
      </c>
      <c r="B215" s="12" t="s">
        <v>73</v>
      </c>
      <c r="C215">
        <v>561614615.80105734</v>
      </c>
      <c r="D215">
        <v>646272208.14168918</v>
      </c>
      <c r="E215">
        <v>5180405.4054054143</v>
      </c>
      <c r="F215">
        <v>3813513.5135135232</v>
      </c>
      <c r="G215">
        <v>116</v>
      </c>
      <c r="H215">
        <v>45</v>
      </c>
      <c r="I215">
        <v>3</v>
      </c>
      <c r="K215">
        <v>156</v>
      </c>
      <c r="L215">
        <v>54</v>
      </c>
      <c r="M215">
        <v>84660360.360360354</v>
      </c>
      <c r="N215">
        <v>99454954.954954967</v>
      </c>
      <c r="O215">
        <v>136749552.25225225</v>
      </c>
      <c r="P215">
        <v>202811879.27927926</v>
      </c>
      <c r="Q215">
        <v>72335765.765765756</v>
      </c>
      <c r="R215">
        <v>87531261.261261269</v>
      </c>
      <c r="S215">
        <v>16704</v>
      </c>
      <c r="T215">
        <v>16719</v>
      </c>
    </row>
    <row r="216" spans="1:20" x14ac:dyDescent="0.35">
      <c r="A216" s="7" t="s">
        <v>313</v>
      </c>
      <c r="B216" s="12" t="s">
        <v>63</v>
      </c>
      <c r="C216">
        <v>97312866.445448548</v>
      </c>
      <c r="D216">
        <v>99145698.814422593</v>
      </c>
      <c r="E216">
        <v>575675.67567567795</v>
      </c>
      <c r="F216">
        <v>954054.05405405595</v>
      </c>
      <c r="G216">
        <v>15</v>
      </c>
      <c r="H216">
        <v>12</v>
      </c>
      <c r="K216">
        <v>16</v>
      </c>
      <c r="L216">
        <v>12</v>
      </c>
      <c r="M216">
        <v>21546306.306306306</v>
      </c>
      <c r="N216">
        <v>13356216.216216218</v>
      </c>
      <c r="O216">
        <v>26688945.945945945</v>
      </c>
      <c r="P216">
        <v>28412432.432432432</v>
      </c>
      <c r="Q216">
        <v>17190360.360360362</v>
      </c>
      <c r="R216">
        <v>18179279.27927928</v>
      </c>
      <c r="S216">
        <v>2294</v>
      </c>
      <c r="T216">
        <v>2282</v>
      </c>
    </row>
    <row r="217" spans="1:20" x14ac:dyDescent="0.35">
      <c r="A217" s="7" t="s">
        <v>314</v>
      </c>
      <c r="B217" s="12" t="s">
        <v>90</v>
      </c>
      <c r="C217">
        <v>32627306.912139408</v>
      </c>
      <c r="D217">
        <v>36538264.073462039</v>
      </c>
      <c r="E217">
        <v>446846.84684684698</v>
      </c>
      <c r="F217">
        <v>1340540.5405405429</v>
      </c>
      <c r="G217">
        <v>8</v>
      </c>
      <c r="H217">
        <v>4</v>
      </c>
      <c r="K217">
        <v>10</v>
      </c>
      <c r="L217">
        <v>4</v>
      </c>
      <c r="M217">
        <v>4690270.2702702703</v>
      </c>
      <c r="N217">
        <v>7395315.3153153146</v>
      </c>
      <c r="O217">
        <v>11252279.27927928</v>
      </c>
      <c r="P217">
        <v>12684648.648648648</v>
      </c>
      <c r="Q217">
        <v>4807207.2072072048</v>
      </c>
      <c r="R217">
        <v>6707297.2972972961</v>
      </c>
      <c r="S217">
        <v>1252</v>
      </c>
      <c r="T217">
        <v>1256</v>
      </c>
    </row>
    <row r="218" spans="1:20" x14ac:dyDescent="0.35">
      <c r="A218" s="7" t="s">
        <v>315</v>
      </c>
      <c r="B218" s="12" t="s">
        <v>93</v>
      </c>
      <c r="C218">
        <v>15133833.812988101</v>
      </c>
      <c r="D218">
        <v>10846363.583574697</v>
      </c>
      <c r="E218">
        <v>77707841.441441447</v>
      </c>
      <c r="F218">
        <v>87170917.117117122</v>
      </c>
      <c r="G218">
        <v>2</v>
      </c>
      <c r="H218">
        <v>3</v>
      </c>
      <c r="K218">
        <v>2</v>
      </c>
      <c r="L218">
        <v>3</v>
      </c>
      <c r="M218">
        <v>9063063.0630630646</v>
      </c>
      <c r="N218">
        <v>8053521.6216216208</v>
      </c>
      <c r="O218">
        <v>950855.85585585597</v>
      </c>
      <c r="P218">
        <v>1306972.972972973</v>
      </c>
      <c r="Q218">
        <v>145045.045045045</v>
      </c>
      <c r="R218">
        <v>2153153.1531531531</v>
      </c>
      <c r="S218">
        <v>781</v>
      </c>
      <c r="T218">
        <v>781</v>
      </c>
    </row>
    <row r="219" spans="1:20" x14ac:dyDescent="0.35">
      <c r="A219" s="7" t="s">
        <v>316</v>
      </c>
      <c r="B219" s="12" t="s">
        <v>317</v>
      </c>
      <c r="C219">
        <v>113029854.39624904</v>
      </c>
      <c r="D219">
        <v>113535755.72547968</v>
      </c>
      <c r="E219">
        <v>641891.89189189102</v>
      </c>
      <c r="F219">
        <v>2997297.2972972989</v>
      </c>
      <c r="G219">
        <v>19</v>
      </c>
      <c r="H219">
        <v>23</v>
      </c>
      <c r="K219">
        <v>19</v>
      </c>
      <c r="L219">
        <v>27</v>
      </c>
      <c r="M219">
        <v>17646846.846846845</v>
      </c>
      <c r="N219">
        <v>28276576.576576576</v>
      </c>
      <c r="O219">
        <v>17506180.180180181</v>
      </c>
      <c r="P219">
        <v>20032099.0990991</v>
      </c>
      <c r="Q219">
        <v>13937117.117117116</v>
      </c>
      <c r="R219">
        <v>20667837.837837838</v>
      </c>
      <c r="S219">
        <v>3363</v>
      </c>
      <c r="T219">
        <v>3665</v>
      </c>
    </row>
    <row r="220" spans="1:20" x14ac:dyDescent="0.35">
      <c r="A220" s="7" t="s">
        <v>318</v>
      </c>
      <c r="B220" s="12" t="s">
        <v>63</v>
      </c>
      <c r="C220">
        <v>193914006.75299194</v>
      </c>
      <c r="D220">
        <v>208947636.02743998</v>
      </c>
      <c r="E220">
        <v>3746846.8468468529</v>
      </c>
      <c r="F220">
        <v>2530630.6306306352</v>
      </c>
      <c r="G220">
        <v>66</v>
      </c>
      <c r="H220">
        <v>44</v>
      </c>
      <c r="K220">
        <v>134</v>
      </c>
      <c r="L220">
        <v>90</v>
      </c>
      <c r="M220">
        <v>33268288.288288288</v>
      </c>
      <c r="N220">
        <v>16632252.252252253</v>
      </c>
      <c r="O220">
        <v>67052873.873873875</v>
      </c>
      <c r="P220">
        <v>74748027.027027026</v>
      </c>
      <c r="Q220">
        <v>31499639.639639635</v>
      </c>
      <c r="R220">
        <v>21274594.594594598</v>
      </c>
      <c r="S220">
        <v>8791</v>
      </c>
      <c r="T220">
        <v>8940</v>
      </c>
    </row>
    <row r="221" spans="1:20" x14ac:dyDescent="0.35">
      <c r="A221" s="7" t="s">
        <v>319</v>
      </c>
      <c r="B221" s="12" t="s">
        <v>63</v>
      </c>
      <c r="C221">
        <v>179301488.21731469</v>
      </c>
      <c r="D221">
        <v>197133509.72825539</v>
      </c>
      <c r="E221">
        <v>1376576.5765765789</v>
      </c>
      <c r="F221">
        <v>1393693.6936936979</v>
      </c>
      <c r="G221">
        <v>28</v>
      </c>
      <c r="H221">
        <v>7</v>
      </c>
      <c r="K221">
        <v>35</v>
      </c>
      <c r="L221">
        <v>14</v>
      </c>
      <c r="M221">
        <v>28626846.846846849</v>
      </c>
      <c r="N221">
        <v>26013693.693693694</v>
      </c>
      <c r="O221">
        <v>62321693.693693697</v>
      </c>
      <c r="P221">
        <v>69424270.270270273</v>
      </c>
      <c r="Q221">
        <v>24280090.090090089</v>
      </c>
      <c r="R221">
        <v>28629099.099099096</v>
      </c>
      <c r="S221">
        <v>5409</v>
      </c>
      <c r="T221">
        <v>5534</v>
      </c>
    </row>
    <row r="222" spans="1:20" x14ac:dyDescent="0.35">
      <c r="A222" s="7" t="s">
        <v>320</v>
      </c>
      <c r="B222" s="12" t="s">
        <v>79</v>
      </c>
      <c r="C222">
        <v>184905452.08437949</v>
      </c>
      <c r="D222">
        <v>191912529.55889589</v>
      </c>
      <c r="E222">
        <v>3690990.990990994</v>
      </c>
      <c r="F222">
        <v>3914414.4144144189</v>
      </c>
      <c r="G222">
        <v>58</v>
      </c>
      <c r="H222">
        <v>44</v>
      </c>
      <c r="I222">
        <v>2</v>
      </c>
      <c r="K222">
        <v>97</v>
      </c>
      <c r="L222">
        <v>52</v>
      </c>
      <c r="M222">
        <v>46029729.729729727</v>
      </c>
      <c r="N222">
        <v>56056756.756756753</v>
      </c>
      <c r="O222">
        <v>81399680.180180177</v>
      </c>
      <c r="P222">
        <v>83162854.054054052</v>
      </c>
      <c r="Q222">
        <v>48116756.756756753</v>
      </c>
      <c r="R222">
        <v>49906396.396396399</v>
      </c>
      <c r="S222">
        <v>9557</v>
      </c>
      <c r="T222">
        <v>8605</v>
      </c>
    </row>
    <row r="223" spans="1:20" x14ac:dyDescent="0.35">
      <c r="A223" s="7" t="s">
        <v>321</v>
      </c>
      <c r="B223" s="12" t="s">
        <v>79</v>
      </c>
      <c r="C223">
        <v>109063126.62224896</v>
      </c>
      <c r="D223">
        <v>112382924.07094006</v>
      </c>
      <c r="E223">
        <v>1810810.8108108121</v>
      </c>
      <c r="F223">
        <v>1974774.774774777</v>
      </c>
      <c r="G223">
        <v>37</v>
      </c>
      <c r="H223">
        <v>34</v>
      </c>
      <c r="K223">
        <v>78</v>
      </c>
      <c r="L223">
        <v>54</v>
      </c>
      <c r="M223">
        <v>9945945.9459459465</v>
      </c>
      <c r="N223">
        <v>11713513.513513517</v>
      </c>
      <c r="O223">
        <v>41000423.423423424</v>
      </c>
      <c r="P223">
        <v>44100360.360360362</v>
      </c>
      <c r="Q223">
        <v>8553513.5135135166</v>
      </c>
      <c r="R223">
        <v>11063693.693693696</v>
      </c>
      <c r="S223">
        <v>5641</v>
      </c>
      <c r="T223">
        <v>5654</v>
      </c>
    </row>
    <row r="224" spans="1:20" x14ac:dyDescent="0.35">
      <c r="A224" s="7" t="s">
        <v>322</v>
      </c>
      <c r="B224" s="12" t="s">
        <v>122</v>
      </c>
      <c r="C224">
        <v>808062.97574160097</v>
      </c>
      <c r="D224">
        <v>733624.56574520795</v>
      </c>
      <c r="H224">
        <v>2</v>
      </c>
      <c r="L224">
        <v>2</v>
      </c>
      <c r="O224">
        <v>45810.810810811003</v>
      </c>
      <c r="P224">
        <v>308513.51351351402</v>
      </c>
      <c r="S224">
        <v>110</v>
      </c>
      <c r="T224">
        <v>128</v>
      </c>
    </row>
    <row r="225" spans="1:20" x14ac:dyDescent="0.35">
      <c r="A225" s="7" t="s">
        <v>323</v>
      </c>
      <c r="B225" s="12" t="s">
        <v>226</v>
      </c>
      <c r="C225">
        <v>124244412.62573513</v>
      </c>
      <c r="D225">
        <v>136092499.62332085</v>
      </c>
      <c r="E225">
        <v>28828.828828828999</v>
      </c>
      <c r="F225">
        <v>21621.621621621998</v>
      </c>
      <c r="G225">
        <v>28</v>
      </c>
      <c r="H225">
        <v>22</v>
      </c>
      <c r="I225">
        <v>2</v>
      </c>
      <c r="K225">
        <v>31</v>
      </c>
      <c r="L225">
        <v>22</v>
      </c>
      <c r="M225">
        <v>3640360.3603603588</v>
      </c>
      <c r="N225">
        <v>2612612.6126126149</v>
      </c>
      <c r="O225">
        <v>50488628.828828834</v>
      </c>
      <c r="P225">
        <v>57327828.828828834</v>
      </c>
      <c r="Q225">
        <v>3703873.8738738722</v>
      </c>
      <c r="R225">
        <v>3477477.4774774788</v>
      </c>
      <c r="S225">
        <v>5210</v>
      </c>
      <c r="T225">
        <v>4037</v>
      </c>
    </row>
    <row r="226" spans="1:20" x14ac:dyDescent="0.35">
      <c r="A226" s="7" t="s">
        <v>324</v>
      </c>
      <c r="B226" s="12" t="s">
        <v>226</v>
      </c>
      <c r="C226">
        <v>87196579.387200311</v>
      </c>
      <c r="D226">
        <v>102453651.45963006</v>
      </c>
      <c r="E226">
        <v>30630.630630632</v>
      </c>
      <c r="F226">
        <v>35135.135135137003</v>
      </c>
      <c r="G226">
        <v>5</v>
      </c>
      <c r="H226">
        <v>10</v>
      </c>
      <c r="K226">
        <v>5</v>
      </c>
      <c r="L226">
        <v>19</v>
      </c>
      <c r="M226">
        <v>9671351.3513513505</v>
      </c>
      <c r="N226">
        <v>11486486.486486485</v>
      </c>
      <c r="O226">
        <v>25585495.495495494</v>
      </c>
      <c r="P226">
        <v>30708954.954954956</v>
      </c>
      <c r="Q226">
        <v>5869729.7297297278</v>
      </c>
      <c r="R226">
        <v>8961981.9819819834</v>
      </c>
      <c r="S226">
        <v>2065</v>
      </c>
      <c r="T226">
        <v>2148</v>
      </c>
    </row>
    <row r="227" spans="1:20" x14ac:dyDescent="0.35">
      <c r="A227" s="7" t="s">
        <v>671</v>
      </c>
      <c r="B227" s="12" t="s">
        <v>95</v>
      </c>
      <c r="S227">
        <v>18</v>
      </c>
    </row>
    <row r="228" spans="1:20" x14ac:dyDescent="0.35">
      <c r="A228" s="7" t="s">
        <v>325</v>
      </c>
      <c r="B228" s="12" t="s">
        <v>79</v>
      </c>
      <c r="C228">
        <v>140010874.12467653</v>
      </c>
      <c r="D228">
        <v>139692920.51368567</v>
      </c>
      <c r="E228">
        <v>737837.83783783996</v>
      </c>
      <c r="F228">
        <v>1669369.3693693739</v>
      </c>
      <c r="G228">
        <v>82</v>
      </c>
      <c r="H228">
        <v>28</v>
      </c>
      <c r="I228">
        <v>1</v>
      </c>
      <c r="K228">
        <v>126</v>
      </c>
      <c r="L228">
        <v>32</v>
      </c>
      <c r="M228">
        <v>17332432.432432435</v>
      </c>
      <c r="N228">
        <v>22048648.648648653</v>
      </c>
      <c r="O228">
        <v>41911864.864864863</v>
      </c>
      <c r="P228">
        <v>43125522.522522517</v>
      </c>
      <c r="Q228">
        <v>15118828.828828828</v>
      </c>
      <c r="R228">
        <v>19096756.756756756</v>
      </c>
      <c r="S228">
        <v>4629</v>
      </c>
      <c r="T228">
        <v>4524</v>
      </c>
    </row>
    <row r="229" spans="1:20" x14ac:dyDescent="0.35">
      <c r="A229" s="7" t="s">
        <v>326</v>
      </c>
      <c r="B229" s="12" t="s">
        <v>109</v>
      </c>
      <c r="C229">
        <v>646340039.65483689</v>
      </c>
      <c r="D229">
        <v>1115967865.099967</v>
      </c>
      <c r="E229">
        <v>1420435009.90991</v>
      </c>
      <c r="F229">
        <v>845712118.01801801</v>
      </c>
      <c r="G229">
        <v>194</v>
      </c>
      <c r="H229">
        <v>211</v>
      </c>
      <c r="I229">
        <v>3</v>
      </c>
      <c r="K229">
        <v>307</v>
      </c>
      <c r="L229">
        <v>327</v>
      </c>
      <c r="M229">
        <v>538533333.33333325</v>
      </c>
      <c r="N229">
        <v>88685585.585585579</v>
      </c>
      <c r="O229">
        <v>167018549.54954955</v>
      </c>
      <c r="P229">
        <v>622681345.94594598</v>
      </c>
      <c r="Q229">
        <v>83527837.837837845</v>
      </c>
      <c r="R229">
        <v>75890720.720720723</v>
      </c>
      <c r="S229">
        <v>22276</v>
      </c>
      <c r="T229">
        <v>21558</v>
      </c>
    </row>
    <row r="230" spans="1:20" x14ac:dyDescent="0.35">
      <c r="A230" s="7" t="s">
        <v>327</v>
      </c>
      <c r="B230" s="12" t="s">
        <v>226</v>
      </c>
      <c r="C230">
        <v>129967728.49347512</v>
      </c>
      <c r="D230">
        <v>146020977.48196852</v>
      </c>
      <c r="E230">
        <v>423423.42342342302</v>
      </c>
      <c r="F230">
        <v>441441.441441442</v>
      </c>
      <c r="G230">
        <v>16</v>
      </c>
      <c r="H230">
        <v>19</v>
      </c>
      <c r="K230">
        <v>17</v>
      </c>
      <c r="L230">
        <v>39</v>
      </c>
      <c r="M230">
        <v>13129369.369369367</v>
      </c>
      <c r="N230">
        <v>11252252.252252253</v>
      </c>
      <c r="O230">
        <v>26828990.990990993</v>
      </c>
      <c r="P230">
        <v>34051243.243243247</v>
      </c>
      <c r="Q230">
        <v>11731171.17117117</v>
      </c>
      <c r="R230">
        <v>11514054.054054054</v>
      </c>
      <c r="S230">
        <v>4310</v>
      </c>
      <c r="T230">
        <v>4504</v>
      </c>
    </row>
    <row r="231" spans="1:20" x14ac:dyDescent="0.35">
      <c r="A231" s="7" t="s">
        <v>4</v>
      </c>
      <c r="B231" s="12" t="s">
        <v>159</v>
      </c>
      <c r="C231">
        <v>112644414.53110898</v>
      </c>
      <c r="D231">
        <v>108237297.88098283</v>
      </c>
      <c r="E231">
        <v>1206306.3063063079</v>
      </c>
      <c r="F231">
        <v>1481531.5315315321</v>
      </c>
      <c r="G231">
        <v>7</v>
      </c>
      <c r="H231">
        <v>15</v>
      </c>
      <c r="I231">
        <v>1</v>
      </c>
      <c r="K231">
        <v>10</v>
      </c>
      <c r="L231">
        <v>19</v>
      </c>
      <c r="M231">
        <v>24686486.486486487</v>
      </c>
      <c r="N231">
        <v>35062612.612612613</v>
      </c>
      <c r="O231">
        <v>39509774.774774775</v>
      </c>
      <c r="P231">
        <v>40444207.20720721</v>
      </c>
      <c r="Q231">
        <v>30161801.801801801</v>
      </c>
      <c r="R231">
        <v>31437387.387387387</v>
      </c>
      <c r="S231">
        <v>3392</v>
      </c>
      <c r="T231">
        <v>3472</v>
      </c>
    </row>
    <row r="232" spans="1:20" x14ac:dyDescent="0.35">
      <c r="A232" s="7" t="s">
        <v>34</v>
      </c>
      <c r="B232" s="12" t="s">
        <v>195</v>
      </c>
      <c r="E232">
        <v>303677296.3963964</v>
      </c>
      <c r="F232">
        <v>261824464.86486486</v>
      </c>
      <c r="M232">
        <v>1908333.333333333</v>
      </c>
      <c r="N232">
        <v>127927.927927928</v>
      </c>
    </row>
    <row r="233" spans="1:20" x14ac:dyDescent="0.35">
      <c r="A233" s="7" t="s">
        <v>328</v>
      </c>
      <c r="B233" s="12" t="s">
        <v>109</v>
      </c>
      <c r="C233">
        <v>525880253.4367075</v>
      </c>
      <c r="D233">
        <v>538524469.12006223</v>
      </c>
      <c r="E233">
        <v>5529054.0540540619</v>
      </c>
      <c r="F233">
        <v>64073574.774774775</v>
      </c>
      <c r="G233">
        <v>157</v>
      </c>
      <c r="H233">
        <v>167</v>
      </c>
      <c r="K233">
        <v>248</v>
      </c>
      <c r="L233">
        <v>241</v>
      </c>
      <c r="M233">
        <v>523698558.55855852</v>
      </c>
      <c r="N233">
        <v>311587510.8108108</v>
      </c>
      <c r="O233">
        <v>163457407.65765765</v>
      </c>
      <c r="P233">
        <v>164621045.04504505</v>
      </c>
      <c r="Q233">
        <v>73400090.090090081</v>
      </c>
      <c r="R233">
        <v>254301441.44144145</v>
      </c>
      <c r="S233">
        <v>19807</v>
      </c>
      <c r="T233">
        <v>20697</v>
      </c>
    </row>
    <row r="234" spans="1:20" x14ac:dyDescent="0.35">
      <c r="A234" s="7" t="s">
        <v>329</v>
      </c>
      <c r="B234" s="12" t="s">
        <v>79</v>
      </c>
      <c r="C234">
        <v>55097737.118508637</v>
      </c>
      <c r="D234">
        <v>54419350.61465811</v>
      </c>
      <c r="E234">
        <v>427027.02702702797</v>
      </c>
      <c r="F234">
        <v>427927.92792792799</v>
      </c>
      <c r="G234">
        <v>22</v>
      </c>
      <c r="H234">
        <v>14</v>
      </c>
      <c r="K234">
        <v>24</v>
      </c>
      <c r="L234">
        <v>15</v>
      </c>
      <c r="M234">
        <v>3940540.5405405411</v>
      </c>
      <c r="N234">
        <v>5550450.4504504502</v>
      </c>
      <c r="O234">
        <v>18520108.108108107</v>
      </c>
      <c r="P234">
        <v>19152369.369369369</v>
      </c>
      <c r="Q234">
        <v>4530180.180180179</v>
      </c>
      <c r="R234">
        <v>6893963.963963965</v>
      </c>
      <c r="S234">
        <v>1879</v>
      </c>
      <c r="T234">
        <v>1906</v>
      </c>
    </row>
    <row r="235" spans="1:20" x14ac:dyDescent="0.35">
      <c r="A235" s="7" t="s">
        <v>330</v>
      </c>
      <c r="B235" s="12" t="s">
        <v>122</v>
      </c>
      <c r="C235">
        <v>144664503.28989947</v>
      </c>
      <c r="D235">
        <v>141823920.13349742</v>
      </c>
      <c r="E235">
        <v>619594.59459459397</v>
      </c>
      <c r="F235">
        <v>369369.36936937098</v>
      </c>
      <c r="G235">
        <v>49</v>
      </c>
      <c r="H235">
        <v>44</v>
      </c>
      <c r="I235">
        <v>9</v>
      </c>
      <c r="K235">
        <v>54</v>
      </c>
      <c r="L235">
        <v>49</v>
      </c>
      <c r="M235">
        <v>11220720.720720723</v>
      </c>
      <c r="N235">
        <v>9018018.0180180185</v>
      </c>
      <c r="O235">
        <v>21506905.40540541</v>
      </c>
      <c r="P235">
        <v>24439783.783783782</v>
      </c>
      <c r="Q235">
        <v>8353243.2432432417</v>
      </c>
      <c r="R235">
        <v>7619099.0990990987</v>
      </c>
      <c r="S235">
        <v>3963</v>
      </c>
      <c r="T235">
        <v>4858</v>
      </c>
    </row>
    <row r="236" spans="1:20" x14ac:dyDescent="0.35">
      <c r="A236" s="7" t="s">
        <v>331</v>
      </c>
      <c r="B236" s="12" t="s">
        <v>332</v>
      </c>
      <c r="C236">
        <v>336378243.39173263</v>
      </c>
      <c r="D236">
        <v>342236832.12186289</v>
      </c>
      <c r="E236">
        <v>4635360.3603603607</v>
      </c>
      <c r="F236">
        <v>1610360.3603603621</v>
      </c>
      <c r="G236">
        <v>132</v>
      </c>
      <c r="H236">
        <v>118</v>
      </c>
      <c r="I236">
        <v>5</v>
      </c>
      <c r="K236">
        <v>152</v>
      </c>
      <c r="L236">
        <v>160</v>
      </c>
      <c r="M236">
        <v>57407207.20720721</v>
      </c>
      <c r="N236">
        <v>36798198.198198207</v>
      </c>
      <c r="O236">
        <v>71669443.693693697</v>
      </c>
      <c r="P236">
        <v>77376223.423423424</v>
      </c>
      <c r="Q236">
        <v>53075855.855855867</v>
      </c>
      <c r="R236">
        <v>37162882.882882886</v>
      </c>
      <c r="S236">
        <v>13670</v>
      </c>
      <c r="T236">
        <v>14753</v>
      </c>
    </row>
    <row r="237" spans="1:20" x14ac:dyDescent="0.35">
      <c r="A237" s="7" t="s">
        <v>333</v>
      </c>
      <c r="B237" s="12" t="s">
        <v>292</v>
      </c>
      <c r="C237">
        <v>509639378.58292294</v>
      </c>
      <c r="D237">
        <v>520780192.44977647</v>
      </c>
      <c r="E237">
        <v>2737387.387387393</v>
      </c>
      <c r="F237">
        <v>1424324.324324331</v>
      </c>
      <c r="G237">
        <v>169</v>
      </c>
      <c r="H237">
        <v>131</v>
      </c>
      <c r="K237">
        <v>200</v>
      </c>
      <c r="L237">
        <v>155</v>
      </c>
      <c r="M237">
        <v>47582882.882882878</v>
      </c>
      <c r="N237">
        <v>54230630.630630635</v>
      </c>
      <c r="O237">
        <v>90946214.414414421</v>
      </c>
      <c r="P237">
        <v>95235135.135135129</v>
      </c>
      <c r="Q237">
        <v>44221441.441441439</v>
      </c>
      <c r="R237">
        <v>60216936.936936945</v>
      </c>
      <c r="S237">
        <v>16824</v>
      </c>
      <c r="T237">
        <v>17045</v>
      </c>
    </row>
    <row r="238" spans="1:20" x14ac:dyDescent="0.35">
      <c r="A238" s="7" t="s">
        <v>334</v>
      </c>
      <c r="B238" s="12" t="s">
        <v>292</v>
      </c>
      <c r="C238">
        <v>384814611.34722722</v>
      </c>
      <c r="D238">
        <v>410017526.77050799</v>
      </c>
      <c r="E238">
        <v>3864864.8648648709</v>
      </c>
      <c r="F238">
        <v>2742342.342342346</v>
      </c>
      <c r="G238">
        <v>96</v>
      </c>
      <c r="H238">
        <v>107</v>
      </c>
      <c r="I238">
        <v>1</v>
      </c>
      <c r="K238">
        <v>146</v>
      </c>
      <c r="L238">
        <v>158</v>
      </c>
      <c r="M238">
        <v>52442342.342342347</v>
      </c>
      <c r="N238">
        <v>57911261.261261262</v>
      </c>
      <c r="O238">
        <v>101933369.36936937</v>
      </c>
      <c r="P238">
        <v>112195781.98198198</v>
      </c>
      <c r="Q238">
        <v>52140540.540540546</v>
      </c>
      <c r="R238">
        <v>113478378.37837839</v>
      </c>
      <c r="S238">
        <v>14849</v>
      </c>
      <c r="T238">
        <v>15240</v>
      </c>
    </row>
    <row r="239" spans="1:20" x14ac:dyDescent="0.35">
      <c r="A239" s="7" t="s">
        <v>335</v>
      </c>
      <c r="B239" s="12" t="s">
        <v>61</v>
      </c>
      <c r="C239">
        <v>52860789.830748744</v>
      </c>
      <c r="D239">
        <v>54051564.508347899</v>
      </c>
      <c r="E239">
        <v>1627927.927927928</v>
      </c>
      <c r="F239">
        <v>363063.06306306401</v>
      </c>
      <c r="G239">
        <v>60</v>
      </c>
      <c r="H239">
        <v>9</v>
      </c>
      <c r="I239">
        <v>2</v>
      </c>
      <c r="K239">
        <v>87</v>
      </c>
      <c r="L239">
        <v>16</v>
      </c>
      <c r="M239">
        <v>20218918.918918919</v>
      </c>
      <c r="N239">
        <v>1660360.3603603609</v>
      </c>
      <c r="O239">
        <v>19282234.234234232</v>
      </c>
      <c r="P239">
        <v>18674522.52252252</v>
      </c>
      <c r="Q239">
        <v>18298198.198198196</v>
      </c>
      <c r="R239">
        <v>1531531.5315315321</v>
      </c>
      <c r="S239">
        <v>2001</v>
      </c>
      <c r="T239">
        <v>1919</v>
      </c>
    </row>
    <row r="240" spans="1:20" x14ac:dyDescent="0.35">
      <c r="A240" s="7" t="s">
        <v>336</v>
      </c>
      <c r="B240" s="12" t="s">
        <v>61</v>
      </c>
      <c r="C240">
        <v>10169632.244480403</v>
      </c>
      <c r="D240">
        <v>13119425.391473647</v>
      </c>
      <c r="E240">
        <v>29516216.216216218</v>
      </c>
      <c r="F240">
        <v>151716216.21621624</v>
      </c>
      <c r="G240">
        <v>6</v>
      </c>
      <c r="H240">
        <v>7</v>
      </c>
      <c r="K240">
        <v>7</v>
      </c>
      <c r="L240">
        <v>9</v>
      </c>
      <c r="M240">
        <v>898648.64864864899</v>
      </c>
      <c r="N240">
        <v>651351.35135135194</v>
      </c>
      <c r="O240">
        <v>5796081.0810810812</v>
      </c>
      <c r="P240">
        <v>6558360.3603603598</v>
      </c>
      <c r="Q240">
        <v>790810.810810811</v>
      </c>
      <c r="R240">
        <v>610990.99099098996</v>
      </c>
      <c r="S240">
        <v>1206</v>
      </c>
      <c r="T240">
        <v>869</v>
      </c>
    </row>
    <row r="241" spans="1:20" x14ac:dyDescent="0.35">
      <c r="A241" s="7" t="s">
        <v>337</v>
      </c>
      <c r="B241" s="12" t="s">
        <v>122</v>
      </c>
      <c r="C241">
        <v>1272324.6079060719</v>
      </c>
      <c r="D241">
        <v>1451810.1707582551</v>
      </c>
      <c r="L241">
        <v>1</v>
      </c>
      <c r="O241">
        <v>93243.243243243007</v>
      </c>
      <c r="P241">
        <v>400900.900900901</v>
      </c>
      <c r="S241">
        <v>155</v>
      </c>
      <c r="T241">
        <v>148</v>
      </c>
    </row>
    <row r="242" spans="1:20" x14ac:dyDescent="0.35">
      <c r="A242" s="7" t="s">
        <v>338</v>
      </c>
      <c r="B242" s="12" t="s">
        <v>122</v>
      </c>
      <c r="C242">
        <v>1943981.0996968539</v>
      </c>
      <c r="D242">
        <v>1831482.7690380651</v>
      </c>
      <c r="E242">
        <v>5405405.405405405</v>
      </c>
      <c r="F242">
        <v>18588345.945945945</v>
      </c>
      <c r="G242">
        <v>1</v>
      </c>
      <c r="K242">
        <v>1</v>
      </c>
      <c r="M242">
        <v>3448218.9189189188</v>
      </c>
      <c r="O242">
        <v>429549.54954954999</v>
      </c>
      <c r="P242">
        <v>753378.37837837799</v>
      </c>
      <c r="S242">
        <v>92</v>
      </c>
      <c r="T242">
        <v>110</v>
      </c>
    </row>
    <row r="243" spans="1:20" x14ac:dyDescent="0.35">
      <c r="A243" s="7" t="s">
        <v>339</v>
      </c>
      <c r="B243" s="12" t="s">
        <v>122</v>
      </c>
      <c r="C243">
        <v>1469729.5741440849</v>
      </c>
      <c r="D243">
        <v>1622289.8995023901</v>
      </c>
      <c r="O243">
        <v>14414.414414413999</v>
      </c>
      <c r="P243">
        <v>156531.531531532</v>
      </c>
      <c r="S243">
        <v>151</v>
      </c>
      <c r="T243">
        <v>139</v>
      </c>
    </row>
    <row r="244" spans="1:20" x14ac:dyDescent="0.35">
      <c r="A244" s="7" t="s">
        <v>340</v>
      </c>
      <c r="B244" s="12" t="s">
        <v>141</v>
      </c>
      <c r="C244">
        <v>578406374.44752443</v>
      </c>
      <c r="D244">
        <v>607295664.58963132</v>
      </c>
      <c r="E244">
        <v>2332432.4324324392</v>
      </c>
      <c r="F244">
        <v>2736936.9369369401</v>
      </c>
      <c r="G244">
        <v>170</v>
      </c>
      <c r="H244">
        <v>52</v>
      </c>
      <c r="I244">
        <v>1</v>
      </c>
      <c r="K244">
        <v>203</v>
      </c>
      <c r="L244">
        <v>72</v>
      </c>
      <c r="M244">
        <v>55080900.9009009</v>
      </c>
      <c r="N244">
        <v>68284062.162162155</v>
      </c>
      <c r="O244">
        <v>115190351.35135135</v>
      </c>
      <c r="P244">
        <v>136026877.47747746</v>
      </c>
      <c r="Q244">
        <v>48011801.801801801</v>
      </c>
      <c r="R244">
        <v>58368828.828828834</v>
      </c>
      <c r="S244">
        <v>16022</v>
      </c>
      <c r="T244">
        <v>16182</v>
      </c>
    </row>
    <row r="245" spans="1:20" x14ac:dyDescent="0.35">
      <c r="A245" s="7" t="s">
        <v>341</v>
      </c>
      <c r="B245" s="12" t="s">
        <v>122</v>
      </c>
      <c r="C245">
        <v>90685408.167015687</v>
      </c>
      <c r="D245">
        <v>92058816.916968763</v>
      </c>
      <c r="G245">
        <v>24</v>
      </c>
      <c r="H245">
        <v>23</v>
      </c>
      <c r="K245">
        <v>29</v>
      </c>
      <c r="L245">
        <v>26</v>
      </c>
      <c r="O245">
        <v>6024090.0900900904</v>
      </c>
      <c r="P245">
        <v>6735891.8918918921</v>
      </c>
      <c r="S245">
        <v>2511</v>
      </c>
      <c r="T245">
        <v>2459</v>
      </c>
    </row>
    <row r="246" spans="1:20" x14ac:dyDescent="0.35">
      <c r="A246" s="7" t="s">
        <v>342</v>
      </c>
      <c r="B246" s="12" t="s">
        <v>141</v>
      </c>
      <c r="C246">
        <v>310993970.97918129</v>
      </c>
      <c r="D246">
        <v>334569568.42148286</v>
      </c>
      <c r="E246">
        <v>56259909.909909911</v>
      </c>
      <c r="F246">
        <v>104177657.65765767</v>
      </c>
      <c r="G246">
        <v>55</v>
      </c>
      <c r="H246">
        <v>21</v>
      </c>
      <c r="I246">
        <v>3</v>
      </c>
      <c r="K246">
        <v>67</v>
      </c>
      <c r="L246">
        <v>26</v>
      </c>
      <c r="M246">
        <v>55429234.234234229</v>
      </c>
      <c r="N246">
        <v>59980810.810810804</v>
      </c>
      <c r="O246">
        <v>93111847.297297299</v>
      </c>
      <c r="P246">
        <v>101018846.84684685</v>
      </c>
      <c r="Q246">
        <v>51755405.40540541</v>
      </c>
      <c r="R246">
        <v>52172567.567567565</v>
      </c>
      <c r="S246">
        <v>8880</v>
      </c>
      <c r="T246">
        <v>9092</v>
      </c>
    </row>
    <row r="247" spans="1:20" x14ac:dyDescent="0.35">
      <c r="A247" s="7" t="s">
        <v>343</v>
      </c>
      <c r="B247" s="12" t="s">
        <v>135</v>
      </c>
      <c r="C247">
        <v>32715610.703466568</v>
      </c>
      <c r="D247">
        <v>30363752.941458244</v>
      </c>
      <c r="E247">
        <v>54054.054054054002</v>
      </c>
      <c r="F247">
        <v>13513.513513514001</v>
      </c>
      <c r="G247">
        <v>8</v>
      </c>
      <c r="H247">
        <v>7</v>
      </c>
      <c r="I247">
        <v>1</v>
      </c>
      <c r="K247">
        <v>8</v>
      </c>
      <c r="L247">
        <v>8</v>
      </c>
      <c r="M247">
        <v>1495495.4954954961</v>
      </c>
      <c r="N247">
        <v>1545045.045045045</v>
      </c>
      <c r="O247">
        <v>3063054.0540540549</v>
      </c>
      <c r="P247">
        <v>3237945.945945946</v>
      </c>
      <c r="Q247">
        <v>814144.14414414403</v>
      </c>
      <c r="R247">
        <v>691531.53153153101</v>
      </c>
      <c r="S247">
        <v>1273</v>
      </c>
      <c r="T247">
        <v>1327</v>
      </c>
    </row>
    <row r="248" spans="1:20" x14ac:dyDescent="0.35">
      <c r="A248" s="7" t="s">
        <v>344</v>
      </c>
      <c r="B248" s="12" t="s">
        <v>122</v>
      </c>
      <c r="C248">
        <v>1079753.877941221</v>
      </c>
      <c r="D248">
        <v>2255595.7595447679</v>
      </c>
      <c r="G248">
        <v>2</v>
      </c>
      <c r="H248">
        <v>2</v>
      </c>
      <c r="K248">
        <v>7</v>
      </c>
      <c r="L248">
        <v>2</v>
      </c>
      <c r="O248">
        <v>481756.75675675698</v>
      </c>
      <c r="P248">
        <v>1320045.045045045</v>
      </c>
      <c r="S248">
        <v>361</v>
      </c>
      <c r="T248">
        <v>377</v>
      </c>
    </row>
    <row r="249" spans="1:20" x14ac:dyDescent="0.35">
      <c r="A249" s="7" t="s">
        <v>5</v>
      </c>
      <c r="B249" s="12" t="s">
        <v>159</v>
      </c>
      <c r="C249">
        <v>114427965.93911369</v>
      </c>
      <c r="D249">
        <v>123061893.63853787</v>
      </c>
      <c r="E249">
        <v>176576.576576577</v>
      </c>
      <c r="F249">
        <v>37837.837837838</v>
      </c>
      <c r="G249">
        <v>14</v>
      </c>
      <c r="H249">
        <v>11</v>
      </c>
      <c r="I249">
        <v>1</v>
      </c>
      <c r="K249">
        <v>14</v>
      </c>
      <c r="L249">
        <v>17</v>
      </c>
      <c r="M249">
        <v>8922522.5225225221</v>
      </c>
      <c r="N249">
        <v>13891891.891891891</v>
      </c>
      <c r="O249">
        <v>48293927.927927926</v>
      </c>
      <c r="P249">
        <v>51200927.927927926</v>
      </c>
      <c r="Q249">
        <v>8203333.3333333321</v>
      </c>
      <c r="R249">
        <v>12769279.27927928</v>
      </c>
      <c r="S249">
        <v>2763</v>
      </c>
      <c r="T249">
        <v>3353</v>
      </c>
    </row>
    <row r="250" spans="1:20" x14ac:dyDescent="0.35">
      <c r="A250" s="7" t="s">
        <v>345</v>
      </c>
      <c r="B250" s="12" t="s">
        <v>306</v>
      </c>
      <c r="C250">
        <v>13836705.026874103</v>
      </c>
      <c r="D250">
        <v>19850771.865133837</v>
      </c>
      <c r="E250">
        <v>900900.90090090095</v>
      </c>
      <c r="F250">
        <v>360360.36036036001</v>
      </c>
      <c r="G250">
        <v>7</v>
      </c>
      <c r="H250">
        <v>32</v>
      </c>
      <c r="K250">
        <v>9</v>
      </c>
      <c r="L250">
        <v>39</v>
      </c>
      <c r="M250">
        <v>900900.90090090095</v>
      </c>
      <c r="N250">
        <v>360360.36036036001</v>
      </c>
      <c r="O250">
        <v>2250639.6396396402</v>
      </c>
      <c r="P250">
        <v>3986981.981981982</v>
      </c>
      <c r="Q250">
        <v>218018.01801801799</v>
      </c>
      <c r="R250">
        <v>311711.71171171201</v>
      </c>
      <c r="S250">
        <v>439</v>
      </c>
      <c r="T250">
        <v>592</v>
      </c>
    </row>
    <row r="251" spans="1:20" x14ac:dyDescent="0.35">
      <c r="A251" s="7" t="s">
        <v>346</v>
      </c>
      <c r="B251" s="12" t="s">
        <v>106</v>
      </c>
      <c r="C251">
        <v>234724570.01720592</v>
      </c>
      <c r="D251">
        <v>251961631.74770945</v>
      </c>
      <c r="E251">
        <v>1366216.216216218</v>
      </c>
      <c r="F251">
        <v>930630.63063063298</v>
      </c>
      <c r="G251">
        <v>39</v>
      </c>
      <c r="H251">
        <v>69</v>
      </c>
      <c r="K251">
        <v>56</v>
      </c>
      <c r="L251">
        <v>76</v>
      </c>
      <c r="M251">
        <v>34545765.765765771</v>
      </c>
      <c r="N251">
        <v>30990990.990990989</v>
      </c>
      <c r="O251">
        <v>57826981.981981985</v>
      </c>
      <c r="P251">
        <v>67238900.9009009</v>
      </c>
      <c r="Q251">
        <v>30707747.747747749</v>
      </c>
      <c r="R251">
        <v>27915675.675675675</v>
      </c>
      <c r="S251">
        <v>5754</v>
      </c>
      <c r="T251">
        <v>6145</v>
      </c>
    </row>
    <row r="252" spans="1:20" x14ac:dyDescent="0.35">
      <c r="A252" s="7" t="s">
        <v>347</v>
      </c>
      <c r="B252" s="12" t="s">
        <v>88</v>
      </c>
      <c r="C252">
        <v>71751524.889864281</v>
      </c>
      <c r="D252">
        <v>74192150.790224031</v>
      </c>
      <c r="E252">
        <v>504504.50450450502</v>
      </c>
      <c r="F252">
        <v>637837.83783783996</v>
      </c>
      <c r="G252">
        <v>28</v>
      </c>
      <c r="H252">
        <v>36</v>
      </c>
      <c r="K252">
        <v>34</v>
      </c>
      <c r="L252">
        <v>42</v>
      </c>
      <c r="M252">
        <v>20490990.990990993</v>
      </c>
      <c r="N252">
        <v>18529729.729729727</v>
      </c>
      <c r="O252">
        <v>18402047.747747749</v>
      </c>
      <c r="P252">
        <v>22369781.981981985</v>
      </c>
      <c r="Q252">
        <v>13999863.063063065</v>
      </c>
      <c r="R252">
        <v>12263243.243243244</v>
      </c>
      <c r="S252">
        <v>2287</v>
      </c>
      <c r="T252">
        <v>2245</v>
      </c>
    </row>
    <row r="253" spans="1:20" x14ac:dyDescent="0.35">
      <c r="A253" s="7" t="s">
        <v>348</v>
      </c>
      <c r="B253" s="12" t="s">
        <v>88</v>
      </c>
      <c r="C253">
        <v>199489059.41553792</v>
      </c>
      <c r="D253">
        <v>198495848.6287899</v>
      </c>
      <c r="E253">
        <v>2584684.6846846868</v>
      </c>
      <c r="F253">
        <v>1000000.000000007</v>
      </c>
      <c r="G253">
        <v>128</v>
      </c>
      <c r="H253">
        <v>115</v>
      </c>
      <c r="I253">
        <v>2</v>
      </c>
      <c r="K253">
        <v>154</v>
      </c>
      <c r="L253">
        <v>147</v>
      </c>
      <c r="M253">
        <v>21813513.513513513</v>
      </c>
      <c r="N253">
        <v>16229729.729729729</v>
      </c>
      <c r="O253">
        <v>34666295.495495498</v>
      </c>
      <c r="P253">
        <v>37388180.180180177</v>
      </c>
      <c r="Q253">
        <v>16010990.990990993</v>
      </c>
      <c r="R253">
        <v>11758468.468468472</v>
      </c>
      <c r="S253">
        <v>6177</v>
      </c>
      <c r="T253">
        <v>6359</v>
      </c>
    </row>
    <row r="254" spans="1:20" x14ac:dyDescent="0.35">
      <c r="A254" s="7" t="s">
        <v>349</v>
      </c>
      <c r="B254" s="12" t="s">
        <v>88</v>
      </c>
      <c r="C254">
        <v>6239456.4977989942</v>
      </c>
      <c r="D254">
        <v>6392154.6691773226</v>
      </c>
      <c r="G254">
        <v>18</v>
      </c>
      <c r="H254">
        <v>4</v>
      </c>
      <c r="K254">
        <v>19</v>
      </c>
      <c r="L254">
        <v>4</v>
      </c>
      <c r="O254">
        <v>2375306.3063063058</v>
      </c>
      <c r="P254">
        <v>3281036.036036036</v>
      </c>
      <c r="S254">
        <v>838</v>
      </c>
      <c r="T254">
        <v>853</v>
      </c>
    </row>
    <row r="255" spans="1:20" x14ac:dyDescent="0.35">
      <c r="A255" s="7" t="s">
        <v>350</v>
      </c>
      <c r="B255" s="12" t="s">
        <v>88</v>
      </c>
      <c r="C255">
        <v>2850675.6994107021</v>
      </c>
      <c r="D255">
        <v>1972813.288669552</v>
      </c>
      <c r="G255">
        <v>1</v>
      </c>
      <c r="K255">
        <v>1</v>
      </c>
      <c r="O255">
        <v>1111396.3963963969</v>
      </c>
      <c r="P255">
        <v>706756.75675675599</v>
      </c>
      <c r="S255">
        <v>213</v>
      </c>
      <c r="T255">
        <v>194</v>
      </c>
    </row>
    <row r="256" spans="1:20" x14ac:dyDescent="0.35">
      <c r="A256" s="7" t="s">
        <v>351</v>
      </c>
      <c r="B256" s="12" t="s">
        <v>88</v>
      </c>
      <c r="C256">
        <v>2410069.9650857472</v>
      </c>
      <c r="D256">
        <v>1509043.5929013039</v>
      </c>
      <c r="G256">
        <v>5</v>
      </c>
      <c r="H256">
        <v>5</v>
      </c>
      <c r="K256">
        <v>9</v>
      </c>
      <c r="L256">
        <v>9</v>
      </c>
      <c r="O256">
        <v>1452891.8918918921</v>
      </c>
      <c r="P256">
        <v>1036981.981981982</v>
      </c>
      <c r="S256">
        <v>608</v>
      </c>
      <c r="T256">
        <v>503</v>
      </c>
    </row>
    <row r="257" spans="1:20" x14ac:dyDescent="0.35">
      <c r="A257" s="7" t="s">
        <v>352</v>
      </c>
      <c r="B257" s="12" t="s">
        <v>88</v>
      </c>
      <c r="C257">
        <v>64241453.424956873</v>
      </c>
      <c r="D257">
        <v>69521299.150617689</v>
      </c>
      <c r="E257">
        <v>101801.801801803</v>
      </c>
      <c r="F257">
        <v>384684.68468468601</v>
      </c>
      <c r="G257">
        <v>20</v>
      </c>
      <c r="H257">
        <v>33</v>
      </c>
      <c r="I257">
        <v>1</v>
      </c>
      <c r="K257">
        <v>26</v>
      </c>
      <c r="L257">
        <v>38</v>
      </c>
      <c r="M257">
        <v>4556756.7567567592</v>
      </c>
      <c r="N257">
        <v>5267567.5675675673</v>
      </c>
      <c r="O257">
        <v>12917612.612612613</v>
      </c>
      <c r="P257">
        <v>16075135.135135137</v>
      </c>
      <c r="Q257">
        <v>4537117.1171171162</v>
      </c>
      <c r="R257">
        <v>4245675.6756756762</v>
      </c>
      <c r="S257">
        <v>2018</v>
      </c>
      <c r="T257">
        <v>2145</v>
      </c>
    </row>
    <row r="258" spans="1:20" x14ac:dyDescent="0.35">
      <c r="A258" s="7" t="s">
        <v>353</v>
      </c>
      <c r="B258" s="12" t="s">
        <v>51</v>
      </c>
      <c r="C258">
        <v>175146969.28116909</v>
      </c>
      <c r="D258">
        <v>169279988.69487706</v>
      </c>
      <c r="E258">
        <v>2340540.5405405448</v>
      </c>
      <c r="F258">
        <v>1330630.6306306319</v>
      </c>
      <c r="G258">
        <v>53</v>
      </c>
      <c r="H258">
        <v>57</v>
      </c>
      <c r="K258">
        <v>58</v>
      </c>
      <c r="L258">
        <v>115</v>
      </c>
      <c r="M258">
        <v>23858198.198198199</v>
      </c>
      <c r="N258">
        <v>18901306.306306306</v>
      </c>
      <c r="O258">
        <v>68119148.648648649</v>
      </c>
      <c r="P258">
        <v>70209513.513513505</v>
      </c>
      <c r="Q258">
        <v>21720270.270270273</v>
      </c>
      <c r="R258">
        <v>19906171.171171173</v>
      </c>
      <c r="S258">
        <v>5642</v>
      </c>
      <c r="T258">
        <v>5263</v>
      </c>
    </row>
    <row r="259" spans="1:20" x14ac:dyDescent="0.35">
      <c r="A259" s="7" t="s">
        <v>354</v>
      </c>
      <c r="B259" s="12" t="s">
        <v>124</v>
      </c>
      <c r="C259">
        <v>1073238.5796642229</v>
      </c>
      <c r="D259">
        <v>2012126.3428420471</v>
      </c>
      <c r="E259">
        <v>137229729.72972974</v>
      </c>
      <c r="F259">
        <v>210157657.65765765</v>
      </c>
      <c r="G259">
        <v>1</v>
      </c>
      <c r="K259">
        <v>1</v>
      </c>
      <c r="L259">
        <v>1</v>
      </c>
      <c r="M259">
        <v>1396846.8468468471</v>
      </c>
      <c r="N259">
        <v>94594.594594594993</v>
      </c>
      <c r="O259">
        <v>443918.91891891899</v>
      </c>
      <c r="P259">
        <v>668648.64864864899</v>
      </c>
      <c r="S259">
        <v>109</v>
      </c>
      <c r="T259">
        <v>184</v>
      </c>
    </row>
    <row r="260" spans="1:20" x14ac:dyDescent="0.35">
      <c r="A260" s="7" t="s">
        <v>355</v>
      </c>
      <c r="B260" s="12" t="s">
        <v>356</v>
      </c>
      <c r="C260">
        <v>300929089.55040491</v>
      </c>
      <c r="D260">
        <v>328532805.9913516</v>
      </c>
      <c r="E260">
        <v>246954104.5045045</v>
      </c>
      <c r="F260">
        <v>217671143.24324322</v>
      </c>
      <c r="G260">
        <v>239</v>
      </c>
      <c r="H260">
        <v>112</v>
      </c>
      <c r="K260">
        <v>467</v>
      </c>
      <c r="L260">
        <v>153</v>
      </c>
      <c r="M260">
        <v>240641801.8018018</v>
      </c>
      <c r="N260">
        <v>165218757.65765765</v>
      </c>
      <c r="O260">
        <v>177954810.8108108</v>
      </c>
      <c r="P260">
        <v>191494234.23423424</v>
      </c>
      <c r="Q260">
        <v>231930810.8108108</v>
      </c>
      <c r="R260">
        <v>127456486.48648648</v>
      </c>
      <c r="S260">
        <v>9850</v>
      </c>
      <c r="T260">
        <v>10042</v>
      </c>
    </row>
    <row r="261" spans="1:20" x14ac:dyDescent="0.35">
      <c r="A261" s="7" t="s">
        <v>357</v>
      </c>
      <c r="B261" s="12" t="s">
        <v>49</v>
      </c>
      <c r="C261">
        <v>203733404.2265799</v>
      </c>
      <c r="D261">
        <v>249998153.21084005</v>
      </c>
      <c r="E261">
        <v>495495.49549549603</v>
      </c>
      <c r="F261">
        <v>40540.540540540998</v>
      </c>
      <c r="G261">
        <v>16</v>
      </c>
      <c r="H261">
        <v>5</v>
      </c>
      <c r="K261">
        <v>18</v>
      </c>
      <c r="L261">
        <v>6</v>
      </c>
      <c r="M261">
        <v>513513.51351351402</v>
      </c>
      <c r="N261">
        <v>40540.540540540998</v>
      </c>
      <c r="O261">
        <v>15390576.576576576</v>
      </c>
      <c r="P261">
        <v>20635252.252252251</v>
      </c>
      <c r="Q261">
        <v>377027.02702702698</v>
      </c>
      <c r="R261">
        <v>300990.99099099002</v>
      </c>
      <c r="S261">
        <v>6708</v>
      </c>
      <c r="T261">
        <v>5805</v>
      </c>
    </row>
    <row r="262" spans="1:20" x14ac:dyDescent="0.35">
      <c r="A262" s="7" t="s">
        <v>358</v>
      </c>
      <c r="B262" s="12" t="s">
        <v>124</v>
      </c>
      <c r="C262">
        <v>216954828.22954586</v>
      </c>
      <c r="D262">
        <v>240850381.25900435</v>
      </c>
      <c r="E262">
        <v>85585.585585585999</v>
      </c>
      <c r="F262">
        <v>400900.900900901</v>
      </c>
      <c r="G262">
        <v>43</v>
      </c>
      <c r="H262">
        <v>40</v>
      </c>
      <c r="K262">
        <v>44</v>
      </c>
      <c r="L262">
        <v>45</v>
      </c>
      <c r="M262">
        <v>7875405.4054054059</v>
      </c>
      <c r="N262">
        <v>9409189.1891891882</v>
      </c>
      <c r="O262">
        <v>48482878.378378376</v>
      </c>
      <c r="P262">
        <v>59828558.558558561</v>
      </c>
      <c r="Q262">
        <v>6010810.8108108109</v>
      </c>
      <c r="R262">
        <v>9576846.8468468469</v>
      </c>
      <c r="S262">
        <v>5605</v>
      </c>
      <c r="T262">
        <v>5623</v>
      </c>
    </row>
    <row r="263" spans="1:20" x14ac:dyDescent="0.35">
      <c r="A263" s="7" t="s">
        <v>359</v>
      </c>
      <c r="B263" s="12" t="s">
        <v>63</v>
      </c>
      <c r="C263">
        <v>125813197.33965948</v>
      </c>
      <c r="D263">
        <v>133251766.43178667</v>
      </c>
      <c r="E263">
        <v>1629729.7297297311</v>
      </c>
      <c r="F263">
        <v>691891.89189189195</v>
      </c>
      <c r="G263">
        <v>11</v>
      </c>
      <c r="H263">
        <v>5</v>
      </c>
      <c r="K263">
        <v>14</v>
      </c>
      <c r="L263">
        <v>7</v>
      </c>
      <c r="M263">
        <v>23130450.450450446</v>
      </c>
      <c r="N263">
        <v>22170090.090090092</v>
      </c>
      <c r="O263">
        <v>34579846.846846849</v>
      </c>
      <c r="P263">
        <v>41635351.351351351</v>
      </c>
      <c r="Q263">
        <v>23240180.180180177</v>
      </c>
      <c r="R263">
        <v>13272252.252252253</v>
      </c>
      <c r="S263">
        <v>3728</v>
      </c>
      <c r="T263">
        <v>3929</v>
      </c>
    </row>
    <row r="264" spans="1:20" x14ac:dyDescent="0.35">
      <c r="A264" s="7" t="s">
        <v>360</v>
      </c>
      <c r="B264" s="12" t="s">
        <v>317</v>
      </c>
      <c r="C264">
        <v>4178556.7788254861</v>
      </c>
      <c r="D264">
        <v>7742874.8120440813</v>
      </c>
      <c r="E264">
        <v>79762391.891891882</v>
      </c>
      <c r="F264">
        <v>116931874.77477477</v>
      </c>
      <c r="G264">
        <v>6</v>
      </c>
      <c r="H264">
        <v>11</v>
      </c>
      <c r="K264">
        <v>6</v>
      </c>
      <c r="L264">
        <v>11</v>
      </c>
      <c r="M264">
        <v>546396.39639639598</v>
      </c>
      <c r="N264">
        <v>7207207.2072072066</v>
      </c>
      <c r="O264">
        <v>1706531.5315315321</v>
      </c>
      <c r="P264">
        <v>4241216.2162162168</v>
      </c>
      <c r="S264">
        <v>550</v>
      </c>
      <c r="T264">
        <v>619</v>
      </c>
    </row>
    <row r="265" spans="1:20" x14ac:dyDescent="0.35">
      <c r="A265" s="7" t="s">
        <v>361</v>
      </c>
      <c r="B265" s="12" t="s">
        <v>317</v>
      </c>
      <c r="C265">
        <v>120956711.69217354</v>
      </c>
      <c r="D265">
        <v>101345809.23671402</v>
      </c>
      <c r="E265">
        <v>368468.46846846998</v>
      </c>
      <c r="F265">
        <v>190990.99099099499</v>
      </c>
      <c r="G265">
        <v>31</v>
      </c>
      <c r="H265">
        <v>11</v>
      </c>
      <c r="K265">
        <v>37</v>
      </c>
      <c r="L265">
        <v>14</v>
      </c>
      <c r="M265">
        <v>16756576.576576577</v>
      </c>
      <c r="N265">
        <v>27455765.765765768</v>
      </c>
      <c r="O265">
        <v>44925981.981981985</v>
      </c>
      <c r="P265">
        <v>42585819.819819823</v>
      </c>
      <c r="Q265">
        <v>18461621.62162162</v>
      </c>
      <c r="R265">
        <v>27994324.324324325</v>
      </c>
      <c r="S265">
        <v>3027</v>
      </c>
      <c r="T265">
        <v>2850</v>
      </c>
    </row>
    <row r="266" spans="1:20" x14ac:dyDescent="0.35">
      <c r="A266" s="7" t="s">
        <v>362</v>
      </c>
      <c r="B266" s="12" t="s">
        <v>93</v>
      </c>
      <c r="C266">
        <v>229456441.15845513</v>
      </c>
      <c r="D266">
        <v>240224331.26613465</v>
      </c>
      <c r="E266">
        <v>5426126.1261261255</v>
      </c>
      <c r="F266">
        <v>4264414.4144144151</v>
      </c>
      <c r="G266">
        <v>143</v>
      </c>
      <c r="H266">
        <v>42</v>
      </c>
      <c r="I266">
        <v>2</v>
      </c>
      <c r="K266">
        <v>190</v>
      </c>
      <c r="L266">
        <v>75</v>
      </c>
      <c r="M266">
        <v>50279279.279279277</v>
      </c>
      <c r="N266">
        <v>58713513.51351352</v>
      </c>
      <c r="O266">
        <v>70537610.810810804</v>
      </c>
      <c r="P266">
        <v>71828045.045045048</v>
      </c>
      <c r="Q266">
        <v>46530944.144144148</v>
      </c>
      <c r="R266">
        <v>56245585.585585587</v>
      </c>
      <c r="S266">
        <v>6511</v>
      </c>
      <c r="T266">
        <v>6809</v>
      </c>
    </row>
    <row r="267" spans="1:20" x14ac:dyDescent="0.35">
      <c r="A267" s="7" t="s">
        <v>363</v>
      </c>
      <c r="B267" s="12" t="s">
        <v>59</v>
      </c>
      <c r="C267">
        <v>450566506.11080492</v>
      </c>
      <c r="D267">
        <v>492259322.56388474</v>
      </c>
      <c r="E267">
        <v>1352252.2522522551</v>
      </c>
      <c r="F267">
        <v>865765.76576576999</v>
      </c>
      <c r="G267">
        <v>86</v>
      </c>
      <c r="H267">
        <v>149</v>
      </c>
      <c r="K267">
        <v>93</v>
      </c>
      <c r="L267">
        <v>162</v>
      </c>
      <c r="M267">
        <v>20763063.063063063</v>
      </c>
      <c r="N267">
        <v>19163063.063063063</v>
      </c>
      <c r="O267">
        <v>69958247.747747749</v>
      </c>
      <c r="P267">
        <v>87823000</v>
      </c>
      <c r="Q267">
        <v>19364144.144144144</v>
      </c>
      <c r="R267">
        <v>21707297.297297295</v>
      </c>
      <c r="S267">
        <v>14546</v>
      </c>
      <c r="T267">
        <v>13293</v>
      </c>
    </row>
    <row r="268" spans="1:20" x14ac:dyDescent="0.35">
      <c r="A268" s="7" t="s">
        <v>364</v>
      </c>
      <c r="B268" s="12" t="s">
        <v>144</v>
      </c>
      <c r="E268">
        <v>72767125.225225225</v>
      </c>
      <c r="F268">
        <v>106458361.26126127</v>
      </c>
      <c r="M268">
        <v>7207207.2072072066</v>
      </c>
      <c r="N268">
        <v>18018018.018018015</v>
      </c>
    </row>
    <row r="269" spans="1:20" x14ac:dyDescent="0.35">
      <c r="A269" s="7" t="s">
        <v>365</v>
      </c>
      <c r="B269" s="12" t="s">
        <v>49</v>
      </c>
      <c r="C269">
        <v>160794013.59799826</v>
      </c>
      <c r="D269">
        <v>184753899.15253323</v>
      </c>
      <c r="E269">
        <v>161261.26126126101</v>
      </c>
      <c r="F269">
        <v>590990.99099099205</v>
      </c>
      <c r="G269">
        <v>6</v>
      </c>
      <c r="H269">
        <v>4</v>
      </c>
      <c r="K269">
        <v>6</v>
      </c>
      <c r="L269">
        <v>4</v>
      </c>
      <c r="M269">
        <v>27601081.081081081</v>
      </c>
      <c r="N269">
        <v>10088738.73873874</v>
      </c>
      <c r="O269">
        <v>26464873.873873871</v>
      </c>
      <c r="P269">
        <v>32669027.02702703</v>
      </c>
      <c r="Q269">
        <v>26056756.756756756</v>
      </c>
      <c r="R269">
        <v>11018918.918918921</v>
      </c>
      <c r="S269">
        <v>3774</v>
      </c>
      <c r="T269">
        <v>3956</v>
      </c>
    </row>
    <row r="270" spans="1:20" x14ac:dyDescent="0.35">
      <c r="A270" s="7" t="s">
        <v>366</v>
      </c>
      <c r="B270" s="12" t="s">
        <v>262</v>
      </c>
      <c r="E270">
        <v>311371527.02702701</v>
      </c>
      <c r="F270">
        <v>312689177.47747749</v>
      </c>
      <c r="M270">
        <v>45513963.963963971</v>
      </c>
      <c r="N270">
        <v>33176576.576576576</v>
      </c>
    </row>
    <row r="271" spans="1:20" x14ac:dyDescent="0.35">
      <c r="A271" s="7" t="s">
        <v>367</v>
      </c>
      <c r="B271" s="12" t="s">
        <v>53</v>
      </c>
      <c r="C271">
        <v>67663210.67723687</v>
      </c>
      <c r="D271">
        <v>68417322.243864998</v>
      </c>
      <c r="E271">
        <v>136936.93693693701</v>
      </c>
      <c r="F271">
        <v>935135.13513513701</v>
      </c>
      <c r="G271">
        <v>18</v>
      </c>
      <c r="H271">
        <v>4</v>
      </c>
      <c r="K271">
        <v>22</v>
      </c>
      <c r="L271">
        <v>4</v>
      </c>
      <c r="M271">
        <v>992792.79279279301</v>
      </c>
      <c r="N271">
        <v>3133333.3333333349</v>
      </c>
      <c r="O271">
        <v>32562477.47747748</v>
      </c>
      <c r="P271">
        <v>32956009.009009007</v>
      </c>
      <c r="Q271">
        <v>1281801.801801801</v>
      </c>
      <c r="R271">
        <v>2837387.3873873879</v>
      </c>
      <c r="S271">
        <v>2337</v>
      </c>
      <c r="T271">
        <v>2225</v>
      </c>
    </row>
    <row r="272" spans="1:20" x14ac:dyDescent="0.35">
      <c r="A272" s="7" t="s">
        <v>368</v>
      </c>
      <c r="B272" s="12" t="s">
        <v>53</v>
      </c>
      <c r="C272">
        <v>51969678.292373873</v>
      </c>
      <c r="D272">
        <v>52411864.829350963</v>
      </c>
      <c r="E272">
        <v>2155855.8558558589</v>
      </c>
      <c r="F272">
        <v>1140090.0900900911</v>
      </c>
      <c r="G272">
        <v>47</v>
      </c>
      <c r="H272">
        <v>18</v>
      </c>
      <c r="K272">
        <v>151</v>
      </c>
      <c r="L272">
        <v>35</v>
      </c>
      <c r="M272">
        <v>5173873.8738738745</v>
      </c>
      <c r="N272">
        <v>9536486.4864864852</v>
      </c>
      <c r="O272">
        <v>29368819.819819819</v>
      </c>
      <c r="P272">
        <v>28521009.009009007</v>
      </c>
      <c r="Q272">
        <v>10238288.28828829</v>
      </c>
      <c r="R272">
        <v>8714864.8648648653</v>
      </c>
      <c r="S272">
        <v>2280</v>
      </c>
      <c r="T272">
        <v>2331</v>
      </c>
    </row>
    <row r="273" spans="1:20" x14ac:dyDescent="0.35">
      <c r="A273" s="7" t="s">
        <v>369</v>
      </c>
      <c r="B273" s="12" t="s">
        <v>53</v>
      </c>
      <c r="C273">
        <v>597613480.97968066</v>
      </c>
      <c r="D273">
        <v>600643817.64983439</v>
      </c>
      <c r="E273">
        <v>323582997.2972973</v>
      </c>
      <c r="F273">
        <v>218861361.26126128</v>
      </c>
      <c r="G273">
        <v>218</v>
      </c>
      <c r="H273">
        <v>157</v>
      </c>
      <c r="I273">
        <v>2</v>
      </c>
      <c r="K273">
        <v>386</v>
      </c>
      <c r="L273">
        <v>252</v>
      </c>
      <c r="M273">
        <v>32912612.612612616</v>
      </c>
      <c r="N273">
        <v>504443468.46846849</v>
      </c>
      <c r="O273">
        <v>218095872.97297296</v>
      </c>
      <c r="P273">
        <v>220696504.5045045</v>
      </c>
      <c r="Q273">
        <v>54266846.846846849</v>
      </c>
      <c r="R273">
        <v>46214234.234234229</v>
      </c>
      <c r="S273">
        <v>21271</v>
      </c>
      <c r="T273">
        <v>21078</v>
      </c>
    </row>
    <row r="274" spans="1:20" x14ac:dyDescent="0.35">
      <c r="A274" s="7" t="s">
        <v>370</v>
      </c>
      <c r="B274" s="12" t="s">
        <v>295</v>
      </c>
      <c r="C274">
        <v>335625907.77845049</v>
      </c>
      <c r="D274">
        <v>351364778.45357722</v>
      </c>
      <c r="E274">
        <v>3228828.8288288261</v>
      </c>
      <c r="F274">
        <v>4515315.3153153202</v>
      </c>
      <c r="G274">
        <v>101</v>
      </c>
      <c r="H274">
        <v>32</v>
      </c>
      <c r="K274">
        <v>141</v>
      </c>
      <c r="L274">
        <v>85</v>
      </c>
      <c r="M274">
        <v>34397387.387387387</v>
      </c>
      <c r="N274">
        <v>54441621.621621624</v>
      </c>
      <c r="O274">
        <v>110060905.4054054</v>
      </c>
      <c r="P274">
        <v>116394708.10810812</v>
      </c>
      <c r="Q274">
        <v>40118648.648648642</v>
      </c>
      <c r="R274">
        <v>49855315.315315321</v>
      </c>
      <c r="S274">
        <v>11268</v>
      </c>
      <c r="T274">
        <v>11137</v>
      </c>
    </row>
    <row r="275" spans="1:20" x14ac:dyDescent="0.35">
      <c r="A275" s="7" t="s">
        <v>371</v>
      </c>
      <c r="B275" s="12" t="s">
        <v>372</v>
      </c>
      <c r="C275">
        <v>142077246.89205816</v>
      </c>
      <c r="D275">
        <v>148265941.45593315</v>
      </c>
      <c r="E275">
        <v>61598600</v>
      </c>
      <c r="F275">
        <v>78176416.216216221</v>
      </c>
      <c r="G275">
        <v>28</v>
      </c>
      <c r="H275">
        <v>21</v>
      </c>
      <c r="K275">
        <v>32</v>
      </c>
      <c r="L275">
        <v>23</v>
      </c>
      <c r="M275">
        <v>32265225.225225225</v>
      </c>
      <c r="N275">
        <v>29735675.675675672</v>
      </c>
      <c r="O275">
        <v>59705990.990990989</v>
      </c>
      <c r="P275">
        <v>63593126.126126125</v>
      </c>
      <c r="Q275">
        <v>35724954.954954952</v>
      </c>
      <c r="R275">
        <v>31276396.396396391</v>
      </c>
      <c r="S275">
        <v>3779</v>
      </c>
      <c r="T275">
        <v>3805</v>
      </c>
    </row>
    <row r="276" spans="1:20" x14ac:dyDescent="0.35">
      <c r="A276" s="7" t="s">
        <v>373</v>
      </c>
      <c r="B276" s="12" t="s">
        <v>71</v>
      </c>
      <c r="C276">
        <v>41392741.714283347</v>
      </c>
      <c r="D276">
        <v>44004283.655468397</v>
      </c>
      <c r="E276">
        <v>1975675.6756756769</v>
      </c>
      <c r="F276">
        <v>213063.06306306401</v>
      </c>
      <c r="G276">
        <v>28</v>
      </c>
      <c r="H276">
        <v>19</v>
      </c>
      <c r="K276">
        <v>37</v>
      </c>
      <c r="L276">
        <v>40</v>
      </c>
      <c r="M276">
        <v>9530630.6306306329</v>
      </c>
      <c r="N276">
        <v>4977927.927927928</v>
      </c>
      <c r="O276">
        <v>14063216.216216216</v>
      </c>
      <c r="P276">
        <v>14618009.009009007</v>
      </c>
      <c r="Q276">
        <v>8027297.297297297</v>
      </c>
      <c r="R276">
        <v>5159459.4594594603</v>
      </c>
      <c r="S276">
        <v>1245</v>
      </c>
      <c r="T276">
        <v>1157</v>
      </c>
    </row>
    <row r="277" spans="1:20" x14ac:dyDescent="0.35">
      <c r="A277" s="7" t="s">
        <v>374</v>
      </c>
      <c r="B277" s="12" t="s">
        <v>51</v>
      </c>
      <c r="C277">
        <v>87840689.354697183</v>
      </c>
      <c r="D277">
        <v>78055698.429285958</v>
      </c>
      <c r="E277">
        <v>994594.59459459595</v>
      </c>
      <c r="F277">
        <v>1037837.837837838</v>
      </c>
      <c r="G277">
        <v>21</v>
      </c>
      <c r="H277">
        <v>15</v>
      </c>
      <c r="K277">
        <v>24</v>
      </c>
      <c r="L277">
        <v>16</v>
      </c>
      <c r="M277">
        <v>7140630.6306306301</v>
      </c>
      <c r="N277">
        <v>7433333.333333334</v>
      </c>
      <c r="O277">
        <v>38825333.333333336</v>
      </c>
      <c r="P277">
        <v>34070144.144144148</v>
      </c>
      <c r="Q277">
        <v>6038918.9189189179</v>
      </c>
      <c r="R277">
        <v>7201081.0810810812</v>
      </c>
      <c r="S277">
        <v>4098</v>
      </c>
      <c r="T277">
        <v>2404</v>
      </c>
    </row>
    <row r="278" spans="1:20" x14ac:dyDescent="0.35">
      <c r="A278" s="7" t="s">
        <v>375</v>
      </c>
      <c r="B278" s="12" t="s">
        <v>122</v>
      </c>
      <c r="C278">
        <v>88612127.024795532</v>
      </c>
      <c r="D278">
        <v>82391179.321515888</v>
      </c>
      <c r="E278">
        <v>683783.78378378495</v>
      </c>
      <c r="F278">
        <v>454954.95495495602</v>
      </c>
      <c r="G278">
        <v>39</v>
      </c>
      <c r="H278">
        <v>40</v>
      </c>
      <c r="K278">
        <v>46</v>
      </c>
      <c r="L278">
        <v>48</v>
      </c>
      <c r="M278">
        <v>5238738.738738738</v>
      </c>
      <c r="N278">
        <v>2256756.756756756</v>
      </c>
      <c r="O278">
        <v>9395180.1801801808</v>
      </c>
      <c r="P278">
        <v>9122135.1351351365</v>
      </c>
      <c r="Q278">
        <v>3158738.7387387389</v>
      </c>
      <c r="R278">
        <v>2317477.4774774779</v>
      </c>
      <c r="S278">
        <v>2672</v>
      </c>
      <c r="T278">
        <v>2752</v>
      </c>
    </row>
    <row r="279" spans="1:20" x14ac:dyDescent="0.35">
      <c r="A279" s="7" t="s">
        <v>376</v>
      </c>
      <c r="B279" s="12" t="s">
        <v>377</v>
      </c>
      <c r="C279">
        <v>196524724.79320246</v>
      </c>
      <c r="D279">
        <v>198633194.24727717</v>
      </c>
      <c r="E279">
        <v>30747816.216216218</v>
      </c>
      <c r="F279">
        <v>57593831.531531535</v>
      </c>
      <c r="G279">
        <v>30</v>
      </c>
      <c r="H279">
        <v>15</v>
      </c>
      <c r="K279">
        <v>35</v>
      </c>
      <c r="L279">
        <v>20</v>
      </c>
      <c r="M279">
        <v>37441441.441441439</v>
      </c>
      <c r="N279">
        <v>65602207.207207203</v>
      </c>
      <c r="O279">
        <v>73166378.378378391</v>
      </c>
      <c r="P279">
        <v>81069112.612612605</v>
      </c>
      <c r="Q279">
        <v>27733693.693693697</v>
      </c>
      <c r="R279">
        <v>43453378.378378376</v>
      </c>
      <c r="S279">
        <v>9834</v>
      </c>
      <c r="T279">
        <v>10082</v>
      </c>
    </row>
    <row r="280" spans="1:20" x14ac:dyDescent="0.35">
      <c r="A280" s="7" t="s">
        <v>378</v>
      </c>
      <c r="B280" s="12" t="s">
        <v>67</v>
      </c>
      <c r="C280">
        <v>144899766.32909054</v>
      </c>
      <c r="D280">
        <v>158683756.81250626</v>
      </c>
      <c r="E280">
        <v>6325225.2252252288</v>
      </c>
      <c r="F280">
        <v>3985135.1351351398</v>
      </c>
      <c r="G280">
        <v>44</v>
      </c>
      <c r="H280">
        <v>25</v>
      </c>
      <c r="K280">
        <v>54</v>
      </c>
      <c r="L280">
        <v>32</v>
      </c>
      <c r="M280">
        <v>165183333.33333334</v>
      </c>
      <c r="N280">
        <v>194393018.01801801</v>
      </c>
      <c r="O280">
        <v>52489315.315315314</v>
      </c>
      <c r="P280">
        <v>59873225.225225225</v>
      </c>
      <c r="Q280">
        <v>86656396.396396399</v>
      </c>
      <c r="R280">
        <v>53261036.036036029</v>
      </c>
      <c r="S280">
        <v>7222</v>
      </c>
      <c r="T280">
        <v>7616</v>
      </c>
    </row>
    <row r="281" spans="1:20" x14ac:dyDescent="0.35">
      <c r="A281" s="7" t="s">
        <v>379</v>
      </c>
      <c r="B281" s="12" t="s">
        <v>356</v>
      </c>
      <c r="C281">
        <v>219311065.60458249</v>
      </c>
      <c r="D281">
        <v>225585911.99658585</v>
      </c>
      <c r="E281">
        <v>2433333.333333334</v>
      </c>
      <c r="F281">
        <v>2319819.8198198229</v>
      </c>
      <c r="G281">
        <v>298</v>
      </c>
      <c r="H281">
        <v>133</v>
      </c>
      <c r="K281">
        <v>303</v>
      </c>
      <c r="L281">
        <v>144</v>
      </c>
      <c r="M281">
        <v>42136846.846846849</v>
      </c>
      <c r="N281">
        <v>45414864.864864863</v>
      </c>
      <c r="O281">
        <v>132582909.9099099</v>
      </c>
      <c r="P281">
        <v>131823837.83783785</v>
      </c>
      <c r="Q281">
        <v>45356936.936936945</v>
      </c>
      <c r="R281">
        <v>41296216.216216214</v>
      </c>
      <c r="S281">
        <v>7064</v>
      </c>
      <c r="T281">
        <v>6756</v>
      </c>
    </row>
    <row r="282" spans="1:20" x14ac:dyDescent="0.35">
      <c r="A282" s="7" t="s">
        <v>380</v>
      </c>
      <c r="B282" s="12" t="s">
        <v>67</v>
      </c>
      <c r="C282">
        <v>83754875.630988628</v>
      </c>
      <c r="D282">
        <v>89553977.932907611</v>
      </c>
      <c r="E282">
        <v>716216.21621621796</v>
      </c>
      <c r="F282">
        <v>302702.702702704</v>
      </c>
      <c r="G282">
        <v>33</v>
      </c>
      <c r="H282">
        <v>8</v>
      </c>
      <c r="K282">
        <v>40</v>
      </c>
      <c r="L282">
        <v>13</v>
      </c>
      <c r="M282">
        <v>5847747.7477477491</v>
      </c>
      <c r="N282">
        <v>6653603.6036036033</v>
      </c>
      <c r="O282">
        <v>39513734.234234229</v>
      </c>
      <c r="P282">
        <v>39186261.261261262</v>
      </c>
      <c r="Q282">
        <v>7789549.5495495498</v>
      </c>
      <c r="R282">
        <v>7655765.7657657657</v>
      </c>
      <c r="S282">
        <v>5389</v>
      </c>
      <c r="T282">
        <v>5455</v>
      </c>
    </row>
    <row r="283" spans="1:20" x14ac:dyDescent="0.35">
      <c r="A283" s="7" t="s">
        <v>381</v>
      </c>
      <c r="B283" s="12" t="s">
        <v>262</v>
      </c>
      <c r="C283">
        <v>72068565.978654042</v>
      </c>
      <c r="D283">
        <v>71386778.34148559</v>
      </c>
      <c r="E283">
        <v>13513.513513514001</v>
      </c>
      <c r="F283">
        <v>292792.79279279301</v>
      </c>
      <c r="G283">
        <v>5</v>
      </c>
      <c r="H283">
        <v>10</v>
      </c>
      <c r="K283">
        <v>5</v>
      </c>
      <c r="L283">
        <v>25</v>
      </c>
      <c r="M283">
        <v>3752252.2522522518</v>
      </c>
      <c r="N283">
        <v>4391891.8918918921</v>
      </c>
      <c r="O283">
        <v>11759216.216216216</v>
      </c>
      <c r="P283">
        <v>16239049.54954955</v>
      </c>
      <c r="Q283">
        <v>586936.93693693704</v>
      </c>
      <c r="R283">
        <v>4807117.1171171172</v>
      </c>
      <c r="S283">
        <v>1680</v>
      </c>
      <c r="T283">
        <v>1641</v>
      </c>
    </row>
    <row r="284" spans="1:20" x14ac:dyDescent="0.35">
      <c r="A284" s="7" t="s">
        <v>382</v>
      </c>
      <c r="B284" s="12" t="s">
        <v>356</v>
      </c>
      <c r="C284">
        <v>182314194.26162258</v>
      </c>
      <c r="D284">
        <v>179135026.0817889</v>
      </c>
      <c r="E284">
        <v>2328828.8288288298</v>
      </c>
      <c r="F284">
        <v>1721621.6216216229</v>
      </c>
      <c r="G284">
        <v>40</v>
      </c>
      <c r="H284">
        <v>38</v>
      </c>
      <c r="K284">
        <v>42</v>
      </c>
      <c r="L284">
        <v>41</v>
      </c>
      <c r="M284">
        <v>35332342.342342347</v>
      </c>
      <c r="N284">
        <v>36588738.738738738</v>
      </c>
      <c r="O284">
        <v>100950466.66666667</v>
      </c>
      <c r="P284">
        <v>99337495.495495483</v>
      </c>
      <c r="Q284">
        <v>34509909.909909911</v>
      </c>
      <c r="R284">
        <v>32257117.117117111</v>
      </c>
      <c r="S284">
        <v>5100</v>
      </c>
      <c r="T284">
        <v>4784</v>
      </c>
    </row>
    <row r="285" spans="1:20" x14ac:dyDescent="0.35">
      <c r="A285" s="7" t="s">
        <v>383</v>
      </c>
      <c r="B285" s="12" t="s">
        <v>88</v>
      </c>
      <c r="C285">
        <v>5231415.1917627323</v>
      </c>
      <c r="D285">
        <v>4517777.916840408</v>
      </c>
      <c r="G285">
        <v>1</v>
      </c>
      <c r="H285">
        <v>1</v>
      </c>
      <c r="K285">
        <v>2</v>
      </c>
      <c r="L285">
        <v>1</v>
      </c>
      <c r="O285">
        <v>296981.98198198201</v>
      </c>
      <c r="P285">
        <v>1108918.9189189179</v>
      </c>
      <c r="S285">
        <v>224</v>
      </c>
      <c r="T285">
        <v>168</v>
      </c>
    </row>
    <row r="286" spans="1:20" x14ac:dyDescent="0.35">
      <c r="A286" s="7" t="s">
        <v>384</v>
      </c>
      <c r="B286" s="12" t="s">
        <v>88</v>
      </c>
      <c r="C286">
        <v>7052659.4283788679</v>
      </c>
      <c r="D286">
        <v>6527730.649927807</v>
      </c>
      <c r="G286">
        <v>13</v>
      </c>
      <c r="H286">
        <v>20</v>
      </c>
      <c r="K286">
        <v>17</v>
      </c>
      <c r="L286">
        <v>24</v>
      </c>
      <c r="O286">
        <v>829693.69369369396</v>
      </c>
      <c r="P286">
        <v>1296126.1261261259</v>
      </c>
      <c r="S286">
        <v>354</v>
      </c>
      <c r="T286">
        <v>339</v>
      </c>
    </row>
    <row r="287" spans="1:20" x14ac:dyDescent="0.35">
      <c r="A287" s="7" t="s">
        <v>385</v>
      </c>
      <c r="B287" s="12" t="s">
        <v>81</v>
      </c>
      <c r="C287">
        <v>1249901510.423048</v>
      </c>
      <c r="D287">
        <v>1297024693.9068031</v>
      </c>
      <c r="E287">
        <v>595153292.7927928</v>
      </c>
      <c r="F287">
        <v>688924718.01801801</v>
      </c>
      <c r="G287">
        <v>407</v>
      </c>
      <c r="H287">
        <v>265</v>
      </c>
      <c r="I287">
        <v>12</v>
      </c>
      <c r="K287">
        <v>550</v>
      </c>
      <c r="L287">
        <v>493</v>
      </c>
      <c r="M287">
        <v>157009009.009009</v>
      </c>
      <c r="N287">
        <v>368278581.08108109</v>
      </c>
      <c r="O287">
        <v>322111419.36936933</v>
      </c>
      <c r="P287">
        <v>373810739.63963962</v>
      </c>
      <c r="Q287">
        <v>139059459.45945945</v>
      </c>
      <c r="R287">
        <v>164227747.74774775</v>
      </c>
      <c r="S287">
        <v>38496</v>
      </c>
      <c r="T287">
        <v>36620</v>
      </c>
    </row>
    <row r="288" spans="1:20" x14ac:dyDescent="0.35">
      <c r="A288" s="7" t="s">
        <v>386</v>
      </c>
      <c r="B288" s="12" t="s">
        <v>81</v>
      </c>
      <c r="C288">
        <v>341418753.00140917</v>
      </c>
      <c r="D288">
        <v>343096611.79002947</v>
      </c>
      <c r="E288">
        <v>3755180.180180185</v>
      </c>
      <c r="F288">
        <v>2836036.0360360411</v>
      </c>
      <c r="G288">
        <v>88</v>
      </c>
      <c r="H288">
        <v>111</v>
      </c>
      <c r="I288">
        <v>1</v>
      </c>
      <c r="K288">
        <v>164</v>
      </c>
      <c r="L288">
        <v>230</v>
      </c>
      <c r="M288">
        <v>71459459.459459454</v>
      </c>
      <c r="N288">
        <v>78565765.765765756</v>
      </c>
      <c r="O288">
        <v>137170789.63963965</v>
      </c>
      <c r="P288">
        <v>146004390.99099097</v>
      </c>
      <c r="Q288">
        <v>58158418.018018015</v>
      </c>
      <c r="R288">
        <v>72515718.918918908</v>
      </c>
      <c r="S288">
        <v>9867</v>
      </c>
      <c r="T288">
        <v>9701</v>
      </c>
    </row>
    <row r="289" spans="1:20" x14ac:dyDescent="0.35">
      <c r="A289" s="7" t="s">
        <v>387</v>
      </c>
      <c r="B289" s="12" t="s">
        <v>81</v>
      </c>
      <c r="C289">
        <v>434517676.86346012</v>
      </c>
      <c r="D289">
        <v>455766270.33920813</v>
      </c>
      <c r="E289">
        <v>444213.513513515</v>
      </c>
      <c r="F289">
        <v>335135.135135138</v>
      </c>
      <c r="G289">
        <v>59</v>
      </c>
      <c r="H289">
        <v>22</v>
      </c>
      <c r="I289">
        <v>2</v>
      </c>
      <c r="K289">
        <v>64</v>
      </c>
      <c r="L289">
        <v>26</v>
      </c>
      <c r="M289">
        <v>18392391.891891889</v>
      </c>
      <c r="N289">
        <v>27576576.576576576</v>
      </c>
      <c r="O289">
        <v>86811135.135135129</v>
      </c>
      <c r="P289">
        <v>98059090.090090096</v>
      </c>
      <c r="Q289">
        <v>22910450.450450446</v>
      </c>
      <c r="R289">
        <v>30166396.396396395</v>
      </c>
      <c r="S289">
        <v>9189</v>
      </c>
      <c r="T289">
        <v>9525</v>
      </c>
    </row>
    <row r="290" spans="1:20" x14ac:dyDescent="0.35">
      <c r="A290" s="7" t="s">
        <v>388</v>
      </c>
      <c r="B290" s="12" t="s">
        <v>69</v>
      </c>
      <c r="C290">
        <v>190363584.60481107</v>
      </c>
      <c r="D290">
        <v>179702218.84559438</v>
      </c>
      <c r="E290">
        <v>803603.60360360495</v>
      </c>
      <c r="F290">
        <v>645945.94594594801</v>
      </c>
      <c r="G290">
        <v>44</v>
      </c>
      <c r="H290">
        <v>20</v>
      </c>
      <c r="K290">
        <v>48</v>
      </c>
      <c r="L290">
        <v>32</v>
      </c>
      <c r="M290">
        <v>7304954.9549549548</v>
      </c>
      <c r="N290">
        <v>7745945.9459459456</v>
      </c>
      <c r="O290">
        <v>26834108.108108107</v>
      </c>
      <c r="P290">
        <v>26495374.774774775</v>
      </c>
      <c r="Q290">
        <v>6608648.6486486495</v>
      </c>
      <c r="R290">
        <v>6660090.0900900904</v>
      </c>
      <c r="S290">
        <v>5030</v>
      </c>
      <c r="T290">
        <v>5355</v>
      </c>
    </row>
    <row r="291" spans="1:20" x14ac:dyDescent="0.35">
      <c r="A291" s="7" t="s">
        <v>389</v>
      </c>
      <c r="B291" s="12" t="s">
        <v>168</v>
      </c>
      <c r="C291">
        <v>70782932.932325467</v>
      </c>
      <c r="D291">
        <v>74909811.074928641</v>
      </c>
      <c r="E291">
        <v>455855.85585585498</v>
      </c>
      <c r="F291">
        <v>360360.360360361</v>
      </c>
      <c r="G291">
        <v>25</v>
      </c>
      <c r="H291">
        <v>8</v>
      </c>
      <c r="K291">
        <v>30</v>
      </c>
      <c r="L291">
        <v>11</v>
      </c>
      <c r="M291">
        <v>20120336.036036037</v>
      </c>
      <c r="N291">
        <v>7589189.1891891873</v>
      </c>
      <c r="O291">
        <v>29567630.630630631</v>
      </c>
      <c r="P291">
        <v>34360322.522522517</v>
      </c>
      <c r="Q291">
        <v>14362612.612612614</v>
      </c>
      <c r="R291">
        <v>7978648.6486486476</v>
      </c>
      <c r="S291">
        <v>2373</v>
      </c>
      <c r="T291">
        <v>2444</v>
      </c>
    </row>
    <row r="292" spans="1:20" x14ac:dyDescent="0.35">
      <c r="A292" s="7" t="s">
        <v>390</v>
      </c>
      <c r="B292" s="12" t="s">
        <v>95</v>
      </c>
      <c r="C292">
        <v>386145163.30059963</v>
      </c>
      <c r="D292">
        <v>400287166.72971666</v>
      </c>
      <c r="E292">
        <v>621621.62162162305</v>
      </c>
      <c r="F292">
        <v>1328828.828828831</v>
      </c>
      <c r="G292">
        <v>85</v>
      </c>
      <c r="H292">
        <v>83</v>
      </c>
      <c r="K292">
        <v>96</v>
      </c>
      <c r="L292">
        <v>96</v>
      </c>
      <c r="M292">
        <v>17675675.675675675</v>
      </c>
      <c r="N292">
        <v>17418918.918918919</v>
      </c>
      <c r="O292">
        <v>46917369.369369365</v>
      </c>
      <c r="P292">
        <v>58137063.063063063</v>
      </c>
      <c r="Q292">
        <v>12592882.882882882</v>
      </c>
      <c r="R292">
        <v>10637207.207207208</v>
      </c>
      <c r="S292">
        <v>8390</v>
      </c>
      <c r="T292">
        <v>8569</v>
      </c>
    </row>
    <row r="293" spans="1:20" x14ac:dyDescent="0.35">
      <c r="A293" s="7" t="s">
        <v>391</v>
      </c>
      <c r="B293" s="12" t="s">
        <v>216</v>
      </c>
      <c r="C293">
        <v>65339939.948199838</v>
      </c>
      <c r="D293">
        <v>72346040.038794354</v>
      </c>
      <c r="E293">
        <v>883783.78378378402</v>
      </c>
      <c r="F293">
        <v>494594.59459459502</v>
      </c>
      <c r="G293">
        <v>26</v>
      </c>
      <c r="H293">
        <v>1</v>
      </c>
      <c r="K293">
        <v>29</v>
      </c>
      <c r="L293">
        <v>1</v>
      </c>
      <c r="M293">
        <v>2685585.5855855858</v>
      </c>
      <c r="N293">
        <v>3045945.9459459451</v>
      </c>
      <c r="O293">
        <v>31072297.297297295</v>
      </c>
      <c r="P293">
        <v>33795486.486486487</v>
      </c>
      <c r="Q293">
        <v>1811801.801801801</v>
      </c>
      <c r="R293">
        <v>2946666.666666666</v>
      </c>
      <c r="S293">
        <v>2248</v>
      </c>
      <c r="T293">
        <v>2386</v>
      </c>
    </row>
    <row r="294" spans="1:20" x14ac:dyDescent="0.35">
      <c r="A294" s="7" t="s">
        <v>392</v>
      </c>
      <c r="B294" s="12" t="s">
        <v>118</v>
      </c>
      <c r="C294">
        <v>27453694.087840736</v>
      </c>
      <c r="D294">
        <v>25838042.728995524</v>
      </c>
      <c r="E294">
        <v>475675.67567567498</v>
      </c>
      <c r="F294">
        <v>248648.64864865001</v>
      </c>
      <c r="G294">
        <v>12</v>
      </c>
      <c r="H294">
        <v>16</v>
      </c>
      <c r="K294">
        <v>22</v>
      </c>
      <c r="L294">
        <v>18</v>
      </c>
      <c r="M294">
        <v>8809124.3243243247</v>
      </c>
      <c r="N294">
        <v>7043184.6846846836</v>
      </c>
      <c r="O294">
        <v>12009243.243243244</v>
      </c>
      <c r="P294">
        <v>11399621.621621622</v>
      </c>
      <c r="Q294">
        <v>6490090.0900900904</v>
      </c>
      <c r="R294">
        <v>5181441.4414414428</v>
      </c>
      <c r="S294">
        <v>1979</v>
      </c>
      <c r="T294">
        <v>1703</v>
      </c>
    </row>
    <row r="295" spans="1:20" x14ac:dyDescent="0.35">
      <c r="A295" s="7" t="s">
        <v>393</v>
      </c>
      <c r="B295" s="12" t="s">
        <v>317</v>
      </c>
      <c r="C295">
        <v>117876738.51358178</v>
      </c>
      <c r="D295">
        <v>117634500.91616064</v>
      </c>
      <c r="E295">
        <v>381081.08108108101</v>
      </c>
      <c r="F295">
        <v>13513.513513514001</v>
      </c>
      <c r="G295">
        <v>10</v>
      </c>
      <c r="H295">
        <v>11</v>
      </c>
      <c r="I295">
        <v>1</v>
      </c>
      <c r="K295">
        <v>10</v>
      </c>
      <c r="L295">
        <v>12</v>
      </c>
      <c r="M295">
        <v>3804504.5045045051</v>
      </c>
      <c r="N295">
        <v>4049549.5495495489</v>
      </c>
      <c r="O295">
        <v>24569522.52252252</v>
      </c>
      <c r="P295">
        <v>24430585.585585583</v>
      </c>
      <c r="Q295">
        <v>4802702.702702703</v>
      </c>
      <c r="R295">
        <v>4900090.0900900885</v>
      </c>
      <c r="S295">
        <v>2543</v>
      </c>
      <c r="T295">
        <v>2925</v>
      </c>
    </row>
    <row r="296" spans="1:20" x14ac:dyDescent="0.35">
      <c r="A296" s="7" t="s">
        <v>394</v>
      </c>
      <c r="B296" s="12" t="s">
        <v>226</v>
      </c>
      <c r="C296">
        <v>50311166.18277254</v>
      </c>
      <c r="D296">
        <v>51926457.368109629</v>
      </c>
      <c r="G296">
        <v>6</v>
      </c>
      <c r="H296">
        <v>3</v>
      </c>
      <c r="K296">
        <v>6</v>
      </c>
      <c r="L296">
        <v>4</v>
      </c>
      <c r="O296">
        <v>9443693.6936936937</v>
      </c>
      <c r="P296">
        <v>10395711.711711712</v>
      </c>
      <c r="S296">
        <v>1521</v>
      </c>
      <c r="T296">
        <v>1479</v>
      </c>
    </row>
    <row r="297" spans="1:20" x14ac:dyDescent="0.35">
      <c r="A297" s="7" t="s">
        <v>6</v>
      </c>
      <c r="B297" s="12" t="s">
        <v>195</v>
      </c>
      <c r="C297">
        <v>420734733.14502323</v>
      </c>
      <c r="D297">
        <v>426695861.22259206</v>
      </c>
      <c r="E297">
        <v>5868132.432432442</v>
      </c>
      <c r="F297">
        <v>10150824.324324323</v>
      </c>
      <c r="G297">
        <v>166</v>
      </c>
      <c r="H297">
        <v>112</v>
      </c>
      <c r="K297">
        <v>595</v>
      </c>
      <c r="L297">
        <v>199</v>
      </c>
      <c r="M297">
        <v>167935706.3063063</v>
      </c>
      <c r="N297">
        <v>289400103.6036036</v>
      </c>
      <c r="O297">
        <v>286806333.33333337</v>
      </c>
      <c r="P297">
        <v>276774315.31531531</v>
      </c>
      <c r="Q297">
        <v>152494954.95495495</v>
      </c>
      <c r="R297">
        <v>265385675.67567569</v>
      </c>
      <c r="S297">
        <v>13152</v>
      </c>
      <c r="T297">
        <v>13680</v>
      </c>
    </row>
    <row r="298" spans="1:20" x14ac:dyDescent="0.35">
      <c r="A298" s="7" t="s">
        <v>395</v>
      </c>
      <c r="B298" s="12" t="s">
        <v>122</v>
      </c>
      <c r="C298">
        <v>20069263.443434481</v>
      </c>
      <c r="D298">
        <v>19774840.977978304</v>
      </c>
      <c r="G298">
        <v>8</v>
      </c>
      <c r="H298">
        <v>9</v>
      </c>
      <c r="K298">
        <v>8</v>
      </c>
      <c r="L298">
        <v>12</v>
      </c>
      <c r="O298">
        <v>977027.02702702698</v>
      </c>
      <c r="P298">
        <v>1278612.612612613</v>
      </c>
      <c r="S298">
        <v>508</v>
      </c>
      <c r="T298">
        <v>548</v>
      </c>
    </row>
    <row r="299" spans="1:20" x14ac:dyDescent="0.35">
      <c r="A299" s="7" t="s">
        <v>396</v>
      </c>
      <c r="B299" s="12" t="s">
        <v>135</v>
      </c>
      <c r="C299">
        <v>56693496.421827741</v>
      </c>
      <c r="D299">
        <v>62186238.202569827</v>
      </c>
      <c r="E299">
        <v>13513.513513514001</v>
      </c>
      <c r="F299">
        <v>40540.540540540998</v>
      </c>
      <c r="G299">
        <v>13</v>
      </c>
      <c r="H299">
        <v>9</v>
      </c>
      <c r="K299">
        <v>18</v>
      </c>
      <c r="L299">
        <v>10</v>
      </c>
      <c r="M299">
        <v>4067567.5675675669</v>
      </c>
      <c r="N299">
        <v>3858108.1081081061</v>
      </c>
      <c r="O299">
        <v>11783475.675675675</v>
      </c>
      <c r="P299">
        <v>15911531.531531531</v>
      </c>
      <c r="Q299">
        <v>868198.19819819997</v>
      </c>
      <c r="R299">
        <v>1157657.657657658</v>
      </c>
      <c r="S299">
        <v>3539</v>
      </c>
      <c r="T299">
        <v>3669</v>
      </c>
    </row>
    <row r="300" spans="1:20" x14ac:dyDescent="0.35">
      <c r="A300" s="7" t="s">
        <v>397</v>
      </c>
      <c r="B300" s="12" t="s">
        <v>59</v>
      </c>
      <c r="C300">
        <v>278020157.41858757</v>
      </c>
      <c r="D300">
        <v>306378908.25176078</v>
      </c>
      <c r="E300">
        <v>21813288.288288292</v>
      </c>
      <c r="F300">
        <v>19597297.297297299</v>
      </c>
      <c r="G300">
        <v>96</v>
      </c>
      <c r="H300">
        <v>73</v>
      </c>
      <c r="K300">
        <v>107</v>
      </c>
      <c r="L300">
        <v>92</v>
      </c>
      <c r="M300">
        <v>30997297.297297295</v>
      </c>
      <c r="N300">
        <v>34236936.936936937</v>
      </c>
      <c r="O300">
        <v>44763590.090090089</v>
      </c>
      <c r="P300">
        <v>54030441.441441439</v>
      </c>
      <c r="Q300">
        <v>26758918.918918915</v>
      </c>
      <c r="R300">
        <v>33021981.981981985</v>
      </c>
      <c r="S300">
        <v>9081</v>
      </c>
      <c r="T300">
        <v>9191</v>
      </c>
    </row>
    <row r="301" spans="1:20" x14ac:dyDescent="0.35">
      <c r="A301" s="7" t="s">
        <v>398</v>
      </c>
      <c r="B301" s="12" t="s">
        <v>135</v>
      </c>
      <c r="C301">
        <v>93163334.931778461</v>
      </c>
      <c r="D301">
        <v>104563075.23919719</v>
      </c>
      <c r="E301">
        <v>396396.39639639697</v>
      </c>
      <c r="F301">
        <v>421621.62162162102</v>
      </c>
      <c r="G301">
        <v>21</v>
      </c>
      <c r="H301">
        <v>12</v>
      </c>
      <c r="K301">
        <v>27</v>
      </c>
      <c r="L301">
        <v>17</v>
      </c>
      <c r="M301">
        <v>14243243.243243242</v>
      </c>
      <c r="N301">
        <v>17305405.405405402</v>
      </c>
      <c r="O301">
        <v>17147639.639639638</v>
      </c>
      <c r="P301">
        <v>23854720.72072072</v>
      </c>
      <c r="Q301">
        <v>8092072.072072072</v>
      </c>
      <c r="R301">
        <v>10968288.288288288</v>
      </c>
      <c r="S301">
        <v>3913</v>
      </c>
      <c r="T301">
        <v>4031</v>
      </c>
    </row>
    <row r="302" spans="1:20" x14ac:dyDescent="0.35">
      <c r="A302" s="7" t="s">
        <v>399</v>
      </c>
      <c r="B302" s="12" t="s">
        <v>55</v>
      </c>
      <c r="C302">
        <v>40487226.519257136</v>
      </c>
      <c r="D302">
        <v>40647127.729107298</v>
      </c>
      <c r="E302">
        <v>41441.441441440998</v>
      </c>
      <c r="F302">
        <v>516216.21621621598</v>
      </c>
      <c r="G302">
        <v>10</v>
      </c>
      <c r="H302">
        <v>8</v>
      </c>
      <c r="K302">
        <v>12</v>
      </c>
      <c r="L302">
        <v>10</v>
      </c>
      <c r="M302">
        <v>2194594.594594595</v>
      </c>
      <c r="N302">
        <v>2993693.6936936928</v>
      </c>
      <c r="O302">
        <v>7088675.6756756762</v>
      </c>
      <c r="P302">
        <v>6927729.7297297297</v>
      </c>
      <c r="Q302">
        <v>2471711.7117117122</v>
      </c>
      <c r="R302">
        <v>2530900.9009008999</v>
      </c>
      <c r="S302">
        <v>1641</v>
      </c>
      <c r="T302">
        <v>1445</v>
      </c>
    </row>
    <row r="303" spans="1:20" x14ac:dyDescent="0.35">
      <c r="A303" s="7" t="s">
        <v>400</v>
      </c>
      <c r="B303" s="12" t="s">
        <v>401</v>
      </c>
      <c r="C303">
        <v>288296722.51840526</v>
      </c>
      <c r="D303">
        <v>293179179.95995212</v>
      </c>
      <c r="E303">
        <v>1884684.6846846859</v>
      </c>
      <c r="F303">
        <v>3297297.2972973008</v>
      </c>
      <c r="G303">
        <v>111</v>
      </c>
      <c r="H303">
        <v>104</v>
      </c>
      <c r="I303">
        <v>1</v>
      </c>
      <c r="K303">
        <v>205</v>
      </c>
      <c r="L303">
        <v>128</v>
      </c>
      <c r="M303">
        <v>35340990.990990989</v>
      </c>
      <c r="N303">
        <v>34253603.603603601</v>
      </c>
      <c r="O303">
        <v>54730673.873873875</v>
      </c>
      <c r="P303">
        <v>62718450.45045045</v>
      </c>
      <c r="Q303">
        <v>30445585.585585583</v>
      </c>
      <c r="R303">
        <v>29094504.504504506</v>
      </c>
      <c r="S303">
        <v>9808</v>
      </c>
      <c r="T303">
        <v>9385</v>
      </c>
    </row>
    <row r="304" spans="1:20" x14ac:dyDescent="0.35">
      <c r="A304" s="7" t="s">
        <v>402</v>
      </c>
      <c r="B304" s="12" t="s">
        <v>403</v>
      </c>
      <c r="C304">
        <v>310833373.71843898</v>
      </c>
      <c r="D304">
        <v>335081816.68227994</v>
      </c>
      <c r="E304">
        <v>121237469.36936937</v>
      </c>
      <c r="F304">
        <v>100010062.16216215</v>
      </c>
      <c r="G304">
        <v>70</v>
      </c>
      <c r="H304">
        <v>67</v>
      </c>
      <c r="K304">
        <v>81</v>
      </c>
      <c r="L304">
        <v>75</v>
      </c>
      <c r="M304">
        <v>50661261.261261262</v>
      </c>
      <c r="N304">
        <v>89822522.522522524</v>
      </c>
      <c r="O304">
        <v>57112558.558558561</v>
      </c>
      <c r="P304">
        <v>65449540.540540546</v>
      </c>
      <c r="Q304">
        <v>38965495.495495498</v>
      </c>
      <c r="R304">
        <v>38003333.333333328</v>
      </c>
      <c r="S304">
        <v>12746</v>
      </c>
      <c r="T304">
        <v>11387</v>
      </c>
    </row>
    <row r="305" spans="1:20" x14ac:dyDescent="0.35">
      <c r="A305" s="7" t="s">
        <v>404</v>
      </c>
      <c r="B305" s="12" t="s">
        <v>141</v>
      </c>
      <c r="C305">
        <v>101131634.07355928</v>
      </c>
      <c r="D305">
        <v>106395543.65801111</v>
      </c>
      <c r="E305">
        <v>1236036.0360360369</v>
      </c>
      <c r="F305">
        <v>1351351.3513513531</v>
      </c>
      <c r="G305">
        <v>32</v>
      </c>
      <c r="H305">
        <v>15</v>
      </c>
      <c r="K305">
        <v>35</v>
      </c>
      <c r="L305">
        <v>18</v>
      </c>
      <c r="M305">
        <v>19368648.648648649</v>
      </c>
      <c r="N305">
        <v>31391891.891891893</v>
      </c>
      <c r="O305">
        <v>31988126.126126125</v>
      </c>
      <c r="P305">
        <v>34463072.072072074</v>
      </c>
      <c r="Q305">
        <v>21027477.477477476</v>
      </c>
      <c r="R305">
        <v>24879639.639639638</v>
      </c>
      <c r="S305">
        <v>3067</v>
      </c>
      <c r="T305">
        <v>3295</v>
      </c>
    </row>
    <row r="306" spans="1:20" x14ac:dyDescent="0.35">
      <c r="A306" s="7" t="s">
        <v>405</v>
      </c>
      <c r="B306" s="12" t="s">
        <v>122</v>
      </c>
      <c r="C306">
        <v>26700504.251113389</v>
      </c>
      <c r="D306">
        <v>25635532.449840277</v>
      </c>
      <c r="E306">
        <v>373873.87387387402</v>
      </c>
      <c r="F306">
        <v>76576.576576577005</v>
      </c>
      <c r="G306">
        <v>12</v>
      </c>
      <c r="H306">
        <v>17</v>
      </c>
      <c r="K306">
        <v>17</v>
      </c>
      <c r="L306">
        <v>23</v>
      </c>
      <c r="M306">
        <v>2175675.6756756762</v>
      </c>
      <c r="N306">
        <v>1878378.3783783789</v>
      </c>
      <c r="O306">
        <v>2534369.369369369</v>
      </c>
      <c r="P306">
        <v>4011756.7567567569</v>
      </c>
      <c r="Q306">
        <v>724954.95495495503</v>
      </c>
      <c r="R306">
        <v>1095585.585585586</v>
      </c>
      <c r="S306">
        <v>1102</v>
      </c>
      <c r="T306">
        <v>1034</v>
      </c>
    </row>
    <row r="307" spans="1:20" x14ac:dyDescent="0.35">
      <c r="A307" s="7" t="s">
        <v>406</v>
      </c>
      <c r="B307" s="12" t="s">
        <v>292</v>
      </c>
      <c r="C307">
        <v>43142629.492598876</v>
      </c>
      <c r="D307">
        <v>46325937.160804331</v>
      </c>
      <c r="E307">
        <v>334684.68468468601</v>
      </c>
      <c r="F307">
        <v>49549.549549550997</v>
      </c>
      <c r="G307">
        <v>8</v>
      </c>
      <c r="H307">
        <v>7</v>
      </c>
      <c r="K307">
        <v>10</v>
      </c>
      <c r="L307">
        <v>8</v>
      </c>
      <c r="M307">
        <v>1069369.369369369</v>
      </c>
      <c r="N307">
        <v>1310810.8108108121</v>
      </c>
      <c r="O307">
        <v>5348729.7297297297</v>
      </c>
      <c r="P307">
        <v>6676297.297297298</v>
      </c>
      <c r="Q307">
        <v>1833873.8738738741</v>
      </c>
      <c r="R307">
        <v>1041981.981981982</v>
      </c>
      <c r="S307">
        <v>1605</v>
      </c>
      <c r="T307">
        <v>1718</v>
      </c>
    </row>
    <row r="308" spans="1:20" x14ac:dyDescent="0.35">
      <c r="A308" s="7" t="s">
        <v>407</v>
      </c>
      <c r="B308" s="12" t="s">
        <v>122</v>
      </c>
      <c r="C308">
        <v>49294048.354662046</v>
      </c>
      <c r="D308">
        <v>44130056.180856466</v>
      </c>
      <c r="E308">
        <v>55630.630630631</v>
      </c>
      <c r="G308">
        <v>9</v>
      </c>
      <c r="H308">
        <v>5</v>
      </c>
      <c r="K308">
        <v>10</v>
      </c>
      <c r="L308">
        <v>6</v>
      </c>
      <c r="M308">
        <v>58558.558558559002</v>
      </c>
      <c r="O308">
        <v>3879684.684684685</v>
      </c>
      <c r="P308">
        <v>4726666.666666667</v>
      </c>
      <c r="R308">
        <v>13513.513513514001</v>
      </c>
      <c r="S308">
        <v>1085</v>
      </c>
      <c r="T308">
        <v>1053</v>
      </c>
    </row>
    <row r="309" spans="1:20" x14ac:dyDescent="0.35">
      <c r="A309" s="7" t="s">
        <v>408</v>
      </c>
      <c r="B309" s="12" t="s">
        <v>372</v>
      </c>
      <c r="C309">
        <v>112093998.79094495</v>
      </c>
      <c r="D309">
        <v>116651364.64319019</v>
      </c>
      <c r="E309">
        <v>941891.89189189102</v>
      </c>
      <c r="F309">
        <v>338738.73873874499</v>
      </c>
      <c r="G309">
        <v>35</v>
      </c>
      <c r="H309">
        <v>7</v>
      </c>
      <c r="K309">
        <v>100</v>
      </c>
      <c r="L309">
        <v>9</v>
      </c>
      <c r="M309">
        <v>23517117.117117114</v>
      </c>
      <c r="N309">
        <v>21775405.40540541</v>
      </c>
      <c r="O309">
        <v>40136774.774774775</v>
      </c>
      <c r="P309">
        <v>38251735.135135137</v>
      </c>
      <c r="Q309">
        <v>23233693.693693697</v>
      </c>
      <c r="R309">
        <v>21408828.828828827</v>
      </c>
      <c r="S309">
        <v>3151</v>
      </c>
      <c r="T309">
        <v>4007</v>
      </c>
    </row>
    <row r="310" spans="1:20" x14ac:dyDescent="0.35">
      <c r="A310" s="7" t="s">
        <v>409</v>
      </c>
      <c r="B310" s="12" t="s">
        <v>141</v>
      </c>
      <c r="C310">
        <v>52653276.545459554</v>
      </c>
      <c r="D310">
        <v>54786180.09524361</v>
      </c>
      <c r="E310">
        <v>189864.86486486401</v>
      </c>
      <c r="F310">
        <v>43243.243243243996</v>
      </c>
      <c r="G310">
        <v>11</v>
      </c>
      <c r="H310">
        <v>1</v>
      </c>
      <c r="K310">
        <v>13</v>
      </c>
      <c r="L310">
        <v>2</v>
      </c>
      <c r="M310">
        <v>7578738.7387387389</v>
      </c>
      <c r="N310">
        <v>11586666.666666666</v>
      </c>
      <c r="O310">
        <v>14192945.945945946</v>
      </c>
      <c r="P310">
        <v>16353774.774774775</v>
      </c>
      <c r="Q310">
        <v>8360360.3603603598</v>
      </c>
      <c r="R310">
        <v>10481981.981981982</v>
      </c>
      <c r="S310">
        <v>1345</v>
      </c>
      <c r="T310">
        <v>1457</v>
      </c>
    </row>
    <row r="311" spans="1:20" x14ac:dyDescent="0.35">
      <c r="A311" s="7" t="s">
        <v>410</v>
      </c>
      <c r="B311" s="12" t="s">
        <v>55</v>
      </c>
      <c r="C311">
        <v>72318189.240969643</v>
      </c>
      <c r="D311">
        <v>75666034.873701766</v>
      </c>
      <c r="E311">
        <v>1732432.4324324341</v>
      </c>
      <c r="F311">
        <v>3363063.0630630632</v>
      </c>
      <c r="G311">
        <v>78</v>
      </c>
      <c r="H311">
        <v>57</v>
      </c>
      <c r="K311">
        <v>168</v>
      </c>
      <c r="L311">
        <v>72</v>
      </c>
      <c r="M311">
        <v>8286486.486486488</v>
      </c>
      <c r="N311">
        <v>10295495.495495496</v>
      </c>
      <c r="O311">
        <v>17126396.396396395</v>
      </c>
      <c r="P311">
        <v>17872423.423423424</v>
      </c>
      <c r="Q311">
        <v>9026396.3963963967</v>
      </c>
      <c r="R311">
        <v>8855225.2252252251</v>
      </c>
      <c r="S311">
        <v>3279</v>
      </c>
      <c r="T311">
        <v>2187</v>
      </c>
    </row>
    <row r="312" spans="1:20" x14ac:dyDescent="0.35">
      <c r="A312" s="7" t="s">
        <v>411</v>
      </c>
      <c r="B312" s="12" t="s">
        <v>135</v>
      </c>
      <c r="C312">
        <v>32927873.159515526</v>
      </c>
      <c r="D312">
        <v>36690185.248263903</v>
      </c>
      <c r="E312">
        <v>27027.027027027001</v>
      </c>
      <c r="F312">
        <v>225225.225225225</v>
      </c>
      <c r="G312">
        <v>5</v>
      </c>
      <c r="K312">
        <v>5</v>
      </c>
      <c r="M312">
        <v>1594594.5945945941</v>
      </c>
      <c r="N312">
        <v>3099099.0990990992</v>
      </c>
      <c r="O312">
        <v>3420513.5135135138</v>
      </c>
      <c r="P312">
        <v>4459594.594594595</v>
      </c>
      <c r="Q312">
        <v>919459.45945945894</v>
      </c>
      <c r="R312">
        <v>2835135.1351351351</v>
      </c>
      <c r="S312">
        <v>912</v>
      </c>
      <c r="T312">
        <v>994</v>
      </c>
    </row>
    <row r="313" spans="1:20" x14ac:dyDescent="0.35">
      <c r="A313" s="7" t="s">
        <v>412</v>
      </c>
      <c r="B313" s="12" t="s">
        <v>292</v>
      </c>
      <c r="C313">
        <v>18171204.751228269</v>
      </c>
      <c r="D313">
        <v>19388645.992686942</v>
      </c>
      <c r="E313">
        <v>334234.23423423502</v>
      </c>
      <c r="F313">
        <v>103603.60360360501</v>
      </c>
      <c r="G313">
        <v>8</v>
      </c>
      <c r="H313">
        <v>5</v>
      </c>
      <c r="K313">
        <v>8</v>
      </c>
      <c r="L313">
        <v>6</v>
      </c>
      <c r="M313">
        <v>3129729.7297297302</v>
      </c>
      <c r="N313">
        <v>1995495.4954954961</v>
      </c>
      <c r="O313">
        <v>3051090.0900900899</v>
      </c>
      <c r="P313">
        <v>4108846.8468468478</v>
      </c>
      <c r="Q313">
        <v>2188108.108108107</v>
      </c>
      <c r="R313">
        <v>981981.98198198201</v>
      </c>
      <c r="S313">
        <v>924</v>
      </c>
      <c r="T313">
        <v>940</v>
      </c>
    </row>
    <row r="314" spans="1:20" x14ac:dyDescent="0.35">
      <c r="A314" s="7" t="s">
        <v>413</v>
      </c>
      <c r="B314" s="12" t="s">
        <v>179</v>
      </c>
      <c r="C314">
        <v>324017573.76177007</v>
      </c>
      <c r="D314">
        <v>328964721.62535399</v>
      </c>
      <c r="E314">
        <v>1314414.4144144161</v>
      </c>
      <c r="F314">
        <v>3053153.1531531559</v>
      </c>
      <c r="G314">
        <v>76</v>
      </c>
      <c r="H314">
        <v>48</v>
      </c>
      <c r="K314">
        <v>182</v>
      </c>
      <c r="L314">
        <v>57</v>
      </c>
      <c r="M314">
        <v>37141522.522522517</v>
      </c>
      <c r="N314">
        <v>41408558.558558561</v>
      </c>
      <c r="O314">
        <v>112545081.08108109</v>
      </c>
      <c r="P314">
        <v>119904763.96396397</v>
      </c>
      <c r="Q314">
        <v>31144234.234234232</v>
      </c>
      <c r="R314">
        <v>40262702.702702694</v>
      </c>
      <c r="S314">
        <v>12330</v>
      </c>
      <c r="T314">
        <v>9457</v>
      </c>
    </row>
    <row r="315" spans="1:20" x14ac:dyDescent="0.35">
      <c r="A315" s="7" t="s">
        <v>414</v>
      </c>
      <c r="B315" s="12" t="s">
        <v>55</v>
      </c>
      <c r="C315">
        <v>599674983.1724422</v>
      </c>
      <c r="D315">
        <v>590431199.47731507</v>
      </c>
      <c r="E315">
        <v>111109929.72972973</v>
      </c>
      <c r="F315">
        <v>152832372.97297299</v>
      </c>
      <c r="G315">
        <v>209</v>
      </c>
      <c r="H315">
        <v>129</v>
      </c>
      <c r="K315">
        <v>258</v>
      </c>
      <c r="L315">
        <v>200</v>
      </c>
      <c r="M315">
        <v>42651351.351351358</v>
      </c>
      <c r="N315">
        <v>59270720.720720723</v>
      </c>
      <c r="O315">
        <v>123360936.93693694</v>
      </c>
      <c r="P315">
        <v>126525115.31531531</v>
      </c>
      <c r="Q315">
        <v>39852252.252252258</v>
      </c>
      <c r="R315">
        <v>51558918.918918923</v>
      </c>
      <c r="S315">
        <v>18660</v>
      </c>
      <c r="T315">
        <v>19603</v>
      </c>
    </row>
    <row r="316" spans="1:20" x14ac:dyDescent="0.35">
      <c r="A316" s="7" t="s">
        <v>415</v>
      </c>
      <c r="B316" s="12" t="s">
        <v>226</v>
      </c>
      <c r="C316">
        <v>302205859.75309813</v>
      </c>
      <c r="D316">
        <v>358667891.92186826</v>
      </c>
      <c r="E316">
        <v>1193693.6936936991</v>
      </c>
      <c r="F316">
        <v>2594594.594594595</v>
      </c>
      <c r="G316">
        <v>101</v>
      </c>
      <c r="H316">
        <v>67</v>
      </c>
      <c r="K316">
        <v>119</v>
      </c>
      <c r="L316">
        <v>91</v>
      </c>
      <c r="M316">
        <v>32149369.369369373</v>
      </c>
      <c r="N316">
        <v>50285045.045045048</v>
      </c>
      <c r="O316">
        <v>90013926.126126125</v>
      </c>
      <c r="P316">
        <v>105863711.7117117</v>
      </c>
      <c r="Q316">
        <v>35995899.0990991</v>
      </c>
      <c r="R316">
        <v>43801531.531531535</v>
      </c>
      <c r="S316">
        <v>13822</v>
      </c>
      <c r="T316">
        <v>13615</v>
      </c>
    </row>
    <row r="317" spans="1:20" x14ac:dyDescent="0.35">
      <c r="A317" s="7" t="s">
        <v>416</v>
      </c>
      <c r="B317" s="12" t="s">
        <v>417</v>
      </c>
      <c r="C317">
        <v>121087132.7317308</v>
      </c>
      <c r="D317">
        <v>115960633.73510176</v>
      </c>
      <c r="E317">
        <v>247297.29729730001</v>
      </c>
      <c r="F317">
        <v>600900.90090090095</v>
      </c>
      <c r="G317">
        <v>4</v>
      </c>
      <c r="H317">
        <v>4</v>
      </c>
      <c r="K317">
        <v>6</v>
      </c>
      <c r="L317">
        <v>4</v>
      </c>
      <c r="M317">
        <v>2675135.1351351389</v>
      </c>
      <c r="N317">
        <v>4143693.6936936942</v>
      </c>
      <c r="O317">
        <v>46750081.081081077</v>
      </c>
      <c r="P317">
        <v>51253369.369369365</v>
      </c>
      <c r="Q317">
        <v>2324954.9549549562</v>
      </c>
      <c r="R317">
        <v>2508198.1981981988</v>
      </c>
      <c r="S317">
        <v>4332</v>
      </c>
      <c r="T317">
        <v>3958</v>
      </c>
    </row>
    <row r="318" spans="1:20" x14ac:dyDescent="0.35">
      <c r="A318" s="7" t="s">
        <v>418</v>
      </c>
      <c r="B318" s="12" t="s">
        <v>216</v>
      </c>
      <c r="C318">
        <v>761235825.27978361</v>
      </c>
      <c r="D318">
        <v>714415688.95271349</v>
      </c>
      <c r="E318">
        <v>318290490.0900901</v>
      </c>
      <c r="F318">
        <v>262746167.56756759</v>
      </c>
      <c r="G318">
        <v>903</v>
      </c>
      <c r="H318">
        <v>317</v>
      </c>
      <c r="I318">
        <v>1</v>
      </c>
      <c r="K318">
        <v>978</v>
      </c>
      <c r="L318">
        <v>553</v>
      </c>
      <c r="M318">
        <v>108245540.54054055</v>
      </c>
      <c r="N318">
        <v>95322072.072072074</v>
      </c>
      <c r="O318">
        <v>347401548.64864862</v>
      </c>
      <c r="P318">
        <v>319626243.24324328</v>
      </c>
      <c r="Q318">
        <v>102000900.9009009</v>
      </c>
      <c r="R318">
        <v>89981171.171171173</v>
      </c>
      <c r="S318">
        <v>23884</v>
      </c>
      <c r="T318">
        <v>23739</v>
      </c>
    </row>
    <row r="319" spans="1:20" x14ac:dyDescent="0.35">
      <c r="A319" s="7" t="s">
        <v>419</v>
      </c>
      <c r="B319" s="12" t="s">
        <v>417</v>
      </c>
      <c r="C319">
        <v>67707054.357622132</v>
      </c>
      <c r="D319">
        <v>62896124.280431807</v>
      </c>
      <c r="E319">
        <v>3372522.522522524</v>
      </c>
      <c r="F319">
        <v>43995495.495495498</v>
      </c>
      <c r="G319">
        <v>18</v>
      </c>
      <c r="H319">
        <v>5</v>
      </c>
      <c r="K319">
        <v>23</v>
      </c>
      <c r="L319">
        <v>8</v>
      </c>
      <c r="M319">
        <v>14313641.441441443</v>
      </c>
      <c r="N319">
        <v>13279954.954954956</v>
      </c>
      <c r="O319">
        <v>24171867.117117114</v>
      </c>
      <c r="P319">
        <v>25278306.306306306</v>
      </c>
      <c r="Q319">
        <v>9275315.3153153155</v>
      </c>
      <c r="R319">
        <v>10087567.567567568</v>
      </c>
      <c r="S319">
        <v>2913</v>
      </c>
      <c r="T319">
        <v>2974</v>
      </c>
    </row>
    <row r="320" spans="1:20" x14ac:dyDescent="0.35">
      <c r="A320" s="7" t="s">
        <v>420</v>
      </c>
      <c r="B320" s="12" t="s">
        <v>238</v>
      </c>
      <c r="C320">
        <v>476615428.08304983</v>
      </c>
      <c r="D320">
        <v>490839827.98963523</v>
      </c>
      <c r="E320">
        <v>1784684.6846846889</v>
      </c>
      <c r="F320">
        <v>1306306.3063063079</v>
      </c>
      <c r="G320">
        <v>163</v>
      </c>
      <c r="H320">
        <v>134</v>
      </c>
      <c r="I320">
        <v>4</v>
      </c>
      <c r="K320">
        <v>280</v>
      </c>
      <c r="L320">
        <v>252</v>
      </c>
      <c r="M320">
        <v>61045495.495495498</v>
      </c>
      <c r="N320">
        <v>42783333.333333336</v>
      </c>
      <c r="O320">
        <v>113917684.68468469</v>
      </c>
      <c r="P320">
        <v>125613007.2072072</v>
      </c>
      <c r="Q320">
        <v>58725855.855855852</v>
      </c>
      <c r="R320">
        <v>34734594.594594598</v>
      </c>
      <c r="S320">
        <v>10926</v>
      </c>
      <c r="T320">
        <v>10719</v>
      </c>
    </row>
    <row r="321" spans="1:20" x14ac:dyDescent="0.35">
      <c r="A321" s="7" t="s">
        <v>421</v>
      </c>
      <c r="B321" s="12" t="s">
        <v>118</v>
      </c>
      <c r="C321">
        <v>463737027.99412918</v>
      </c>
      <c r="D321">
        <v>473172681.41612303</v>
      </c>
      <c r="E321">
        <v>209435650.45045045</v>
      </c>
      <c r="F321">
        <v>300458184.68468469</v>
      </c>
      <c r="G321">
        <v>278</v>
      </c>
      <c r="H321">
        <v>275</v>
      </c>
      <c r="I321">
        <v>1</v>
      </c>
      <c r="K321">
        <v>644</v>
      </c>
      <c r="L321">
        <v>838</v>
      </c>
      <c r="M321">
        <v>117393144.14414415</v>
      </c>
      <c r="N321">
        <v>132156533.33333333</v>
      </c>
      <c r="O321">
        <v>211291142.34234235</v>
      </c>
      <c r="P321">
        <v>239562306.3063063</v>
      </c>
      <c r="Q321">
        <v>117274144.14414415</v>
      </c>
      <c r="R321">
        <v>132318063.06306306</v>
      </c>
      <c r="S321">
        <v>17140</v>
      </c>
      <c r="T321">
        <v>17915</v>
      </c>
    </row>
    <row r="322" spans="1:20" x14ac:dyDescent="0.35">
      <c r="A322" s="7" t="s">
        <v>422</v>
      </c>
      <c r="B322" s="12" t="s">
        <v>148</v>
      </c>
      <c r="C322">
        <v>11065883.770251011</v>
      </c>
      <c r="D322">
        <v>12885415.412497928</v>
      </c>
      <c r="G322">
        <v>2</v>
      </c>
      <c r="H322">
        <v>3</v>
      </c>
      <c r="K322">
        <v>2</v>
      </c>
      <c r="L322">
        <v>3</v>
      </c>
      <c r="O322">
        <v>4130261.2612612611</v>
      </c>
      <c r="P322">
        <v>4579495.4954954963</v>
      </c>
      <c r="S322">
        <v>642</v>
      </c>
      <c r="T322">
        <v>501</v>
      </c>
    </row>
    <row r="323" spans="1:20" x14ac:dyDescent="0.35">
      <c r="A323" s="7" t="s">
        <v>423</v>
      </c>
      <c r="B323" s="12" t="s">
        <v>306</v>
      </c>
      <c r="C323">
        <v>100867575.46989863</v>
      </c>
      <c r="D323">
        <v>94096139.816244498</v>
      </c>
      <c r="E323">
        <v>1817342.3423423411</v>
      </c>
      <c r="F323">
        <v>1881081.081081083</v>
      </c>
      <c r="G323">
        <v>52</v>
      </c>
      <c r="H323">
        <v>35</v>
      </c>
      <c r="K323">
        <v>64</v>
      </c>
      <c r="L323">
        <v>44</v>
      </c>
      <c r="M323">
        <v>18572972.97297297</v>
      </c>
      <c r="N323">
        <v>23205405.405405402</v>
      </c>
      <c r="O323">
        <v>20563115.315315314</v>
      </c>
      <c r="P323">
        <v>20701225.225225225</v>
      </c>
      <c r="Q323">
        <v>16516756.756756758</v>
      </c>
      <c r="R323">
        <v>20492432.432432432</v>
      </c>
      <c r="S323">
        <v>2328</v>
      </c>
      <c r="T323">
        <v>2224</v>
      </c>
    </row>
    <row r="324" spans="1:20" x14ac:dyDescent="0.35">
      <c r="A324" s="7" t="s">
        <v>424</v>
      </c>
      <c r="B324" s="12" t="s">
        <v>306</v>
      </c>
      <c r="C324">
        <v>116050461.50914679</v>
      </c>
      <c r="D324">
        <v>116040996.81442463</v>
      </c>
      <c r="E324">
        <v>2113288.2882882869</v>
      </c>
      <c r="F324">
        <v>2992792.7927928022</v>
      </c>
      <c r="G324">
        <v>84</v>
      </c>
      <c r="H324">
        <v>203</v>
      </c>
      <c r="K324">
        <v>156</v>
      </c>
      <c r="L324">
        <v>586</v>
      </c>
      <c r="M324">
        <v>22788288.288288288</v>
      </c>
      <c r="N324">
        <v>20875675.675675672</v>
      </c>
      <c r="O324">
        <v>25473396.396396399</v>
      </c>
      <c r="P324">
        <v>42586924.324324317</v>
      </c>
      <c r="Q324">
        <v>16759639.639639633</v>
      </c>
      <c r="R324">
        <v>19019099.099099096</v>
      </c>
      <c r="S324">
        <v>2928</v>
      </c>
      <c r="T324">
        <v>3338</v>
      </c>
    </row>
    <row r="325" spans="1:20" x14ac:dyDescent="0.35">
      <c r="A325" s="7" t="s">
        <v>425</v>
      </c>
      <c r="B325" s="12" t="s">
        <v>122</v>
      </c>
      <c r="C325">
        <v>4303114.2851504683</v>
      </c>
      <c r="D325">
        <v>6649893.1154721314</v>
      </c>
      <c r="E325">
        <v>13513.513513514001</v>
      </c>
      <c r="G325">
        <v>2</v>
      </c>
      <c r="H325">
        <v>2</v>
      </c>
      <c r="K325">
        <v>3</v>
      </c>
      <c r="L325">
        <v>2</v>
      </c>
      <c r="M325">
        <v>13513.513513514001</v>
      </c>
      <c r="O325">
        <v>285486.48648648598</v>
      </c>
      <c r="P325">
        <v>477927.92792792799</v>
      </c>
      <c r="R325">
        <v>82432.432432432004</v>
      </c>
      <c r="S325">
        <v>268</v>
      </c>
      <c r="T325">
        <v>199</v>
      </c>
    </row>
    <row r="326" spans="1:20" x14ac:dyDescent="0.35">
      <c r="A326" s="7" t="s">
        <v>426</v>
      </c>
      <c r="B326" s="12" t="s">
        <v>61</v>
      </c>
      <c r="C326">
        <v>58448661.867558777</v>
      </c>
      <c r="D326">
        <v>57438859.534055643</v>
      </c>
      <c r="E326">
        <v>777477.47747747798</v>
      </c>
      <c r="F326">
        <v>854954.95495495503</v>
      </c>
      <c r="G326">
        <v>37</v>
      </c>
      <c r="H326">
        <v>17</v>
      </c>
      <c r="I326">
        <v>5</v>
      </c>
      <c r="K326">
        <v>40</v>
      </c>
      <c r="L326">
        <v>20</v>
      </c>
      <c r="M326">
        <v>12860360.36036036</v>
      </c>
      <c r="N326">
        <v>16002702.702702705</v>
      </c>
      <c r="O326">
        <v>20474963.963963963</v>
      </c>
      <c r="P326">
        <v>21198054.054054052</v>
      </c>
      <c r="Q326">
        <v>11564324.324324325</v>
      </c>
      <c r="R326">
        <v>17242342.342342339</v>
      </c>
      <c r="S326">
        <v>2231</v>
      </c>
      <c r="T326">
        <v>2081</v>
      </c>
    </row>
    <row r="327" spans="1:20" x14ac:dyDescent="0.35">
      <c r="A327" s="7" t="s">
        <v>427</v>
      </c>
      <c r="B327" s="12" t="s">
        <v>182</v>
      </c>
      <c r="C327">
        <v>587905905.84995902</v>
      </c>
      <c r="D327">
        <v>614398345.84048307</v>
      </c>
      <c r="E327">
        <v>6866666.6666666716</v>
      </c>
      <c r="F327">
        <v>6533333.3333333414</v>
      </c>
      <c r="G327">
        <v>217</v>
      </c>
      <c r="H327">
        <v>228</v>
      </c>
      <c r="I327">
        <v>1</v>
      </c>
      <c r="K327">
        <v>307</v>
      </c>
      <c r="L327">
        <v>281</v>
      </c>
      <c r="M327">
        <v>79727027.027027026</v>
      </c>
      <c r="N327">
        <v>112637252.25225224</v>
      </c>
      <c r="O327">
        <v>174067261.26126125</v>
      </c>
      <c r="P327">
        <v>178878108.1081081</v>
      </c>
      <c r="Q327">
        <v>76076666.666666672</v>
      </c>
      <c r="R327">
        <v>113180720.72072071</v>
      </c>
      <c r="S327">
        <v>21645</v>
      </c>
      <c r="T327">
        <v>25218</v>
      </c>
    </row>
    <row r="328" spans="1:20" x14ac:dyDescent="0.35">
      <c r="A328" s="7" t="s">
        <v>428</v>
      </c>
      <c r="B328" s="12" t="s">
        <v>77</v>
      </c>
      <c r="C328">
        <v>17242138.750030492</v>
      </c>
      <c r="D328">
        <v>17053568.998890884</v>
      </c>
      <c r="E328">
        <v>27027.027027028002</v>
      </c>
      <c r="F328">
        <v>126126.12612612599</v>
      </c>
      <c r="H328">
        <v>3</v>
      </c>
      <c r="L328">
        <v>4</v>
      </c>
      <c r="M328">
        <v>927927.92792792805</v>
      </c>
      <c r="N328">
        <v>2648648.6486486481</v>
      </c>
      <c r="O328">
        <v>1566774.7747747749</v>
      </c>
      <c r="P328">
        <v>3292387.387387387</v>
      </c>
      <c r="Q328">
        <v>1394594.594594595</v>
      </c>
      <c r="R328">
        <v>1642522.5225225231</v>
      </c>
      <c r="S328">
        <v>710</v>
      </c>
      <c r="T328">
        <v>919</v>
      </c>
    </row>
    <row r="329" spans="1:20" x14ac:dyDescent="0.35">
      <c r="A329" s="7" t="s">
        <v>429</v>
      </c>
      <c r="B329" s="12" t="s">
        <v>77</v>
      </c>
      <c r="C329">
        <v>68132547.427941248</v>
      </c>
      <c r="D329">
        <v>68834986.685685247</v>
      </c>
      <c r="E329">
        <v>126126.126126128</v>
      </c>
      <c r="F329">
        <v>903603.60360360297</v>
      </c>
      <c r="G329">
        <v>15</v>
      </c>
      <c r="H329">
        <v>19</v>
      </c>
      <c r="K329">
        <v>16</v>
      </c>
      <c r="L329">
        <v>19</v>
      </c>
      <c r="M329">
        <v>8792522.5225225221</v>
      </c>
      <c r="N329">
        <v>11300900.9009009</v>
      </c>
      <c r="O329">
        <v>15331279.27927928</v>
      </c>
      <c r="P329">
        <v>17120810.810810812</v>
      </c>
      <c r="Q329">
        <v>7270450.4504504493</v>
      </c>
      <c r="R329">
        <v>7295225.2252252242</v>
      </c>
      <c r="S329">
        <v>1326</v>
      </c>
      <c r="T329">
        <v>1465</v>
      </c>
    </row>
    <row r="330" spans="1:20" x14ac:dyDescent="0.35">
      <c r="A330" s="7" t="s">
        <v>430</v>
      </c>
      <c r="B330" s="12" t="s">
        <v>332</v>
      </c>
      <c r="C330">
        <v>337822165.16238981</v>
      </c>
      <c r="D330">
        <v>327177631.24997103</v>
      </c>
      <c r="E330">
        <v>2345720.7207207242</v>
      </c>
      <c r="F330">
        <v>959909.90990991099</v>
      </c>
      <c r="G330">
        <v>130</v>
      </c>
      <c r="H330">
        <v>109</v>
      </c>
      <c r="K330">
        <v>150</v>
      </c>
      <c r="L330">
        <v>130</v>
      </c>
      <c r="M330">
        <v>20246846.846846849</v>
      </c>
      <c r="N330">
        <v>30760810.810810808</v>
      </c>
      <c r="O330">
        <v>60567272.522522517</v>
      </c>
      <c r="P330">
        <v>63433837.837837838</v>
      </c>
      <c r="Q330">
        <v>16249639.639639637</v>
      </c>
      <c r="R330">
        <v>27405135.135135137</v>
      </c>
      <c r="S330">
        <v>11492</v>
      </c>
      <c r="T330">
        <v>11760</v>
      </c>
    </row>
    <row r="331" spans="1:20" x14ac:dyDescent="0.35">
      <c r="A331" s="7" t="s">
        <v>431</v>
      </c>
      <c r="B331" s="12" t="s">
        <v>243</v>
      </c>
      <c r="C331">
        <v>87610615.20124875</v>
      </c>
      <c r="D331">
        <v>83874567.168716297</v>
      </c>
      <c r="E331">
        <v>39731351.351351351</v>
      </c>
      <c r="F331">
        <v>36325225.225225225</v>
      </c>
      <c r="G331">
        <v>30</v>
      </c>
      <c r="H331">
        <v>25</v>
      </c>
      <c r="K331">
        <v>33</v>
      </c>
      <c r="L331">
        <v>29</v>
      </c>
      <c r="M331">
        <v>10803963.963963961</v>
      </c>
      <c r="N331">
        <v>13055405.405405402</v>
      </c>
      <c r="O331">
        <v>32373117.117117122</v>
      </c>
      <c r="P331">
        <v>34822054.054054052</v>
      </c>
      <c r="Q331">
        <v>9670360.360360356</v>
      </c>
      <c r="R331">
        <v>14127927.927927924</v>
      </c>
      <c r="S331">
        <v>5328</v>
      </c>
      <c r="T331">
        <v>5307</v>
      </c>
    </row>
    <row r="332" spans="1:20" x14ac:dyDescent="0.35">
      <c r="A332" s="7" t="s">
        <v>432</v>
      </c>
      <c r="B332" s="12" t="s">
        <v>285</v>
      </c>
      <c r="C332">
        <v>37639440.308792673</v>
      </c>
      <c r="D332">
        <v>47974505.796299741</v>
      </c>
      <c r="E332">
        <v>502702.702702704</v>
      </c>
      <c r="F332">
        <v>750450.450450451</v>
      </c>
      <c r="G332">
        <v>3</v>
      </c>
      <c r="H332">
        <v>23</v>
      </c>
      <c r="K332">
        <v>30</v>
      </c>
      <c r="L332">
        <v>42</v>
      </c>
      <c r="M332">
        <v>24637837.837837841</v>
      </c>
      <c r="N332">
        <v>13236936.936936935</v>
      </c>
      <c r="O332">
        <v>7547459.4594594594</v>
      </c>
      <c r="P332">
        <v>12318792.792792792</v>
      </c>
      <c r="Q332">
        <v>25910630.630630631</v>
      </c>
      <c r="R332">
        <v>10920000</v>
      </c>
      <c r="S332">
        <v>1215</v>
      </c>
      <c r="T332">
        <v>1416</v>
      </c>
    </row>
    <row r="333" spans="1:20" x14ac:dyDescent="0.35">
      <c r="A333" s="7" t="s">
        <v>433</v>
      </c>
      <c r="B333" s="12" t="s">
        <v>285</v>
      </c>
      <c r="C333">
        <v>12290677.985108051</v>
      </c>
      <c r="D333">
        <v>11969419.94448081</v>
      </c>
      <c r="E333">
        <v>176140196.3963964</v>
      </c>
      <c r="F333">
        <v>92242082.882882878</v>
      </c>
      <c r="H333">
        <v>1</v>
      </c>
      <c r="L333">
        <v>1</v>
      </c>
      <c r="M333">
        <v>21776910.810810808</v>
      </c>
      <c r="N333">
        <v>18692037.837837838</v>
      </c>
      <c r="O333">
        <v>731351.35135135101</v>
      </c>
      <c r="P333">
        <v>1340360.36036036</v>
      </c>
      <c r="Q333">
        <v>2856126.1261261259</v>
      </c>
      <c r="R333">
        <v>4395855.8558558552</v>
      </c>
      <c r="S333">
        <v>533</v>
      </c>
      <c r="T333">
        <v>367</v>
      </c>
    </row>
    <row r="334" spans="1:20" x14ac:dyDescent="0.35">
      <c r="A334" s="7" t="s">
        <v>434</v>
      </c>
      <c r="B334" s="12" t="s">
        <v>285</v>
      </c>
      <c r="C334">
        <v>26437225.894256748</v>
      </c>
      <c r="D334">
        <v>29010605.730437376</v>
      </c>
      <c r="E334">
        <v>189189.189189189</v>
      </c>
      <c r="F334">
        <v>14414.414414415</v>
      </c>
      <c r="G334">
        <v>4</v>
      </c>
      <c r="K334">
        <v>4</v>
      </c>
      <c r="M334">
        <v>279279.279279279</v>
      </c>
      <c r="N334">
        <v>14414.414414415</v>
      </c>
      <c r="O334">
        <v>2462792.792792792</v>
      </c>
      <c r="P334">
        <v>2761801.8018018012</v>
      </c>
      <c r="Q334">
        <v>173423.423423423</v>
      </c>
      <c r="R334">
        <v>119549.54954955001</v>
      </c>
      <c r="S334">
        <v>828</v>
      </c>
      <c r="T334">
        <v>865</v>
      </c>
    </row>
    <row r="335" spans="1:20" x14ac:dyDescent="0.35">
      <c r="A335" s="7" t="s">
        <v>435</v>
      </c>
      <c r="B335" s="12" t="s">
        <v>79</v>
      </c>
      <c r="C335">
        <v>151764991.0116033</v>
      </c>
      <c r="D335">
        <v>158303846.18752423</v>
      </c>
      <c r="E335">
        <v>1640540.540540542</v>
      </c>
      <c r="F335">
        <v>2781081.0810810849</v>
      </c>
      <c r="G335">
        <v>114</v>
      </c>
      <c r="H335">
        <v>72</v>
      </c>
      <c r="K335">
        <v>172</v>
      </c>
      <c r="L335">
        <v>131</v>
      </c>
      <c r="M335">
        <v>13406306.306306304</v>
      </c>
      <c r="N335">
        <v>20718018.018018018</v>
      </c>
      <c r="O335">
        <v>64540099.0990991</v>
      </c>
      <c r="P335">
        <v>69090468.468468457</v>
      </c>
      <c r="Q335">
        <v>14055315.315315314</v>
      </c>
      <c r="R335">
        <v>18090810.810810812</v>
      </c>
      <c r="S335">
        <v>6675</v>
      </c>
      <c r="T335">
        <v>6508</v>
      </c>
    </row>
    <row r="336" spans="1:20" x14ac:dyDescent="0.35">
      <c r="A336" s="7" t="s">
        <v>436</v>
      </c>
      <c r="B336" s="12" t="s">
        <v>106</v>
      </c>
      <c r="C336">
        <v>134093095.03264825</v>
      </c>
      <c r="D336">
        <v>135043485.52797574</v>
      </c>
      <c r="E336">
        <v>377477.47747747798</v>
      </c>
      <c r="F336">
        <v>405405.40540540603</v>
      </c>
      <c r="G336">
        <v>15</v>
      </c>
      <c r="H336">
        <v>29</v>
      </c>
      <c r="I336">
        <v>1</v>
      </c>
      <c r="K336">
        <v>17</v>
      </c>
      <c r="L336">
        <v>35</v>
      </c>
      <c r="M336">
        <v>15925180.180180181</v>
      </c>
      <c r="N336">
        <v>15772072.072072072</v>
      </c>
      <c r="O336">
        <v>31988126.126126129</v>
      </c>
      <c r="P336">
        <v>37358045.045045048</v>
      </c>
      <c r="Q336">
        <v>18064459.459459461</v>
      </c>
      <c r="R336">
        <v>15628108.108108109</v>
      </c>
      <c r="S336">
        <v>3621</v>
      </c>
      <c r="T336">
        <v>3235</v>
      </c>
    </row>
    <row r="337" spans="1:20" x14ac:dyDescent="0.35">
      <c r="A337" s="7" t="s">
        <v>437</v>
      </c>
      <c r="B337" s="12" t="s">
        <v>73</v>
      </c>
      <c r="C337">
        <v>746837656.62666094</v>
      </c>
      <c r="D337">
        <v>761330814.83593738</v>
      </c>
      <c r="E337">
        <v>36821171.171171181</v>
      </c>
      <c r="F337">
        <v>54091891.891891904</v>
      </c>
      <c r="G337">
        <v>188</v>
      </c>
      <c r="H337">
        <v>162</v>
      </c>
      <c r="I337">
        <v>4</v>
      </c>
      <c r="K337">
        <v>296</v>
      </c>
      <c r="L337">
        <v>212</v>
      </c>
      <c r="M337">
        <v>111221171.17117117</v>
      </c>
      <c r="N337">
        <v>125952477.47747748</v>
      </c>
      <c r="O337">
        <v>156775493.24324322</v>
      </c>
      <c r="P337">
        <v>171296720.72072074</v>
      </c>
      <c r="Q337">
        <v>83447117.117117122</v>
      </c>
      <c r="R337">
        <v>85292882.882882878</v>
      </c>
      <c r="S337">
        <v>18283</v>
      </c>
      <c r="T337">
        <v>18144</v>
      </c>
    </row>
    <row r="338" spans="1:20" x14ac:dyDescent="0.35">
      <c r="A338" s="7" t="s">
        <v>438</v>
      </c>
      <c r="B338" s="12" t="s">
        <v>73</v>
      </c>
      <c r="C338">
        <v>514834194.3087092</v>
      </c>
      <c r="D338">
        <v>533813306.36009729</v>
      </c>
      <c r="E338">
        <v>3176801.8018018091</v>
      </c>
      <c r="F338">
        <v>4009909.909909918</v>
      </c>
      <c r="G338">
        <v>121</v>
      </c>
      <c r="H338">
        <v>81</v>
      </c>
      <c r="I338">
        <v>2</v>
      </c>
      <c r="K338">
        <v>133</v>
      </c>
      <c r="L338">
        <v>90</v>
      </c>
      <c r="M338">
        <v>58124324.324324317</v>
      </c>
      <c r="N338">
        <v>64694594.59459459</v>
      </c>
      <c r="O338">
        <v>96149684.684684694</v>
      </c>
      <c r="P338">
        <v>115270486.48648648</v>
      </c>
      <c r="Q338">
        <v>41090540.540540546</v>
      </c>
      <c r="R338">
        <v>46441441.441441439</v>
      </c>
      <c r="S338">
        <v>13688</v>
      </c>
      <c r="T338">
        <v>14614</v>
      </c>
    </row>
    <row r="339" spans="1:20" x14ac:dyDescent="0.35">
      <c r="A339" s="7" t="s">
        <v>439</v>
      </c>
      <c r="B339" s="12" t="s">
        <v>95</v>
      </c>
      <c r="C339">
        <v>35940240.986371338</v>
      </c>
      <c r="D339">
        <v>39199539.463832669</v>
      </c>
      <c r="E339">
        <v>13513.513513514001</v>
      </c>
      <c r="G339">
        <v>3</v>
      </c>
      <c r="H339">
        <v>3</v>
      </c>
      <c r="K339">
        <v>3</v>
      </c>
      <c r="L339">
        <v>5</v>
      </c>
      <c r="M339">
        <v>554054.05405405397</v>
      </c>
      <c r="N339">
        <v>450450.45045045001</v>
      </c>
      <c r="O339">
        <v>8438540.5405405406</v>
      </c>
      <c r="P339">
        <v>10896288.288288288</v>
      </c>
      <c r="Q339">
        <v>337837.83783783799</v>
      </c>
      <c r="R339">
        <v>273423.42342342302</v>
      </c>
      <c r="S339">
        <v>913</v>
      </c>
      <c r="T339">
        <v>896</v>
      </c>
    </row>
    <row r="340" spans="1:20" x14ac:dyDescent="0.35">
      <c r="A340" s="7" t="s">
        <v>440</v>
      </c>
      <c r="B340" s="12" t="s">
        <v>90</v>
      </c>
      <c r="C340">
        <v>186516816.14941698</v>
      </c>
      <c r="D340">
        <v>205890383.18400732</v>
      </c>
      <c r="E340">
        <v>2411711.7117117178</v>
      </c>
      <c r="F340">
        <v>3209009.009009012</v>
      </c>
      <c r="G340">
        <v>60</v>
      </c>
      <c r="H340">
        <v>26</v>
      </c>
      <c r="K340">
        <v>67</v>
      </c>
      <c r="L340">
        <v>30</v>
      </c>
      <c r="M340">
        <v>25510450.45045045</v>
      </c>
      <c r="N340">
        <v>29598648.648648649</v>
      </c>
      <c r="O340">
        <v>83774049.54954955</v>
      </c>
      <c r="P340">
        <v>94681342.342342332</v>
      </c>
      <c r="Q340">
        <v>24556936.936936937</v>
      </c>
      <c r="R340">
        <v>33801081.081081077</v>
      </c>
      <c r="S340">
        <v>6060</v>
      </c>
      <c r="T340">
        <v>5484</v>
      </c>
    </row>
    <row r="341" spans="1:20" x14ac:dyDescent="0.35">
      <c r="A341" s="7" t="s">
        <v>441</v>
      </c>
      <c r="B341" s="12" t="s">
        <v>71</v>
      </c>
      <c r="C341">
        <v>5715043.3021629751</v>
      </c>
      <c r="D341">
        <v>5318930.3048044862</v>
      </c>
      <c r="G341">
        <v>5</v>
      </c>
      <c r="H341">
        <v>2</v>
      </c>
      <c r="K341">
        <v>5</v>
      </c>
      <c r="L341">
        <v>2</v>
      </c>
      <c r="O341">
        <v>3859180.1801801799</v>
      </c>
      <c r="P341">
        <v>3735666.666666667</v>
      </c>
      <c r="S341">
        <v>2351</v>
      </c>
      <c r="T341">
        <v>2474</v>
      </c>
    </row>
    <row r="342" spans="1:20" x14ac:dyDescent="0.35">
      <c r="A342" s="7" t="s">
        <v>442</v>
      </c>
      <c r="B342" s="12" t="s">
        <v>197</v>
      </c>
      <c r="C342">
        <v>876757705.30690742</v>
      </c>
      <c r="D342">
        <v>901446568.81884646</v>
      </c>
      <c r="E342">
        <v>98750650.45045045</v>
      </c>
      <c r="F342">
        <v>170417230.63063061</v>
      </c>
      <c r="G342">
        <v>225</v>
      </c>
      <c r="H342">
        <v>99</v>
      </c>
      <c r="K342">
        <v>297</v>
      </c>
      <c r="L342">
        <v>190</v>
      </c>
      <c r="M342">
        <v>80410270.270270273</v>
      </c>
      <c r="N342">
        <v>80712837.837837845</v>
      </c>
      <c r="O342">
        <v>150793968.46846849</v>
      </c>
      <c r="P342">
        <v>158952457.65765765</v>
      </c>
      <c r="Q342">
        <v>69805945.945945948</v>
      </c>
      <c r="R342">
        <v>65865090.090090096</v>
      </c>
      <c r="S342">
        <v>21168</v>
      </c>
      <c r="T342">
        <v>20969</v>
      </c>
    </row>
    <row r="343" spans="1:20" x14ac:dyDescent="0.35">
      <c r="A343" s="7" t="s">
        <v>443</v>
      </c>
      <c r="B343" s="12" t="s">
        <v>179</v>
      </c>
      <c r="C343">
        <v>437939468.62870407</v>
      </c>
      <c r="D343">
        <v>432577024.85547</v>
      </c>
      <c r="E343">
        <v>2791891.8918918981</v>
      </c>
      <c r="F343">
        <v>1579279.2792792821</v>
      </c>
      <c r="G343">
        <v>52</v>
      </c>
      <c r="H343">
        <v>42</v>
      </c>
      <c r="K343">
        <v>124</v>
      </c>
      <c r="L343">
        <v>59</v>
      </c>
      <c r="M343">
        <v>82779314.414414421</v>
      </c>
      <c r="N343">
        <v>70460360.360360354</v>
      </c>
      <c r="O343">
        <v>175849626.12612611</v>
      </c>
      <c r="P343">
        <v>182571423.42342341</v>
      </c>
      <c r="Q343">
        <v>69818963.963963956</v>
      </c>
      <c r="R343">
        <v>60482792.792792797</v>
      </c>
      <c r="S343">
        <v>14721</v>
      </c>
      <c r="T343">
        <v>14778</v>
      </c>
    </row>
    <row r="344" spans="1:20" x14ac:dyDescent="0.35">
      <c r="A344" s="7" t="s">
        <v>444</v>
      </c>
      <c r="B344" s="12" t="s">
        <v>79</v>
      </c>
      <c r="C344">
        <v>190691658.32942849</v>
      </c>
      <c r="D344">
        <v>185784411.65448359</v>
      </c>
      <c r="E344">
        <v>2682882.8828828838</v>
      </c>
      <c r="F344">
        <v>3322072.0720720752</v>
      </c>
      <c r="G344">
        <v>43</v>
      </c>
      <c r="H344">
        <v>72</v>
      </c>
      <c r="I344">
        <v>4</v>
      </c>
      <c r="K344">
        <v>64</v>
      </c>
      <c r="L344">
        <v>98</v>
      </c>
      <c r="M344">
        <v>18655855.855855856</v>
      </c>
      <c r="N344">
        <v>27168918.918918919</v>
      </c>
      <c r="O344">
        <v>38533747.747747742</v>
      </c>
      <c r="P344">
        <v>42530846.846846849</v>
      </c>
      <c r="Q344">
        <v>19141531.531531531</v>
      </c>
      <c r="R344">
        <v>22479189.189189188</v>
      </c>
      <c r="S344">
        <v>4589</v>
      </c>
      <c r="T344">
        <v>4925</v>
      </c>
    </row>
    <row r="345" spans="1:20" x14ac:dyDescent="0.35">
      <c r="A345" s="7" t="s">
        <v>445</v>
      </c>
      <c r="B345" s="12" t="s">
        <v>79</v>
      </c>
      <c r="C345">
        <v>78727301.494676933</v>
      </c>
      <c r="D345">
        <v>85466587.957943663</v>
      </c>
      <c r="E345">
        <v>1333333.3333333349</v>
      </c>
      <c r="F345">
        <v>1320720.7207207249</v>
      </c>
      <c r="G345">
        <v>17</v>
      </c>
      <c r="H345">
        <v>16</v>
      </c>
      <c r="I345">
        <v>1</v>
      </c>
      <c r="K345">
        <v>22</v>
      </c>
      <c r="L345">
        <v>19</v>
      </c>
      <c r="M345">
        <v>16046666.666666666</v>
      </c>
      <c r="N345">
        <v>16444054.054054052</v>
      </c>
      <c r="O345">
        <v>16607981.981981982</v>
      </c>
      <c r="P345">
        <v>17753657.657657657</v>
      </c>
      <c r="Q345">
        <v>16048648.648648651</v>
      </c>
      <c r="R345">
        <v>15617927.927927928</v>
      </c>
      <c r="S345">
        <v>2323</v>
      </c>
      <c r="T345">
        <v>2365</v>
      </c>
    </row>
    <row r="346" spans="1:20" x14ac:dyDescent="0.35">
      <c r="A346" s="7" t="s">
        <v>446</v>
      </c>
      <c r="B346" s="12" t="s">
        <v>124</v>
      </c>
      <c r="C346">
        <v>1459208.6904243431</v>
      </c>
      <c r="D346">
        <v>641916.17299700005</v>
      </c>
      <c r="O346">
        <v>532747.74774774804</v>
      </c>
      <c r="P346">
        <v>245756.75675675701</v>
      </c>
      <c r="S346">
        <v>312</v>
      </c>
      <c r="T346">
        <v>314</v>
      </c>
    </row>
    <row r="347" spans="1:20" x14ac:dyDescent="0.35">
      <c r="A347" s="7" t="s">
        <v>447</v>
      </c>
      <c r="B347" s="12" t="s">
        <v>141</v>
      </c>
      <c r="C347">
        <v>193456980.56348285</v>
      </c>
      <c r="D347">
        <v>200228836.71797153</v>
      </c>
      <c r="E347">
        <v>1066216.2162162161</v>
      </c>
      <c r="F347">
        <v>2487837.8378378409</v>
      </c>
      <c r="G347">
        <v>32</v>
      </c>
      <c r="H347">
        <v>32</v>
      </c>
      <c r="I347">
        <v>6</v>
      </c>
      <c r="K347">
        <v>40</v>
      </c>
      <c r="L347">
        <v>40</v>
      </c>
      <c r="M347">
        <v>22479639.639639638</v>
      </c>
      <c r="N347">
        <v>25783603.603603605</v>
      </c>
      <c r="O347">
        <v>52260630.630630635</v>
      </c>
      <c r="P347">
        <v>57081990.990990989</v>
      </c>
      <c r="Q347">
        <v>18945585.585585583</v>
      </c>
      <c r="R347">
        <v>22256756.756756756</v>
      </c>
      <c r="S347">
        <v>5658</v>
      </c>
      <c r="T347">
        <v>5611</v>
      </c>
    </row>
    <row r="348" spans="1:20" x14ac:dyDescent="0.35">
      <c r="A348" s="7" t="s">
        <v>448</v>
      </c>
      <c r="B348" s="12" t="s">
        <v>77</v>
      </c>
      <c r="C348">
        <v>21107172.351587821</v>
      </c>
      <c r="D348">
        <v>19491968.440875765</v>
      </c>
      <c r="E348">
        <v>160360.36036036001</v>
      </c>
      <c r="F348">
        <v>99099.099099098996</v>
      </c>
      <c r="G348">
        <v>2</v>
      </c>
      <c r="H348">
        <v>1</v>
      </c>
      <c r="K348">
        <v>2</v>
      </c>
      <c r="L348">
        <v>1</v>
      </c>
      <c r="M348">
        <v>3358558.5585585581</v>
      </c>
      <c r="N348">
        <v>7081081.0810810803</v>
      </c>
      <c r="O348">
        <v>4475558.558558559</v>
      </c>
      <c r="P348">
        <v>4854927.927927928</v>
      </c>
      <c r="Q348">
        <v>3150450.4504504511</v>
      </c>
      <c r="R348">
        <v>5162792.7927927934</v>
      </c>
      <c r="S348">
        <v>548</v>
      </c>
      <c r="T348">
        <v>580</v>
      </c>
    </row>
    <row r="349" spans="1:20" x14ac:dyDescent="0.35">
      <c r="A349" s="7" t="s">
        <v>449</v>
      </c>
      <c r="B349" s="12" t="s">
        <v>90</v>
      </c>
      <c r="C349">
        <v>590661020.47466338</v>
      </c>
      <c r="D349">
        <v>594958216.5726074</v>
      </c>
      <c r="E349">
        <v>405779100.9009009</v>
      </c>
      <c r="F349">
        <v>494773688.2882883</v>
      </c>
      <c r="G349">
        <v>142</v>
      </c>
      <c r="H349">
        <v>86</v>
      </c>
      <c r="I349">
        <v>3</v>
      </c>
      <c r="K349">
        <v>751</v>
      </c>
      <c r="L349">
        <v>159</v>
      </c>
      <c r="M349">
        <v>243154684.68468469</v>
      </c>
      <c r="N349">
        <v>85328918.918918908</v>
      </c>
      <c r="O349">
        <v>194578178.37837836</v>
      </c>
      <c r="P349">
        <v>192956639.63963965</v>
      </c>
      <c r="Q349">
        <v>134953243.24324322</v>
      </c>
      <c r="R349">
        <v>88038108.108108118</v>
      </c>
      <c r="S349">
        <v>17359</v>
      </c>
      <c r="T349">
        <v>16220</v>
      </c>
    </row>
    <row r="350" spans="1:20" x14ac:dyDescent="0.35">
      <c r="A350" s="7" t="s">
        <v>450</v>
      </c>
      <c r="B350" s="12" t="s">
        <v>49</v>
      </c>
      <c r="C350">
        <v>57670262.527905352</v>
      </c>
      <c r="D350">
        <v>59738513.834829286</v>
      </c>
      <c r="E350">
        <v>630630.630630631</v>
      </c>
      <c r="F350">
        <v>545945.94594594603</v>
      </c>
      <c r="G350">
        <v>5</v>
      </c>
      <c r="H350">
        <v>2</v>
      </c>
      <c r="K350">
        <v>6</v>
      </c>
      <c r="L350">
        <v>2</v>
      </c>
      <c r="M350">
        <v>16327747.747747747</v>
      </c>
      <c r="N350">
        <v>10392792.792792792</v>
      </c>
      <c r="O350">
        <v>19215441.441441439</v>
      </c>
      <c r="P350">
        <v>21068729.729729727</v>
      </c>
      <c r="Q350">
        <v>16434054.054054055</v>
      </c>
      <c r="R350">
        <v>10904684.684684685</v>
      </c>
      <c r="S350">
        <v>1039</v>
      </c>
      <c r="T350">
        <v>1102</v>
      </c>
    </row>
    <row r="351" spans="1:20" x14ac:dyDescent="0.35">
      <c r="A351" s="7" t="s">
        <v>451</v>
      </c>
      <c r="B351" s="12" t="s">
        <v>452</v>
      </c>
      <c r="C351">
        <v>113885643.18805702</v>
      </c>
      <c r="D351">
        <v>128253179.8647745</v>
      </c>
      <c r="E351">
        <v>2946846.8468468478</v>
      </c>
      <c r="F351">
        <v>2041441.441441444</v>
      </c>
      <c r="G351">
        <v>115</v>
      </c>
      <c r="H351">
        <v>44</v>
      </c>
      <c r="K351">
        <v>166</v>
      </c>
      <c r="L351">
        <v>69</v>
      </c>
      <c r="M351">
        <v>10960180.180180183</v>
      </c>
      <c r="N351">
        <v>60475450.45045045</v>
      </c>
      <c r="O351">
        <v>47668099.0990991</v>
      </c>
      <c r="P351">
        <v>51772000</v>
      </c>
      <c r="Q351">
        <v>12294324.324324327</v>
      </c>
      <c r="R351">
        <v>60075540.540540546</v>
      </c>
      <c r="S351">
        <v>5816</v>
      </c>
      <c r="T351">
        <v>5954</v>
      </c>
    </row>
    <row r="352" spans="1:20" x14ac:dyDescent="0.35">
      <c r="A352" s="7" t="s">
        <v>453</v>
      </c>
      <c r="B352" s="12" t="s">
        <v>77</v>
      </c>
      <c r="C352">
        <v>27076172.267363999</v>
      </c>
      <c r="D352">
        <v>30616719.796785161</v>
      </c>
      <c r="E352">
        <v>320720.72072072199</v>
      </c>
      <c r="F352">
        <v>217117.117117118</v>
      </c>
      <c r="G352">
        <v>20</v>
      </c>
      <c r="H352">
        <v>13</v>
      </c>
      <c r="K352">
        <v>20</v>
      </c>
      <c r="L352">
        <v>15</v>
      </c>
      <c r="M352">
        <v>8886306.3063063063</v>
      </c>
      <c r="N352">
        <v>9467567.5675675683</v>
      </c>
      <c r="O352">
        <v>9563340.5405405406</v>
      </c>
      <c r="P352">
        <v>10386765.765765766</v>
      </c>
      <c r="Q352">
        <v>6738918.9189189207</v>
      </c>
      <c r="R352">
        <v>6417387.3873873884</v>
      </c>
      <c r="S352">
        <v>2298</v>
      </c>
      <c r="T352">
        <v>2487</v>
      </c>
    </row>
    <row r="353" spans="1:20" x14ac:dyDescent="0.35">
      <c r="A353" s="7" t="s">
        <v>454</v>
      </c>
      <c r="B353" s="12" t="s">
        <v>84</v>
      </c>
      <c r="C353">
        <v>1055961355.1347601</v>
      </c>
      <c r="D353">
        <v>1108003141.2165949</v>
      </c>
      <c r="E353">
        <v>263223190.09009013</v>
      </c>
      <c r="F353">
        <v>378195918.01801807</v>
      </c>
      <c r="G353">
        <v>240</v>
      </c>
      <c r="H353">
        <v>151</v>
      </c>
      <c r="I353">
        <v>1</v>
      </c>
      <c r="K353">
        <v>335</v>
      </c>
      <c r="L353">
        <v>215</v>
      </c>
      <c r="M353">
        <v>141401351.35135135</v>
      </c>
      <c r="N353">
        <v>167575360.36036035</v>
      </c>
      <c r="O353">
        <v>227771961.7117117</v>
      </c>
      <c r="P353">
        <v>256212818.01801801</v>
      </c>
      <c r="Q353">
        <v>129467657.65765765</v>
      </c>
      <c r="R353">
        <v>154064009.00900903</v>
      </c>
      <c r="S353">
        <v>31661</v>
      </c>
      <c r="T353">
        <v>32204</v>
      </c>
    </row>
    <row r="354" spans="1:20" x14ac:dyDescent="0.35">
      <c r="A354" s="7" t="s">
        <v>455</v>
      </c>
      <c r="B354" s="12" t="s">
        <v>71</v>
      </c>
      <c r="C354">
        <v>68723480.979272813</v>
      </c>
      <c r="D354">
        <v>69183318.778858766</v>
      </c>
      <c r="E354">
        <v>127114204.50450452</v>
      </c>
      <c r="F354">
        <v>121110599.0990991</v>
      </c>
      <c r="G354">
        <v>14</v>
      </c>
      <c r="H354">
        <v>6</v>
      </c>
      <c r="K354">
        <v>16</v>
      </c>
      <c r="L354">
        <v>7</v>
      </c>
      <c r="M354">
        <v>55617352.252252258</v>
      </c>
      <c r="N354">
        <v>59724010.810810819</v>
      </c>
      <c r="O354">
        <v>42378459.459459454</v>
      </c>
      <c r="P354">
        <v>39015432.432432435</v>
      </c>
      <c r="Q354">
        <v>1302342.3423423429</v>
      </c>
      <c r="R354">
        <v>2369369.369369369</v>
      </c>
      <c r="S354">
        <v>2922</v>
      </c>
      <c r="T354">
        <v>2625</v>
      </c>
    </row>
    <row r="355" spans="1:20" x14ac:dyDescent="0.35">
      <c r="A355" s="7" t="s">
        <v>456</v>
      </c>
      <c r="B355" s="12" t="s">
        <v>168</v>
      </c>
      <c r="C355">
        <v>82698653.772077203</v>
      </c>
      <c r="D355">
        <v>86641352.562950194</v>
      </c>
      <c r="E355">
        <v>495495.49549549498</v>
      </c>
      <c r="F355">
        <v>384684.68468468502</v>
      </c>
      <c r="G355">
        <v>4</v>
      </c>
      <c r="H355">
        <v>14</v>
      </c>
      <c r="K355">
        <v>4</v>
      </c>
      <c r="L355">
        <v>14</v>
      </c>
      <c r="M355">
        <v>2371621.6216216241</v>
      </c>
      <c r="N355">
        <v>2258558.5585585572</v>
      </c>
      <c r="O355">
        <v>15276279.27927928</v>
      </c>
      <c r="P355">
        <v>20466153.153153151</v>
      </c>
      <c r="Q355">
        <v>3558738.7387387408</v>
      </c>
      <c r="R355">
        <v>3150990.9909909889</v>
      </c>
      <c r="S355">
        <v>2682</v>
      </c>
      <c r="T355">
        <v>2783</v>
      </c>
    </row>
    <row r="356" spans="1:20" x14ac:dyDescent="0.35">
      <c r="A356" s="7" t="s">
        <v>457</v>
      </c>
      <c r="B356" s="12" t="s">
        <v>122</v>
      </c>
      <c r="C356">
        <v>3618339.5836490379</v>
      </c>
      <c r="D356">
        <v>3894532.5357904108</v>
      </c>
      <c r="E356">
        <v>34234.234234233998</v>
      </c>
      <c r="M356">
        <v>36036.036036035999</v>
      </c>
      <c r="O356">
        <v>301126.12612612598</v>
      </c>
      <c r="P356">
        <v>201081.08108108101</v>
      </c>
      <c r="S356">
        <v>127</v>
      </c>
      <c r="T356">
        <v>144</v>
      </c>
    </row>
    <row r="357" spans="1:20" x14ac:dyDescent="0.35">
      <c r="A357" s="7" t="s">
        <v>458</v>
      </c>
      <c r="B357" s="12" t="s">
        <v>226</v>
      </c>
      <c r="C357">
        <v>27451330.958320808</v>
      </c>
      <c r="D357">
        <v>30881767.979010493</v>
      </c>
      <c r="E357">
        <v>113445945.94594595</v>
      </c>
      <c r="F357">
        <v>125045045.04504503</v>
      </c>
      <c r="K357">
        <v>1</v>
      </c>
      <c r="M357">
        <v>2846621.6216216218</v>
      </c>
      <c r="N357">
        <v>1891891.8918918921</v>
      </c>
      <c r="O357">
        <v>5753819.8198198201</v>
      </c>
      <c r="P357">
        <v>9066360.3603603598</v>
      </c>
      <c r="Q357">
        <v>138828.82882882899</v>
      </c>
      <c r="R357">
        <v>67027.027027026998</v>
      </c>
      <c r="S357">
        <v>1469</v>
      </c>
      <c r="T357">
        <v>1303</v>
      </c>
    </row>
    <row r="358" spans="1:20" x14ac:dyDescent="0.35">
      <c r="A358" s="7" t="s">
        <v>459</v>
      </c>
      <c r="B358" s="12" t="s">
        <v>95</v>
      </c>
      <c r="C358">
        <v>46243701.940356232</v>
      </c>
      <c r="D358">
        <v>56205647.665595353</v>
      </c>
      <c r="E358">
        <v>427927.92792792898</v>
      </c>
      <c r="F358">
        <v>936936.93693693995</v>
      </c>
      <c r="G358">
        <v>14</v>
      </c>
      <c r="H358">
        <v>23</v>
      </c>
      <c r="K358">
        <v>15</v>
      </c>
      <c r="L358">
        <v>25</v>
      </c>
      <c r="M358">
        <v>17238738.738738742</v>
      </c>
      <c r="N358">
        <v>11315315.315315315</v>
      </c>
      <c r="O358">
        <v>11313536.036036037</v>
      </c>
      <c r="P358">
        <v>15557698.198198197</v>
      </c>
      <c r="Q358">
        <v>16537927.927927928</v>
      </c>
      <c r="R358">
        <v>11554054.054054052</v>
      </c>
      <c r="S358">
        <v>2031</v>
      </c>
      <c r="T358">
        <v>2165</v>
      </c>
    </row>
    <row r="359" spans="1:20" x14ac:dyDescent="0.35">
      <c r="A359" s="7" t="s">
        <v>672</v>
      </c>
      <c r="B359" s="12" t="s">
        <v>191</v>
      </c>
      <c r="E359">
        <v>3603603.6036036038</v>
      </c>
      <c r="F359">
        <v>37972972.972972974</v>
      </c>
      <c r="M359">
        <v>14864.864864865</v>
      </c>
    </row>
    <row r="360" spans="1:20" x14ac:dyDescent="0.35">
      <c r="A360" s="7" t="s">
        <v>460</v>
      </c>
      <c r="B360" s="12" t="s">
        <v>61</v>
      </c>
      <c r="C360">
        <v>6150422.5947166579</v>
      </c>
      <c r="D360">
        <v>7842178.4178336347</v>
      </c>
      <c r="E360">
        <v>152252.25225225199</v>
      </c>
      <c r="G360">
        <v>5</v>
      </c>
      <c r="H360">
        <v>2</v>
      </c>
      <c r="K360">
        <v>6</v>
      </c>
      <c r="L360">
        <v>3</v>
      </c>
      <c r="M360">
        <v>1188288.288288289</v>
      </c>
      <c r="N360">
        <v>450450.45045045001</v>
      </c>
      <c r="O360">
        <v>2677153.1531531531</v>
      </c>
      <c r="P360">
        <v>4277819.8198198192</v>
      </c>
      <c r="Q360">
        <v>620270.27027026995</v>
      </c>
      <c r="R360">
        <v>523783.78378378402</v>
      </c>
      <c r="S360">
        <v>574</v>
      </c>
      <c r="T360">
        <v>589</v>
      </c>
    </row>
    <row r="361" spans="1:20" x14ac:dyDescent="0.35">
      <c r="A361" s="7" t="s">
        <v>461</v>
      </c>
      <c r="B361" s="12" t="s">
        <v>216</v>
      </c>
      <c r="C361">
        <v>115094146.55886763</v>
      </c>
      <c r="D361">
        <v>112244024.21231657</v>
      </c>
      <c r="E361">
        <v>369369.369369369</v>
      </c>
      <c r="G361">
        <v>27</v>
      </c>
      <c r="K361">
        <v>29</v>
      </c>
      <c r="M361">
        <v>909909.90990991006</v>
      </c>
      <c r="N361">
        <v>360360.36036036001</v>
      </c>
      <c r="O361">
        <v>58757981.981981985</v>
      </c>
      <c r="P361">
        <v>58539324.324324317</v>
      </c>
      <c r="Q361">
        <v>1704504.5045045051</v>
      </c>
      <c r="R361">
        <v>399909.90990991</v>
      </c>
      <c r="S361">
        <v>2860</v>
      </c>
      <c r="T361">
        <v>3083</v>
      </c>
    </row>
    <row r="362" spans="1:20" x14ac:dyDescent="0.35">
      <c r="A362" s="7" t="s">
        <v>462</v>
      </c>
      <c r="B362" s="12" t="s">
        <v>463</v>
      </c>
      <c r="C362">
        <v>446786254.36932254</v>
      </c>
      <c r="D362">
        <v>488529743.90415651</v>
      </c>
      <c r="E362">
        <v>8289639.6396396486</v>
      </c>
      <c r="F362">
        <v>13084684.684684694</v>
      </c>
      <c r="G362">
        <v>195</v>
      </c>
      <c r="H362">
        <v>179</v>
      </c>
      <c r="K362">
        <v>253</v>
      </c>
      <c r="L362">
        <v>288</v>
      </c>
      <c r="M362">
        <v>205787477.47747746</v>
      </c>
      <c r="N362">
        <v>126920135.13513513</v>
      </c>
      <c r="O362">
        <v>160283921.17117116</v>
      </c>
      <c r="P362">
        <v>182514908.1081081</v>
      </c>
      <c r="Q362">
        <v>103612612.61261261</v>
      </c>
      <c r="R362">
        <v>116105810.81081082</v>
      </c>
      <c r="S362">
        <v>23769</v>
      </c>
      <c r="T362">
        <v>25549</v>
      </c>
    </row>
    <row r="363" spans="1:20" x14ac:dyDescent="0.35">
      <c r="A363" s="7" t="s">
        <v>464</v>
      </c>
      <c r="B363" s="12" t="s">
        <v>463</v>
      </c>
      <c r="C363">
        <v>1362879012.8991647</v>
      </c>
      <c r="D363">
        <v>1718081403.2846048</v>
      </c>
      <c r="E363">
        <v>9851351.3513513561</v>
      </c>
      <c r="F363">
        <v>13050450.450450452</v>
      </c>
      <c r="G363">
        <v>398</v>
      </c>
      <c r="H363">
        <v>304</v>
      </c>
      <c r="I363">
        <v>1</v>
      </c>
      <c r="K363">
        <v>472</v>
      </c>
      <c r="L363">
        <v>483</v>
      </c>
      <c r="M363">
        <v>81432567.567567557</v>
      </c>
      <c r="N363">
        <v>104505855.85585585</v>
      </c>
      <c r="O363">
        <v>822657480.18018019</v>
      </c>
      <c r="P363">
        <v>1151650963.963964</v>
      </c>
      <c r="Q363">
        <v>76991216.216216207</v>
      </c>
      <c r="R363">
        <v>97884144.144144148</v>
      </c>
      <c r="S363">
        <v>32415</v>
      </c>
      <c r="T363">
        <v>31175</v>
      </c>
    </row>
    <row r="364" spans="1:20" x14ac:dyDescent="0.35">
      <c r="A364" s="7" t="s">
        <v>465</v>
      </c>
      <c r="B364" s="12" t="s">
        <v>463</v>
      </c>
      <c r="C364">
        <v>716247275.3354305</v>
      </c>
      <c r="D364">
        <v>730225214.3007592</v>
      </c>
      <c r="E364">
        <v>5950450.4504504558</v>
      </c>
      <c r="F364">
        <v>29238436.936936937</v>
      </c>
      <c r="G364">
        <v>240</v>
      </c>
      <c r="H364">
        <v>193</v>
      </c>
      <c r="I364">
        <v>6</v>
      </c>
      <c r="K364">
        <v>340</v>
      </c>
      <c r="L364">
        <v>307</v>
      </c>
      <c r="M364">
        <v>576312702.70270276</v>
      </c>
      <c r="N364">
        <v>1021136184.6846846</v>
      </c>
      <c r="O364">
        <v>199177650.9009009</v>
      </c>
      <c r="P364">
        <v>215001484.68468466</v>
      </c>
      <c r="Q364">
        <v>296841261.26126122</v>
      </c>
      <c r="R364">
        <v>103265855.85585585</v>
      </c>
      <c r="S364">
        <v>26039</v>
      </c>
      <c r="T364">
        <v>23304</v>
      </c>
    </row>
    <row r="365" spans="1:20" x14ac:dyDescent="0.35">
      <c r="A365" s="7" t="s">
        <v>466</v>
      </c>
      <c r="B365" s="12" t="s">
        <v>463</v>
      </c>
      <c r="C365">
        <v>518328372.65564519</v>
      </c>
      <c r="D365">
        <v>485845693.21354383</v>
      </c>
      <c r="E365">
        <v>312421621.62162161</v>
      </c>
      <c r="F365">
        <v>133401801.8018018</v>
      </c>
      <c r="G365">
        <v>162</v>
      </c>
      <c r="H365">
        <v>83</v>
      </c>
      <c r="K365">
        <v>202</v>
      </c>
      <c r="L365">
        <v>103</v>
      </c>
      <c r="M365">
        <v>86117252.252252251</v>
      </c>
      <c r="N365">
        <v>95075612.612612605</v>
      </c>
      <c r="O365">
        <v>120038009.009009</v>
      </c>
      <c r="P365">
        <v>123050666.66666667</v>
      </c>
      <c r="Q365">
        <v>50519324.324324317</v>
      </c>
      <c r="R365">
        <v>58619729.729729727</v>
      </c>
      <c r="S365">
        <v>18798</v>
      </c>
      <c r="T365">
        <v>17895</v>
      </c>
    </row>
    <row r="366" spans="1:20" x14ac:dyDescent="0.35">
      <c r="A366" s="7" t="s">
        <v>467</v>
      </c>
      <c r="B366" s="12" t="s">
        <v>463</v>
      </c>
      <c r="C366">
        <v>502834689.9045803</v>
      </c>
      <c r="D366">
        <v>532058932.97871912</v>
      </c>
      <c r="E366">
        <v>8024549.5495495554</v>
      </c>
      <c r="F366">
        <v>6896396.3963964051</v>
      </c>
      <c r="G366">
        <v>290</v>
      </c>
      <c r="H366">
        <v>202</v>
      </c>
      <c r="K366">
        <v>376</v>
      </c>
      <c r="L366">
        <v>925</v>
      </c>
      <c r="M366">
        <v>145813198.1981982</v>
      </c>
      <c r="N366">
        <v>102164414.41441442</v>
      </c>
      <c r="O366">
        <v>200727835.58558559</v>
      </c>
      <c r="P366">
        <v>213313810.8108108</v>
      </c>
      <c r="Q366">
        <v>134525000</v>
      </c>
      <c r="R366">
        <v>80421351.351351351</v>
      </c>
      <c r="S366">
        <v>25399</v>
      </c>
      <c r="T366">
        <v>26933</v>
      </c>
    </row>
    <row r="367" spans="1:20" x14ac:dyDescent="0.35">
      <c r="A367" s="7" t="s">
        <v>468</v>
      </c>
      <c r="B367" s="12" t="s">
        <v>463</v>
      </c>
      <c r="C367">
        <v>580424301.15042889</v>
      </c>
      <c r="D367">
        <v>571042341.87532246</v>
      </c>
      <c r="E367">
        <v>1496506354.9549551</v>
      </c>
      <c r="F367">
        <v>1132496858.5585587</v>
      </c>
      <c r="G367">
        <v>179</v>
      </c>
      <c r="H367">
        <v>98</v>
      </c>
      <c r="K367">
        <v>222</v>
      </c>
      <c r="L367">
        <v>129</v>
      </c>
      <c r="M367">
        <v>79574761.261261269</v>
      </c>
      <c r="N367">
        <v>107511261.26126127</v>
      </c>
      <c r="O367">
        <v>246940806.3063063</v>
      </c>
      <c r="P367">
        <v>260123225.22522521</v>
      </c>
      <c r="Q367">
        <v>79411036.036036029</v>
      </c>
      <c r="R367">
        <v>107510360.36036035</v>
      </c>
      <c r="S367">
        <v>28030</v>
      </c>
      <c r="T367">
        <v>29221</v>
      </c>
    </row>
    <row r="368" spans="1:20" x14ac:dyDescent="0.35">
      <c r="A368" s="7" t="s">
        <v>469</v>
      </c>
      <c r="B368" s="12" t="s">
        <v>55</v>
      </c>
      <c r="C368">
        <v>37062121.012909345</v>
      </c>
      <c r="D368">
        <v>38553774.543309122</v>
      </c>
      <c r="E368">
        <v>110810.810810813</v>
      </c>
      <c r="F368">
        <v>295495.49549549603</v>
      </c>
      <c r="G368">
        <v>10</v>
      </c>
      <c r="H368">
        <v>3</v>
      </c>
      <c r="K368">
        <v>11</v>
      </c>
      <c r="L368">
        <v>5</v>
      </c>
      <c r="M368">
        <v>3410630.6306306319</v>
      </c>
      <c r="N368">
        <v>4541261.261261262</v>
      </c>
      <c r="O368">
        <v>7786432.4324324327</v>
      </c>
      <c r="P368">
        <v>7954774.7747747749</v>
      </c>
      <c r="Q368">
        <v>3381261.2612612592</v>
      </c>
      <c r="R368">
        <v>3971801.8018018031</v>
      </c>
      <c r="S368">
        <v>1215</v>
      </c>
      <c r="T368">
        <v>1247</v>
      </c>
    </row>
    <row r="369" spans="1:20" x14ac:dyDescent="0.35">
      <c r="A369" s="7" t="s">
        <v>470</v>
      </c>
      <c r="B369" s="12" t="s">
        <v>88</v>
      </c>
      <c r="C369">
        <v>1429916.327663267</v>
      </c>
      <c r="D369">
        <v>1742341.1384130791</v>
      </c>
      <c r="H369">
        <v>1</v>
      </c>
      <c r="L369">
        <v>1</v>
      </c>
      <c r="O369">
        <v>289864.86486486503</v>
      </c>
      <c r="P369">
        <v>717117.11711711704</v>
      </c>
      <c r="S369">
        <v>74</v>
      </c>
      <c r="T369">
        <v>95</v>
      </c>
    </row>
    <row r="370" spans="1:20" x14ac:dyDescent="0.35">
      <c r="A370" s="7" t="s">
        <v>471</v>
      </c>
      <c r="B370" s="12" t="s">
        <v>144</v>
      </c>
      <c r="C370">
        <v>184482725.16656023</v>
      </c>
      <c r="D370">
        <v>204957109.99606609</v>
      </c>
      <c r="E370">
        <v>230630.63063063199</v>
      </c>
      <c r="F370">
        <v>162162.162162163</v>
      </c>
      <c r="G370">
        <v>53</v>
      </c>
      <c r="H370">
        <v>1</v>
      </c>
      <c r="K370">
        <v>63</v>
      </c>
      <c r="L370">
        <v>2</v>
      </c>
      <c r="M370">
        <v>8158558.558558559</v>
      </c>
      <c r="N370">
        <v>11423423.423423424</v>
      </c>
      <c r="O370">
        <v>27831284.684684683</v>
      </c>
      <c r="P370">
        <v>39214079.279279277</v>
      </c>
      <c r="Q370">
        <v>7144234.2342342334</v>
      </c>
      <c r="R370">
        <v>8480763.9639639668</v>
      </c>
      <c r="S370">
        <v>5098</v>
      </c>
      <c r="T370">
        <v>5091</v>
      </c>
    </row>
    <row r="371" spans="1:20" x14ac:dyDescent="0.35">
      <c r="A371" s="7" t="s">
        <v>472</v>
      </c>
      <c r="B371" s="12" t="s">
        <v>81</v>
      </c>
      <c r="C371">
        <v>158015260.56552064</v>
      </c>
      <c r="D371">
        <v>152672319.16922227</v>
      </c>
      <c r="E371">
        <v>31081.081081082</v>
      </c>
      <c r="F371">
        <v>107207.20720720899</v>
      </c>
      <c r="G371">
        <v>27</v>
      </c>
      <c r="H371">
        <v>7</v>
      </c>
      <c r="K371">
        <v>31</v>
      </c>
      <c r="L371">
        <v>7</v>
      </c>
      <c r="M371">
        <v>3840090.0900900899</v>
      </c>
      <c r="N371">
        <v>6422522.5225225221</v>
      </c>
      <c r="O371">
        <v>58948153.153153151</v>
      </c>
      <c r="P371">
        <v>58330293.693693697</v>
      </c>
      <c r="Q371">
        <v>2818918.9189189211</v>
      </c>
      <c r="R371">
        <v>3281441.44144144</v>
      </c>
      <c r="S371">
        <v>5168</v>
      </c>
      <c r="T371">
        <v>5231</v>
      </c>
    </row>
    <row r="372" spans="1:20" x14ac:dyDescent="0.35">
      <c r="A372" s="7" t="s">
        <v>473</v>
      </c>
      <c r="B372" s="12" t="s">
        <v>474</v>
      </c>
      <c r="C372">
        <v>188798783.53473949</v>
      </c>
      <c r="D372">
        <v>186912645.73160091</v>
      </c>
      <c r="E372">
        <v>1257657.6576576589</v>
      </c>
      <c r="F372">
        <v>1505405.405405405</v>
      </c>
      <c r="G372">
        <v>17</v>
      </c>
      <c r="H372">
        <v>14</v>
      </c>
      <c r="K372">
        <v>18</v>
      </c>
      <c r="L372">
        <v>18</v>
      </c>
      <c r="M372">
        <v>15915315.315315315</v>
      </c>
      <c r="N372">
        <v>11505405.405405404</v>
      </c>
      <c r="O372">
        <v>58245963.963963971</v>
      </c>
      <c r="P372">
        <v>62083023.423423424</v>
      </c>
      <c r="Q372">
        <v>15040180.180180181</v>
      </c>
      <c r="R372">
        <v>27959621.621621624</v>
      </c>
      <c r="S372">
        <v>5518</v>
      </c>
      <c r="T372">
        <v>5550</v>
      </c>
    </row>
    <row r="373" spans="1:20" x14ac:dyDescent="0.35">
      <c r="A373" s="7" t="s">
        <v>475</v>
      </c>
      <c r="B373" s="12" t="s">
        <v>474</v>
      </c>
      <c r="C373">
        <v>14666233.375639483</v>
      </c>
      <c r="D373">
        <v>16273489.916589418</v>
      </c>
      <c r="E373">
        <v>84103603.603603601</v>
      </c>
      <c r="F373">
        <v>55364864.864864863</v>
      </c>
      <c r="K373">
        <v>1</v>
      </c>
      <c r="M373">
        <v>2208108.1081081079</v>
      </c>
      <c r="N373">
        <v>108108.108108108</v>
      </c>
      <c r="O373">
        <v>1500810.8108108109</v>
      </c>
      <c r="P373">
        <v>1827189.1891891891</v>
      </c>
      <c r="Q373">
        <v>1823423.4234234239</v>
      </c>
      <c r="R373">
        <v>111711.71171171201</v>
      </c>
      <c r="S373">
        <v>655</v>
      </c>
      <c r="T373">
        <v>646</v>
      </c>
    </row>
    <row r="374" spans="1:20" x14ac:dyDescent="0.35">
      <c r="A374" s="7" t="s">
        <v>476</v>
      </c>
      <c r="B374" s="12" t="s">
        <v>474</v>
      </c>
      <c r="C374">
        <v>1978374.6104784261</v>
      </c>
      <c r="D374">
        <v>2126089.469702234</v>
      </c>
      <c r="E374">
        <v>144317086.48648649</v>
      </c>
      <c r="F374">
        <v>67543592.792792797</v>
      </c>
      <c r="M374">
        <v>25522218.018018015</v>
      </c>
      <c r="N374">
        <v>11610096.396396397</v>
      </c>
      <c r="O374">
        <v>439459.459459459</v>
      </c>
      <c r="P374">
        <v>444774.77477477503</v>
      </c>
      <c r="Q374">
        <v>1693693.693693694</v>
      </c>
      <c r="R374">
        <v>3725135.1351351351</v>
      </c>
      <c r="S374">
        <v>401</v>
      </c>
      <c r="T374">
        <v>443</v>
      </c>
    </row>
    <row r="375" spans="1:20" x14ac:dyDescent="0.35">
      <c r="A375" s="7" t="s">
        <v>477</v>
      </c>
      <c r="B375" s="12" t="s">
        <v>474</v>
      </c>
      <c r="C375">
        <v>65694738.120466784</v>
      </c>
      <c r="D375">
        <v>65825771.161065072</v>
      </c>
      <c r="E375">
        <v>266666.66666666698</v>
      </c>
      <c r="F375">
        <v>1252608.1081081079</v>
      </c>
      <c r="G375">
        <v>10</v>
      </c>
      <c r="H375">
        <v>7</v>
      </c>
      <c r="K375">
        <v>10</v>
      </c>
      <c r="L375">
        <v>7</v>
      </c>
      <c r="M375">
        <v>24663063.063063063</v>
      </c>
      <c r="N375">
        <v>7339279.2792792805</v>
      </c>
      <c r="O375">
        <v>9069630.6306306329</v>
      </c>
      <c r="P375">
        <v>11280304.504504504</v>
      </c>
      <c r="Q375">
        <v>11914234.234234236</v>
      </c>
      <c r="R375">
        <v>6451261.2612612611</v>
      </c>
      <c r="S375">
        <v>2099</v>
      </c>
      <c r="T375">
        <v>2281</v>
      </c>
    </row>
    <row r="376" spans="1:20" x14ac:dyDescent="0.35">
      <c r="A376" s="7" t="s">
        <v>478</v>
      </c>
      <c r="B376" s="12" t="s">
        <v>474</v>
      </c>
      <c r="C376">
        <v>93455766.597677425</v>
      </c>
      <c r="D376">
        <v>92354776.700726688</v>
      </c>
      <c r="E376">
        <v>530630.63063063205</v>
      </c>
      <c r="F376">
        <v>481981.981981983</v>
      </c>
      <c r="G376">
        <v>25</v>
      </c>
      <c r="H376">
        <v>6</v>
      </c>
      <c r="K376">
        <v>28</v>
      </c>
      <c r="L376">
        <v>6</v>
      </c>
      <c r="M376">
        <v>6062162.1621621624</v>
      </c>
      <c r="N376">
        <v>2961621.6216216208</v>
      </c>
      <c r="O376">
        <v>20450549.54954955</v>
      </c>
      <c r="P376">
        <v>22580189.189189188</v>
      </c>
      <c r="Q376">
        <v>6257657.6576576577</v>
      </c>
      <c r="R376">
        <v>9451171.1711711679</v>
      </c>
      <c r="S376">
        <v>3110</v>
      </c>
      <c r="T376">
        <v>2439</v>
      </c>
    </row>
    <row r="377" spans="1:20" x14ac:dyDescent="0.35">
      <c r="A377" s="7" t="s">
        <v>479</v>
      </c>
      <c r="B377" s="12" t="s">
        <v>474</v>
      </c>
      <c r="C377">
        <v>35088290.042933635</v>
      </c>
      <c r="D377">
        <v>34830463.850064807</v>
      </c>
      <c r="E377">
        <v>306306.30630630697</v>
      </c>
      <c r="F377">
        <v>315315.31531531602</v>
      </c>
      <c r="G377">
        <v>4</v>
      </c>
      <c r="H377">
        <v>4</v>
      </c>
      <c r="K377">
        <v>4</v>
      </c>
      <c r="L377">
        <v>5</v>
      </c>
      <c r="M377">
        <v>5513513.5135135148</v>
      </c>
      <c r="N377">
        <v>1644144.1441441451</v>
      </c>
      <c r="O377">
        <v>7427403.6036036042</v>
      </c>
      <c r="P377">
        <v>9022846.8468468487</v>
      </c>
      <c r="Q377">
        <v>4881261.2612612601</v>
      </c>
      <c r="R377">
        <v>6473603.6036036052</v>
      </c>
      <c r="S377">
        <v>1408</v>
      </c>
      <c r="T377">
        <v>1443</v>
      </c>
    </row>
    <row r="378" spans="1:20" x14ac:dyDescent="0.35">
      <c r="A378" s="7" t="s">
        <v>480</v>
      </c>
      <c r="B378" s="12" t="s">
        <v>474</v>
      </c>
      <c r="C378">
        <v>353146781.10694331</v>
      </c>
      <c r="D378">
        <v>368242176.07623756</v>
      </c>
      <c r="E378">
        <v>6260360.3603603672</v>
      </c>
      <c r="F378">
        <v>2969369.3693693718</v>
      </c>
      <c r="G378">
        <v>140</v>
      </c>
      <c r="H378">
        <v>214</v>
      </c>
      <c r="K378">
        <v>246</v>
      </c>
      <c r="L378">
        <v>271</v>
      </c>
      <c r="M378">
        <v>95943783.783783779</v>
      </c>
      <c r="N378">
        <v>63474594.59459459</v>
      </c>
      <c r="O378">
        <v>91625520.720720723</v>
      </c>
      <c r="P378">
        <v>100774688.2882883</v>
      </c>
      <c r="Q378">
        <v>88601351.351351351</v>
      </c>
      <c r="R378">
        <v>71145045.045045033</v>
      </c>
      <c r="S378">
        <v>16110</v>
      </c>
      <c r="T378">
        <v>16420</v>
      </c>
    </row>
    <row r="379" spans="1:20" x14ac:dyDescent="0.35">
      <c r="A379" s="7" t="s">
        <v>481</v>
      </c>
      <c r="B379" s="12" t="s">
        <v>262</v>
      </c>
      <c r="C379">
        <v>434074413.92533463</v>
      </c>
      <c r="D379">
        <v>419327429.81993401</v>
      </c>
      <c r="E379">
        <v>2553378.3783783792</v>
      </c>
      <c r="F379">
        <v>4142342.3423423441</v>
      </c>
      <c r="G379">
        <v>85</v>
      </c>
      <c r="H379">
        <v>46</v>
      </c>
      <c r="I379">
        <v>1</v>
      </c>
      <c r="K379">
        <v>91</v>
      </c>
      <c r="L379">
        <v>51</v>
      </c>
      <c r="M379">
        <v>48009009.009009011</v>
      </c>
      <c r="N379">
        <v>68136936.93693693</v>
      </c>
      <c r="O379">
        <v>113098121.62162161</v>
      </c>
      <c r="P379">
        <v>116362144.14414415</v>
      </c>
      <c r="Q379">
        <v>50152522.522522531</v>
      </c>
      <c r="R379">
        <v>62585045.045045048</v>
      </c>
      <c r="S379">
        <v>10975</v>
      </c>
      <c r="T379">
        <v>12049</v>
      </c>
    </row>
    <row r="380" spans="1:20" x14ac:dyDescent="0.35">
      <c r="A380" s="7" t="s">
        <v>482</v>
      </c>
      <c r="B380" s="12" t="s">
        <v>483</v>
      </c>
      <c r="C380">
        <v>27650616.611928679</v>
      </c>
      <c r="D380">
        <v>29252127.708568964</v>
      </c>
      <c r="E380">
        <v>58908557.657657653</v>
      </c>
      <c r="F380">
        <v>96262294.594594598</v>
      </c>
      <c r="G380">
        <v>7</v>
      </c>
      <c r="H380">
        <v>7</v>
      </c>
      <c r="K380">
        <v>7</v>
      </c>
      <c r="L380">
        <v>8</v>
      </c>
      <c r="M380">
        <v>9884978.3783783801</v>
      </c>
      <c r="N380">
        <v>7791081.0810810812</v>
      </c>
      <c r="O380">
        <v>6624684.6846846854</v>
      </c>
      <c r="P380">
        <v>7922061.2612612611</v>
      </c>
      <c r="Q380">
        <v>9406306.3063063063</v>
      </c>
      <c r="R380">
        <v>8084684.6846846854</v>
      </c>
      <c r="S380">
        <v>798</v>
      </c>
      <c r="T380">
        <v>819</v>
      </c>
    </row>
    <row r="381" spans="1:20" x14ac:dyDescent="0.35">
      <c r="A381" s="7" t="s">
        <v>484</v>
      </c>
      <c r="B381" s="12" t="s">
        <v>124</v>
      </c>
      <c r="C381">
        <v>219782375.17674589</v>
      </c>
      <c r="D381">
        <v>218632297.23374283</v>
      </c>
      <c r="E381">
        <v>980180.18018018105</v>
      </c>
      <c r="F381">
        <v>1252252.2522522521</v>
      </c>
      <c r="G381">
        <v>44</v>
      </c>
      <c r="H381">
        <v>28</v>
      </c>
      <c r="K381">
        <v>49</v>
      </c>
      <c r="L381">
        <v>30</v>
      </c>
      <c r="M381">
        <v>14126846.846846843</v>
      </c>
      <c r="N381">
        <v>12941261.26126126</v>
      </c>
      <c r="O381">
        <v>83334031.531531543</v>
      </c>
      <c r="P381">
        <v>88117421.621621609</v>
      </c>
      <c r="Q381">
        <v>14608378.37837838</v>
      </c>
      <c r="R381">
        <v>13538918.918918921</v>
      </c>
      <c r="S381">
        <v>5690</v>
      </c>
      <c r="T381">
        <v>5464</v>
      </c>
    </row>
    <row r="382" spans="1:20" x14ac:dyDescent="0.35">
      <c r="A382" s="7" t="s">
        <v>485</v>
      </c>
      <c r="B382" s="12" t="s">
        <v>474</v>
      </c>
      <c r="C382">
        <v>17842285.229937673</v>
      </c>
      <c r="D382">
        <v>18291641.420768704</v>
      </c>
      <c r="E382">
        <v>70270.270270270004</v>
      </c>
      <c r="F382">
        <v>270270.27027027</v>
      </c>
      <c r="G382">
        <v>2</v>
      </c>
      <c r="H382">
        <v>2</v>
      </c>
      <c r="K382">
        <v>3</v>
      </c>
      <c r="L382">
        <v>2</v>
      </c>
      <c r="M382">
        <v>1421621.621621622</v>
      </c>
      <c r="N382">
        <v>734234.23423423502</v>
      </c>
      <c r="O382">
        <v>2785045.0450450452</v>
      </c>
      <c r="P382">
        <v>2672297.297297297</v>
      </c>
      <c r="Q382">
        <v>619099.09909909905</v>
      </c>
      <c r="R382">
        <v>816666.66666666698</v>
      </c>
      <c r="S382">
        <v>626</v>
      </c>
      <c r="T382">
        <v>654</v>
      </c>
    </row>
    <row r="383" spans="1:20" x14ac:dyDescent="0.35">
      <c r="A383" s="7" t="s">
        <v>666</v>
      </c>
      <c r="B383" s="12" t="s">
        <v>86</v>
      </c>
      <c r="E383">
        <v>138243243.24324325</v>
      </c>
      <c r="F383">
        <v>150945945.94594595</v>
      </c>
      <c r="M383">
        <v>2066216.2162162161</v>
      </c>
      <c r="N383">
        <v>3486486.4864864862</v>
      </c>
    </row>
    <row r="384" spans="1:20" x14ac:dyDescent="0.35">
      <c r="A384" s="7" t="s">
        <v>486</v>
      </c>
      <c r="B384" s="12" t="s">
        <v>168</v>
      </c>
      <c r="C384">
        <v>180044595.32711095</v>
      </c>
      <c r="D384">
        <v>194173980.73534733</v>
      </c>
      <c r="E384">
        <v>1391891.8918918939</v>
      </c>
      <c r="F384">
        <v>2482882.8828828838</v>
      </c>
      <c r="G384">
        <v>99</v>
      </c>
      <c r="H384">
        <v>13</v>
      </c>
      <c r="K384">
        <v>128</v>
      </c>
      <c r="L384">
        <v>50</v>
      </c>
      <c r="M384">
        <v>16579316.216216218</v>
      </c>
      <c r="N384">
        <v>16691666.666666668</v>
      </c>
      <c r="O384">
        <v>75796824.324324325</v>
      </c>
      <c r="P384">
        <v>80143027.027027026</v>
      </c>
      <c r="Q384">
        <v>16962882.882882886</v>
      </c>
      <c r="R384">
        <v>16643018.01801802</v>
      </c>
      <c r="S384">
        <v>8472</v>
      </c>
      <c r="T384">
        <v>8719</v>
      </c>
    </row>
    <row r="385" spans="1:20" x14ac:dyDescent="0.35">
      <c r="A385" s="7" t="s">
        <v>487</v>
      </c>
      <c r="B385" s="12" t="s">
        <v>168</v>
      </c>
      <c r="C385">
        <v>203541922.5340108</v>
      </c>
      <c r="D385">
        <v>218083875.76772392</v>
      </c>
      <c r="E385">
        <v>259143434.23423424</v>
      </c>
      <c r="F385">
        <v>297655390.0900901</v>
      </c>
      <c r="G385">
        <v>113</v>
      </c>
      <c r="H385">
        <v>47</v>
      </c>
      <c r="K385">
        <v>340</v>
      </c>
      <c r="L385">
        <v>573</v>
      </c>
      <c r="M385">
        <v>28431757.657657661</v>
      </c>
      <c r="N385">
        <v>31928828.82882883</v>
      </c>
      <c r="O385">
        <v>76946624.324324325</v>
      </c>
      <c r="P385">
        <v>89386926.126126125</v>
      </c>
      <c r="Q385">
        <v>27327160.360360365</v>
      </c>
      <c r="R385">
        <v>29409369.369369373</v>
      </c>
      <c r="S385">
        <v>9560</v>
      </c>
      <c r="T385">
        <v>9490</v>
      </c>
    </row>
    <row r="386" spans="1:20" x14ac:dyDescent="0.35">
      <c r="A386" s="7" t="s">
        <v>488</v>
      </c>
      <c r="B386" s="12" t="s">
        <v>51</v>
      </c>
      <c r="C386">
        <v>124114613.40666856</v>
      </c>
      <c r="D386">
        <v>128819490.43306623</v>
      </c>
      <c r="E386">
        <v>1390990.9909909931</v>
      </c>
      <c r="F386">
        <v>2566666.6666666712</v>
      </c>
      <c r="G386">
        <v>34</v>
      </c>
      <c r="H386">
        <v>18</v>
      </c>
      <c r="K386">
        <v>37</v>
      </c>
      <c r="L386">
        <v>24</v>
      </c>
      <c r="M386">
        <v>17989009.009009007</v>
      </c>
      <c r="N386">
        <v>21576756.756756756</v>
      </c>
      <c r="O386">
        <v>54890432.432432435</v>
      </c>
      <c r="P386">
        <v>56963450.45045045</v>
      </c>
      <c r="Q386">
        <v>16911261.261261262</v>
      </c>
      <c r="R386">
        <v>17695585.585585587</v>
      </c>
      <c r="S386">
        <v>3748</v>
      </c>
      <c r="T386">
        <v>3587</v>
      </c>
    </row>
    <row r="387" spans="1:20" x14ac:dyDescent="0.35">
      <c r="A387" s="7" t="s">
        <v>489</v>
      </c>
      <c r="B387" s="12" t="s">
        <v>135</v>
      </c>
      <c r="C387">
        <v>165069708.83715996</v>
      </c>
      <c r="D387">
        <v>176181889.48726276</v>
      </c>
      <c r="E387">
        <v>759459.45945946104</v>
      </c>
      <c r="F387">
        <v>783783.78378378402</v>
      </c>
      <c r="G387">
        <v>28</v>
      </c>
      <c r="H387">
        <v>38</v>
      </c>
      <c r="K387">
        <v>29</v>
      </c>
      <c r="L387">
        <v>46</v>
      </c>
      <c r="M387">
        <v>27600900.900900904</v>
      </c>
      <c r="N387">
        <v>29145045.045045044</v>
      </c>
      <c r="O387">
        <v>32981655.855855856</v>
      </c>
      <c r="P387">
        <v>39507648.648648649</v>
      </c>
      <c r="Q387">
        <v>14652792.792792793</v>
      </c>
      <c r="R387">
        <v>24489819.819819819</v>
      </c>
      <c r="S387">
        <v>4547</v>
      </c>
      <c r="T387">
        <v>4758</v>
      </c>
    </row>
    <row r="388" spans="1:20" x14ac:dyDescent="0.35">
      <c r="A388" s="7" t="s">
        <v>490</v>
      </c>
      <c r="B388" s="12" t="s">
        <v>77</v>
      </c>
      <c r="C388">
        <v>33753059.334502913</v>
      </c>
      <c r="D388">
        <v>46610458.7354476</v>
      </c>
      <c r="E388">
        <v>765765.76576576696</v>
      </c>
      <c r="F388">
        <v>409909.90990991099</v>
      </c>
      <c r="G388">
        <v>9</v>
      </c>
      <c r="H388">
        <v>13</v>
      </c>
      <c r="K388">
        <v>10</v>
      </c>
      <c r="L388">
        <v>13</v>
      </c>
      <c r="M388">
        <v>9227117.1171171162</v>
      </c>
      <c r="N388">
        <v>8671171.1711711716</v>
      </c>
      <c r="O388">
        <v>13722383.783783784</v>
      </c>
      <c r="P388">
        <v>15896702.702702701</v>
      </c>
      <c r="Q388">
        <v>7349005.4054054068</v>
      </c>
      <c r="R388">
        <v>8096846.8468468459</v>
      </c>
      <c r="S388">
        <v>1438</v>
      </c>
      <c r="T388">
        <v>1541</v>
      </c>
    </row>
    <row r="389" spans="1:20" x14ac:dyDescent="0.35">
      <c r="A389" s="7" t="s">
        <v>491</v>
      </c>
      <c r="B389" s="12" t="s">
        <v>309</v>
      </c>
      <c r="C389">
        <v>285092125.58131063</v>
      </c>
      <c r="D389">
        <v>293057690.49388289</v>
      </c>
      <c r="E389">
        <v>3101801.8018018059</v>
      </c>
      <c r="F389">
        <v>3239639.6396396402</v>
      </c>
      <c r="G389">
        <v>103</v>
      </c>
      <c r="H389">
        <v>57</v>
      </c>
      <c r="K389">
        <v>128</v>
      </c>
      <c r="L389">
        <v>69</v>
      </c>
      <c r="M389">
        <v>91830495.495495483</v>
      </c>
      <c r="N389">
        <v>76598963.963963971</v>
      </c>
      <c r="O389">
        <v>121768477.47747748</v>
      </c>
      <c r="P389">
        <v>124081648.64864863</v>
      </c>
      <c r="Q389">
        <v>62020855.855855852</v>
      </c>
      <c r="R389">
        <v>68177342.342342347</v>
      </c>
      <c r="S389">
        <v>11461</v>
      </c>
      <c r="T389">
        <v>11110</v>
      </c>
    </row>
    <row r="390" spans="1:20" x14ac:dyDescent="0.35">
      <c r="A390" s="7" t="s">
        <v>673</v>
      </c>
      <c r="B390" s="12" t="s">
        <v>182</v>
      </c>
      <c r="M390">
        <v>918918.91891891905</v>
      </c>
      <c r="N390">
        <v>3189189.1891891891</v>
      </c>
    </row>
    <row r="391" spans="1:20" x14ac:dyDescent="0.35">
      <c r="A391" s="7" t="s">
        <v>492</v>
      </c>
      <c r="B391" s="12" t="s">
        <v>317</v>
      </c>
      <c r="C391">
        <v>61572950.991355024</v>
      </c>
      <c r="D391">
        <v>62045024.03507828</v>
      </c>
      <c r="E391">
        <v>49831531.531531535</v>
      </c>
      <c r="F391">
        <v>3268468.4684684728</v>
      </c>
      <c r="G391">
        <v>4</v>
      </c>
      <c r="H391">
        <v>5</v>
      </c>
      <c r="K391">
        <v>5</v>
      </c>
      <c r="L391">
        <v>5</v>
      </c>
      <c r="M391">
        <v>25164099.099099096</v>
      </c>
      <c r="N391">
        <v>40914234.234234229</v>
      </c>
      <c r="O391">
        <v>25921900.9009009</v>
      </c>
      <c r="P391">
        <v>24096378.378378376</v>
      </c>
      <c r="Q391">
        <v>26687477.47747748</v>
      </c>
      <c r="R391">
        <v>38319279.279279277</v>
      </c>
      <c r="S391">
        <v>1620</v>
      </c>
      <c r="T391">
        <v>1711</v>
      </c>
    </row>
    <row r="392" spans="1:20" x14ac:dyDescent="0.35">
      <c r="A392" s="7" t="s">
        <v>493</v>
      </c>
      <c r="B392" s="12" t="s">
        <v>182</v>
      </c>
      <c r="C392">
        <v>149770918.20334926</v>
      </c>
      <c r="D392">
        <v>163361203.62605667</v>
      </c>
      <c r="E392">
        <v>1070720.7207207209</v>
      </c>
      <c r="F392">
        <v>700900.90090090199</v>
      </c>
      <c r="G392">
        <v>74</v>
      </c>
      <c r="H392">
        <v>52</v>
      </c>
      <c r="I392">
        <v>1</v>
      </c>
      <c r="K392">
        <v>127</v>
      </c>
      <c r="L392">
        <v>71</v>
      </c>
      <c r="M392">
        <v>11801981.98198198</v>
      </c>
      <c r="N392">
        <v>14909909.90990991</v>
      </c>
      <c r="O392">
        <v>44945792.79279279</v>
      </c>
      <c r="P392">
        <v>50598261.261261262</v>
      </c>
      <c r="Q392">
        <v>12666036.036036031</v>
      </c>
      <c r="R392">
        <v>15220450.45045045</v>
      </c>
      <c r="S392">
        <v>6264</v>
      </c>
      <c r="T392">
        <v>6563</v>
      </c>
    </row>
    <row r="393" spans="1:20" x14ac:dyDescent="0.35">
      <c r="A393" s="7" t="s">
        <v>494</v>
      </c>
      <c r="B393" s="12" t="s">
        <v>222</v>
      </c>
      <c r="C393">
        <v>84692800.088116795</v>
      </c>
      <c r="D393">
        <v>89703098.966532439</v>
      </c>
      <c r="E393">
        <v>45945.945945945998</v>
      </c>
      <c r="G393">
        <v>24</v>
      </c>
      <c r="H393">
        <v>26</v>
      </c>
      <c r="K393">
        <v>34</v>
      </c>
      <c r="L393">
        <v>44</v>
      </c>
      <c r="M393">
        <v>2254954.9549549548</v>
      </c>
      <c r="N393">
        <v>554954.95495495503</v>
      </c>
      <c r="O393">
        <v>20785601.801801801</v>
      </c>
      <c r="P393">
        <v>24257243.243243244</v>
      </c>
      <c r="Q393">
        <v>1531981.9819819829</v>
      </c>
      <c r="R393">
        <v>655405.40540540603</v>
      </c>
      <c r="S393">
        <v>3875</v>
      </c>
      <c r="T393">
        <v>4162</v>
      </c>
    </row>
    <row r="394" spans="1:20" x14ac:dyDescent="0.35">
      <c r="A394" s="7" t="s">
        <v>495</v>
      </c>
      <c r="B394" s="12" t="s">
        <v>222</v>
      </c>
      <c r="C394">
        <v>28794267.524668921</v>
      </c>
      <c r="D394">
        <v>21319233.328172054</v>
      </c>
      <c r="E394">
        <v>312261898.1981982</v>
      </c>
      <c r="F394">
        <v>278574022.52252251</v>
      </c>
      <c r="G394">
        <v>16</v>
      </c>
      <c r="H394">
        <v>4</v>
      </c>
      <c r="I394">
        <v>1</v>
      </c>
      <c r="K394">
        <v>17</v>
      </c>
      <c r="L394">
        <v>4</v>
      </c>
      <c r="M394">
        <v>26317387.387387387</v>
      </c>
      <c r="N394">
        <v>14205054.954954954</v>
      </c>
      <c r="O394">
        <v>8694540.5405405406</v>
      </c>
      <c r="P394">
        <v>8198828.8288288293</v>
      </c>
      <c r="Q394">
        <v>14423243.243243244</v>
      </c>
      <c r="R394">
        <v>11198198.198198199</v>
      </c>
      <c r="S394">
        <v>1174</v>
      </c>
      <c r="T394">
        <v>1185</v>
      </c>
    </row>
    <row r="395" spans="1:20" x14ac:dyDescent="0.35">
      <c r="A395" s="7" t="s">
        <v>496</v>
      </c>
      <c r="B395" s="12" t="s">
        <v>61</v>
      </c>
      <c r="C395">
        <v>97817450.57552515</v>
      </c>
      <c r="D395">
        <v>106191601.03228812</v>
      </c>
      <c r="E395">
        <v>2458558.5585585651</v>
      </c>
      <c r="F395">
        <v>1557207.2072072111</v>
      </c>
      <c r="G395">
        <v>21</v>
      </c>
      <c r="H395">
        <v>11</v>
      </c>
      <c r="K395">
        <v>73</v>
      </c>
      <c r="L395">
        <v>16</v>
      </c>
      <c r="M395">
        <v>21095675.675675672</v>
      </c>
      <c r="N395">
        <v>19962612.612612613</v>
      </c>
      <c r="O395">
        <v>44502702.702702701</v>
      </c>
      <c r="P395">
        <v>48572405.40540541</v>
      </c>
      <c r="Q395">
        <v>19338018.018018015</v>
      </c>
      <c r="R395">
        <v>19474954.954954956</v>
      </c>
      <c r="S395">
        <v>3573</v>
      </c>
      <c r="T395">
        <v>3759</v>
      </c>
    </row>
    <row r="396" spans="1:20" x14ac:dyDescent="0.35">
      <c r="A396" s="7" t="s">
        <v>497</v>
      </c>
      <c r="B396" s="12" t="s">
        <v>452</v>
      </c>
      <c r="C396">
        <v>120063346.22150797</v>
      </c>
      <c r="D396">
        <v>120657552.88165076</v>
      </c>
      <c r="E396">
        <v>140540.540540541</v>
      </c>
      <c r="F396">
        <v>496396.39639639802</v>
      </c>
      <c r="G396">
        <v>82</v>
      </c>
      <c r="H396">
        <v>54</v>
      </c>
      <c r="K396">
        <v>89</v>
      </c>
      <c r="L396">
        <v>72</v>
      </c>
      <c r="M396">
        <v>10802702.702702705</v>
      </c>
      <c r="N396">
        <v>16387612.612612613</v>
      </c>
      <c r="O396">
        <v>43102981.981981985</v>
      </c>
      <c r="P396">
        <v>47144297.297297299</v>
      </c>
      <c r="Q396">
        <v>10048558.558558561</v>
      </c>
      <c r="R396">
        <v>14877477.477477478</v>
      </c>
      <c r="S396">
        <v>4883</v>
      </c>
      <c r="T396">
        <v>4623</v>
      </c>
    </row>
    <row r="397" spans="1:20" x14ac:dyDescent="0.35">
      <c r="A397" s="7" t="s">
        <v>7</v>
      </c>
      <c r="B397" s="12" t="s">
        <v>195</v>
      </c>
      <c r="C397">
        <v>100336304.76674682</v>
      </c>
      <c r="D397">
        <v>99521831.063394815</v>
      </c>
      <c r="E397">
        <v>248648.64864865001</v>
      </c>
      <c r="F397">
        <v>93693.693693694004</v>
      </c>
      <c r="G397">
        <v>34</v>
      </c>
      <c r="H397">
        <v>19</v>
      </c>
      <c r="K397">
        <v>41</v>
      </c>
      <c r="L397">
        <v>27</v>
      </c>
      <c r="M397">
        <v>16410810.81081081</v>
      </c>
      <c r="N397">
        <v>36345495.495495498</v>
      </c>
      <c r="O397">
        <v>70249396.396396399</v>
      </c>
      <c r="P397">
        <v>65946333.333333336</v>
      </c>
      <c r="Q397">
        <v>19745585.585585583</v>
      </c>
      <c r="R397">
        <v>36683243.24324324</v>
      </c>
      <c r="S397">
        <v>4890</v>
      </c>
      <c r="T397">
        <v>4417</v>
      </c>
    </row>
    <row r="398" spans="1:20" x14ac:dyDescent="0.35">
      <c r="A398" s="7" t="s">
        <v>498</v>
      </c>
      <c r="B398" s="12" t="s">
        <v>332</v>
      </c>
      <c r="C398">
        <v>116980138.81324357</v>
      </c>
      <c r="D398">
        <v>120653757.33110207</v>
      </c>
      <c r="E398">
        <v>213513.51351351399</v>
      </c>
      <c r="F398">
        <v>90990.990990991006</v>
      </c>
      <c r="G398">
        <v>51</v>
      </c>
      <c r="H398">
        <v>47</v>
      </c>
      <c r="K398">
        <v>67</v>
      </c>
      <c r="L398">
        <v>59</v>
      </c>
      <c r="M398">
        <v>5862162.1621621624</v>
      </c>
      <c r="N398">
        <v>6985585.5855855867</v>
      </c>
      <c r="O398">
        <v>28866216.216216218</v>
      </c>
      <c r="P398">
        <v>31776900.9009009</v>
      </c>
      <c r="Q398">
        <v>5117657.6576576577</v>
      </c>
      <c r="R398">
        <v>6480270.2702702703</v>
      </c>
      <c r="S398">
        <v>6034</v>
      </c>
      <c r="T398">
        <v>5971</v>
      </c>
    </row>
    <row r="399" spans="1:20" x14ac:dyDescent="0.35">
      <c r="A399" s="7" t="s">
        <v>499</v>
      </c>
      <c r="B399" s="12" t="s">
        <v>332</v>
      </c>
      <c r="C399">
        <v>200659846.70933443</v>
      </c>
      <c r="D399">
        <v>206519115.8516742</v>
      </c>
      <c r="E399">
        <v>914189.18918919296</v>
      </c>
      <c r="F399">
        <v>176576.57657657799</v>
      </c>
      <c r="G399">
        <v>95</v>
      </c>
      <c r="H399">
        <v>63</v>
      </c>
      <c r="K399">
        <v>109</v>
      </c>
      <c r="L399">
        <v>73</v>
      </c>
      <c r="M399">
        <v>7100000</v>
      </c>
      <c r="N399">
        <v>6838738.7387387389</v>
      </c>
      <c r="O399">
        <v>47947378.378378376</v>
      </c>
      <c r="P399">
        <v>50625072.072072074</v>
      </c>
      <c r="Q399">
        <v>7789279.2792792814</v>
      </c>
      <c r="R399">
        <v>9850720.7207207214</v>
      </c>
      <c r="S399">
        <v>7252</v>
      </c>
      <c r="T399">
        <v>7375</v>
      </c>
    </row>
    <row r="400" spans="1:20" x14ac:dyDescent="0.35">
      <c r="A400" s="7" t="s">
        <v>500</v>
      </c>
      <c r="B400" s="12" t="s">
        <v>332</v>
      </c>
      <c r="C400">
        <v>203628361.57851797</v>
      </c>
      <c r="D400">
        <v>189930943.16892889</v>
      </c>
      <c r="E400">
        <v>2632207.2072072108</v>
      </c>
      <c r="F400">
        <v>1336936.936936937</v>
      </c>
      <c r="G400">
        <v>86</v>
      </c>
      <c r="H400">
        <v>73</v>
      </c>
      <c r="K400">
        <v>96</v>
      </c>
      <c r="L400">
        <v>97</v>
      </c>
      <c r="M400">
        <v>26899099.099099103</v>
      </c>
      <c r="N400">
        <v>18143963.963963963</v>
      </c>
      <c r="O400">
        <v>44366270.270270273</v>
      </c>
      <c r="P400">
        <v>46095639.639639638</v>
      </c>
      <c r="Q400">
        <v>25681981.981981985</v>
      </c>
      <c r="R400">
        <v>16680270.270270271</v>
      </c>
      <c r="S400">
        <v>8590</v>
      </c>
      <c r="T400">
        <v>7865</v>
      </c>
    </row>
    <row r="401" spans="1:20" x14ac:dyDescent="0.35">
      <c r="A401" s="7" t="s">
        <v>501</v>
      </c>
      <c r="B401" s="12" t="s">
        <v>332</v>
      </c>
      <c r="C401">
        <v>768307247.81432772</v>
      </c>
      <c r="D401">
        <v>749851647.44696295</v>
      </c>
      <c r="E401">
        <v>670091206.30630636</v>
      </c>
      <c r="F401">
        <v>13624086.486486491</v>
      </c>
      <c r="G401">
        <v>633</v>
      </c>
      <c r="H401">
        <v>383</v>
      </c>
      <c r="K401">
        <v>712</v>
      </c>
      <c r="L401">
        <v>443</v>
      </c>
      <c r="M401">
        <v>189175675.67567569</v>
      </c>
      <c r="N401">
        <v>255526969.36936939</v>
      </c>
      <c r="O401">
        <v>162931612.61261261</v>
      </c>
      <c r="P401">
        <v>160057540.54054055</v>
      </c>
      <c r="Q401">
        <v>133311441.44144145</v>
      </c>
      <c r="R401">
        <v>175021441.44144145</v>
      </c>
      <c r="S401">
        <v>28459</v>
      </c>
      <c r="T401">
        <v>26836</v>
      </c>
    </row>
    <row r="402" spans="1:20" x14ac:dyDescent="0.35">
      <c r="A402" s="7" t="s">
        <v>502</v>
      </c>
      <c r="B402" s="12" t="s">
        <v>332</v>
      </c>
      <c r="C402">
        <v>614994167.92622709</v>
      </c>
      <c r="D402">
        <v>613129759.17986917</v>
      </c>
      <c r="E402">
        <v>3989639.6396396458</v>
      </c>
      <c r="F402">
        <v>2231531.5315315342</v>
      </c>
      <c r="G402">
        <v>246</v>
      </c>
      <c r="H402">
        <v>206</v>
      </c>
      <c r="I402">
        <v>1</v>
      </c>
      <c r="K402">
        <v>290</v>
      </c>
      <c r="L402">
        <v>254</v>
      </c>
      <c r="M402">
        <v>151948198.1981982</v>
      </c>
      <c r="N402">
        <v>71357657.657657653</v>
      </c>
      <c r="O402">
        <v>154012569.81981981</v>
      </c>
      <c r="P402">
        <v>160502884.68468466</v>
      </c>
      <c r="Q402">
        <v>146878918.91891891</v>
      </c>
      <c r="R402">
        <v>67979819.819819823</v>
      </c>
      <c r="S402">
        <v>25541</v>
      </c>
      <c r="T402">
        <v>26821</v>
      </c>
    </row>
    <row r="403" spans="1:20" x14ac:dyDescent="0.35">
      <c r="A403" s="7" t="s">
        <v>503</v>
      </c>
      <c r="B403" s="12" t="s">
        <v>144</v>
      </c>
      <c r="C403">
        <v>262238876.75968999</v>
      </c>
      <c r="D403">
        <v>272379944.89929491</v>
      </c>
      <c r="E403">
        <v>37883108.108108111</v>
      </c>
      <c r="F403">
        <v>24599099.099099103</v>
      </c>
      <c r="G403">
        <v>72</v>
      </c>
      <c r="H403">
        <v>39</v>
      </c>
      <c r="K403">
        <v>85</v>
      </c>
      <c r="L403">
        <v>55</v>
      </c>
      <c r="M403">
        <v>28253153.153153151</v>
      </c>
      <c r="N403">
        <v>18619819.819819819</v>
      </c>
      <c r="O403">
        <v>41485232.432432435</v>
      </c>
      <c r="P403">
        <v>49452504.504504502</v>
      </c>
      <c r="Q403">
        <v>16411081.081081077</v>
      </c>
      <c r="R403">
        <v>13937207.207207207</v>
      </c>
      <c r="S403">
        <v>9681</v>
      </c>
      <c r="T403">
        <v>8370</v>
      </c>
    </row>
    <row r="404" spans="1:20" x14ac:dyDescent="0.35">
      <c r="A404" s="7" t="s">
        <v>504</v>
      </c>
      <c r="B404" s="12" t="s">
        <v>222</v>
      </c>
      <c r="C404">
        <v>305548122.19830978</v>
      </c>
      <c r="D404">
        <v>327096175.10604072</v>
      </c>
      <c r="E404">
        <v>92447972.972972974</v>
      </c>
      <c r="F404">
        <v>60055855.855855852</v>
      </c>
      <c r="G404">
        <v>125</v>
      </c>
      <c r="H404">
        <v>143</v>
      </c>
      <c r="I404">
        <v>4</v>
      </c>
      <c r="K404">
        <v>162</v>
      </c>
      <c r="L404">
        <v>187</v>
      </c>
      <c r="M404">
        <v>152914414.41441441</v>
      </c>
      <c r="N404">
        <v>275006666.66666663</v>
      </c>
      <c r="O404">
        <v>94107445.945945948</v>
      </c>
      <c r="P404">
        <v>102601819.81981982</v>
      </c>
      <c r="Q404">
        <v>150248738.73873872</v>
      </c>
      <c r="R404">
        <v>240599819.81981981</v>
      </c>
      <c r="S404">
        <v>11570</v>
      </c>
      <c r="T404">
        <v>12821</v>
      </c>
    </row>
    <row r="405" spans="1:20" x14ac:dyDescent="0.35">
      <c r="A405" s="7" t="s">
        <v>505</v>
      </c>
      <c r="B405" s="12" t="s">
        <v>401</v>
      </c>
      <c r="C405">
        <v>878757437.44985378</v>
      </c>
      <c r="D405">
        <v>914150557.24446189</v>
      </c>
      <c r="E405">
        <v>7164503.6036036089</v>
      </c>
      <c r="F405">
        <v>190045609.90990993</v>
      </c>
      <c r="G405">
        <v>278</v>
      </c>
      <c r="H405">
        <v>148</v>
      </c>
      <c r="K405">
        <v>351</v>
      </c>
      <c r="L405">
        <v>195</v>
      </c>
      <c r="M405">
        <v>101561036.03603603</v>
      </c>
      <c r="N405">
        <v>119356981.98198198</v>
      </c>
      <c r="O405">
        <v>186332633.33333334</v>
      </c>
      <c r="P405">
        <v>206017518.91891891</v>
      </c>
      <c r="Q405">
        <v>89886531.531531543</v>
      </c>
      <c r="R405">
        <v>105850405.4054054</v>
      </c>
      <c r="S405">
        <v>27082</v>
      </c>
      <c r="T405">
        <v>27315</v>
      </c>
    </row>
    <row r="406" spans="1:20" x14ac:dyDescent="0.35">
      <c r="A406" s="7" t="s">
        <v>506</v>
      </c>
      <c r="B406" s="12" t="s">
        <v>71</v>
      </c>
      <c r="C406">
        <v>13291176.287427347</v>
      </c>
      <c r="D406">
        <v>13548929.504980933</v>
      </c>
      <c r="E406">
        <v>155855.855855856</v>
      </c>
      <c r="F406">
        <v>315765.76576576597</v>
      </c>
      <c r="G406">
        <v>3</v>
      </c>
      <c r="H406">
        <v>5</v>
      </c>
      <c r="K406">
        <v>5</v>
      </c>
      <c r="L406">
        <v>8</v>
      </c>
      <c r="M406">
        <v>431531.531531532</v>
      </c>
      <c r="N406">
        <v>1389639.6396396391</v>
      </c>
      <c r="O406">
        <v>9310621.6216216218</v>
      </c>
      <c r="P406">
        <v>9856216.2162162159</v>
      </c>
      <c r="Q406">
        <v>298918.91891891899</v>
      </c>
      <c r="R406">
        <v>1079279.2792792791</v>
      </c>
      <c r="S406">
        <v>653</v>
      </c>
      <c r="T406">
        <v>669</v>
      </c>
    </row>
    <row r="407" spans="1:20" x14ac:dyDescent="0.35">
      <c r="A407" s="7" t="s">
        <v>507</v>
      </c>
      <c r="B407" s="12" t="s">
        <v>332</v>
      </c>
      <c r="C407">
        <v>367930963.44136071</v>
      </c>
      <c r="D407">
        <v>371827269.68013602</v>
      </c>
      <c r="E407">
        <v>2932207.207207208</v>
      </c>
      <c r="F407">
        <v>2978378.378378381</v>
      </c>
      <c r="G407">
        <v>151</v>
      </c>
      <c r="H407">
        <v>106</v>
      </c>
      <c r="K407">
        <v>175</v>
      </c>
      <c r="L407">
        <v>137</v>
      </c>
      <c r="M407">
        <v>38640540.540540539</v>
      </c>
      <c r="N407">
        <v>46526126.126126125</v>
      </c>
      <c r="O407">
        <v>94152831.081081077</v>
      </c>
      <c r="P407">
        <v>97394007.207207203</v>
      </c>
      <c r="Q407">
        <v>36116306.30630631</v>
      </c>
      <c r="R407">
        <v>44197477.477477483</v>
      </c>
      <c r="S407">
        <v>15913</v>
      </c>
      <c r="T407">
        <v>16119</v>
      </c>
    </row>
    <row r="408" spans="1:20" x14ac:dyDescent="0.35">
      <c r="A408" s="7" t="s">
        <v>508</v>
      </c>
      <c r="B408" s="12" t="s">
        <v>285</v>
      </c>
      <c r="C408">
        <v>113930224.97924599</v>
      </c>
      <c r="D408">
        <v>126880947.18270119</v>
      </c>
      <c r="E408">
        <v>255855.855855856</v>
      </c>
      <c r="F408">
        <v>1517117.1171171181</v>
      </c>
      <c r="G408">
        <v>18</v>
      </c>
      <c r="H408">
        <v>8</v>
      </c>
      <c r="K408">
        <v>19</v>
      </c>
      <c r="L408">
        <v>11</v>
      </c>
      <c r="M408">
        <v>10454054.054054055</v>
      </c>
      <c r="N408">
        <v>11481081.081081079</v>
      </c>
      <c r="O408">
        <v>20529675.675675675</v>
      </c>
      <c r="P408">
        <v>23391387.387387387</v>
      </c>
      <c r="Q408">
        <v>10895135.135135137</v>
      </c>
      <c r="R408">
        <v>10550810.810810812</v>
      </c>
      <c r="S408">
        <v>2971</v>
      </c>
      <c r="T408">
        <v>3112</v>
      </c>
    </row>
    <row r="409" spans="1:20" x14ac:dyDescent="0.35">
      <c r="A409" s="7" t="s">
        <v>509</v>
      </c>
      <c r="B409" s="12" t="s">
        <v>262</v>
      </c>
      <c r="C409">
        <v>68194102.946888447</v>
      </c>
      <c r="D409">
        <v>82284623.016987354</v>
      </c>
      <c r="E409">
        <v>40540.540540540998</v>
      </c>
      <c r="G409">
        <v>3</v>
      </c>
      <c r="H409">
        <v>9</v>
      </c>
      <c r="K409">
        <v>5</v>
      </c>
      <c r="L409">
        <v>12</v>
      </c>
      <c r="M409">
        <v>1842342.342342342</v>
      </c>
      <c r="N409">
        <v>2702702.702702703</v>
      </c>
      <c r="O409">
        <v>14817477.477477478</v>
      </c>
      <c r="P409">
        <v>22428412.612612613</v>
      </c>
      <c r="Q409">
        <v>1318018.0180180189</v>
      </c>
      <c r="R409">
        <v>3281531.5315315309</v>
      </c>
      <c r="S409">
        <v>2076</v>
      </c>
      <c r="T409">
        <v>2270</v>
      </c>
    </row>
    <row r="410" spans="1:20" x14ac:dyDescent="0.35">
      <c r="A410" s="7" t="s">
        <v>510</v>
      </c>
      <c r="B410" s="12" t="s">
        <v>238</v>
      </c>
      <c r="C410">
        <v>168598776.80913809</v>
      </c>
      <c r="D410">
        <v>174928372.01827043</v>
      </c>
      <c r="E410">
        <v>27148134.234234236</v>
      </c>
      <c r="F410">
        <v>39149293.693693712</v>
      </c>
      <c r="G410">
        <v>16</v>
      </c>
      <c r="H410">
        <v>57</v>
      </c>
      <c r="K410">
        <v>64</v>
      </c>
      <c r="L410">
        <v>146</v>
      </c>
      <c r="M410">
        <v>61667207.20720721</v>
      </c>
      <c r="N410">
        <v>40388288.288288288</v>
      </c>
      <c r="O410">
        <v>36742495.495495498</v>
      </c>
      <c r="P410">
        <v>41174702.702702701</v>
      </c>
      <c r="Q410">
        <v>38551711.711711712</v>
      </c>
      <c r="R410">
        <v>23597027.027027026</v>
      </c>
      <c r="S410">
        <v>4580</v>
      </c>
      <c r="T410">
        <v>4584</v>
      </c>
    </row>
    <row r="411" spans="1:20" x14ac:dyDescent="0.35">
      <c r="A411" s="7" t="s">
        <v>511</v>
      </c>
      <c r="B411" s="12" t="s">
        <v>135</v>
      </c>
      <c r="C411">
        <v>16618616.496954031</v>
      </c>
      <c r="D411">
        <v>29439967.851197261</v>
      </c>
      <c r="E411">
        <v>13963963.963963963</v>
      </c>
      <c r="F411">
        <v>5405405.405405405</v>
      </c>
      <c r="H411">
        <v>1</v>
      </c>
      <c r="L411">
        <v>1</v>
      </c>
      <c r="O411">
        <v>2730036.036036036</v>
      </c>
      <c r="P411">
        <v>4972414.4144144142</v>
      </c>
      <c r="S411">
        <v>1261</v>
      </c>
      <c r="T411">
        <v>1263</v>
      </c>
    </row>
    <row r="412" spans="1:20" x14ac:dyDescent="0.35">
      <c r="A412" s="7" t="s">
        <v>512</v>
      </c>
      <c r="B412" s="12" t="s">
        <v>401</v>
      </c>
      <c r="C412">
        <v>176279416.87738699</v>
      </c>
      <c r="D412">
        <v>185858961.11432761</v>
      </c>
      <c r="E412">
        <v>52410810.810810819</v>
      </c>
      <c r="F412">
        <v>56697747.747747749</v>
      </c>
      <c r="G412">
        <v>28</v>
      </c>
      <c r="H412">
        <v>36</v>
      </c>
      <c r="K412">
        <v>56</v>
      </c>
      <c r="L412">
        <v>44</v>
      </c>
      <c r="M412">
        <v>22912612.612612613</v>
      </c>
      <c r="N412">
        <v>19493693.693693697</v>
      </c>
      <c r="O412">
        <v>28225972.972972974</v>
      </c>
      <c r="P412">
        <v>29168504.504504506</v>
      </c>
      <c r="Q412">
        <v>20602522.522522524</v>
      </c>
      <c r="R412">
        <v>16657837.837837838</v>
      </c>
      <c r="S412">
        <v>4388</v>
      </c>
      <c r="T412">
        <v>4539</v>
      </c>
    </row>
    <row r="413" spans="1:20" x14ac:dyDescent="0.35">
      <c r="A413" s="7" t="s">
        <v>513</v>
      </c>
      <c r="B413" s="12" t="s">
        <v>135</v>
      </c>
      <c r="C413">
        <v>197453896.10717988</v>
      </c>
      <c r="D413">
        <v>215444673.36414185</v>
      </c>
      <c r="E413">
        <v>1365765.7657657689</v>
      </c>
      <c r="F413">
        <v>1297297.2972972989</v>
      </c>
      <c r="G413">
        <v>52</v>
      </c>
      <c r="H413">
        <v>44</v>
      </c>
      <c r="K413">
        <v>57</v>
      </c>
      <c r="L413">
        <v>48</v>
      </c>
      <c r="M413">
        <v>21280180.180180181</v>
      </c>
      <c r="N413">
        <v>21185585.585585583</v>
      </c>
      <c r="O413">
        <v>31887484.234234232</v>
      </c>
      <c r="P413">
        <v>37171657.657657653</v>
      </c>
      <c r="Q413">
        <v>16544414.414414411</v>
      </c>
      <c r="R413">
        <v>18404054.054054055</v>
      </c>
      <c r="S413">
        <v>5510</v>
      </c>
      <c r="T413">
        <v>5640</v>
      </c>
    </row>
    <row r="414" spans="1:20" x14ac:dyDescent="0.35">
      <c r="A414" s="7" t="s">
        <v>514</v>
      </c>
      <c r="B414" s="12" t="s">
        <v>135</v>
      </c>
      <c r="C414">
        <v>542028698.79639018</v>
      </c>
      <c r="D414">
        <v>567610547.59221792</v>
      </c>
      <c r="E414">
        <v>3188288.2882882971</v>
      </c>
      <c r="F414">
        <v>3546846.8468468538</v>
      </c>
      <c r="G414">
        <v>117</v>
      </c>
      <c r="H414">
        <v>99</v>
      </c>
      <c r="K414">
        <v>161</v>
      </c>
      <c r="L414">
        <v>128</v>
      </c>
      <c r="M414">
        <v>39574774.774774775</v>
      </c>
      <c r="N414">
        <v>52257207.20720721</v>
      </c>
      <c r="O414">
        <v>56639108.108108111</v>
      </c>
      <c r="P414">
        <v>65581054.054054059</v>
      </c>
      <c r="Q414">
        <v>38235675.675675683</v>
      </c>
      <c r="R414">
        <v>44628918.918918923</v>
      </c>
      <c r="S414">
        <v>16188</v>
      </c>
      <c r="T414">
        <v>16854</v>
      </c>
    </row>
    <row r="415" spans="1:20" x14ac:dyDescent="0.35">
      <c r="A415" s="7" t="s">
        <v>8</v>
      </c>
      <c r="B415" s="12" t="s">
        <v>159</v>
      </c>
      <c r="C415">
        <v>138463115.08858079</v>
      </c>
      <c r="D415">
        <v>145979301.56804514</v>
      </c>
      <c r="E415">
        <v>2541441.4414414428</v>
      </c>
      <c r="F415">
        <v>2821621.6216216232</v>
      </c>
      <c r="G415">
        <v>5</v>
      </c>
      <c r="H415">
        <v>31</v>
      </c>
      <c r="K415">
        <v>6</v>
      </c>
      <c r="L415">
        <v>33</v>
      </c>
      <c r="M415">
        <v>22336936.936936937</v>
      </c>
      <c r="N415">
        <v>28572972.972972974</v>
      </c>
      <c r="O415">
        <v>41392189.189189196</v>
      </c>
      <c r="P415">
        <v>44896918.918918923</v>
      </c>
      <c r="Q415">
        <v>20071891.891891889</v>
      </c>
      <c r="R415">
        <v>26052432.432432432</v>
      </c>
      <c r="S415">
        <v>3452</v>
      </c>
      <c r="T415">
        <v>3610</v>
      </c>
    </row>
    <row r="416" spans="1:20" x14ac:dyDescent="0.35">
      <c r="A416" s="7" t="s">
        <v>515</v>
      </c>
      <c r="B416" s="12" t="s">
        <v>135</v>
      </c>
      <c r="C416">
        <v>104064453.60769293</v>
      </c>
      <c r="D416">
        <v>131663362.02004647</v>
      </c>
      <c r="E416">
        <v>360360.360360361</v>
      </c>
      <c r="F416">
        <v>400900.900900901</v>
      </c>
      <c r="G416">
        <v>6</v>
      </c>
      <c r="K416">
        <v>9</v>
      </c>
      <c r="M416">
        <v>5765765.7657657666</v>
      </c>
      <c r="N416">
        <v>8058558.5585585581</v>
      </c>
      <c r="O416">
        <v>14978081.081081079</v>
      </c>
      <c r="P416">
        <v>20216135.135135137</v>
      </c>
      <c r="Q416">
        <v>3332792.7927927929</v>
      </c>
      <c r="R416">
        <v>4722972.9729729732</v>
      </c>
      <c r="S416">
        <v>3914</v>
      </c>
      <c r="T416">
        <v>3192</v>
      </c>
    </row>
    <row r="417" spans="1:20" x14ac:dyDescent="0.35">
      <c r="A417" s="7" t="s">
        <v>516</v>
      </c>
      <c r="B417" s="12" t="s">
        <v>63</v>
      </c>
      <c r="C417">
        <v>450826097.15994662</v>
      </c>
      <c r="D417">
        <v>439358802.21842295</v>
      </c>
      <c r="E417">
        <v>353903614.41441441</v>
      </c>
      <c r="F417">
        <v>294870536.93693697</v>
      </c>
      <c r="G417">
        <v>121</v>
      </c>
      <c r="H417">
        <v>46</v>
      </c>
      <c r="K417">
        <v>166</v>
      </c>
      <c r="L417">
        <v>63</v>
      </c>
      <c r="M417">
        <v>77048593.693693697</v>
      </c>
      <c r="N417">
        <v>58649152.252252258</v>
      </c>
      <c r="O417">
        <v>92401092.792792797</v>
      </c>
      <c r="P417">
        <v>97388529.729729727</v>
      </c>
      <c r="Q417">
        <v>28541261.261261266</v>
      </c>
      <c r="R417">
        <v>29162565.765765768</v>
      </c>
      <c r="S417">
        <v>14157</v>
      </c>
      <c r="T417">
        <v>14779</v>
      </c>
    </row>
    <row r="418" spans="1:20" x14ac:dyDescent="0.35">
      <c r="A418" s="7" t="s">
        <v>517</v>
      </c>
      <c r="B418" s="12" t="s">
        <v>118</v>
      </c>
      <c r="C418">
        <v>44908527.564184338</v>
      </c>
      <c r="D418">
        <v>40028123.30393362</v>
      </c>
      <c r="E418">
        <v>251351.35135135101</v>
      </c>
      <c r="F418">
        <v>621621.62162162305</v>
      </c>
      <c r="G418">
        <v>24</v>
      </c>
      <c r="H418">
        <v>16</v>
      </c>
      <c r="K418">
        <v>24</v>
      </c>
      <c r="L418">
        <v>18</v>
      </c>
      <c r="M418">
        <v>1950540.5405405411</v>
      </c>
      <c r="N418">
        <v>3998423.4234234248</v>
      </c>
      <c r="O418">
        <v>19191774.774774775</v>
      </c>
      <c r="P418">
        <v>18783819.819819819</v>
      </c>
      <c r="Q418">
        <v>1457297.2972972989</v>
      </c>
      <c r="R418">
        <v>3075990.9909909898</v>
      </c>
      <c r="S418">
        <v>1959</v>
      </c>
      <c r="T418">
        <v>1977</v>
      </c>
    </row>
    <row r="419" spans="1:20" x14ac:dyDescent="0.35">
      <c r="A419" s="7" t="s">
        <v>518</v>
      </c>
      <c r="B419" s="12" t="s">
        <v>306</v>
      </c>
      <c r="C419">
        <v>83922887.543002501</v>
      </c>
      <c r="D419">
        <v>79731419.73238726</v>
      </c>
      <c r="E419">
        <v>518018.01801801898</v>
      </c>
      <c r="F419">
        <v>306306.30630630697</v>
      </c>
      <c r="G419">
        <v>44</v>
      </c>
      <c r="H419">
        <v>51</v>
      </c>
      <c r="I419">
        <v>2</v>
      </c>
      <c r="K419">
        <v>45</v>
      </c>
      <c r="L419">
        <v>58</v>
      </c>
      <c r="M419">
        <v>8422972.9729729723</v>
      </c>
      <c r="N419">
        <v>3463063.0630630618</v>
      </c>
      <c r="O419">
        <v>8563783.7837837841</v>
      </c>
      <c r="P419">
        <v>10118351.351351352</v>
      </c>
      <c r="Q419">
        <v>9398828.8288288303</v>
      </c>
      <c r="R419">
        <v>3292252.2522522528</v>
      </c>
      <c r="S419">
        <v>1405</v>
      </c>
      <c r="T419">
        <v>1416</v>
      </c>
    </row>
    <row r="420" spans="1:20" x14ac:dyDescent="0.35">
      <c r="A420" s="7" t="s">
        <v>674</v>
      </c>
      <c r="B420" s="12" t="s">
        <v>306</v>
      </c>
      <c r="E420">
        <v>7207207.2072072066</v>
      </c>
      <c r="F420">
        <v>26914414.414414417</v>
      </c>
      <c r="M420">
        <v>44594.594594595001</v>
      </c>
      <c r="N420">
        <v>81081.081081081007</v>
      </c>
    </row>
    <row r="421" spans="1:20" x14ac:dyDescent="0.35">
      <c r="A421" s="7" t="s">
        <v>519</v>
      </c>
      <c r="B421" s="12" t="s">
        <v>306</v>
      </c>
      <c r="C421">
        <v>21286670.752994813</v>
      </c>
      <c r="D421">
        <v>28409993.887988903</v>
      </c>
      <c r="E421">
        <v>208108.10810810799</v>
      </c>
      <c r="F421">
        <v>261261.261261262</v>
      </c>
      <c r="G421">
        <v>5</v>
      </c>
      <c r="H421">
        <v>5</v>
      </c>
      <c r="K421">
        <v>6</v>
      </c>
      <c r="L421">
        <v>5</v>
      </c>
      <c r="M421">
        <v>2628828.8288288289</v>
      </c>
      <c r="N421">
        <v>4207207.2072072076</v>
      </c>
      <c r="O421">
        <v>3365864.8648648649</v>
      </c>
      <c r="P421">
        <v>4804540.5405405397</v>
      </c>
      <c r="Q421">
        <v>2134954.9549549539</v>
      </c>
      <c r="R421">
        <v>2592702.702702702</v>
      </c>
      <c r="S421">
        <v>554</v>
      </c>
      <c r="T421">
        <v>1362</v>
      </c>
    </row>
    <row r="422" spans="1:20" x14ac:dyDescent="0.35">
      <c r="A422" s="7" t="s">
        <v>520</v>
      </c>
      <c r="B422" s="12" t="s">
        <v>306</v>
      </c>
      <c r="C422">
        <v>51430911.575777344</v>
      </c>
      <c r="D422">
        <v>52828794.570019379</v>
      </c>
      <c r="E422">
        <v>652252.25225225103</v>
      </c>
      <c r="F422">
        <v>63063.063063064998</v>
      </c>
      <c r="G422">
        <v>28</v>
      </c>
      <c r="H422">
        <v>14</v>
      </c>
      <c r="K422">
        <v>29</v>
      </c>
      <c r="L422">
        <v>19</v>
      </c>
      <c r="M422">
        <v>3064864.8648648639</v>
      </c>
      <c r="N422">
        <v>4261261.2612612611</v>
      </c>
      <c r="O422">
        <v>7812081.0810810812</v>
      </c>
      <c r="P422">
        <v>7456693.6936936937</v>
      </c>
      <c r="Q422">
        <v>2574684.6846846859</v>
      </c>
      <c r="R422">
        <v>3344594.5945945932</v>
      </c>
      <c r="S422">
        <v>1079</v>
      </c>
      <c r="T422">
        <v>1101</v>
      </c>
    </row>
    <row r="423" spans="1:20" x14ac:dyDescent="0.35">
      <c r="A423" s="7" t="s">
        <v>521</v>
      </c>
      <c r="B423" s="12" t="s">
        <v>306</v>
      </c>
      <c r="C423">
        <v>39043615.609996542</v>
      </c>
      <c r="D423">
        <v>38829460.911313459</v>
      </c>
      <c r="E423">
        <v>94594.594594594993</v>
      </c>
      <c r="G423">
        <v>15</v>
      </c>
      <c r="H423">
        <v>13</v>
      </c>
      <c r="K423">
        <v>15</v>
      </c>
      <c r="L423">
        <v>13</v>
      </c>
      <c r="M423">
        <v>950450.450450451</v>
      </c>
      <c r="N423">
        <v>1018018.018018018</v>
      </c>
      <c r="O423">
        <v>5249990.9909909908</v>
      </c>
      <c r="P423">
        <v>6090261.261261262</v>
      </c>
      <c r="Q423">
        <v>613783.78378378297</v>
      </c>
      <c r="R423">
        <v>533783.78378378402</v>
      </c>
      <c r="S423">
        <v>876</v>
      </c>
      <c r="T423">
        <v>879</v>
      </c>
    </row>
    <row r="424" spans="1:20" x14ac:dyDescent="0.35">
      <c r="A424" s="7" t="s">
        <v>522</v>
      </c>
      <c r="B424" s="12" t="s">
        <v>452</v>
      </c>
      <c r="C424">
        <v>39154982.649323873</v>
      </c>
      <c r="D424">
        <v>38908384.493886925</v>
      </c>
      <c r="E424">
        <v>246846.84684684701</v>
      </c>
      <c r="F424">
        <v>1146846.846846848</v>
      </c>
      <c r="G424">
        <v>7</v>
      </c>
      <c r="H424">
        <v>12</v>
      </c>
      <c r="K424">
        <v>9</v>
      </c>
      <c r="L424">
        <v>19</v>
      </c>
      <c r="M424">
        <v>1801351.351351351</v>
      </c>
      <c r="N424">
        <v>54182702.702702701</v>
      </c>
      <c r="O424">
        <v>13198605.855855856</v>
      </c>
      <c r="P424">
        <v>13238450.450450452</v>
      </c>
      <c r="Q424">
        <v>2705675.6756756762</v>
      </c>
      <c r="R424">
        <v>53970360.360360362</v>
      </c>
      <c r="S424">
        <v>1804</v>
      </c>
      <c r="T424">
        <v>1674</v>
      </c>
    </row>
    <row r="425" spans="1:20" x14ac:dyDescent="0.35">
      <c r="A425" s="7" t="s">
        <v>523</v>
      </c>
      <c r="B425" s="12" t="s">
        <v>86</v>
      </c>
      <c r="C425">
        <v>122527390.18534508</v>
      </c>
      <c r="D425">
        <v>129293880.3714997</v>
      </c>
      <c r="E425">
        <v>981981.98198198294</v>
      </c>
      <c r="F425">
        <v>1459459.4594594629</v>
      </c>
      <c r="G425">
        <v>15</v>
      </c>
      <c r="H425">
        <v>6</v>
      </c>
      <c r="K425">
        <v>19</v>
      </c>
      <c r="L425">
        <v>9</v>
      </c>
      <c r="M425">
        <v>23405405.405405402</v>
      </c>
      <c r="N425">
        <v>40952342.342342347</v>
      </c>
      <c r="O425">
        <v>31143036.036036037</v>
      </c>
      <c r="P425">
        <v>38295963.963963963</v>
      </c>
      <c r="Q425">
        <v>21410493.693693694</v>
      </c>
      <c r="R425">
        <v>33735585.585585587</v>
      </c>
      <c r="S425">
        <v>4261</v>
      </c>
      <c r="T425">
        <v>4090</v>
      </c>
    </row>
    <row r="426" spans="1:20" x14ac:dyDescent="0.35">
      <c r="A426" s="7" t="s">
        <v>524</v>
      </c>
      <c r="B426" s="12" t="s">
        <v>306</v>
      </c>
      <c r="C426">
        <v>65582648.345819265</v>
      </c>
      <c r="D426">
        <v>67102767.069756731</v>
      </c>
      <c r="E426">
        <v>44144.144144143997</v>
      </c>
      <c r="G426">
        <v>10</v>
      </c>
      <c r="H426">
        <v>9</v>
      </c>
      <c r="K426">
        <v>11</v>
      </c>
      <c r="L426">
        <v>9</v>
      </c>
      <c r="M426">
        <v>4225225.2252252251</v>
      </c>
      <c r="N426">
        <v>3873873.8738738731</v>
      </c>
      <c r="O426">
        <v>10340882.882882882</v>
      </c>
      <c r="P426">
        <v>12398954.954954956</v>
      </c>
      <c r="Q426">
        <v>2023333.333333333</v>
      </c>
      <c r="R426">
        <v>2914954.9549549548</v>
      </c>
      <c r="S426">
        <v>1359</v>
      </c>
      <c r="T426">
        <v>1320</v>
      </c>
    </row>
    <row r="427" spans="1:20" x14ac:dyDescent="0.35">
      <c r="A427" s="7" t="s">
        <v>525</v>
      </c>
      <c r="B427" s="12" t="s">
        <v>403</v>
      </c>
      <c r="C427">
        <v>438308573.07799006</v>
      </c>
      <c r="D427">
        <v>454628569.26646775</v>
      </c>
      <c r="E427">
        <v>22508108.108108111</v>
      </c>
      <c r="F427">
        <v>13967567.567567574</v>
      </c>
      <c r="G427">
        <v>196</v>
      </c>
      <c r="H427">
        <v>59</v>
      </c>
      <c r="I427">
        <v>1</v>
      </c>
      <c r="K427">
        <v>524</v>
      </c>
      <c r="L427">
        <v>104</v>
      </c>
      <c r="M427">
        <v>81204279.279279277</v>
      </c>
      <c r="N427">
        <v>110052927.92792793</v>
      </c>
      <c r="O427">
        <v>110490900.9009009</v>
      </c>
      <c r="P427">
        <v>111839576.57657658</v>
      </c>
      <c r="Q427">
        <v>73509729.729729727</v>
      </c>
      <c r="R427">
        <v>102253917.11711712</v>
      </c>
      <c r="S427">
        <v>13812</v>
      </c>
      <c r="T427">
        <v>13819</v>
      </c>
    </row>
    <row r="428" spans="1:20" x14ac:dyDescent="0.35">
      <c r="A428" s="7" t="s">
        <v>526</v>
      </c>
      <c r="B428" s="12" t="s">
        <v>144</v>
      </c>
      <c r="C428">
        <v>123144571.35030141</v>
      </c>
      <c r="D428">
        <v>133311847.46332796</v>
      </c>
      <c r="E428">
        <v>243243.243243245</v>
      </c>
      <c r="F428">
        <v>324324.32432432403</v>
      </c>
      <c r="G428">
        <v>39</v>
      </c>
      <c r="H428">
        <v>7</v>
      </c>
      <c r="K428">
        <v>42</v>
      </c>
      <c r="L428">
        <v>8</v>
      </c>
      <c r="M428">
        <v>6549549.5495495489</v>
      </c>
      <c r="N428">
        <v>7081081.0810810821</v>
      </c>
      <c r="O428">
        <v>15656081.081081079</v>
      </c>
      <c r="P428">
        <v>17407052.252252251</v>
      </c>
      <c r="Q428">
        <v>5999279.2792792786</v>
      </c>
      <c r="R428">
        <v>6252432.4324324327</v>
      </c>
      <c r="S428">
        <v>3018</v>
      </c>
      <c r="T428">
        <v>3028</v>
      </c>
    </row>
    <row r="429" spans="1:20" x14ac:dyDescent="0.35">
      <c r="A429" s="7" t="s">
        <v>527</v>
      </c>
      <c r="B429" s="12" t="s">
        <v>67</v>
      </c>
      <c r="C429">
        <v>84834008.679595843</v>
      </c>
      <c r="D429">
        <v>79530746.706128865</v>
      </c>
      <c r="E429">
        <v>1835135.1351351361</v>
      </c>
      <c r="F429">
        <v>1093693.693693694</v>
      </c>
      <c r="G429">
        <v>16</v>
      </c>
      <c r="H429">
        <v>13</v>
      </c>
      <c r="K429">
        <v>24</v>
      </c>
      <c r="L429">
        <v>15</v>
      </c>
      <c r="M429">
        <v>56977117.117117114</v>
      </c>
      <c r="N429">
        <v>26767117.117117122</v>
      </c>
      <c r="O429">
        <v>40467225.225225225</v>
      </c>
      <c r="P429">
        <v>40085054.054054059</v>
      </c>
      <c r="Q429">
        <v>30527747.747747745</v>
      </c>
      <c r="R429">
        <v>17698018.018018018</v>
      </c>
      <c r="S429">
        <v>3971</v>
      </c>
      <c r="T429">
        <v>3731</v>
      </c>
    </row>
    <row r="430" spans="1:20" x14ac:dyDescent="0.35">
      <c r="A430" s="7" t="s">
        <v>667</v>
      </c>
      <c r="B430" s="12" t="s">
        <v>306</v>
      </c>
      <c r="E430">
        <v>87379194.594594598</v>
      </c>
      <c r="F430">
        <v>78048086.48648648</v>
      </c>
    </row>
    <row r="431" spans="1:20" x14ac:dyDescent="0.35">
      <c r="A431" s="7" t="s">
        <v>528</v>
      </c>
      <c r="B431" s="12" t="s">
        <v>222</v>
      </c>
      <c r="C431">
        <v>109887079.30922958</v>
      </c>
      <c r="D431">
        <v>112935638.26959473</v>
      </c>
      <c r="E431">
        <v>531531.53153153101</v>
      </c>
      <c r="F431">
        <v>202702.70270270301</v>
      </c>
      <c r="G431">
        <v>29</v>
      </c>
      <c r="H431">
        <v>26</v>
      </c>
      <c r="K431">
        <v>37</v>
      </c>
      <c r="L431">
        <v>28</v>
      </c>
      <c r="M431">
        <v>7863063.0630630637</v>
      </c>
      <c r="N431">
        <v>6701801.8018018007</v>
      </c>
      <c r="O431">
        <v>27220846.846846849</v>
      </c>
      <c r="P431">
        <v>29784124.324324325</v>
      </c>
      <c r="Q431">
        <v>4910090.0900900904</v>
      </c>
      <c r="R431">
        <v>4049279.27927928</v>
      </c>
      <c r="S431">
        <v>4301</v>
      </c>
      <c r="T431">
        <v>4343</v>
      </c>
    </row>
    <row r="432" spans="1:20" x14ac:dyDescent="0.35">
      <c r="A432" s="7" t="s">
        <v>529</v>
      </c>
      <c r="B432" s="12" t="s">
        <v>417</v>
      </c>
      <c r="C432">
        <v>1210021249.7239976</v>
      </c>
      <c r="D432">
        <v>1234420061.2136135</v>
      </c>
      <c r="E432">
        <v>205126604.5045045</v>
      </c>
      <c r="F432">
        <v>339740125.22522521</v>
      </c>
      <c r="G432">
        <v>216</v>
      </c>
      <c r="H432">
        <v>450</v>
      </c>
      <c r="I432">
        <v>1</v>
      </c>
      <c r="K432">
        <v>768</v>
      </c>
      <c r="L432">
        <v>683</v>
      </c>
      <c r="M432">
        <v>103188954.95495494</v>
      </c>
      <c r="N432">
        <v>132371531.53153154</v>
      </c>
      <c r="O432">
        <v>354873878.37837839</v>
      </c>
      <c r="P432">
        <v>389451696.3963964</v>
      </c>
      <c r="Q432">
        <v>104047567.56756757</v>
      </c>
      <c r="R432">
        <v>129715225.22522523</v>
      </c>
      <c r="S432">
        <v>33230</v>
      </c>
      <c r="T432">
        <v>36532</v>
      </c>
    </row>
    <row r="433" spans="1:20" x14ac:dyDescent="0.35">
      <c r="A433" s="7" t="s">
        <v>530</v>
      </c>
      <c r="B433" s="12" t="s">
        <v>417</v>
      </c>
      <c r="C433">
        <v>138620160.021449</v>
      </c>
      <c r="D433">
        <v>142829878.70196736</v>
      </c>
      <c r="E433">
        <v>274099.09909909999</v>
      </c>
      <c r="F433">
        <v>31531.531531532</v>
      </c>
      <c r="G433">
        <v>27</v>
      </c>
      <c r="H433">
        <v>12</v>
      </c>
      <c r="K433">
        <v>31</v>
      </c>
      <c r="L433">
        <v>13</v>
      </c>
      <c r="M433">
        <v>9243290.9909909926</v>
      </c>
      <c r="N433">
        <v>8370720.7207207214</v>
      </c>
      <c r="O433">
        <v>44372684.684684686</v>
      </c>
      <c r="P433">
        <v>47441112.612612605</v>
      </c>
      <c r="Q433">
        <v>7131981.9819819815</v>
      </c>
      <c r="R433">
        <v>7389279.2792792805</v>
      </c>
      <c r="S433">
        <v>4438</v>
      </c>
      <c r="T433">
        <v>4386</v>
      </c>
    </row>
    <row r="434" spans="1:20" x14ac:dyDescent="0.35">
      <c r="A434" s="7" t="s">
        <v>675</v>
      </c>
      <c r="B434" s="12" t="s">
        <v>191</v>
      </c>
      <c r="M434">
        <v>783783.78378378402</v>
      </c>
      <c r="N434">
        <v>3054054.054054054</v>
      </c>
    </row>
    <row r="435" spans="1:20" x14ac:dyDescent="0.35">
      <c r="A435" s="7" t="s">
        <v>531</v>
      </c>
      <c r="B435" s="12" t="s">
        <v>148</v>
      </c>
      <c r="C435">
        <v>283702367.87336987</v>
      </c>
      <c r="D435">
        <v>266811551.1355201</v>
      </c>
      <c r="E435">
        <v>5618243.2432432454</v>
      </c>
      <c r="F435">
        <v>4700000.0000000019</v>
      </c>
      <c r="G435">
        <v>71</v>
      </c>
      <c r="H435">
        <v>85</v>
      </c>
      <c r="K435">
        <v>212</v>
      </c>
      <c r="L435">
        <v>92</v>
      </c>
      <c r="M435">
        <v>68762384.684684679</v>
      </c>
      <c r="N435">
        <v>73159202.702702701</v>
      </c>
      <c r="O435">
        <v>100405529.72972973</v>
      </c>
      <c r="P435">
        <v>104035135.13513513</v>
      </c>
      <c r="Q435">
        <v>68815135.135135129</v>
      </c>
      <c r="R435">
        <v>72546666.666666672</v>
      </c>
      <c r="S435">
        <v>9833</v>
      </c>
      <c r="T435">
        <v>9975</v>
      </c>
    </row>
    <row r="436" spans="1:20" x14ac:dyDescent="0.35">
      <c r="A436" s="7" t="s">
        <v>532</v>
      </c>
      <c r="B436" s="12" t="s">
        <v>122</v>
      </c>
      <c r="C436">
        <v>31746285.140604507</v>
      </c>
      <c r="D436">
        <v>28839177.179367561</v>
      </c>
      <c r="E436">
        <v>315315.31531531602</v>
      </c>
      <c r="F436">
        <v>231531.531531532</v>
      </c>
      <c r="G436">
        <v>20</v>
      </c>
      <c r="H436">
        <v>15</v>
      </c>
      <c r="K436">
        <v>21</v>
      </c>
      <c r="L436">
        <v>16</v>
      </c>
      <c r="M436">
        <v>3355855.8558558561</v>
      </c>
      <c r="N436">
        <v>2889189.18918919</v>
      </c>
      <c r="O436">
        <v>3780599.0990990992</v>
      </c>
      <c r="P436">
        <v>3680936.9369369368</v>
      </c>
      <c r="Q436">
        <v>2529549.5495495489</v>
      </c>
      <c r="R436">
        <v>2549459.4594594589</v>
      </c>
      <c r="S436">
        <v>959</v>
      </c>
      <c r="T436">
        <v>929</v>
      </c>
    </row>
    <row r="437" spans="1:20" x14ac:dyDescent="0.35">
      <c r="A437" s="7" t="s">
        <v>533</v>
      </c>
      <c r="B437" s="12" t="s">
        <v>452</v>
      </c>
      <c r="C437">
        <v>51915628.210850149</v>
      </c>
      <c r="D437">
        <v>76695043.864453986</v>
      </c>
      <c r="E437">
        <v>194045045.04504505</v>
      </c>
      <c r="F437">
        <v>49865765.765765771</v>
      </c>
      <c r="G437">
        <v>6</v>
      </c>
      <c r="H437">
        <v>13</v>
      </c>
      <c r="K437">
        <v>7</v>
      </c>
      <c r="L437">
        <v>17</v>
      </c>
      <c r="M437">
        <v>3894144.1441441439</v>
      </c>
      <c r="N437">
        <v>6921396.3963963967</v>
      </c>
      <c r="O437">
        <v>25243038.288288288</v>
      </c>
      <c r="P437">
        <v>36786657.657657653</v>
      </c>
      <c r="Q437">
        <v>3586936.9369369359</v>
      </c>
      <c r="R437">
        <v>5848828.8288288293</v>
      </c>
      <c r="S437">
        <v>2070</v>
      </c>
      <c r="T437">
        <v>2241</v>
      </c>
    </row>
    <row r="438" spans="1:20" x14ac:dyDescent="0.35">
      <c r="A438" s="7" t="s">
        <v>534</v>
      </c>
      <c r="B438" s="12" t="s">
        <v>452</v>
      </c>
      <c r="C438">
        <v>129741012.53515275</v>
      </c>
      <c r="D438">
        <v>140176431.82340053</v>
      </c>
      <c r="E438">
        <v>1006306.306306307</v>
      </c>
      <c r="F438">
        <v>1945045.0450450459</v>
      </c>
      <c r="G438">
        <v>45</v>
      </c>
      <c r="H438">
        <v>43</v>
      </c>
      <c r="K438">
        <v>52</v>
      </c>
      <c r="L438">
        <v>51</v>
      </c>
      <c r="M438">
        <v>6820270.2702702712</v>
      </c>
      <c r="N438">
        <v>10109234.234234234</v>
      </c>
      <c r="O438">
        <v>59852495.495495498</v>
      </c>
      <c r="P438">
        <v>68305513.513513505</v>
      </c>
      <c r="Q438">
        <v>6029099.0990990978</v>
      </c>
      <c r="R438">
        <v>10287522.522522524</v>
      </c>
      <c r="S438">
        <v>4985</v>
      </c>
      <c r="T438">
        <v>5166</v>
      </c>
    </row>
    <row r="439" spans="1:20" x14ac:dyDescent="0.35">
      <c r="A439" s="7" t="s">
        <v>535</v>
      </c>
      <c r="B439" s="12" t="s">
        <v>124</v>
      </c>
      <c r="C439">
        <v>353551211.64775389</v>
      </c>
      <c r="D439">
        <v>363364547.16349065</v>
      </c>
      <c r="E439">
        <v>236338883.78378379</v>
      </c>
      <c r="F439">
        <v>289097856.75675672</v>
      </c>
      <c r="G439">
        <v>134</v>
      </c>
      <c r="H439">
        <v>195</v>
      </c>
      <c r="I439">
        <v>3</v>
      </c>
      <c r="K439">
        <v>228</v>
      </c>
      <c r="L439">
        <v>371</v>
      </c>
      <c r="M439">
        <v>106731171.17117117</v>
      </c>
      <c r="N439">
        <v>88832522.522522524</v>
      </c>
      <c r="O439">
        <v>123606403.6036036</v>
      </c>
      <c r="P439">
        <v>127394687.38738739</v>
      </c>
      <c r="Q439">
        <v>103129909.9099099</v>
      </c>
      <c r="R439">
        <v>94167747.747747749</v>
      </c>
      <c r="S439">
        <v>11820</v>
      </c>
      <c r="T439">
        <v>11194</v>
      </c>
    </row>
    <row r="440" spans="1:20" x14ac:dyDescent="0.35">
      <c r="A440" s="7" t="s">
        <v>536</v>
      </c>
      <c r="B440" s="12" t="s">
        <v>86</v>
      </c>
      <c r="C440">
        <v>104816066.56017169</v>
      </c>
      <c r="D440">
        <v>117183821.32133958</v>
      </c>
      <c r="E440">
        <v>144757482.88288289</v>
      </c>
      <c r="F440">
        <v>320995383.78378379</v>
      </c>
      <c r="G440">
        <v>18</v>
      </c>
      <c r="H440">
        <v>6</v>
      </c>
      <c r="K440">
        <v>22</v>
      </c>
      <c r="L440">
        <v>8</v>
      </c>
      <c r="M440">
        <v>41733873.873873875</v>
      </c>
      <c r="N440">
        <v>60105855.855855852</v>
      </c>
      <c r="O440">
        <v>22465270.270270273</v>
      </c>
      <c r="P440">
        <v>30564315.315315317</v>
      </c>
      <c r="Q440">
        <v>6721351.3513513505</v>
      </c>
      <c r="R440">
        <v>34027117.117117122</v>
      </c>
      <c r="S440">
        <v>3582</v>
      </c>
      <c r="T440">
        <v>4008</v>
      </c>
    </row>
    <row r="441" spans="1:20" x14ac:dyDescent="0.35">
      <c r="A441" s="7" t="s">
        <v>9</v>
      </c>
      <c r="B441" s="12" t="s">
        <v>159</v>
      </c>
      <c r="C441">
        <v>272882229.47632909</v>
      </c>
      <c r="D441">
        <v>263755474.23720905</v>
      </c>
      <c r="E441">
        <v>3513762.1621621661</v>
      </c>
      <c r="F441">
        <v>5132145.0450450471</v>
      </c>
      <c r="G441">
        <v>39</v>
      </c>
      <c r="H441">
        <v>67</v>
      </c>
      <c r="K441">
        <v>44</v>
      </c>
      <c r="L441">
        <v>85</v>
      </c>
      <c r="M441">
        <v>341791157.65765768</v>
      </c>
      <c r="N441">
        <v>393965163.06306303</v>
      </c>
      <c r="O441">
        <v>99241990.990990996</v>
      </c>
      <c r="P441">
        <v>96601439.639639631</v>
      </c>
      <c r="Q441">
        <v>300203693.6936937</v>
      </c>
      <c r="R441">
        <v>343915900.9009009</v>
      </c>
      <c r="S441">
        <v>6889</v>
      </c>
      <c r="T441">
        <v>7180</v>
      </c>
    </row>
    <row r="442" spans="1:20" x14ac:dyDescent="0.35">
      <c r="A442" s="7" t="s">
        <v>537</v>
      </c>
      <c r="B442" s="12" t="s">
        <v>95</v>
      </c>
      <c r="C442">
        <v>267940886.17551094</v>
      </c>
      <c r="D442">
        <v>286462632.6642887</v>
      </c>
      <c r="E442">
        <v>36377477.477477483</v>
      </c>
      <c r="F442">
        <v>29151351.351351351</v>
      </c>
      <c r="G442">
        <v>49</v>
      </c>
      <c r="H442">
        <v>66</v>
      </c>
      <c r="K442">
        <v>54</v>
      </c>
      <c r="L442">
        <v>73</v>
      </c>
      <c r="M442">
        <v>28835135.135135137</v>
      </c>
      <c r="N442">
        <v>33495945.945945948</v>
      </c>
      <c r="O442">
        <v>36287873.873873875</v>
      </c>
      <c r="P442">
        <v>44677482.882882878</v>
      </c>
      <c r="Q442">
        <v>16030450.45045045</v>
      </c>
      <c r="R442">
        <v>18896666.666666668</v>
      </c>
      <c r="S442">
        <v>6431</v>
      </c>
      <c r="T442">
        <v>6525</v>
      </c>
    </row>
    <row r="443" spans="1:20" x14ac:dyDescent="0.35">
      <c r="A443" s="7" t="s">
        <v>538</v>
      </c>
      <c r="B443" s="12" t="s">
        <v>306</v>
      </c>
      <c r="C443">
        <v>7444292.2494782824</v>
      </c>
      <c r="D443">
        <v>10017965.246427745</v>
      </c>
      <c r="G443">
        <v>1</v>
      </c>
      <c r="H443">
        <v>5</v>
      </c>
      <c r="K443">
        <v>1</v>
      </c>
      <c r="L443">
        <v>5</v>
      </c>
      <c r="O443">
        <v>1167747.7477477479</v>
      </c>
      <c r="P443">
        <v>1096666.666666667</v>
      </c>
      <c r="S443">
        <v>403</v>
      </c>
      <c r="T443">
        <v>432</v>
      </c>
    </row>
    <row r="444" spans="1:20" x14ac:dyDescent="0.35">
      <c r="A444" s="7" t="s">
        <v>539</v>
      </c>
      <c r="B444" s="12" t="s">
        <v>306</v>
      </c>
      <c r="C444">
        <v>109433120.31974161</v>
      </c>
      <c r="D444">
        <v>107592724.38326378</v>
      </c>
      <c r="E444">
        <v>486486.48648648697</v>
      </c>
      <c r="F444">
        <v>1306306.306306307</v>
      </c>
      <c r="G444">
        <v>10</v>
      </c>
      <c r="H444">
        <v>24</v>
      </c>
      <c r="K444">
        <v>14</v>
      </c>
      <c r="L444">
        <v>27</v>
      </c>
      <c r="M444">
        <v>11495495.495495496</v>
      </c>
      <c r="N444">
        <v>9333333.333333334</v>
      </c>
      <c r="O444">
        <v>10031126.126126125</v>
      </c>
      <c r="P444">
        <v>9353369.3693693671</v>
      </c>
      <c r="Q444">
        <v>3369549.5495495489</v>
      </c>
      <c r="R444">
        <v>4766576.5765765756</v>
      </c>
      <c r="S444">
        <v>2689</v>
      </c>
      <c r="T444">
        <v>2711</v>
      </c>
    </row>
    <row r="445" spans="1:20" x14ac:dyDescent="0.35">
      <c r="A445" s="7" t="s">
        <v>540</v>
      </c>
      <c r="B445" s="12" t="s">
        <v>86</v>
      </c>
      <c r="C445">
        <v>93199153.089093953</v>
      </c>
      <c r="D445">
        <v>101776477.3064509</v>
      </c>
      <c r="E445">
        <v>601801.80180180306</v>
      </c>
      <c r="F445">
        <v>715315.31531531794</v>
      </c>
      <c r="G445">
        <v>41</v>
      </c>
      <c r="H445">
        <v>48</v>
      </c>
      <c r="I445">
        <v>4</v>
      </c>
      <c r="K445">
        <v>48</v>
      </c>
      <c r="L445">
        <v>104</v>
      </c>
      <c r="M445">
        <v>35069729.729729734</v>
      </c>
      <c r="N445">
        <v>48412792.79279279</v>
      </c>
      <c r="O445">
        <v>44007432.432432435</v>
      </c>
      <c r="P445">
        <v>50416441.441441439</v>
      </c>
      <c r="Q445">
        <v>26703333.333333336</v>
      </c>
      <c r="R445">
        <v>43315135.135135137</v>
      </c>
      <c r="S445">
        <v>2955</v>
      </c>
      <c r="T445">
        <v>3109</v>
      </c>
    </row>
    <row r="446" spans="1:20" x14ac:dyDescent="0.35">
      <c r="A446" s="7" t="s">
        <v>541</v>
      </c>
      <c r="B446" s="12" t="s">
        <v>452</v>
      </c>
      <c r="C446">
        <v>131038044.35006937</v>
      </c>
      <c r="D446">
        <v>123909627.10089768</v>
      </c>
      <c r="E446">
        <v>1380180.1801801799</v>
      </c>
      <c r="F446">
        <v>234234.234234234</v>
      </c>
      <c r="G446">
        <v>102</v>
      </c>
      <c r="H446">
        <v>30</v>
      </c>
      <c r="I446">
        <v>2</v>
      </c>
      <c r="K446">
        <v>236</v>
      </c>
      <c r="L446">
        <v>35</v>
      </c>
      <c r="M446">
        <v>12561891.891891889</v>
      </c>
      <c r="N446">
        <v>7581756.7567567565</v>
      </c>
      <c r="O446">
        <v>36570106.306306303</v>
      </c>
      <c r="P446">
        <v>38198909.909909911</v>
      </c>
      <c r="Q446">
        <v>14199729.729729729</v>
      </c>
      <c r="R446">
        <v>6666531.5315315314</v>
      </c>
      <c r="S446">
        <v>5015</v>
      </c>
      <c r="T446">
        <v>5186</v>
      </c>
    </row>
    <row r="447" spans="1:20" x14ac:dyDescent="0.35">
      <c r="A447" s="7" t="s">
        <v>542</v>
      </c>
      <c r="B447" s="12" t="s">
        <v>118</v>
      </c>
      <c r="C447">
        <v>301066641.89798731</v>
      </c>
      <c r="D447">
        <v>286287550.50258881</v>
      </c>
      <c r="E447">
        <v>4958558.5585585656</v>
      </c>
      <c r="F447">
        <v>6387387.3873873902</v>
      </c>
      <c r="G447">
        <v>71</v>
      </c>
      <c r="H447">
        <v>71</v>
      </c>
      <c r="K447">
        <v>110</v>
      </c>
      <c r="L447">
        <v>87</v>
      </c>
      <c r="M447">
        <v>63983332.432432435</v>
      </c>
      <c r="N447">
        <v>56574200.9009009</v>
      </c>
      <c r="O447">
        <v>166347720.72072074</v>
      </c>
      <c r="P447">
        <v>163005918.91891891</v>
      </c>
      <c r="Q447">
        <v>54321981.981981978</v>
      </c>
      <c r="R447">
        <v>46642747.747747749</v>
      </c>
      <c r="S447">
        <v>12105</v>
      </c>
      <c r="T447">
        <v>10935</v>
      </c>
    </row>
    <row r="448" spans="1:20" x14ac:dyDescent="0.35">
      <c r="A448" s="7" t="s">
        <v>543</v>
      </c>
      <c r="B448" s="12" t="s">
        <v>84</v>
      </c>
      <c r="C448">
        <v>938474952.99274337</v>
      </c>
      <c r="D448">
        <v>927734257.68439054</v>
      </c>
      <c r="E448">
        <v>35849627.027027026</v>
      </c>
      <c r="F448">
        <v>83717567.567567572</v>
      </c>
      <c r="G448">
        <v>206</v>
      </c>
      <c r="H448">
        <v>107</v>
      </c>
      <c r="I448">
        <v>1</v>
      </c>
      <c r="K448">
        <v>237</v>
      </c>
      <c r="L448">
        <v>132</v>
      </c>
      <c r="M448">
        <v>68914495.495495498</v>
      </c>
      <c r="N448">
        <v>73346621.621621609</v>
      </c>
      <c r="O448">
        <v>101689687.83783785</v>
      </c>
      <c r="P448">
        <v>108607423.42342342</v>
      </c>
      <c r="Q448">
        <v>54599502.702702701</v>
      </c>
      <c r="R448">
        <v>55821981.981981985</v>
      </c>
      <c r="S448">
        <v>22759</v>
      </c>
      <c r="T448">
        <v>21698</v>
      </c>
    </row>
    <row r="449" spans="1:20" x14ac:dyDescent="0.35">
      <c r="A449" s="7" t="s">
        <v>544</v>
      </c>
      <c r="B449" s="12" t="s">
        <v>317</v>
      </c>
      <c r="C449">
        <v>115099896.98946573</v>
      </c>
      <c r="D449">
        <v>111666339.94876766</v>
      </c>
      <c r="E449">
        <v>1403828.8288288291</v>
      </c>
      <c r="F449">
        <v>1942342.3423423429</v>
      </c>
      <c r="G449">
        <v>17</v>
      </c>
      <c r="H449">
        <v>13</v>
      </c>
      <c r="K449">
        <v>18</v>
      </c>
      <c r="L449">
        <v>13</v>
      </c>
      <c r="M449">
        <v>7758108.108108107</v>
      </c>
      <c r="N449">
        <v>16185585.585585585</v>
      </c>
      <c r="O449">
        <v>23824468.468468469</v>
      </c>
      <c r="P449">
        <v>22914486.486486487</v>
      </c>
      <c r="Q449">
        <v>6139639.6396396402</v>
      </c>
      <c r="R449">
        <v>14675945.945945946</v>
      </c>
      <c r="S449">
        <v>2481</v>
      </c>
      <c r="T449">
        <v>2605</v>
      </c>
    </row>
    <row r="450" spans="1:20" x14ac:dyDescent="0.35">
      <c r="A450" s="7" t="s">
        <v>545</v>
      </c>
      <c r="B450" s="12" t="s">
        <v>170</v>
      </c>
      <c r="C450">
        <v>783882383.2082932</v>
      </c>
      <c r="D450">
        <v>832612246.67256606</v>
      </c>
      <c r="E450">
        <v>1780180.1801801829</v>
      </c>
      <c r="F450">
        <v>1834234.234234235</v>
      </c>
      <c r="G450">
        <v>100</v>
      </c>
      <c r="H450">
        <v>102</v>
      </c>
      <c r="I450">
        <v>1</v>
      </c>
      <c r="K450">
        <v>154</v>
      </c>
      <c r="L450">
        <v>123</v>
      </c>
      <c r="M450">
        <v>43223040.540540539</v>
      </c>
      <c r="N450">
        <v>46837656.756756753</v>
      </c>
      <c r="O450">
        <v>291951304.05405408</v>
      </c>
      <c r="P450">
        <v>323443882.88288289</v>
      </c>
      <c r="Q450">
        <v>44957027.027027026</v>
      </c>
      <c r="R450">
        <v>46426126.126126125</v>
      </c>
      <c r="S450">
        <v>22031</v>
      </c>
      <c r="T450">
        <v>21389</v>
      </c>
    </row>
    <row r="451" spans="1:20" x14ac:dyDescent="0.35">
      <c r="A451" s="7" t="s">
        <v>546</v>
      </c>
      <c r="B451" s="12" t="s">
        <v>483</v>
      </c>
      <c r="C451">
        <v>248167979.35119599</v>
      </c>
      <c r="D451">
        <v>240142583.29931647</v>
      </c>
      <c r="E451">
        <v>81081.081081084005</v>
      </c>
      <c r="F451">
        <v>1180180.1801801799</v>
      </c>
      <c r="G451">
        <v>21</v>
      </c>
      <c r="H451">
        <v>15</v>
      </c>
      <c r="K451">
        <v>27</v>
      </c>
      <c r="L451">
        <v>21</v>
      </c>
      <c r="M451">
        <v>1000000.000000003</v>
      </c>
      <c r="N451">
        <v>2396396.396396406</v>
      </c>
      <c r="O451">
        <v>32309342.342342343</v>
      </c>
      <c r="P451">
        <v>44288405.40540541</v>
      </c>
      <c r="Q451">
        <v>133063.063063062</v>
      </c>
      <c r="R451">
        <v>1728018.0180180259</v>
      </c>
      <c r="S451">
        <v>5318</v>
      </c>
      <c r="T451">
        <v>5497</v>
      </c>
    </row>
    <row r="452" spans="1:20" x14ac:dyDescent="0.35">
      <c r="A452" s="7" t="s">
        <v>547</v>
      </c>
      <c r="B452" s="12" t="s">
        <v>81</v>
      </c>
      <c r="C452">
        <v>56886402.496765047</v>
      </c>
      <c r="D452">
        <v>68079243.81886369</v>
      </c>
      <c r="E452">
        <v>277027.02702702698</v>
      </c>
      <c r="F452">
        <v>760360.36036036105</v>
      </c>
      <c r="G452">
        <v>19</v>
      </c>
      <c r="H452">
        <v>4</v>
      </c>
      <c r="K452">
        <v>24</v>
      </c>
      <c r="L452">
        <v>9</v>
      </c>
      <c r="M452">
        <v>5780180.1801801799</v>
      </c>
      <c r="N452">
        <v>7012612.6126126125</v>
      </c>
      <c r="O452">
        <v>21698126.126126129</v>
      </c>
      <c r="P452">
        <v>24695972.97297297</v>
      </c>
      <c r="Q452">
        <v>5786216.2162162159</v>
      </c>
      <c r="R452">
        <v>6011441.4414414419</v>
      </c>
      <c r="S452">
        <v>2305</v>
      </c>
      <c r="T452">
        <v>2269</v>
      </c>
    </row>
    <row r="453" spans="1:20" x14ac:dyDescent="0.35">
      <c r="A453" s="7" t="s">
        <v>548</v>
      </c>
      <c r="B453" s="12" t="s">
        <v>170</v>
      </c>
      <c r="C453">
        <v>59561650.917998336</v>
      </c>
      <c r="D453">
        <v>92038136.240647629</v>
      </c>
      <c r="E453">
        <v>271171.17117117101</v>
      </c>
      <c r="F453">
        <v>456756.75675675698</v>
      </c>
      <c r="G453">
        <v>11</v>
      </c>
      <c r="K453">
        <v>11</v>
      </c>
      <c r="M453">
        <v>1172072.072072071</v>
      </c>
      <c r="N453">
        <v>456756.75675675698</v>
      </c>
      <c r="O453">
        <v>26325801.801801801</v>
      </c>
      <c r="P453">
        <v>33009576.576576576</v>
      </c>
      <c r="Q453">
        <v>382792.79279279202</v>
      </c>
      <c r="R453">
        <v>883873.87387387396</v>
      </c>
      <c r="S453">
        <v>2452</v>
      </c>
      <c r="T453">
        <v>2493</v>
      </c>
    </row>
    <row r="454" spans="1:20" x14ac:dyDescent="0.35">
      <c r="A454" s="7" t="s">
        <v>549</v>
      </c>
      <c r="B454" s="12" t="s">
        <v>226</v>
      </c>
      <c r="C454">
        <v>4921.951882626</v>
      </c>
      <c r="D454">
        <v>42299.851299155001</v>
      </c>
      <c r="P454">
        <v>6081.0810810809999</v>
      </c>
    </row>
    <row r="455" spans="1:20" x14ac:dyDescent="0.35">
      <c r="A455" s="7" t="s">
        <v>550</v>
      </c>
      <c r="B455" s="12" t="s">
        <v>137</v>
      </c>
      <c r="C455">
        <v>160870604.19399691</v>
      </c>
      <c r="D455">
        <v>168768979.86057517</v>
      </c>
      <c r="E455">
        <v>683783.78378378705</v>
      </c>
      <c r="F455">
        <v>763963.96396396495</v>
      </c>
      <c r="G455">
        <v>50</v>
      </c>
      <c r="H455">
        <v>26</v>
      </c>
      <c r="K455">
        <v>58</v>
      </c>
      <c r="L455">
        <v>30</v>
      </c>
      <c r="M455">
        <v>37785585.585585587</v>
      </c>
      <c r="N455">
        <v>36520720.720720723</v>
      </c>
      <c r="O455">
        <v>52487547.747747749</v>
      </c>
      <c r="P455">
        <v>63670306.306306303</v>
      </c>
      <c r="Q455">
        <v>29096756.75675676</v>
      </c>
      <c r="R455">
        <v>26601441.441441439</v>
      </c>
      <c r="S455">
        <v>4235</v>
      </c>
      <c r="T455">
        <v>4489</v>
      </c>
    </row>
    <row r="456" spans="1:20" x14ac:dyDescent="0.35">
      <c r="A456" s="7" t="s">
        <v>551</v>
      </c>
      <c r="B456" s="12" t="s">
        <v>137</v>
      </c>
      <c r="C456">
        <v>308092551.62609428</v>
      </c>
      <c r="D456">
        <v>298106880.861651</v>
      </c>
      <c r="E456">
        <v>223434829.72972974</v>
      </c>
      <c r="F456">
        <v>232351886.48648649</v>
      </c>
      <c r="G456">
        <v>156</v>
      </c>
      <c r="H456">
        <v>105</v>
      </c>
      <c r="I456">
        <v>6</v>
      </c>
      <c r="K456">
        <v>184</v>
      </c>
      <c r="L456">
        <v>131</v>
      </c>
      <c r="M456">
        <v>78064864.864864871</v>
      </c>
      <c r="N456">
        <v>64436036.036036029</v>
      </c>
      <c r="O456">
        <v>100779808.10810812</v>
      </c>
      <c r="P456">
        <v>102808864.86486487</v>
      </c>
      <c r="Q456">
        <v>66274497.297297306</v>
      </c>
      <c r="R456">
        <v>55817927.927927926</v>
      </c>
      <c r="S456">
        <v>12608</v>
      </c>
      <c r="T456">
        <v>14120</v>
      </c>
    </row>
    <row r="457" spans="1:20" x14ac:dyDescent="0.35">
      <c r="A457" s="7" t="s">
        <v>552</v>
      </c>
      <c r="B457" s="12" t="s">
        <v>137</v>
      </c>
      <c r="C457">
        <v>334224224.31017524</v>
      </c>
      <c r="D457">
        <v>354672986.89981943</v>
      </c>
      <c r="E457">
        <v>2400900.9009009022</v>
      </c>
      <c r="F457">
        <v>1282882.8828828819</v>
      </c>
      <c r="G457">
        <v>48</v>
      </c>
      <c r="H457">
        <v>75</v>
      </c>
      <c r="I457">
        <v>6</v>
      </c>
      <c r="K457">
        <v>53</v>
      </c>
      <c r="L457">
        <v>78</v>
      </c>
      <c r="M457">
        <v>14364864.864864863</v>
      </c>
      <c r="N457">
        <v>14616216.216216216</v>
      </c>
      <c r="O457">
        <v>55598412.612612613</v>
      </c>
      <c r="P457">
        <v>60524117.117117122</v>
      </c>
      <c r="Q457">
        <v>12803783.783783784</v>
      </c>
      <c r="R457">
        <v>11250720.72072072</v>
      </c>
      <c r="S457">
        <v>8336</v>
      </c>
      <c r="T457">
        <v>8866</v>
      </c>
    </row>
    <row r="458" spans="1:20" x14ac:dyDescent="0.35">
      <c r="A458" s="7" t="s">
        <v>553</v>
      </c>
      <c r="B458" s="12" t="s">
        <v>137</v>
      </c>
      <c r="C458">
        <v>137276625.47120103</v>
      </c>
      <c r="D458">
        <v>136528885.07261559</v>
      </c>
      <c r="E458">
        <v>157657.65765765999</v>
      </c>
      <c r="F458">
        <v>1004504.504504505</v>
      </c>
      <c r="G458">
        <v>22</v>
      </c>
      <c r="H458">
        <v>37</v>
      </c>
      <c r="K458">
        <v>24</v>
      </c>
      <c r="L458">
        <v>38</v>
      </c>
      <c r="M458">
        <v>11139639.639639638</v>
      </c>
      <c r="N458">
        <v>15000000</v>
      </c>
      <c r="O458">
        <v>23775918.918918919</v>
      </c>
      <c r="P458">
        <v>26829018.018018015</v>
      </c>
      <c r="Q458">
        <v>8826486.4864864852</v>
      </c>
      <c r="R458">
        <v>8935675.6756756753</v>
      </c>
      <c r="S458">
        <v>3686</v>
      </c>
      <c r="T458">
        <v>3772</v>
      </c>
    </row>
    <row r="459" spans="1:20" x14ac:dyDescent="0.35">
      <c r="A459" s="7" t="s">
        <v>554</v>
      </c>
      <c r="B459" s="12" t="s">
        <v>88</v>
      </c>
      <c r="C459">
        <v>55545816.511717647</v>
      </c>
      <c r="D459">
        <v>58429045.34899237</v>
      </c>
      <c r="E459">
        <v>105405.40540540501</v>
      </c>
      <c r="F459">
        <v>13513.513513514001</v>
      </c>
      <c r="G459">
        <v>20</v>
      </c>
      <c r="H459">
        <v>12</v>
      </c>
      <c r="K459">
        <v>23</v>
      </c>
      <c r="L459">
        <v>14</v>
      </c>
      <c r="M459">
        <v>3957657.6576576582</v>
      </c>
      <c r="N459">
        <v>2819819.8198198192</v>
      </c>
      <c r="O459">
        <v>8530621.6216216218</v>
      </c>
      <c r="P459">
        <v>9693054.0540540535</v>
      </c>
      <c r="Q459">
        <v>3459999.9999999991</v>
      </c>
      <c r="R459">
        <v>2310990.9909909908</v>
      </c>
      <c r="S459">
        <v>1405</v>
      </c>
      <c r="T459">
        <v>1377</v>
      </c>
    </row>
    <row r="460" spans="1:20" x14ac:dyDescent="0.35">
      <c r="A460" s="7" t="s">
        <v>555</v>
      </c>
      <c r="B460" s="12" t="s">
        <v>88</v>
      </c>
      <c r="C460">
        <v>85969816.110632867</v>
      </c>
      <c r="D460">
        <v>89703200.163533181</v>
      </c>
      <c r="E460">
        <v>247747.747747749</v>
      </c>
      <c r="F460">
        <v>378378.37837837997</v>
      </c>
      <c r="G460">
        <v>40</v>
      </c>
      <c r="H460">
        <v>34</v>
      </c>
      <c r="K460">
        <v>49</v>
      </c>
      <c r="L460">
        <v>39</v>
      </c>
      <c r="M460">
        <v>5532432.4324324327</v>
      </c>
      <c r="N460">
        <v>10067567.567567568</v>
      </c>
      <c r="O460">
        <v>11803007.207207208</v>
      </c>
      <c r="P460">
        <v>14490387.387387387</v>
      </c>
      <c r="Q460">
        <v>4756576.5765765756</v>
      </c>
      <c r="R460">
        <v>7037477.4774774779</v>
      </c>
      <c r="S460">
        <v>2452</v>
      </c>
      <c r="T460">
        <v>2636</v>
      </c>
    </row>
    <row r="461" spans="1:20" x14ac:dyDescent="0.35">
      <c r="A461" s="7" t="s">
        <v>556</v>
      </c>
      <c r="B461" s="12" t="s">
        <v>67</v>
      </c>
      <c r="C461">
        <v>169034516.95596948</v>
      </c>
      <c r="D461">
        <v>179946083.23148042</v>
      </c>
      <c r="E461">
        <v>4509909.9099099115</v>
      </c>
      <c r="F461">
        <v>4500900.900900905</v>
      </c>
      <c r="G461">
        <v>50</v>
      </c>
      <c r="H461">
        <v>39</v>
      </c>
      <c r="I461">
        <v>1</v>
      </c>
      <c r="K461">
        <v>59</v>
      </c>
      <c r="L461">
        <v>55</v>
      </c>
      <c r="M461">
        <v>179758738.73873875</v>
      </c>
      <c r="N461">
        <v>183888738.73873875</v>
      </c>
      <c r="O461">
        <v>70298074.324324325</v>
      </c>
      <c r="P461">
        <v>75651612.612612605</v>
      </c>
      <c r="Q461">
        <v>101243873.87387387</v>
      </c>
      <c r="R461">
        <v>62214324.324324325</v>
      </c>
      <c r="S461">
        <v>8895</v>
      </c>
      <c r="T461">
        <v>9658</v>
      </c>
    </row>
    <row r="462" spans="1:20" x14ac:dyDescent="0.35">
      <c r="A462" s="7" t="s">
        <v>557</v>
      </c>
      <c r="B462" s="12" t="s">
        <v>558</v>
      </c>
      <c r="C462">
        <v>335443259.52396506</v>
      </c>
      <c r="D462">
        <v>341114867.42543685</v>
      </c>
      <c r="E462">
        <v>4797747.7477477472</v>
      </c>
      <c r="F462">
        <v>7027927.9279279308</v>
      </c>
      <c r="G462">
        <v>51</v>
      </c>
      <c r="H462">
        <v>24</v>
      </c>
      <c r="I462">
        <v>5</v>
      </c>
      <c r="K462">
        <v>68</v>
      </c>
      <c r="L462">
        <v>33</v>
      </c>
      <c r="M462">
        <v>115253153.15315315</v>
      </c>
      <c r="N462">
        <v>128398648.64864865</v>
      </c>
      <c r="O462">
        <v>91608153.153153151</v>
      </c>
      <c r="P462">
        <v>108744738.73873873</v>
      </c>
      <c r="Q462">
        <v>110577567.56756757</v>
      </c>
      <c r="R462">
        <v>117110810.81081082</v>
      </c>
      <c r="S462">
        <v>8911</v>
      </c>
      <c r="T462">
        <v>9171</v>
      </c>
    </row>
    <row r="463" spans="1:20" x14ac:dyDescent="0.35">
      <c r="A463" s="7" t="s">
        <v>559</v>
      </c>
      <c r="B463" s="12" t="s">
        <v>558</v>
      </c>
      <c r="C463">
        <v>50750039.275593333</v>
      </c>
      <c r="D463">
        <v>55050021.442489207</v>
      </c>
      <c r="E463">
        <v>110601179.27927928</v>
      </c>
      <c r="F463">
        <v>112484456.75675675</v>
      </c>
      <c r="G463">
        <v>14</v>
      </c>
      <c r="H463">
        <v>7</v>
      </c>
      <c r="K463">
        <v>16</v>
      </c>
      <c r="L463">
        <v>11</v>
      </c>
      <c r="M463">
        <v>10253153.153153151</v>
      </c>
      <c r="N463">
        <v>12910360.36036036</v>
      </c>
      <c r="O463">
        <v>18411837.837837838</v>
      </c>
      <c r="P463">
        <v>22353594.594594598</v>
      </c>
      <c r="Q463">
        <v>5916396.3963963948</v>
      </c>
      <c r="R463">
        <v>4040720.7207207209</v>
      </c>
      <c r="S463">
        <v>1478</v>
      </c>
      <c r="T463">
        <v>1591</v>
      </c>
    </row>
    <row r="464" spans="1:20" x14ac:dyDescent="0.35">
      <c r="A464" s="7" t="s">
        <v>560</v>
      </c>
      <c r="B464" s="12" t="s">
        <v>122</v>
      </c>
      <c r="C464">
        <v>40153233.430520214</v>
      </c>
      <c r="D464">
        <v>42042213.256561786</v>
      </c>
      <c r="E464">
        <v>180180.18018018</v>
      </c>
      <c r="F464">
        <v>67567.567567567996</v>
      </c>
      <c r="G464">
        <v>17</v>
      </c>
      <c r="H464">
        <v>22</v>
      </c>
      <c r="K464">
        <v>19</v>
      </c>
      <c r="L464">
        <v>25</v>
      </c>
      <c r="M464">
        <v>180180.18018018</v>
      </c>
      <c r="N464">
        <v>67567.567567567996</v>
      </c>
      <c r="O464">
        <v>3634270.2702702712</v>
      </c>
      <c r="P464">
        <v>5416576.5765765766</v>
      </c>
      <c r="Q464">
        <v>118918.91891891899</v>
      </c>
      <c r="R464">
        <v>105405.405405406</v>
      </c>
      <c r="S464">
        <v>1319</v>
      </c>
      <c r="T464">
        <v>1418</v>
      </c>
    </row>
    <row r="465" spans="1:20" x14ac:dyDescent="0.35">
      <c r="A465" s="7" t="s">
        <v>561</v>
      </c>
      <c r="B465" s="12" t="s">
        <v>71</v>
      </c>
      <c r="C465">
        <v>316264801.53496355</v>
      </c>
      <c r="D465">
        <v>313029588.86625725</v>
      </c>
      <c r="E465">
        <v>3514414.4144144189</v>
      </c>
      <c r="F465">
        <v>4031531.5315315318</v>
      </c>
      <c r="G465">
        <v>74</v>
      </c>
      <c r="H465">
        <v>53</v>
      </c>
      <c r="I465">
        <v>1</v>
      </c>
      <c r="K465">
        <v>82</v>
      </c>
      <c r="L465">
        <v>74</v>
      </c>
      <c r="M465">
        <v>48323423.423423424</v>
      </c>
      <c r="N465">
        <v>85560360.360360369</v>
      </c>
      <c r="O465">
        <v>132361621.62162161</v>
      </c>
      <c r="P465">
        <v>131289441.44144145</v>
      </c>
      <c r="Q465">
        <v>39197927.927927926</v>
      </c>
      <c r="R465">
        <v>70565765.765765771</v>
      </c>
      <c r="S465">
        <v>10171</v>
      </c>
      <c r="T465">
        <v>10251</v>
      </c>
    </row>
    <row r="466" spans="1:20" x14ac:dyDescent="0.35">
      <c r="A466" s="7" t="s">
        <v>562</v>
      </c>
      <c r="B466" s="12" t="s">
        <v>63</v>
      </c>
      <c r="C466">
        <v>573758816.78747249</v>
      </c>
      <c r="D466">
        <v>575185779.34400558</v>
      </c>
      <c r="E466">
        <v>9617117.11711712</v>
      </c>
      <c r="F466">
        <v>6909009.0090090111</v>
      </c>
      <c r="G466">
        <v>181</v>
      </c>
      <c r="H466">
        <v>185</v>
      </c>
      <c r="K466">
        <v>291</v>
      </c>
      <c r="L466">
        <v>620</v>
      </c>
      <c r="M466">
        <v>86568828.828828827</v>
      </c>
      <c r="N466">
        <v>76218198.198198199</v>
      </c>
      <c r="O466">
        <v>130078409.9099099</v>
      </c>
      <c r="P466">
        <v>147734181.98198199</v>
      </c>
      <c r="Q466">
        <v>83369549.54954955</v>
      </c>
      <c r="R466">
        <v>83778918.918918908</v>
      </c>
      <c r="S466">
        <v>17975</v>
      </c>
      <c r="T466">
        <v>18461</v>
      </c>
    </row>
    <row r="467" spans="1:20" x14ac:dyDescent="0.35">
      <c r="A467" s="7" t="s">
        <v>563</v>
      </c>
      <c r="B467" s="12" t="s">
        <v>483</v>
      </c>
      <c r="C467">
        <v>265895834.28606874</v>
      </c>
      <c r="D467">
        <v>275190585.15815055</v>
      </c>
      <c r="E467">
        <v>31481981.981981985</v>
      </c>
      <c r="F467">
        <v>54836486.486486487</v>
      </c>
      <c r="G467">
        <v>90</v>
      </c>
      <c r="H467">
        <v>45</v>
      </c>
      <c r="I467">
        <v>1</v>
      </c>
      <c r="K467">
        <v>112</v>
      </c>
      <c r="L467">
        <v>61</v>
      </c>
      <c r="M467">
        <v>32746216.216216221</v>
      </c>
      <c r="N467">
        <v>38326576.576576576</v>
      </c>
      <c r="O467">
        <v>80239890.090090096</v>
      </c>
      <c r="P467">
        <v>85725477.477477476</v>
      </c>
      <c r="Q467">
        <v>34183153.153153151</v>
      </c>
      <c r="R467">
        <v>44953738.738738738</v>
      </c>
      <c r="S467">
        <v>7760</v>
      </c>
      <c r="T467">
        <v>7843</v>
      </c>
    </row>
    <row r="468" spans="1:20" x14ac:dyDescent="0.35">
      <c r="A468" s="7" t="s">
        <v>564</v>
      </c>
      <c r="B468" s="12" t="s">
        <v>238</v>
      </c>
      <c r="C468">
        <v>45871949.029266477</v>
      </c>
      <c r="D468">
        <v>50673976.778534137</v>
      </c>
      <c r="E468">
        <v>80018018.018018022</v>
      </c>
      <c r="F468">
        <v>33663963.963963963</v>
      </c>
      <c r="G468">
        <v>15</v>
      </c>
      <c r="H468">
        <v>15</v>
      </c>
      <c r="K468">
        <v>17</v>
      </c>
      <c r="L468">
        <v>17</v>
      </c>
      <c r="M468">
        <v>3326081.0810810812</v>
      </c>
      <c r="N468">
        <v>3245045.0450450452</v>
      </c>
      <c r="O468">
        <v>16627333.333333332</v>
      </c>
      <c r="P468">
        <v>19894279.27927928</v>
      </c>
      <c r="Q468">
        <v>3363153.1531531522</v>
      </c>
      <c r="R468">
        <v>1892072.072072072</v>
      </c>
      <c r="S468">
        <v>2223</v>
      </c>
      <c r="T468">
        <v>2204</v>
      </c>
    </row>
    <row r="469" spans="1:20" x14ac:dyDescent="0.35">
      <c r="A469" s="7" t="s">
        <v>565</v>
      </c>
      <c r="B469" s="12" t="s">
        <v>61</v>
      </c>
      <c r="C469">
        <v>44171843.44877404</v>
      </c>
      <c r="D469">
        <v>43742364.746888325</v>
      </c>
      <c r="E469">
        <v>1096396.3963963951</v>
      </c>
      <c r="F469">
        <v>949099.09909909999</v>
      </c>
      <c r="G469">
        <v>16</v>
      </c>
      <c r="H469">
        <v>27</v>
      </c>
      <c r="K469">
        <v>31</v>
      </c>
      <c r="L469">
        <v>46</v>
      </c>
      <c r="M469">
        <v>12826126.126126127</v>
      </c>
      <c r="N469">
        <v>11976126.126126127</v>
      </c>
      <c r="O469">
        <v>16143396.396396397</v>
      </c>
      <c r="P469">
        <v>15603333.333333334</v>
      </c>
      <c r="Q469">
        <v>11833243.243243244</v>
      </c>
      <c r="R469">
        <v>10779819.819819819</v>
      </c>
      <c r="S469">
        <v>1251</v>
      </c>
      <c r="T469">
        <v>1203</v>
      </c>
    </row>
    <row r="470" spans="1:20" x14ac:dyDescent="0.35">
      <c r="A470" s="7" t="s">
        <v>566</v>
      </c>
      <c r="B470" s="12" t="s">
        <v>567</v>
      </c>
      <c r="C470">
        <v>244286625.62725323</v>
      </c>
      <c r="D470">
        <v>270045800.46025902</v>
      </c>
      <c r="E470">
        <v>458557565.76576579</v>
      </c>
      <c r="F470">
        <v>349362980.18018013</v>
      </c>
      <c r="G470">
        <v>159</v>
      </c>
      <c r="H470">
        <v>193</v>
      </c>
      <c r="I470">
        <v>3</v>
      </c>
      <c r="K470">
        <v>586</v>
      </c>
      <c r="L470">
        <v>378</v>
      </c>
      <c r="M470">
        <v>373054518.91891891</v>
      </c>
      <c r="N470">
        <v>390890001.8018018</v>
      </c>
      <c r="O470">
        <v>104502693.6936937</v>
      </c>
      <c r="P470">
        <v>122299315.31531531</v>
      </c>
      <c r="Q470">
        <v>187914482.88288289</v>
      </c>
      <c r="R470">
        <v>239877430.63063061</v>
      </c>
      <c r="S470">
        <v>10391</v>
      </c>
      <c r="T470">
        <v>8763</v>
      </c>
    </row>
    <row r="471" spans="1:20" x14ac:dyDescent="0.35">
      <c r="A471" s="7" t="s">
        <v>568</v>
      </c>
      <c r="B471" s="12" t="s">
        <v>567</v>
      </c>
      <c r="C471">
        <v>328439365.48790681</v>
      </c>
      <c r="D471">
        <v>370246352.14324588</v>
      </c>
      <c r="E471">
        <v>2937837.8378378409</v>
      </c>
      <c r="F471">
        <v>4476126.1261261292</v>
      </c>
      <c r="G471">
        <v>124</v>
      </c>
      <c r="H471">
        <v>75</v>
      </c>
      <c r="K471">
        <v>139</v>
      </c>
      <c r="L471">
        <v>192</v>
      </c>
      <c r="M471">
        <v>31315091.891891889</v>
      </c>
      <c r="N471">
        <v>46315360.360360362</v>
      </c>
      <c r="O471">
        <v>135921747.74774775</v>
      </c>
      <c r="P471">
        <v>157971252.25225225</v>
      </c>
      <c r="Q471">
        <v>30872477.477477476</v>
      </c>
      <c r="R471">
        <v>45724819.819819823</v>
      </c>
      <c r="S471">
        <v>12289</v>
      </c>
      <c r="T471">
        <v>13000</v>
      </c>
    </row>
    <row r="472" spans="1:20" x14ac:dyDescent="0.35">
      <c r="A472" s="7" t="s">
        <v>569</v>
      </c>
      <c r="B472" s="12" t="s">
        <v>567</v>
      </c>
      <c r="C472">
        <v>240893114.46840772</v>
      </c>
      <c r="D472">
        <v>263267751.39933577</v>
      </c>
      <c r="E472">
        <v>3544376.5765765798</v>
      </c>
      <c r="F472">
        <v>2737199.0990990978</v>
      </c>
      <c r="G472">
        <v>229</v>
      </c>
      <c r="H472">
        <v>111</v>
      </c>
      <c r="K472">
        <v>334</v>
      </c>
      <c r="L472">
        <v>190</v>
      </c>
      <c r="M472">
        <v>29281847.747747753</v>
      </c>
      <c r="N472">
        <v>43896757.657657661</v>
      </c>
      <c r="O472">
        <v>110087243.24324325</v>
      </c>
      <c r="P472">
        <v>124334675.67567568</v>
      </c>
      <c r="Q472">
        <v>26602792.792792793</v>
      </c>
      <c r="R472">
        <v>44066756.75675676</v>
      </c>
      <c r="S472">
        <v>11336</v>
      </c>
      <c r="T472">
        <v>11849</v>
      </c>
    </row>
    <row r="473" spans="1:20" x14ac:dyDescent="0.35">
      <c r="A473" s="7" t="s">
        <v>570</v>
      </c>
      <c r="B473" s="12" t="s">
        <v>567</v>
      </c>
      <c r="C473">
        <v>157987655.2196686</v>
      </c>
      <c r="D473">
        <v>169139833.03510478</v>
      </c>
      <c r="E473">
        <v>2197297.297297298</v>
      </c>
      <c r="F473">
        <v>2946396.3963963971</v>
      </c>
      <c r="G473">
        <v>14</v>
      </c>
      <c r="H473">
        <v>19</v>
      </c>
      <c r="K473">
        <v>21</v>
      </c>
      <c r="L473">
        <v>20</v>
      </c>
      <c r="M473">
        <v>28010286.486486487</v>
      </c>
      <c r="N473">
        <v>37607432.432432435</v>
      </c>
      <c r="O473">
        <v>94234603.603603601</v>
      </c>
      <c r="P473">
        <v>95922684.684684694</v>
      </c>
      <c r="Q473">
        <v>25673378.378378376</v>
      </c>
      <c r="R473">
        <v>38660225.225225225</v>
      </c>
      <c r="S473">
        <v>6293</v>
      </c>
      <c r="T473">
        <v>6476</v>
      </c>
    </row>
    <row r="474" spans="1:20" x14ac:dyDescent="0.35">
      <c r="A474" s="7" t="s">
        <v>571</v>
      </c>
      <c r="B474" s="12" t="s">
        <v>567</v>
      </c>
      <c r="C474">
        <v>93606736.786619172</v>
      </c>
      <c r="D474">
        <v>96840983.689276889</v>
      </c>
      <c r="E474">
        <v>36808108.108108111</v>
      </c>
      <c r="F474">
        <v>90928378.378378391</v>
      </c>
      <c r="G474">
        <v>25</v>
      </c>
      <c r="H474">
        <v>28</v>
      </c>
      <c r="I474">
        <v>2</v>
      </c>
      <c r="K474">
        <v>30</v>
      </c>
      <c r="L474">
        <v>30</v>
      </c>
      <c r="M474">
        <v>36515578.378378376</v>
      </c>
      <c r="N474">
        <v>34434459.459459461</v>
      </c>
      <c r="O474">
        <v>38437522.522522517</v>
      </c>
      <c r="P474">
        <v>43379720.720720723</v>
      </c>
      <c r="Q474">
        <v>19194414.414414413</v>
      </c>
      <c r="R474">
        <v>27651846.846846849</v>
      </c>
      <c r="S474">
        <v>5288</v>
      </c>
      <c r="T474">
        <v>4901</v>
      </c>
    </row>
    <row r="475" spans="1:20" x14ac:dyDescent="0.35">
      <c r="A475" s="7" t="s">
        <v>572</v>
      </c>
      <c r="B475" s="12" t="s">
        <v>49</v>
      </c>
      <c r="C475">
        <v>207622627.85986796</v>
      </c>
      <c r="D475">
        <v>233753555.94614288</v>
      </c>
      <c r="E475">
        <v>472972.97297297302</v>
      </c>
      <c r="F475">
        <v>461261.26126126101</v>
      </c>
      <c r="G475">
        <v>4</v>
      </c>
      <c r="H475">
        <v>8</v>
      </c>
      <c r="K475">
        <v>6</v>
      </c>
      <c r="L475">
        <v>8</v>
      </c>
      <c r="M475">
        <v>9481981.9819819815</v>
      </c>
      <c r="N475">
        <v>8118918.9189189188</v>
      </c>
      <c r="O475">
        <v>25142239.639639638</v>
      </c>
      <c r="P475">
        <v>30167268.468468472</v>
      </c>
      <c r="Q475">
        <v>8252432.4324324317</v>
      </c>
      <c r="R475">
        <v>9104547.7477477472</v>
      </c>
      <c r="S475">
        <v>5873</v>
      </c>
      <c r="T475">
        <v>5942</v>
      </c>
    </row>
    <row r="476" spans="1:20" x14ac:dyDescent="0.35">
      <c r="A476" s="7" t="s">
        <v>573</v>
      </c>
      <c r="B476" s="12" t="s">
        <v>170</v>
      </c>
      <c r="C476">
        <v>3634549104.4817023</v>
      </c>
      <c r="D476">
        <v>2546091171.1119366</v>
      </c>
      <c r="E476">
        <v>3001598914.4144144</v>
      </c>
      <c r="F476">
        <v>2575303584.6846848</v>
      </c>
      <c r="G476">
        <v>1069</v>
      </c>
      <c r="H476">
        <v>671</v>
      </c>
      <c r="I476">
        <v>9</v>
      </c>
      <c r="K476">
        <v>1450</v>
      </c>
      <c r="L476">
        <v>1360</v>
      </c>
      <c r="M476">
        <v>408971038.73873878</v>
      </c>
      <c r="N476">
        <v>500368490.990991</v>
      </c>
      <c r="O476">
        <v>2594073767.5675673</v>
      </c>
      <c r="P476">
        <v>2469503789.189189</v>
      </c>
      <c r="Q476">
        <v>383699232.43243247</v>
      </c>
      <c r="R476">
        <v>476309097.2972973</v>
      </c>
      <c r="S476">
        <v>54099</v>
      </c>
      <c r="T476">
        <v>57640</v>
      </c>
    </row>
    <row r="477" spans="1:20" x14ac:dyDescent="0.35">
      <c r="A477" s="7" t="s">
        <v>668</v>
      </c>
      <c r="B477" s="12" t="s">
        <v>118</v>
      </c>
      <c r="E477">
        <v>4617117.1171171172</v>
      </c>
      <c r="F477">
        <v>91066846.846846849</v>
      </c>
      <c r="M477">
        <v>1603603.603603604</v>
      </c>
      <c r="N477">
        <v>522972.97297297302</v>
      </c>
    </row>
    <row r="478" spans="1:20" x14ac:dyDescent="0.35">
      <c r="A478" s="7" t="s">
        <v>574</v>
      </c>
      <c r="B478" s="12" t="s">
        <v>222</v>
      </c>
      <c r="C478">
        <v>190872512.1901246</v>
      </c>
      <c r="D478">
        <v>195387706.73200101</v>
      </c>
      <c r="E478">
        <v>936936.93693693902</v>
      </c>
      <c r="F478">
        <v>1638738.7387387359</v>
      </c>
      <c r="G478">
        <v>15</v>
      </c>
      <c r="H478">
        <v>21</v>
      </c>
      <c r="K478">
        <v>16</v>
      </c>
      <c r="L478">
        <v>23</v>
      </c>
      <c r="M478">
        <v>8243873.8738738708</v>
      </c>
      <c r="N478">
        <v>18693243.243243244</v>
      </c>
      <c r="O478">
        <v>31602198.198198199</v>
      </c>
      <c r="P478">
        <v>36010944.144144148</v>
      </c>
      <c r="Q478">
        <v>7366666.6666666642</v>
      </c>
      <c r="R478">
        <v>18148648.648648649</v>
      </c>
      <c r="S478">
        <v>4942</v>
      </c>
      <c r="T478">
        <v>5211</v>
      </c>
    </row>
    <row r="479" spans="1:20" x14ac:dyDescent="0.35">
      <c r="A479" s="7" t="s">
        <v>575</v>
      </c>
      <c r="B479" s="12" t="s">
        <v>86</v>
      </c>
      <c r="C479">
        <v>226777627.09093356</v>
      </c>
      <c r="D479">
        <v>256007883.47471082</v>
      </c>
      <c r="E479">
        <v>225225.22522522701</v>
      </c>
      <c r="F479">
        <v>1843243.243243244</v>
      </c>
      <c r="G479">
        <v>20</v>
      </c>
      <c r="H479">
        <v>8</v>
      </c>
      <c r="K479">
        <v>22</v>
      </c>
      <c r="L479">
        <v>8</v>
      </c>
      <c r="M479">
        <v>20481981.981981989</v>
      </c>
      <c r="N479">
        <v>55592882.882882878</v>
      </c>
      <c r="O479">
        <v>52891061.261261262</v>
      </c>
      <c r="P479">
        <v>66694812.612612605</v>
      </c>
      <c r="Q479">
        <v>16630270.270270273</v>
      </c>
      <c r="R479">
        <v>45630720.720720723</v>
      </c>
      <c r="S479">
        <v>5149</v>
      </c>
      <c r="T479">
        <v>5179</v>
      </c>
    </row>
    <row r="480" spans="1:20" x14ac:dyDescent="0.35">
      <c r="A480" s="7" t="s">
        <v>576</v>
      </c>
      <c r="B480" s="12" t="s">
        <v>483</v>
      </c>
      <c r="C480">
        <v>124677492.05058482</v>
      </c>
      <c r="D480">
        <v>111920164.70349087</v>
      </c>
      <c r="E480">
        <v>2076576.5765765831</v>
      </c>
      <c r="F480">
        <v>2545945.9459459502</v>
      </c>
      <c r="G480">
        <v>74</v>
      </c>
      <c r="H480">
        <v>50</v>
      </c>
      <c r="K480">
        <v>102</v>
      </c>
      <c r="L480">
        <v>63</v>
      </c>
      <c r="M480">
        <v>19867117.117117122</v>
      </c>
      <c r="N480">
        <v>33204504.504504509</v>
      </c>
      <c r="O480">
        <v>52337636.036036029</v>
      </c>
      <c r="P480">
        <v>51100387.387387387</v>
      </c>
      <c r="Q480">
        <v>18108018.018018022</v>
      </c>
      <c r="R480">
        <v>32439729.729729734</v>
      </c>
      <c r="S480">
        <v>5339</v>
      </c>
      <c r="T480">
        <v>6735</v>
      </c>
    </row>
    <row r="481" spans="1:20" x14ac:dyDescent="0.35">
      <c r="A481" s="7" t="s">
        <v>577</v>
      </c>
      <c r="B481" s="12" t="s">
        <v>95</v>
      </c>
      <c r="C481">
        <v>312471478.33474225</v>
      </c>
      <c r="D481">
        <v>345448185.21831834</v>
      </c>
      <c r="E481">
        <v>1827027.0270270279</v>
      </c>
      <c r="F481">
        <v>2444144.1441441472</v>
      </c>
      <c r="G481">
        <v>58</v>
      </c>
      <c r="H481">
        <v>75</v>
      </c>
      <c r="K481">
        <v>75</v>
      </c>
      <c r="L481">
        <v>233</v>
      </c>
      <c r="M481">
        <v>841106306.30630636</v>
      </c>
      <c r="N481">
        <v>24142342.342342343</v>
      </c>
      <c r="O481">
        <v>71184703.153153151</v>
      </c>
      <c r="P481">
        <v>81939232.432432428</v>
      </c>
      <c r="Q481">
        <v>27329369.369369369</v>
      </c>
      <c r="R481">
        <v>24474234.234234236</v>
      </c>
      <c r="S481">
        <v>9365</v>
      </c>
      <c r="T481">
        <v>9905</v>
      </c>
    </row>
    <row r="482" spans="1:20" x14ac:dyDescent="0.35">
      <c r="A482" s="7" t="s">
        <v>676</v>
      </c>
      <c r="B482" s="12" t="s">
        <v>137</v>
      </c>
      <c r="E482">
        <v>12725225.225225223</v>
      </c>
      <c r="F482">
        <v>10810810.810810812</v>
      </c>
      <c r="M482">
        <v>27027.027027027001</v>
      </c>
    </row>
    <row r="483" spans="1:20" x14ac:dyDescent="0.35">
      <c r="A483" s="7" t="s">
        <v>578</v>
      </c>
      <c r="B483" s="12" t="s">
        <v>309</v>
      </c>
      <c r="C483">
        <v>720603420.27474475</v>
      </c>
      <c r="D483">
        <v>751277634.3329004</v>
      </c>
      <c r="E483">
        <v>10406306.306306314</v>
      </c>
      <c r="F483">
        <v>9005405.4054054059</v>
      </c>
      <c r="G483">
        <v>207</v>
      </c>
      <c r="H483">
        <v>300</v>
      </c>
      <c r="I483">
        <v>4</v>
      </c>
      <c r="K483">
        <v>257</v>
      </c>
      <c r="L483">
        <v>395</v>
      </c>
      <c r="M483">
        <v>741960450.45045042</v>
      </c>
      <c r="N483">
        <v>230934774.77477479</v>
      </c>
      <c r="O483">
        <v>288289651.8018018</v>
      </c>
      <c r="P483">
        <v>316585621.62162161</v>
      </c>
      <c r="Q483">
        <v>148089909.90990993</v>
      </c>
      <c r="R483">
        <v>108680450.45045045</v>
      </c>
      <c r="S483">
        <v>32151</v>
      </c>
      <c r="T483">
        <v>32399</v>
      </c>
    </row>
    <row r="484" spans="1:20" x14ac:dyDescent="0.35">
      <c r="A484" s="7" t="s">
        <v>10</v>
      </c>
      <c r="B484" s="12" t="s">
        <v>195</v>
      </c>
      <c r="C484">
        <v>113103060.97704715</v>
      </c>
      <c r="D484">
        <v>117427967.07944895</v>
      </c>
      <c r="G484">
        <v>14</v>
      </c>
      <c r="H484">
        <v>8</v>
      </c>
      <c r="K484">
        <v>17</v>
      </c>
      <c r="L484">
        <v>9</v>
      </c>
      <c r="O484">
        <v>67892043.243243247</v>
      </c>
      <c r="P484">
        <v>70134486.486486495</v>
      </c>
      <c r="Q484">
        <v>19639.639639640001</v>
      </c>
      <c r="R484">
        <v>498558.558558558</v>
      </c>
      <c r="S484">
        <v>3817</v>
      </c>
      <c r="T484">
        <v>3657</v>
      </c>
    </row>
    <row r="485" spans="1:20" x14ac:dyDescent="0.35">
      <c r="A485" s="7" t="s">
        <v>579</v>
      </c>
      <c r="B485" s="12" t="s">
        <v>88</v>
      </c>
      <c r="C485">
        <v>2637923.6210960341</v>
      </c>
      <c r="D485">
        <v>3109578.4414168131</v>
      </c>
      <c r="G485">
        <v>12</v>
      </c>
      <c r="H485">
        <v>2</v>
      </c>
      <c r="K485">
        <v>12</v>
      </c>
      <c r="L485">
        <v>2</v>
      </c>
      <c r="O485">
        <v>864250.450450451</v>
      </c>
      <c r="P485">
        <v>1040180.18018018</v>
      </c>
      <c r="S485">
        <v>227</v>
      </c>
      <c r="T485">
        <v>189</v>
      </c>
    </row>
    <row r="486" spans="1:20" x14ac:dyDescent="0.35">
      <c r="A486" s="7" t="s">
        <v>580</v>
      </c>
      <c r="B486" s="12" t="s">
        <v>285</v>
      </c>
      <c r="C486">
        <v>164696531.89609498</v>
      </c>
      <c r="D486">
        <v>169729321.79454517</v>
      </c>
      <c r="E486">
        <v>296396.39639639598</v>
      </c>
      <c r="F486">
        <v>390990.99099099101</v>
      </c>
      <c r="G486">
        <v>16</v>
      </c>
      <c r="H486">
        <v>4</v>
      </c>
      <c r="K486">
        <v>16</v>
      </c>
      <c r="L486">
        <v>10</v>
      </c>
      <c r="M486">
        <v>16116216.216216216</v>
      </c>
      <c r="N486">
        <v>15372972.972972972</v>
      </c>
      <c r="O486">
        <v>26007630.630630631</v>
      </c>
      <c r="P486">
        <v>29074819.819819819</v>
      </c>
      <c r="Q486">
        <v>15443153.153153153</v>
      </c>
      <c r="R486">
        <v>16083603.603603603</v>
      </c>
      <c r="S486">
        <v>4275</v>
      </c>
      <c r="T486">
        <v>3543</v>
      </c>
    </row>
    <row r="487" spans="1:20" x14ac:dyDescent="0.35">
      <c r="A487" s="7" t="s">
        <v>581</v>
      </c>
      <c r="B487" s="12" t="s">
        <v>309</v>
      </c>
      <c r="C487">
        <v>681873661.82196403</v>
      </c>
      <c r="D487">
        <v>725722805.59572792</v>
      </c>
      <c r="E487">
        <v>6141891.8918919004</v>
      </c>
      <c r="F487">
        <v>4765765.7657657675</v>
      </c>
      <c r="G487">
        <v>264</v>
      </c>
      <c r="H487">
        <v>186</v>
      </c>
      <c r="K487">
        <v>334</v>
      </c>
      <c r="L487">
        <v>222</v>
      </c>
      <c r="M487">
        <v>111828558.55855855</v>
      </c>
      <c r="N487">
        <v>191195945.94594595</v>
      </c>
      <c r="O487">
        <v>288656162.16216218</v>
      </c>
      <c r="P487">
        <v>304130297.2972973</v>
      </c>
      <c r="Q487">
        <v>77822882.882882878</v>
      </c>
      <c r="R487">
        <v>70349099.0990991</v>
      </c>
      <c r="S487">
        <v>36986</v>
      </c>
      <c r="T487">
        <v>40016</v>
      </c>
    </row>
    <row r="488" spans="1:20" x14ac:dyDescent="0.35">
      <c r="A488" s="7" t="s">
        <v>582</v>
      </c>
      <c r="B488" s="12" t="s">
        <v>332</v>
      </c>
      <c r="C488">
        <v>644629136.58117461</v>
      </c>
      <c r="D488">
        <v>664272224.27104568</v>
      </c>
      <c r="E488">
        <v>6330180.1801801836</v>
      </c>
      <c r="F488">
        <v>56599099.099099107</v>
      </c>
      <c r="G488">
        <v>249</v>
      </c>
      <c r="H488">
        <v>200</v>
      </c>
      <c r="I488">
        <v>11</v>
      </c>
      <c r="K488">
        <v>306</v>
      </c>
      <c r="L488">
        <v>263</v>
      </c>
      <c r="M488">
        <v>64277702.702702701</v>
      </c>
      <c r="N488">
        <v>71459324.324324325</v>
      </c>
      <c r="O488">
        <v>141174475.22522524</v>
      </c>
      <c r="P488">
        <v>148454592.7927928</v>
      </c>
      <c r="Q488">
        <v>61024594.59459459</v>
      </c>
      <c r="R488">
        <v>63254054.054054067</v>
      </c>
      <c r="S488">
        <v>29154</v>
      </c>
      <c r="T488">
        <v>27928</v>
      </c>
    </row>
    <row r="489" spans="1:20" x14ac:dyDescent="0.35">
      <c r="A489" s="7" t="s">
        <v>583</v>
      </c>
      <c r="B489" s="12" t="s">
        <v>67</v>
      </c>
      <c r="C489">
        <v>97885719.370170385</v>
      </c>
      <c r="D489">
        <v>97430744.856446132</v>
      </c>
      <c r="E489">
        <v>243009909.90990993</v>
      </c>
      <c r="F489">
        <v>332568468.46846849</v>
      </c>
      <c r="G489">
        <v>16</v>
      </c>
      <c r="H489">
        <v>7</v>
      </c>
      <c r="K489">
        <v>19</v>
      </c>
      <c r="L489">
        <v>7</v>
      </c>
      <c r="M489">
        <v>13231531.531531531</v>
      </c>
      <c r="N489">
        <v>10074639.639639637</v>
      </c>
      <c r="O489">
        <v>25393635.135135137</v>
      </c>
      <c r="P489">
        <v>23832648.648648649</v>
      </c>
      <c r="Q489">
        <v>2678198.1981981979</v>
      </c>
      <c r="R489">
        <v>2619369.3693693671</v>
      </c>
      <c r="S489">
        <v>3344</v>
      </c>
      <c r="T489">
        <v>3097</v>
      </c>
    </row>
    <row r="490" spans="1:20" x14ac:dyDescent="0.35">
      <c r="A490" s="7" t="s">
        <v>584</v>
      </c>
      <c r="B490" s="12" t="s">
        <v>238</v>
      </c>
      <c r="C490">
        <v>12011.332970474001</v>
      </c>
      <c r="D490">
        <v>12064.697833705</v>
      </c>
      <c r="P490">
        <v>34234.234234233998</v>
      </c>
    </row>
    <row r="491" spans="1:20" x14ac:dyDescent="0.35">
      <c r="A491" s="7" t="s">
        <v>585</v>
      </c>
      <c r="B491" s="12" t="s">
        <v>63</v>
      </c>
      <c r="C491">
        <v>253999756.06313038</v>
      </c>
      <c r="D491">
        <v>267290045.33191484</v>
      </c>
      <c r="E491">
        <v>2325225.2252252358</v>
      </c>
      <c r="F491">
        <v>1307207.2072072111</v>
      </c>
      <c r="G491">
        <v>156</v>
      </c>
      <c r="H491">
        <v>31</v>
      </c>
      <c r="K491">
        <v>157</v>
      </c>
      <c r="L491">
        <v>69</v>
      </c>
      <c r="M491">
        <v>24244864.864864863</v>
      </c>
      <c r="N491">
        <v>24970990.990990993</v>
      </c>
      <c r="O491">
        <v>56901378.378378376</v>
      </c>
      <c r="P491">
        <v>65673657.657657653</v>
      </c>
      <c r="Q491">
        <v>22537027.027027026</v>
      </c>
      <c r="R491">
        <v>23050180.180180185</v>
      </c>
      <c r="S491">
        <v>6709</v>
      </c>
      <c r="T491">
        <v>6804</v>
      </c>
    </row>
    <row r="492" spans="1:20" x14ac:dyDescent="0.35">
      <c r="A492" s="7" t="s">
        <v>586</v>
      </c>
      <c r="B492" s="12" t="s">
        <v>49</v>
      </c>
      <c r="C492">
        <v>235453774.65921018</v>
      </c>
      <c r="D492">
        <v>221917210.29071718</v>
      </c>
      <c r="E492">
        <v>860855.85585585702</v>
      </c>
      <c r="F492">
        <v>3844144.1441441439</v>
      </c>
      <c r="G492">
        <v>32</v>
      </c>
      <c r="H492">
        <v>3</v>
      </c>
      <c r="K492">
        <v>33</v>
      </c>
      <c r="L492">
        <v>6</v>
      </c>
      <c r="M492">
        <v>75165135.135135129</v>
      </c>
      <c r="N492">
        <v>23031531.531531531</v>
      </c>
      <c r="O492">
        <v>34435837.837837838</v>
      </c>
      <c r="P492">
        <v>37046171.171171166</v>
      </c>
      <c r="Q492">
        <v>66030990.990990989</v>
      </c>
      <c r="R492">
        <v>51577747.747747742</v>
      </c>
      <c r="S492">
        <v>5393</v>
      </c>
      <c r="T492">
        <v>5636</v>
      </c>
    </row>
    <row r="493" spans="1:20" x14ac:dyDescent="0.35">
      <c r="A493" s="7" t="s">
        <v>587</v>
      </c>
      <c r="B493" s="12" t="s">
        <v>55</v>
      </c>
      <c r="C493">
        <v>46039025.85926608</v>
      </c>
      <c r="D493">
        <v>45920399.252045974</v>
      </c>
      <c r="E493">
        <v>417117.11711711698</v>
      </c>
      <c r="F493">
        <v>1266216.216216217</v>
      </c>
      <c r="G493">
        <v>16</v>
      </c>
      <c r="H493">
        <v>34</v>
      </c>
      <c r="K493">
        <v>37</v>
      </c>
      <c r="L493">
        <v>86</v>
      </c>
      <c r="M493">
        <v>8275765.7657657638</v>
      </c>
      <c r="N493">
        <v>12455945.945945945</v>
      </c>
      <c r="O493">
        <v>11930777.027027028</v>
      </c>
      <c r="P493">
        <v>13262900.9009009</v>
      </c>
      <c r="Q493">
        <v>6769549.5495495489</v>
      </c>
      <c r="R493">
        <v>10286846.846846847</v>
      </c>
      <c r="S493">
        <v>2061</v>
      </c>
      <c r="T493">
        <v>2020</v>
      </c>
    </row>
    <row r="494" spans="1:20" x14ac:dyDescent="0.35">
      <c r="A494" s="7" t="s">
        <v>588</v>
      </c>
      <c r="B494" s="12" t="s">
        <v>71</v>
      </c>
      <c r="C494">
        <v>118108155.22467041</v>
      </c>
      <c r="D494">
        <v>114487787.45292242</v>
      </c>
      <c r="E494">
        <v>85585.585585584995</v>
      </c>
      <c r="F494">
        <v>795945.94594594603</v>
      </c>
      <c r="G494">
        <v>30</v>
      </c>
      <c r="H494">
        <v>7</v>
      </c>
      <c r="I494">
        <v>2</v>
      </c>
      <c r="K494">
        <v>33</v>
      </c>
      <c r="L494">
        <v>10</v>
      </c>
      <c r="M494">
        <v>1044144.144144145</v>
      </c>
      <c r="N494">
        <v>3030180.1801801808</v>
      </c>
      <c r="O494">
        <v>53657945.945945941</v>
      </c>
      <c r="P494">
        <v>51490324.324324317</v>
      </c>
      <c r="Q494">
        <v>1140090.0900900911</v>
      </c>
      <c r="R494">
        <v>2288828.8288288279</v>
      </c>
      <c r="S494">
        <v>3643</v>
      </c>
      <c r="T494">
        <v>3652</v>
      </c>
    </row>
    <row r="495" spans="1:20" x14ac:dyDescent="0.35">
      <c r="A495" s="7" t="s">
        <v>589</v>
      </c>
      <c r="B495" s="12" t="s">
        <v>332</v>
      </c>
      <c r="C495">
        <v>436665591.99680662</v>
      </c>
      <c r="D495">
        <v>430458532.34587634</v>
      </c>
      <c r="E495">
        <v>4314414.4144144142</v>
      </c>
      <c r="F495">
        <v>1638738.738738742</v>
      </c>
      <c r="G495">
        <v>176</v>
      </c>
      <c r="H495">
        <v>182</v>
      </c>
      <c r="K495">
        <v>214</v>
      </c>
      <c r="L495">
        <v>226</v>
      </c>
      <c r="M495">
        <v>46761261.261261255</v>
      </c>
      <c r="N495">
        <v>36532207.20720721</v>
      </c>
      <c r="O495">
        <v>111330354.95495497</v>
      </c>
      <c r="P495">
        <v>114516311.7117117</v>
      </c>
      <c r="Q495">
        <v>42497477.477477469</v>
      </c>
      <c r="R495">
        <v>34510495.495495498</v>
      </c>
      <c r="S495">
        <v>20166</v>
      </c>
      <c r="T495">
        <v>19824</v>
      </c>
    </row>
    <row r="496" spans="1:20" x14ac:dyDescent="0.35">
      <c r="A496" s="7" t="s">
        <v>590</v>
      </c>
      <c r="B496" s="12" t="s">
        <v>67</v>
      </c>
      <c r="C496">
        <v>208356579.92010042</v>
      </c>
      <c r="D496">
        <v>229566813.22191685</v>
      </c>
      <c r="E496">
        <v>710593404.50450444</v>
      </c>
      <c r="F496">
        <v>681355692.7927928</v>
      </c>
      <c r="G496">
        <v>83</v>
      </c>
      <c r="H496">
        <v>66</v>
      </c>
      <c r="K496">
        <v>118</v>
      </c>
      <c r="L496">
        <v>73</v>
      </c>
      <c r="M496">
        <v>71614189.189189181</v>
      </c>
      <c r="N496">
        <v>156876509.90990993</v>
      </c>
      <c r="O496">
        <v>102772747.74774775</v>
      </c>
      <c r="P496">
        <v>114930819.81981982</v>
      </c>
      <c r="Q496">
        <v>44161036.036036029</v>
      </c>
      <c r="R496">
        <v>30488333.333333336</v>
      </c>
      <c r="S496">
        <v>10959</v>
      </c>
      <c r="T496">
        <v>10534</v>
      </c>
    </row>
    <row r="497" spans="1:20" x14ac:dyDescent="0.35">
      <c r="A497" s="7" t="s">
        <v>11</v>
      </c>
      <c r="B497" s="12" t="s">
        <v>195</v>
      </c>
      <c r="C497">
        <v>97728955.967525989</v>
      </c>
      <c r="D497">
        <v>94060122.784477979</v>
      </c>
      <c r="E497">
        <v>112612.612612615</v>
      </c>
      <c r="F497">
        <v>18018.018018018</v>
      </c>
      <c r="G497">
        <v>21</v>
      </c>
      <c r="H497">
        <v>18</v>
      </c>
      <c r="K497">
        <v>24</v>
      </c>
      <c r="L497">
        <v>21</v>
      </c>
      <c r="M497">
        <v>1914414.4144144161</v>
      </c>
      <c r="N497">
        <v>3081081.0810810812</v>
      </c>
      <c r="O497">
        <v>33035126.126126125</v>
      </c>
      <c r="P497">
        <v>37521189.189189196</v>
      </c>
      <c r="Q497">
        <v>2358198.1981981988</v>
      </c>
      <c r="R497">
        <v>1958288.288288289</v>
      </c>
      <c r="S497">
        <v>4257</v>
      </c>
      <c r="T497">
        <v>4000</v>
      </c>
    </row>
    <row r="498" spans="1:20" x14ac:dyDescent="0.35">
      <c r="A498" s="7" t="s">
        <v>12</v>
      </c>
      <c r="B498" s="12" t="s">
        <v>195</v>
      </c>
      <c r="C498">
        <v>62960923.851995565</v>
      </c>
      <c r="D498">
        <v>63123592.909669921</v>
      </c>
      <c r="E498">
        <v>2347747.747747751</v>
      </c>
      <c r="F498">
        <v>113513.513513513</v>
      </c>
      <c r="G498">
        <v>8</v>
      </c>
      <c r="H498">
        <v>11</v>
      </c>
      <c r="K498">
        <v>8</v>
      </c>
      <c r="L498">
        <v>14</v>
      </c>
      <c r="M498">
        <v>5500900.9009009032</v>
      </c>
      <c r="N498">
        <v>563963.96396396297</v>
      </c>
      <c r="O498">
        <v>25551738.738738742</v>
      </c>
      <c r="P498">
        <v>28099027.02702703</v>
      </c>
      <c r="Q498">
        <v>7975405.405405405</v>
      </c>
      <c r="R498">
        <v>2424324.3243243238</v>
      </c>
      <c r="S498">
        <v>3057</v>
      </c>
      <c r="T498">
        <v>2753</v>
      </c>
    </row>
    <row r="499" spans="1:20" x14ac:dyDescent="0.35">
      <c r="A499" s="7" t="s">
        <v>591</v>
      </c>
      <c r="B499" s="12" t="s">
        <v>61</v>
      </c>
      <c r="C499">
        <v>54634898.105181791</v>
      </c>
      <c r="D499">
        <v>55234065.78636796</v>
      </c>
      <c r="E499">
        <v>424324.32432432403</v>
      </c>
      <c r="F499">
        <v>971621.62162162201</v>
      </c>
      <c r="G499">
        <v>15</v>
      </c>
      <c r="H499">
        <v>11</v>
      </c>
      <c r="I499">
        <v>2</v>
      </c>
      <c r="K499">
        <v>25</v>
      </c>
      <c r="L499">
        <v>28</v>
      </c>
      <c r="M499">
        <v>9613513.5135135148</v>
      </c>
      <c r="N499">
        <v>10124774.774774775</v>
      </c>
      <c r="O499">
        <v>20777605.855855856</v>
      </c>
      <c r="P499">
        <v>20573809.009009007</v>
      </c>
      <c r="Q499">
        <v>8928738.7387387399</v>
      </c>
      <c r="R499">
        <v>8508781.9819819834</v>
      </c>
      <c r="S499">
        <v>2613</v>
      </c>
      <c r="T499">
        <v>1832</v>
      </c>
    </row>
    <row r="500" spans="1:20" x14ac:dyDescent="0.35">
      <c r="A500" s="7" t="s">
        <v>592</v>
      </c>
      <c r="B500" s="12" t="s">
        <v>309</v>
      </c>
      <c r="C500">
        <v>1494137422.107779</v>
      </c>
      <c r="D500">
        <v>1534906039.9794669</v>
      </c>
      <c r="E500">
        <v>884791379.27927923</v>
      </c>
      <c r="F500">
        <v>1148251002.7027028</v>
      </c>
      <c r="G500">
        <v>579</v>
      </c>
      <c r="H500">
        <v>381</v>
      </c>
      <c r="I500">
        <v>1</v>
      </c>
      <c r="K500">
        <v>709</v>
      </c>
      <c r="L500">
        <v>486</v>
      </c>
      <c r="M500">
        <v>461954054.05405408</v>
      </c>
      <c r="N500">
        <v>424263018.01801807</v>
      </c>
      <c r="O500">
        <v>478547400.9009009</v>
      </c>
      <c r="P500">
        <v>514473504.5045045</v>
      </c>
      <c r="Q500">
        <v>298752252.25225222</v>
      </c>
      <c r="R500">
        <v>247071891.8918919</v>
      </c>
      <c r="S500">
        <v>63020</v>
      </c>
      <c r="T500">
        <v>64085</v>
      </c>
    </row>
    <row r="501" spans="1:20" x14ac:dyDescent="0.35">
      <c r="A501" s="7" t="s">
        <v>593</v>
      </c>
      <c r="B501" s="12" t="s">
        <v>53</v>
      </c>
      <c r="C501">
        <v>353776655.56779194</v>
      </c>
      <c r="D501">
        <v>382378867.74483699</v>
      </c>
      <c r="E501">
        <v>5988288.2882882943</v>
      </c>
      <c r="F501">
        <v>9736486.4864864871</v>
      </c>
      <c r="G501">
        <v>94</v>
      </c>
      <c r="H501">
        <v>188</v>
      </c>
      <c r="K501">
        <v>201</v>
      </c>
      <c r="L501">
        <v>297</v>
      </c>
      <c r="M501">
        <v>108208063.06306306</v>
      </c>
      <c r="N501">
        <v>165538288.2882883</v>
      </c>
      <c r="O501">
        <v>144964189.1891892</v>
      </c>
      <c r="P501">
        <v>159693585.58558559</v>
      </c>
      <c r="Q501">
        <v>120223828.82882883</v>
      </c>
      <c r="R501">
        <v>163628378.37837836</v>
      </c>
      <c r="S501">
        <v>13823</v>
      </c>
      <c r="T501">
        <v>13976</v>
      </c>
    </row>
    <row r="502" spans="1:20" x14ac:dyDescent="0.35">
      <c r="A502" s="7" t="s">
        <v>594</v>
      </c>
      <c r="B502" s="12" t="s">
        <v>55</v>
      </c>
      <c r="C502">
        <v>30897043.788091879</v>
      </c>
      <c r="D502">
        <v>30259206.793281104</v>
      </c>
      <c r="E502">
        <v>52479279.279279277</v>
      </c>
      <c r="F502">
        <v>85686486.48648648</v>
      </c>
      <c r="G502">
        <v>13</v>
      </c>
      <c r="H502">
        <v>29</v>
      </c>
      <c r="K502">
        <v>16</v>
      </c>
      <c r="L502">
        <v>33</v>
      </c>
      <c r="M502">
        <v>5996396.3963963948</v>
      </c>
      <c r="N502">
        <v>5062612.6126126116</v>
      </c>
      <c r="O502">
        <v>9798063.0630630646</v>
      </c>
      <c r="P502">
        <v>10801243.243243244</v>
      </c>
      <c r="Q502">
        <v>5738558.55855856</v>
      </c>
      <c r="R502">
        <v>6635675.6756756753</v>
      </c>
      <c r="S502">
        <v>1606</v>
      </c>
      <c r="T502">
        <v>1553</v>
      </c>
    </row>
    <row r="503" spans="1:20" x14ac:dyDescent="0.35">
      <c r="A503" s="7" t="s">
        <v>595</v>
      </c>
      <c r="B503" s="12" t="s">
        <v>170</v>
      </c>
      <c r="C503">
        <v>852759643.80785823</v>
      </c>
      <c r="D503">
        <v>879530708.32579184</v>
      </c>
      <c r="E503">
        <v>4465540.5405405434</v>
      </c>
      <c r="F503">
        <v>17352073.873873878</v>
      </c>
      <c r="G503">
        <v>65</v>
      </c>
      <c r="H503">
        <v>60</v>
      </c>
      <c r="I503">
        <v>1</v>
      </c>
      <c r="K503">
        <v>77</v>
      </c>
      <c r="L503">
        <v>77</v>
      </c>
      <c r="M503">
        <v>193249097.29729727</v>
      </c>
      <c r="N503">
        <v>167732884.68468466</v>
      </c>
      <c r="O503">
        <v>290769308.55855852</v>
      </c>
      <c r="P503">
        <v>316986180.18018013</v>
      </c>
      <c r="Q503">
        <v>160403963.96396396</v>
      </c>
      <c r="R503">
        <v>134071351.35135137</v>
      </c>
      <c r="S503">
        <v>24258</v>
      </c>
      <c r="T503">
        <v>22876</v>
      </c>
    </row>
    <row r="504" spans="1:20" x14ac:dyDescent="0.35">
      <c r="A504" s="7" t="s">
        <v>596</v>
      </c>
      <c r="B504" s="12" t="s">
        <v>88</v>
      </c>
      <c r="C504">
        <v>4387053.2515206058</v>
      </c>
      <c r="D504">
        <v>3991404.9636650258</v>
      </c>
      <c r="G504">
        <v>2</v>
      </c>
      <c r="K504">
        <v>2</v>
      </c>
      <c r="O504">
        <v>1228693.693693694</v>
      </c>
      <c r="P504">
        <v>1673783.7837837839</v>
      </c>
      <c r="S504">
        <v>301</v>
      </c>
      <c r="T504">
        <v>269</v>
      </c>
    </row>
    <row r="505" spans="1:20" x14ac:dyDescent="0.35">
      <c r="A505" s="7" t="s">
        <v>597</v>
      </c>
      <c r="B505" s="12" t="s">
        <v>144</v>
      </c>
      <c r="C505">
        <v>63498628.280291595</v>
      </c>
      <c r="D505">
        <v>62286779.425307296</v>
      </c>
      <c r="E505">
        <v>161261.26126126299</v>
      </c>
      <c r="F505">
        <v>81081.081081081997</v>
      </c>
      <c r="G505">
        <v>22</v>
      </c>
      <c r="H505">
        <v>3</v>
      </c>
      <c r="K505">
        <v>23</v>
      </c>
      <c r="L505">
        <v>3</v>
      </c>
      <c r="M505">
        <v>8539639.6396396402</v>
      </c>
      <c r="N505">
        <v>5936936.9369369382</v>
      </c>
      <c r="O505">
        <v>6658828.8288288284</v>
      </c>
      <c r="P505">
        <v>6774369.3693693699</v>
      </c>
      <c r="Q505">
        <v>3237567.5675675659</v>
      </c>
      <c r="R505">
        <v>3164864.8648648649</v>
      </c>
      <c r="S505">
        <v>1660</v>
      </c>
      <c r="T505">
        <v>1579</v>
      </c>
    </row>
    <row r="506" spans="1:20" x14ac:dyDescent="0.35">
      <c r="A506" s="7" t="s">
        <v>598</v>
      </c>
      <c r="B506" s="12" t="s">
        <v>292</v>
      </c>
      <c r="C506">
        <v>15627868.058283696</v>
      </c>
      <c r="D506">
        <v>15894592.902027801</v>
      </c>
      <c r="G506">
        <v>1</v>
      </c>
      <c r="H506">
        <v>9</v>
      </c>
      <c r="K506">
        <v>1</v>
      </c>
      <c r="L506">
        <v>11</v>
      </c>
      <c r="O506">
        <v>934774.77477477503</v>
      </c>
      <c r="P506">
        <v>828063.06306306296</v>
      </c>
      <c r="S506">
        <v>669</v>
      </c>
      <c r="T506">
        <v>767</v>
      </c>
    </row>
    <row r="507" spans="1:20" x14ac:dyDescent="0.35">
      <c r="A507" s="7" t="s">
        <v>599</v>
      </c>
      <c r="B507" s="12" t="s">
        <v>93</v>
      </c>
      <c r="C507">
        <v>20931187.4904126</v>
      </c>
      <c r="D507">
        <v>21274567.407710332</v>
      </c>
      <c r="E507">
        <v>1188288.288288289</v>
      </c>
      <c r="F507">
        <v>1387387.387387387</v>
      </c>
      <c r="G507">
        <v>9</v>
      </c>
      <c r="H507">
        <v>6</v>
      </c>
      <c r="K507">
        <v>9</v>
      </c>
      <c r="L507">
        <v>7</v>
      </c>
      <c r="M507">
        <v>2179279.27927928</v>
      </c>
      <c r="N507">
        <v>6397297.297297297</v>
      </c>
      <c r="O507">
        <v>3858324.3243243238</v>
      </c>
      <c r="P507">
        <v>4035486.4864864871</v>
      </c>
      <c r="Q507">
        <v>2378108.1081081079</v>
      </c>
      <c r="R507">
        <v>6286936.9369369373</v>
      </c>
      <c r="S507">
        <v>813</v>
      </c>
      <c r="T507">
        <v>883</v>
      </c>
    </row>
    <row r="508" spans="1:20" x14ac:dyDescent="0.35">
      <c r="A508" s="7" t="s">
        <v>600</v>
      </c>
      <c r="B508" s="12" t="s">
        <v>51</v>
      </c>
      <c r="C508">
        <v>72944617.287700146</v>
      </c>
      <c r="D508">
        <v>77760401.384668902</v>
      </c>
      <c r="E508">
        <v>1347522.522522524</v>
      </c>
      <c r="F508">
        <v>653153.153153155</v>
      </c>
      <c r="G508">
        <v>6</v>
      </c>
      <c r="H508">
        <v>5</v>
      </c>
      <c r="K508">
        <v>7</v>
      </c>
      <c r="L508">
        <v>8</v>
      </c>
      <c r="M508">
        <v>3213963.963963964</v>
      </c>
      <c r="N508">
        <v>3933873.8738738731</v>
      </c>
      <c r="O508">
        <v>15883933.333333334</v>
      </c>
      <c r="P508">
        <v>17295225.225225225</v>
      </c>
      <c r="Q508">
        <v>3230000</v>
      </c>
      <c r="R508">
        <v>6834504.5045045028</v>
      </c>
      <c r="S508">
        <v>1692</v>
      </c>
      <c r="T508">
        <v>1626</v>
      </c>
    </row>
    <row r="509" spans="1:20" x14ac:dyDescent="0.35">
      <c r="A509" s="7" t="s">
        <v>601</v>
      </c>
      <c r="B509" s="12" t="s">
        <v>90</v>
      </c>
      <c r="C509">
        <v>115186350.36780339</v>
      </c>
      <c r="D509">
        <v>120218048.52142215</v>
      </c>
      <c r="E509">
        <v>138371171.17117116</v>
      </c>
      <c r="F509">
        <v>154630630.63063061</v>
      </c>
      <c r="G509">
        <v>24</v>
      </c>
      <c r="H509">
        <v>12</v>
      </c>
      <c r="I509">
        <v>1</v>
      </c>
      <c r="K509">
        <v>106</v>
      </c>
      <c r="L509">
        <v>13</v>
      </c>
      <c r="M509">
        <v>10554414.414414411</v>
      </c>
      <c r="N509">
        <v>27015855.855855852</v>
      </c>
      <c r="O509">
        <v>27899513.513513513</v>
      </c>
      <c r="P509">
        <v>33388297.297297295</v>
      </c>
      <c r="Q509">
        <v>9142252.2522522472</v>
      </c>
      <c r="R509">
        <v>25305585.58558559</v>
      </c>
      <c r="S509">
        <v>3658</v>
      </c>
      <c r="T509">
        <v>3497</v>
      </c>
    </row>
    <row r="510" spans="1:20" x14ac:dyDescent="0.35">
      <c r="A510" s="7" t="s">
        <v>602</v>
      </c>
      <c r="B510" s="12" t="s">
        <v>144</v>
      </c>
      <c r="C510">
        <v>45171726.711384393</v>
      </c>
      <c r="D510">
        <v>43418288.622928135</v>
      </c>
      <c r="E510">
        <v>729729.72972973099</v>
      </c>
      <c r="F510">
        <v>85585.585585585999</v>
      </c>
      <c r="G510">
        <v>1</v>
      </c>
      <c r="H510">
        <v>2</v>
      </c>
      <c r="K510">
        <v>1</v>
      </c>
      <c r="L510">
        <v>3</v>
      </c>
      <c r="M510">
        <v>4333333.333333334</v>
      </c>
      <c r="N510">
        <v>1436936.9369369361</v>
      </c>
      <c r="O510">
        <v>4114603.6036036029</v>
      </c>
      <c r="P510">
        <v>3785090.0900900899</v>
      </c>
      <c r="Q510">
        <v>2685405.405405405</v>
      </c>
      <c r="R510">
        <v>1918378.378378378</v>
      </c>
      <c r="S510">
        <v>1195</v>
      </c>
      <c r="T510">
        <v>1145</v>
      </c>
    </row>
    <row r="511" spans="1:20" x14ac:dyDescent="0.35">
      <c r="A511" s="7" t="s">
        <v>603</v>
      </c>
      <c r="B511" s="12" t="s">
        <v>126</v>
      </c>
      <c r="C511">
        <v>111955329.6634585</v>
      </c>
      <c r="D511">
        <v>120540964.23893237</v>
      </c>
      <c r="E511">
        <v>92792.792792794004</v>
      </c>
      <c r="F511">
        <v>300000.00000000099</v>
      </c>
      <c r="G511">
        <v>10</v>
      </c>
      <c r="H511">
        <v>16</v>
      </c>
      <c r="K511">
        <v>12</v>
      </c>
      <c r="L511">
        <v>19</v>
      </c>
      <c r="M511">
        <v>6079639.6396396412</v>
      </c>
      <c r="N511">
        <v>9884054.0540540516</v>
      </c>
      <c r="O511">
        <v>42519468.468468465</v>
      </c>
      <c r="P511">
        <v>45154054.054054059</v>
      </c>
      <c r="Q511">
        <v>6427207.2072072076</v>
      </c>
      <c r="R511">
        <v>9648918.9189189188</v>
      </c>
      <c r="S511">
        <v>3518</v>
      </c>
      <c r="T511">
        <v>3336</v>
      </c>
    </row>
    <row r="512" spans="1:20" x14ac:dyDescent="0.35">
      <c r="A512" s="7" t="s">
        <v>604</v>
      </c>
      <c r="B512" s="12" t="s">
        <v>51</v>
      </c>
      <c r="C512">
        <v>278382017.07117289</v>
      </c>
      <c r="D512">
        <v>306993691.66990292</v>
      </c>
      <c r="E512">
        <v>2959459.4594594589</v>
      </c>
      <c r="F512">
        <v>2263063.063063066</v>
      </c>
      <c r="G512">
        <v>24</v>
      </c>
      <c r="H512">
        <v>25</v>
      </c>
      <c r="I512">
        <v>1</v>
      </c>
      <c r="K512">
        <v>27</v>
      </c>
      <c r="L512">
        <v>27</v>
      </c>
      <c r="M512">
        <v>34440090.090090089</v>
      </c>
      <c r="N512">
        <v>27536486.486486483</v>
      </c>
      <c r="O512">
        <v>116710864.86486487</v>
      </c>
      <c r="P512">
        <v>127796963.96396397</v>
      </c>
      <c r="Q512">
        <v>37620180.180180177</v>
      </c>
      <c r="R512">
        <v>28694144.144144144</v>
      </c>
      <c r="S512">
        <v>7594</v>
      </c>
      <c r="T512">
        <v>7774</v>
      </c>
    </row>
    <row r="513" spans="1:20" x14ac:dyDescent="0.35">
      <c r="A513" s="7" t="s">
        <v>605</v>
      </c>
      <c r="B513" s="12" t="s">
        <v>90</v>
      </c>
      <c r="C513">
        <v>82559324.782118529</v>
      </c>
      <c r="D513">
        <v>83316817.700922459</v>
      </c>
      <c r="E513">
        <v>481981.98198198801</v>
      </c>
      <c r="F513">
        <v>2534234.2342342329</v>
      </c>
      <c r="G513">
        <v>8</v>
      </c>
      <c r="H513">
        <v>6</v>
      </c>
      <c r="K513">
        <v>8</v>
      </c>
      <c r="L513">
        <v>7</v>
      </c>
      <c r="M513">
        <v>26207207.20720721</v>
      </c>
      <c r="N513">
        <v>31117128.828828827</v>
      </c>
      <c r="O513">
        <v>25139162.162162159</v>
      </c>
      <c r="P513">
        <v>27137936.936936937</v>
      </c>
      <c r="Q513">
        <v>23973783.783783782</v>
      </c>
      <c r="R513">
        <v>31020270.270270269</v>
      </c>
      <c r="S513">
        <v>2368</v>
      </c>
      <c r="T513">
        <v>2417</v>
      </c>
    </row>
    <row r="514" spans="1:20" x14ac:dyDescent="0.35">
      <c r="A514" s="7" t="s">
        <v>606</v>
      </c>
      <c r="B514" s="12" t="s">
        <v>88</v>
      </c>
      <c r="C514">
        <v>74728439.28362231</v>
      </c>
      <c r="D514">
        <v>74513013.655895174</v>
      </c>
      <c r="E514">
        <v>436936.93693693698</v>
      </c>
      <c r="F514">
        <v>450450.45045045001</v>
      </c>
      <c r="G514">
        <v>10</v>
      </c>
      <c r="H514">
        <v>7</v>
      </c>
      <c r="K514">
        <v>12</v>
      </c>
      <c r="L514">
        <v>8</v>
      </c>
      <c r="M514">
        <v>716216.21621621598</v>
      </c>
      <c r="N514">
        <v>1324324.324324324</v>
      </c>
      <c r="O514">
        <v>5396351.3513513505</v>
      </c>
      <c r="P514">
        <v>7986531.5315315323</v>
      </c>
      <c r="Q514">
        <v>856756.75675675704</v>
      </c>
      <c r="R514">
        <v>1492612.612612613</v>
      </c>
      <c r="S514">
        <v>1242</v>
      </c>
      <c r="T514">
        <v>1279</v>
      </c>
    </row>
    <row r="515" spans="1:20" x14ac:dyDescent="0.35">
      <c r="A515" s="7" t="s">
        <v>607</v>
      </c>
      <c r="B515" s="12" t="s">
        <v>141</v>
      </c>
      <c r="C515">
        <v>590327859.58134592</v>
      </c>
      <c r="D515">
        <v>625597689.64572167</v>
      </c>
      <c r="E515">
        <v>252579607.20720723</v>
      </c>
      <c r="F515">
        <v>404675982.88288289</v>
      </c>
      <c r="G515">
        <v>212</v>
      </c>
      <c r="H515">
        <v>162</v>
      </c>
      <c r="I515">
        <v>7</v>
      </c>
      <c r="K515">
        <v>390</v>
      </c>
      <c r="L515">
        <v>288</v>
      </c>
      <c r="M515">
        <v>97576216.216216221</v>
      </c>
      <c r="N515">
        <v>131105450.45045047</v>
      </c>
      <c r="O515">
        <v>147608666.66666666</v>
      </c>
      <c r="P515">
        <v>160629545.94594595</v>
      </c>
      <c r="Q515">
        <v>103802342.34234233</v>
      </c>
      <c r="R515">
        <v>127756935.13513513</v>
      </c>
      <c r="S515">
        <v>20170</v>
      </c>
      <c r="T515">
        <v>19211</v>
      </c>
    </row>
    <row r="516" spans="1:20" x14ac:dyDescent="0.35">
      <c r="A516" s="7" t="s">
        <v>608</v>
      </c>
      <c r="B516" s="12" t="s">
        <v>226</v>
      </c>
      <c r="C516">
        <v>98466210.657335758</v>
      </c>
      <c r="D516">
        <v>111753254.9494202</v>
      </c>
      <c r="E516">
        <v>78378.378378377995</v>
      </c>
      <c r="F516">
        <v>1030630.630630631</v>
      </c>
      <c r="G516">
        <v>20</v>
      </c>
      <c r="H516">
        <v>17</v>
      </c>
      <c r="K516">
        <v>20</v>
      </c>
      <c r="L516">
        <v>17</v>
      </c>
      <c r="M516">
        <v>3952252.2522522518</v>
      </c>
      <c r="N516">
        <v>3544144.1441441439</v>
      </c>
      <c r="O516">
        <v>32739081.081081081</v>
      </c>
      <c r="P516">
        <v>40868459.459459454</v>
      </c>
      <c r="Q516">
        <v>3839909.9099099101</v>
      </c>
      <c r="R516">
        <v>3832792.7927927938</v>
      </c>
      <c r="S516">
        <v>1476</v>
      </c>
      <c r="T516">
        <v>3460</v>
      </c>
    </row>
    <row r="517" spans="1:20" x14ac:dyDescent="0.35">
      <c r="A517" s="7" t="s">
        <v>609</v>
      </c>
      <c r="B517" s="12" t="s">
        <v>226</v>
      </c>
      <c r="C517">
        <v>64532961.846121386</v>
      </c>
      <c r="D517">
        <v>71615520.306362972</v>
      </c>
      <c r="E517">
        <v>35135.135135135002</v>
      </c>
      <c r="F517">
        <v>9009.0090090089998</v>
      </c>
      <c r="G517">
        <v>16</v>
      </c>
      <c r="H517">
        <v>10</v>
      </c>
      <c r="K517">
        <v>17</v>
      </c>
      <c r="L517">
        <v>12</v>
      </c>
      <c r="M517">
        <v>2737837.8378378381</v>
      </c>
      <c r="N517">
        <v>3990090.0900900899</v>
      </c>
      <c r="O517">
        <v>18679207.207207207</v>
      </c>
      <c r="P517">
        <v>24091675.675675675</v>
      </c>
      <c r="Q517">
        <v>3654774.7747747749</v>
      </c>
      <c r="R517">
        <v>5170180.1801801808</v>
      </c>
      <c r="S517">
        <v>4838</v>
      </c>
      <c r="T517">
        <v>3187</v>
      </c>
    </row>
    <row r="518" spans="1:20" x14ac:dyDescent="0.35">
      <c r="A518" s="7" t="s">
        <v>610</v>
      </c>
      <c r="B518" s="12" t="s">
        <v>243</v>
      </c>
      <c r="C518">
        <v>53369810.356540173</v>
      </c>
      <c r="D518">
        <v>60731471.527057275</v>
      </c>
      <c r="E518">
        <v>242342.34234234301</v>
      </c>
      <c r="F518">
        <v>60360.360360361003</v>
      </c>
      <c r="G518">
        <v>32</v>
      </c>
      <c r="H518">
        <v>26</v>
      </c>
      <c r="K518">
        <v>34</v>
      </c>
      <c r="L518">
        <v>30</v>
      </c>
      <c r="M518">
        <v>3748648.648648649</v>
      </c>
      <c r="N518">
        <v>2689189.1891891882</v>
      </c>
      <c r="O518">
        <v>17215936.936936937</v>
      </c>
      <c r="P518">
        <v>20395207.207207207</v>
      </c>
      <c r="Q518">
        <v>3950540.5405405411</v>
      </c>
      <c r="R518">
        <v>3142342.3423423418</v>
      </c>
      <c r="S518">
        <v>2449</v>
      </c>
      <c r="T518">
        <v>2382</v>
      </c>
    </row>
    <row r="519" spans="1:20" x14ac:dyDescent="0.35">
      <c r="A519" s="7" t="s">
        <v>611</v>
      </c>
      <c r="B519" s="12" t="s">
        <v>141</v>
      </c>
      <c r="C519">
        <v>16832535.629748497</v>
      </c>
      <c r="D519">
        <v>16445695.58908722</v>
      </c>
      <c r="E519">
        <v>2702.7027027029999</v>
      </c>
      <c r="F519">
        <v>18918.918918919</v>
      </c>
      <c r="G519">
        <v>4</v>
      </c>
      <c r="H519">
        <v>1</v>
      </c>
      <c r="I519">
        <v>1</v>
      </c>
      <c r="K519">
        <v>4</v>
      </c>
      <c r="L519">
        <v>2</v>
      </c>
      <c r="M519">
        <v>227927.92792792799</v>
      </c>
      <c r="N519">
        <v>734234.23423423397</v>
      </c>
      <c r="O519">
        <v>1980216.2162162161</v>
      </c>
      <c r="P519">
        <v>2840630.630630631</v>
      </c>
      <c r="Q519">
        <v>426036.03603603598</v>
      </c>
      <c r="R519">
        <v>724414.41441441502</v>
      </c>
      <c r="S519">
        <v>331</v>
      </c>
      <c r="T519">
        <v>339</v>
      </c>
    </row>
    <row r="520" spans="1:20" x14ac:dyDescent="0.35">
      <c r="A520" s="7" t="s">
        <v>612</v>
      </c>
      <c r="B520" s="12" t="s">
        <v>191</v>
      </c>
      <c r="E520">
        <v>27651607.207207207</v>
      </c>
      <c r="F520">
        <v>28460835.135135137</v>
      </c>
      <c r="M520">
        <v>14729049.54954955</v>
      </c>
      <c r="N520">
        <v>6216216.2162162159</v>
      </c>
    </row>
    <row r="521" spans="1:20" x14ac:dyDescent="0.35">
      <c r="A521" s="7" t="s">
        <v>613</v>
      </c>
      <c r="B521" s="12" t="s">
        <v>191</v>
      </c>
      <c r="C521">
        <v>62127356.406435601</v>
      </c>
      <c r="D521">
        <v>57384670.887421504</v>
      </c>
      <c r="E521">
        <v>858558.558558558</v>
      </c>
      <c r="F521">
        <v>22522.522522523999</v>
      </c>
      <c r="G521">
        <v>43</v>
      </c>
      <c r="H521">
        <v>12</v>
      </c>
      <c r="K521">
        <v>49</v>
      </c>
      <c r="L521">
        <v>15</v>
      </c>
      <c r="M521">
        <v>5543243.2432432426</v>
      </c>
      <c r="N521">
        <v>4522522.5225225231</v>
      </c>
      <c r="O521">
        <v>15811536.036036037</v>
      </c>
      <c r="P521">
        <v>14187207.207207208</v>
      </c>
      <c r="Q521">
        <v>3859459.4594594599</v>
      </c>
      <c r="R521">
        <v>2693153.1531531541</v>
      </c>
      <c r="S521">
        <v>1667</v>
      </c>
      <c r="T521">
        <v>1476</v>
      </c>
    </row>
    <row r="522" spans="1:20" x14ac:dyDescent="0.35">
      <c r="A522" s="7" t="s">
        <v>614</v>
      </c>
      <c r="B522" s="12" t="s">
        <v>191</v>
      </c>
      <c r="C522">
        <v>182851138.29916152</v>
      </c>
      <c r="D522">
        <v>178534490.25338119</v>
      </c>
      <c r="E522">
        <v>175675.675675676</v>
      </c>
      <c r="F522">
        <v>54054.054054054999</v>
      </c>
      <c r="G522">
        <v>61</v>
      </c>
      <c r="H522">
        <v>63</v>
      </c>
      <c r="K522">
        <v>64</v>
      </c>
      <c r="L522">
        <v>66</v>
      </c>
      <c r="M522">
        <v>7968468.4684684677</v>
      </c>
      <c r="N522">
        <v>9603603.6036036033</v>
      </c>
      <c r="O522">
        <v>32666918.918918919</v>
      </c>
      <c r="P522">
        <v>31379639.639639638</v>
      </c>
      <c r="Q522">
        <v>4889099.0990990978</v>
      </c>
      <c r="R522">
        <v>4764774.7747747749</v>
      </c>
      <c r="S522">
        <v>4900</v>
      </c>
      <c r="T522">
        <v>5013</v>
      </c>
    </row>
    <row r="523" spans="1:20" x14ac:dyDescent="0.35">
      <c r="A523" s="7" t="s">
        <v>615</v>
      </c>
      <c r="B523" s="12" t="s">
        <v>191</v>
      </c>
      <c r="C523">
        <v>71985164.562878877</v>
      </c>
      <c r="D523">
        <v>80703821.201747239</v>
      </c>
      <c r="E523">
        <v>743918.91891892196</v>
      </c>
      <c r="F523">
        <v>445945.94594594598</v>
      </c>
      <c r="G523">
        <v>13</v>
      </c>
      <c r="H523">
        <v>10</v>
      </c>
      <c r="K523">
        <v>14</v>
      </c>
      <c r="L523">
        <v>12</v>
      </c>
      <c r="M523">
        <v>7998198.1981981983</v>
      </c>
      <c r="N523">
        <v>6810810.8108108118</v>
      </c>
      <c r="O523">
        <v>8330090.0900900904</v>
      </c>
      <c r="P523">
        <v>12318945.945945948</v>
      </c>
      <c r="Q523">
        <v>7153513.5135135138</v>
      </c>
      <c r="R523">
        <v>4739999.9999999981</v>
      </c>
      <c r="S523">
        <v>1695</v>
      </c>
      <c r="T523">
        <v>1722</v>
      </c>
    </row>
    <row r="524" spans="1:20" x14ac:dyDescent="0.35">
      <c r="A524" s="7" t="s">
        <v>616</v>
      </c>
      <c r="B524" s="12" t="s">
        <v>191</v>
      </c>
      <c r="C524">
        <v>27478118.095510487</v>
      </c>
      <c r="D524">
        <v>31534202.290078927</v>
      </c>
      <c r="E524">
        <v>400450.45045045199</v>
      </c>
      <c r="F524">
        <v>4504.5045045050001</v>
      </c>
      <c r="G524">
        <v>9</v>
      </c>
      <c r="H524">
        <v>24</v>
      </c>
      <c r="K524">
        <v>12</v>
      </c>
      <c r="L524">
        <v>37</v>
      </c>
      <c r="M524">
        <v>4594954.9549549557</v>
      </c>
      <c r="N524">
        <v>3472972.9729729742</v>
      </c>
      <c r="O524">
        <v>5027846.8468468469</v>
      </c>
      <c r="P524">
        <v>6890711.7117117122</v>
      </c>
      <c r="Q524">
        <v>3454774.7747747749</v>
      </c>
      <c r="R524">
        <v>1259639.63963964</v>
      </c>
      <c r="S524">
        <v>1004</v>
      </c>
      <c r="T524">
        <v>982</v>
      </c>
    </row>
    <row r="525" spans="1:20" x14ac:dyDescent="0.35">
      <c r="A525" s="7" t="s">
        <v>617</v>
      </c>
      <c r="B525" s="12" t="s">
        <v>144</v>
      </c>
      <c r="C525">
        <v>196880354.42577386</v>
      </c>
      <c r="D525">
        <v>220109169.33202946</v>
      </c>
      <c r="E525">
        <v>819972.97297297395</v>
      </c>
      <c r="F525">
        <v>432273.87387387798</v>
      </c>
      <c r="G525">
        <v>95</v>
      </c>
      <c r="H525">
        <v>45</v>
      </c>
      <c r="K525">
        <v>115</v>
      </c>
      <c r="L525">
        <v>204</v>
      </c>
      <c r="M525">
        <v>10103603.603603603</v>
      </c>
      <c r="N525">
        <v>24986486.486486487</v>
      </c>
      <c r="O525">
        <v>24541265.765765768</v>
      </c>
      <c r="P525">
        <v>34333900.9009009</v>
      </c>
      <c r="Q525">
        <v>19001394.59459459</v>
      </c>
      <c r="R525">
        <v>20518558.558558557</v>
      </c>
      <c r="S525">
        <v>5330</v>
      </c>
      <c r="T525">
        <v>7280</v>
      </c>
    </row>
    <row r="526" spans="1:20" x14ac:dyDescent="0.35">
      <c r="A526" s="7" t="s">
        <v>618</v>
      </c>
      <c r="B526" s="12" t="s">
        <v>191</v>
      </c>
      <c r="C526">
        <v>234574968.06665286</v>
      </c>
      <c r="D526">
        <v>259359574.72848377</v>
      </c>
      <c r="E526">
        <v>1248423.4234234269</v>
      </c>
      <c r="F526">
        <v>1022522.522522527</v>
      </c>
      <c r="G526">
        <v>76</v>
      </c>
      <c r="H526">
        <v>104</v>
      </c>
      <c r="K526">
        <v>110</v>
      </c>
      <c r="L526">
        <v>158</v>
      </c>
      <c r="M526">
        <v>10205225.225225223</v>
      </c>
      <c r="N526">
        <v>4918918.9189189188</v>
      </c>
      <c r="O526">
        <v>22609043.243243244</v>
      </c>
      <c r="P526">
        <v>28471729.729729727</v>
      </c>
      <c r="Q526">
        <v>8824908.1081081107</v>
      </c>
      <c r="R526">
        <v>3803333.3333333349</v>
      </c>
      <c r="S526">
        <v>7294</v>
      </c>
      <c r="T526">
        <v>8280</v>
      </c>
    </row>
    <row r="527" spans="1:20" x14ac:dyDescent="0.35">
      <c r="A527" s="7" t="s">
        <v>619</v>
      </c>
      <c r="B527" s="12" t="s">
        <v>55</v>
      </c>
      <c r="C527">
        <v>163778436.09320989</v>
      </c>
      <c r="D527">
        <v>166597991.99024236</v>
      </c>
      <c r="E527">
        <v>2548648.6486486509</v>
      </c>
      <c r="F527">
        <v>5229729.7297297288</v>
      </c>
      <c r="G527">
        <v>50</v>
      </c>
      <c r="H527">
        <v>34</v>
      </c>
      <c r="K527">
        <v>57</v>
      </c>
      <c r="L527">
        <v>52</v>
      </c>
      <c r="M527">
        <v>27413513.513513513</v>
      </c>
      <c r="N527">
        <v>33891891.891891897</v>
      </c>
      <c r="O527">
        <v>51865279.279279277</v>
      </c>
      <c r="P527">
        <v>54596666.666666664</v>
      </c>
      <c r="Q527">
        <v>27677477.477477476</v>
      </c>
      <c r="R527">
        <v>33056036.036036033</v>
      </c>
      <c r="S527">
        <v>6357</v>
      </c>
      <c r="T527">
        <v>6324</v>
      </c>
    </row>
    <row r="528" spans="1:20" x14ac:dyDescent="0.35">
      <c r="A528" s="7" t="s">
        <v>620</v>
      </c>
      <c r="B528" s="12" t="s">
        <v>55</v>
      </c>
      <c r="C528">
        <v>88892756.756339237</v>
      </c>
      <c r="D528">
        <v>93311624.221516371</v>
      </c>
      <c r="E528">
        <v>220720.720720721</v>
      </c>
      <c r="F528">
        <v>246846.84684684701</v>
      </c>
      <c r="G528">
        <v>10</v>
      </c>
      <c r="H528">
        <v>4</v>
      </c>
      <c r="I528">
        <v>1</v>
      </c>
      <c r="K528">
        <v>13</v>
      </c>
      <c r="L528">
        <v>6</v>
      </c>
      <c r="M528">
        <v>2680180.1801801799</v>
      </c>
      <c r="N528">
        <v>2883783.7837837832</v>
      </c>
      <c r="O528">
        <v>15145513.513513513</v>
      </c>
      <c r="P528">
        <v>17271783.783783782</v>
      </c>
      <c r="Q528">
        <v>2605675.6756756771</v>
      </c>
      <c r="R528">
        <v>3192972.9729729728</v>
      </c>
      <c r="S528">
        <v>2845</v>
      </c>
      <c r="T528">
        <v>2914</v>
      </c>
    </row>
    <row r="529" spans="1:20" x14ac:dyDescent="0.35">
      <c r="A529" s="7" t="s">
        <v>621</v>
      </c>
      <c r="B529" s="12" t="s">
        <v>61</v>
      </c>
      <c r="C529">
        <v>138004375.64404595</v>
      </c>
      <c r="D529">
        <v>149502481.13966444</v>
      </c>
      <c r="E529">
        <v>2215315.315315316</v>
      </c>
      <c r="F529">
        <v>1815315.315315319</v>
      </c>
      <c r="G529">
        <v>64</v>
      </c>
      <c r="H529">
        <v>24</v>
      </c>
      <c r="K529">
        <v>113</v>
      </c>
      <c r="L529">
        <v>34</v>
      </c>
      <c r="M529">
        <v>22175675.675675679</v>
      </c>
      <c r="N529">
        <v>31229729.729729731</v>
      </c>
      <c r="O529">
        <v>46106405.40540541</v>
      </c>
      <c r="P529">
        <v>48973621.621621624</v>
      </c>
      <c r="Q529">
        <v>21546936.936936937</v>
      </c>
      <c r="R529">
        <v>27458468.468468472</v>
      </c>
      <c r="S529">
        <v>4174</v>
      </c>
      <c r="T529">
        <v>4654</v>
      </c>
    </row>
    <row r="530" spans="1:20" x14ac:dyDescent="0.35">
      <c r="A530" s="7" t="s">
        <v>622</v>
      </c>
      <c r="B530" s="12" t="s">
        <v>61</v>
      </c>
      <c r="C530">
        <v>145429170.99741778</v>
      </c>
      <c r="D530">
        <v>147543134.58480522</v>
      </c>
      <c r="E530">
        <v>897297.29729729996</v>
      </c>
      <c r="F530">
        <v>1537837.8378378451</v>
      </c>
      <c r="G530">
        <v>42</v>
      </c>
      <c r="H530">
        <v>29</v>
      </c>
      <c r="K530">
        <v>45</v>
      </c>
      <c r="L530">
        <v>40</v>
      </c>
      <c r="M530">
        <v>17621621.621621624</v>
      </c>
      <c r="N530">
        <v>31195495.495495494</v>
      </c>
      <c r="O530">
        <v>76675527.027027026</v>
      </c>
      <c r="P530">
        <v>75734414.414414421</v>
      </c>
      <c r="Q530">
        <v>17633063.063063063</v>
      </c>
      <c r="R530">
        <v>26222702.702702705</v>
      </c>
      <c r="S530">
        <v>5373</v>
      </c>
      <c r="T530">
        <v>5496</v>
      </c>
    </row>
    <row r="531" spans="1:20" x14ac:dyDescent="0.35">
      <c r="A531" s="7" t="s">
        <v>623</v>
      </c>
      <c r="B531" s="12" t="s">
        <v>61</v>
      </c>
      <c r="C531">
        <v>187672656.37521046</v>
      </c>
      <c r="D531">
        <v>202584428.98010623</v>
      </c>
      <c r="E531">
        <v>2397297.2972973031</v>
      </c>
      <c r="F531">
        <v>3725225.2252252302</v>
      </c>
      <c r="G531">
        <v>31</v>
      </c>
      <c r="H531">
        <v>11</v>
      </c>
      <c r="K531">
        <v>35</v>
      </c>
      <c r="L531">
        <v>15</v>
      </c>
      <c r="M531">
        <v>28471171.171171177</v>
      </c>
      <c r="N531">
        <v>41319819.819819823</v>
      </c>
      <c r="O531">
        <v>63146716.666666664</v>
      </c>
      <c r="P531">
        <v>67779171.171171173</v>
      </c>
      <c r="Q531">
        <v>27587837.837837841</v>
      </c>
      <c r="R531">
        <v>39684054.054054059</v>
      </c>
      <c r="S531">
        <v>5993</v>
      </c>
      <c r="T531">
        <v>5800</v>
      </c>
    </row>
    <row r="532" spans="1:20" x14ac:dyDescent="0.35">
      <c r="A532" s="7" t="s">
        <v>624</v>
      </c>
      <c r="B532" s="12" t="s">
        <v>625</v>
      </c>
      <c r="C532">
        <v>224353466.07884985</v>
      </c>
      <c r="D532">
        <v>231402519.40193275</v>
      </c>
      <c r="E532">
        <v>4015090.0900900932</v>
      </c>
      <c r="F532">
        <v>2088288.288288296</v>
      </c>
      <c r="G532">
        <v>114</v>
      </c>
      <c r="H532">
        <v>47</v>
      </c>
      <c r="I532">
        <v>1</v>
      </c>
      <c r="K532">
        <v>266</v>
      </c>
      <c r="L532">
        <v>78</v>
      </c>
      <c r="M532">
        <v>12266666.666666666</v>
      </c>
      <c r="N532">
        <v>14173873.873873878</v>
      </c>
      <c r="O532">
        <v>26611459.459459461</v>
      </c>
      <c r="P532">
        <v>31953765.765765768</v>
      </c>
      <c r="Q532">
        <v>14816036.036036037</v>
      </c>
      <c r="R532">
        <v>14884414.414414408</v>
      </c>
      <c r="S532">
        <v>7516</v>
      </c>
      <c r="T532">
        <v>7474</v>
      </c>
    </row>
    <row r="533" spans="1:20" x14ac:dyDescent="0.35">
      <c r="A533" s="7" t="s">
        <v>626</v>
      </c>
      <c r="B533" s="12" t="s">
        <v>625</v>
      </c>
      <c r="C533">
        <v>163690792.02224672</v>
      </c>
      <c r="D533">
        <v>167302042.80617046</v>
      </c>
      <c r="E533">
        <v>40849676.576576576</v>
      </c>
      <c r="F533">
        <v>48180885.585585594</v>
      </c>
      <c r="G533">
        <v>55</v>
      </c>
      <c r="H533">
        <v>52</v>
      </c>
      <c r="I533">
        <v>1</v>
      </c>
      <c r="K533">
        <v>70</v>
      </c>
      <c r="L533">
        <v>64</v>
      </c>
      <c r="M533">
        <v>16753981.081081079</v>
      </c>
      <c r="N533">
        <v>25178378.37837838</v>
      </c>
      <c r="O533">
        <v>26782855.855855856</v>
      </c>
      <c r="P533">
        <v>27654157.657657661</v>
      </c>
      <c r="Q533">
        <v>12614324.324324325</v>
      </c>
      <c r="R533">
        <v>14239189.189189188</v>
      </c>
      <c r="S533">
        <v>5869</v>
      </c>
      <c r="T533">
        <v>5553</v>
      </c>
    </row>
    <row r="534" spans="1:20" x14ac:dyDescent="0.35">
      <c r="A534" s="7" t="s">
        <v>627</v>
      </c>
      <c r="B534" s="12" t="s">
        <v>625</v>
      </c>
      <c r="C534">
        <v>171295650.04595637</v>
      </c>
      <c r="D534">
        <v>170632069.8468512</v>
      </c>
      <c r="E534">
        <v>1070270.2702702731</v>
      </c>
      <c r="F534">
        <v>21296396.396396399</v>
      </c>
      <c r="G534">
        <v>68</v>
      </c>
      <c r="H534">
        <v>56</v>
      </c>
      <c r="K534">
        <v>84</v>
      </c>
      <c r="L534">
        <v>69</v>
      </c>
      <c r="M534">
        <v>12627027.027027026</v>
      </c>
      <c r="N534">
        <v>12621621.621621624</v>
      </c>
      <c r="O534">
        <v>27366229.729729727</v>
      </c>
      <c r="P534">
        <v>29916720.72072072</v>
      </c>
      <c r="Q534">
        <v>8901441.4414414447</v>
      </c>
      <c r="R534">
        <v>9138828.8288288284</v>
      </c>
      <c r="S534">
        <v>6385</v>
      </c>
      <c r="T534">
        <v>5080</v>
      </c>
    </row>
    <row r="535" spans="1:20" x14ac:dyDescent="0.35">
      <c r="A535" s="7" t="s">
        <v>628</v>
      </c>
      <c r="B535" s="12" t="s">
        <v>625</v>
      </c>
      <c r="C535">
        <v>125834531.22805235</v>
      </c>
      <c r="D535">
        <v>130093689.11467092</v>
      </c>
      <c r="E535">
        <v>353153.15315315599</v>
      </c>
      <c r="F535">
        <v>1212612.612612613</v>
      </c>
      <c r="G535">
        <v>29</v>
      </c>
      <c r="H535">
        <v>63</v>
      </c>
      <c r="I535">
        <v>3</v>
      </c>
      <c r="K535">
        <v>41</v>
      </c>
      <c r="L535">
        <v>67</v>
      </c>
      <c r="M535">
        <v>9977477.477477476</v>
      </c>
      <c r="N535">
        <v>10916666.666666668</v>
      </c>
      <c r="O535">
        <v>15939581.081081079</v>
      </c>
      <c r="P535">
        <v>18835998.198198199</v>
      </c>
      <c r="Q535">
        <v>10040990.990990989</v>
      </c>
      <c r="R535">
        <v>11883513.513513513</v>
      </c>
      <c r="S535">
        <v>3555</v>
      </c>
      <c r="T535">
        <v>3612</v>
      </c>
    </row>
    <row r="536" spans="1:20" x14ac:dyDescent="0.35">
      <c r="A536" s="7" t="s">
        <v>629</v>
      </c>
      <c r="B536" s="12" t="s">
        <v>262</v>
      </c>
      <c r="C536">
        <v>66743287.989984259</v>
      </c>
      <c r="D536">
        <v>74379374.058843359</v>
      </c>
      <c r="E536">
        <v>287387.38738738798</v>
      </c>
      <c r="F536">
        <v>68468.468468467996</v>
      </c>
      <c r="G536">
        <v>11</v>
      </c>
      <c r="K536">
        <v>11</v>
      </c>
      <c r="M536">
        <v>4721621.6216216218</v>
      </c>
      <c r="N536">
        <v>4755675.6756756762</v>
      </c>
      <c r="O536">
        <v>21650864.864864863</v>
      </c>
      <c r="P536">
        <v>25566261.261261266</v>
      </c>
      <c r="Q536">
        <v>7273243.2432432417</v>
      </c>
      <c r="R536">
        <v>8564234.2342342343</v>
      </c>
      <c r="S536">
        <v>2014</v>
      </c>
      <c r="T536">
        <v>2195</v>
      </c>
    </row>
    <row r="537" spans="1:20" x14ac:dyDescent="0.35">
      <c r="A537" s="7" t="s">
        <v>630</v>
      </c>
      <c r="B537" s="12" t="s">
        <v>53</v>
      </c>
      <c r="C537">
        <v>102858746.03689615</v>
      </c>
      <c r="D537">
        <v>105483250.48828223</v>
      </c>
      <c r="E537">
        <v>100000.000000001</v>
      </c>
      <c r="F537">
        <v>728828.82882883004</v>
      </c>
      <c r="G537">
        <v>32</v>
      </c>
      <c r="H537">
        <v>13</v>
      </c>
      <c r="K537">
        <v>64</v>
      </c>
      <c r="L537">
        <v>37</v>
      </c>
      <c r="M537">
        <v>1901801.8018018031</v>
      </c>
      <c r="N537">
        <v>3377477.4774774788</v>
      </c>
      <c r="O537">
        <v>36862522.522522517</v>
      </c>
      <c r="P537">
        <v>35586333.333333328</v>
      </c>
      <c r="Q537">
        <v>2382522.5225225231</v>
      </c>
      <c r="R537">
        <v>3337747.7477477482</v>
      </c>
      <c r="S537">
        <v>4201</v>
      </c>
      <c r="T537">
        <v>4256</v>
      </c>
    </row>
    <row r="538" spans="1:20" x14ac:dyDescent="0.35">
      <c r="A538" s="7" t="s">
        <v>631</v>
      </c>
      <c r="B538" s="12" t="s">
        <v>97</v>
      </c>
      <c r="C538">
        <v>256742898.64111042</v>
      </c>
      <c r="D538">
        <v>238827083.86425546</v>
      </c>
      <c r="E538">
        <v>81723423.423423424</v>
      </c>
      <c r="F538">
        <v>62450450.450450458</v>
      </c>
      <c r="G538">
        <v>119</v>
      </c>
      <c r="H538">
        <v>121</v>
      </c>
      <c r="K538">
        <v>146</v>
      </c>
      <c r="L538">
        <v>138</v>
      </c>
      <c r="M538">
        <v>55942342.342342347</v>
      </c>
      <c r="N538">
        <v>56698198.198198192</v>
      </c>
      <c r="O538">
        <v>82905851.801801801</v>
      </c>
      <c r="P538">
        <v>86051342.342342332</v>
      </c>
      <c r="Q538">
        <v>48881441.441441439</v>
      </c>
      <c r="R538">
        <v>57765135.135135137</v>
      </c>
      <c r="S538">
        <v>10389</v>
      </c>
      <c r="T538">
        <v>10667</v>
      </c>
    </row>
    <row r="539" spans="1:20" x14ac:dyDescent="0.35">
      <c r="A539" s="7" t="s">
        <v>632</v>
      </c>
      <c r="B539" s="12" t="s">
        <v>97</v>
      </c>
      <c r="C539">
        <v>428258275.27154523</v>
      </c>
      <c r="D539">
        <v>422972844.33019757</v>
      </c>
      <c r="E539">
        <v>89367510.810810819</v>
      </c>
      <c r="F539">
        <v>122303616.21621622</v>
      </c>
      <c r="G539">
        <v>83</v>
      </c>
      <c r="H539">
        <v>98</v>
      </c>
      <c r="I539">
        <v>2</v>
      </c>
      <c r="K539">
        <v>101</v>
      </c>
      <c r="L539">
        <v>118</v>
      </c>
      <c r="M539">
        <v>162048774.77477479</v>
      </c>
      <c r="N539">
        <v>92340315.315315306</v>
      </c>
      <c r="O539">
        <v>169920182.43243244</v>
      </c>
      <c r="P539">
        <v>172534108.1081081</v>
      </c>
      <c r="Q539">
        <v>103787027.02702703</v>
      </c>
      <c r="R539">
        <v>97997252.252252251</v>
      </c>
      <c r="S539">
        <v>13823</v>
      </c>
      <c r="T539">
        <v>13623</v>
      </c>
    </row>
    <row r="540" spans="1:20" x14ac:dyDescent="0.35">
      <c r="A540" s="7" t="s">
        <v>633</v>
      </c>
      <c r="B540" s="12" t="s">
        <v>452</v>
      </c>
      <c r="C540">
        <v>308305394.62800652</v>
      </c>
      <c r="D540">
        <v>302644575.91183215</v>
      </c>
      <c r="E540">
        <v>161658976.57657659</v>
      </c>
      <c r="F540">
        <v>249899812.61261261</v>
      </c>
      <c r="G540">
        <v>105</v>
      </c>
      <c r="H540">
        <v>87</v>
      </c>
      <c r="I540">
        <v>1</v>
      </c>
      <c r="K540">
        <v>131</v>
      </c>
      <c r="L540">
        <v>131</v>
      </c>
      <c r="M540">
        <v>97936396.396396399</v>
      </c>
      <c r="N540">
        <v>62841891.891891897</v>
      </c>
      <c r="O540">
        <v>92930079.279279277</v>
      </c>
      <c r="P540">
        <v>101396477.47747748</v>
      </c>
      <c r="Q540">
        <v>100673873.87387387</v>
      </c>
      <c r="R540">
        <v>59667387.387387395</v>
      </c>
      <c r="S540">
        <v>11499</v>
      </c>
      <c r="T540">
        <v>10955</v>
      </c>
    </row>
    <row r="541" spans="1:20" x14ac:dyDescent="0.35">
      <c r="A541" s="7" t="s">
        <v>634</v>
      </c>
      <c r="B541" s="12" t="s">
        <v>79</v>
      </c>
      <c r="C541">
        <v>13876171.11165758</v>
      </c>
      <c r="D541">
        <v>15270523.150573783</v>
      </c>
      <c r="E541">
        <v>300000</v>
      </c>
      <c r="F541">
        <v>205405.405405406</v>
      </c>
      <c r="G541">
        <v>2</v>
      </c>
      <c r="K541">
        <v>2</v>
      </c>
      <c r="M541">
        <v>930630.63063062995</v>
      </c>
      <c r="N541">
        <v>1457657.657657658</v>
      </c>
      <c r="O541">
        <v>3708090.0900900899</v>
      </c>
      <c r="P541">
        <v>4729927.927927928</v>
      </c>
      <c r="Q541">
        <v>844864.86486486497</v>
      </c>
      <c r="R541">
        <v>1048558.558558559</v>
      </c>
      <c r="S541">
        <v>353</v>
      </c>
      <c r="T541">
        <v>377</v>
      </c>
    </row>
    <row r="542" spans="1:20" x14ac:dyDescent="0.35">
      <c r="A542" s="7" t="s">
        <v>635</v>
      </c>
      <c r="B542" s="12" t="s">
        <v>243</v>
      </c>
      <c r="C542">
        <v>79781049.146213099</v>
      </c>
      <c r="D542">
        <v>76195275.301517442</v>
      </c>
      <c r="E542">
        <v>63805246.846846849</v>
      </c>
      <c r="F542">
        <v>43016153.153153151</v>
      </c>
      <c r="G542">
        <v>30</v>
      </c>
      <c r="H542">
        <v>13</v>
      </c>
      <c r="K542">
        <v>34</v>
      </c>
      <c r="L542">
        <v>19</v>
      </c>
      <c r="M542">
        <v>17768288.288288288</v>
      </c>
      <c r="N542">
        <v>20740540.540540539</v>
      </c>
      <c r="O542">
        <v>17844900.9009009</v>
      </c>
      <c r="P542">
        <v>19059792.792792793</v>
      </c>
      <c r="Q542">
        <v>7742162.1621621614</v>
      </c>
      <c r="R542">
        <v>13315585.585585589</v>
      </c>
      <c r="S542">
        <v>2781</v>
      </c>
      <c r="T542">
        <v>2782</v>
      </c>
    </row>
    <row r="543" spans="1:20" x14ac:dyDescent="0.35">
      <c r="A543" s="7" t="s">
        <v>636</v>
      </c>
      <c r="B543" s="12" t="s">
        <v>69</v>
      </c>
      <c r="C543">
        <v>360042362.21771711</v>
      </c>
      <c r="D543">
        <v>381898422.60625994</v>
      </c>
      <c r="E543">
        <v>4222297.297297297</v>
      </c>
      <c r="F543">
        <v>2093693.6936936949</v>
      </c>
      <c r="G543">
        <v>222</v>
      </c>
      <c r="H543">
        <v>55</v>
      </c>
      <c r="K543">
        <v>257</v>
      </c>
      <c r="L543">
        <v>78</v>
      </c>
      <c r="M543">
        <v>39213513.513513513</v>
      </c>
      <c r="N543">
        <v>44578828.828828834</v>
      </c>
      <c r="O543">
        <v>62243448.648648649</v>
      </c>
      <c r="P543">
        <v>74850419.819819823</v>
      </c>
      <c r="Q543">
        <v>28744954.954954956</v>
      </c>
      <c r="R543">
        <v>32646846.846846849</v>
      </c>
      <c r="S543">
        <v>9029</v>
      </c>
      <c r="T543">
        <v>8936</v>
      </c>
    </row>
    <row r="544" spans="1:20" x14ac:dyDescent="0.35">
      <c r="A544" s="7" t="s">
        <v>637</v>
      </c>
      <c r="B544" s="12" t="s">
        <v>71</v>
      </c>
      <c r="C544">
        <v>2627361.7900876938</v>
      </c>
      <c r="D544">
        <v>2783219.8108255952</v>
      </c>
      <c r="E544">
        <v>40540.540540540998</v>
      </c>
      <c r="F544">
        <v>82432.432432432004</v>
      </c>
      <c r="G544">
        <v>2</v>
      </c>
      <c r="K544">
        <v>2</v>
      </c>
      <c r="M544">
        <v>40540.540540540998</v>
      </c>
      <c r="N544">
        <v>136486.48648648601</v>
      </c>
      <c r="O544">
        <v>1645270.2702702701</v>
      </c>
      <c r="P544">
        <v>1722207.2072072071</v>
      </c>
      <c r="Q544">
        <v>164864.864864865</v>
      </c>
      <c r="S544">
        <v>196</v>
      </c>
      <c r="T544">
        <v>190</v>
      </c>
    </row>
    <row r="545" spans="1:20" x14ac:dyDescent="0.35">
      <c r="A545" s="7" t="s">
        <v>638</v>
      </c>
      <c r="B545" s="12" t="s">
        <v>61</v>
      </c>
      <c r="C545">
        <v>27783298.683878884</v>
      </c>
      <c r="D545">
        <v>28239496.591218226</v>
      </c>
      <c r="E545">
        <v>2702.7027027029999</v>
      </c>
      <c r="F545">
        <v>240540.540540541</v>
      </c>
      <c r="G545">
        <v>9</v>
      </c>
      <c r="H545">
        <v>1</v>
      </c>
      <c r="K545">
        <v>9</v>
      </c>
      <c r="L545">
        <v>3</v>
      </c>
      <c r="M545">
        <v>1345045.045045045</v>
      </c>
      <c r="N545">
        <v>1970270.2702702701</v>
      </c>
      <c r="O545">
        <v>11881414.414414413</v>
      </c>
      <c r="P545">
        <v>10926027.027027028</v>
      </c>
      <c r="Q545">
        <v>202252.25225225199</v>
      </c>
      <c r="R545">
        <v>1999549.5495495501</v>
      </c>
      <c r="S545">
        <v>1022</v>
      </c>
      <c r="T545">
        <v>1095</v>
      </c>
    </row>
    <row r="546" spans="1:20" x14ac:dyDescent="0.35">
      <c r="A546" s="7" t="s">
        <v>639</v>
      </c>
      <c r="B546" s="12" t="s">
        <v>81</v>
      </c>
      <c r="C546">
        <v>283542895.85279459</v>
      </c>
      <c r="D546">
        <v>301037863.21532208</v>
      </c>
      <c r="E546">
        <v>2427927.9279279308</v>
      </c>
      <c r="F546">
        <v>2320720.7207207219</v>
      </c>
      <c r="G546">
        <v>33</v>
      </c>
      <c r="H546">
        <v>30</v>
      </c>
      <c r="I546">
        <v>1</v>
      </c>
      <c r="K546">
        <v>34</v>
      </c>
      <c r="L546">
        <v>38</v>
      </c>
      <c r="M546">
        <v>33909009.009009011</v>
      </c>
      <c r="N546">
        <v>42843243.243243247</v>
      </c>
      <c r="O546">
        <v>57279274.774774775</v>
      </c>
      <c r="P546">
        <v>62649864.864864863</v>
      </c>
      <c r="Q546">
        <v>28706306.306306303</v>
      </c>
      <c r="R546">
        <v>37590360.360360362</v>
      </c>
      <c r="S546">
        <v>6258</v>
      </c>
      <c r="T546">
        <v>6710</v>
      </c>
    </row>
    <row r="547" spans="1:20" x14ac:dyDescent="0.35">
      <c r="A547" s="7" t="s">
        <v>640</v>
      </c>
      <c r="B547" s="12" t="s">
        <v>135</v>
      </c>
      <c r="C547">
        <v>50801244.378604934</v>
      </c>
      <c r="D547">
        <v>53939724.348907501</v>
      </c>
      <c r="E547">
        <v>310810.810810811</v>
      </c>
      <c r="G547">
        <v>9</v>
      </c>
      <c r="H547">
        <v>6</v>
      </c>
      <c r="K547">
        <v>9</v>
      </c>
      <c r="L547">
        <v>6</v>
      </c>
      <c r="M547">
        <v>4698198.1981981983</v>
      </c>
      <c r="N547">
        <v>261261.26126126101</v>
      </c>
      <c r="O547">
        <v>2710171.1711711711</v>
      </c>
      <c r="P547">
        <v>3786261.261261262</v>
      </c>
      <c r="Q547">
        <v>4290990.9909909908</v>
      </c>
      <c r="R547">
        <v>431621.62162162102</v>
      </c>
      <c r="S547">
        <v>1438</v>
      </c>
      <c r="T547">
        <v>1499</v>
      </c>
    </row>
    <row r="548" spans="1:20" x14ac:dyDescent="0.35">
      <c r="A548" s="7" t="s">
        <v>641</v>
      </c>
      <c r="B548" s="12" t="s">
        <v>483</v>
      </c>
      <c r="C548">
        <v>152428734.81105697</v>
      </c>
      <c r="D548">
        <v>154065793.37953681</v>
      </c>
      <c r="E548">
        <v>1030630.630630635</v>
      </c>
      <c r="F548">
        <v>980180.18018018</v>
      </c>
      <c r="G548">
        <v>22</v>
      </c>
      <c r="H548">
        <v>26</v>
      </c>
      <c r="K548">
        <v>26</v>
      </c>
      <c r="L548">
        <v>31</v>
      </c>
      <c r="M548">
        <v>36317117.117117114</v>
      </c>
      <c r="N548">
        <v>40949684.684684686</v>
      </c>
      <c r="O548">
        <v>52543063.063063063</v>
      </c>
      <c r="P548">
        <v>59250675.675675683</v>
      </c>
      <c r="Q548">
        <v>37252972.972972967</v>
      </c>
      <c r="R548">
        <v>43624819.819819823</v>
      </c>
      <c r="S548">
        <v>5869</v>
      </c>
      <c r="T548">
        <v>5674</v>
      </c>
    </row>
    <row r="549" spans="1:20" x14ac:dyDescent="0.35">
      <c r="A549" s="7" t="s">
        <v>642</v>
      </c>
      <c r="B549" s="12" t="s">
        <v>144</v>
      </c>
      <c r="C549">
        <v>264879728.26807609</v>
      </c>
      <c r="D549">
        <v>286012645.66698825</v>
      </c>
      <c r="E549">
        <v>3000450.4504504539</v>
      </c>
      <c r="F549">
        <v>1587387.38738739</v>
      </c>
      <c r="G549">
        <v>50</v>
      </c>
      <c r="H549">
        <v>16</v>
      </c>
      <c r="K549">
        <v>67</v>
      </c>
      <c r="L549">
        <v>19</v>
      </c>
      <c r="M549">
        <v>19554054.054054055</v>
      </c>
      <c r="N549">
        <v>17730630.630630627</v>
      </c>
      <c r="O549">
        <v>32284853.603603601</v>
      </c>
      <c r="P549">
        <v>34215090.090090089</v>
      </c>
      <c r="Q549">
        <v>14631081.081081079</v>
      </c>
      <c r="R549">
        <v>13389819.819819819</v>
      </c>
      <c r="S549">
        <v>9362</v>
      </c>
      <c r="T549">
        <v>9354</v>
      </c>
    </row>
    <row r="550" spans="1:20" x14ac:dyDescent="0.35">
      <c r="A550" s="7" t="s">
        <v>643</v>
      </c>
      <c r="B550" s="12" t="s">
        <v>243</v>
      </c>
      <c r="C550">
        <v>279531104.64752638</v>
      </c>
      <c r="D550">
        <v>284458616.38017339</v>
      </c>
      <c r="E550">
        <v>1531531.5315315321</v>
      </c>
      <c r="F550">
        <v>1116216.2162162201</v>
      </c>
      <c r="G550">
        <v>153</v>
      </c>
      <c r="H550">
        <v>116</v>
      </c>
      <c r="K550">
        <v>182</v>
      </c>
      <c r="L550">
        <v>145</v>
      </c>
      <c r="M550">
        <v>16321261.26126126</v>
      </c>
      <c r="N550">
        <v>21486891.891891897</v>
      </c>
      <c r="O550">
        <v>89557457.657657668</v>
      </c>
      <c r="P550">
        <v>102330729.72972973</v>
      </c>
      <c r="Q550">
        <v>14706666.666666668</v>
      </c>
      <c r="R550">
        <v>21922927.927927934</v>
      </c>
      <c r="S550">
        <v>15056</v>
      </c>
      <c r="T550">
        <v>13158</v>
      </c>
    </row>
    <row r="551" spans="1:20" x14ac:dyDescent="0.35">
      <c r="A551" s="7" t="s">
        <v>644</v>
      </c>
      <c r="B551" s="12" t="s">
        <v>133</v>
      </c>
      <c r="C551">
        <v>102225548.74855824</v>
      </c>
      <c r="D551">
        <v>115674352.38611129</v>
      </c>
      <c r="E551">
        <v>19958558.558558561</v>
      </c>
      <c r="F551">
        <v>6113513.5135135138</v>
      </c>
      <c r="G551">
        <v>42</v>
      </c>
      <c r="H551">
        <v>34</v>
      </c>
      <c r="K551">
        <v>50</v>
      </c>
      <c r="L551">
        <v>45</v>
      </c>
      <c r="M551">
        <v>7888963.963963964</v>
      </c>
      <c r="N551">
        <v>3161486.4864864862</v>
      </c>
      <c r="O551">
        <v>37858792.79279279</v>
      </c>
      <c r="P551">
        <v>41391295.495495498</v>
      </c>
      <c r="Q551">
        <v>2568828.8288288289</v>
      </c>
      <c r="R551">
        <v>3791666.666666667</v>
      </c>
      <c r="S551">
        <v>5618</v>
      </c>
      <c r="T551">
        <v>5662</v>
      </c>
    </row>
    <row r="552" spans="1:20" x14ac:dyDescent="0.35">
      <c r="A552" s="7" t="s">
        <v>645</v>
      </c>
      <c r="B552" s="12" t="s">
        <v>135</v>
      </c>
      <c r="C552">
        <v>329021668.00719309</v>
      </c>
      <c r="D552">
        <v>365959603.15629965</v>
      </c>
      <c r="E552">
        <v>1103603.6036036061</v>
      </c>
      <c r="F552">
        <v>1103603.603603608</v>
      </c>
      <c r="G552">
        <v>48</v>
      </c>
      <c r="H552">
        <v>42</v>
      </c>
      <c r="K552">
        <v>56</v>
      </c>
      <c r="L552">
        <v>48</v>
      </c>
      <c r="M552">
        <v>29267747.747747745</v>
      </c>
      <c r="N552">
        <v>30736036.036036037</v>
      </c>
      <c r="O552">
        <v>42112457.657657653</v>
      </c>
      <c r="P552">
        <v>53693765.765765771</v>
      </c>
      <c r="Q552">
        <v>20911664.864864863</v>
      </c>
      <c r="R552">
        <v>24667567.567567568</v>
      </c>
      <c r="S552">
        <v>7156</v>
      </c>
      <c r="T552">
        <v>7620</v>
      </c>
    </row>
    <row r="553" spans="1:20" x14ac:dyDescent="0.35">
      <c r="A553" s="7" t="s">
        <v>646</v>
      </c>
      <c r="B553" s="12" t="s">
        <v>81</v>
      </c>
      <c r="C553">
        <v>175035785.4076539</v>
      </c>
      <c r="D553">
        <v>180753388.70807546</v>
      </c>
      <c r="E553">
        <v>1032432.4324324341</v>
      </c>
      <c r="F553">
        <v>1032432.432432433</v>
      </c>
      <c r="G553">
        <v>32</v>
      </c>
      <c r="H553">
        <v>15</v>
      </c>
      <c r="K553">
        <v>36</v>
      </c>
      <c r="L553">
        <v>35</v>
      </c>
      <c r="M553">
        <v>16596396.396396397</v>
      </c>
      <c r="N553">
        <v>17325225.225225225</v>
      </c>
      <c r="O553">
        <v>62379418.918918923</v>
      </c>
      <c r="P553">
        <v>65870628.828828834</v>
      </c>
      <c r="Q553">
        <v>16409819.819819819</v>
      </c>
      <c r="R553">
        <v>18827837.837837841</v>
      </c>
      <c r="S553">
        <v>5344</v>
      </c>
      <c r="T553">
        <v>5048</v>
      </c>
    </row>
    <row r="554" spans="1:20" x14ac:dyDescent="0.35">
      <c r="A554" s="7" t="s">
        <v>647</v>
      </c>
      <c r="B554" s="12" t="s">
        <v>170</v>
      </c>
      <c r="C554">
        <v>285318120.62964487</v>
      </c>
      <c r="D554">
        <v>312145435.55290824</v>
      </c>
      <c r="E554">
        <v>1102702.7027027039</v>
      </c>
      <c r="F554">
        <v>2126126.1261261259</v>
      </c>
      <c r="G554">
        <v>30</v>
      </c>
      <c r="H554">
        <v>30</v>
      </c>
      <c r="I554">
        <v>2</v>
      </c>
      <c r="K554">
        <v>31</v>
      </c>
      <c r="L554">
        <v>31</v>
      </c>
      <c r="M554">
        <v>22359654.954954956</v>
      </c>
      <c r="N554">
        <v>30864864.864864863</v>
      </c>
      <c r="O554">
        <v>101716099.0990991</v>
      </c>
      <c r="P554">
        <v>118349369.36936937</v>
      </c>
      <c r="Q554">
        <v>23373153.153153155</v>
      </c>
      <c r="R554">
        <v>28896216.216216218</v>
      </c>
      <c r="S554">
        <v>12497</v>
      </c>
      <c r="T554">
        <v>13131</v>
      </c>
    </row>
    <row r="555" spans="1:20" x14ac:dyDescent="0.35">
      <c r="A555" s="7" t="s">
        <v>648</v>
      </c>
      <c r="B555" s="12" t="s">
        <v>59</v>
      </c>
      <c r="C555">
        <v>493053030.15183693</v>
      </c>
      <c r="D555">
        <v>509228109.87078315</v>
      </c>
      <c r="E555">
        <v>5104504.5045045074</v>
      </c>
      <c r="F555">
        <v>3542342.3423423488</v>
      </c>
      <c r="G555">
        <v>123</v>
      </c>
      <c r="H555">
        <v>92</v>
      </c>
      <c r="K555">
        <v>149</v>
      </c>
      <c r="L555">
        <v>116</v>
      </c>
      <c r="M555">
        <v>35675225.225225225</v>
      </c>
      <c r="N555">
        <v>71211261.261261269</v>
      </c>
      <c r="O555">
        <v>101174436.93693694</v>
      </c>
      <c r="P555">
        <v>107316241.44144145</v>
      </c>
      <c r="Q555">
        <v>37076666.666666664</v>
      </c>
      <c r="R555">
        <v>73634594.594594598</v>
      </c>
      <c r="S555">
        <v>17442</v>
      </c>
      <c r="T555">
        <v>17484</v>
      </c>
    </row>
    <row r="556" spans="1:20" x14ac:dyDescent="0.35">
      <c r="A556" s="7" t="s">
        <v>649</v>
      </c>
      <c r="B556" s="12" t="s">
        <v>59</v>
      </c>
      <c r="C556">
        <v>623770892.4673295</v>
      </c>
      <c r="D556">
        <v>652999533.8106513</v>
      </c>
      <c r="E556">
        <v>173493945.94594595</v>
      </c>
      <c r="F556">
        <v>255696997.2972973</v>
      </c>
      <c r="G556">
        <v>319</v>
      </c>
      <c r="H556">
        <v>227</v>
      </c>
      <c r="I556">
        <v>1</v>
      </c>
      <c r="K556">
        <v>476</v>
      </c>
      <c r="L556">
        <v>357</v>
      </c>
      <c r="M556">
        <v>114257657.65765765</v>
      </c>
      <c r="N556">
        <v>154683783.78378376</v>
      </c>
      <c r="O556">
        <v>177478941.44144145</v>
      </c>
      <c r="P556">
        <v>187703277.47747746</v>
      </c>
      <c r="Q556">
        <v>94219909.909909904</v>
      </c>
      <c r="R556">
        <v>156086482.88288289</v>
      </c>
      <c r="S556">
        <v>22125</v>
      </c>
      <c r="T556">
        <v>22738</v>
      </c>
    </row>
    <row r="557" spans="1:20" x14ac:dyDescent="0.35">
      <c r="A557" s="7" t="s">
        <v>650</v>
      </c>
      <c r="B557" s="12" t="s">
        <v>309</v>
      </c>
      <c r="C557">
        <v>202724810.84629568</v>
      </c>
      <c r="D557">
        <v>194305977.74328312</v>
      </c>
      <c r="E557">
        <v>1000000</v>
      </c>
      <c r="F557">
        <v>1645045.045045045</v>
      </c>
      <c r="G557">
        <v>14</v>
      </c>
      <c r="H557">
        <v>13</v>
      </c>
      <c r="K557">
        <v>17</v>
      </c>
      <c r="L557">
        <v>15</v>
      </c>
      <c r="M557">
        <v>3602702.702702702</v>
      </c>
      <c r="N557">
        <v>3719369.369369369</v>
      </c>
      <c r="O557">
        <v>33748941.441441439</v>
      </c>
      <c r="P557">
        <v>35709716.216216214</v>
      </c>
      <c r="Q557">
        <v>3533873.8738738731</v>
      </c>
      <c r="R557">
        <v>3920720.7207207209</v>
      </c>
      <c r="S557">
        <v>5151</v>
      </c>
      <c r="T557">
        <v>5366</v>
      </c>
    </row>
    <row r="558" spans="1:20" x14ac:dyDescent="0.35">
      <c r="A558" s="7" t="s">
        <v>13</v>
      </c>
      <c r="B558" s="12" t="s">
        <v>159</v>
      </c>
      <c r="C558">
        <v>227370438.35212278</v>
      </c>
      <c r="D558">
        <v>218836814.46389043</v>
      </c>
      <c r="E558">
        <v>1475675.6756756781</v>
      </c>
      <c r="F558">
        <v>814864.86486486497</v>
      </c>
      <c r="G558">
        <v>26</v>
      </c>
      <c r="H558">
        <v>74</v>
      </c>
      <c r="K558">
        <v>115</v>
      </c>
      <c r="L558">
        <v>99</v>
      </c>
      <c r="M558">
        <v>50337837.837837838</v>
      </c>
      <c r="N558">
        <v>55555855.855855852</v>
      </c>
      <c r="O558">
        <v>128471171.17117117</v>
      </c>
      <c r="P558">
        <v>126355243.24324325</v>
      </c>
      <c r="Q558">
        <v>51271034.234234229</v>
      </c>
      <c r="R558">
        <v>59291801.801801808</v>
      </c>
      <c r="S558">
        <v>7241</v>
      </c>
      <c r="T558">
        <v>7197</v>
      </c>
    </row>
    <row r="559" spans="1:20" x14ac:dyDescent="0.35">
      <c r="A559" s="7" t="s">
        <v>651</v>
      </c>
      <c r="B559" s="12" t="s">
        <v>122</v>
      </c>
      <c r="C559">
        <v>163274460.77925718</v>
      </c>
      <c r="D559">
        <v>169075111.29596561</v>
      </c>
      <c r="E559">
        <v>136036.03603603601</v>
      </c>
      <c r="F559">
        <v>45045.045045045001</v>
      </c>
      <c r="G559">
        <v>34</v>
      </c>
      <c r="H559">
        <v>43</v>
      </c>
      <c r="K559">
        <v>39</v>
      </c>
      <c r="L559">
        <v>46</v>
      </c>
      <c r="M559">
        <v>950450.450450451</v>
      </c>
      <c r="N559">
        <v>45045.045045045001</v>
      </c>
      <c r="O559">
        <v>14232605.855855856</v>
      </c>
      <c r="P559">
        <v>16938648.648648649</v>
      </c>
      <c r="Q559">
        <v>772432.43243243196</v>
      </c>
      <c r="R559">
        <v>514414.41441441502</v>
      </c>
      <c r="S559">
        <v>3418</v>
      </c>
      <c r="T559">
        <v>3293</v>
      </c>
    </row>
    <row r="560" spans="1:20" x14ac:dyDescent="0.35">
      <c r="A560" s="7" t="s">
        <v>652</v>
      </c>
      <c r="B560" s="12" t="s">
        <v>317</v>
      </c>
      <c r="C560">
        <v>54332864.630031146</v>
      </c>
      <c r="D560">
        <v>49236966.261287376</v>
      </c>
      <c r="E560">
        <v>703603.60360360402</v>
      </c>
      <c r="F560">
        <v>1035135.135135141</v>
      </c>
      <c r="G560">
        <v>16</v>
      </c>
      <c r="H560">
        <v>6</v>
      </c>
      <c r="K560">
        <v>19</v>
      </c>
      <c r="L560">
        <v>6</v>
      </c>
      <c r="M560">
        <v>7984684.6846846836</v>
      </c>
      <c r="N560">
        <v>16489639.63963964</v>
      </c>
      <c r="O560">
        <v>13231864.864864865</v>
      </c>
      <c r="P560">
        <v>14472279.279279279</v>
      </c>
      <c r="Q560">
        <v>8440720.7207207214</v>
      </c>
      <c r="R560">
        <v>13695135.135135137</v>
      </c>
      <c r="S560">
        <v>1271</v>
      </c>
      <c r="T560">
        <v>1287</v>
      </c>
    </row>
    <row r="561" spans="1:20" x14ac:dyDescent="0.35">
      <c r="A561" s="7" t="s">
        <v>653</v>
      </c>
      <c r="B561" s="12" t="s">
        <v>262</v>
      </c>
      <c r="C561">
        <v>145303933.53089562</v>
      </c>
      <c r="D561">
        <v>162024727.0078074</v>
      </c>
      <c r="E561">
        <v>805630.630630631</v>
      </c>
      <c r="F561">
        <v>510810.810810811</v>
      </c>
      <c r="G561">
        <v>36</v>
      </c>
      <c r="H561">
        <v>20</v>
      </c>
      <c r="K561">
        <v>40</v>
      </c>
      <c r="L561">
        <v>25</v>
      </c>
      <c r="M561">
        <v>27267567.567567568</v>
      </c>
      <c r="N561">
        <v>30078378.37837838</v>
      </c>
      <c r="O561">
        <v>46532513.513513513</v>
      </c>
      <c r="P561">
        <v>55504315.315315314</v>
      </c>
      <c r="Q561">
        <v>26547837.837837841</v>
      </c>
      <c r="R561">
        <v>30788828.828828827</v>
      </c>
      <c r="S561">
        <v>4143</v>
      </c>
      <c r="T561">
        <v>4659</v>
      </c>
    </row>
    <row r="562" spans="1:20" x14ac:dyDescent="0.35">
      <c r="A562" s="7" t="s">
        <v>654</v>
      </c>
      <c r="B562" s="12" t="s">
        <v>226</v>
      </c>
      <c r="C562">
        <v>137111027.55265579</v>
      </c>
      <c r="D562">
        <v>171523642.58842254</v>
      </c>
      <c r="E562">
        <v>971846.84684684803</v>
      </c>
      <c r="F562">
        <v>711711.711711713</v>
      </c>
      <c r="G562">
        <v>41</v>
      </c>
      <c r="H562">
        <v>47</v>
      </c>
      <c r="K562">
        <v>47</v>
      </c>
      <c r="L562">
        <v>60</v>
      </c>
      <c r="M562">
        <v>11160000.000000004</v>
      </c>
      <c r="N562">
        <v>10148108.108108105</v>
      </c>
      <c r="O562">
        <v>32381351.351351351</v>
      </c>
      <c r="P562">
        <v>42905432.432432435</v>
      </c>
      <c r="Q562">
        <v>10872612.612612614</v>
      </c>
      <c r="R562">
        <v>8858108.1081081051</v>
      </c>
      <c r="S562">
        <v>6294</v>
      </c>
      <c r="T562">
        <v>5783</v>
      </c>
    </row>
    <row r="563" spans="1:20" x14ac:dyDescent="0.35">
      <c r="A563" s="7" t="s">
        <v>655</v>
      </c>
      <c r="B563" s="12" t="s">
        <v>226</v>
      </c>
      <c r="C563">
        <v>110503123.86224231</v>
      </c>
      <c r="D563">
        <v>136418444.32784927</v>
      </c>
      <c r="E563">
        <v>49549.549549550997</v>
      </c>
      <c r="F563">
        <v>56756.756756757</v>
      </c>
      <c r="G563">
        <v>22</v>
      </c>
      <c r="H563">
        <v>27</v>
      </c>
      <c r="K563">
        <v>25</v>
      </c>
      <c r="L563">
        <v>27</v>
      </c>
      <c r="M563">
        <v>3022522.5225225212</v>
      </c>
      <c r="N563">
        <v>5788288.2882882869</v>
      </c>
      <c r="O563">
        <v>16931522.522522524</v>
      </c>
      <c r="P563">
        <v>21482063.063063063</v>
      </c>
      <c r="Q563">
        <v>2553063.0630630632</v>
      </c>
      <c r="R563">
        <v>4651711.7117117103</v>
      </c>
      <c r="S563">
        <v>3110</v>
      </c>
      <c r="T563">
        <v>3187</v>
      </c>
    </row>
    <row r="564" spans="1:20" x14ac:dyDescent="0.35">
      <c r="A564" s="7" t="s">
        <v>656</v>
      </c>
      <c r="B564" s="12" t="s">
        <v>226</v>
      </c>
      <c r="C564">
        <v>424422635.57054651</v>
      </c>
      <c r="D564">
        <v>508794973.86909914</v>
      </c>
      <c r="E564">
        <v>70506911.71171172</v>
      </c>
      <c r="F564">
        <v>167341047.74774775</v>
      </c>
      <c r="G564">
        <v>140</v>
      </c>
      <c r="H564">
        <v>162</v>
      </c>
      <c r="K564">
        <v>207</v>
      </c>
      <c r="L564">
        <v>197</v>
      </c>
      <c r="M564">
        <v>75187927.927927926</v>
      </c>
      <c r="N564">
        <v>76906036.036036029</v>
      </c>
      <c r="O564">
        <v>105139117.11711712</v>
      </c>
      <c r="P564">
        <v>130199828.82882883</v>
      </c>
      <c r="Q564">
        <v>56026396.396396391</v>
      </c>
      <c r="R564">
        <v>60975675.675675683</v>
      </c>
      <c r="S564">
        <v>18609</v>
      </c>
      <c r="T564">
        <v>18436</v>
      </c>
    </row>
    <row r="565" spans="1:20" x14ac:dyDescent="0.35">
      <c r="A565" s="7" t="s">
        <v>657</v>
      </c>
      <c r="B565" s="12" t="s">
        <v>226</v>
      </c>
      <c r="C565">
        <v>55733421.915603034</v>
      </c>
      <c r="D565">
        <v>62840243.413809389</v>
      </c>
      <c r="E565">
        <v>207207.207207208</v>
      </c>
      <c r="F565">
        <v>31531.531531532</v>
      </c>
      <c r="G565">
        <v>12</v>
      </c>
      <c r="H565">
        <v>11</v>
      </c>
      <c r="K565">
        <v>13</v>
      </c>
      <c r="L565">
        <v>11</v>
      </c>
      <c r="M565">
        <v>1108108.1081081079</v>
      </c>
      <c r="N565">
        <v>1833333.3333333321</v>
      </c>
      <c r="O565">
        <v>9071702.7027027048</v>
      </c>
      <c r="P565">
        <v>11830061.26126126</v>
      </c>
      <c r="Q565">
        <v>1000540.54054054</v>
      </c>
      <c r="R565">
        <v>899729.72972972901</v>
      </c>
      <c r="S565">
        <v>1743</v>
      </c>
      <c r="T565">
        <v>1807</v>
      </c>
    </row>
    <row r="566" spans="1:20" x14ac:dyDescent="0.35">
      <c r="A566" s="7" t="s">
        <v>658</v>
      </c>
      <c r="B566" s="12" t="s">
        <v>97</v>
      </c>
      <c r="C566">
        <v>276230899.96890289</v>
      </c>
      <c r="D566">
        <v>275662419.96545696</v>
      </c>
      <c r="E566">
        <v>730630.63063063298</v>
      </c>
      <c r="F566">
        <v>537837.83783783799</v>
      </c>
      <c r="G566">
        <v>138</v>
      </c>
      <c r="H566">
        <v>51</v>
      </c>
      <c r="K566">
        <v>153</v>
      </c>
      <c r="L566">
        <v>61</v>
      </c>
      <c r="M566">
        <v>19583108.108108107</v>
      </c>
      <c r="N566">
        <v>17023873.873873875</v>
      </c>
      <c r="O566">
        <v>38753216.216216214</v>
      </c>
      <c r="P566">
        <v>35564378.378378376</v>
      </c>
      <c r="Q566">
        <v>5119729.7297297288</v>
      </c>
      <c r="R566">
        <v>8540990.9909909908</v>
      </c>
      <c r="S566">
        <v>8551</v>
      </c>
      <c r="T566">
        <v>8444</v>
      </c>
    </row>
    <row r="567" spans="1:20" x14ac:dyDescent="0.35">
      <c r="A567" s="7" t="s">
        <v>659</v>
      </c>
      <c r="B567" s="12" t="s">
        <v>67</v>
      </c>
      <c r="C567">
        <v>170791660.64463657</v>
      </c>
      <c r="D567">
        <v>154842346.86515468</v>
      </c>
      <c r="E567">
        <v>3014414.4144144128</v>
      </c>
      <c r="F567">
        <v>2073873.873873875</v>
      </c>
      <c r="G567">
        <v>64</v>
      </c>
      <c r="H567">
        <v>22</v>
      </c>
      <c r="K567">
        <v>73</v>
      </c>
      <c r="L567">
        <v>25</v>
      </c>
      <c r="M567">
        <v>73232792.792792797</v>
      </c>
      <c r="N567">
        <v>52458513.513513513</v>
      </c>
      <c r="O567">
        <v>111510621.62162161</v>
      </c>
      <c r="P567">
        <v>100268891.89189188</v>
      </c>
      <c r="Q567">
        <v>46717477.477477483</v>
      </c>
      <c r="R567">
        <v>42419954.954954959</v>
      </c>
      <c r="S567">
        <v>5004</v>
      </c>
      <c r="T567">
        <v>5000</v>
      </c>
    </row>
    <row r="568" spans="1:20" x14ac:dyDescent="0.35">
      <c r="A568" s="7" t="s">
        <v>660</v>
      </c>
      <c r="B568" s="12" t="s">
        <v>69</v>
      </c>
      <c r="C568">
        <v>264100353.21196759</v>
      </c>
      <c r="D568">
        <v>281990413.59043014</v>
      </c>
      <c r="E568">
        <v>905405.40540540603</v>
      </c>
      <c r="F568">
        <v>250450.45045045199</v>
      </c>
      <c r="G568">
        <v>49</v>
      </c>
      <c r="H568">
        <v>33</v>
      </c>
      <c r="K568">
        <v>52</v>
      </c>
      <c r="L568">
        <v>39</v>
      </c>
      <c r="M568">
        <v>12017117.117117116</v>
      </c>
      <c r="N568">
        <v>18663063.063063063</v>
      </c>
      <c r="O568">
        <v>36768432.432432435</v>
      </c>
      <c r="P568">
        <v>42473513.513513513</v>
      </c>
      <c r="Q568">
        <v>9928648.6486486495</v>
      </c>
      <c r="R568">
        <v>13904144.144144144</v>
      </c>
      <c r="S568">
        <v>6953</v>
      </c>
      <c r="T568">
        <v>6871</v>
      </c>
    </row>
    <row r="569" spans="1:20" x14ac:dyDescent="0.35">
      <c r="A569" s="7" t="s">
        <v>14</v>
      </c>
      <c r="B569" s="12" t="s">
        <v>159</v>
      </c>
      <c r="C569">
        <v>116646623.83874238</v>
      </c>
      <c r="D569">
        <v>124173540.94774349</v>
      </c>
      <c r="E569">
        <v>802702.702702704</v>
      </c>
      <c r="F569">
        <v>146846.846846848</v>
      </c>
      <c r="G569">
        <v>18</v>
      </c>
      <c r="H569">
        <v>13</v>
      </c>
      <c r="K569">
        <v>21</v>
      </c>
      <c r="L569">
        <v>18</v>
      </c>
      <c r="M569">
        <v>29421621.621621624</v>
      </c>
      <c r="N569">
        <v>18725675.675675675</v>
      </c>
      <c r="O569">
        <v>40209828.828828834</v>
      </c>
      <c r="P569">
        <v>42651360.360360362</v>
      </c>
      <c r="Q569">
        <v>30745045.045045048</v>
      </c>
      <c r="R569">
        <v>18914234.234234232</v>
      </c>
      <c r="S569">
        <v>4252</v>
      </c>
      <c r="T569">
        <v>3997</v>
      </c>
    </row>
    <row r="570" spans="1:20" x14ac:dyDescent="0.35">
      <c r="A570" s="7" t="s">
        <v>661</v>
      </c>
      <c r="B570" s="12" t="s">
        <v>306</v>
      </c>
      <c r="C570">
        <v>129021613.7517335</v>
      </c>
      <c r="D570">
        <v>133954546.08366209</v>
      </c>
      <c r="E570">
        <v>578378.37837837695</v>
      </c>
      <c r="F570">
        <v>466666.66666666599</v>
      </c>
      <c r="G570">
        <v>23</v>
      </c>
      <c r="H570">
        <v>36</v>
      </c>
      <c r="K570">
        <v>27</v>
      </c>
      <c r="L570">
        <v>39</v>
      </c>
      <c r="M570">
        <v>21041441.441441439</v>
      </c>
      <c r="N570">
        <v>24736936.936936937</v>
      </c>
      <c r="O570">
        <v>32920689.189189188</v>
      </c>
      <c r="P570">
        <v>43683513.513513513</v>
      </c>
      <c r="Q570">
        <v>19591441.441441439</v>
      </c>
      <c r="R570">
        <v>22212252.252252251</v>
      </c>
      <c r="S570">
        <v>3042</v>
      </c>
      <c r="T570">
        <v>3092</v>
      </c>
    </row>
    <row r="571" spans="1:20" x14ac:dyDescent="0.35">
      <c r="A571" s="7" t="s">
        <v>662</v>
      </c>
      <c r="B571" s="12" t="s">
        <v>49</v>
      </c>
      <c r="C571">
        <v>153129945.34651244</v>
      </c>
      <c r="D571">
        <v>161462207.44214037</v>
      </c>
      <c r="E571">
        <v>863963.96396396495</v>
      </c>
      <c r="F571">
        <v>2728828.8288288331</v>
      </c>
      <c r="G571">
        <v>22</v>
      </c>
      <c r="H571">
        <v>8</v>
      </c>
      <c r="K571">
        <v>26</v>
      </c>
      <c r="L571">
        <v>8</v>
      </c>
      <c r="M571">
        <v>41534234.234234229</v>
      </c>
      <c r="N571">
        <v>17056756.756756756</v>
      </c>
      <c r="O571">
        <v>46645918.918918923</v>
      </c>
      <c r="P571">
        <v>48823414.414414413</v>
      </c>
      <c r="Q571">
        <v>37075675.675675683</v>
      </c>
      <c r="R571">
        <v>16746846.846846849</v>
      </c>
      <c r="S571">
        <v>3140</v>
      </c>
      <c r="T571">
        <v>3126</v>
      </c>
    </row>
    <row r="572" spans="1:20" x14ac:dyDescent="0.35">
      <c r="A572" s="7" t="s">
        <v>663</v>
      </c>
      <c r="B572" s="12" t="s">
        <v>55</v>
      </c>
      <c r="C572">
        <v>52123294.619556546</v>
      </c>
      <c r="D572">
        <v>53501765.383648746</v>
      </c>
      <c r="E572">
        <v>160360.36036036001</v>
      </c>
      <c r="F572">
        <v>2308108.1081081079</v>
      </c>
      <c r="H572">
        <v>6</v>
      </c>
      <c r="L572">
        <v>19</v>
      </c>
      <c r="M572">
        <v>3966666.666666667</v>
      </c>
      <c r="N572">
        <v>7109909.9099099115</v>
      </c>
      <c r="O572">
        <v>12207567.567567568</v>
      </c>
      <c r="P572">
        <v>12752693.693693692</v>
      </c>
      <c r="Q572">
        <v>3895315.315315316</v>
      </c>
      <c r="R572">
        <v>4507117.1171171172</v>
      </c>
      <c r="S572">
        <v>1534</v>
      </c>
      <c r="T572">
        <v>1591</v>
      </c>
    </row>
    <row r="573" spans="1:20" x14ac:dyDescent="0.35">
      <c r="A573" s="7" t="s">
        <v>664</v>
      </c>
      <c r="B573" s="12" t="s">
        <v>51</v>
      </c>
      <c r="C573">
        <v>224892778.35585663</v>
      </c>
      <c r="D573">
        <v>241239583.9571954</v>
      </c>
      <c r="E573">
        <v>662162.16216216295</v>
      </c>
      <c r="F573">
        <v>1103153.153153155</v>
      </c>
      <c r="G573">
        <v>36</v>
      </c>
      <c r="H573">
        <v>7</v>
      </c>
      <c r="K573">
        <v>49</v>
      </c>
      <c r="L573">
        <v>11</v>
      </c>
      <c r="M573">
        <v>54785765.765765771</v>
      </c>
      <c r="N573">
        <v>43807207.20720721</v>
      </c>
      <c r="O573">
        <v>111331432.43243243</v>
      </c>
      <c r="P573">
        <v>120025279.27927928</v>
      </c>
      <c r="Q573">
        <v>46339819.819819815</v>
      </c>
      <c r="R573">
        <v>46314234.234234229</v>
      </c>
      <c r="S573">
        <v>6671</v>
      </c>
      <c r="T573">
        <v>5863</v>
      </c>
    </row>
    <row r="574" spans="1:20" x14ac:dyDescent="0.35">
      <c r="A574" s="7" t="s">
        <v>665</v>
      </c>
      <c r="B574" s="12" t="s">
        <v>84</v>
      </c>
      <c r="C574">
        <v>277926033.41984063</v>
      </c>
      <c r="D574">
        <v>277382143.26189375</v>
      </c>
      <c r="E574">
        <v>2000692.7927927929</v>
      </c>
      <c r="F574">
        <v>2845945.9459459488</v>
      </c>
      <c r="G574">
        <v>77</v>
      </c>
      <c r="H574">
        <v>75</v>
      </c>
      <c r="K574">
        <v>95</v>
      </c>
      <c r="L574">
        <v>87</v>
      </c>
      <c r="M574">
        <v>52445857.657657661</v>
      </c>
      <c r="N574">
        <v>31407432.432432432</v>
      </c>
      <c r="O574">
        <v>71923819.819819823</v>
      </c>
      <c r="P574">
        <v>75790016.216216221</v>
      </c>
      <c r="Q574">
        <v>25025990.990990993</v>
      </c>
      <c r="R574">
        <v>27755990.990990989</v>
      </c>
      <c r="S574">
        <v>8606</v>
      </c>
      <c r="T574">
        <v>8965</v>
      </c>
    </row>
    <row r="575" spans="1:20" x14ac:dyDescent="0.35">
      <c r="A575" s="13" t="s">
        <v>677</v>
      </c>
      <c r="B575" s="14"/>
      <c r="C575" s="15">
        <v>114157015822.71954</v>
      </c>
      <c r="D575" s="15">
        <v>118307599033.31992</v>
      </c>
      <c r="E575" s="15">
        <v>26767439318.918896</v>
      </c>
      <c r="F575" s="15">
        <v>27049499185.585609</v>
      </c>
      <c r="G575" s="15">
        <v>34829</v>
      </c>
      <c r="H575" s="15">
        <v>26227</v>
      </c>
      <c r="I575" s="15">
        <v>353</v>
      </c>
      <c r="J575" s="15"/>
      <c r="K575" s="15">
        <v>51068</v>
      </c>
      <c r="L575" s="15">
        <v>40873</v>
      </c>
      <c r="M575" s="15">
        <v>26195991721.621616</v>
      </c>
      <c r="N575" s="15">
        <v>25013638705.405399</v>
      </c>
      <c r="O575" s="15">
        <v>34185465326.576599</v>
      </c>
      <c r="P575" s="15">
        <v>37853437175.675652</v>
      </c>
      <c r="Q575" s="15">
        <v>17558017679.279274</v>
      </c>
      <c r="R575" s="15">
        <v>18072880482.882877</v>
      </c>
      <c r="S575" s="15">
        <v>3722660</v>
      </c>
      <c r="T575" s="15">
        <v>3751229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2026-08-17T14:49:56Z</dcterms:modified>
</cp:coreProperties>
</file>