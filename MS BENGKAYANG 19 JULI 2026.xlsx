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1" l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<sst xmlns="http://schemas.openxmlformats.org/spreadsheetml/2006/main" count="1238" uniqueCount="674">
  <si>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</si>
  <si>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</si>
  <si>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</si>
  <si>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</si>
  <si>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</si>
  <si>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</si>
  <si>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</si>
  <si>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</si>
  <si>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</si>
  <si>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</si>
  <si>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</si>
  <si>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</si>
  <si>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</si>
  <si>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</si>
  <si>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</si>
  <si>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</si>
  <si>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</si>
  <si>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</si>
  <si>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</si>
  <si>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</si>
  <si>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</si>
  <si>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</si>
  <si>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</si>
  <si>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</si>
  <si>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</si>
  <si>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</si>
  <si>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</si>
  <si>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</si>
  <si>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</si>
  <si>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</si>
  <si>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</si>
  <si>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</si>
  <si>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</si>
  <si>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</si>
  <si>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</si>
  <si>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</si>
  <si>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</si>
  <si>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</si>
  <si>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</si>
  <si>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</si>
  <si>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</si>
  <si>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</si>
  <si>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</si>
  <si>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</si>
  <si>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</si>
  <si>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</si>
  <si>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</si>
  <si>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</si>
  <si>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</si>
  <si>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</si>
  <si>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</si>
  <si>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</si>
  <si>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</si>
  <si>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</si>
  <si>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</si>
  <si>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</si>
  <si>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</si>
  <si>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</si>
  <si>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</si>
  <si>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</si>
  <si>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</si>
  <si>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</si>
  <si>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</si>
  <si>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</si>
  <si>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</si>
  <si>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</si>
  <si>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</si>
  <si>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</si>
  <si>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</si>
  <si>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</si>
  <si>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</si>
  <si>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</si>
  <si>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</si>
  <si>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</si>
  <si>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</si>
  <si>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</si>
  <si>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</si>
  <si>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</si>
  <si>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</si>
  <si>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</si>
  <si>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</si>
  <si>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</si>
  <si>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</si>
  <si>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</si>
  <si>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</si>
  <si>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</si>
  <si>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</si>
  <si>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</si>
  <si>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</si>
  <si>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</si>
  <si>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</si>
  <si>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</si>
  <si>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</si>
  <si>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</si>
  <si>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</si>
  <si>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</si>
  <si>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</si>
  <si>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</si>
  <si>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</si>
  <si>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</si>
  <si>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</si>
  <si>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</si>
  <si>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</si>
  <si>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</si>
  <si>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</si>
  <si>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</si>
  <si>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</si>
  <si>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</si>
  <si>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</si>
  <si>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</si>
  <si>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</si>
  <si>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</si>
  <si>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</si>
  <si>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</si>
  <si>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</si>
  <si>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</si>
  <si>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</si>
  <si>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</si>
  <si>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</si>
  <si>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</si>
  <si>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</si>
  <si>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</si>
  <si>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</si>
  <si>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</si>
  <si>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</si>
  <si>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</si>
  <si>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</si>
  <si>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</si>
  <si>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</si>
  <si>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</si>
  <si>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</si>
  <si>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</si>
  <si>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</si>
  <si>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</si>
  <si>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</si>
  <si>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</si>
  <si>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</si>
  <si>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</si>
  <si>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</si>
  <si>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</si>
  <si>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</si>
  <si>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</si>
  <si>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</si>
  <si>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</si>
  <si>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</si>
  <si>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</si>
  <si>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</si>
  <si>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</si>
  <si>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</si>
  <si>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</si>
  <si>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</si>
  <si>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</si>
  <si>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</si>
  <si>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</si>
  <si>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</si>
  <si>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</si>
  <si>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</si>
  <si>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</si>
  <si>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</si>
  <si>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</si>
  <si>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</si>
  <si>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</si>
  <si>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</si>
  <si>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</si>
  <si>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</si>
  <si>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</si>
  <si>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</si>
  <si>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</si>
  <si>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</si>
  <si>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</si>
  <si>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</si>
  <si>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</si>
  <si>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</si>
  <si>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</si>
  <si>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</si>
  <si>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</si>
  <si>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</si>
  <si>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</si>
  <si>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</si>
  <si>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</si>
  <si>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</si>
  <si>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</si>
  <si>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</si>
  <si>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</si>
  <si>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</si>
  <si>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</si>
  <si>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</si>
  <si>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</si>
  <si>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</si>
  <si>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</si>
  <si>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</si>
  <si>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</si>
  <si>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</si>
  <si>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</si>
  <si>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</si>
  <si>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</si>
  <si>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</si>
  <si>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</si>
  <si>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</si>
  <si>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</si>
  <si>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</si>
  <si>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</si>
  <si>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</si>
  <si>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</si>
  <si>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</si>
  <si>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</si>
  <si>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</si>
  <si>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</si>
  <si>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</si>
  <si>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</si>
  <si>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</si>
  <si>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</si>
  <si>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</si>
  <si>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</si>
  <si>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</si>
  <si>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</si>
  <si>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</si>
  <si>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</si>
  <si>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</si>
  <si>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</si>
  <si>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</si>
  <si>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</si>
  <si>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</si>
  <si>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</si>
  <si>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</si>
  <si>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</si>
  <si>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</si>
  <si>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</si>
  <si>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</si>
  <si>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</si>
  <si>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</si>
  <si>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</si>
  <si>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</si>
  <si>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</si>
  <si>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</si>
  <si>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</si>
  <si>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</si>
  <si>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</si>
  <si>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</si>
  <si>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</si>
  <si>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</si>
  <si>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</si>
  <si>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</si>
  <si>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</si>
  <si>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</si>
  <si>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</si>
  <si>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</si>
  <si>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</si>
  <si>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</si>
  <si>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</si>
  <si>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</si>
  <si>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</si>
  <si>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</si>
  <si>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</si>
  <si>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</si>
  <si>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</si>
  <si>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</si>
  <si>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</si>
  <si>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</si>
  <si>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</si>
  <si>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</si>
  <si>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</si>
  <si>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</si>
  <si>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</si>
  <si>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</si>
  <si>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</si>
  <si>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</si>
  <si>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</si>
  <si>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</si>
  <si>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</si>
  <si>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</si>
  <si>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</si>
  <si>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</si>
  <si>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</si>
  <si>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</si>
  <si>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</si>
  <si>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</si>
  <si>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</si>
  <si>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</si>
  <si>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</si>
  <si>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</si>
  <si>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</si>
  <si>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</si>
  <si>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</si>
  <si>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</si>
  <si>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</si>
  <si>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</si>
  <si>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</si>
  <si>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</si>
  <si>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</si>
  <si>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</si>
  <si>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</si>
  <si>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</si>
  <si>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</si>
  <si>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</si>
  <si>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</si>
  <si>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</si>
  <si>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</si>
  <si>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</si>
  <si>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</si>
  <si>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</si>
  <si>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</si>
  <si>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</si>
  <si>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</si>
  <si>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</si>
  <si>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</si>
  <si>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</si>
  <si>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</si>
  <si>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</si>
  <si>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</si>
  <si>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</si>
  <si>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</si>
  <si>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</si>
  <si>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</si>
  <si>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</si>
  <si>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</si>
  <si>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</si>
  <si>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</si>
  <si>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</si>
  <si>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</si>
  <si>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</si>
  <si>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</si>
  <si>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</si>
  <si>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</si>
  <si>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</si>
  <si>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</si>
  <si>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</si>
  <si>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</si>
  <si>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</si>
  <si>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</si>
  <si>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</si>
  <si>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</si>
  <si>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</si>
  <si>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</si>
  <si>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</si>
  <si>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</si>
  <si>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</si>
  <si>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</si>
  <si>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</si>
  <si>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</si>
  <si>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</si>
  <si>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</si>
  <si>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</si>
  <si>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</si>
  <si>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</si>
  <si>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</si>
  <si>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</si>
  <si>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</si>
  <si>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</si>
  <si>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</si>
  <si>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</si>
  <si>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</si>
  <si>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</si>
  <si>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</si>
  <si>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</si>
  <si>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</si>
  <si>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</si>
  <si>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</si>
  <si>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</si>
  <si>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</si>
  <si>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</si>
  <si>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</si>
  <si>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</si>
  <si>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</si>
  <si>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</si>
  <si>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</si>
  <si>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</si>
  <si>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</si>
  <si>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</si>
  <si>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</si>
  <si>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</si>
  <si>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</si>
  <si>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</si>
  <si>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</si>
  <si>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</si>
  <si>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</si>
  <si>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</si>
  <si>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</si>
  <si>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</si>
  <si>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</si>
  <si>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</si>
  <si>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</si>
  <si>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</si>
  <si>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</si>
  <si>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</si>
  <si>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</si>
  <si>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</si>
  <si>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</si>
  <si>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</si>
  <si>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</si>
  <si>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</si>
  <si>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</si>
  <si>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</si>
  <si>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</si>
  <si>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</si>
  <si>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</si>
  <si>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</si>
  <si>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</si>
  <si>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</si>
  <si>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</si>
  <si>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</si>
  <si>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</si>
  <si>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</si>
  <si>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</si>
  <si>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</si>
  <si>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</si>
  <si>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</si>
  <si>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</si>
  <si>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</si>
  <si>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</si>
  <si>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</si>
  <si>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</si>
  <si>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</si>
  <si>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</si>
  <si>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</si>
  <si>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</si>
  <si>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</si>
  <si>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</si>
  <si>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</si>
  <si>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</si>
  <si>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</si>
  <si>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</si>
  <si>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</si>
  <si>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</si>
  <si>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</si>
  <si>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</si>
  <si>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</si>
  <si>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</si>
  <si>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</si>
  <si>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</si>
  <si>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</si>
  <si>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</si>
  <si>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</si>
  <si>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</si>
  <si>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</si>
  <si>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</si>
  <si>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</si>
  <si>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</si>
  <si>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</si>
  <si>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</si>
  <si>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</si>
  <si>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</si>
  <si>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</si>
  <si>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</si>
  <si>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</si>
  <si>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</si>
  <si>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</si>
  <si>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</si>
  <si>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</si>
  <si>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</si>
  <si>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</si>
  <si>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</si>
  <si>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</si>
  <si>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</si>
  <si>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</si>
  <si>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</si>
  <si>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</si>
  <si>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</si>
  <si>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</si>
  <si>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</si>
  <si>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</si>
  <si>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</si>
  <si>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</si>
  <si>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</si>
  <si>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</si>
  <si>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</si>
  <si>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</si>
  <si>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</si>
  <si>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</si>
  <si>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</si>
  <si>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</si>
  <si>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</si>
  <si>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</si>
  <si>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</si>
  <si>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</si>
  <si>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</si>
  <si>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</si>
  <si>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</si>
  <si>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</si>
  <si>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</si>
  <si>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</si>
  <si>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</si>
  <si>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</si>
  <si>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</si>
  <si>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</si>
  <si>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</si>
  <si>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</si>
  <si>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</si>
  <si>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</si>
  <si>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</si>
  <si>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</si>
  <si>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</si>
  <si>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</si>
  <si>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</si>
  <si>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</si>
  <si>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</si>
  <si>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</si>
  <si>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</si>
  <si>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</si>
  <si>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</si>
  <si>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</si>
  <si>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</si>
  <si>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</si>
  <si>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</si>
  <si>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</si>
  <si>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</si>
  <si>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</si>
  <si>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</si>
  <si>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</si>
  <si>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</si>
  <si>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</si>
  <si>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</si>
  <si>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</si>
  <si>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</si>
  <si>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</si>
  <si>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</si>
  <si>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</si>
  <si>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</si>
  <si>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</si>
  <si>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</si>
  <si>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</si>
  <si>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</si>
  <si>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</si>
  <si>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</si>
  <si>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</si>
  <si>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</si>
  <si>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</si>
  <si>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</si>
  <si>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</si>
  <si>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</si>
  <si>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</si>
  <si>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</si>
  <si>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</si>
  <si>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</si>
  <si>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</si>
  <si>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</si>
  <si>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</si>
  <si>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</si>
  <si>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</si>
  <si>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</si>
  <si>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</si>
  <si>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</si>
  <si>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</si>
  <si>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</si>
  <si>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</si>
  <si>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</si>
  <si>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</si>
  <si>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</si>
  <si>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</si>
  <si>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</si>
  <si>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</si>
  <si>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</si>
  <si>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</si>
  <si>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</si>
  <si>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</si>
  <si>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</si>
  <si>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</si>
  <si>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</si>
  <si>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</si>
  <si>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</si>
  <si>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</si>
  <si>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</si>
  <si>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</si>
  <si>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</si>
  <si>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</si>
  <si>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</si>
  <si>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</si>
  <si>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</si>
  <si>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</si>
  <si>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</si>
  <si>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</si>
  <si>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</si>
  <si>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</si>
  <si>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</si>
  <si>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</si>
  <si>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</si>
  <si>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</si>
  <si>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</si>
  <si>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</si>
  <si>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</si>
  <si>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</si>
  <si>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</si>
  <si>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</si>
  <si>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</si>
  <si>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</si>
  <si>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</si>
  <si>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</si>
  <si>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</si>
  <si>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</si>
  <si>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</si>
  <si>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</si>
  <si>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</si>
  <si>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</si>
  <si>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</si>
  <si>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</si>
  <si>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</si>
  <si>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</si>
  <si>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</si>
  <si>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</si>
  <si>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</si>
  <si>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</si>
  <si>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</si>
  <si>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</si>
  <si>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</si>
  <si>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</si>
  <si>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</si>
  <si>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</si>
  <si>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</si>
  <si>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</si>
  <si>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</si>
  <si>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</si>
  <si>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</si>
  <si>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</si>
  <si>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</si>
  <si>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</si>
  <si>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</si>
  <si>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</si>
  <si>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</si>
  <si>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</si>
  <si>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</si>
  <si>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</si>
  <si>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</si>
  <si>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</si>
  <si>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</si>
  <si>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</si>
  <si>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</si>
  <si>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</si>
  <si>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</si>
  <si>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</si>
  <si>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</si>
  <si>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</si>
  <si>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</si>
  <si>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</si>
  <si>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</si>
  <si>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</si>
  <si>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</si>
  <si>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</si>
  <si>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</si>
  <si>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</si>
  <si>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</si>
  <si>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</si>
  <si>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</si>
  <si>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</si>
  <si>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</si>
  <si>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</si>
  <si>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</si>
  <si>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</si>
  <si>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</si>
  <si>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</si>
  <si>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</si>
  <si>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</si>
  <si>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</si>
  <si>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</si>
  <si>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</si>
  <si>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</si>
  <si>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</si>
  <si>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</si>
  <si>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</si>
  <si>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</si>
  <si>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</si>
  <si>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</si>
  <si>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</si>
  <si>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Total</t>
  </si>
  <si>
    <t>SEKATAK|BULUNGAN</t>
  </si>
  <si>
    <t>TANJUNG PALAS BARAT|BULUNGAN</t>
  </si>
  <si>
    <t>BUKIT SANTUAI|KOTAWARINGIN TIMUR</t>
  </si>
  <si>
    <t>DELANG|LAMANDAU</t>
  </si>
  <si>
    <t>KATINGAN HULU|KATINGAN</t>
  </si>
  <si>
    <t>KAYAN HULU|MALINAU</t>
  </si>
  <si>
    <t>KETUNGAU HULU|SINTANG</t>
  </si>
  <si>
    <t>KRAYAN TENGAH|NUNUKAN</t>
  </si>
  <si>
    <t>LAMANDAU|LAMANDAU</t>
  </si>
  <si>
    <t>PESO HILIR|BULUNGAN</t>
  </si>
  <si>
    <t>RAKUMPIT|KOTA PALANGKARAYA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</si>
</sst>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T22"/>
  <sheetViews>
    <sheetView zoomScale="44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16384" width="11.7265625" style="2"/>
  </cols>
  <sheetData>
    <row r="4" spans="1:20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0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</row>
    <row r="6" spans="1:20" ht="64.5" customHeight="1" x14ac:dyDescent="0.35">
      <c r="A6" s="10" t="s">
        <v>1</v>
      </c>
      <c r="B6" s="1" t="s">
        <v>16</v>
      </c>
      <c r="C6" s="4">
        <f>IFERROR(VLOOKUP($A:$A,MASTER!$A:$T,3,0),0)</f>
        <v>349113619.39650488</v>
      </c>
      <c r="D6" s="4">
        <f>IFERROR(VLOOKUP($A:$A,MASTER!$A:$T,4,0),0)</f>
        <v>350225333.26429874</v>
      </c>
      <c r="E6" s="9">
        <f>IFERROR(C6/D6-1,0)</f>
        <v>-3.1742817043874938E-3</v>
      </c>
      <c r="F6" s="4">
        <f>IFERROR(VLOOKUP(A:A,MASTER!A:E,5,0),0)</f>
        <v>2499099.099099102</v>
      </c>
      <c r="G6" s="4">
        <f>IFERROR(VLOOKUP(A:A,MASTER!A:F,6,0),0)</f>
        <v>2211711.7117117131</v>
      </c>
      <c r="H6" s="9">
        <f>IFERROR(F6/G6-1,0)</f>
        <v>0.12993890020366661</v>
      </c>
      <c r="I6" s="4">
        <f>IFERROR(VLOOKUP(A:A,MASTER!A:M,13,0),0)</f>
        <v>41732702.702702701</v>
      </c>
      <c r="J6" s="4">
        <f>IFERROR(VLOOKUP($A:$A,MASTER!$A:$T,14,0),0)</f>
        <v>50863288.288288288</v>
      </c>
      <c r="K6" s="9">
        <f>IFERROR(I6/J6-1,0)</f>
        <v>-0.17951229448309147</v>
      </c>
      <c r="L6" s="4">
        <f>IFERROR(VLOOKUP($A:$A,MASTER!$A:$T,15,0),0)</f>
        <v>166006261.26126125</v>
      </c>
      <c r="M6" s="4">
        <f>IFERROR(VLOOKUP($A:$A,MASTER!$A:$T,16,0),0)</f>
        <v>165339486.48648649</v>
      </c>
      <c r="N6" s="9">
        <f>IFERROR(L6/M6-1,0)</f>
        <v>4.0327618583069214E-3</v>
      </c>
      <c r="O6" s="4">
        <f>IFERROR(VLOOKUP($A:$A,MASTER!$A:$T,17,0),0)</f>
        <v>39546036.036036037</v>
      </c>
      <c r="P6" s="4">
        <f>IFERROR(VLOOKUP($A:$A,MASTER!$A:$T,18,0),0)</f>
        <v>51178333.333333336</v>
      </c>
      <c r="Q6" s="9">
        <f>IFERROR(O6/P6-1,0)</f>
        <v>-0.22728949029141166</v>
      </c>
      <c r="R6" s="4">
        <f>IFERROR(VLOOKUP($A:$A,MASTER!$A:$T,19,0),0)</f>
        <v>8535</v>
      </c>
      <c r="S6" s="4">
        <f>IFERROR(VLOOKUP($A:$A,MASTER!$A:$T,20,0),0)</f>
        <v>8210</v>
      </c>
      <c r="T6" s="9">
        <f>IFERROR(R6/S6-1,0)</f>
        <v>3.9585870889159658E-2</v>
      </c>
    </row>
    <row r="7" spans="1:20" ht="64.5" customHeight="1" x14ac:dyDescent="0.35">
      <c r="A7" s="10" t="s">
        <v>2</v>
      </c>
      <c r="B7" s="1" t="s">
        <v>17</v>
      </c>
      <c r="C7" s="4">
        <f>IFERROR(VLOOKUP($A:$A,MASTER!$A:$T,3,0),0)</f>
        <v>32945545.000411741</v>
      </c>
      <c r="D7" s="4">
        <f>IFERROR(VLOOKUP($A:$A,MASTER!$A:$T,4,0),0)</f>
        <v>16642882.153109975</v>
      </c>
      <c r="E7" s="9">
        <f t="shared" ref="E7:E22" si="0">IFERROR(C7/D7-1,0)</f>
        <v>0.97955766899757601</v>
      </c>
      <c r="F7" s="4">
        <f>IFERROR(VLOOKUP(A:A,MASTER!A:E,5,0),0)</f>
        <v>40540.540540542002</v>
      </c>
      <c r="G7" s="4">
        <f>IFERROR(VLOOKUP(A:A,MASTER!A:F,6,0),0)</f>
        <v>193693.69369369399</v>
      </c>
      <c r="H7" s="9">
        <f t="shared" ref="H7:H22" si="1">IFERROR(F7/G7-1,0)</f>
        <v>-0.7906976744185974</v>
      </c>
      <c r="I7" s="4">
        <f>IFERROR(VLOOKUP(A:A,MASTER!A:M,13,0),0)</f>
        <v>40540.540540542002</v>
      </c>
      <c r="J7" s="4">
        <f>IFERROR(VLOOKUP($A:$A,MASTER!$A:$T,14,0),0)</f>
        <v>283783.78378378402</v>
      </c>
      <c r="K7" s="9">
        <f t="shared" ref="K7:K22" si="2">IFERROR(I7/J7-1,0)</f>
        <v>-0.8571428571428521</v>
      </c>
      <c r="L7" s="4">
        <f>IFERROR(VLOOKUP($A:$A,MASTER!$A:$T,15,0),0)</f>
        <v>18229540.540540539</v>
      </c>
      <c r="M7" s="4">
        <f>IFERROR(VLOOKUP($A:$A,MASTER!$A:$T,16,0),0)</f>
        <v>10980540.540540541</v>
      </c>
      <c r="N7" s="9">
        <f t="shared" ref="N7:N22" si="3">IFERROR(L7/M7-1,0)</f>
        <v>0.66016786452692711</v>
      </c>
      <c r="O7" s="4">
        <f>IFERROR(VLOOKUP($A:$A,MASTER!$A:$T,17,0),0)</f>
        <v>157657.65765765801</v>
      </c>
      <c r="P7" s="4">
        <f>IFERROR(VLOOKUP($A:$A,MASTER!$A:$T,18,0),0)</f>
        <v>212162.16216216201</v>
      </c>
      <c r="Q7" s="9">
        <f t="shared" ref="Q7:Q22" si="4">IFERROR(O7/P7-1,0)</f>
        <v>-0.25690021231422289</v>
      </c>
      <c r="R7" s="4">
        <f>IFERROR(VLOOKUP($A:$A,MASTER!$A:$T,19,0),0)</f>
        <v>1040</v>
      </c>
      <c r="S7" s="4">
        <f>IFERROR(VLOOKUP($A:$A,MASTER!$A:$T,20,0),0)</f>
        <v>1199</v>
      </c>
      <c r="T7" s="9">
        <f t="shared" ref="T7:T22" si="5">IFERROR(R7/S7-1,0)</f>
        <v>-0.13261050875729774</v>
      </c>
    </row>
    <row r="8" spans="1:20" ht="64.5" customHeight="1" x14ac:dyDescent="0.35">
      <c r="A8" s="10" t="s">
        <v>3</v>
      </c>
      <c r="B8" s="1" t="s">
        <v>16</v>
      </c>
      <c r="C8" s="4">
        <f>IFERROR(VLOOKUP($A:$A,MASTER!$A:$T,3,0),0)</f>
        <v>260699694.52572343</v>
      </c>
      <c r="D8" s="4">
        <f>IFERROR(VLOOKUP($A:$A,MASTER!$A:$T,4,0),0)</f>
        <v>234388848.0347971</v>
      </c>
      <c r="E8" s="9">
        <f t="shared" si="0"/>
        <v>0.11225297923312572</v>
      </c>
      <c r="F8" s="4">
        <f>IFERROR(VLOOKUP(A:A,MASTER!A:E,5,0),0)</f>
        <v>3399099.0990991029</v>
      </c>
      <c r="G8" s="4">
        <f>IFERROR(VLOOKUP(A:A,MASTER!A:F,6,0),0)</f>
        <v>1264864.864864866</v>
      </c>
      <c r="H8" s="9">
        <f t="shared" si="1"/>
        <v>1.6873219373219377</v>
      </c>
      <c r="I8" s="4">
        <f>IFERROR(VLOOKUP(A:A,MASTER!A:M,13,0),0)</f>
        <v>54306306.306306303</v>
      </c>
      <c r="J8" s="4">
        <f>IFERROR(VLOOKUP($A:$A,MASTER!$A:$T,14,0),0)</f>
        <v>72088288.288288295</v>
      </c>
      <c r="K8" s="9">
        <f t="shared" si="2"/>
        <v>-0.24666949936264349</v>
      </c>
      <c r="L8" s="4">
        <f>IFERROR(VLOOKUP($A:$A,MASTER!$A:$T,15,0),0)</f>
        <v>74351153.153153151</v>
      </c>
      <c r="M8" s="4">
        <f>IFERROR(VLOOKUP($A:$A,MASTER!$A:$T,16,0),0)</f>
        <v>68140846.846846849</v>
      </c>
      <c r="N8" s="9">
        <f t="shared" si="3"/>
        <v>9.1139259250249127E-2</v>
      </c>
      <c r="O8" s="4">
        <f>IFERROR(VLOOKUP($A:$A,MASTER!$A:$T,17,0),0)</f>
        <v>47289009.009009011</v>
      </c>
      <c r="P8" s="4">
        <f>IFERROR(VLOOKUP($A:$A,MASTER!$A:$T,18,0),0)</f>
        <v>70259459.459459454</v>
      </c>
      <c r="Q8" s="9">
        <f t="shared" si="4"/>
        <v>-0.32693747756065028</v>
      </c>
      <c r="R8" s="4">
        <f>IFERROR(VLOOKUP($A:$A,MASTER!$A:$T,19,0),0)</f>
        <v>3735</v>
      </c>
      <c r="S8" s="4">
        <f>IFERROR(VLOOKUP($A:$A,MASTER!$A:$T,20,0),0)</f>
        <v>3725</v>
      </c>
      <c r="T8" s="9">
        <f t="shared" si="5"/>
        <v>2.6845637583892135E-3</v>
      </c>
    </row>
    <row r="9" spans="1:20" ht="64.5" customHeight="1" x14ac:dyDescent="0.35">
      <c r="A9" s="10" t="s">
        <v>4</v>
      </c>
      <c r="B9" s="1" t="s">
        <v>16</v>
      </c>
      <c r="C9" s="4">
        <f>IFERROR(VLOOKUP($A:$A,MASTER!$A:$T,3,0),0)</f>
        <v>155498754.64560893</v>
      </c>
      <c r="D9" s="4">
        <f>IFERROR(VLOOKUP($A:$A,MASTER!$A:$T,4,0),0)</f>
        <v>150838944.51762575</v>
      </c>
      <c r="E9" s="9">
        <f t="shared" si="0"/>
        <v>3.089261956111522E-2</v>
      </c>
      <c r="F9" s="4">
        <f>IFERROR(VLOOKUP(A:A,MASTER!A:E,5,0),0)</f>
        <v>2141441.4414414442</v>
      </c>
      <c r="G9" s="4">
        <f>IFERROR(VLOOKUP(A:A,MASTER!A:F,6,0),0)</f>
        <v>2012162.162162161</v>
      </c>
      <c r="H9" s="9">
        <f t="shared" si="1"/>
        <v>6.4248936646520871E-2</v>
      </c>
      <c r="I9" s="4">
        <f>IFERROR(VLOOKUP(A:A,MASTER!A:M,13,0),0)</f>
        <v>27266666.666666668</v>
      </c>
      <c r="J9" s="4">
        <f>IFERROR(VLOOKUP($A:$A,MASTER!$A:$T,14,0),0)</f>
        <v>51825225.225225225</v>
      </c>
      <c r="K9" s="9">
        <f t="shared" si="2"/>
        <v>-0.47387268365608592</v>
      </c>
      <c r="L9" s="4">
        <f>IFERROR(VLOOKUP($A:$A,MASTER!$A:$T,15,0),0)</f>
        <v>54740666.666666672</v>
      </c>
      <c r="M9" s="4">
        <f>IFERROR(VLOOKUP($A:$A,MASTER!$A:$T,16,0),0)</f>
        <v>56279387.387387387</v>
      </c>
      <c r="N9" s="9">
        <f t="shared" si="3"/>
        <v>-2.7340751066269653E-2</v>
      </c>
      <c r="O9" s="4">
        <f>IFERROR(VLOOKUP($A:$A,MASTER!$A:$T,17,0),0)</f>
        <v>34727567.567567565</v>
      </c>
      <c r="P9" s="4">
        <f>IFERROR(VLOOKUP($A:$A,MASTER!$A:$T,18,0),0)</f>
        <v>42272792.79279279</v>
      </c>
      <c r="Q9" s="9">
        <f t="shared" si="4"/>
        <v>-0.17848892222970503</v>
      </c>
      <c r="R9" s="4">
        <f>IFERROR(VLOOKUP($A:$A,MASTER!$A:$T,19,0),0)</f>
        <v>3701</v>
      </c>
      <c r="S9" s="4">
        <f>IFERROR(VLOOKUP($A:$A,MASTER!$A:$T,20,0),0)</f>
        <v>3701</v>
      </c>
      <c r="T9" s="9">
        <f t="shared" si="5"/>
        <v>0</v>
      </c>
    </row>
    <row r="10" spans="1:20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</row>
    <row r="11" spans="1:20" ht="64.5" customHeight="1" x14ac:dyDescent="0.35">
      <c r="A11" s="10" t="s">
        <v>5</v>
      </c>
      <c r="B11" s="1" t="s">
        <v>16</v>
      </c>
      <c r="C11" s="4">
        <f>IFERROR(VLOOKUP($A:$A,MASTER!$A:$T,3,0),0)</f>
        <v>163285065.63256246</v>
      </c>
      <c r="D11" s="4">
        <f>IFERROR(VLOOKUP($A:$A,MASTER!$A:$T,4,0),0)</f>
        <v>168639226.05856568</v>
      </c>
      <c r="E11" s="9">
        <f t="shared" si="0"/>
        <v>-3.1749199466462263E-2</v>
      </c>
      <c r="F11" s="4">
        <f>IFERROR(VLOOKUP(A:A,MASTER!A:E,5,0),0)</f>
        <v>629546083.78378379</v>
      </c>
      <c r="G11" s="4">
        <f>IFERROR(VLOOKUP(A:A,MASTER!A:F,6,0),0)</f>
        <v>569289698.1981982</v>
      </c>
      <c r="H11" s="9">
        <f t="shared" si="1"/>
        <v>0.10584485504708252</v>
      </c>
      <c r="I11" s="4">
        <f>IFERROR(VLOOKUP(A:A,MASTER!A:M,13,0),0)</f>
        <v>56213513.513513513</v>
      </c>
      <c r="J11" s="4">
        <f>IFERROR(VLOOKUP($A:$A,MASTER!$A:$T,14,0),0)</f>
        <v>64667567.567567565</v>
      </c>
      <c r="K11" s="9">
        <f t="shared" si="2"/>
        <v>-0.13073097337735606</v>
      </c>
      <c r="L11" s="4">
        <f>IFERROR(VLOOKUP($A:$A,MASTER!$A:$T,15,0),0)</f>
        <v>69195891.891891882</v>
      </c>
      <c r="M11" s="4">
        <f>IFERROR(VLOOKUP($A:$A,MASTER!$A:$T,16,0),0)</f>
        <v>71582225.225225225</v>
      </c>
      <c r="N11" s="9">
        <f t="shared" si="3"/>
        <v>-3.3336953773440592E-2</v>
      </c>
      <c r="O11" s="4">
        <f>IFERROR(VLOOKUP($A:$A,MASTER!$A:$T,17,0),0)</f>
        <v>11728468.468468469</v>
      </c>
      <c r="P11" s="4">
        <f>IFERROR(VLOOKUP($A:$A,MASTER!$A:$T,18,0),0)</f>
        <v>15067477.477477476</v>
      </c>
      <c r="Q11" s="9">
        <f t="shared" si="4"/>
        <v>-0.22160371661415013</v>
      </c>
      <c r="R11" s="4">
        <f>IFERROR(VLOOKUP($A:$A,MASTER!$A:$T,19,0),0)</f>
        <v>3003</v>
      </c>
      <c r="S11" s="4">
        <f>IFERROR(VLOOKUP($A:$A,MASTER!$A:$T,20,0),0)</f>
        <v>3091</v>
      </c>
      <c r="T11" s="9">
        <f t="shared" si="5"/>
        <v>-2.8469750889679735E-2</v>
      </c>
    </row>
    <row r="12" spans="1:20" ht="64.5" customHeight="1" x14ac:dyDescent="0.35">
      <c r="A12" s="10" t="s">
        <v>6</v>
      </c>
      <c r="B12" s="1" t="s">
        <v>17</v>
      </c>
      <c r="C12" s="4">
        <f>IFERROR(VLOOKUP($A:$A,MASTER!$A:$T,3,0),0)</f>
        <v>594009650.30883157</v>
      </c>
      <c r="D12" s="4">
        <f>IFERROR(VLOOKUP($A:$A,MASTER!$A:$T,4,0),0)</f>
        <v>573628501.57156622</v>
      </c>
      <c r="E12" s="9">
        <f t="shared" si="0"/>
        <v>3.5530223274170103E-2</v>
      </c>
      <c r="F12" s="4">
        <f>IFERROR(VLOOKUP(A:A,MASTER!A:E,5,0),0)</f>
        <v>6331105.4054054143</v>
      </c>
      <c r="G12" s="4">
        <f>IFERROR(VLOOKUP(A:A,MASTER!A:F,6,0),0)</f>
        <v>21618842.342342343</v>
      </c>
      <c r="H12" s="9">
        <f t="shared" si="1"/>
        <v>-0.70714873140984957</v>
      </c>
      <c r="I12" s="4">
        <f>IFERROR(VLOOKUP(A:A,MASTER!A:M,13,0),0)</f>
        <v>226275796.3963964</v>
      </c>
      <c r="J12" s="4">
        <f>IFERROR(VLOOKUP($A:$A,MASTER!$A:$T,14,0),0)</f>
        <v>410980283.78378379</v>
      </c>
      <c r="K12" s="9">
        <f t="shared" si="2"/>
        <v>-0.44942420518780946</v>
      </c>
      <c r="L12" s="4">
        <f>IFERROR(VLOOKUP($A:$A,MASTER!$A:$T,15,0),0)</f>
        <v>402609981.98198193</v>
      </c>
      <c r="M12" s="4">
        <f>IFERROR(VLOOKUP($A:$A,MASTER!$A:$T,16,0),0)</f>
        <v>380559972.97297299</v>
      </c>
      <c r="N12" s="9">
        <f t="shared" si="3"/>
        <v>5.7940956944977806E-2</v>
      </c>
      <c r="O12" s="4">
        <f>IFERROR(VLOOKUP($A:$A,MASTER!$A:$T,17,0),0)</f>
        <v>191808018.01801801</v>
      </c>
      <c r="P12" s="4">
        <f>IFERROR(VLOOKUP($A:$A,MASTER!$A:$T,18,0),0)</f>
        <v>375849549.54954958</v>
      </c>
      <c r="Q12" s="9">
        <f t="shared" si="4"/>
        <v>-0.48966809126711142</v>
      </c>
      <c r="R12" s="4">
        <f>IFERROR(VLOOKUP($A:$A,MASTER!$A:$T,19,0),0)</f>
        <v>13025</v>
      </c>
      <c r="S12" s="4">
        <f>IFERROR(VLOOKUP($A:$A,MASTER!$A:$T,20,0),0)</f>
        <v>14135</v>
      </c>
      <c r="T12" s="9">
        <f t="shared" si="5"/>
        <v>-7.8528475415634902E-2</v>
      </c>
    </row>
    <row r="13" spans="1:20" ht="64.5" customHeight="1" x14ac:dyDescent="0.35">
      <c r="A13" s="10" t="s">
        <v>7</v>
      </c>
      <c r="B13" s="1" t="s">
        <v>17</v>
      </c>
      <c r="C13" s="4">
        <f>IFERROR(VLOOKUP($A:$A,MASTER!$A:$T,3,0),0)</f>
        <v>141469894.0978041</v>
      </c>
      <c r="D13" s="4">
        <f>IFERROR(VLOOKUP($A:$A,MASTER!$A:$T,4,0),0)</f>
        <v>138327555.25977108</v>
      </c>
      <c r="E13" s="9">
        <f t="shared" si="0"/>
        <v>2.2716651300110691E-2</v>
      </c>
      <c r="F13" s="4">
        <f>IFERROR(VLOOKUP(A:A,MASTER!A:E,5,0),0)</f>
        <v>290990.99099099298</v>
      </c>
      <c r="G13" s="4">
        <f>IFERROR(VLOOKUP(A:A,MASTER!A:F,6,0),0)</f>
        <v>147747.74774774801</v>
      </c>
      <c r="H13" s="9">
        <f t="shared" si="1"/>
        <v>0.96951219512196118</v>
      </c>
      <c r="I13" s="4">
        <f>IFERROR(VLOOKUP(A:A,MASTER!A:M,13,0),0)</f>
        <v>26045495.495495494</v>
      </c>
      <c r="J13" s="4">
        <f>IFERROR(VLOOKUP($A:$A,MASTER!$A:$T,14,0),0)</f>
        <v>36399549.54954955</v>
      </c>
      <c r="K13" s="9">
        <f t="shared" si="2"/>
        <v>-0.28445555459304273</v>
      </c>
      <c r="L13" s="4">
        <f>IFERROR(VLOOKUP($A:$A,MASTER!$A:$T,15,0),0)</f>
        <v>98916720.720720723</v>
      </c>
      <c r="M13" s="4">
        <f>IFERROR(VLOOKUP($A:$A,MASTER!$A:$T,16,0),0)</f>
        <v>92311828.828828827</v>
      </c>
      <c r="N13" s="9">
        <f t="shared" si="3"/>
        <v>7.1549789183996682E-2</v>
      </c>
      <c r="O13" s="4">
        <f>IFERROR(VLOOKUP($A:$A,MASTER!$A:$T,17,0),0)</f>
        <v>26878108.108108107</v>
      </c>
      <c r="P13" s="4">
        <f>IFERROR(VLOOKUP($A:$A,MASTER!$A:$T,18,0),0)</f>
        <v>37531081.081081077</v>
      </c>
      <c r="Q13" s="9">
        <f t="shared" si="4"/>
        <v>-0.28384402117164154</v>
      </c>
      <c r="R13" s="4">
        <f>IFERROR(VLOOKUP($A:$A,MASTER!$A:$T,19,0),0)</f>
        <v>5025</v>
      </c>
      <c r="S13" s="4">
        <f>IFERROR(VLOOKUP($A:$A,MASTER!$A:$T,20,0),0)</f>
        <v>4883</v>
      </c>
      <c r="T13" s="9">
        <f t="shared" si="5"/>
        <v>2.9080483309440908E-2</v>
      </c>
    </row>
    <row r="14" spans="1:20" ht="64.5" customHeight="1" x14ac:dyDescent="0.35">
      <c r="A14" s="10" t="s">
        <v>8</v>
      </c>
      <c r="B14" s="1" t="s">
        <v>16</v>
      </c>
      <c r="C14" s="4">
        <f>IFERROR(VLOOKUP($A:$A,MASTER!$A:$T,3,0),0)</f>
        <v>195272934.37521195</v>
      </c>
      <c r="D14" s="4">
        <f>IFERROR(VLOOKUP($A:$A,MASTER!$A:$T,4,0),0)</f>
        <v>199389472.29399139</v>
      </c>
      <c r="E14" s="9">
        <f t="shared" si="0"/>
        <v>-2.0645713494390372E-2</v>
      </c>
      <c r="F14" s="4">
        <f>IFERROR(VLOOKUP(A:A,MASTER!A:E,5,0),0)</f>
        <v>4070270.2702702731</v>
      </c>
      <c r="G14" s="4">
        <f>IFERROR(VLOOKUP(A:A,MASTER!A:F,6,0),0)</f>
        <v>3431531.5315315332</v>
      </c>
      <c r="H14" s="9">
        <f t="shared" si="1"/>
        <v>0.18613809398792358</v>
      </c>
      <c r="I14" s="4">
        <f>IFERROR(VLOOKUP(A:A,MASTER!A:M,13,0),0)</f>
        <v>25445945.945945945</v>
      </c>
      <c r="J14" s="4">
        <f>IFERROR(VLOOKUP($A:$A,MASTER!$A:$T,14,0),0)</f>
        <v>39840540.540540546</v>
      </c>
      <c r="K14" s="9">
        <f t="shared" si="2"/>
        <v>-0.36130520317481862</v>
      </c>
      <c r="L14" s="4">
        <f>IFERROR(VLOOKUP($A:$A,MASTER!$A:$T,15,0),0)</f>
        <v>56910468.468468472</v>
      </c>
      <c r="M14" s="4">
        <f>IFERROR(VLOOKUP($A:$A,MASTER!$A:$T,16,0),0)</f>
        <v>60629792.79279279</v>
      </c>
      <c r="N14" s="9">
        <f t="shared" si="3"/>
        <v>-6.1344829876549434E-2</v>
      </c>
      <c r="O14" s="4">
        <f>IFERROR(VLOOKUP($A:$A,MASTER!$A:$T,17,0),0)</f>
        <v>23465945.945945945</v>
      </c>
      <c r="P14" s="4">
        <f>IFERROR(VLOOKUP($A:$A,MASTER!$A:$T,18,0),0)</f>
        <v>35972882.882882886</v>
      </c>
      <c r="Q14" s="9">
        <f t="shared" si="4"/>
        <v>-0.34767680359830611</v>
      </c>
      <c r="R14" s="4">
        <f>IFERROR(VLOOKUP($A:$A,MASTER!$A:$T,19,0),0)</f>
        <v>3764</v>
      </c>
      <c r="S14" s="4">
        <f>IFERROR(VLOOKUP($A:$A,MASTER!$A:$T,20,0),0)</f>
        <v>3690</v>
      </c>
      <c r="T14" s="9">
        <f t="shared" si="5"/>
        <v>2.0054200542005463E-2</v>
      </c>
    </row>
    <row r="15" spans="1:20" ht="64.5" customHeight="1" x14ac:dyDescent="0.35">
      <c r="A15" s="10" t="s">
        <v>9</v>
      </c>
      <c r="B15" s="1" t="s">
        <v>16</v>
      </c>
      <c r="C15" s="4">
        <f>IFERROR(VLOOKUP($A:$A,MASTER!$A:$T,3,0),0)</f>
        <v>380503094.72856182</v>
      </c>
      <c r="D15" s="4">
        <f>IFERROR(VLOOKUP($A:$A,MASTER!$A:$T,4,0),0)</f>
        <v>363545969.83713037</v>
      </c>
      <c r="E15" s="9">
        <f t="shared" si="0"/>
        <v>4.6643688276968964E-2</v>
      </c>
      <c r="F15" s="4">
        <f>IFERROR(VLOOKUP(A:A,MASTER!A:E,5,0),0)</f>
        <v>10358201.801801808</v>
      </c>
      <c r="G15" s="4">
        <f>IFERROR(VLOOKUP(A:A,MASTER!A:F,6,0),0)</f>
        <v>5850163.0630630627</v>
      </c>
      <c r="H15" s="9">
        <f t="shared" si="1"/>
        <v>0.77058343334081369</v>
      </c>
      <c r="I15" s="4">
        <f>IFERROR(VLOOKUP(A:A,MASTER!A:M,13,0),0)</f>
        <v>493109320.72072071</v>
      </c>
      <c r="J15" s="4">
        <f>IFERROR(VLOOKUP($A:$A,MASTER!$A:$T,14,0),0)</f>
        <v>514775523.42342341</v>
      </c>
      <c r="K15" s="9">
        <f t="shared" si="2"/>
        <v>-4.2088641974691088E-2</v>
      </c>
      <c r="L15" s="4">
        <f>IFERROR(VLOOKUP($A:$A,MASTER!$A:$T,15,0),0)</f>
        <v>137268792.7927928</v>
      </c>
      <c r="M15" s="4">
        <f>IFERROR(VLOOKUP($A:$A,MASTER!$A:$T,16,0),0)</f>
        <v>133410637.83783785</v>
      </c>
      <c r="N15" s="9">
        <f t="shared" si="3"/>
        <v>2.8919395165808215E-2</v>
      </c>
      <c r="O15" s="4">
        <f>IFERROR(VLOOKUP($A:$A,MASTER!$A:$T,17,0),0)</f>
        <v>432883783.78378379</v>
      </c>
      <c r="P15" s="4">
        <f>IFERROR(VLOOKUP($A:$A,MASTER!$A:$T,18,0),0)</f>
        <v>465696081.08108109</v>
      </c>
      <c r="Q15" s="9">
        <f t="shared" si="4"/>
        <v>-7.0458607298403364E-2</v>
      </c>
      <c r="R15" s="4">
        <f>IFERROR(VLOOKUP($A:$A,MASTER!$A:$T,19,0),0)</f>
        <v>7114</v>
      </c>
      <c r="S15" s="4">
        <f>IFERROR(VLOOKUP($A:$A,MASTER!$A:$T,20,0),0)</f>
        <v>6855</v>
      </c>
      <c r="T15" s="9">
        <f t="shared" si="5"/>
        <v>3.778264040846091E-2</v>
      </c>
    </row>
    <row r="16" spans="1:20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</row>
    <row r="17" spans="1:20" ht="64.5" customHeight="1" x14ac:dyDescent="0.35">
      <c r="A17" s="10" t="s">
        <v>10</v>
      </c>
      <c r="B17" s="1" t="s">
        <v>17</v>
      </c>
      <c r="C17" s="4">
        <f>IFERROR(VLOOKUP($A:$A,MASTER!$A:$T,3,0),0)</f>
        <v>159571993.2235927</v>
      </c>
      <c r="D17" s="4">
        <f>IFERROR(VLOOKUP($A:$A,MASTER!$A:$T,4,0),0)</f>
        <v>161006476.35452586</v>
      </c>
      <c r="E17" s="9">
        <f t="shared" si="0"/>
        <v>-8.9094747205977765E-3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95192854.054054052</v>
      </c>
      <c r="M17" s="4">
        <f>IFERROR(VLOOKUP($A:$A,MASTER!$A:$T,16,0),0)</f>
        <v>95250864.864864871</v>
      </c>
      <c r="N17" s="9">
        <f t="shared" si="3"/>
        <v>-6.0903185386418368E-4</v>
      </c>
      <c r="O17" s="4">
        <f>IFERROR(VLOOKUP($A:$A,MASTER!$A:$T,17,0),0)</f>
        <v>19639.639639640001</v>
      </c>
      <c r="P17" s="4">
        <f>IFERROR(VLOOKUP($A:$A,MASTER!$A:$T,18,0),0)</f>
        <v>576486.48648648604</v>
      </c>
      <c r="Q17" s="9">
        <f t="shared" si="4"/>
        <v>-0.96593217690264033</v>
      </c>
      <c r="R17" s="4">
        <f>IFERROR(VLOOKUP($A:$A,MASTER!$A:$T,19,0),0)</f>
        <v>4258</v>
      </c>
      <c r="S17" s="4">
        <f>IFERROR(VLOOKUP($A:$A,MASTER!$A:$T,20,0),0)</f>
        <v>3615</v>
      </c>
      <c r="T17" s="9">
        <f t="shared" si="5"/>
        <v>0.17786998616874139</v>
      </c>
    </row>
    <row r="18" spans="1:20" ht="64.5" customHeight="1" x14ac:dyDescent="0.35">
      <c r="A18" s="10" t="s">
        <v>11</v>
      </c>
      <c r="B18" s="1" t="s">
        <v>17</v>
      </c>
      <c r="C18" s="4">
        <f>IFERROR(VLOOKUP($A:$A,MASTER!$A:$T,3,0),0)</f>
        <v>138266519.51732191</v>
      </c>
      <c r="D18" s="4">
        <f>IFERROR(VLOOKUP($A:$A,MASTER!$A:$T,4,0),0)</f>
        <v>130493261.15214193</v>
      </c>
      <c r="E18" s="9">
        <f t="shared" si="0"/>
        <v>5.956827422771771E-2</v>
      </c>
      <c r="F18" s="4">
        <f>IFERROR(VLOOKUP(A:A,MASTER!A:E,5,0),0)</f>
        <v>328398840.54054052</v>
      </c>
      <c r="G18" s="4">
        <f>IFERROR(VLOOKUP(A:A,MASTER!A:F,6,0),0)</f>
        <v>406110426.12612617</v>
      </c>
      <c r="H18" s="9">
        <f t="shared" si="1"/>
        <v>-0.19135580026071697</v>
      </c>
      <c r="I18" s="4">
        <f>IFERROR(VLOOKUP(A:A,MASTER!A:M,13,0),0)</f>
        <v>5164864.8648648672</v>
      </c>
      <c r="J18" s="4">
        <f>IFERROR(VLOOKUP($A:$A,MASTER!$A:$T,14,0),0)</f>
        <v>4506981.9819819815</v>
      </c>
      <c r="K18" s="9">
        <f t="shared" si="2"/>
        <v>0.14596971665584002</v>
      </c>
      <c r="L18" s="4">
        <f>IFERROR(VLOOKUP($A:$A,MASTER!$A:$T,15,0),0)</f>
        <v>46592344.59459459</v>
      </c>
      <c r="M18" s="4">
        <f>IFERROR(VLOOKUP($A:$A,MASTER!$A:$T,16,0),0)</f>
        <v>51346855.855855852</v>
      </c>
      <c r="N18" s="9">
        <f t="shared" si="3"/>
        <v>-9.259595708466406E-2</v>
      </c>
      <c r="O18" s="4">
        <f>IFERROR(VLOOKUP($A:$A,MASTER!$A:$T,17,0),0)</f>
        <v>3168648.6486486499</v>
      </c>
      <c r="P18" s="4">
        <f>IFERROR(VLOOKUP($A:$A,MASTER!$A:$T,18,0),0)</f>
        <v>3111891.8918918921</v>
      </c>
      <c r="Q18" s="9">
        <f t="shared" si="4"/>
        <v>1.8238665971860746E-2</v>
      </c>
      <c r="R18" s="4">
        <f>IFERROR(VLOOKUP($A:$A,MASTER!$A:$T,19,0),0)</f>
        <v>4024</v>
      </c>
      <c r="S18" s="4">
        <f>IFERROR(VLOOKUP($A:$A,MASTER!$A:$T,20,0),0)</f>
        <v>3701</v>
      </c>
      <c r="T18" s="9">
        <f t="shared" si="5"/>
        <v>8.727370980815996E-2</v>
      </c>
    </row>
    <row r="19" spans="1:20" ht="64.5" customHeight="1" x14ac:dyDescent="0.35">
      <c r="A19" s="10" t="s">
        <v>12</v>
      </c>
      <c r="B19" s="1" t="s">
        <v>17</v>
      </c>
      <c r="C19" s="4">
        <f>IFERROR(VLOOKUP($A:$A,MASTER!$A:$T,3,0),0)</f>
        <v>91025135.776570022</v>
      </c>
      <c r="D19" s="4">
        <f>IFERROR(VLOOKUP($A:$A,MASTER!$A:$T,4,0),0)</f>
        <v>85578720.669909254</v>
      </c>
      <c r="E19" s="9">
        <f t="shared" si="0"/>
        <v>6.3642165529307793E-2</v>
      </c>
      <c r="F19" s="4">
        <f>IFERROR(VLOOKUP(A:A,MASTER!A:E,5,0),0)</f>
        <v>3771171.1711711721</v>
      </c>
      <c r="G19" s="4">
        <f>IFERROR(VLOOKUP(A:A,MASTER!A:F,6,0),0)</f>
        <v>154054.05405405501</v>
      </c>
      <c r="H19" s="9">
        <f t="shared" si="1"/>
        <v>23.479532163742544</v>
      </c>
      <c r="I19" s="4">
        <f>IFERROR(VLOOKUP(A:A,MASTER!A:M,13,0),0)</f>
        <v>7374774.7747747749</v>
      </c>
      <c r="J19" s="4">
        <f>IFERROR(VLOOKUP($A:$A,MASTER!$A:$T,14,0),0)</f>
        <v>2856756.7567567569</v>
      </c>
      <c r="K19" s="9">
        <f t="shared" si="2"/>
        <v>1.5815200252286346</v>
      </c>
      <c r="L19" s="4">
        <f>IFERROR(VLOOKUP($A:$A,MASTER!$A:$T,15,0),0)</f>
        <v>36493396.396396399</v>
      </c>
      <c r="M19" s="4">
        <f>IFERROR(VLOOKUP($A:$A,MASTER!$A:$T,16,0),0)</f>
        <v>37586675.675675683</v>
      </c>
      <c r="N19" s="9">
        <f t="shared" si="3"/>
        <v>-2.908688410523097E-2</v>
      </c>
      <c r="O19" s="4">
        <f>IFERROR(VLOOKUP($A:$A,MASTER!$A:$T,17,0),0)</f>
        <v>9979369.3693693671</v>
      </c>
      <c r="P19" s="4">
        <f>IFERROR(VLOOKUP($A:$A,MASTER!$A:$T,18,0),0)</f>
        <v>2773063.0630630641</v>
      </c>
      <c r="Q19" s="9">
        <f t="shared" si="4"/>
        <v>2.5986810045157704</v>
      </c>
      <c r="R19" s="4">
        <f>IFERROR(VLOOKUP($A:$A,MASTER!$A:$T,19,0),0)</f>
        <v>2951</v>
      </c>
      <c r="S19" s="4">
        <f>IFERROR(VLOOKUP($A:$A,MASTER!$A:$T,20,0),0)</f>
        <v>2773</v>
      </c>
      <c r="T19" s="9">
        <f t="shared" si="5"/>
        <v>6.4190407500901658E-2</v>
      </c>
    </row>
    <row r="20" spans="1:20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91959459.459459454</v>
      </c>
      <c r="G20" s="4">
        <f>IFERROR(VLOOKUP(A:A,MASTER!A:F,6,0),0)</f>
        <v>313053153.15315318</v>
      </c>
      <c r="H20" s="9">
        <f t="shared" si="1"/>
        <v>-0.70624969423492545</v>
      </c>
      <c r="I20" s="4">
        <f>IFERROR(VLOOKUP(A:A,MASTER!A:M,13,0),0)</f>
        <v>21043918.918918919</v>
      </c>
      <c r="J20" s="4">
        <f>IFERROR(VLOOKUP($A:$A,MASTER!$A:$T,14,0),0)</f>
        <v>31450225.225225225</v>
      </c>
      <c r="K20" s="9">
        <f t="shared" si="2"/>
        <v>-0.33088177371651184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</row>
    <row r="21" spans="1:20" ht="64.5" customHeight="1" x14ac:dyDescent="0.35">
      <c r="A21" s="10" t="s">
        <v>13</v>
      </c>
      <c r="B21" s="1" t="s">
        <v>16</v>
      </c>
      <c r="C21" s="4">
        <f>IFERROR(VLOOKUP($A:$A,MASTER!$A:$T,3,0),0)</f>
        <v>317341611.80918109</v>
      </c>
      <c r="D21" s="4">
        <f>IFERROR(VLOOKUP($A:$A,MASTER!$A:$T,4,0),0)</f>
        <v>303339954.37909091</v>
      </c>
      <c r="E21" s="9">
        <f t="shared" si="0"/>
        <v>4.6158302683041885E-2</v>
      </c>
      <c r="F21" s="4">
        <f>IFERROR(VLOOKUP(A:A,MASTER!A:E,5,0),0)</f>
        <v>2981981.9819819881</v>
      </c>
      <c r="G21" s="4">
        <f>IFERROR(VLOOKUP(A:A,MASTER!A:F,6,0),0)</f>
        <v>1679729.729729733</v>
      </c>
      <c r="H21" s="9">
        <f t="shared" si="1"/>
        <v>0.77527487262000561</v>
      </c>
      <c r="I21" s="4">
        <f>IFERROR(VLOOKUP(A:A,MASTER!A:M,13,0),0)</f>
        <v>66428828.828828834</v>
      </c>
      <c r="J21" s="4">
        <f>IFERROR(VLOOKUP($A:$A,MASTER!$A:$T,14,0),0)</f>
        <v>68727477.477477476</v>
      </c>
      <c r="K21" s="9">
        <f t="shared" si="2"/>
        <v>-3.3445846305095728E-2</v>
      </c>
      <c r="L21" s="4">
        <f>IFERROR(VLOOKUP($A:$A,MASTER!$A:$T,15,0),0)</f>
        <v>183866819.81981981</v>
      </c>
      <c r="M21" s="4">
        <f>IFERROR(VLOOKUP($A:$A,MASTER!$A:$T,16,0),0)</f>
        <v>174797945.94594595</v>
      </c>
      <c r="N21" s="9">
        <f t="shared" si="3"/>
        <v>5.1882039144088621E-2</v>
      </c>
      <c r="O21" s="4">
        <f>IFERROR(VLOOKUP($A:$A,MASTER!$A:$T,17,0),0)</f>
        <v>62506529.729729727</v>
      </c>
      <c r="P21" s="4">
        <f>IFERROR(VLOOKUP($A:$A,MASTER!$A:$T,18,0),0)</f>
        <v>73804954.954954967</v>
      </c>
      <c r="Q21" s="9">
        <f t="shared" si="4"/>
        <v>-0.15308491458494833</v>
      </c>
      <c r="R21" s="4">
        <f>IFERROR(VLOOKUP($A:$A,MASTER!$A:$T,19,0),0)</f>
        <v>6970</v>
      </c>
      <c r="S21" s="4">
        <f>IFERROR(VLOOKUP($A:$A,MASTER!$A:$T,20,0),0)</f>
        <v>7169</v>
      </c>
      <c r="T21" s="9">
        <f t="shared" si="5"/>
        <v>-2.7758404240479817E-2</v>
      </c>
    </row>
    <row r="22" spans="1:20" ht="64.5" customHeight="1" x14ac:dyDescent="0.35">
      <c r="A22" s="10" t="s">
        <v>14</v>
      </c>
      <c r="B22" s="1" t="s">
        <v>16</v>
      </c>
      <c r="C22" s="4">
        <f>IFERROR(VLOOKUP($A:$A,MASTER!$A:$T,3,0),0)</f>
        <v>161659125.46048063</v>
      </c>
      <c r="D22" s="4">
        <f>IFERROR(VLOOKUP($A:$A,MASTER!$A:$T,4,0),0)</f>
        <v>166290009.36320668</v>
      </c>
      <c r="E22" s="9">
        <f t="shared" si="0"/>
        <v>-2.7848238871713504E-2</v>
      </c>
      <c r="F22" s="4">
        <f>IFERROR(VLOOKUP(A:A,MASTER!A:E,5,0),0)</f>
        <v>881981.98198198504</v>
      </c>
      <c r="G22" s="4">
        <f>IFERROR(VLOOKUP(A:A,MASTER!A:F,6,0),0)</f>
        <v>160360.36036036201</v>
      </c>
      <c r="H22" s="9">
        <f t="shared" si="1"/>
        <v>4.4999999999999627</v>
      </c>
      <c r="I22" s="4">
        <f>IFERROR(VLOOKUP(A:A,MASTER!A:M,13,0),0)</f>
        <v>34600000</v>
      </c>
      <c r="J22" s="4">
        <f>IFERROR(VLOOKUP($A:$A,MASTER!$A:$T,14,0),0)</f>
        <v>25964414.414414413</v>
      </c>
      <c r="K22" s="9">
        <f t="shared" si="2"/>
        <v>0.33259311948092507</v>
      </c>
      <c r="L22" s="4">
        <f>IFERROR(VLOOKUP($A:$A,MASTER!$A:$T,15,0),0)</f>
        <v>54733603.603603601</v>
      </c>
      <c r="M22" s="4">
        <f>IFERROR(VLOOKUP($A:$A,MASTER!$A:$T,16,0),0)</f>
        <v>58698153.153153151</v>
      </c>
      <c r="N22" s="9">
        <f t="shared" si="3"/>
        <v>-6.7541299624970907E-2</v>
      </c>
      <c r="O22" s="4">
        <f>IFERROR(VLOOKUP($A:$A,MASTER!$A:$T,17,0),0)</f>
        <v>37200000</v>
      </c>
      <c r="P22" s="4">
        <f>IFERROR(VLOOKUP($A:$A,MASTER!$A:$T,18,0),0)</f>
        <v>24800090.090090092</v>
      </c>
      <c r="Q22" s="9">
        <f t="shared" si="4"/>
        <v>0.49999455102240975</v>
      </c>
      <c r="R22" s="4">
        <f>IFERROR(VLOOKUP($A:$A,MASTER!$A:$T,19,0),0)</f>
        <v>3985</v>
      </c>
      <c r="S22" s="4">
        <f>IFERROR(VLOOKUP($A:$A,MASTER!$A:$T,20,0),0)</f>
        <v>3942</v>
      </c>
      <c r="T22" s="9">
        <f t="shared" si="5"/>
        <v>1.0908168442415045E-2</v>
      </c>
    </row>
  </sheetData>
  <autoFilter ref="A5:T22"/>
  <conditionalFormatting sqref="E6:E22">
    <cfRule type="cellIs" dxfId="5" priority="11" operator="lessThan">
      <formula>0</formula>
    </cfRule>
  </conditionalFormatting>
  <conditionalFormatting sqref="H6:H22">
    <cfRule type="cellIs" dxfId="4" priority="5" operator="lessThan">
      <formula>0</formula>
    </cfRule>
  </conditionalFormatting>
  <conditionalFormatting sqref="K6:K22">
    <cfRule type="cellIs" dxfId="3" priority="4" operator="lessThan">
      <formula>0</formula>
    </cfRule>
  </conditionalFormatting>
  <conditionalFormatting sqref="N6:N22">
    <cfRule type="cellIs" dxfId="2" priority="3" operator="lessThan">
      <formula>0</formula>
    </cfRule>
  </conditionalFormatting>
  <conditionalFormatting sqref="Q6:Q22">
    <cfRule type="cellIs" dxfId="1" priority="2" operator="lessThan">
      <formula>0</formula>
    </cfRule>
  </conditionalFormatting>
  <conditionalFormatting sqref="T6:T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6"/>
  <sheetViews>
    <sheetView tabSelected="1" workbookViewId="0">
      <pane xSplit="1" ySplit="2" topLeftCell="B560" activePane="bottomRight" state="frozen"/>
      <selection pane="topRight" activeCell="B1" sqref="B1"/>
      <selection pane="bottomLeft" activeCell="A3" sqref="A3"/>
      <selection pane="bottomRight" activeCell="A3" sqref="A3:A576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hidden="1" customWidth="1"/>
    <col min="8" max="8" width="15" hidden="1" customWidth="1"/>
    <col min="9" max="9" width="16" hidden="1" customWidth="1"/>
    <col min="10" max="10" width="18.453125" hidden="1" customWidth="1"/>
    <col min="11" max="11" width="19.453125" hidden="1" customWidth="1"/>
    <col min="12" max="12" width="0" hidden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48</v>
      </c>
      <c r="B4" s="12" t="s">
        <v>49</v>
      </c>
      <c r="C4">
        <v>502550958.87021011</v>
      </c>
      <c r="D4">
        <v>567976289.03680551</v>
      </c>
      <c r="E4">
        <v>2112387.3873873889</v>
      </c>
      <c r="F4">
        <v>1200000.0000000021</v>
      </c>
      <c r="G4">
        <v>57</v>
      </c>
      <c r="H4">
        <v>17</v>
      </c>
      <c r="K4">
        <v>77</v>
      </c>
      <c r="L4">
        <v>25</v>
      </c>
      <c r="M4">
        <v>48670990.990990989</v>
      </c>
      <c r="N4">
        <v>22806756.756756756</v>
      </c>
      <c r="O4">
        <v>62237358.558558561</v>
      </c>
      <c r="P4">
        <v>79364178.378378391</v>
      </c>
      <c r="Q4">
        <v>45210450.45045045</v>
      </c>
      <c r="R4">
        <v>26111531.531531531</v>
      </c>
      <c r="S4">
        <v>8570</v>
      </c>
      <c r="T4">
        <v>8498</v>
      </c>
    </row>
    <row r="5" spans="1:20" x14ac:dyDescent="0.35">
      <c r="A5" s="7" t="s">
        <v>50</v>
      </c>
      <c r="B5" s="12" t="s">
        <v>51</v>
      </c>
      <c r="C5">
        <v>753224126.68956661</v>
      </c>
      <c r="D5">
        <v>791873725.53304124</v>
      </c>
      <c r="E5">
        <v>10393693.693693705</v>
      </c>
      <c r="F5">
        <v>9466912.61261262</v>
      </c>
      <c r="G5">
        <v>613</v>
      </c>
      <c r="H5">
        <v>505</v>
      </c>
      <c r="K5">
        <v>956</v>
      </c>
      <c r="L5">
        <v>665</v>
      </c>
      <c r="M5">
        <v>144814954.95495495</v>
      </c>
      <c r="N5">
        <v>211924009.009009</v>
      </c>
      <c r="O5">
        <v>242472621.62162164</v>
      </c>
      <c r="P5">
        <v>253422279.27927926</v>
      </c>
      <c r="Q5">
        <v>137293603.6036036</v>
      </c>
      <c r="R5">
        <v>206454414.41441441</v>
      </c>
      <c r="S5">
        <v>19499</v>
      </c>
      <c r="T5">
        <v>19939</v>
      </c>
    </row>
    <row r="6" spans="1:20" x14ac:dyDescent="0.35">
      <c r="A6" s="7" t="s">
        <v>52</v>
      </c>
      <c r="B6" s="12" t="s">
        <v>53</v>
      </c>
      <c r="C6">
        <v>190985756.51993999</v>
      </c>
      <c r="D6">
        <v>200710803.13979334</v>
      </c>
      <c r="E6">
        <v>4267567.5675675673</v>
      </c>
      <c r="F6">
        <v>4221171.1711711735</v>
      </c>
      <c r="G6">
        <v>94</v>
      </c>
      <c r="H6">
        <v>119</v>
      </c>
      <c r="K6">
        <v>103</v>
      </c>
      <c r="L6">
        <v>134</v>
      </c>
      <c r="M6">
        <v>64422972.972972974</v>
      </c>
      <c r="N6">
        <v>34195585.585585587</v>
      </c>
      <c r="O6">
        <v>64026207.20720721</v>
      </c>
      <c r="P6">
        <v>67136873.873873875</v>
      </c>
      <c r="Q6">
        <v>53348108.108108111</v>
      </c>
      <c r="R6">
        <v>32481801.801801801</v>
      </c>
      <c r="S6">
        <v>4466</v>
      </c>
      <c r="T6">
        <v>4809</v>
      </c>
    </row>
    <row r="7" spans="1:20" x14ac:dyDescent="0.35">
      <c r="A7" s="7" t="s">
        <v>54</v>
      </c>
      <c r="B7" s="12" t="s">
        <v>55</v>
      </c>
      <c r="C7">
        <v>103238552.1719923</v>
      </c>
      <c r="D7">
        <v>96340599.483491331</v>
      </c>
      <c r="E7">
        <v>990990.99099099496</v>
      </c>
      <c r="F7">
        <v>2158558.5585585609</v>
      </c>
      <c r="G7">
        <v>24</v>
      </c>
      <c r="H7">
        <v>50</v>
      </c>
      <c r="K7">
        <v>53</v>
      </c>
      <c r="L7">
        <v>67</v>
      </c>
      <c r="M7">
        <v>9800630.6306306329</v>
      </c>
      <c r="N7">
        <v>15831081.081081079</v>
      </c>
      <c r="O7">
        <v>32495569.819819819</v>
      </c>
      <c r="P7">
        <v>31470666.666666668</v>
      </c>
      <c r="Q7">
        <v>9845315.3153153174</v>
      </c>
      <c r="R7">
        <v>14817927.927927928</v>
      </c>
      <c r="S7">
        <v>3659</v>
      </c>
      <c r="T7">
        <v>3238</v>
      </c>
    </row>
    <row r="8" spans="1:20" x14ac:dyDescent="0.35">
      <c r="A8" s="7" t="s">
        <v>56</v>
      </c>
      <c r="B8" s="12" t="s">
        <v>55</v>
      </c>
      <c r="C8">
        <v>169607908.57970196</v>
      </c>
      <c r="D8">
        <v>176914386.16841459</v>
      </c>
      <c r="E8">
        <v>3331531.531531536</v>
      </c>
      <c r="F8">
        <v>2788738.7387387389</v>
      </c>
      <c r="G8">
        <v>77</v>
      </c>
      <c r="H8">
        <v>124</v>
      </c>
      <c r="K8">
        <v>167</v>
      </c>
      <c r="L8">
        <v>251</v>
      </c>
      <c r="M8">
        <v>27283513.513513513</v>
      </c>
      <c r="N8">
        <v>133453873.87387387</v>
      </c>
      <c r="O8">
        <v>48512846.846846849</v>
      </c>
      <c r="P8">
        <v>52808178.378378376</v>
      </c>
      <c r="Q8">
        <v>51121531.531531528</v>
      </c>
      <c r="R8">
        <v>58351351.351351351</v>
      </c>
      <c r="S8">
        <v>4451</v>
      </c>
      <c r="T8">
        <v>4752</v>
      </c>
    </row>
    <row r="9" spans="1:20" x14ac:dyDescent="0.35">
      <c r="A9" s="7" t="s">
        <v>57</v>
      </c>
      <c r="B9" s="12" t="s">
        <v>55</v>
      </c>
      <c r="C9">
        <v>83397015.392502099</v>
      </c>
      <c r="D9">
        <v>89199784.473069698</v>
      </c>
      <c r="E9">
        <v>1330630.630630631</v>
      </c>
      <c r="F9">
        <v>1909909.9099099101</v>
      </c>
      <c r="G9">
        <v>22</v>
      </c>
      <c r="H9">
        <v>49</v>
      </c>
      <c r="K9">
        <v>25</v>
      </c>
      <c r="L9">
        <v>84</v>
      </c>
      <c r="M9">
        <v>8592432.4324324317</v>
      </c>
      <c r="N9">
        <v>13874594.594594596</v>
      </c>
      <c r="O9">
        <v>25343450.450450446</v>
      </c>
      <c r="P9">
        <v>29180621.621621624</v>
      </c>
      <c r="Q9">
        <v>7770720.7207207223</v>
      </c>
      <c r="R9">
        <v>12641801.801801803</v>
      </c>
      <c r="S9">
        <v>2078</v>
      </c>
      <c r="T9">
        <v>2800</v>
      </c>
    </row>
    <row r="10" spans="1:20" x14ac:dyDescent="0.35">
      <c r="A10" s="7" t="s">
        <v>58</v>
      </c>
      <c r="B10" s="12" t="s">
        <v>59</v>
      </c>
      <c r="C10">
        <v>224959168.59207571</v>
      </c>
      <c r="D10">
        <v>221931670.52239057</v>
      </c>
      <c r="E10">
        <v>1063063.0630630639</v>
      </c>
      <c r="F10">
        <v>274774.77477477601</v>
      </c>
      <c r="G10">
        <v>79</v>
      </c>
      <c r="H10">
        <v>57</v>
      </c>
      <c r="I10">
        <v>1</v>
      </c>
      <c r="K10">
        <v>83</v>
      </c>
      <c r="L10">
        <v>67</v>
      </c>
      <c r="M10">
        <v>4486486.4864864862</v>
      </c>
      <c r="N10">
        <v>4896396.3963963967</v>
      </c>
      <c r="O10">
        <v>41405439.639639638</v>
      </c>
      <c r="P10">
        <v>45396090.090090089</v>
      </c>
      <c r="Q10">
        <v>3766486.4864864871</v>
      </c>
      <c r="R10">
        <v>4720000</v>
      </c>
      <c r="S10">
        <v>5563</v>
      </c>
      <c r="T10">
        <v>5470</v>
      </c>
    </row>
    <row r="11" spans="1:20" x14ac:dyDescent="0.35">
      <c r="A11" s="7" t="s">
        <v>60</v>
      </c>
      <c r="B11" s="12" t="s">
        <v>61</v>
      </c>
      <c r="C11">
        <v>95408480.706922919</v>
      </c>
      <c r="D11">
        <v>100518276.83797906</v>
      </c>
      <c r="E11">
        <v>898198.19819820102</v>
      </c>
      <c r="F11">
        <v>982882.88288288296</v>
      </c>
      <c r="G11">
        <v>42</v>
      </c>
      <c r="H11">
        <v>37</v>
      </c>
      <c r="I11">
        <v>1</v>
      </c>
      <c r="K11">
        <v>78</v>
      </c>
      <c r="L11">
        <v>76</v>
      </c>
      <c r="M11">
        <v>15681981.981981982</v>
      </c>
      <c r="N11">
        <v>19235135.135135137</v>
      </c>
      <c r="O11">
        <v>45109153.153153151</v>
      </c>
      <c r="P11">
        <v>48631135.135135137</v>
      </c>
      <c r="Q11">
        <v>10932072.072072072</v>
      </c>
      <c r="R11">
        <v>11783243.24324324</v>
      </c>
      <c r="S11">
        <v>2946</v>
      </c>
      <c r="T11">
        <v>3044</v>
      </c>
    </row>
    <row r="12" spans="1:20" x14ac:dyDescent="0.35">
      <c r="A12" s="7" t="s">
        <v>62</v>
      </c>
      <c r="B12" s="12" t="s">
        <v>63</v>
      </c>
      <c r="C12">
        <v>438731869.3532989</v>
      </c>
      <c r="D12">
        <v>456379660.36660725</v>
      </c>
      <c r="E12">
        <v>4554504.504504513</v>
      </c>
      <c r="F12">
        <v>4202702.7027027113</v>
      </c>
      <c r="G12">
        <v>52</v>
      </c>
      <c r="H12">
        <v>28</v>
      </c>
      <c r="K12">
        <v>55</v>
      </c>
      <c r="L12">
        <v>40</v>
      </c>
      <c r="M12">
        <v>67498018.018018022</v>
      </c>
      <c r="N12">
        <v>68975135.135135129</v>
      </c>
      <c r="O12">
        <v>45922800</v>
      </c>
      <c r="P12">
        <v>56201745.945945941</v>
      </c>
      <c r="Q12">
        <v>63676036.036036029</v>
      </c>
      <c r="R12">
        <v>56303693.69369369</v>
      </c>
      <c r="S12">
        <v>8736</v>
      </c>
      <c r="T12">
        <v>8883</v>
      </c>
    </row>
    <row r="13" spans="1:20" x14ac:dyDescent="0.35">
      <c r="A13" s="7" t="s">
        <v>64</v>
      </c>
      <c r="B13" s="12" t="s">
        <v>51</v>
      </c>
      <c r="C13">
        <v>234682569.85172325</v>
      </c>
      <c r="D13">
        <v>231116092.77868491</v>
      </c>
      <c r="E13">
        <v>2416216.2162162191</v>
      </c>
      <c r="F13">
        <v>2656306.3063063128</v>
      </c>
      <c r="G13">
        <v>75</v>
      </c>
      <c r="H13">
        <v>70</v>
      </c>
      <c r="K13">
        <v>116</v>
      </c>
      <c r="L13">
        <v>77</v>
      </c>
      <c r="M13">
        <v>55172972.972972974</v>
      </c>
      <c r="N13">
        <v>44917459.459459461</v>
      </c>
      <c r="O13">
        <v>90754738.738738731</v>
      </c>
      <c r="P13">
        <v>92738648.648648649</v>
      </c>
      <c r="Q13">
        <v>54302522.522522517</v>
      </c>
      <c r="R13">
        <v>42851621.621621624</v>
      </c>
      <c r="S13">
        <v>5515</v>
      </c>
      <c r="T13">
        <v>5625</v>
      </c>
    </row>
    <row r="14" spans="1:20" x14ac:dyDescent="0.35">
      <c r="A14" s="7" t="s">
        <v>65</v>
      </c>
      <c r="B14" s="12" t="s">
        <v>51</v>
      </c>
      <c r="C14">
        <v>238623071.45278198</v>
      </c>
      <c r="D14">
        <v>236782121.16815451</v>
      </c>
      <c r="E14">
        <v>3427927.927927929</v>
      </c>
      <c r="F14">
        <v>3758108.1081081098</v>
      </c>
      <c r="G14">
        <v>56</v>
      </c>
      <c r="H14">
        <v>34</v>
      </c>
      <c r="K14">
        <v>73</v>
      </c>
      <c r="L14">
        <v>41</v>
      </c>
      <c r="M14">
        <v>24998018.018018015</v>
      </c>
      <c r="N14">
        <v>40997747.747747742</v>
      </c>
      <c r="O14">
        <v>91356189.189189181</v>
      </c>
      <c r="P14">
        <v>91591972.972972974</v>
      </c>
      <c r="Q14">
        <v>23987567.567567568</v>
      </c>
      <c r="R14">
        <v>31074054.054054052</v>
      </c>
      <c r="S14">
        <v>5517</v>
      </c>
      <c r="T14">
        <v>5448</v>
      </c>
    </row>
    <row r="15" spans="1:20" x14ac:dyDescent="0.35">
      <c r="A15" s="7" t="s">
        <v>66</v>
      </c>
      <c r="B15" s="12" t="s">
        <v>67</v>
      </c>
      <c r="C15">
        <v>242457614.89896515</v>
      </c>
      <c r="D15">
        <v>241914827.41238809</v>
      </c>
      <c r="E15">
        <v>5435135.1351351403</v>
      </c>
      <c r="F15">
        <v>8037387.3873873884</v>
      </c>
      <c r="G15">
        <v>61</v>
      </c>
      <c r="H15">
        <v>65</v>
      </c>
      <c r="K15">
        <v>74</v>
      </c>
      <c r="L15">
        <v>77</v>
      </c>
      <c r="M15">
        <v>139667657.65765765</v>
      </c>
      <c r="N15">
        <v>139128603.6036036</v>
      </c>
      <c r="O15">
        <v>123253990.990991</v>
      </c>
      <c r="P15">
        <v>120142144.14414415</v>
      </c>
      <c r="Q15">
        <v>104833603.6036036</v>
      </c>
      <c r="R15">
        <v>118907612.61261261</v>
      </c>
      <c r="S15">
        <v>5392</v>
      </c>
      <c r="T15">
        <v>5500</v>
      </c>
    </row>
    <row r="16" spans="1:20" x14ac:dyDescent="0.35">
      <c r="A16" s="7" t="s">
        <v>68</v>
      </c>
      <c r="B16" s="12" t="s">
        <v>69</v>
      </c>
      <c r="C16">
        <v>140738789.61037228</v>
      </c>
      <c r="D16">
        <v>144767491.89093593</v>
      </c>
      <c r="E16">
        <v>1227927.927927929</v>
      </c>
      <c r="F16">
        <v>934234.23423423595</v>
      </c>
      <c r="G16">
        <v>54</v>
      </c>
      <c r="H16">
        <v>23</v>
      </c>
      <c r="K16">
        <v>60</v>
      </c>
      <c r="L16">
        <v>27</v>
      </c>
      <c r="M16">
        <v>25318468.468468469</v>
      </c>
      <c r="N16">
        <v>23865045.045045048</v>
      </c>
      <c r="O16">
        <v>38666702.702702701</v>
      </c>
      <c r="P16">
        <v>42968198.198198199</v>
      </c>
      <c r="Q16">
        <v>18109909.909909911</v>
      </c>
      <c r="R16">
        <v>18129639.639639638</v>
      </c>
      <c r="S16">
        <v>3880</v>
      </c>
      <c r="T16">
        <v>3134</v>
      </c>
    </row>
    <row r="17" spans="1:20" x14ac:dyDescent="0.35">
      <c r="A17" s="7" t="s">
        <v>70</v>
      </c>
      <c r="B17" s="12" t="s">
        <v>71</v>
      </c>
      <c r="C17">
        <v>11002033.417327017</v>
      </c>
      <c r="D17">
        <v>11023582.023473939</v>
      </c>
      <c r="E17">
        <v>116216.216216217</v>
      </c>
      <c r="F17">
        <v>531531.53153153195</v>
      </c>
      <c r="G17">
        <v>3</v>
      </c>
      <c r="H17">
        <v>3</v>
      </c>
      <c r="K17">
        <v>3</v>
      </c>
      <c r="L17">
        <v>3</v>
      </c>
      <c r="M17">
        <v>404504.50450450502</v>
      </c>
      <c r="N17">
        <v>2117117.1171171172</v>
      </c>
      <c r="O17">
        <v>3283436.9369369368</v>
      </c>
      <c r="P17">
        <v>3554945.945945946</v>
      </c>
      <c r="Q17">
        <v>404054.05405405402</v>
      </c>
      <c r="R17">
        <v>1709909.9099099101</v>
      </c>
      <c r="S17">
        <v>355</v>
      </c>
      <c r="T17">
        <v>290</v>
      </c>
    </row>
    <row r="18" spans="1:20" x14ac:dyDescent="0.35">
      <c r="A18" s="7" t="s">
        <v>72</v>
      </c>
      <c r="B18" s="12" t="s">
        <v>73</v>
      </c>
      <c r="C18">
        <v>1906696407.0465407</v>
      </c>
      <c r="D18">
        <v>1957298974.2315819</v>
      </c>
      <c r="E18">
        <v>494711514.41441447</v>
      </c>
      <c r="F18">
        <v>651934689.1891892</v>
      </c>
      <c r="G18">
        <v>580</v>
      </c>
      <c r="H18">
        <v>716</v>
      </c>
      <c r="I18">
        <v>20</v>
      </c>
      <c r="K18">
        <v>867</v>
      </c>
      <c r="L18">
        <v>1126</v>
      </c>
      <c r="M18">
        <v>210456313.51351351</v>
      </c>
      <c r="N18">
        <v>246119819.81981981</v>
      </c>
      <c r="O18">
        <v>390052261.26126122</v>
      </c>
      <c r="P18">
        <v>498819536.03603601</v>
      </c>
      <c r="Q18">
        <v>181898962.16216218</v>
      </c>
      <c r="R18">
        <v>204580583.78378376</v>
      </c>
      <c r="S18">
        <v>46850</v>
      </c>
      <c r="T18">
        <v>46009</v>
      </c>
    </row>
    <row r="19" spans="1:20" x14ac:dyDescent="0.35">
      <c r="A19" s="7" t="s">
        <v>74</v>
      </c>
      <c r="B19" s="12" t="s">
        <v>73</v>
      </c>
      <c r="C19">
        <v>182276686.58622283</v>
      </c>
      <c r="D19">
        <v>184937090.03415117</v>
      </c>
      <c r="E19">
        <v>133333.333333335</v>
      </c>
      <c r="F19">
        <v>67567.567567569</v>
      </c>
      <c r="G19">
        <v>41</v>
      </c>
      <c r="H19">
        <v>35</v>
      </c>
      <c r="I19">
        <v>1</v>
      </c>
      <c r="K19">
        <v>43</v>
      </c>
      <c r="L19">
        <v>40</v>
      </c>
      <c r="M19">
        <v>5223423.4234234234</v>
      </c>
      <c r="N19">
        <v>6554054.0540540526</v>
      </c>
      <c r="O19">
        <v>26505108.108108107</v>
      </c>
      <c r="P19">
        <v>28625009.009009007</v>
      </c>
      <c r="Q19">
        <v>5022432.4324324327</v>
      </c>
      <c r="R19">
        <v>4041891.8918918911</v>
      </c>
      <c r="S19">
        <v>3559</v>
      </c>
      <c r="T19">
        <v>3754</v>
      </c>
    </row>
    <row r="20" spans="1:20" x14ac:dyDescent="0.35">
      <c r="A20" s="7" t="s">
        <v>75</v>
      </c>
      <c r="B20" s="12" t="s">
        <v>71</v>
      </c>
      <c r="C20">
        <v>193726680.00579897</v>
      </c>
      <c r="D20">
        <v>195636373.60641384</v>
      </c>
      <c r="E20">
        <v>5478378.3783783838</v>
      </c>
      <c r="F20">
        <v>6204954.9549549529</v>
      </c>
      <c r="G20">
        <v>59</v>
      </c>
      <c r="H20">
        <v>43</v>
      </c>
      <c r="I20">
        <v>1</v>
      </c>
      <c r="K20">
        <v>78</v>
      </c>
      <c r="L20">
        <v>78</v>
      </c>
      <c r="M20">
        <v>45470270.270270273</v>
      </c>
      <c r="N20">
        <v>244713963.96396396</v>
      </c>
      <c r="O20">
        <v>70283450.45045045</v>
      </c>
      <c r="P20">
        <v>71318450.45045045</v>
      </c>
      <c r="Q20">
        <v>42482342.342342347</v>
      </c>
      <c r="R20">
        <v>240593333.33333334</v>
      </c>
      <c r="S20">
        <v>4974</v>
      </c>
      <c r="T20">
        <v>5161</v>
      </c>
    </row>
    <row r="21" spans="1:20" x14ac:dyDescent="0.35">
      <c r="A21" s="7" t="s">
        <v>76</v>
      </c>
      <c r="B21" s="12" t="s">
        <v>77</v>
      </c>
      <c r="C21">
        <v>56756859.067202874</v>
      </c>
      <c r="D21">
        <v>59128853.598177589</v>
      </c>
      <c r="E21">
        <v>505405.40540540603</v>
      </c>
      <c r="F21">
        <v>427927.92792792898</v>
      </c>
      <c r="G21">
        <v>17</v>
      </c>
      <c r="H21">
        <v>29</v>
      </c>
      <c r="K21">
        <v>18</v>
      </c>
      <c r="L21">
        <v>32</v>
      </c>
      <c r="M21">
        <v>7501261.2612612611</v>
      </c>
      <c r="N21">
        <v>9934234.2342342362</v>
      </c>
      <c r="O21">
        <v>14359333.333333332</v>
      </c>
      <c r="P21">
        <v>17491702.702702705</v>
      </c>
      <c r="Q21">
        <v>4966306.3063063063</v>
      </c>
      <c r="R21">
        <v>7468558.55855856</v>
      </c>
      <c r="S21">
        <v>1445</v>
      </c>
      <c r="T21">
        <v>1524</v>
      </c>
    </row>
    <row r="22" spans="1:20" x14ac:dyDescent="0.35">
      <c r="A22" s="7" t="s">
        <v>78</v>
      </c>
      <c r="B22" s="12" t="s">
        <v>79</v>
      </c>
      <c r="C22">
        <v>119655911.66691867</v>
      </c>
      <c r="D22">
        <v>125911342.32025871</v>
      </c>
      <c r="E22">
        <v>1773873.873873872</v>
      </c>
      <c r="F22">
        <v>2586936.9369369382</v>
      </c>
      <c r="G22">
        <v>24</v>
      </c>
      <c r="H22">
        <v>45</v>
      </c>
      <c r="K22">
        <v>27</v>
      </c>
      <c r="L22">
        <v>72</v>
      </c>
      <c r="M22">
        <v>14107207.207207208</v>
      </c>
      <c r="N22">
        <v>23041891.891891893</v>
      </c>
      <c r="O22">
        <v>38971720.720720723</v>
      </c>
      <c r="P22">
        <v>41215432.432432435</v>
      </c>
      <c r="Q22">
        <v>14238288.288288288</v>
      </c>
      <c r="R22">
        <v>21936036.036036037</v>
      </c>
      <c r="S22">
        <v>2421</v>
      </c>
      <c r="T22">
        <v>2469</v>
      </c>
    </row>
    <row r="23" spans="1:20" x14ac:dyDescent="0.35">
      <c r="A23" s="7" t="s">
        <v>80</v>
      </c>
      <c r="B23" s="12" t="s">
        <v>81</v>
      </c>
      <c r="C23">
        <v>1121913819.3894627</v>
      </c>
      <c r="D23">
        <v>1262326018.5524261</v>
      </c>
      <c r="E23">
        <v>67811711.711711735</v>
      </c>
      <c r="F23">
        <v>104635315.31531532</v>
      </c>
      <c r="G23">
        <v>829</v>
      </c>
      <c r="H23">
        <v>752</v>
      </c>
      <c r="I23">
        <v>6</v>
      </c>
      <c r="K23">
        <v>965</v>
      </c>
      <c r="L23">
        <v>1052</v>
      </c>
      <c r="M23">
        <v>166098198.1981982</v>
      </c>
      <c r="N23">
        <v>154753423.42342341</v>
      </c>
      <c r="O23">
        <v>293013614.86486489</v>
      </c>
      <c r="P23">
        <v>393453870.27027029</v>
      </c>
      <c r="Q23">
        <v>150355405.4054054</v>
      </c>
      <c r="R23">
        <v>134749099.0990991</v>
      </c>
      <c r="S23">
        <v>28590</v>
      </c>
      <c r="T23">
        <v>26501</v>
      </c>
    </row>
    <row r="24" spans="1:20" x14ac:dyDescent="0.35">
      <c r="A24" s="7" t="s">
        <v>82</v>
      </c>
      <c r="B24" s="12" t="s">
        <v>55</v>
      </c>
      <c r="C24">
        <v>35009551.784315847</v>
      </c>
      <c r="D24">
        <v>32345670.195778452</v>
      </c>
      <c r="E24">
        <v>423423.42342342599</v>
      </c>
      <c r="F24">
        <v>247747.74774774801</v>
      </c>
      <c r="G24">
        <v>10</v>
      </c>
      <c r="H24">
        <v>7</v>
      </c>
      <c r="K24">
        <v>17</v>
      </c>
      <c r="L24">
        <v>9</v>
      </c>
      <c r="M24">
        <v>3101621.6216216232</v>
      </c>
      <c r="N24">
        <v>2550450.4504504511</v>
      </c>
      <c r="O24">
        <v>8043279.2792792786</v>
      </c>
      <c r="P24">
        <v>8923054.0540540535</v>
      </c>
      <c r="Q24">
        <v>2271441.4414414419</v>
      </c>
      <c r="R24">
        <v>2177387.387387387</v>
      </c>
      <c r="S24">
        <v>1312</v>
      </c>
      <c r="T24">
        <v>1293</v>
      </c>
    </row>
    <row r="25" spans="1:20" x14ac:dyDescent="0.35">
      <c r="A25" s="7" t="s">
        <v>83</v>
      </c>
      <c r="B25" s="12" t="s">
        <v>84</v>
      </c>
      <c r="C25">
        <v>803979288.22807932</v>
      </c>
      <c r="D25">
        <v>802755014.50341272</v>
      </c>
      <c r="E25">
        <v>40215540.540540546</v>
      </c>
      <c r="F25">
        <v>90944144.144144163</v>
      </c>
      <c r="G25">
        <v>152</v>
      </c>
      <c r="H25">
        <v>117</v>
      </c>
      <c r="I25">
        <v>2</v>
      </c>
      <c r="K25">
        <v>193</v>
      </c>
      <c r="L25">
        <v>145</v>
      </c>
      <c r="M25">
        <v>181300450.45045045</v>
      </c>
      <c r="N25">
        <v>155270945.94594595</v>
      </c>
      <c r="O25">
        <v>235602455.4054054</v>
      </c>
      <c r="P25">
        <v>250084100.9009009</v>
      </c>
      <c r="Q25">
        <v>121408738.73873873</v>
      </c>
      <c r="R25">
        <v>134564054.05405405</v>
      </c>
      <c r="S25">
        <v>14952</v>
      </c>
      <c r="T25">
        <v>15236</v>
      </c>
    </row>
    <row r="26" spans="1:20" x14ac:dyDescent="0.35">
      <c r="A26" s="7" t="s">
        <v>85</v>
      </c>
      <c r="B26" s="12" t="s">
        <v>86</v>
      </c>
      <c r="C26">
        <v>74395587.38325353</v>
      </c>
      <c r="D26">
        <v>72111830.892737627</v>
      </c>
      <c r="E26">
        <v>1456531.5315315321</v>
      </c>
      <c r="F26">
        <v>2963963.963963965</v>
      </c>
      <c r="G26">
        <v>38</v>
      </c>
      <c r="H26">
        <v>126</v>
      </c>
      <c r="K26">
        <v>49</v>
      </c>
      <c r="L26">
        <v>148</v>
      </c>
      <c r="M26">
        <v>155690540.54054055</v>
      </c>
      <c r="N26">
        <v>127162612.61261261</v>
      </c>
      <c r="O26">
        <v>26627819.819819819</v>
      </c>
      <c r="P26">
        <v>35750846.846846849</v>
      </c>
      <c r="Q26">
        <v>136406576.57657659</v>
      </c>
      <c r="R26">
        <v>100658554.95495497</v>
      </c>
      <c r="S26">
        <v>2227</v>
      </c>
      <c r="T26">
        <v>2266</v>
      </c>
    </row>
    <row r="27" spans="1:20" x14ac:dyDescent="0.35">
      <c r="A27" s="7" t="s">
        <v>87</v>
      </c>
      <c r="B27" s="12" t="s">
        <v>88</v>
      </c>
      <c r="C27">
        <v>2860508.2797407289</v>
      </c>
      <c r="D27">
        <v>3469241.4067387222</v>
      </c>
      <c r="G27">
        <v>1</v>
      </c>
      <c r="K27">
        <v>1</v>
      </c>
      <c r="O27">
        <v>1321450.4504504511</v>
      </c>
      <c r="P27">
        <v>1957702.702702703</v>
      </c>
      <c r="S27">
        <v>174</v>
      </c>
      <c r="T27">
        <v>150</v>
      </c>
    </row>
    <row r="28" spans="1:20" x14ac:dyDescent="0.35">
      <c r="A28" s="7" t="s">
        <v>89</v>
      </c>
      <c r="B28" s="12" t="s">
        <v>90</v>
      </c>
      <c r="C28">
        <v>163539189.16701207</v>
      </c>
      <c r="D28">
        <v>177615629.20797557</v>
      </c>
      <c r="E28">
        <v>2948648.6486486532</v>
      </c>
      <c r="F28">
        <v>2063063.0630630639</v>
      </c>
      <c r="G28">
        <v>24</v>
      </c>
      <c r="H28">
        <v>21</v>
      </c>
      <c r="K28">
        <v>27</v>
      </c>
      <c r="L28">
        <v>29</v>
      </c>
      <c r="M28">
        <v>25384324.324324328</v>
      </c>
      <c r="N28">
        <v>31055135.135135137</v>
      </c>
      <c r="O28">
        <v>58423252.252252258</v>
      </c>
      <c r="P28">
        <v>63280819.819819823</v>
      </c>
      <c r="Q28">
        <v>23456666.666666664</v>
      </c>
      <c r="R28">
        <v>30103153.153153151</v>
      </c>
      <c r="S28">
        <v>3341</v>
      </c>
      <c r="T28">
        <v>3367</v>
      </c>
    </row>
    <row r="29" spans="1:20" x14ac:dyDescent="0.35">
      <c r="A29" s="7" t="s">
        <v>91</v>
      </c>
      <c r="B29" s="12" t="s">
        <v>61</v>
      </c>
      <c r="C29">
        <v>58516457.645313002</v>
      </c>
      <c r="D29">
        <v>59778351.605078593</v>
      </c>
      <c r="E29">
        <v>109009.00900901</v>
      </c>
      <c r="F29">
        <v>1100900.9009009011</v>
      </c>
      <c r="G29">
        <v>13</v>
      </c>
      <c r="H29">
        <v>34</v>
      </c>
      <c r="K29">
        <v>139</v>
      </c>
      <c r="L29">
        <v>140</v>
      </c>
      <c r="M29">
        <v>4000900.9009009008</v>
      </c>
      <c r="N29">
        <v>7722522.5225225221</v>
      </c>
      <c r="O29">
        <v>35131891.891891889</v>
      </c>
      <c r="P29">
        <v>35249504.504504502</v>
      </c>
      <c r="Q29">
        <v>3840090.0900900899</v>
      </c>
      <c r="R29">
        <v>7564864.8648648635</v>
      </c>
      <c r="S29">
        <v>1554</v>
      </c>
      <c r="T29">
        <v>1984</v>
      </c>
    </row>
    <row r="30" spans="1:20" x14ac:dyDescent="0.35">
      <c r="A30" s="7" t="s">
        <v>92</v>
      </c>
      <c r="B30" s="12" t="s">
        <v>93</v>
      </c>
      <c r="C30">
        <v>48872569.965646513</v>
      </c>
      <c r="D30">
        <v>45118038.0262812</v>
      </c>
      <c r="E30">
        <v>2318018.018018018</v>
      </c>
      <c r="F30">
        <v>1295495.4954954961</v>
      </c>
      <c r="G30">
        <v>13</v>
      </c>
      <c r="H30">
        <v>6</v>
      </c>
      <c r="K30">
        <v>16</v>
      </c>
      <c r="L30">
        <v>7</v>
      </c>
      <c r="M30">
        <v>16535675.675675675</v>
      </c>
      <c r="N30">
        <v>19757207.207207207</v>
      </c>
      <c r="O30">
        <v>15683252.252252253</v>
      </c>
      <c r="P30">
        <v>16428576.576576576</v>
      </c>
      <c r="Q30">
        <v>16602342.342342343</v>
      </c>
      <c r="R30">
        <v>19246486.486486487</v>
      </c>
      <c r="S30">
        <v>1006</v>
      </c>
      <c r="T30">
        <v>1108</v>
      </c>
    </row>
    <row r="31" spans="1:20" x14ac:dyDescent="0.35">
      <c r="A31" s="7" t="s">
        <v>94</v>
      </c>
      <c r="B31" s="12" t="s">
        <v>95</v>
      </c>
      <c r="C31">
        <v>212902191.89253125</v>
      </c>
      <c r="D31">
        <v>227458886.06848946</v>
      </c>
      <c r="E31">
        <v>452702.70270270499</v>
      </c>
      <c r="F31">
        <v>108108.10810810899</v>
      </c>
      <c r="G31">
        <v>41</v>
      </c>
      <c r="H31">
        <v>18</v>
      </c>
      <c r="K31">
        <v>47</v>
      </c>
      <c r="L31">
        <v>22</v>
      </c>
      <c r="M31">
        <v>26736486.486486487</v>
      </c>
      <c r="N31">
        <v>27702702.702702701</v>
      </c>
      <c r="O31">
        <v>30438583.783783782</v>
      </c>
      <c r="P31">
        <v>39692453.153153151</v>
      </c>
      <c r="Q31">
        <v>21537747.747747749</v>
      </c>
      <c r="R31">
        <v>28672522.52252252</v>
      </c>
      <c r="S31">
        <v>4502</v>
      </c>
      <c r="T31">
        <v>4531</v>
      </c>
    </row>
    <row r="32" spans="1:20" x14ac:dyDescent="0.35">
      <c r="A32" s="7" t="s">
        <v>96</v>
      </c>
      <c r="B32" s="12" t="s">
        <v>97</v>
      </c>
      <c r="C32">
        <v>223798256.41074759</v>
      </c>
      <c r="D32">
        <v>232069140.4233489</v>
      </c>
      <c r="E32">
        <v>80379279.279279277</v>
      </c>
      <c r="F32">
        <v>159289189.1891892</v>
      </c>
      <c r="G32">
        <v>48</v>
      </c>
      <c r="H32">
        <v>83</v>
      </c>
      <c r="I32">
        <v>3</v>
      </c>
      <c r="K32">
        <v>56</v>
      </c>
      <c r="L32">
        <v>91</v>
      </c>
      <c r="M32">
        <v>49377252.252252258</v>
      </c>
      <c r="N32">
        <v>44662612.612612613</v>
      </c>
      <c r="O32">
        <v>112823900.9009009</v>
      </c>
      <c r="P32">
        <v>117261774.77477477</v>
      </c>
      <c r="Q32">
        <v>40829099.0990991</v>
      </c>
      <c r="R32">
        <v>40755585.585585587</v>
      </c>
      <c r="S32">
        <v>5834</v>
      </c>
      <c r="T32">
        <v>6220</v>
      </c>
    </row>
    <row r="33" spans="1:20" x14ac:dyDescent="0.35">
      <c r="A33" s="7" t="s">
        <v>98</v>
      </c>
      <c r="B33" s="12" t="s">
        <v>99</v>
      </c>
      <c r="C33">
        <v>775062772.58650434</v>
      </c>
      <c r="D33">
        <v>772262187.06859589</v>
      </c>
      <c r="E33">
        <v>7958558.5585585628</v>
      </c>
      <c r="F33">
        <v>10061261.261261264</v>
      </c>
      <c r="G33">
        <v>309</v>
      </c>
      <c r="H33">
        <v>167</v>
      </c>
      <c r="K33">
        <v>425</v>
      </c>
      <c r="L33">
        <v>195</v>
      </c>
      <c r="M33">
        <v>152743693.6936937</v>
      </c>
      <c r="N33">
        <v>214051531.53153151</v>
      </c>
      <c r="O33">
        <v>201362543.6936937</v>
      </c>
      <c r="P33">
        <v>216464450.45045045</v>
      </c>
      <c r="Q33">
        <v>100844414.41441442</v>
      </c>
      <c r="R33">
        <v>163143243.24324322</v>
      </c>
      <c r="S33">
        <v>22278</v>
      </c>
      <c r="T33">
        <v>22507</v>
      </c>
    </row>
    <row r="34" spans="1:20" x14ac:dyDescent="0.35">
      <c r="A34" s="7" t="s">
        <v>100</v>
      </c>
      <c r="B34" s="12" t="s">
        <v>99</v>
      </c>
      <c r="C34">
        <v>1250907596.8471048</v>
      </c>
      <c r="D34">
        <v>1266112732.1959531</v>
      </c>
      <c r="E34">
        <v>5206486.4864864899</v>
      </c>
      <c r="F34">
        <v>6758789.1891891938</v>
      </c>
      <c r="G34">
        <v>391</v>
      </c>
      <c r="H34">
        <v>399</v>
      </c>
      <c r="I34">
        <v>14</v>
      </c>
      <c r="K34">
        <v>659</v>
      </c>
      <c r="L34">
        <v>540</v>
      </c>
      <c r="M34">
        <v>74053153.153153151</v>
      </c>
      <c r="N34">
        <v>267823648.64864865</v>
      </c>
      <c r="O34">
        <v>243520068.01801801</v>
      </c>
      <c r="P34">
        <v>260744628.82882884</v>
      </c>
      <c r="Q34">
        <v>70980180.180180177</v>
      </c>
      <c r="R34">
        <v>86459054.054054052</v>
      </c>
      <c r="S34">
        <v>28549</v>
      </c>
      <c r="T34">
        <v>28267</v>
      </c>
    </row>
    <row r="35" spans="1:20" x14ac:dyDescent="0.35">
      <c r="A35" s="7" t="s">
        <v>101</v>
      </c>
      <c r="B35" s="12" t="s">
        <v>99</v>
      </c>
      <c r="C35">
        <v>1591423699.7156739</v>
      </c>
      <c r="D35">
        <v>1817022109.9208255</v>
      </c>
      <c r="E35">
        <v>13076576.576576583</v>
      </c>
      <c r="F35">
        <v>14656839.63963964</v>
      </c>
      <c r="G35">
        <v>334</v>
      </c>
      <c r="H35">
        <v>248</v>
      </c>
      <c r="I35">
        <v>20</v>
      </c>
      <c r="K35">
        <v>872</v>
      </c>
      <c r="L35">
        <v>524</v>
      </c>
      <c r="M35">
        <v>531219054.05405408</v>
      </c>
      <c r="N35">
        <v>247424632.43243244</v>
      </c>
      <c r="O35">
        <v>660941263.51351345</v>
      </c>
      <c r="P35">
        <v>849481691.89189184</v>
      </c>
      <c r="Q35">
        <v>161454189.1891892</v>
      </c>
      <c r="R35">
        <v>148023918.91891891</v>
      </c>
      <c r="S35">
        <v>33314</v>
      </c>
      <c r="T35">
        <v>33675</v>
      </c>
    </row>
    <row r="36" spans="1:20" x14ac:dyDescent="0.35">
      <c r="A36" s="7" t="s">
        <v>102</v>
      </c>
      <c r="B36" s="12" t="s">
        <v>99</v>
      </c>
      <c r="C36">
        <v>718746927.20711958</v>
      </c>
      <c r="D36">
        <v>730477588.88662291</v>
      </c>
      <c r="E36">
        <v>3936036.036036036</v>
      </c>
      <c r="F36">
        <v>4771621.6216216218</v>
      </c>
      <c r="G36">
        <v>223</v>
      </c>
      <c r="H36">
        <v>153</v>
      </c>
      <c r="I36">
        <v>6</v>
      </c>
      <c r="K36">
        <v>266</v>
      </c>
      <c r="L36">
        <v>209</v>
      </c>
      <c r="M36">
        <v>58171171.171171166</v>
      </c>
      <c r="N36">
        <v>66636202.702702701</v>
      </c>
      <c r="O36">
        <v>159588693.6936937</v>
      </c>
      <c r="P36">
        <v>165604828.82882884</v>
      </c>
      <c r="Q36">
        <v>53231081.081081077</v>
      </c>
      <c r="R36">
        <v>62425585.585585587</v>
      </c>
      <c r="S36">
        <v>21267</v>
      </c>
      <c r="T36">
        <v>22257</v>
      </c>
    </row>
    <row r="37" spans="1:20" x14ac:dyDescent="0.35">
      <c r="A37" s="7" t="s">
        <v>103</v>
      </c>
      <c r="B37" s="12" t="s">
        <v>99</v>
      </c>
      <c r="C37">
        <v>814632806.40355361</v>
      </c>
      <c r="D37">
        <v>840694204.33210099</v>
      </c>
      <c r="E37">
        <v>7390090.0900900923</v>
      </c>
      <c r="F37">
        <v>10695945.945945945</v>
      </c>
      <c r="G37">
        <v>197</v>
      </c>
      <c r="H37">
        <v>64</v>
      </c>
      <c r="I37">
        <v>1</v>
      </c>
      <c r="K37">
        <v>250</v>
      </c>
      <c r="L37">
        <v>89</v>
      </c>
      <c r="M37">
        <v>124796396.3963964</v>
      </c>
      <c r="N37">
        <v>196618918.91891891</v>
      </c>
      <c r="O37">
        <v>239306968.46846849</v>
      </c>
      <c r="P37">
        <v>241783621.62162164</v>
      </c>
      <c r="Q37">
        <v>128241531.53153151</v>
      </c>
      <c r="R37">
        <v>149923963.96396396</v>
      </c>
      <c r="S37">
        <v>24899</v>
      </c>
      <c r="T37">
        <v>25467</v>
      </c>
    </row>
    <row r="38" spans="1:20" x14ac:dyDescent="0.35">
      <c r="A38" s="7" t="s">
        <v>104</v>
      </c>
      <c r="B38" s="12" t="s">
        <v>99</v>
      </c>
      <c r="C38">
        <v>2096909370.5557947</v>
      </c>
      <c r="D38">
        <v>2103134434.2808492</v>
      </c>
      <c r="E38">
        <v>986439976.57657659</v>
      </c>
      <c r="F38">
        <v>1433147565.7657659</v>
      </c>
      <c r="G38">
        <v>601</v>
      </c>
      <c r="H38">
        <v>356</v>
      </c>
      <c r="I38">
        <v>17</v>
      </c>
      <c r="K38">
        <v>950</v>
      </c>
      <c r="L38">
        <v>429</v>
      </c>
      <c r="M38">
        <v>247884081.98198199</v>
      </c>
      <c r="N38">
        <v>487766216.21621621</v>
      </c>
      <c r="O38">
        <v>448733412.61261261</v>
      </c>
      <c r="P38">
        <v>463612783.78378379</v>
      </c>
      <c r="Q38">
        <v>202766666.66666666</v>
      </c>
      <c r="R38">
        <v>233298918.91891891</v>
      </c>
      <c r="S38">
        <v>54463</v>
      </c>
      <c r="T38">
        <v>55303</v>
      </c>
    </row>
    <row r="39" spans="1:20" x14ac:dyDescent="0.35">
      <c r="A39" s="7" t="s">
        <v>105</v>
      </c>
      <c r="B39" s="12" t="s">
        <v>106</v>
      </c>
      <c r="C39">
        <v>146982108.37208685</v>
      </c>
      <c r="D39">
        <v>137632573.22584471</v>
      </c>
      <c r="E39">
        <v>1245945.9459459451</v>
      </c>
      <c r="F39">
        <v>163063.06306306299</v>
      </c>
      <c r="G39">
        <v>27</v>
      </c>
      <c r="H39">
        <v>14</v>
      </c>
      <c r="K39">
        <v>30</v>
      </c>
      <c r="L39">
        <v>14</v>
      </c>
      <c r="M39">
        <v>1696396.396396396</v>
      </c>
      <c r="N39">
        <v>163063.06306306299</v>
      </c>
      <c r="O39">
        <v>31902639.639639638</v>
      </c>
      <c r="P39">
        <v>34471621.621621624</v>
      </c>
      <c r="Q39">
        <v>1101261.2612612611</v>
      </c>
      <c r="R39">
        <v>258108.10810810799</v>
      </c>
      <c r="S39">
        <v>2112</v>
      </c>
      <c r="T39">
        <v>2587</v>
      </c>
    </row>
    <row r="40" spans="1:20" x14ac:dyDescent="0.35">
      <c r="A40" s="7" t="s">
        <v>107</v>
      </c>
      <c r="B40" s="12" t="s">
        <v>55</v>
      </c>
      <c r="C40">
        <v>49450699.181432828</v>
      </c>
      <c r="D40">
        <v>48003540.661201291</v>
      </c>
      <c r="E40">
        <v>48648.648648649003</v>
      </c>
      <c r="F40">
        <v>636036.03603603598</v>
      </c>
      <c r="G40">
        <v>28</v>
      </c>
      <c r="H40">
        <v>47</v>
      </c>
      <c r="I40">
        <v>8</v>
      </c>
      <c r="K40">
        <v>31</v>
      </c>
      <c r="L40">
        <v>66</v>
      </c>
      <c r="M40">
        <v>1718198.198198199</v>
      </c>
      <c r="N40">
        <v>3088648.6486486481</v>
      </c>
      <c r="O40">
        <v>12622549.54954955</v>
      </c>
      <c r="P40">
        <v>13073756.756756756</v>
      </c>
      <c r="Q40">
        <v>1599909.9099099101</v>
      </c>
      <c r="R40">
        <v>2507027.0270270272</v>
      </c>
      <c r="S40">
        <v>1341</v>
      </c>
      <c r="T40">
        <v>1336</v>
      </c>
    </row>
    <row r="41" spans="1:20" x14ac:dyDescent="0.35">
      <c r="A41" s="7" t="s">
        <v>108</v>
      </c>
      <c r="B41" s="12" t="s">
        <v>109</v>
      </c>
      <c r="C41">
        <v>403519608.35179955</v>
      </c>
      <c r="D41">
        <v>423086770.75950575</v>
      </c>
      <c r="E41">
        <v>4586486.4864864927</v>
      </c>
      <c r="F41">
        <v>6075675.675675679</v>
      </c>
      <c r="G41">
        <v>117</v>
      </c>
      <c r="H41">
        <v>87</v>
      </c>
      <c r="I41">
        <v>1</v>
      </c>
      <c r="K41">
        <v>136</v>
      </c>
      <c r="L41">
        <v>98</v>
      </c>
      <c r="M41">
        <v>58498378.378378376</v>
      </c>
      <c r="N41">
        <v>60744144.144144148</v>
      </c>
      <c r="O41">
        <v>89740504.504504517</v>
      </c>
      <c r="P41">
        <v>91359612.612612605</v>
      </c>
      <c r="Q41">
        <v>49663873.873873875</v>
      </c>
      <c r="R41">
        <v>51219729.729729734</v>
      </c>
      <c r="S41">
        <v>9378</v>
      </c>
      <c r="T41">
        <v>10279</v>
      </c>
    </row>
    <row r="42" spans="1:20" x14ac:dyDescent="0.35">
      <c r="A42" s="7" t="s">
        <v>110</v>
      </c>
      <c r="B42" s="12" t="s">
        <v>109</v>
      </c>
      <c r="C42">
        <v>573540802.01656747</v>
      </c>
      <c r="D42">
        <v>585093820.18560791</v>
      </c>
      <c r="E42">
        <v>91323500</v>
      </c>
      <c r="F42">
        <v>343946702.7027027</v>
      </c>
      <c r="G42">
        <v>190</v>
      </c>
      <c r="H42">
        <v>106</v>
      </c>
      <c r="K42">
        <v>292</v>
      </c>
      <c r="L42">
        <v>214</v>
      </c>
      <c r="M42">
        <v>47206206.306306303</v>
      </c>
      <c r="N42">
        <v>338797153.15315318</v>
      </c>
      <c r="O42">
        <v>166995009.00900903</v>
      </c>
      <c r="P42">
        <v>160952639.63963965</v>
      </c>
      <c r="Q42">
        <v>137420270.27027026</v>
      </c>
      <c r="R42">
        <v>176283963.96396396</v>
      </c>
      <c r="S42">
        <v>13762</v>
      </c>
      <c r="T42">
        <v>15894</v>
      </c>
    </row>
    <row r="43" spans="1:20" x14ac:dyDescent="0.35">
      <c r="A43" s="7" t="s">
        <v>111</v>
      </c>
      <c r="B43" s="12" t="s">
        <v>112</v>
      </c>
      <c r="C43">
        <v>654769135.97240341</v>
      </c>
      <c r="D43">
        <v>681583970.43593192</v>
      </c>
      <c r="E43">
        <v>91598198.198198214</v>
      </c>
      <c r="F43">
        <v>247695945.94594595</v>
      </c>
      <c r="G43">
        <v>229</v>
      </c>
      <c r="H43">
        <v>174</v>
      </c>
      <c r="K43">
        <v>494</v>
      </c>
      <c r="L43">
        <v>339</v>
      </c>
      <c r="M43">
        <v>63030835.135135137</v>
      </c>
      <c r="N43">
        <v>66993063.063063063</v>
      </c>
      <c r="O43">
        <v>230877216.21621624</v>
      </c>
      <c r="P43">
        <v>245898468.46846849</v>
      </c>
      <c r="Q43">
        <v>56611261.261261255</v>
      </c>
      <c r="R43">
        <v>60131531.531531528</v>
      </c>
      <c r="S43">
        <v>20949</v>
      </c>
      <c r="T43">
        <v>20124</v>
      </c>
    </row>
    <row r="44" spans="1:20" x14ac:dyDescent="0.35">
      <c r="A44" s="7" t="s">
        <v>113</v>
      </c>
      <c r="B44" s="12" t="s">
        <v>112</v>
      </c>
      <c r="C44">
        <v>851819124.65246332</v>
      </c>
      <c r="D44">
        <v>867428905.64494097</v>
      </c>
      <c r="E44">
        <v>11560360.360360363</v>
      </c>
      <c r="F44">
        <v>47358325.225225233</v>
      </c>
      <c r="G44">
        <v>349</v>
      </c>
      <c r="H44">
        <v>195</v>
      </c>
      <c r="I44">
        <v>1</v>
      </c>
      <c r="K44">
        <v>613</v>
      </c>
      <c r="L44">
        <v>290</v>
      </c>
      <c r="M44">
        <v>67630372.972972974</v>
      </c>
      <c r="N44">
        <v>118563460.36036035</v>
      </c>
      <c r="O44">
        <v>317052995.4954955</v>
      </c>
      <c r="P44">
        <v>318915153.15315318</v>
      </c>
      <c r="Q44">
        <v>68075315.315315306</v>
      </c>
      <c r="R44">
        <v>131234007.20720722</v>
      </c>
      <c r="S44">
        <v>27096</v>
      </c>
      <c r="T44">
        <v>27767</v>
      </c>
    </row>
    <row r="45" spans="1:20" x14ac:dyDescent="0.35">
      <c r="A45" s="7" t="s">
        <v>114</v>
      </c>
      <c r="B45" s="12" t="s">
        <v>112</v>
      </c>
      <c r="C45">
        <v>1011742194.3608807</v>
      </c>
      <c r="D45">
        <v>590953323.4937638</v>
      </c>
      <c r="E45">
        <v>6751126.1261261329</v>
      </c>
      <c r="F45">
        <v>15193703.603603603</v>
      </c>
      <c r="G45">
        <v>300</v>
      </c>
      <c r="H45">
        <v>178</v>
      </c>
      <c r="K45">
        <v>559</v>
      </c>
      <c r="L45">
        <v>396</v>
      </c>
      <c r="M45">
        <v>488396591.8918919</v>
      </c>
      <c r="N45">
        <v>651852802.70270276</v>
      </c>
      <c r="O45">
        <v>618424106.30630636</v>
      </c>
      <c r="P45">
        <v>194644873.87387389</v>
      </c>
      <c r="Q45">
        <v>34597927.927927926</v>
      </c>
      <c r="R45">
        <v>53422882.882882886</v>
      </c>
      <c r="S45">
        <v>14245</v>
      </c>
      <c r="T45">
        <v>14070</v>
      </c>
    </row>
    <row r="46" spans="1:20" x14ac:dyDescent="0.35">
      <c r="A46" s="7" t="s">
        <v>115</v>
      </c>
      <c r="B46" s="12" t="s">
        <v>112</v>
      </c>
      <c r="C46">
        <v>682786517.67546391</v>
      </c>
      <c r="D46">
        <v>1284337242.8816292</v>
      </c>
      <c r="E46">
        <v>8138513.513513525</v>
      </c>
      <c r="F46">
        <v>8508108.1081081145</v>
      </c>
      <c r="G46">
        <v>346</v>
      </c>
      <c r="H46">
        <v>178</v>
      </c>
      <c r="I46">
        <v>11</v>
      </c>
      <c r="K46">
        <v>721</v>
      </c>
      <c r="L46">
        <v>312</v>
      </c>
      <c r="M46">
        <v>70160000.000000015</v>
      </c>
      <c r="N46">
        <v>67739819.819819823</v>
      </c>
      <c r="O46">
        <v>199484837.83783782</v>
      </c>
      <c r="P46">
        <v>796760162.16216218</v>
      </c>
      <c r="Q46">
        <v>60392432.432432435</v>
      </c>
      <c r="R46">
        <v>64648378.378378384</v>
      </c>
      <c r="S46">
        <v>19476</v>
      </c>
      <c r="T46">
        <v>20281</v>
      </c>
    </row>
    <row r="47" spans="1:20" x14ac:dyDescent="0.35">
      <c r="A47" s="7" t="s">
        <v>116</v>
      </c>
      <c r="B47" s="12" t="s">
        <v>112</v>
      </c>
      <c r="C47">
        <v>834478623.56168103</v>
      </c>
      <c r="D47">
        <v>819983036.56146836</v>
      </c>
      <c r="E47">
        <v>1677133681.981982</v>
      </c>
      <c r="F47">
        <v>1658634887.3873873</v>
      </c>
      <c r="G47">
        <v>368</v>
      </c>
      <c r="H47">
        <v>292</v>
      </c>
      <c r="K47">
        <v>612</v>
      </c>
      <c r="L47">
        <v>526</v>
      </c>
      <c r="M47">
        <v>731831900.90090084</v>
      </c>
      <c r="N47">
        <v>249129081.98198199</v>
      </c>
      <c r="O47">
        <v>252519277.92792794</v>
      </c>
      <c r="P47">
        <v>228670522.52252254</v>
      </c>
      <c r="Q47">
        <v>143593960.36036035</v>
      </c>
      <c r="R47">
        <v>171770270.27027026</v>
      </c>
      <c r="S47">
        <v>23014</v>
      </c>
      <c r="T47">
        <v>22873</v>
      </c>
    </row>
    <row r="48" spans="1:20" x14ac:dyDescent="0.35">
      <c r="A48" s="7" t="s">
        <v>117</v>
      </c>
      <c r="B48" s="12" t="s">
        <v>55</v>
      </c>
      <c r="C48">
        <v>45806747.667789489</v>
      </c>
      <c r="D48">
        <v>45162527.515080102</v>
      </c>
      <c r="E48">
        <v>1104279.2792792791</v>
      </c>
      <c r="F48">
        <v>962162.16216216295</v>
      </c>
      <c r="G48">
        <v>12</v>
      </c>
      <c r="H48">
        <v>7</v>
      </c>
      <c r="K48">
        <v>12</v>
      </c>
      <c r="L48">
        <v>9</v>
      </c>
      <c r="M48">
        <v>4523873.8738738727</v>
      </c>
      <c r="N48">
        <v>6054774.7747747749</v>
      </c>
      <c r="O48">
        <v>11544207.207207207</v>
      </c>
      <c r="P48">
        <v>11244252.252252253</v>
      </c>
      <c r="Q48">
        <v>3788378.3783783782</v>
      </c>
      <c r="R48">
        <v>5851441.441441441</v>
      </c>
      <c r="S48">
        <v>1151</v>
      </c>
      <c r="T48">
        <v>960</v>
      </c>
    </row>
    <row r="49" spans="1:20" x14ac:dyDescent="0.35">
      <c r="A49" s="7" t="s">
        <v>119</v>
      </c>
      <c r="B49" s="12" t="s">
        <v>79</v>
      </c>
      <c r="C49">
        <v>389961602.58227712</v>
      </c>
      <c r="D49">
        <v>422009478.37280273</v>
      </c>
      <c r="E49">
        <v>270747636.93693691</v>
      </c>
      <c r="F49">
        <v>766754120.72072077</v>
      </c>
      <c r="G49">
        <v>145</v>
      </c>
      <c r="H49">
        <v>171</v>
      </c>
      <c r="I49">
        <v>5</v>
      </c>
      <c r="K49">
        <v>184</v>
      </c>
      <c r="L49">
        <v>225</v>
      </c>
      <c r="M49">
        <v>87048198.198198199</v>
      </c>
      <c r="N49">
        <v>95906306.306306303</v>
      </c>
      <c r="O49">
        <v>156038910.36036035</v>
      </c>
      <c r="P49">
        <v>167800180.18018019</v>
      </c>
      <c r="Q49">
        <v>84227837.837837845</v>
      </c>
      <c r="R49">
        <v>89025945.945945948</v>
      </c>
      <c r="S49">
        <v>12404</v>
      </c>
      <c r="T49">
        <v>12322</v>
      </c>
    </row>
    <row r="50" spans="1:20" x14ac:dyDescent="0.35">
      <c r="A50" s="7" t="s">
        <v>120</v>
      </c>
      <c r="B50" s="12" t="s">
        <v>51</v>
      </c>
      <c r="C50">
        <v>123763968.01604891</v>
      </c>
      <c r="D50">
        <v>122532005.48491485</v>
      </c>
      <c r="E50">
        <v>2930630.6306306319</v>
      </c>
      <c r="F50">
        <v>1045045.04504505</v>
      </c>
      <c r="G50">
        <v>41</v>
      </c>
      <c r="H50">
        <v>20</v>
      </c>
      <c r="K50">
        <v>44</v>
      </c>
      <c r="L50">
        <v>22</v>
      </c>
      <c r="M50">
        <v>51330810.810810804</v>
      </c>
      <c r="N50">
        <v>16319999.999999998</v>
      </c>
      <c r="O50">
        <v>44902450.45045045</v>
      </c>
      <c r="P50">
        <v>47791279.279279277</v>
      </c>
      <c r="Q50">
        <v>47885855.855855852</v>
      </c>
      <c r="R50">
        <v>17393963.963963963</v>
      </c>
      <c r="S50">
        <v>2390</v>
      </c>
      <c r="T50">
        <v>2335</v>
      </c>
    </row>
    <row r="51" spans="1:20" x14ac:dyDescent="0.35">
      <c r="A51" s="7" t="s">
        <v>121</v>
      </c>
      <c r="B51" s="12" t="s">
        <v>122</v>
      </c>
      <c r="C51">
        <v>419277055.03864372</v>
      </c>
      <c r="D51">
        <v>394836040.32249933</v>
      </c>
      <c r="E51">
        <v>3225450.4504504539</v>
      </c>
      <c r="F51">
        <v>1885585.5855855909</v>
      </c>
      <c r="G51">
        <v>161</v>
      </c>
      <c r="H51">
        <v>148</v>
      </c>
      <c r="K51">
        <v>178</v>
      </c>
      <c r="L51">
        <v>175</v>
      </c>
      <c r="M51">
        <v>17836936.936936937</v>
      </c>
      <c r="N51">
        <v>14723423.423423426</v>
      </c>
      <c r="O51">
        <v>35736121.621621624</v>
      </c>
      <c r="P51">
        <v>36957396.396396399</v>
      </c>
      <c r="Q51">
        <v>15474324.324324325</v>
      </c>
      <c r="R51">
        <v>13949189.189189188</v>
      </c>
      <c r="S51">
        <v>7981</v>
      </c>
      <c r="T51">
        <v>8189</v>
      </c>
    </row>
    <row r="52" spans="1:20" x14ac:dyDescent="0.35">
      <c r="A52" s="7" t="s">
        <v>123</v>
      </c>
      <c r="B52" s="12" t="s">
        <v>124</v>
      </c>
      <c r="C52">
        <v>219388069.27085268</v>
      </c>
      <c r="D52">
        <v>227548115.43592834</v>
      </c>
      <c r="E52">
        <v>1034909.909909911</v>
      </c>
      <c r="F52">
        <v>2286486.486486488</v>
      </c>
      <c r="G52">
        <v>30</v>
      </c>
      <c r="H52">
        <v>19</v>
      </c>
      <c r="K52">
        <v>42</v>
      </c>
      <c r="L52">
        <v>22</v>
      </c>
      <c r="M52">
        <v>38681621.621621616</v>
      </c>
      <c r="N52">
        <v>53557207.20720721</v>
      </c>
      <c r="O52">
        <v>99484599.0990991</v>
      </c>
      <c r="P52">
        <v>103297652.25225225</v>
      </c>
      <c r="Q52">
        <v>40602792.79279279</v>
      </c>
      <c r="R52">
        <v>46216255.855855852</v>
      </c>
      <c r="S52">
        <v>4435</v>
      </c>
      <c r="T52">
        <v>4760</v>
      </c>
    </row>
    <row r="53" spans="1:20" x14ac:dyDescent="0.35">
      <c r="A53" s="7" t="s">
        <v>125</v>
      </c>
      <c r="B53" s="12" t="s">
        <v>126</v>
      </c>
      <c r="C53">
        <v>290710010.44616073</v>
      </c>
      <c r="D53">
        <v>317702943.60293758</v>
      </c>
      <c r="E53">
        <v>2853153.1531531578</v>
      </c>
      <c r="F53">
        <v>1948648.648648652</v>
      </c>
      <c r="G53">
        <v>61</v>
      </c>
      <c r="H53">
        <v>50</v>
      </c>
      <c r="K53">
        <v>98</v>
      </c>
      <c r="L53">
        <v>57</v>
      </c>
      <c r="M53">
        <v>88920270.270270273</v>
      </c>
      <c r="N53">
        <v>52047027.027027026</v>
      </c>
      <c r="O53">
        <v>91158368.468468457</v>
      </c>
      <c r="P53">
        <v>98727735.135135129</v>
      </c>
      <c r="Q53">
        <v>99331891.891891882</v>
      </c>
      <c r="R53">
        <v>53964504.504504502</v>
      </c>
      <c r="S53">
        <v>6375</v>
      </c>
      <c r="T53">
        <v>6557</v>
      </c>
    </row>
    <row r="54" spans="1:20" x14ac:dyDescent="0.35">
      <c r="A54" s="7" t="s">
        <v>127</v>
      </c>
      <c r="B54" s="12" t="s">
        <v>79</v>
      </c>
      <c r="C54">
        <v>188281549.93272749</v>
      </c>
      <c r="D54">
        <v>185249691.14076892</v>
      </c>
      <c r="E54">
        <v>4201801.8018018063</v>
      </c>
      <c r="F54">
        <v>5098198.1981982002</v>
      </c>
      <c r="G54">
        <v>58</v>
      </c>
      <c r="H54">
        <v>37</v>
      </c>
      <c r="I54">
        <v>1</v>
      </c>
      <c r="K54">
        <v>71</v>
      </c>
      <c r="L54">
        <v>40</v>
      </c>
      <c r="M54">
        <v>35116216.216216214</v>
      </c>
      <c r="N54">
        <v>38379279.279279277</v>
      </c>
      <c r="O54">
        <v>77727009.009009004</v>
      </c>
      <c r="P54">
        <v>77008855.855855852</v>
      </c>
      <c r="Q54">
        <v>31707387.387387387</v>
      </c>
      <c r="R54">
        <v>37629459.459459454</v>
      </c>
      <c r="S54">
        <v>4967</v>
      </c>
      <c r="T54">
        <v>4998</v>
      </c>
    </row>
    <row r="55" spans="1:20" x14ac:dyDescent="0.35">
      <c r="A55" s="7" t="s">
        <v>128</v>
      </c>
      <c r="B55" s="12" t="s">
        <v>79</v>
      </c>
      <c r="C55">
        <v>31476353.098294403</v>
      </c>
      <c r="D55">
        <v>31720747.089437928</v>
      </c>
      <c r="E55">
        <v>660360.36036036001</v>
      </c>
      <c r="F55">
        <v>627927.92792792898</v>
      </c>
      <c r="G55">
        <v>12</v>
      </c>
      <c r="H55">
        <v>8</v>
      </c>
      <c r="K55">
        <v>16</v>
      </c>
      <c r="L55">
        <v>9</v>
      </c>
      <c r="M55">
        <v>11966666.666666668</v>
      </c>
      <c r="N55">
        <v>13690990.990990993</v>
      </c>
      <c r="O55">
        <v>18168738.738738742</v>
      </c>
      <c r="P55">
        <v>17579990.990990993</v>
      </c>
      <c r="Q55">
        <v>11811441.441441439</v>
      </c>
      <c r="R55">
        <v>9298738.738738738</v>
      </c>
      <c r="S55">
        <v>1185</v>
      </c>
      <c r="T55">
        <v>1125</v>
      </c>
    </row>
    <row r="56" spans="1:20" x14ac:dyDescent="0.35">
      <c r="A56" s="7" t="s">
        <v>129</v>
      </c>
      <c r="B56" s="12" t="s">
        <v>79</v>
      </c>
      <c r="C56">
        <v>180921943.12194246</v>
      </c>
      <c r="D56">
        <v>183941264.36820191</v>
      </c>
      <c r="E56">
        <v>2054054.0540540579</v>
      </c>
      <c r="F56">
        <v>2914864.8648648718</v>
      </c>
      <c r="G56">
        <v>133</v>
      </c>
      <c r="H56">
        <v>56</v>
      </c>
      <c r="K56">
        <v>173</v>
      </c>
      <c r="L56">
        <v>71</v>
      </c>
      <c r="M56">
        <v>22936936.936936937</v>
      </c>
      <c r="N56">
        <v>33923873.873873875</v>
      </c>
      <c r="O56">
        <v>71315081.081081077</v>
      </c>
      <c r="P56">
        <v>75014441.441441447</v>
      </c>
      <c r="Q56">
        <v>21179279.27927928</v>
      </c>
      <c r="R56">
        <v>31903783.783783782</v>
      </c>
      <c r="S56">
        <v>5836</v>
      </c>
      <c r="T56">
        <v>5864</v>
      </c>
    </row>
    <row r="57" spans="1:20" x14ac:dyDescent="0.35">
      <c r="A57" s="7" t="s">
        <v>130</v>
      </c>
      <c r="B57" s="12" t="s">
        <v>86</v>
      </c>
      <c r="C57">
        <v>53405134.478748135</v>
      </c>
      <c r="D57">
        <v>55684810.937204123</v>
      </c>
      <c r="E57">
        <v>168468.46846847</v>
      </c>
      <c r="F57">
        <v>606306.30630630697</v>
      </c>
      <c r="G57">
        <v>12</v>
      </c>
      <c r="H57">
        <v>40</v>
      </c>
      <c r="K57">
        <v>14</v>
      </c>
      <c r="L57">
        <v>48</v>
      </c>
      <c r="M57">
        <v>50437117.117117122</v>
      </c>
      <c r="N57">
        <v>63713963.963963971</v>
      </c>
      <c r="O57">
        <v>25740432.432432432</v>
      </c>
      <c r="P57">
        <v>32317252.252252251</v>
      </c>
      <c r="Q57">
        <v>34275495.495495498</v>
      </c>
      <c r="R57">
        <v>60939189.189189181</v>
      </c>
      <c r="S57">
        <v>1284</v>
      </c>
      <c r="T57">
        <v>1206</v>
      </c>
    </row>
    <row r="58" spans="1:20" x14ac:dyDescent="0.35">
      <c r="A58" s="7" t="s">
        <v>131</v>
      </c>
      <c r="B58" s="12" t="s">
        <v>90</v>
      </c>
      <c r="C58">
        <v>495011485.58651441</v>
      </c>
      <c r="D58">
        <v>506553710.51265407</v>
      </c>
      <c r="E58">
        <v>3540990.9909909959</v>
      </c>
      <c r="F58">
        <v>6772972.9729729816</v>
      </c>
      <c r="G58">
        <v>65</v>
      </c>
      <c r="H58">
        <v>64</v>
      </c>
      <c r="K58">
        <v>92</v>
      </c>
      <c r="L58">
        <v>75</v>
      </c>
      <c r="M58">
        <v>34191801.801801808</v>
      </c>
      <c r="N58">
        <v>48627657.657657661</v>
      </c>
      <c r="O58">
        <v>156166484.68468466</v>
      </c>
      <c r="P58">
        <v>160992774.77477479</v>
      </c>
      <c r="Q58">
        <v>31663827.027027026</v>
      </c>
      <c r="R58">
        <v>48588468.468468472</v>
      </c>
      <c r="S58">
        <v>10818</v>
      </c>
      <c r="T58">
        <v>11244</v>
      </c>
    </row>
    <row r="59" spans="1:20" x14ac:dyDescent="0.35">
      <c r="A59" s="7" t="s">
        <v>132</v>
      </c>
      <c r="B59" s="12" t="s">
        <v>133</v>
      </c>
      <c r="C59">
        <v>269882988.59222811</v>
      </c>
      <c r="D59">
        <v>271414791.67073554</v>
      </c>
      <c r="E59">
        <v>65643846.846846849</v>
      </c>
      <c r="F59">
        <v>62251298.198198199</v>
      </c>
      <c r="G59">
        <v>155</v>
      </c>
      <c r="H59">
        <v>106</v>
      </c>
      <c r="K59">
        <v>167</v>
      </c>
      <c r="L59">
        <v>117</v>
      </c>
      <c r="M59">
        <v>37034684.684684686</v>
      </c>
      <c r="N59">
        <v>55614189.189189196</v>
      </c>
      <c r="O59">
        <v>85415105.855855852</v>
      </c>
      <c r="P59">
        <v>90885954.954954967</v>
      </c>
      <c r="Q59">
        <v>29023963.963963967</v>
      </c>
      <c r="R59">
        <v>43647477.477477483</v>
      </c>
      <c r="S59">
        <v>7160</v>
      </c>
      <c r="T59">
        <v>7360</v>
      </c>
    </row>
    <row r="60" spans="1:20" x14ac:dyDescent="0.35">
      <c r="A60" s="7" t="s">
        <v>134</v>
      </c>
      <c r="B60" s="12" t="s">
        <v>135</v>
      </c>
      <c r="C60">
        <v>27985405.801843725</v>
      </c>
      <c r="D60">
        <v>45205907.176691726</v>
      </c>
      <c r="E60">
        <v>269141458.55855858</v>
      </c>
      <c r="F60">
        <v>313298307.2072072</v>
      </c>
      <c r="G60">
        <v>1</v>
      </c>
      <c r="H60">
        <v>4</v>
      </c>
      <c r="K60">
        <v>1</v>
      </c>
      <c r="L60">
        <v>6</v>
      </c>
      <c r="M60">
        <v>35675675.675675675</v>
      </c>
      <c r="N60">
        <v>35986231.531531535</v>
      </c>
      <c r="O60">
        <v>5064268.4684684677</v>
      </c>
      <c r="P60">
        <v>7583702.702702703</v>
      </c>
      <c r="S60">
        <v>2169</v>
      </c>
      <c r="T60">
        <v>2317</v>
      </c>
    </row>
    <row r="61" spans="1:20" x14ac:dyDescent="0.35">
      <c r="A61" s="7" t="s">
        <v>136</v>
      </c>
      <c r="B61" s="12" t="s">
        <v>137</v>
      </c>
      <c r="C61">
        <v>226907960.5749858</v>
      </c>
      <c r="D61">
        <v>229560181.67779633</v>
      </c>
      <c r="E61">
        <v>917117.11711711995</v>
      </c>
      <c r="F61">
        <v>1337837.83783784</v>
      </c>
      <c r="G61">
        <v>65</v>
      </c>
      <c r="H61">
        <v>51</v>
      </c>
      <c r="I61">
        <v>4</v>
      </c>
      <c r="K61">
        <v>71</v>
      </c>
      <c r="L61">
        <v>54</v>
      </c>
      <c r="M61">
        <v>20466666.666666668</v>
      </c>
      <c r="N61">
        <v>22639639.639639638</v>
      </c>
      <c r="O61">
        <v>35044891.891891889</v>
      </c>
      <c r="P61">
        <v>40584504.504504502</v>
      </c>
      <c r="Q61">
        <v>16493783.783783784</v>
      </c>
      <c r="R61">
        <v>18838738.738738734</v>
      </c>
      <c r="S61">
        <v>3541</v>
      </c>
      <c r="T61">
        <v>3545</v>
      </c>
    </row>
    <row r="62" spans="1:20" x14ac:dyDescent="0.35">
      <c r="A62" s="7" t="s">
        <v>138</v>
      </c>
      <c r="B62" s="12" t="s">
        <v>90</v>
      </c>
      <c r="C62">
        <v>241588281.82465741</v>
      </c>
      <c r="D62">
        <v>254605152.38032767</v>
      </c>
      <c r="E62">
        <v>2997972.9729729812</v>
      </c>
      <c r="F62">
        <v>4178378.378378382</v>
      </c>
      <c r="G62">
        <v>47</v>
      </c>
      <c r="H62">
        <v>26</v>
      </c>
      <c r="I62">
        <v>6</v>
      </c>
      <c r="K62">
        <v>211</v>
      </c>
      <c r="L62">
        <v>30</v>
      </c>
      <c r="M62">
        <v>35745135.135135137</v>
      </c>
      <c r="N62">
        <v>52308288.288288288</v>
      </c>
      <c r="O62">
        <v>87085232.432432428</v>
      </c>
      <c r="P62">
        <v>95948432.432432428</v>
      </c>
      <c r="Q62">
        <v>29832612.612612616</v>
      </c>
      <c r="R62">
        <v>52874324.324324317</v>
      </c>
      <c r="S62">
        <v>4875</v>
      </c>
      <c r="T62">
        <v>4842</v>
      </c>
    </row>
    <row r="63" spans="1:20" x14ac:dyDescent="0.35">
      <c r="A63" s="7" t="s">
        <v>139</v>
      </c>
      <c r="B63" s="12" t="s">
        <v>79</v>
      </c>
      <c r="C63">
        <v>176405083.05188733</v>
      </c>
      <c r="D63">
        <v>178138466.92145813</v>
      </c>
      <c r="E63">
        <v>4787387.3873873902</v>
      </c>
      <c r="F63">
        <v>3981531.5315315379</v>
      </c>
      <c r="G63">
        <v>80</v>
      </c>
      <c r="H63">
        <v>59</v>
      </c>
      <c r="I63">
        <v>1</v>
      </c>
      <c r="K63">
        <v>95</v>
      </c>
      <c r="L63">
        <v>66</v>
      </c>
      <c r="M63">
        <v>24481081.081081081</v>
      </c>
      <c r="N63">
        <v>29202252.252252251</v>
      </c>
      <c r="O63">
        <v>77267362.612612605</v>
      </c>
      <c r="P63">
        <v>76681945.945945948</v>
      </c>
      <c r="Q63">
        <v>22156666.666666668</v>
      </c>
      <c r="R63">
        <v>25732612.612612616</v>
      </c>
      <c r="S63">
        <v>5157</v>
      </c>
      <c r="T63">
        <v>6618</v>
      </c>
    </row>
    <row r="64" spans="1:20" x14ac:dyDescent="0.35">
      <c r="A64" s="7" t="s">
        <v>140</v>
      </c>
      <c r="B64" s="12" t="s">
        <v>141</v>
      </c>
      <c r="C64">
        <v>245492060.43338755</v>
      </c>
      <c r="D64">
        <v>269959070.79737598</v>
      </c>
      <c r="E64">
        <v>2644144.1441441439</v>
      </c>
      <c r="F64">
        <v>2842342.342342345</v>
      </c>
      <c r="G64">
        <v>21</v>
      </c>
      <c r="H64">
        <v>19</v>
      </c>
      <c r="K64">
        <v>22</v>
      </c>
      <c r="L64">
        <v>29</v>
      </c>
      <c r="M64">
        <v>24153873.873873871</v>
      </c>
      <c r="N64">
        <v>26405405.40540541</v>
      </c>
      <c r="O64">
        <v>44594945.945945941</v>
      </c>
      <c r="P64">
        <v>50684581.981981985</v>
      </c>
      <c r="Q64">
        <v>18951441.441441439</v>
      </c>
      <c r="R64">
        <v>21959819.819819819</v>
      </c>
      <c r="S64">
        <v>4794</v>
      </c>
      <c r="T64">
        <v>5525</v>
      </c>
    </row>
    <row r="65" spans="1:20" x14ac:dyDescent="0.35">
      <c r="A65" s="7" t="s">
        <v>142</v>
      </c>
      <c r="B65" s="12" t="s">
        <v>63</v>
      </c>
      <c r="C65">
        <v>163109398.71704054</v>
      </c>
      <c r="D65">
        <v>169520203.33650202</v>
      </c>
      <c r="E65">
        <v>3080064.8648648681</v>
      </c>
      <c r="F65">
        <v>6861708.1081081089</v>
      </c>
      <c r="G65">
        <v>75</v>
      </c>
      <c r="H65">
        <v>16</v>
      </c>
      <c r="I65">
        <v>3</v>
      </c>
      <c r="K65">
        <v>108</v>
      </c>
      <c r="L65">
        <v>26</v>
      </c>
      <c r="M65">
        <v>92278281.081081077</v>
      </c>
      <c r="N65">
        <v>200353524.32432431</v>
      </c>
      <c r="O65">
        <v>36263900.9009009</v>
      </c>
      <c r="P65">
        <v>39509639.639639638</v>
      </c>
      <c r="Q65">
        <v>93032432.432432428</v>
      </c>
      <c r="R65">
        <v>185961981.98198199</v>
      </c>
      <c r="S65">
        <v>4687</v>
      </c>
      <c r="T65">
        <v>3858</v>
      </c>
    </row>
    <row r="66" spans="1:20" x14ac:dyDescent="0.35">
      <c r="A66" s="7" t="s">
        <v>143</v>
      </c>
      <c r="B66" s="12" t="s">
        <v>144</v>
      </c>
      <c r="C66">
        <v>1643512.4904269611</v>
      </c>
      <c r="D66">
        <v>1855799.458209384</v>
      </c>
      <c r="E66">
        <v>36846846.846846849</v>
      </c>
      <c r="F66">
        <v>24234234.234234232</v>
      </c>
      <c r="G66">
        <v>1</v>
      </c>
      <c r="K66">
        <v>1</v>
      </c>
      <c r="M66">
        <v>891891.89189189195</v>
      </c>
      <c r="N66">
        <v>972972.97297297302</v>
      </c>
      <c r="O66">
        <v>150090.09009009</v>
      </c>
      <c r="P66">
        <v>209414.414414414</v>
      </c>
      <c r="S66">
        <v>116</v>
      </c>
      <c r="T66">
        <v>123</v>
      </c>
    </row>
    <row r="67" spans="1:20" x14ac:dyDescent="0.35">
      <c r="A67" s="7" t="s">
        <v>145</v>
      </c>
      <c r="B67" s="12" t="s">
        <v>141</v>
      </c>
      <c r="C67">
        <v>349917758.7210784</v>
      </c>
      <c r="D67">
        <v>349740351.87715703</v>
      </c>
      <c r="E67">
        <v>56669819.819819823</v>
      </c>
      <c r="F67">
        <v>105539819.81981982</v>
      </c>
      <c r="G67">
        <v>76</v>
      </c>
      <c r="H67">
        <v>33</v>
      </c>
      <c r="K67">
        <v>97</v>
      </c>
      <c r="L67">
        <v>41</v>
      </c>
      <c r="M67">
        <v>39012297.297297299</v>
      </c>
      <c r="N67">
        <v>47976846.846846849</v>
      </c>
      <c r="O67">
        <v>64929981.981981985</v>
      </c>
      <c r="P67">
        <v>71314774.774774775</v>
      </c>
      <c r="Q67">
        <v>36393693.693693697</v>
      </c>
      <c r="R67">
        <v>47253873.873873875</v>
      </c>
      <c r="S67">
        <v>7838</v>
      </c>
      <c r="T67">
        <v>7850</v>
      </c>
    </row>
    <row r="68" spans="1:20" x14ac:dyDescent="0.35">
      <c r="A68" s="7" t="s">
        <v>146</v>
      </c>
      <c r="B68" s="12" t="s">
        <v>79</v>
      </c>
      <c r="C68">
        <v>247609098.5720816</v>
      </c>
      <c r="D68">
        <v>248721001.88956481</v>
      </c>
      <c r="E68">
        <v>2904504.5045045051</v>
      </c>
      <c r="F68">
        <v>3928828.8288288349</v>
      </c>
      <c r="G68">
        <v>82</v>
      </c>
      <c r="H68">
        <v>53</v>
      </c>
      <c r="K68">
        <v>93</v>
      </c>
      <c r="L68">
        <v>62</v>
      </c>
      <c r="M68">
        <v>22242342.342342343</v>
      </c>
      <c r="N68">
        <v>30136036.036036041</v>
      </c>
      <c r="O68">
        <v>71746414.414414421</v>
      </c>
      <c r="P68">
        <v>72611493.693693697</v>
      </c>
      <c r="Q68">
        <v>25635045.045045044</v>
      </c>
      <c r="R68">
        <v>27726666.666666668</v>
      </c>
      <c r="S68">
        <v>6409</v>
      </c>
      <c r="T68">
        <v>6590</v>
      </c>
    </row>
    <row r="69" spans="1:20" x14ac:dyDescent="0.35">
      <c r="A69" s="7" t="s">
        <v>147</v>
      </c>
      <c r="B69" s="12" t="s">
        <v>148</v>
      </c>
      <c r="C69">
        <v>162035897.47131109</v>
      </c>
      <c r="D69">
        <v>161169046.55419305</v>
      </c>
      <c r="E69">
        <v>3131531.5315315342</v>
      </c>
      <c r="F69">
        <v>3475675.6756756799</v>
      </c>
      <c r="G69">
        <v>32</v>
      </c>
      <c r="H69">
        <v>23</v>
      </c>
      <c r="K69">
        <v>37</v>
      </c>
      <c r="L69">
        <v>25</v>
      </c>
      <c r="M69">
        <v>46569002.702702701</v>
      </c>
      <c r="N69">
        <v>59088288.288288288</v>
      </c>
      <c r="O69">
        <v>52642468.468468465</v>
      </c>
      <c r="P69">
        <v>52631088.288288288</v>
      </c>
      <c r="Q69">
        <v>44777117.117117122</v>
      </c>
      <c r="R69">
        <v>57505405.40540541</v>
      </c>
      <c r="S69">
        <v>3777</v>
      </c>
      <c r="T69">
        <v>3677</v>
      </c>
    </row>
    <row r="70" spans="1:20" x14ac:dyDescent="0.35">
      <c r="A70" s="7" t="s">
        <v>149</v>
      </c>
      <c r="B70" s="12" t="s">
        <v>95</v>
      </c>
      <c r="C70">
        <v>17.531949365999999</v>
      </c>
      <c r="D70">
        <v>22.077324659999999</v>
      </c>
      <c r="S70">
        <v>9</v>
      </c>
      <c r="T70">
        <v>12</v>
      </c>
    </row>
    <row r="71" spans="1:20" x14ac:dyDescent="0.35">
      <c r="A71" s="7" t="s">
        <v>150</v>
      </c>
      <c r="B71" s="12" t="s">
        <v>51</v>
      </c>
      <c r="C71">
        <v>143587370.65289912</v>
      </c>
      <c r="D71">
        <v>145415174.24345258</v>
      </c>
      <c r="E71">
        <v>289189.189189189</v>
      </c>
      <c r="F71">
        <v>696396.39639640006</v>
      </c>
      <c r="G71">
        <v>33</v>
      </c>
      <c r="H71">
        <v>18</v>
      </c>
      <c r="K71">
        <v>36</v>
      </c>
      <c r="L71">
        <v>22</v>
      </c>
      <c r="M71">
        <v>9086036.0360360369</v>
      </c>
      <c r="N71">
        <v>12868198.198198199</v>
      </c>
      <c r="O71">
        <v>64530540.540540546</v>
      </c>
      <c r="P71">
        <v>66387153.153153151</v>
      </c>
      <c r="Q71">
        <v>7883963.9639639622</v>
      </c>
      <c r="R71">
        <v>11971801.801801804</v>
      </c>
      <c r="S71">
        <v>3487</v>
      </c>
      <c r="T71">
        <v>3444</v>
      </c>
    </row>
    <row r="72" spans="1:20" x14ac:dyDescent="0.35">
      <c r="A72" s="7" t="s">
        <v>151</v>
      </c>
      <c r="B72" s="12" t="s">
        <v>152</v>
      </c>
      <c r="C72">
        <v>44885391.655113615</v>
      </c>
      <c r="D72">
        <v>42312839.318053797</v>
      </c>
      <c r="E72">
        <v>571394584.68468463</v>
      </c>
      <c r="F72">
        <v>456767917.11711711</v>
      </c>
      <c r="G72">
        <v>9</v>
      </c>
      <c r="H72">
        <v>2</v>
      </c>
      <c r="K72">
        <v>10</v>
      </c>
      <c r="L72">
        <v>2</v>
      </c>
      <c r="M72">
        <v>84079054.054054052</v>
      </c>
      <c r="N72">
        <v>64983783.783783786</v>
      </c>
      <c r="O72">
        <v>12146387.387387387</v>
      </c>
      <c r="P72">
        <v>11913594.594594596</v>
      </c>
      <c r="Q72">
        <v>17635045.045045044</v>
      </c>
      <c r="R72">
        <v>31471441.441441439</v>
      </c>
      <c r="S72">
        <v>714</v>
      </c>
      <c r="T72">
        <v>645</v>
      </c>
    </row>
    <row r="73" spans="1:20" x14ac:dyDescent="0.35">
      <c r="A73" s="7" t="s">
        <v>153</v>
      </c>
      <c r="B73" s="12" t="s">
        <v>152</v>
      </c>
      <c r="C73">
        <v>432380325.9586162</v>
      </c>
      <c r="D73">
        <v>423361291.28352398</v>
      </c>
      <c r="E73">
        <v>7787612.6126126163</v>
      </c>
      <c r="F73">
        <v>2951381.981981995</v>
      </c>
      <c r="G73">
        <v>256</v>
      </c>
      <c r="H73">
        <v>33</v>
      </c>
      <c r="I73">
        <v>2</v>
      </c>
      <c r="K73">
        <v>273</v>
      </c>
      <c r="L73">
        <v>48</v>
      </c>
      <c r="M73">
        <v>285671693.6936937</v>
      </c>
      <c r="N73">
        <v>309001381.98198193</v>
      </c>
      <c r="O73">
        <v>152869360.36036035</v>
      </c>
      <c r="P73">
        <v>154411045.04504505</v>
      </c>
      <c r="Q73">
        <v>236030980.18018019</v>
      </c>
      <c r="R73">
        <v>245153286.48648649</v>
      </c>
      <c r="S73">
        <v>7983</v>
      </c>
      <c r="T73">
        <v>7977</v>
      </c>
    </row>
    <row r="74" spans="1:20" x14ac:dyDescent="0.35">
      <c r="A74" s="7" t="s">
        <v>154</v>
      </c>
      <c r="B74" s="12" t="s">
        <v>155</v>
      </c>
      <c r="C74">
        <v>370271053.91814959</v>
      </c>
      <c r="D74">
        <v>355576605.10757273</v>
      </c>
      <c r="E74">
        <v>128280855.85585585</v>
      </c>
      <c r="F74">
        <v>17847747.747747749</v>
      </c>
      <c r="G74">
        <v>55</v>
      </c>
      <c r="H74">
        <v>22</v>
      </c>
      <c r="K74">
        <v>63</v>
      </c>
      <c r="L74">
        <v>39</v>
      </c>
      <c r="M74">
        <v>56006756.75675676</v>
      </c>
      <c r="N74">
        <v>56205630.630630635</v>
      </c>
      <c r="O74">
        <v>153925198.1981982</v>
      </c>
      <c r="P74">
        <v>159500621.62162164</v>
      </c>
      <c r="Q74">
        <v>44219549.54954955</v>
      </c>
      <c r="R74">
        <v>53333243.24324324</v>
      </c>
      <c r="S74">
        <v>7168</v>
      </c>
      <c r="T74">
        <v>7014</v>
      </c>
    </row>
    <row r="75" spans="1:20" x14ac:dyDescent="0.35">
      <c r="A75" s="7" t="s">
        <v>156</v>
      </c>
      <c r="B75" s="12" t="s">
        <v>155</v>
      </c>
      <c r="C75">
        <v>42697217.430595994</v>
      </c>
      <c r="D75">
        <v>41585996.823576301</v>
      </c>
      <c r="E75">
        <v>90917436.036036029</v>
      </c>
      <c r="F75">
        <v>122257651.35135137</v>
      </c>
      <c r="G75">
        <v>10</v>
      </c>
      <c r="H75">
        <v>7</v>
      </c>
      <c r="K75">
        <v>12</v>
      </c>
      <c r="L75">
        <v>8</v>
      </c>
      <c r="M75">
        <v>22954054.054054055</v>
      </c>
      <c r="N75">
        <v>17769369.369369369</v>
      </c>
      <c r="O75">
        <v>10750306.306306306</v>
      </c>
      <c r="P75">
        <v>13270702.702702701</v>
      </c>
      <c r="Q75">
        <v>3980090.0900900899</v>
      </c>
      <c r="R75">
        <v>4386306.3063063072</v>
      </c>
      <c r="S75">
        <v>1453</v>
      </c>
      <c r="T75">
        <v>1890</v>
      </c>
    </row>
    <row r="76" spans="1:20" x14ac:dyDescent="0.35">
      <c r="A76" s="7" t="s">
        <v>157</v>
      </c>
      <c r="B76" s="12" t="s">
        <v>155</v>
      </c>
      <c r="C76">
        <v>415243584.47469348</v>
      </c>
      <c r="D76">
        <v>411277596.82556754</v>
      </c>
      <c r="E76">
        <v>4092117.11711712</v>
      </c>
      <c r="F76">
        <v>4743243.2432432463</v>
      </c>
      <c r="G76">
        <v>31</v>
      </c>
      <c r="H76">
        <v>19</v>
      </c>
      <c r="K76">
        <v>121</v>
      </c>
      <c r="L76">
        <v>24</v>
      </c>
      <c r="M76">
        <v>80009459.459459454</v>
      </c>
      <c r="N76">
        <v>87761711.711711705</v>
      </c>
      <c r="O76">
        <v>162079819.81981981</v>
      </c>
      <c r="P76">
        <v>172213072.07207206</v>
      </c>
      <c r="Q76">
        <v>90484594.594594598</v>
      </c>
      <c r="R76">
        <v>77219009.009009004</v>
      </c>
      <c r="S76">
        <v>8413</v>
      </c>
      <c r="T76">
        <v>11809</v>
      </c>
    </row>
    <row r="77" spans="1:20" x14ac:dyDescent="0.35">
      <c r="A77" s="7" t="s">
        <v>158</v>
      </c>
      <c r="B77" s="12" t="s">
        <v>135</v>
      </c>
      <c r="C77">
        <v>195336019.78362429</v>
      </c>
      <c r="D77">
        <v>190005014.8502073</v>
      </c>
      <c r="E77">
        <v>791891.89189189498</v>
      </c>
      <c r="F77">
        <v>2290090.0900900909</v>
      </c>
      <c r="G77">
        <v>37</v>
      </c>
      <c r="H77">
        <v>31</v>
      </c>
      <c r="K77">
        <v>42</v>
      </c>
      <c r="L77">
        <v>49</v>
      </c>
      <c r="M77">
        <v>22539647.747747749</v>
      </c>
      <c r="N77">
        <v>24416216.216216218</v>
      </c>
      <c r="O77">
        <v>19755819.819819819</v>
      </c>
      <c r="P77">
        <v>20030243.243243244</v>
      </c>
      <c r="Q77">
        <v>8585225.2252252251</v>
      </c>
      <c r="R77">
        <v>15016756.756756756</v>
      </c>
      <c r="S77">
        <v>4484</v>
      </c>
      <c r="T77">
        <v>4538</v>
      </c>
    </row>
    <row r="78" spans="1:20" x14ac:dyDescent="0.35">
      <c r="A78" s="7" t="s">
        <v>1</v>
      </c>
      <c r="B78" s="12" t="s">
        <v>159</v>
      </c>
      <c r="C78">
        <v>349113619.39650488</v>
      </c>
      <c r="D78">
        <v>350225333.26429874</v>
      </c>
      <c r="E78">
        <v>2499099.099099102</v>
      </c>
      <c r="F78">
        <v>2211711.7117117131</v>
      </c>
      <c r="G78">
        <v>93</v>
      </c>
      <c r="H78">
        <v>66</v>
      </c>
      <c r="I78">
        <v>1</v>
      </c>
      <c r="K78">
        <v>358</v>
      </c>
      <c r="L78">
        <v>75</v>
      </c>
      <c r="M78">
        <v>41732702.702702701</v>
      </c>
      <c r="N78">
        <v>50863288.288288288</v>
      </c>
      <c r="O78">
        <v>166006261.26126125</v>
      </c>
      <c r="P78">
        <v>165339486.48648649</v>
      </c>
      <c r="Q78">
        <v>39546036.036036037</v>
      </c>
      <c r="R78">
        <v>51178333.333333336</v>
      </c>
      <c r="S78">
        <v>8535</v>
      </c>
      <c r="T78">
        <v>8210</v>
      </c>
    </row>
    <row r="79" spans="1:20" x14ac:dyDescent="0.35">
      <c r="A79" s="7" t="s">
        <v>160</v>
      </c>
      <c r="B79" s="12" t="s">
        <v>122</v>
      </c>
      <c r="C79">
        <v>13075380.452032864</v>
      </c>
      <c r="D79">
        <v>10889550.527896306</v>
      </c>
      <c r="G79">
        <v>5</v>
      </c>
      <c r="H79">
        <v>7</v>
      </c>
      <c r="K79">
        <v>6</v>
      </c>
      <c r="L79">
        <v>8</v>
      </c>
      <c r="O79">
        <v>1175720.7207207209</v>
      </c>
      <c r="P79">
        <v>1655180.1801801799</v>
      </c>
      <c r="Q79">
        <v>29729.729729729999</v>
      </c>
      <c r="R79">
        <v>74324.324324323999</v>
      </c>
      <c r="S79">
        <v>502</v>
      </c>
      <c r="T79">
        <v>492</v>
      </c>
    </row>
    <row r="80" spans="1:20" x14ac:dyDescent="0.35">
      <c r="A80" s="7" t="s">
        <v>161</v>
      </c>
      <c r="B80" s="12" t="s">
        <v>162</v>
      </c>
      <c r="C80">
        <v>184636719.20463517</v>
      </c>
      <c r="D80">
        <v>195962199.20682758</v>
      </c>
      <c r="E80">
        <v>5467567.5675675748</v>
      </c>
      <c r="F80">
        <v>2988288.2882882911</v>
      </c>
      <c r="G80">
        <v>143</v>
      </c>
      <c r="H80">
        <v>277</v>
      </c>
      <c r="K80">
        <v>218</v>
      </c>
      <c r="L80">
        <v>363</v>
      </c>
      <c r="M80">
        <v>52933990.090090096</v>
      </c>
      <c r="N80">
        <v>50325090.090090096</v>
      </c>
      <c r="O80">
        <v>81588234.234234244</v>
      </c>
      <c r="P80">
        <v>87510234.234234244</v>
      </c>
      <c r="Q80">
        <v>53072162.16216217</v>
      </c>
      <c r="R80">
        <v>49223108.108108111</v>
      </c>
      <c r="S80">
        <v>5955</v>
      </c>
      <c r="T80">
        <v>6470</v>
      </c>
    </row>
    <row r="81" spans="1:20" x14ac:dyDescent="0.35">
      <c r="A81" s="7" t="s">
        <v>163</v>
      </c>
      <c r="B81" s="12" t="s">
        <v>77</v>
      </c>
      <c r="C81">
        <v>82884256.058145404</v>
      </c>
      <c r="D81">
        <v>84911212.674537942</v>
      </c>
      <c r="E81">
        <v>353153.15315315401</v>
      </c>
      <c r="F81">
        <v>216216.21621621601</v>
      </c>
      <c r="G81">
        <v>39</v>
      </c>
      <c r="H81">
        <v>14</v>
      </c>
      <c r="K81">
        <v>42</v>
      </c>
      <c r="L81">
        <v>14</v>
      </c>
      <c r="M81">
        <v>1497297.297297297</v>
      </c>
      <c r="N81">
        <v>1279279.2792792791</v>
      </c>
      <c r="O81">
        <v>4610765.7657657657</v>
      </c>
      <c r="P81">
        <v>4554693.6936936928</v>
      </c>
      <c r="Q81">
        <v>1240630.630630631</v>
      </c>
      <c r="R81">
        <v>1304684.684684684</v>
      </c>
      <c r="S81">
        <v>973</v>
      </c>
      <c r="T81">
        <v>965</v>
      </c>
    </row>
    <row r="82" spans="1:20" x14ac:dyDescent="0.35">
      <c r="A82" s="7" t="s">
        <v>164</v>
      </c>
      <c r="B82" s="12" t="s">
        <v>53</v>
      </c>
      <c r="C82">
        <v>64156172.121385753</v>
      </c>
      <c r="D82">
        <v>61551753.887113012</v>
      </c>
      <c r="E82">
        <v>908108.10810810805</v>
      </c>
      <c r="F82">
        <v>1078378.3783783801</v>
      </c>
      <c r="G82">
        <v>26</v>
      </c>
      <c r="H82">
        <v>5</v>
      </c>
      <c r="K82">
        <v>28</v>
      </c>
      <c r="L82">
        <v>7</v>
      </c>
      <c r="M82">
        <v>1151351.351351351</v>
      </c>
      <c r="N82">
        <v>2159459.4594594599</v>
      </c>
      <c r="O82">
        <v>31326756.756756756</v>
      </c>
      <c r="P82">
        <v>28403639.639639638</v>
      </c>
      <c r="Q82">
        <v>1331891.8918918921</v>
      </c>
      <c r="R82">
        <v>2170630.6306306301</v>
      </c>
      <c r="S82">
        <v>1591</v>
      </c>
      <c r="T82">
        <v>1498</v>
      </c>
    </row>
    <row r="83" spans="1:20" x14ac:dyDescent="0.35">
      <c r="A83" s="7" t="s">
        <v>165</v>
      </c>
      <c r="B83" s="12" t="s">
        <v>88</v>
      </c>
      <c r="C83">
        <v>33283235.985067636</v>
      </c>
      <c r="D83">
        <v>45340428.97747235</v>
      </c>
      <c r="E83">
        <v>54054.054054054002</v>
      </c>
      <c r="F83">
        <v>65765.765765766002</v>
      </c>
      <c r="G83">
        <v>9</v>
      </c>
      <c r="H83">
        <v>12</v>
      </c>
      <c r="K83">
        <v>11</v>
      </c>
      <c r="L83">
        <v>14</v>
      </c>
      <c r="M83">
        <v>264864.86486486398</v>
      </c>
      <c r="N83">
        <v>1790990.9909909919</v>
      </c>
      <c r="O83">
        <v>3026036.036036036</v>
      </c>
      <c r="P83">
        <v>7140135.1351351347</v>
      </c>
      <c r="Q83">
        <v>258918.918918918</v>
      </c>
      <c r="R83">
        <v>1832612.612612613</v>
      </c>
      <c r="S83">
        <v>1158</v>
      </c>
      <c r="T83">
        <v>1259</v>
      </c>
    </row>
    <row r="84" spans="1:20" x14ac:dyDescent="0.35">
      <c r="A84" s="7" t="s">
        <v>166</v>
      </c>
      <c r="B84" s="12" t="s">
        <v>144</v>
      </c>
      <c r="C84">
        <v>11272879.460185057</v>
      </c>
      <c r="D84">
        <v>10748497.236170735</v>
      </c>
      <c r="E84">
        <v>121621.62162162201</v>
      </c>
      <c r="F84">
        <v>297297.29729729798</v>
      </c>
      <c r="G84">
        <v>10</v>
      </c>
      <c r="K84">
        <v>10</v>
      </c>
      <c r="M84">
        <v>1445945.945945946</v>
      </c>
      <c r="N84">
        <v>747747.74774774804</v>
      </c>
      <c r="O84">
        <v>1392990.990990991</v>
      </c>
      <c r="P84">
        <v>1245036.036036036</v>
      </c>
      <c r="Q84">
        <v>673333.33333333302</v>
      </c>
      <c r="R84">
        <v>962972.97297297302</v>
      </c>
      <c r="S84">
        <v>345</v>
      </c>
      <c r="T84">
        <v>334</v>
      </c>
    </row>
    <row r="85" spans="1:20" x14ac:dyDescent="0.35">
      <c r="A85" s="7" t="s">
        <v>167</v>
      </c>
      <c r="B85" s="12" t="s">
        <v>168</v>
      </c>
      <c r="C85">
        <v>45753742.254060589</v>
      </c>
      <c r="D85">
        <v>42007651.620582543</v>
      </c>
      <c r="E85">
        <v>657657.65765765798</v>
      </c>
      <c r="F85">
        <v>63963.963963964001</v>
      </c>
      <c r="G85">
        <v>11</v>
      </c>
      <c r="H85">
        <v>5</v>
      </c>
      <c r="K85">
        <v>11</v>
      </c>
      <c r="L85">
        <v>9</v>
      </c>
      <c r="M85">
        <v>4493243.2432432426</v>
      </c>
      <c r="N85">
        <v>3309909.9099099101</v>
      </c>
      <c r="O85">
        <v>22187169.369369369</v>
      </c>
      <c r="P85">
        <v>22269594.594594598</v>
      </c>
      <c r="Q85">
        <v>4064774.774774774</v>
      </c>
      <c r="R85">
        <v>2385225.2252252251</v>
      </c>
      <c r="S85">
        <v>1388</v>
      </c>
      <c r="T85">
        <v>1278</v>
      </c>
    </row>
    <row r="86" spans="1:20" x14ac:dyDescent="0.35">
      <c r="A86" s="7" t="s">
        <v>169</v>
      </c>
      <c r="B86" s="12" t="s">
        <v>170</v>
      </c>
      <c r="C86">
        <v>210974710.14810753</v>
      </c>
      <c r="D86">
        <v>224100291.32282385</v>
      </c>
      <c r="E86">
        <v>1444144.144144146</v>
      </c>
      <c r="F86">
        <v>3433333.3333333349</v>
      </c>
      <c r="G86">
        <v>43</v>
      </c>
      <c r="H86">
        <v>28</v>
      </c>
      <c r="K86">
        <v>49</v>
      </c>
      <c r="L86">
        <v>37</v>
      </c>
      <c r="M86">
        <v>33624573.873873875</v>
      </c>
      <c r="N86">
        <v>50703603.603603601</v>
      </c>
      <c r="O86">
        <v>65488867.117117122</v>
      </c>
      <c r="P86">
        <v>72884315.315315306</v>
      </c>
      <c r="Q86">
        <v>34779459.459459454</v>
      </c>
      <c r="R86">
        <v>46711621.621621624</v>
      </c>
      <c r="S86">
        <v>7083</v>
      </c>
      <c r="T86">
        <v>6549</v>
      </c>
    </row>
    <row r="87" spans="1:20" x14ac:dyDescent="0.35">
      <c r="A87" s="7" t="s">
        <v>171</v>
      </c>
      <c r="B87" s="12" t="s">
        <v>55</v>
      </c>
      <c r="C87">
        <v>31056130.794290416</v>
      </c>
      <c r="D87">
        <v>38207964.339392513</v>
      </c>
      <c r="E87">
        <v>52291801.801801801</v>
      </c>
      <c r="F87">
        <v>84497297.297297299</v>
      </c>
      <c r="G87">
        <v>2</v>
      </c>
      <c r="H87">
        <v>4</v>
      </c>
      <c r="K87">
        <v>3</v>
      </c>
      <c r="L87">
        <v>5</v>
      </c>
      <c r="M87">
        <v>2974324.3243243252</v>
      </c>
      <c r="N87">
        <v>6069369.369369369</v>
      </c>
      <c r="O87">
        <v>4996801.8018018017</v>
      </c>
      <c r="P87">
        <v>5994684.6846846854</v>
      </c>
      <c r="Q87">
        <v>3123873.8738738731</v>
      </c>
      <c r="R87">
        <v>4903513.5135135138</v>
      </c>
      <c r="S87">
        <v>689</v>
      </c>
      <c r="T87">
        <v>714</v>
      </c>
    </row>
    <row r="88" spans="1:20" x14ac:dyDescent="0.35">
      <c r="A88" s="7" t="s">
        <v>172</v>
      </c>
      <c r="B88" s="12" t="s">
        <v>61</v>
      </c>
      <c r="C88">
        <v>652698779.1964525</v>
      </c>
      <c r="D88">
        <v>649180170.85916913</v>
      </c>
      <c r="E88">
        <v>7587387.3873873902</v>
      </c>
      <c r="F88">
        <v>5709009.0090090167</v>
      </c>
      <c r="G88">
        <v>172</v>
      </c>
      <c r="H88">
        <v>40</v>
      </c>
      <c r="K88">
        <v>197</v>
      </c>
      <c r="L88">
        <v>55</v>
      </c>
      <c r="M88">
        <v>31601801.801801804</v>
      </c>
      <c r="N88">
        <v>39736036.036036037</v>
      </c>
      <c r="O88">
        <v>240658261.26126125</v>
      </c>
      <c r="P88">
        <v>236717727.92792794</v>
      </c>
      <c r="Q88">
        <v>31084414.414414413</v>
      </c>
      <c r="R88">
        <v>33598648.648648649</v>
      </c>
      <c r="S88">
        <v>12001</v>
      </c>
      <c r="T88">
        <v>11658</v>
      </c>
    </row>
    <row r="89" spans="1:20" x14ac:dyDescent="0.35">
      <c r="A89" s="7" t="s">
        <v>173</v>
      </c>
      <c r="B89" s="12" t="s">
        <v>122</v>
      </c>
      <c r="C89">
        <v>268219455.27870408</v>
      </c>
      <c r="D89">
        <v>253180340.84813061</v>
      </c>
      <c r="E89">
        <v>1664864.8648648669</v>
      </c>
      <c r="F89">
        <v>1049549.549549554</v>
      </c>
      <c r="G89">
        <v>110</v>
      </c>
      <c r="H89">
        <v>95</v>
      </c>
      <c r="K89">
        <v>119</v>
      </c>
      <c r="L89">
        <v>110</v>
      </c>
      <c r="M89">
        <v>18527027.027027026</v>
      </c>
      <c r="N89">
        <v>16319819.819819817</v>
      </c>
      <c r="O89">
        <v>37325979.729729727</v>
      </c>
      <c r="P89">
        <v>42501279.279279277</v>
      </c>
      <c r="Q89">
        <v>12222522.52252252</v>
      </c>
      <c r="R89">
        <v>11680180.180180181</v>
      </c>
      <c r="S89">
        <v>5750</v>
      </c>
      <c r="T89">
        <v>5698</v>
      </c>
    </row>
    <row r="90" spans="1:20" x14ac:dyDescent="0.35">
      <c r="A90" s="7" t="s">
        <v>174</v>
      </c>
      <c r="B90" s="12" t="s">
        <v>175</v>
      </c>
      <c r="C90">
        <v>193572149.94971067</v>
      </c>
      <c r="D90">
        <v>201561686.72936267</v>
      </c>
      <c r="E90">
        <v>3431306.3063063049</v>
      </c>
      <c r="F90">
        <v>3223423.4234234281</v>
      </c>
      <c r="G90">
        <v>92</v>
      </c>
      <c r="H90">
        <v>29</v>
      </c>
      <c r="K90">
        <v>151</v>
      </c>
      <c r="L90">
        <v>43</v>
      </c>
      <c r="M90">
        <v>26086936.936936937</v>
      </c>
      <c r="N90">
        <v>33949549.54954955</v>
      </c>
      <c r="O90">
        <v>24767342.342342343</v>
      </c>
      <c r="P90">
        <v>25679126.126126129</v>
      </c>
      <c r="Q90">
        <v>25555405.405405402</v>
      </c>
      <c r="R90">
        <v>29931801.801801804</v>
      </c>
      <c r="S90">
        <v>4496</v>
      </c>
      <c r="T90">
        <v>4641</v>
      </c>
    </row>
    <row r="91" spans="1:20" x14ac:dyDescent="0.35">
      <c r="A91" s="7" t="s">
        <v>176</v>
      </c>
      <c r="B91" s="12" t="s">
        <v>175</v>
      </c>
      <c r="C91">
        <v>303568461.98057932</v>
      </c>
      <c r="D91">
        <v>314448811.94611764</v>
      </c>
      <c r="E91">
        <v>118053710.81081082</v>
      </c>
      <c r="F91">
        <v>137862352.25225225</v>
      </c>
      <c r="G91">
        <v>139</v>
      </c>
      <c r="H91">
        <v>148</v>
      </c>
      <c r="I91">
        <v>1</v>
      </c>
      <c r="K91">
        <v>173</v>
      </c>
      <c r="L91">
        <v>193</v>
      </c>
      <c r="M91">
        <v>51000000</v>
      </c>
      <c r="N91">
        <v>49577609.909909911</v>
      </c>
      <c r="O91">
        <v>50776675.675675675</v>
      </c>
      <c r="P91">
        <v>51235954.954954952</v>
      </c>
      <c r="Q91">
        <v>31315585.585585583</v>
      </c>
      <c r="R91">
        <v>36017567.567567565</v>
      </c>
      <c r="S91">
        <v>8450</v>
      </c>
      <c r="T91">
        <v>8643</v>
      </c>
    </row>
    <row r="92" spans="1:20" x14ac:dyDescent="0.35">
      <c r="A92" s="7" t="s">
        <v>177</v>
      </c>
      <c r="B92" s="12" t="s">
        <v>175</v>
      </c>
      <c r="C92">
        <v>412010966.22568971</v>
      </c>
      <c r="D92">
        <v>416894315.31397504</v>
      </c>
      <c r="E92">
        <v>1685810.8108108169</v>
      </c>
      <c r="F92">
        <v>2463063.0630630702</v>
      </c>
      <c r="G92">
        <v>205</v>
      </c>
      <c r="H92">
        <v>208</v>
      </c>
      <c r="K92">
        <v>253</v>
      </c>
      <c r="L92">
        <v>253</v>
      </c>
      <c r="M92">
        <v>39156756.75675676</v>
      </c>
      <c r="N92">
        <v>50497754.954954959</v>
      </c>
      <c r="O92">
        <v>61954671.171171173</v>
      </c>
      <c r="P92">
        <v>67622738.738738731</v>
      </c>
      <c r="Q92">
        <v>33423693.693693697</v>
      </c>
      <c r="R92">
        <v>44145405.40540541</v>
      </c>
      <c r="S92">
        <v>11969</v>
      </c>
      <c r="T92">
        <v>12079</v>
      </c>
    </row>
    <row r="93" spans="1:20" x14ac:dyDescent="0.35">
      <c r="A93" s="7" t="s">
        <v>178</v>
      </c>
      <c r="B93" s="12" t="s">
        <v>179</v>
      </c>
      <c r="C93">
        <v>139217520.58524203</v>
      </c>
      <c r="D93">
        <v>128649816.76180477</v>
      </c>
      <c r="E93">
        <v>440540.540540541</v>
      </c>
      <c r="F93">
        <v>1585585.585585587</v>
      </c>
      <c r="G93">
        <v>24</v>
      </c>
      <c r="H93">
        <v>12</v>
      </c>
      <c r="K93">
        <v>30</v>
      </c>
      <c r="L93">
        <v>65</v>
      </c>
      <c r="M93">
        <v>9556981.9819819815</v>
      </c>
      <c r="N93">
        <v>9066216.2162162159</v>
      </c>
      <c r="O93">
        <v>57163863.063063063</v>
      </c>
      <c r="P93">
        <v>50661090.090090089</v>
      </c>
      <c r="Q93">
        <v>9079864.8648648635</v>
      </c>
      <c r="R93">
        <v>7224774.774774774</v>
      </c>
      <c r="S93">
        <v>3552</v>
      </c>
      <c r="T93">
        <v>4668</v>
      </c>
    </row>
    <row r="94" spans="1:20" x14ac:dyDescent="0.35">
      <c r="A94" s="7" t="s">
        <v>180</v>
      </c>
      <c r="B94" s="12" t="s">
        <v>168</v>
      </c>
      <c r="C94">
        <v>163151166.94378528</v>
      </c>
      <c r="D94">
        <v>183597168.3972584</v>
      </c>
      <c r="E94">
        <v>1774549.5495495501</v>
      </c>
      <c r="F94">
        <v>3834684.6846846859</v>
      </c>
      <c r="G94">
        <v>28</v>
      </c>
      <c r="H94">
        <v>18</v>
      </c>
      <c r="K94">
        <v>45</v>
      </c>
      <c r="L94">
        <v>20</v>
      </c>
      <c r="M94">
        <v>4220720.7207207223</v>
      </c>
      <c r="N94">
        <v>12429729.729729731</v>
      </c>
      <c r="O94">
        <v>41553567.567567565</v>
      </c>
      <c r="P94">
        <v>60662162.162162162</v>
      </c>
      <c r="Q94">
        <v>2434054.0540540572</v>
      </c>
      <c r="R94">
        <v>8077117.117117119</v>
      </c>
      <c r="S94">
        <v>4427</v>
      </c>
      <c r="T94">
        <v>4490</v>
      </c>
    </row>
    <row r="95" spans="1:20" x14ac:dyDescent="0.35">
      <c r="A95" s="7" t="s">
        <v>181</v>
      </c>
      <c r="B95" s="12" t="s">
        <v>182</v>
      </c>
      <c r="C95">
        <v>132796576.64264961</v>
      </c>
      <c r="D95">
        <v>139559094.64138752</v>
      </c>
      <c r="E95">
        <v>310810.81081081199</v>
      </c>
      <c r="F95">
        <v>2299099.099099101</v>
      </c>
      <c r="G95">
        <v>22</v>
      </c>
      <c r="H95">
        <v>28</v>
      </c>
      <c r="K95">
        <v>25</v>
      </c>
      <c r="L95">
        <v>31</v>
      </c>
      <c r="M95">
        <v>7720540.5405405369</v>
      </c>
      <c r="N95">
        <v>29724774.774774775</v>
      </c>
      <c r="O95">
        <v>33498335.585585583</v>
      </c>
      <c r="P95">
        <v>33872576.576576576</v>
      </c>
      <c r="Q95">
        <v>8494414.4144144095</v>
      </c>
      <c r="R95">
        <v>27940900.900900897</v>
      </c>
      <c r="S95">
        <v>3035</v>
      </c>
      <c r="T95">
        <v>3767</v>
      </c>
    </row>
    <row r="96" spans="1:20" x14ac:dyDescent="0.35">
      <c r="A96" s="7" t="s">
        <v>665</v>
      </c>
      <c r="B96" s="12" t="s">
        <v>69</v>
      </c>
      <c r="E96">
        <v>107794856.75675675</v>
      </c>
      <c r="F96">
        <v>126692330.63063063</v>
      </c>
      <c r="M96">
        <v>2116216.2162162159</v>
      </c>
      <c r="N96">
        <v>27492792.792792793</v>
      </c>
      <c r="S96">
        <v>1</v>
      </c>
    </row>
    <row r="97" spans="1:20" x14ac:dyDescent="0.35">
      <c r="A97" s="7" t="s">
        <v>183</v>
      </c>
      <c r="B97" s="12" t="s">
        <v>95</v>
      </c>
      <c r="C97">
        <v>130304457.61994657</v>
      </c>
      <c r="D97">
        <v>138429975.32143828</v>
      </c>
      <c r="E97">
        <v>40540.540540540998</v>
      </c>
      <c r="F97">
        <v>90090.090090090001</v>
      </c>
      <c r="G97">
        <v>38</v>
      </c>
      <c r="H97">
        <v>30</v>
      </c>
      <c r="I97">
        <v>1</v>
      </c>
      <c r="K97">
        <v>51</v>
      </c>
      <c r="L97">
        <v>38</v>
      </c>
      <c r="M97">
        <v>4463963.9639639631</v>
      </c>
      <c r="N97">
        <v>1891891.8918918921</v>
      </c>
      <c r="O97">
        <v>14319990.990990993</v>
      </c>
      <c r="P97">
        <v>21093198.198198199</v>
      </c>
      <c r="Q97">
        <v>1590000</v>
      </c>
      <c r="R97">
        <v>560360.36036036105</v>
      </c>
      <c r="S97">
        <v>3714</v>
      </c>
      <c r="T97">
        <v>3761</v>
      </c>
    </row>
    <row r="98" spans="1:20" x14ac:dyDescent="0.35">
      <c r="A98" s="7" t="s">
        <v>184</v>
      </c>
      <c r="B98" s="12" t="s">
        <v>95</v>
      </c>
      <c r="C98">
        <v>796141441.26520729</v>
      </c>
      <c r="D98">
        <v>862250102.43425155</v>
      </c>
      <c r="E98">
        <v>962408359.45945942</v>
      </c>
      <c r="F98">
        <v>205494405.4054054</v>
      </c>
      <c r="G98">
        <v>160</v>
      </c>
      <c r="H98">
        <v>222</v>
      </c>
      <c r="K98">
        <v>197</v>
      </c>
      <c r="L98">
        <v>292</v>
      </c>
      <c r="M98">
        <v>53318468.468468465</v>
      </c>
      <c r="N98">
        <v>58797387.387387387</v>
      </c>
      <c r="O98">
        <v>98137078.828828827</v>
      </c>
      <c r="P98">
        <v>127895576.57657658</v>
      </c>
      <c r="Q98">
        <v>44294234.234234229</v>
      </c>
      <c r="R98">
        <v>45265225.225225225</v>
      </c>
      <c r="S98">
        <v>15907</v>
      </c>
      <c r="T98">
        <v>16613</v>
      </c>
    </row>
    <row r="99" spans="1:20" x14ac:dyDescent="0.35">
      <c r="A99" s="7" t="s">
        <v>185</v>
      </c>
      <c r="B99" s="12" t="s">
        <v>90</v>
      </c>
      <c r="C99">
        <v>71563646.898169622</v>
      </c>
      <c r="D99">
        <v>64556919.735780276</v>
      </c>
      <c r="E99">
        <v>137384459.45945945</v>
      </c>
      <c r="F99">
        <v>283493693.6936937</v>
      </c>
      <c r="G99">
        <v>18</v>
      </c>
      <c r="H99">
        <v>5</v>
      </c>
      <c r="K99">
        <v>18</v>
      </c>
      <c r="L99">
        <v>6</v>
      </c>
      <c r="M99">
        <v>3869729.7297297302</v>
      </c>
      <c r="N99">
        <v>5151171.1711711707</v>
      </c>
      <c r="O99">
        <v>24183225.225225225</v>
      </c>
      <c r="P99">
        <v>24985927.927927926</v>
      </c>
      <c r="Q99">
        <v>3372252.2522522528</v>
      </c>
      <c r="R99">
        <v>3887297.2972972989</v>
      </c>
      <c r="S99">
        <v>1585</v>
      </c>
      <c r="T99">
        <v>1537</v>
      </c>
    </row>
    <row r="100" spans="1:20" x14ac:dyDescent="0.35">
      <c r="A100" s="7" t="s">
        <v>186</v>
      </c>
      <c r="B100" s="12" t="s">
        <v>61</v>
      </c>
      <c r="C100">
        <v>42891582.462886691</v>
      </c>
      <c r="D100">
        <v>47138356.244345412</v>
      </c>
      <c r="E100">
        <v>259459.45945946101</v>
      </c>
      <c r="F100">
        <v>927027.02702702803</v>
      </c>
      <c r="G100">
        <v>11</v>
      </c>
      <c r="H100">
        <v>6</v>
      </c>
      <c r="K100">
        <v>11</v>
      </c>
      <c r="L100">
        <v>7</v>
      </c>
      <c r="M100">
        <v>1250450.450450452</v>
      </c>
      <c r="N100">
        <v>2611711.7117117122</v>
      </c>
      <c r="O100">
        <v>14847497.747747747</v>
      </c>
      <c r="P100">
        <v>16492423.423423424</v>
      </c>
      <c r="Q100">
        <v>892342.34234234295</v>
      </c>
      <c r="R100">
        <v>3117117.1171171172</v>
      </c>
      <c r="S100">
        <v>799</v>
      </c>
      <c r="T100">
        <v>808</v>
      </c>
    </row>
    <row r="101" spans="1:20" x14ac:dyDescent="0.35">
      <c r="A101" s="7" t="s">
        <v>187</v>
      </c>
      <c r="B101" s="12" t="s">
        <v>168</v>
      </c>
      <c r="C101">
        <v>107652201.17994592</v>
      </c>
      <c r="D101">
        <v>103614036.64847434</v>
      </c>
      <c r="E101">
        <v>1630405.4054054059</v>
      </c>
      <c r="F101">
        <v>2108108.1081081079</v>
      </c>
      <c r="G101">
        <v>4</v>
      </c>
      <c r="H101">
        <v>4</v>
      </c>
      <c r="K101">
        <v>5</v>
      </c>
      <c r="L101">
        <v>9</v>
      </c>
      <c r="M101">
        <v>1671171.1711711721</v>
      </c>
      <c r="N101">
        <v>2144144.1441441439</v>
      </c>
      <c r="O101">
        <v>28763855.855855856</v>
      </c>
      <c r="P101">
        <v>31789962.162162159</v>
      </c>
      <c r="Q101">
        <v>268828.82882882899</v>
      </c>
      <c r="R101">
        <v>1558018.018018018</v>
      </c>
      <c r="S101">
        <v>2605</v>
      </c>
      <c r="T101">
        <v>2886</v>
      </c>
    </row>
    <row r="102" spans="1:20" x14ac:dyDescent="0.35">
      <c r="A102" s="7" t="s">
        <v>188</v>
      </c>
      <c r="B102" s="12" t="s">
        <v>168</v>
      </c>
      <c r="C102">
        <v>282857181.81647301</v>
      </c>
      <c r="D102">
        <v>307586023.81470382</v>
      </c>
      <c r="E102">
        <v>6132432.4324324364</v>
      </c>
      <c r="F102">
        <v>58090090.090090089</v>
      </c>
      <c r="G102">
        <v>31</v>
      </c>
      <c r="H102">
        <v>8</v>
      </c>
      <c r="K102">
        <v>34</v>
      </c>
      <c r="L102">
        <v>10</v>
      </c>
      <c r="M102">
        <v>11015797.297297301</v>
      </c>
      <c r="N102">
        <v>11003603.603603609</v>
      </c>
      <c r="O102">
        <v>57484423.423423424</v>
      </c>
      <c r="P102">
        <v>74124115.315315306</v>
      </c>
      <c r="Q102">
        <v>9123423.4234234281</v>
      </c>
      <c r="R102">
        <v>10123153.153153157</v>
      </c>
      <c r="S102">
        <v>5945</v>
      </c>
      <c r="T102">
        <v>5589</v>
      </c>
    </row>
    <row r="103" spans="1:20" x14ac:dyDescent="0.35">
      <c r="A103" s="7" t="s">
        <v>189</v>
      </c>
      <c r="B103" s="12" t="s">
        <v>190</v>
      </c>
      <c r="C103">
        <v>125504232.06790163</v>
      </c>
      <c r="D103">
        <v>131660052.77310772</v>
      </c>
      <c r="E103">
        <v>270270.27027027</v>
      </c>
      <c r="F103">
        <v>270270.27027027</v>
      </c>
      <c r="G103">
        <v>22</v>
      </c>
      <c r="H103">
        <v>34</v>
      </c>
      <c r="I103">
        <v>1</v>
      </c>
      <c r="K103">
        <v>22</v>
      </c>
      <c r="L103">
        <v>34</v>
      </c>
      <c r="M103">
        <v>1621621.621621622</v>
      </c>
      <c r="N103">
        <v>2657657.6576576582</v>
      </c>
      <c r="O103">
        <v>9023774.7747747768</v>
      </c>
      <c r="P103">
        <v>11498567.567567568</v>
      </c>
      <c r="Q103">
        <v>1600000</v>
      </c>
      <c r="R103">
        <v>1789189.1891891891</v>
      </c>
      <c r="S103">
        <v>1735</v>
      </c>
      <c r="T103">
        <v>1715</v>
      </c>
    </row>
    <row r="104" spans="1:20" x14ac:dyDescent="0.35">
      <c r="A104" s="7" t="s">
        <v>191</v>
      </c>
      <c r="B104" s="12" t="s">
        <v>135</v>
      </c>
      <c r="C104">
        <v>30059830.357798368</v>
      </c>
      <c r="D104">
        <v>27443181.758262672</v>
      </c>
      <c r="E104">
        <v>13513.513513514001</v>
      </c>
      <c r="G104">
        <v>19</v>
      </c>
      <c r="H104">
        <v>25</v>
      </c>
      <c r="K104">
        <v>20</v>
      </c>
      <c r="L104">
        <v>28</v>
      </c>
      <c r="M104">
        <v>13513.513513514001</v>
      </c>
      <c r="O104">
        <v>2263198.1981981979</v>
      </c>
      <c r="P104">
        <v>2375756.7567567569</v>
      </c>
      <c r="Q104">
        <v>121621.62162162201</v>
      </c>
      <c r="S104">
        <v>958</v>
      </c>
      <c r="T104">
        <v>878</v>
      </c>
    </row>
    <row r="105" spans="1:20" x14ac:dyDescent="0.35">
      <c r="A105" s="7" t="s">
        <v>192</v>
      </c>
      <c r="B105" s="12" t="s">
        <v>61</v>
      </c>
      <c r="C105">
        <v>179261494.29435942</v>
      </c>
      <c r="D105">
        <v>181272212.11334425</v>
      </c>
      <c r="E105">
        <v>1824099.0990991001</v>
      </c>
      <c r="F105">
        <v>2285585.5855855858</v>
      </c>
      <c r="G105">
        <v>27</v>
      </c>
      <c r="H105">
        <v>33</v>
      </c>
      <c r="K105">
        <v>57</v>
      </c>
      <c r="L105">
        <v>80</v>
      </c>
      <c r="M105">
        <v>15644144.144144146</v>
      </c>
      <c r="N105">
        <v>23091441.441441439</v>
      </c>
      <c r="O105">
        <v>58792810.810810804</v>
      </c>
      <c r="P105">
        <v>62447891.891891889</v>
      </c>
      <c r="Q105">
        <v>14482702.702702705</v>
      </c>
      <c r="R105">
        <v>22322702.702702705</v>
      </c>
      <c r="S105">
        <v>3885</v>
      </c>
      <c r="T105">
        <v>3988</v>
      </c>
    </row>
    <row r="106" spans="1:20" x14ac:dyDescent="0.35">
      <c r="A106" s="7" t="s">
        <v>193</v>
      </c>
      <c r="B106" s="12" t="s">
        <v>61</v>
      </c>
      <c r="C106">
        <v>308178493.86945528</v>
      </c>
      <c r="D106">
        <v>323285533.07273692</v>
      </c>
      <c r="E106">
        <v>2599099.0990990992</v>
      </c>
      <c r="F106">
        <v>2304504.5045045079</v>
      </c>
      <c r="G106">
        <v>28</v>
      </c>
      <c r="H106">
        <v>36</v>
      </c>
      <c r="I106">
        <v>2</v>
      </c>
      <c r="K106">
        <v>36</v>
      </c>
      <c r="L106">
        <v>53</v>
      </c>
      <c r="M106">
        <v>18067567.567567568</v>
      </c>
      <c r="N106">
        <v>24457657.657657657</v>
      </c>
      <c r="O106">
        <v>74094432.432432428</v>
      </c>
      <c r="P106">
        <v>78807007.207207203</v>
      </c>
      <c r="Q106">
        <v>15488018.01801802</v>
      </c>
      <c r="R106">
        <v>23063016.216216218</v>
      </c>
      <c r="S106">
        <v>6575</v>
      </c>
      <c r="T106">
        <v>6608</v>
      </c>
    </row>
    <row r="107" spans="1:20" x14ac:dyDescent="0.35">
      <c r="A107" s="7" t="s">
        <v>2</v>
      </c>
      <c r="B107" s="12" t="s">
        <v>194</v>
      </c>
      <c r="C107">
        <v>32945545.000411741</v>
      </c>
      <c r="D107">
        <v>16642882.153109975</v>
      </c>
      <c r="E107">
        <v>40540.540540542002</v>
      </c>
      <c r="F107">
        <v>193693.69369369399</v>
      </c>
      <c r="G107">
        <v>4</v>
      </c>
      <c r="K107">
        <v>4</v>
      </c>
      <c r="M107">
        <v>40540.540540542002</v>
      </c>
      <c r="N107">
        <v>283783.78378378402</v>
      </c>
      <c r="O107">
        <v>18229540.540540539</v>
      </c>
      <c r="P107">
        <v>10980540.540540541</v>
      </c>
      <c r="Q107">
        <v>157657.65765765801</v>
      </c>
      <c r="R107">
        <v>212162.16216216201</v>
      </c>
      <c r="S107">
        <v>1040</v>
      </c>
      <c r="T107">
        <v>1199</v>
      </c>
    </row>
    <row r="108" spans="1:20" x14ac:dyDescent="0.35">
      <c r="A108" s="7" t="s">
        <v>195</v>
      </c>
      <c r="B108" s="12" t="s">
        <v>196</v>
      </c>
      <c r="C108">
        <v>1093452860.6672206</v>
      </c>
      <c r="D108">
        <v>1128619486.9855742</v>
      </c>
      <c r="E108">
        <v>34095270.270270273</v>
      </c>
      <c r="F108">
        <v>28950450.45045045</v>
      </c>
      <c r="G108">
        <v>289</v>
      </c>
      <c r="H108">
        <v>105</v>
      </c>
      <c r="I108">
        <v>2</v>
      </c>
      <c r="K108">
        <v>354</v>
      </c>
      <c r="L108">
        <v>153</v>
      </c>
      <c r="M108">
        <v>51532432.432432435</v>
      </c>
      <c r="N108">
        <v>51699099.0990991</v>
      </c>
      <c r="O108">
        <v>211996405.4054054</v>
      </c>
      <c r="P108">
        <v>228799855.85585588</v>
      </c>
      <c r="Q108">
        <v>52129729.729729727</v>
      </c>
      <c r="R108">
        <v>48921531.531531528</v>
      </c>
      <c r="S108">
        <v>17510</v>
      </c>
      <c r="T108">
        <v>18407</v>
      </c>
    </row>
    <row r="109" spans="1:20" x14ac:dyDescent="0.35">
      <c r="A109" s="7" t="s">
        <v>197</v>
      </c>
      <c r="B109" s="12" t="s">
        <v>81</v>
      </c>
      <c r="C109">
        <v>333571286.41594452</v>
      </c>
      <c r="D109">
        <v>329947702.25698477</v>
      </c>
      <c r="E109">
        <v>1640540.5405405399</v>
      </c>
      <c r="F109">
        <v>2936936.9369369391</v>
      </c>
      <c r="G109">
        <v>73</v>
      </c>
      <c r="H109">
        <v>50</v>
      </c>
      <c r="K109">
        <v>84</v>
      </c>
      <c r="L109">
        <v>67</v>
      </c>
      <c r="M109">
        <v>42469369.369369365</v>
      </c>
      <c r="N109">
        <v>49550900.900900893</v>
      </c>
      <c r="O109">
        <v>90541369.369369373</v>
      </c>
      <c r="P109">
        <v>90864720.720720723</v>
      </c>
      <c r="Q109">
        <v>43354144.144144148</v>
      </c>
      <c r="R109">
        <v>51050810.810810819</v>
      </c>
      <c r="S109">
        <v>6650</v>
      </c>
      <c r="T109">
        <v>6696</v>
      </c>
    </row>
    <row r="110" spans="1:20" x14ac:dyDescent="0.35">
      <c r="A110" s="7" t="s">
        <v>198</v>
      </c>
      <c r="B110" s="12" t="s">
        <v>109</v>
      </c>
      <c r="C110">
        <v>266665131.99124208</v>
      </c>
      <c r="D110">
        <v>267020586.55064434</v>
      </c>
      <c r="E110">
        <v>2290090.090090089</v>
      </c>
      <c r="F110">
        <v>4093243.2432432482</v>
      </c>
      <c r="G110">
        <v>91</v>
      </c>
      <c r="H110">
        <v>54</v>
      </c>
      <c r="I110">
        <v>1</v>
      </c>
      <c r="K110">
        <v>104</v>
      </c>
      <c r="L110">
        <v>84</v>
      </c>
      <c r="M110">
        <v>14164864.864864862</v>
      </c>
      <c r="N110">
        <v>21622972.97297297</v>
      </c>
      <c r="O110">
        <v>82306711.711711705</v>
      </c>
      <c r="P110">
        <v>81265945.945945948</v>
      </c>
      <c r="Q110">
        <v>12896216.216216216</v>
      </c>
      <c r="R110">
        <v>20902972.97297297</v>
      </c>
      <c r="S110">
        <v>6974</v>
      </c>
      <c r="T110">
        <v>7193</v>
      </c>
    </row>
    <row r="111" spans="1:20" x14ac:dyDescent="0.35">
      <c r="A111" s="7" t="s">
        <v>199</v>
      </c>
      <c r="B111" s="12" t="s">
        <v>93</v>
      </c>
      <c r="C111">
        <v>142527885.95985326</v>
      </c>
      <c r="D111">
        <v>148413092.2298381</v>
      </c>
      <c r="E111">
        <v>4727927.9279279271</v>
      </c>
      <c r="F111">
        <v>4113513.5135135129</v>
      </c>
      <c r="G111">
        <v>175</v>
      </c>
      <c r="H111">
        <v>26</v>
      </c>
      <c r="K111">
        <v>240</v>
      </c>
      <c r="L111">
        <v>28</v>
      </c>
      <c r="M111">
        <v>39242252.252252258</v>
      </c>
      <c r="N111">
        <v>27750900.9009009</v>
      </c>
      <c r="O111">
        <v>39353108.108108111</v>
      </c>
      <c r="P111">
        <v>38163531.531531528</v>
      </c>
      <c r="Q111">
        <v>38194954.954954959</v>
      </c>
      <c r="R111">
        <v>27168648.648648649</v>
      </c>
      <c r="S111">
        <v>2774</v>
      </c>
      <c r="T111">
        <v>2745</v>
      </c>
    </row>
    <row r="112" spans="1:20" x14ac:dyDescent="0.35">
      <c r="A112" s="7" t="s">
        <v>200</v>
      </c>
      <c r="B112" s="12" t="s">
        <v>124</v>
      </c>
      <c r="C112">
        <v>133467917.20477279</v>
      </c>
      <c r="D112">
        <v>112123496.5733057</v>
      </c>
      <c r="E112">
        <v>257657.65765765801</v>
      </c>
      <c r="F112">
        <v>1562162.1621621619</v>
      </c>
      <c r="G112">
        <v>42</v>
      </c>
      <c r="H112">
        <v>18</v>
      </c>
      <c r="K112">
        <v>46</v>
      </c>
      <c r="L112">
        <v>20</v>
      </c>
      <c r="M112">
        <v>4032072.072072071</v>
      </c>
      <c r="N112">
        <v>8082162.1621621614</v>
      </c>
      <c r="O112">
        <v>25092027.02702703</v>
      </c>
      <c r="P112">
        <v>25974945.945945945</v>
      </c>
      <c r="Q112">
        <v>5371441.4414414419</v>
      </c>
      <c r="R112">
        <v>6045045.0450450452</v>
      </c>
      <c r="S112">
        <v>2593</v>
      </c>
      <c r="T112">
        <v>2428</v>
      </c>
    </row>
    <row r="113" spans="1:20" x14ac:dyDescent="0.35">
      <c r="A113" s="7" t="s">
        <v>201</v>
      </c>
      <c r="B113" s="12" t="s">
        <v>61</v>
      </c>
      <c r="C113">
        <v>95250747.500518844</v>
      </c>
      <c r="D113">
        <v>98632783.186209187</v>
      </c>
      <c r="E113">
        <v>1584684.6846846859</v>
      </c>
      <c r="F113">
        <v>1280180.1801801829</v>
      </c>
      <c r="G113">
        <v>26</v>
      </c>
      <c r="H113">
        <v>6</v>
      </c>
      <c r="I113">
        <v>1</v>
      </c>
      <c r="K113">
        <v>27</v>
      </c>
      <c r="L113">
        <v>17</v>
      </c>
      <c r="M113">
        <v>12809909.909909911</v>
      </c>
      <c r="N113">
        <v>14604504.504504504</v>
      </c>
      <c r="O113">
        <v>18054608.108108107</v>
      </c>
      <c r="P113">
        <v>18752720.72072072</v>
      </c>
      <c r="Q113">
        <v>6874774.7747747749</v>
      </c>
      <c r="R113">
        <v>7512612.6126126125</v>
      </c>
      <c r="S113">
        <v>3584</v>
      </c>
      <c r="T113">
        <v>3562</v>
      </c>
    </row>
    <row r="114" spans="1:20" x14ac:dyDescent="0.35">
      <c r="A114" s="7" t="s">
        <v>202</v>
      </c>
      <c r="B114" s="12" t="s">
        <v>61</v>
      </c>
      <c r="C114">
        <v>31960112.564317137</v>
      </c>
      <c r="D114">
        <v>31663029.663085785</v>
      </c>
      <c r="E114">
        <v>217117.117117118</v>
      </c>
      <c r="F114">
        <v>472072.072072073</v>
      </c>
      <c r="G114">
        <v>15</v>
      </c>
      <c r="H114">
        <v>7</v>
      </c>
      <c r="K114">
        <v>16</v>
      </c>
      <c r="L114">
        <v>9</v>
      </c>
      <c r="M114">
        <v>2190090.0900900899</v>
      </c>
      <c r="N114">
        <v>2634234.2342342348</v>
      </c>
      <c r="O114">
        <v>5867189.1891891891</v>
      </c>
      <c r="P114">
        <v>6889603.6036036033</v>
      </c>
      <c r="Q114">
        <v>443243.24324324302</v>
      </c>
      <c r="R114">
        <v>1382342.3423423429</v>
      </c>
      <c r="S114">
        <v>1143</v>
      </c>
      <c r="T114">
        <v>1134</v>
      </c>
    </row>
    <row r="115" spans="1:20" x14ac:dyDescent="0.35">
      <c r="A115" s="7" t="s">
        <v>203</v>
      </c>
      <c r="B115" s="12" t="s">
        <v>122</v>
      </c>
      <c r="C115">
        <v>61143858.522399649</v>
      </c>
      <c r="D115">
        <v>57358057.038737923</v>
      </c>
      <c r="E115">
        <v>513513.51351351402</v>
      </c>
      <c r="F115">
        <v>693693.69369369606</v>
      </c>
      <c r="G115">
        <v>34</v>
      </c>
      <c r="H115">
        <v>16</v>
      </c>
      <c r="K115">
        <v>39</v>
      </c>
      <c r="L115">
        <v>19</v>
      </c>
      <c r="M115">
        <v>1869369.369369369</v>
      </c>
      <c r="N115">
        <v>918918.91891892103</v>
      </c>
      <c r="O115">
        <v>5971018.0180180185</v>
      </c>
      <c r="P115">
        <v>5904720.7207207195</v>
      </c>
      <c r="Q115">
        <v>1427477.4774774781</v>
      </c>
      <c r="R115">
        <v>292792.79279279301</v>
      </c>
      <c r="S115">
        <v>1400</v>
      </c>
      <c r="T115">
        <v>1390</v>
      </c>
    </row>
    <row r="116" spans="1:20" x14ac:dyDescent="0.35">
      <c r="A116" s="7" t="s">
        <v>204</v>
      </c>
      <c r="B116" s="12" t="s">
        <v>55</v>
      </c>
      <c r="C116">
        <v>98105179.962260976</v>
      </c>
      <c r="D116">
        <v>103896119.06547651</v>
      </c>
      <c r="E116">
        <v>362162.162162163</v>
      </c>
      <c r="F116">
        <v>1412162.162162164</v>
      </c>
      <c r="G116">
        <v>23</v>
      </c>
      <c r="H116">
        <v>18</v>
      </c>
      <c r="K116">
        <v>24</v>
      </c>
      <c r="L116">
        <v>18</v>
      </c>
      <c r="M116">
        <v>5375675.6756756753</v>
      </c>
      <c r="N116">
        <v>7470720.7207207214</v>
      </c>
      <c r="O116">
        <v>25377513.513513513</v>
      </c>
      <c r="P116">
        <v>27268189.189189192</v>
      </c>
      <c r="Q116">
        <v>5203063.0630630646</v>
      </c>
      <c r="R116">
        <v>6374684.6846846836</v>
      </c>
      <c r="S116">
        <v>3858</v>
      </c>
      <c r="T116">
        <v>3838</v>
      </c>
    </row>
    <row r="117" spans="1:20" x14ac:dyDescent="0.35">
      <c r="A117" s="7" t="s">
        <v>205</v>
      </c>
      <c r="B117" s="12" t="s">
        <v>137</v>
      </c>
      <c r="C117">
        <v>356390108.40671432</v>
      </c>
      <c r="D117">
        <v>346355059.05208206</v>
      </c>
      <c r="E117">
        <v>592792.79279279395</v>
      </c>
      <c r="F117">
        <v>1069369.3693693781</v>
      </c>
      <c r="G117">
        <v>50</v>
      </c>
      <c r="H117">
        <v>56</v>
      </c>
      <c r="I117">
        <v>2</v>
      </c>
      <c r="K117">
        <v>58</v>
      </c>
      <c r="L117">
        <v>59</v>
      </c>
      <c r="M117">
        <v>30556756.756756756</v>
      </c>
      <c r="N117">
        <v>31713513.513513517</v>
      </c>
      <c r="O117">
        <v>62902972.972972974</v>
      </c>
      <c r="P117">
        <v>66991972.972972974</v>
      </c>
      <c r="Q117">
        <v>25727837.837837838</v>
      </c>
      <c r="R117">
        <v>28427387.387387387</v>
      </c>
      <c r="S117">
        <v>5813</v>
      </c>
      <c r="T117">
        <v>5638</v>
      </c>
    </row>
    <row r="118" spans="1:20" x14ac:dyDescent="0.35">
      <c r="A118" s="7" t="s">
        <v>206</v>
      </c>
      <c r="B118" s="12" t="s">
        <v>137</v>
      </c>
      <c r="C118">
        <v>179985062.92079592</v>
      </c>
      <c r="D118">
        <v>177505971.96634385</v>
      </c>
      <c r="E118">
        <v>647747.74774774897</v>
      </c>
      <c r="F118">
        <v>65765.765765767006</v>
      </c>
      <c r="G118">
        <v>33</v>
      </c>
      <c r="H118">
        <v>27</v>
      </c>
      <c r="K118">
        <v>38</v>
      </c>
      <c r="L118">
        <v>29</v>
      </c>
      <c r="M118">
        <v>6215315.3153153146</v>
      </c>
      <c r="N118">
        <v>5975675.6756756753</v>
      </c>
      <c r="O118">
        <v>33974926.126126125</v>
      </c>
      <c r="P118">
        <v>39595693.693693697</v>
      </c>
      <c r="Q118">
        <v>3307657.6576576582</v>
      </c>
      <c r="R118">
        <v>3774684.6846846831</v>
      </c>
      <c r="S118">
        <v>3128</v>
      </c>
      <c r="T118">
        <v>3110</v>
      </c>
    </row>
    <row r="119" spans="1:20" x14ac:dyDescent="0.35">
      <c r="A119" s="7" t="s">
        <v>207</v>
      </c>
      <c r="B119" s="12" t="s">
        <v>170</v>
      </c>
      <c r="C119">
        <v>416891338.59174317</v>
      </c>
      <c r="D119">
        <v>436693298.80474496</v>
      </c>
      <c r="E119">
        <v>1524324.324324324</v>
      </c>
      <c r="F119">
        <v>10230900.900900904</v>
      </c>
      <c r="G119">
        <v>18</v>
      </c>
      <c r="H119">
        <v>18</v>
      </c>
      <c r="K119">
        <v>20</v>
      </c>
      <c r="L119">
        <v>22</v>
      </c>
      <c r="M119">
        <v>2466838581.0810809</v>
      </c>
      <c r="N119">
        <v>673162162.16216218</v>
      </c>
      <c r="O119">
        <v>197245135.13513514</v>
      </c>
      <c r="P119">
        <v>215093099.0990991</v>
      </c>
      <c r="Q119">
        <v>639632785.58558559</v>
      </c>
      <c r="R119">
        <v>29581981.981981985</v>
      </c>
      <c r="S119">
        <v>7578</v>
      </c>
      <c r="T119">
        <v>7676</v>
      </c>
    </row>
    <row r="120" spans="1:20" x14ac:dyDescent="0.35">
      <c r="A120" s="7" t="s">
        <v>666</v>
      </c>
      <c r="B120" s="12" t="s">
        <v>95</v>
      </c>
      <c r="E120">
        <v>50518018.018018015</v>
      </c>
      <c r="F120">
        <v>28175675.675675675</v>
      </c>
      <c r="M120">
        <v>7090540.5405405406</v>
      </c>
      <c r="N120">
        <v>3728378.3783783782</v>
      </c>
    </row>
    <row r="121" spans="1:20" x14ac:dyDescent="0.35">
      <c r="A121" s="7" t="s">
        <v>208</v>
      </c>
      <c r="B121" s="12" t="s">
        <v>162</v>
      </c>
      <c r="C121">
        <v>461438406.76990336</v>
      </c>
      <c r="D121">
        <v>475352313.22721535</v>
      </c>
      <c r="E121">
        <v>131169451.35135137</v>
      </c>
      <c r="F121">
        <v>149257531.53153151</v>
      </c>
      <c r="G121">
        <v>327</v>
      </c>
      <c r="H121">
        <v>114</v>
      </c>
      <c r="K121">
        <v>519</v>
      </c>
      <c r="L121">
        <v>315</v>
      </c>
      <c r="M121">
        <v>67274585.585585579</v>
      </c>
      <c r="N121">
        <v>84757982.882882878</v>
      </c>
      <c r="O121">
        <v>134545112.61261261</v>
      </c>
      <c r="P121">
        <v>152058081.08108109</v>
      </c>
      <c r="Q121">
        <v>53544720.720720723</v>
      </c>
      <c r="R121">
        <v>60114273.873873875</v>
      </c>
      <c r="S121">
        <v>11850</v>
      </c>
      <c r="T121">
        <v>12281</v>
      </c>
    </row>
    <row r="122" spans="1:20" x14ac:dyDescent="0.35">
      <c r="A122" s="7" t="s">
        <v>209</v>
      </c>
      <c r="B122" s="12" t="s">
        <v>77</v>
      </c>
      <c r="C122">
        <v>13825699.743426975</v>
      </c>
      <c r="D122">
        <v>14967298.679037178</v>
      </c>
      <c r="H122">
        <v>3</v>
      </c>
      <c r="L122">
        <v>3</v>
      </c>
      <c r="O122">
        <v>1014909.9099099101</v>
      </c>
      <c r="P122">
        <v>1207252.2522522521</v>
      </c>
      <c r="S122">
        <v>511</v>
      </c>
      <c r="T122">
        <v>541</v>
      </c>
    </row>
    <row r="123" spans="1:20" x14ac:dyDescent="0.35">
      <c r="A123" s="7" t="s">
        <v>210</v>
      </c>
      <c r="B123" s="12" t="s">
        <v>77</v>
      </c>
      <c r="C123">
        <v>202687281.49670213</v>
      </c>
      <c r="D123">
        <v>201391426.88487267</v>
      </c>
      <c r="E123">
        <v>147499069.36936939</v>
      </c>
      <c r="F123">
        <v>154823782.88288289</v>
      </c>
      <c r="G123">
        <v>99</v>
      </c>
      <c r="H123">
        <v>97</v>
      </c>
      <c r="I123">
        <v>3</v>
      </c>
      <c r="K123">
        <v>173</v>
      </c>
      <c r="L123">
        <v>117</v>
      </c>
      <c r="M123">
        <v>23609369.369369365</v>
      </c>
      <c r="N123">
        <v>20779918.018018015</v>
      </c>
      <c r="O123">
        <v>31832234.234234236</v>
      </c>
      <c r="P123">
        <v>34321522.522522524</v>
      </c>
      <c r="Q123">
        <v>22291891.891891889</v>
      </c>
      <c r="R123">
        <v>18582252.252252255</v>
      </c>
      <c r="S123">
        <v>4347</v>
      </c>
      <c r="T123">
        <v>4436</v>
      </c>
    </row>
    <row r="124" spans="1:20" x14ac:dyDescent="0.35">
      <c r="A124" s="7" t="s">
        <v>211</v>
      </c>
      <c r="B124" s="12" t="s">
        <v>77</v>
      </c>
      <c r="C124">
        <v>259085154.6711176</v>
      </c>
      <c r="D124">
        <v>282007008.24049497</v>
      </c>
      <c r="E124">
        <v>3646846.8468468538</v>
      </c>
      <c r="F124">
        <v>5380180.1801801864</v>
      </c>
      <c r="G124">
        <v>162</v>
      </c>
      <c r="H124">
        <v>276</v>
      </c>
      <c r="I124">
        <v>1</v>
      </c>
      <c r="K124">
        <v>241</v>
      </c>
      <c r="L124">
        <v>307</v>
      </c>
      <c r="M124">
        <v>93928648.648648649</v>
      </c>
      <c r="N124">
        <v>97926846.846846849</v>
      </c>
      <c r="O124">
        <v>79624002.702702701</v>
      </c>
      <c r="P124">
        <v>94022675.675675675</v>
      </c>
      <c r="Q124">
        <v>64234187.387387387</v>
      </c>
      <c r="R124">
        <v>74267027.027027026</v>
      </c>
      <c r="S124">
        <v>6983</v>
      </c>
      <c r="T124">
        <v>6834</v>
      </c>
    </row>
    <row r="125" spans="1:20" x14ac:dyDescent="0.35">
      <c r="A125" s="7" t="s">
        <v>212</v>
      </c>
      <c r="B125" s="12" t="s">
        <v>77</v>
      </c>
      <c r="C125">
        <v>190227856.41925201</v>
      </c>
      <c r="D125">
        <v>180999411.94539046</v>
      </c>
      <c r="E125">
        <v>76699774.77477479</v>
      </c>
      <c r="F125">
        <v>69948648.648648649</v>
      </c>
      <c r="G125">
        <v>84</v>
      </c>
      <c r="H125">
        <v>135</v>
      </c>
      <c r="K125">
        <v>96</v>
      </c>
      <c r="L125">
        <v>149</v>
      </c>
      <c r="M125">
        <v>16141801.801801804</v>
      </c>
      <c r="N125">
        <v>22610818.918918919</v>
      </c>
      <c r="O125">
        <v>29270957.207207207</v>
      </c>
      <c r="P125">
        <v>30473369.369369369</v>
      </c>
      <c r="Q125">
        <v>14264864.864864863</v>
      </c>
      <c r="R125">
        <v>19442342.342342343</v>
      </c>
      <c r="S125">
        <v>4002</v>
      </c>
      <c r="T125">
        <v>3970</v>
      </c>
    </row>
    <row r="126" spans="1:20" x14ac:dyDescent="0.35">
      <c r="A126" s="7" t="s">
        <v>213</v>
      </c>
      <c r="B126" s="12" t="s">
        <v>77</v>
      </c>
      <c r="C126">
        <v>69266057.47680147</v>
      </c>
      <c r="D126">
        <v>78581146.74367936</v>
      </c>
      <c r="E126">
        <v>34234.234234233998</v>
      </c>
      <c r="F126">
        <v>91891.891891891995</v>
      </c>
      <c r="G126">
        <v>12</v>
      </c>
      <c r="H126">
        <v>9</v>
      </c>
      <c r="K126">
        <v>14</v>
      </c>
      <c r="L126">
        <v>12</v>
      </c>
      <c r="M126">
        <v>1509189.189189187</v>
      </c>
      <c r="N126">
        <v>3988288.2882882878</v>
      </c>
      <c r="O126">
        <v>10760639.639639638</v>
      </c>
      <c r="P126">
        <v>12762558.558558561</v>
      </c>
      <c r="Q126">
        <v>1750270.2702702701</v>
      </c>
      <c r="R126">
        <v>3086126.1261261269</v>
      </c>
      <c r="S126">
        <v>2128</v>
      </c>
      <c r="T126">
        <v>2120</v>
      </c>
    </row>
    <row r="127" spans="1:20" x14ac:dyDescent="0.35">
      <c r="A127" s="7" t="s">
        <v>214</v>
      </c>
      <c r="B127" s="12" t="s">
        <v>215</v>
      </c>
      <c r="C127">
        <v>98369623.178666577</v>
      </c>
      <c r="D127">
        <v>101110657.8962419</v>
      </c>
      <c r="E127">
        <v>747747.74774774804</v>
      </c>
      <c r="F127">
        <v>1007207.207207208</v>
      </c>
      <c r="G127">
        <v>33</v>
      </c>
      <c r="H127">
        <v>8</v>
      </c>
      <c r="I127">
        <v>1</v>
      </c>
      <c r="K127">
        <v>34</v>
      </c>
      <c r="L127">
        <v>8</v>
      </c>
      <c r="M127">
        <v>13441009.009009007</v>
      </c>
      <c r="N127">
        <v>20477477.47747748</v>
      </c>
      <c r="O127">
        <v>44774630.630630635</v>
      </c>
      <c r="P127">
        <v>50269900.9009009</v>
      </c>
      <c r="Q127">
        <v>11161711.711711712</v>
      </c>
      <c r="R127">
        <v>21976126.126126129</v>
      </c>
      <c r="S127">
        <v>2296</v>
      </c>
      <c r="T127">
        <v>2284</v>
      </c>
    </row>
    <row r="128" spans="1:20" x14ac:dyDescent="0.35">
      <c r="A128" s="7" t="s">
        <v>216</v>
      </c>
      <c r="B128" s="12" t="s">
        <v>168</v>
      </c>
      <c r="C128">
        <v>107413070.55675866</v>
      </c>
      <c r="D128">
        <v>102772648.69002391</v>
      </c>
      <c r="E128">
        <v>986486.48648648697</v>
      </c>
      <c r="G128">
        <v>7</v>
      </c>
      <c r="H128">
        <v>1</v>
      </c>
      <c r="K128">
        <v>7</v>
      </c>
      <c r="L128">
        <v>1</v>
      </c>
      <c r="M128">
        <v>1436936.936936937</v>
      </c>
      <c r="O128">
        <v>18769729.729729727</v>
      </c>
      <c r="P128">
        <v>29119261.261261258</v>
      </c>
      <c r="Q128">
        <v>81531.531531532004</v>
      </c>
      <c r="R128">
        <v>76126.126126125993</v>
      </c>
      <c r="S128">
        <v>1835</v>
      </c>
      <c r="T128">
        <v>1841</v>
      </c>
    </row>
    <row r="129" spans="1:20" x14ac:dyDescent="0.35">
      <c r="A129" s="7" t="s">
        <v>217</v>
      </c>
      <c r="B129" s="12" t="s">
        <v>86</v>
      </c>
      <c r="C129">
        <v>24818830.459899023</v>
      </c>
      <c r="D129">
        <v>27527673.333652649</v>
      </c>
      <c r="E129">
        <v>306306.30630630697</v>
      </c>
      <c r="F129">
        <v>1557657.6576576589</v>
      </c>
      <c r="G129">
        <v>9</v>
      </c>
      <c r="H129">
        <v>3</v>
      </c>
      <c r="K129">
        <v>11</v>
      </c>
      <c r="L129">
        <v>3</v>
      </c>
      <c r="M129">
        <v>27663963.963963963</v>
      </c>
      <c r="N129">
        <v>38078378.378378376</v>
      </c>
      <c r="O129">
        <v>7597144.1441441439</v>
      </c>
      <c r="P129">
        <v>9678403.6036036033</v>
      </c>
      <c r="Q129">
        <v>20651981.981981985</v>
      </c>
      <c r="R129">
        <v>33464414.414414417</v>
      </c>
      <c r="S129">
        <v>624</v>
      </c>
      <c r="T129">
        <v>633</v>
      </c>
    </row>
    <row r="130" spans="1:20" x14ac:dyDescent="0.35">
      <c r="A130" s="7" t="s">
        <v>218</v>
      </c>
      <c r="B130" s="12" t="s">
        <v>86</v>
      </c>
      <c r="C130">
        <v>95185039.130873933</v>
      </c>
      <c r="D130">
        <v>99027509.910942957</v>
      </c>
      <c r="E130">
        <v>137525225.22522524</v>
      </c>
      <c r="F130">
        <v>165177477.47747746</v>
      </c>
      <c r="G130">
        <v>34</v>
      </c>
      <c r="H130">
        <v>13</v>
      </c>
      <c r="K130">
        <v>37</v>
      </c>
      <c r="L130">
        <v>19</v>
      </c>
      <c r="M130">
        <v>27990270.270270273</v>
      </c>
      <c r="N130">
        <v>33204512.612612613</v>
      </c>
      <c r="O130">
        <v>18292333.333333332</v>
      </c>
      <c r="P130">
        <v>21692711.711711712</v>
      </c>
      <c r="Q130">
        <v>24058828.828828827</v>
      </c>
      <c r="R130">
        <v>20264594.594594598</v>
      </c>
      <c r="S130">
        <v>2352</v>
      </c>
      <c r="T130">
        <v>2457</v>
      </c>
    </row>
    <row r="131" spans="1:20" x14ac:dyDescent="0.35">
      <c r="A131" s="7" t="s">
        <v>219</v>
      </c>
      <c r="B131" s="12" t="s">
        <v>148</v>
      </c>
      <c r="C131">
        <v>92509491.475614116</v>
      </c>
      <c r="D131">
        <v>84574689.412340716</v>
      </c>
      <c r="E131">
        <v>5779279.2792792777</v>
      </c>
      <c r="F131">
        <v>6285585.5855855858</v>
      </c>
      <c r="G131">
        <v>67</v>
      </c>
      <c r="H131">
        <v>16</v>
      </c>
      <c r="K131">
        <v>82</v>
      </c>
      <c r="L131">
        <v>20</v>
      </c>
      <c r="M131">
        <v>49024981.081081077</v>
      </c>
      <c r="N131">
        <v>75157804.504504517</v>
      </c>
      <c r="O131">
        <v>30073081.081081081</v>
      </c>
      <c r="P131">
        <v>25844459.459459458</v>
      </c>
      <c r="Q131">
        <v>50877297.297297299</v>
      </c>
      <c r="R131">
        <v>72348288.288288295</v>
      </c>
      <c r="S131">
        <v>2477</v>
      </c>
      <c r="T131">
        <v>2617</v>
      </c>
    </row>
    <row r="132" spans="1:20" x14ac:dyDescent="0.35">
      <c r="A132" s="7" t="s">
        <v>220</v>
      </c>
      <c r="B132" s="12" t="s">
        <v>221</v>
      </c>
      <c r="C132">
        <v>183066468.42567298</v>
      </c>
      <c r="D132">
        <v>180491007.92531133</v>
      </c>
      <c r="E132">
        <v>5362226.1261261282</v>
      </c>
      <c r="F132">
        <v>4616013.5135135148</v>
      </c>
      <c r="G132">
        <v>61</v>
      </c>
      <c r="H132">
        <v>77</v>
      </c>
      <c r="K132">
        <v>73</v>
      </c>
      <c r="L132">
        <v>88</v>
      </c>
      <c r="M132">
        <v>157380005.4054054</v>
      </c>
      <c r="N132">
        <v>318862680.18018013</v>
      </c>
      <c r="O132">
        <v>47232993.24324324</v>
      </c>
      <c r="P132">
        <v>51320270.270270273</v>
      </c>
      <c r="Q132">
        <v>259262792.7927928</v>
      </c>
      <c r="R132">
        <v>281682162.16216218</v>
      </c>
      <c r="S132">
        <v>6160</v>
      </c>
      <c r="T132">
        <v>6397</v>
      </c>
    </row>
    <row r="133" spans="1:20" x14ac:dyDescent="0.35">
      <c r="A133" s="7" t="s">
        <v>222</v>
      </c>
      <c r="B133" s="12" t="s">
        <v>53</v>
      </c>
      <c r="C133">
        <v>426253424.38323283</v>
      </c>
      <c r="D133">
        <v>451954182.77961898</v>
      </c>
      <c r="E133">
        <v>4327927.927927929</v>
      </c>
      <c r="F133">
        <v>5150000.0000000102</v>
      </c>
      <c r="G133">
        <v>98</v>
      </c>
      <c r="H133">
        <v>99</v>
      </c>
      <c r="K133">
        <v>122</v>
      </c>
      <c r="L133">
        <v>138</v>
      </c>
      <c r="M133">
        <v>34661261.261261262</v>
      </c>
      <c r="N133">
        <v>39103063.06306307</v>
      </c>
      <c r="O133">
        <v>139037711.7117117</v>
      </c>
      <c r="P133">
        <v>145317720.72072074</v>
      </c>
      <c r="Q133">
        <v>45578828.828828834</v>
      </c>
      <c r="R133">
        <v>32608108.108108107</v>
      </c>
      <c r="S133">
        <v>10472</v>
      </c>
      <c r="T133">
        <v>10787</v>
      </c>
    </row>
    <row r="134" spans="1:20" x14ac:dyDescent="0.35">
      <c r="A134" s="7" t="s">
        <v>223</v>
      </c>
      <c r="B134" s="12" t="s">
        <v>77</v>
      </c>
      <c r="C134">
        <v>333385729.28178233</v>
      </c>
      <c r="D134">
        <v>346682224.2999754</v>
      </c>
      <c r="E134">
        <v>1023423.423423429</v>
      </c>
      <c r="F134">
        <v>1449549.549549557</v>
      </c>
      <c r="G134">
        <v>90</v>
      </c>
      <c r="H134">
        <v>90</v>
      </c>
      <c r="K134">
        <v>98</v>
      </c>
      <c r="L134">
        <v>96</v>
      </c>
      <c r="M134">
        <v>24377297.297297299</v>
      </c>
      <c r="N134">
        <v>34738738.738738745</v>
      </c>
      <c r="O134">
        <v>63687263.963963971</v>
      </c>
      <c r="P134">
        <v>75439234.234234244</v>
      </c>
      <c r="Q134">
        <v>18592972.97297297</v>
      </c>
      <c r="R134">
        <v>29611171.17117117</v>
      </c>
      <c r="S134">
        <v>6965</v>
      </c>
      <c r="T134">
        <v>7015</v>
      </c>
    </row>
    <row r="135" spans="1:20" x14ac:dyDescent="0.35">
      <c r="A135" s="7" t="s">
        <v>224</v>
      </c>
      <c r="B135" s="12" t="s">
        <v>225</v>
      </c>
      <c r="C135">
        <v>30252162.368797213</v>
      </c>
      <c r="D135">
        <v>29946679.177951679</v>
      </c>
      <c r="F135">
        <v>13513.513513514001</v>
      </c>
      <c r="G135">
        <v>2</v>
      </c>
      <c r="H135">
        <v>2</v>
      </c>
      <c r="K135">
        <v>2</v>
      </c>
      <c r="L135">
        <v>2</v>
      </c>
      <c r="N135">
        <v>13513.513513514001</v>
      </c>
      <c r="O135">
        <v>7373225.2252252251</v>
      </c>
      <c r="P135">
        <v>7462954.9549549548</v>
      </c>
      <c r="Q135">
        <v>543243.24324324296</v>
      </c>
      <c r="R135">
        <v>485675.67567567597</v>
      </c>
      <c r="S135">
        <v>825</v>
      </c>
      <c r="T135">
        <v>808</v>
      </c>
    </row>
    <row r="136" spans="1:20" x14ac:dyDescent="0.35">
      <c r="A136" s="7" t="s">
        <v>226</v>
      </c>
      <c r="B136" s="12" t="s">
        <v>144</v>
      </c>
      <c r="C136">
        <v>271943404.43031168</v>
      </c>
      <c r="D136">
        <v>285936651.51038331</v>
      </c>
      <c r="E136">
        <v>3537837.83783784</v>
      </c>
      <c r="F136">
        <v>1481981.981981989</v>
      </c>
      <c r="G136">
        <v>124</v>
      </c>
      <c r="H136">
        <v>19</v>
      </c>
      <c r="K136">
        <v>130</v>
      </c>
      <c r="L136">
        <v>26</v>
      </c>
      <c r="M136">
        <v>16766666.666666668</v>
      </c>
      <c r="N136">
        <v>17265765.765765768</v>
      </c>
      <c r="O136">
        <v>35223780.630630635</v>
      </c>
      <c r="P136">
        <v>42575288.288288288</v>
      </c>
      <c r="Q136">
        <v>11332792.792792792</v>
      </c>
      <c r="R136">
        <v>12269189.189189188</v>
      </c>
      <c r="S136">
        <v>5680</v>
      </c>
      <c r="T136">
        <v>5962</v>
      </c>
    </row>
    <row r="137" spans="1:20" x14ac:dyDescent="0.35">
      <c r="A137" s="7" t="s">
        <v>227</v>
      </c>
      <c r="B137" s="12" t="s">
        <v>225</v>
      </c>
      <c r="C137">
        <v>31574244.714566849</v>
      </c>
      <c r="D137">
        <v>31862840.061362512</v>
      </c>
      <c r="E137">
        <v>121621.62162162201</v>
      </c>
      <c r="F137">
        <v>117117.117117117</v>
      </c>
      <c r="G137">
        <v>11</v>
      </c>
      <c r="H137">
        <v>8</v>
      </c>
      <c r="K137">
        <v>13</v>
      </c>
      <c r="L137">
        <v>9</v>
      </c>
      <c r="M137">
        <v>4954054.0540540544</v>
      </c>
      <c r="N137">
        <v>3638288.2882882892</v>
      </c>
      <c r="O137">
        <v>8810031.5315315314</v>
      </c>
      <c r="P137">
        <v>7474009.0090090092</v>
      </c>
      <c r="Q137">
        <v>4221801.8018018017</v>
      </c>
      <c r="R137">
        <v>3240090.0900900899</v>
      </c>
      <c r="S137">
        <v>870</v>
      </c>
      <c r="T137">
        <v>739</v>
      </c>
    </row>
    <row r="138" spans="1:20" x14ac:dyDescent="0.35">
      <c r="A138" s="7" t="s">
        <v>228</v>
      </c>
      <c r="B138" s="12" t="s">
        <v>79</v>
      </c>
      <c r="C138">
        <v>254602280.49207416</v>
      </c>
      <c r="D138">
        <v>271447533.4485411</v>
      </c>
      <c r="E138">
        <v>3036936.9369369391</v>
      </c>
      <c r="F138">
        <v>2435135.1351351398</v>
      </c>
      <c r="G138">
        <v>50</v>
      </c>
      <c r="H138">
        <v>22</v>
      </c>
      <c r="K138">
        <v>55</v>
      </c>
      <c r="L138">
        <v>30</v>
      </c>
      <c r="M138">
        <v>26759819.819819819</v>
      </c>
      <c r="N138">
        <v>27613873.873873875</v>
      </c>
      <c r="O138">
        <v>101823342.34234233</v>
      </c>
      <c r="P138">
        <v>111850765.76576576</v>
      </c>
      <c r="Q138">
        <v>23694774.774774775</v>
      </c>
      <c r="R138">
        <v>21784277.47747748</v>
      </c>
      <c r="S138">
        <v>5003</v>
      </c>
      <c r="T138">
        <v>4864</v>
      </c>
    </row>
    <row r="139" spans="1:20" x14ac:dyDescent="0.35">
      <c r="A139" s="7" t="s">
        <v>229</v>
      </c>
      <c r="B139" s="12" t="s">
        <v>137</v>
      </c>
      <c r="C139">
        <v>341820025.94637698</v>
      </c>
      <c r="D139">
        <v>363868862.44329506</v>
      </c>
      <c r="E139">
        <v>2383333.3333333372</v>
      </c>
      <c r="F139">
        <v>2570270.2702702759</v>
      </c>
      <c r="G139">
        <v>82</v>
      </c>
      <c r="H139">
        <v>62</v>
      </c>
      <c r="I139">
        <v>1</v>
      </c>
      <c r="K139">
        <v>100</v>
      </c>
      <c r="L139">
        <v>70</v>
      </c>
      <c r="M139">
        <v>39587387.387387387</v>
      </c>
      <c r="N139">
        <v>52738738.738738738</v>
      </c>
      <c r="O139">
        <v>80254103.603603601</v>
      </c>
      <c r="P139">
        <v>88802239.639639646</v>
      </c>
      <c r="Q139">
        <v>32263243.243243244</v>
      </c>
      <c r="R139">
        <v>48730630.630630635</v>
      </c>
      <c r="S139">
        <v>7433</v>
      </c>
      <c r="T139">
        <v>7772</v>
      </c>
    </row>
    <row r="140" spans="1:20" x14ac:dyDescent="0.35">
      <c r="A140" s="7" t="s">
        <v>230</v>
      </c>
      <c r="B140" s="12" t="s">
        <v>79</v>
      </c>
      <c r="C140">
        <v>96326414.719541371</v>
      </c>
      <c r="D140">
        <v>105777308.28973109</v>
      </c>
      <c r="E140">
        <v>3040990.9909909908</v>
      </c>
      <c r="F140">
        <v>4971621.6216216208</v>
      </c>
      <c r="G140">
        <v>37</v>
      </c>
      <c r="H140">
        <v>27</v>
      </c>
      <c r="I140">
        <v>2</v>
      </c>
      <c r="K140">
        <v>44</v>
      </c>
      <c r="L140">
        <v>32</v>
      </c>
      <c r="M140">
        <v>21872972.97297297</v>
      </c>
      <c r="N140">
        <v>24638288.288288288</v>
      </c>
      <c r="O140">
        <v>47243421.621621624</v>
      </c>
      <c r="P140">
        <v>52199646.846846849</v>
      </c>
      <c r="Q140">
        <v>20191754.954954956</v>
      </c>
      <c r="R140">
        <v>22042475.675675675</v>
      </c>
      <c r="S140">
        <v>2506</v>
      </c>
      <c r="T140">
        <v>2626</v>
      </c>
    </row>
    <row r="141" spans="1:20" x14ac:dyDescent="0.35">
      <c r="A141" s="7" t="s">
        <v>231</v>
      </c>
      <c r="B141" s="12" t="s">
        <v>55</v>
      </c>
      <c r="C141">
        <v>276643083.04332781</v>
      </c>
      <c r="D141">
        <v>284764743.09015173</v>
      </c>
      <c r="E141">
        <v>969369.36936937005</v>
      </c>
      <c r="F141">
        <v>597297.29729729705</v>
      </c>
      <c r="G141">
        <v>30</v>
      </c>
      <c r="H141">
        <v>41</v>
      </c>
      <c r="K141">
        <v>36</v>
      </c>
      <c r="L141">
        <v>53</v>
      </c>
      <c r="M141">
        <v>21669369.369369369</v>
      </c>
      <c r="N141">
        <v>18583783.783783782</v>
      </c>
      <c r="O141">
        <v>68657899.0990991</v>
      </c>
      <c r="P141">
        <v>71904369.369369373</v>
      </c>
      <c r="Q141">
        <v>24663153.153153151</v>
      </c>
      <c r="R141">
        <v>7263603.6036036061</v>
      </c>
      <c r="S141">
        <v>6721</v>
      </c>
      <c r="T141">
        <v>6733</v>
      </c>
    </row>
    <row r="142" spans="1:20" x14ac:dyDescent="0.35">
      <c r="A142" s="7" t="s">
        <v>232</v>
      </c>
      <c r="B142" s="12" t="s">
        <v>79</v>
      </c>
      <c r="C142">
        <v>106079127.65471804</v>
      </c>
      <c r="D142">
        <v>109202741.10429244</v>
      </c>
      <c r="E142">
        <v>2665765.7657657689</v>
      </c>
      <c r="F142">
        <v>6063963.9639639705</v>
      </c>
      <c r="G142">
        <v>51</v>
      </c>
      <c r="H142">
        <v>36</v>
      </c>
      <c r="I142">
        <v>2</v>
      </c>
      <c r="K142">
        <v>71</v>
      </c>
      <c r="L142">
        <v>48</v>
      </c>
      <c r="M142">
        <v>26023423.423423424</v>
      </c>
      <c r="N142">
        <v>31491891.891891897</v>
      </c>
      <c r="O142">
        <v>50431549.54954955</v>
      </c>
      <c r="P142">
        <v>51472342.342342347</v>
      </c>
      <c r="Q142">
        <v>25997837.837837838</v>
      </c>
      <c r="R142">
        <v>30418378.37837838</v>
      </c>
      <c r="S142">
        <v>3992</v>
      </c>
      <c r="T142">
        <v>3966</v>
      </c>
    </row>
    <row r="143" spans="1:20" x14ac:dyDescent="0.35">
      <c r="A143" s="7" t="s">
        <v>233</v>
      </c>
      <c r="B143" s="12" t="s">
        <v>61</v>
      </c>
      <c r="C143">
        <v>96779055.776992172</v>
      </c>
      <c r="D143">
        <v>96911262.127430961</v>
      </c>
      <c r="E143">
        <v>29279279.27927928</v>
      </c>
      <c r="F143">
        <v>338513513.51351357</v>
      </c>
      <c r="G143">
        <v>26</v>
      </c>
      <c r="H143">
        <v>1</v>
      </c>
      <c r="K143">
        <v>28</v>
      </c>
      <c r="L143">
        <v>3</v>
      </c>
      <c r="M143">
        <v>486486.48648648598</v>
      </c>
      <c r="N143">
        <v>405405.40540540498</v>
      </c>
      <c r="O143">
        <v>40913153.153153151</v>
      </c>
      <c r="P143">
        <v>40658900.900900893</v>
      </c>
      <c r="S143">
        <v>1851</v>
      </c>
      <c r="T143">
        <v>1879</v>
      </c>
    </row>
    <row r="144" spans="1:20" x14ac:dyDescent="0.35">
      <c r="A144" s="7" t="s">
        <v>234</v>
      </c>
      <c r="B144" s="12" t="s">
        <v>55</v>
      </c>
      <c r="C144">
        <v>46468001.951360218</v>
      </c>
      <c r="D144">
        <v>46019487.752572238</v>
      </c>
      <c r="E144">
        <v>96396.396396397002</v>
      </c>
      <c r="F144">
        <v>1250450.4504504511</v>
      </c>
      <c r="G144">
        <v>32</v>
      </c>
      <c r="H144">
        <v>5</v>
      </c>
      <c r="K144">
        <v>61</v>
      </c>
      <c r="L144">
        <v>5</v>
      </c>
      <c r="M144">
        <v>2334504.5045045041</v>
      </c>
      <c r="N144">
        <v>4759279.2792792786</v>
      </c>
      <c r="O144">
        <v>10097378.378378378</v>
      </c>
      <c r="P144">
        <v>11325639.63963964</v>
      </c>
      <c r="Q144">
        <v>2242432.4324324322</v>
      </c>
      <c r="R144">
        <v>4143873.8738738731</v>
      </c>
      <c r="S144">
        <v>1077</v>
      </c>
      <c r="T144">
        <v>1404</v>
      </c>
    </row>
    <row r="145" spans="1:20" x14ac:dyDescent="0.35">
      <c r="A145" s="7" t="s">
        <v>235</v>
      </c>
      <c r="B145" s="12" t="s">
        <v>168</v>
      </c>
      <c r="C145">
        <v>217849628.52165133</v>
      </c>
      <c r="D145">
        <v>209709556.80234948</v>
      </c>
      <c r="E145">
        <v>382882.88288288302</v>
      </c>
      <c r="F145">
        <v>927027.02702702605</v>
      </c>
      <c r="G145">
        <v>16</v>
      </c>
      <c r="H145">
        <v>13</v>
      </c>
      <c r="K145">
        <v>19</v>
      </c>
      <c r="L145">
        <v>22</v>
      </c>
      <c r="M145">
        <v>17118366.666666668</v>
      </c>
      <c r="N145">
        <v>33847747.747747749</v>
      </c>
      <c r="O145">
        <v>61392229.729729727</v>
      </c>
      <c r="P145">
        <v>73440108.108108118</v>
      </c>
      <c r="Q145">
        <v>10992072.072072072</v>
      </c>
      <c r="R145">
        <v>18548198.198198199</v>
      </c>
      <c r="S145">
        <v>8269</v>
      </c>
      <c r="T145">
        <v>4980</v>
      </c>
    </row>
    <row r="146" spans="1:20" x14ac:dyDescent="0.35">
      <c r="A146" s="7" t="s">
        <v>236</v>
      </c>
      <c r="B146" s="12" t="s">
        <v>237</v>
      </c>
      <c r="C146">
        <v>184.30518998100001</v>
      </c>
      <c r="D146">
        <v>1053.3620982269999</v>
      </c>
      <c r="O146">
        <v>4504.5045045050001</v>
      </c>
      <c r="S146">
        <v>2</v>
      </c>
      <c r="T146">
        <v>53</v>
      </c>
    </row>
    <row r="147" spans="1:20" x14ac:dyDescent="0.35">
      <c r="A147" s="7" t="s">
        <v>238</v>
      </c>
      <c r="B147" s="12" t="s">
        <v>106</v>
      </c>
      <c r="C147">
        <v>127336479.93204547</v>
      </c>
      <c r="D147">
        <v>129391764.06254266</v>
      </c>
      <c r="E147">
        <v>6167567.5675675664</v>
      </c>
      <c r="F147">
        <v>119848648.64864865</v>
      </c>
      <c r="G147">
        <v>17</v>
      </c>
      <c r="H147">
        <v>17</v>
      </c>
      <c r="K147">
        <v>18</v>
      </c>
      <c r="L147">
        <v>18</v>
      </c>
      <c r="M147">
        <v>26033243.243243244</v>
      </c>
      <c r="N147">
        <v>18042342.342342339</v>
      </c>
      <c r="O147">
        <v>37780702.702702701</v>
      </c>
      <c r="P147">
        <v>40845927.927927926</v>
      </c>
      <c r="Q147">
        <v>18746216.216216218</v>
      </c>
      <c r="R147">
        <v>16040000</v>
      </c>
      <c r="S147">
        <v>1939</v>
      </c>
      <c r="T147">
        <v>2268</v>
      </c>
    </row>
    <row r="148" spans="1:20" x14ac:dyDescent="0.35">
      <c r="A148" s="7" t="s">
        <v>3</v>
      </c>
      <c r="B148" s="12" t="s">
        <v>159</v>
      </c>
      <c r="C148">
        <v>260699694.52572343</v>
      </c>
      <c r="D148">
        <v>234388848.0347971</v>
      </c>
      <c r="E148">
        <v>3399099.0990991029</v>
      </c>
      <c r="F148">
        <v>1264864.864864866</v>
      </c>
      <c r="G148">
        <v>45</v>
      </c>
      <c r="H148">
        <v>44</v>
      </c>
      <c r="K148">
        <v>49</v>
      </c>
      <c r="L148">
        <v>46</v>
      </c>
      <c r="M148">
        <v>54306306.306306303</v>
      </c>
      <c r="N148">
        <v>72088288.288288295</v>
      </c>
      <c r="O148">
        <v>74351153.153153151</v>
      </c>
      <c r="P148">
        <v>68140846.846846849</v>
      </c>
      <c r="Q148">
        <v>47289009.009009011</v>
      </c>
      <c r="R148">
        <v>70259459.459459454</v>
      </c>
      <c r="S148">
        <v>3735</v>
      </c>
      <c r="T148">
        <v>3725</v>
      </c>
    </row>
    <row r="149" spans="1:20" x14ac:dyDescent="0.35">
      <c r="A149" s="7" t="s">
        <v>239</v>
      </c>
      <c r="B149" s="12" t="s">
        <v>179</v>
      </c>
      <c r="C149">
        <v>202931052.86361545</v>
      </c>
      <c r="D149">
        <v>216741888.10381338</v>
      </c>
      <c r="E149">
        <v>500000.00000000099</v>
      </c>
      <c r="F149">
        <v>2744144.1441441448</v>
      </c>
      <c r="G149">
        <v>43</v>
      </c>
      <c r="H149">
        <v>45</v>
      </c>
      <c r="K149">
        <v>54</v>
      </c>
      <c r="L149">
        <v>56</v>
      </c>
      <c r="M149">
        <v>31175675.675675675</v>
      </c>
      <c r="N149">
        <v>33500000</v>
      </c>
      <c r="O149">
        <v>64395657.657657653</v>
      </c>
      <c r="P149">
        <v>70282234.234234229</v>
      </c>
      <c r="Q149">
        <v>25432252.252252251</v>
      </c>
      <c r="R149">
        <v>29419099.0990991</v>
      </c>
      <c r="S149">
        <v>5204</v>
      </c>
      <c r="T149">
        <v>5082</v>
      </c>
    </row>
    <row r="150" spans="1:20" x14ac:dyDescent="0.35">
      <c r="A150" s="7" t="s">
        <v>240</v>
      </c>
      <c r="B150" s="12" t="s">
        <v>55</v>
      </c>
      <c r="C150">
        <v>143845250.02489719</v>
      </c>
      <c r="D150">
        <v>154840675.34663653</v>
      </c>
      <c r="E150">
        <v>3550450.4504504511</v>
      </c>
      <c r="F150">
        <v>1315315.315315316</v>
      </c>
      <c r="G150">
        <v>25</v>
      </c>
      <c r="H150">
        <v>41</v>
      </c>
      <c r="K150">
        <v>26</v>
      </c>
      <c r="L150">
        <v>68</v>
      </c>
      <c r="M150">
        <v>19460720.72072072</v>
      </c>
      <c r="N150">
        <v>19997747.747747749</v>
      </c>
      <c r="O150">
        <v>40058987.387387387</v>
      </c>
      <c r="P150">
        <v>46508823.423423424</v>
      </c>
      <c r="Q150">
        <v>17802338.738738734</v>
      </c>
      <c r="R150">
        <v>19119099.0990991</v>
      </c>
      <c r="S150">
        <v>3412</v>
      </c>
      <c r="T150">
        <v>3415</v>
      </c>
    </row>
    <row r="151" spans="1:20" x14ac:dyDescent="0.35">
      <c r="A151" s="7" t="s">
        <v>241</v>
      </c>
      <c r="B151" s="12" t="s">
        <v>242</v>
      </c>
      <c r="C151">
        <v>124436425.28108582</v>
      </c>
      <c r="D151">
        <v>120475282.03536279</v>
      </c>
      <c r="E151">
        <v>816216.21621621796</v>
      </c>
      <c r="F151">
        <v>536036.03603603703</v>
      </c>
      <c r="G151">
        <v>56</v>
      </c>
      <c r="H151">
        <v>32</v>
      </c>
      <c r="K151">
        <v>63</v>
      </c>
      <c r="L151">
        <v>38</v>
      </c>
      <c r="M151">
        <v>28378558.558558565</v>
      </c>
      <c r="N151">
        <v>15658378.378378376</v>
      </c>
      <c r="O151">
        <v>29238781.981981985</v>
      </c>
      <c r="P151">
        <v>32758180.180180181</v>
      </c>
      <c r="Q151">
        <v>9371081.0810810849</v>
      </c>
      <c r="R151">
        <v>15100450.450450448</v>
      </c>
      <c r="S151">
        <v>2804</v>
      </c>
      <c r="T151">
        <v>3159</v>
      </c>
    </row>
    <row r="152" spans="1:20" x14ac:dyDescent="0.35">
      <c r="A152" s="7" t="s">
        <v>243</v>
      </c>
      <c r="B152" s="12" t="s">
        <v>242</v>
      </c>
      <c r="C152">
        <v>324973844.4279303</v>
      </c>
      <c r="D152">
        <v>285987111.12289006</v>
      </c>
      <c r="E152">
        <v>2844144.1441441472</v>
      </c>
      <c r="F152">
        <v>4061711.7117117131</v>
      </c>
      <c r="G152">
        <v>125</v>
      </c>
      <c r="H152">
        <v>106</v>
      </c>
      <c r="K152">
        <v>141</v>
      </c>
      <c r="L152">
        <v>124</v>
      </c>
      <c r="M152">
        <v>75362612.612612605</v>
      </c>
      <c r="N152">
        <v>98310990.990990996</v>
      </c>
      <c r="O152">
        <v>96233387.387387395</v>
      </c>
      <c r="P152">
        <v>95142504.504504517</v>
      </c>
      <c r="Q152">
        <v>69660180.180180177</v>
      </c>
      <c r="R152">
        <v>92085945.945945948</v>
      </c>
      <c r="S152">
        <v>6751</v>
      </c>
      <c r="T152">
        <v>6909</v>
      </c>
    </row>
    <row r="153" spans="1:20" x14ac:dyDescent="0.35">
      <c r="A153" s="7" t="s">
        <v>244</v>
      </c>
      <c r="B153" s="12" t="s">
        <v>51</v>
      </c>
      <c r="C153">
        <v>55974241.950389408</v>
      </c>
      <c r="D153">
        <v>52227215.154476248</v>
      </c>
      <c r="E153">
        <v>1285585.585585586</v>
      </c>
      <c r="F153">
        <v>2214414.4144144151</v>
      </c>
      <c r="G153">
        <v>12</v>
      </c>
      <c r="H153">
        <v>9</v>
      </c>
      <c r="K153">
        <v>12</v>
      </c>
      <c r="L153">
        <v>10</v>
      </c>
      <c r="M153">
        <v>7080540.5405405406</v>
      </c>
      <c r="N153">
        <v>4578603.6036036033</v>
      </c>
      <c r="O153">
        <v>18116315.315315317</v>
      </c>
      <c r="P153">
        <v>18787549.549549554</v>
      </c>
      <c r="Q153">
        <v>6623063.0630630627</v>
      </c>
      <c r="R153">
        <v>3945270.2702702712</v>
      </c>
      <c r="S153">
        <v>1195</v>
      </c>
      <c r="T153">
        <v>1119</v>
      </c>
    </row>
    <row r="154" spans="1:20" x14ac:dyDescent="0.35">
      <c r="A154" s="7" t="s">
        <v>245</v>
      </c>
      <c r="B154" s="12" t="s">
        <v>182</v>
      </c>
      <c r="C154">
        <v>1742330914.9819736</v>
      </c>
      <c r="D154">
        <v>1696241301.9930532</v>
      </c>
      <c r="E154">
        <v>166767994.5945946</v>
      </c>
      <c r="F154">
        <v>188267763.06306309</v>
      </c>
      <c r="G154">
        <v>767</v>
      </c>
      <c r="H154">
        <v>689</v>
      </c>
      <c r="I154">
        <v>13</v>
      </c>
      <c r="K154">
        <v>1301</v>
      </c>
      <c r="L154">
        <v>905</v>
      </c>
      <c r="M154">
        <v>215163513.51351351</v>
      </c>
      <c r="N154">
        <v>460509970.27027029</v>
      </c>
      <c r="O154">
        <v>383995399.0990991</v>
      </c>
      <c r="P154">
        <v>391358691.8918919</v>
      </c>
      <c r="Q154">
        <v>211035045.04504505</v>
      </c>
      <c r="R154">
        <v>441166621.62162161</v>
      </c>
      <c r="S154">
        <v>44827</v>
      </c>
      <c r="T154">
        <v>39608</v>
      </c>
    </row>
    <row r="155" spans="1:20" x14ac:dyDescent="0.35">
      <c r="A155" s="7" t="s">
        <v>246</v>
      </c>
      <c r="B155" s="12" t="s">
        <v>49</v>
      </c>
      <c r="C155">
        <v>76244863.847249463</v>
      </c>
      <c r="D155">
        <v>82187152.823726013</v>
      </c>
      <c r="E155">
        <v>1726351.3513513519</v>
      </c>
      <c r="F155">
        <v>101801.80180180199</v>
      </c>
      <c r="G155">
        <v>6</v>
      </c>
      <c r="H155">
        <v>6</v>
      </c>
      <c r="K155">
        <v>8</v>
      </c>
      <c r="L155">
        <v>7</v>
      </c>
      <c r="M155">
        <v>20168648.648648649</v>
      </c>
      <c r="N155">
        <v>8872972.9729729742</v>
      </c>
      <c r="O155">
        <v>17412360.360360362</v>
      </c>
      <c r="P155">
        <v>21750306.306306303</v>
      </c>
      <c r="Q155">
        <v>21635765.765765768</v>
      </c>
      <c r="R155">
        <v>8358648.6486486504</v>
      </c>
      <c r="S155">
        <v>1764</v>
      </c>
      <c r="T155">
        <v>1796</v>
      </c>
    </row>
    <row r="156" spans="1:20" x14ac:dyDescent="0.35">
      <c r="A156" s="7" t="s">
        <v>247</v>
      </c>
      <c r="B156" s="12" t="s">
        <v>95</v>
      </c>
      <c r="C156">
        <v>21979579.769548226</v>
      </c>
      <c r="D156">
        <v>20144755.368297774</v>
      </c>
      <c r="G156">
        <v>2</v>
      </c>
      <c r="K156">
        <v>2</v>
      </c>
      <c r="O156">
        <v>4138819.8198198201</v>
      </c>
      <c r="P156">
        <v>4264270.2702702703</v>
      </c>
      <c r="S156">
        <v>672</v>
      </c>
      <c r="T156">
        <v>689</v>
      </c>
    </row>
    <row r="157" spans="1:20" x14ac:dyDescent="0.35">
      <c r="A157" s="7" t="s">
        <v>248</v>
      </c>
      <c r="B157" s="12" t="s">
        <v>118</v>
      </c>
      <c r="C157">
        <v>72500827.752185822</v>
      </c>
      <c r="D157">
        <v>67475153.391918585</v>
      </c>
      <c r="E157">
        <v>847177.47747747705</v>
      </c>
      <c r="F157">
        <v>1438163.963963964</v>
      </c>
      <c r="G157">
        <v>9</v>
      </c>
      <c r="H157">
        <v>14</v>
      </c>
      <c r="K157">
        <v>12</v>
      </c>
      <c r="L157">
        <v>18</v>
      </c>
      <c r="M157">
        <v>9022702.7027027048</v>
      </c>
      <c r="N157">
        <v>12093193.693693692</v>
      </c>
      <c r="O157">
        <v>34489261.261261262</v>
      </c>
      <c r="P157">
        <v>34917432.432432435</v>
      </c>
      <c r="Q157">
        <v>10841351.351351352</v>
      </c>
      <c r="R157">
        <v>9770180.1801801808</v>
      </c>
      <c r="S157">
        <v>1733</v>
      </c>
      <c r="T157">
        <v>1781</v>
      </c>
    </row>
    <row r="158" spans="1:20" x14ac:dyDescent="0.35">
      <c r="A158" s="7" t="s">
        <v>249</v>
      </c>
      <c r="B158" s="12" t="s">
        <v>122</v>
      </c>
      <c r="C158">
        <v>118538903.71485665</v>
      </c>
      <c r="D158">
        <v>107361530.58888482</v>
      </c>
      <c r="E158">
        <v>836936.93693693704</v>
      </c>
      <c r="F158">
        <v>189189.18918919199</v>
      </c>
      <c r="G158">
        <v>78</v>
      </c>
      <c r="H158">
        <v>61</v>
      </c>
      <c r="K158">
        <v>84</v>
      </c>
      <c r="L158">
        <v>71</v>
      </c>
      <c r="M158">
        <v>4495495.4954954963</v>
      </c>
      <c r="N158">
        <v>7061711.711711714</v>
      </c>
      <c r="O158">
        <v>14215459.459459459</v>
      </c>
      <c r="P158">
        <v>12220288.288288288</v>
      </c>
      <c r="Q158">
        <v>4221531.5315315314</v>
      </c>
      <c r="R158">
        <v>4155405.405405404</v>
      </c>
      <c r="S158">
        <v>2285</v>
      </c>
      <c r="T158">
        <v>2314</v>
      </c>
    </row>
    <row r="159" spans="1:20" x14ac:dyDescent="0.35">
      <c r="A159" s="7" t="s">
        <v>250</v>
      </c>
      <c r="B159" s="12" t="s">
        <v>77</v>
      </c>
      <c r="C159">
        <v>50966067.37424586</v>
      </c>
      <c r="D159">
        <v>48186211.653397039</v>
      </c>
      <c r="G159">
        <v>5</v>
      </c>
      <c r="K159">
        <v>6</v>
      </c>
      <c r="O159">
        <v>5025855.8558558561</v>
      </c>
      <c r="P159">
        <v>5700432.4324324327</v>
      </c>
      <c r="S159">
        <v>1691</v>
      </c>
      <c r="T159">
        <v>1697</v>
      </c>
    </row>
    <row r="160" spans="1:20" x14ac:dyDescent="0.35">
      <c r="A160" s="7" t="s">
        <v>251</v>
      </c>
      <c r="B160" s="12" t="s">
        <v>168</v>
      </c>
      <c r="C160">
        <v>165899115.49307668</v>
      </c>
      <c r="D160">
        <v>170691810.88729948</v>
      </c>
      <c r="F160">
        <v>450450.45045045001</v>
      </c>
      <c r="G160">
        <v>37</v>
      </c>
      <c r="H160">
        <v>4</v>
      </c>
      <c r="K160">
        <v>42</v>
      </c>
      <c r="L160">
        <v>4</v>
      </c>
      <c r="M160">
        <v>1828828.8288288291</v>
      </c>
      <c r="N160">
        <v>5938288.2882882878</v>
      </c>
      <c r="O160">
        <v>31767792.792792793</v>
      </c>
      <c r="P160">
        <v>44306126.126126125</v>
      </c>
      <c r="Q160">
        <v>1779099.0990991001</v>
      </c>
      <c r="R160">
        <v>4351711.7117117103</v>
      </c>
      <c r="S160">
        <v>3665</v>
      </c>
      <c r="T160">
        <v>3659</v>
      </c>
    </row>
    <row r="161" spans="1:20" x14ac:dyDescent="0.35">
      <c r="A161" s="7" t="s">
        <v>252</v>
      </c>
      <c r="B161" s="12" t="s">
        <v>90</v>
      </c>
      <c r="C161">
        <v>489170618.67348951</v>
      </c>
      <c r="D161">
        <v>507924978.78724676</v>
      </c>
      <c r="E161">
        <v>2304054.0540540572</v>
      </c>
      <c r="F161">
        <v>3282882.8828828898</v>
      </c>
      <c r="G161">
        <v>89</v>
      </c>
      <c r="H161">
        <v>35</v>
      </c>
      <c r="I161">
        <v>1</v>
      </c>
      <c r="K161">
        <v>102</v>
      </c>
      <c r="L161">
        <v>50</v>
      </c>
      <c r="M161">
        <v>36694504.504504494</v>
      </c>
      <c r="N161">
        <v>39245045.045045048</v>
      </c>
      <c r="O161">
        <v>119769279.27927928</v>
      </c>
      <c r="P161">
        <v>134341108.1081081</v>
      </c>
      <c r="Q161">
        <v>35738558.558558553</v>
      </c>
      <c r="R161">
        <v>38563333.333333336</v>
      </c>
      <c r="S161">
        <v>10520</v>
      </c>
      <c r="T161">
        <v>10390</v>
      </c>
    </row>
    <row r="162" spans="1:20" x14ac:dyDescent="0.35">
      <c r="A162" s="7" t="s">
        <v>253</v>
      </c>
      <c r="B162" s="12" t="s">
        <v>79</v>
      </c>
      <c r="C162">
        <v>142667099.21742615</v>
      </c>
      <c r="D162">
        <v>146872551.9079501</v>
      </c>
      <c r="E162">
        <v>2197297.2972972989</v>
      </c>
      <c r="F162">
        <v>1511711.711711715</v>
      </c>
      <c r="G162">
        <v>25</v>
      </c>
      <c r="H162">
        <v>7</v>
      </c>
      <c r="K162">
        <v>26</v>
      </c>
      <c r="L162">
        <v>9</v>
      </c>
      <c r="M162">
        <v>30148108.108108107</v>
      </c>
      <c r="N162">
        <v>23795225.225225225</v>
      </c>
      <c r="O162">
        <v>41243117.117117122</v>
      </c>
      <c r="P162">
        <v>42392882.882882878</v>
      </c>
      <c r="Q162">
        <v>28663783.783783782</v>
      </c>
      <c r="R162">
        <v>23080540.540540542</v>
      </c>
      <c r="S162">
        <v>2872</v>
      </c>
      <c r="T162">
        <v>2842</v>
      </c>
    </row>
    <row r="163" spans="1:20" x14ac:dyDescent="0.35">
      <c r="A163" s="7" t="s">
        <v>254</v>
      </c>
      <c r="B163" s="12" t="s">
        <v>106</v>
      </c>
      <c r="C163">
        <v>282583363.17912644</v>
      </c>
      <c r="D163">
        <v>296371852.69851464</v>
      </c>
      <c r="E163">
        <v>170873296.39639643</v>
      </c>
      <c r="F163">
        <v>141660638.73873875</v>
      </c>
      <c r="G163">
        <v>97</v>
      </c>
      <c r="H163">
        <v>64</v>
      </c>
      <c r="K163">
        <v>175</v>
      </c>
      <c r="L163">
        <v>87</v>
      </c>
      <c r="M163">
        <v>43614054.054054059</v>
      </c>
      <c r="N163">
        <v>89529819.819819823</v>
      </c>
      <c r="O163">
        <v>81718000</v>
      </c>
      <c r="P163">
        <v>88737423.423423424</v>
      </c>
      <c r="Q163">
        <v>43698108.108108103</v>
      </c>
      <c r="R163">
        <v>88030540.540540546</v>
      </c>
      <c r="S163">
        <v>5257</v>
      </c>
      <c r="T163">
        <v>5403</v>
      </c>
    </row>
    <row r="164" spans="1:20" x14ac:dyDescent="0.35">
      <c r="A164" s="7" t="s">
        <v>255</v>
      </c>
      <c r="B164" s="12" t="s">
        <v>106</v>
      </c>
      <c r="C164">
        <v>184022133.31183764</v>
      </c>
      <c r="D164">
        <v>175426287.15888485</v>
      </c>
      <c r="E164">
        <v>1767567.5675675699</v>
      </c>
      <c r="F164">
        <v>1538738.7387387389</v>
      </c>
      <c r="G164">
        <v>18</v>
      </c>
      <c r="H164">
        <v>30</v>
      </c>
      <c r="I164">
        <v>1</v>
      </c>
      <c r="K164">
        <v>22</v>
      </c>
      <c r="L164">
        <v>33</v>
      </c>
      <c r="M164">
        <v>15238198.198198199</v>
      </c>
      <c r="N164">
        <v>12075675.675675675</v>
      </c>
      <c r="O164">
        <v>57284936.936936937</v>
      </c>
      <c r="P164">
        <v>60304018.018018015</v>
      </c>
      <c r="Q164">
        <v>13260270.270270268</v>
      </c>
      <c r="R164">
        <v>11454054.054054052</v>
      </c>
      <c r="S164">
        <v>3931</v>
      </c>
      <c r="T164">
        <v>3866</v>
      </c>
    </row>
    <row r="165" spans="1:20" x14ac:dyDescent="0.35">
      <c r="A165" s="7" t="s">
        <v>256</v>
      </c>
      <c r="B165" s="12" t="s">
        <v>106</v>
      </c>
      <c r="C165">
        <v>155696789.32948643</v>
      </c>
      <c r="D165">
        <v>169904899.45998657</v>
      </c>
      <c r="E165">
        <v>121621.62162162201</v>
      </c>
      <c r="F165">
        <v>69369.369369370004</v>
      </c>
      <c r="G165">
        <v>25</v>
      </c>
      <c r="H165">
        <v>17</v>
      </c>
      <c r="I165">
        <v>4</v>
      </c>
      <c r="K165">
        <v>28</v>
      </c>
      <c r="L165">
        <v>18</v>
      </c>
      <c r="M165">
        <v>2373873.8738738741</v>
      </c>
      <c r="N165">
        <v>1195495.4954954961</v>
      </c>
      <c r="O165">
        <v>33829745.945945941</v>
      </c>
      <c r="P165">
        <v>40154684.684684686</v>
      </c>
      <c r="Q165">
        <v>2117297.297297297</v>
      </c>
      <c r="R165">
        <v>1222162.1621621619</v>
      </c>
      <c r="S165">
        <v>2375</v>
      </c>
      <c r="T165">
        <v>2194</v>
      </c>
    </row>
    <row r="166" spans="1:20" x14ac:dyDescent="0.35">
      <c r="A166" s="7" t="s">
        <v>257</v>
      </c>
      <c r="B166" s="12" t="s">
        <v>135</v>
      </c>
      <c r="C166">
        <v>239015897.91456845</v>
      </c>
      <c r="D166">
        <v>257731135.03799376</v>
      </c>
      <c r="E166">
        <v>756756.75675675704</v>
      </c>
      <c r="F166">
        <v>621621.62162162096</v>
      </c>
      <c r="G166">
        <v>23</v>
      </c>
      <c r="H166">
        <v>13</v>
      </c>
      <c r="K166">
        <v>23</v>
      </c>
      <c r="L166">
        <v>15</v>
      </c>
      <c r="M166">
        <v>3378378.3783783782</v>
      </c>
      <c r="N166">
        <v>4720720.7207207195</v>
      </c>
      <c r="O166">
        <v>16929891.891891893</v>
      </c>
      <c r="P166">
        <v>26198306.306306303</v>
      </c>
      <c r="Q166">
        <v>4167387.3873873879</v>
      </c>
      <c r="R166">
        <v>4819999.9999999991</v>
      </c>
      <c r="S166">
        <v>4149</v>
      </c>
      <c r="T166">
        <v>4199</v>
      </c>
    </row>
    <row r="167" spans="1:20" x14ac:dyDescent="0.35">
      <c r="A167" s="7" t="s">
        <v>258</v>
      </c>
      <c r="B167" s="12" t="s">
        <v>168</v>
      </c>
      <c r="C167">
        <v>82977081.429810956</v>
      </c>
      <c r="D167">
        <v>96878025.341577888</v>
      </c>
      <c r="E167">
        <v>1171171.1711711709</v>
      </c>
      <c r="G167">
        <v>19</v>
      </c>
      <c r="H167">
        <v>5</v>
      </c>
      <c r="K167">
        <v>24</v>
      </c>
      <c r="L167">
        <v>6</v>
      </c>
      <c r="M167">
        <v>4375467.5675675673</v>
      </c>
      <c r="N167">
        <v>4199099.0990991006</v>
      </c>
      <c r="O167">
        <v>28658750.450450446</v>
      </c>
      <c r="P167">
        <v>37361720.720720723</v>
      </c>
      <c r="Q167">
        <v>4319909.9099099087</v>
      </c>
      <c r="R167">
        <v>5344594.594594596</v>
      </c>
      <c r="S167">
        <v>2400</v>
      </c>
      <c r="T167">
        <v>2344</v>
      </c>
    </row>
    <row r="168" spans="1:20" x14ac:dyDescent="0.35">
      <c r="A168" s="7" t="s">
        <v>259</v>
      </c>
      <c r="B168" s="12" t="s">
        <v>61</v>
      </c>
      <c r="C168">
        <v>32767900.236639649</v>
      </c>
      <c r="D168">
        <v>34081295.499359109</v>
      </c>
      <c r="E168">
        <v>279279.27927927999</v>
      </c>
      <c r="F168">
        <v>330180.18018018</v>
      </c>
      <c r="G168">
        <v>16</v>
      </c>
      <c r="H168">
        <v>7</v>
      </c>
      <c r="I168">
        <v>3</v>
      </c>
      <c r="K168">
        <v>22</v>
      </c>
      <c r="L168">
        <v>10</v>
      </c>
      <c r="M168">
        <v>7117117.1171171172</v>
      </c>
      <c r="N168">
        <v>7897747.7477477472</v>
      </c>
      <c r="O168">
        <v>11509945.945945946</v>
      </c>
      <c r="P168">
        <v>12538153.153153153</v>
      </c>
      <c r="Q168">
        <v>7158468.4684684677</v>
      </c>
      <c r="R168">
        <v>7596756.7567567546</v>
      </c>
      <c r="S168">
        <v>638</v>
      </c>
      <c r="T168">
        <v>655</v>
      </c>
    </row>
    <row r="169" spans="1:20" x14ac:dyDescent="0.35">
      <c r="A169" s="7" t="s">
        <v>260</v>
      </c>
      <c r="B169" s="12" t="s">
        <v>261</v>
      </c>
      <c r="C169">
        <v>20253246.377530884</v>
      </c>
      <c r="D169">
        <v>21204721.293355945</v>
      </c>
      <c r="E169">
        <v>10810.810810810999</v>
      </c>
      <c r="F169">
        <v>27027.027027027001</v>
      </c>
      <c r="G169">
        <v>5</v>
      </c>
      <c r="H169">
        <v>1</v>
      </c>
      <c r="K169">
        <v>6</v>
      </c>
      <c r="L169">
        <v>1</v>
      </c>
      <c r="M169">
        <v>4098648.648648649</v>
      </c>
      <c r="N169">
        <v>1828828.8288288291</v>
      </c>
      <c r="O169">
        <v>3561018.018018018</v>
      </c>
      <c r="P169">
        <v>5034936.9369369373</v>
      </c>
      <c r="Q169">
        <v>1760180.1801801799</v>
      </c>
      <c r="R169">
        <v>920090.09009008994</v>
      </c>
      <c r="S169">
        <v>513</v>
      </c>
      <c r="T169">
        <v>553</v>
      </c>
    </row>
    <row r="170" spans="1:20" x14ac:dyDescent="0.35">
      <c r="A170" s="7" t="s">
        <v>262</v>
      </c>
      <c r="B170" s="12" t="s">
        <v>61</v>
      </c>
      <c r="C170">
        <v>312377951.81508029</v>
      </c>
      <c r="D170">
        <v>309597414.4654054</v>
      </c>
      <c r="E170">
        <v>235247340.54054055</v>
      </c>
      <c r="F170">
        <v>702065839.63963974</v>
      </c>
      <c r="G170">
        <v>238</v>
      </c>
      <c r="H170">
        <v>189</v>
      </c>
      <c r="I170">
        <v>1</v>
      </c>
      <c r="K170">
        <v>330</v>
      </c>
      <c r="L170">
        <v>307</v>
      </c>
      <c r="M170">
        <v>67028828.828828834</v>
      </c>
      <c r="N170">
        <v>90661755.855855852</v>
      </c>
      <c r="O170">
        <v>115032434.68468469</v>
      </c>
      <c r="P170">
        <v>114050918.91891891</v>
      </c>
      <c r="Q170">
        <v>71209099.0990991</v>
      </c>
      <c r="R170">
        <v>80951081.081081092</v>
      </c>
      <c r="S170">
        <v>6147</v>
      </c>
      <c r="T170">
        <v>6180</v>
      </c>
    </row>
    <row r="171" spans="1:20" x14ac:dyDescent="0.35">
      <c r="A171" s="7" t="s">
        <v>263</v>
      </c>
      <c r="B171" s="12" t="s">
        <v>124</v>
      </c>
      <c r="C171">
        <v>242189562.59953672</v>
      </c>
      <c r="D171">
        <v>229123361.78036165</v>
      </c>
      <c r="E171">
        <v>408108.10810810898</v>
      </c>
      <c r="F171">
        <v>654054.05405405397</v>
      </c>
      <c r="G171">
        <v>52</v>
      </c>
      <c r="H171">
        <v>66</v>
      </c>
      <c r="I171">
        <v>1</v>
      </c>
      <c r="K171">
        <v>85</v>
      </c>
      <c r="L171">
        <v>87</v>
      </c>
      <c r="M171">
        <v>17307027.02702703</v>
      </c>
      <c r="N171">
        <v>17116666.666666668</v>
      </c>
      <c r="O171">
        <v>95583081.081081092</v>
      </c>
      <c r="P171">
        <v>92476727.927927926</v>
      </c>
      <c r="Q171">
        <v>14912162.162162162</v>
      </c>
      <c r="R171">
        <v>16915585.585585583</v>
      </c>
      <c r="S171">
        <v>5610</v>
      </c>
      <c r="T171">
        <v>5535</v>
      </c>
    </row>
    <row r="172" spans="1:20" x14ac:dyDescent="0.35">
      <c r="A172" s="7" t="s">
        <v>264</v>
      </c>
      <c r="B172" s="12" t="s">
        <v>124</v>
      </c>
      <c r="C172">
        <v>102141125.5621056</v>
      </c>
      <c r="D172">
        <v>107932987.56296536</v>
      </c>
      <c r="E172">
        <v>2214639.6396396412</v>
      </c>
      <c r="F172">
        <v>2492792.7927927952</v>
      </c>
      <c r="G172">
        <v>51</v>
      </c>
      <c r="H172">
        <v>68</v>
      </c>
      <c r="I172">
        <v>1</v>
      </c>
      <c r="K172">
        <v>212</v>
      </c>
      <c r="L172">
        <v>83</v>
      </c>
      <c r="M172">
        <v>31234504.504504506</v>
      </c>
      <c r="N172">
        <v>24557657.657657657</v>
      </c>
      <c r="O172">
        <v>42349495.495495498</v>
      </c>
      <c r="P172">
        <v>46519000</v>
      </c>
      <c r="Q172">
        <v>29085855.855855856</v>
      </c>
      <c r="R172">
        <v>22847297.297297299</v>
      </c>
      <c r="S172">
        <v>2301</v>
      </c>
      <c r="T172">
        <v>2301</v>
      </c>
    </row>
    <row r="173" spans="1:20" x14ac:dyDescent="0.35">
      <c r="A173" s="7" t="s">
        <v>265</v>
      </c>
      <c r="B173" s="12" t="s">
        <v>126</v>
      </c>
      <c r="C173">
        <v>259633228.91039929</v>
      </c>
      <c r="D173">
        <v>267994772.96911815</v>
      </c>
      <c r="E173">
        <v>107215765.76576576</v>
      </c>
      <c r="F173">
        <v>120031981.98198198</v>
      </c>
      <c r="G173">
        <v>77</v>
      </c>
      <c r="H173">
        <v>35</v>
      </c>
      <c r="K173">
        <v>78</v>
      </c>
      <c r="L173">
        <v>36</v>
      </c>
      <c r="M173">
        <v>29364189.189189192</v>
      </c>
      <c r="N173">
        <v>25893243.24324324</v>
      </c>
      <c r="O173">
        <v>94306482.882882878</v>
      </c>
      <c r="P173">
        <v>95373891.891891882</v>
      </c>
      <c r="Q173">
        <v>23365268.468468469</v>
      </c>
      <c r="R173">
        <v>22343333.333333332</v>
      </c>
      <c r="S173">
        <v>4479</v>
      </c>
      <c r="T173">
        <v>4517</v>
      </c>
    </row>
    <row r="174" spans="1:20" x14ac:dyDescent="0.35">
      <c r="A174" s="7" t="s">
        <v>266</v>
      </c>
      <c r="B174" s="12" t="s">
        <v>124</v>
      </c>
      <c r="C174">
        <v>246949477.92434388</v>
      </c>
      <c r="D174">
        <v>249090664.72186995</v>
      </c>
      <c r="E174">
        <v>1796396.396396399</v>
      </c>
      <c r="F174">
        <v>1930630.6306306331</v>
      </c>
      <c r="G174">
        <v>35</v>
      </c>
      <c r="H174">
        <v>40</v>
      </c>
      <c r="I174">
        <v>1</v>
      </c>
      <c r="K174">
        <v>42</v>
      </c>
      <c r="L174">
        <v>43</v>
      </c>
      <c r="M174">
        <v>25622522.52252252</v>
      </c>
      <c r="N174">
        <v>31138018.018018015</v>
      </c>
      <c r="O174">
        <v>86999976.576576576</v>
      </c>
      <c r="P174">
        <v>94582926.126126125</v>
      </c>
      <c r="Q174">
        <v>24399189.189189188</v>
      </c>
      <c r="R174">
        <v>32619189.189189192</v>
      </c>
      <c r="S174">
        <v>4787</v>
      </c>
      <c r="T174">
        <v>4768</v>
      </c>
    </row>
    <row r="175" spans="1:20" x14ac:dyDescent="0.35">
      <c r="A175" s="7" t="s">
        <v>267</v>
      </c>
      <c r="B175" s="12" t="s">
        <v>124</v>
      </c>
      <c r="C175">
        <v>259299096.72772756</v>
      </c>
      <c r="D175">
        <v>263972041.39033392</v>
      </c>
      <c r="E175">
        <v>2720270.2702702712</v>
      </c>
      <c r="F175">
        <v>2235585.5855855928</v>
      </c>
      <c r="G175">
        <v>54</v>
      </c>
      <c r="H175">
        <v>59</v>
      </c>
      <c r="K175">
        <v>57</v>
      </c>
      <c r="L175">
        <v>64</v>
      </c>
      <c r="M175">
        <v>30800180.180180181</v>
      </c>
      <c r="N175">
        <v>33912972.972972974</v>
      </c>
      <c r="O175">
        <v>105315376.57657658</v>
      </c>
      <c r="P175">
        <v>104426115.31531531</v>
      </c>
      <c r="Q175">
        <v>28597387.387387387</v>
      </c>
      <c r="R175">
        <v>31164414.414414417</v>
      </c>
      <c r="S175">
        <v>5821</v>
      </c>
      <c r="T175">
        <v>5375</v>
      </c>
    </row>
    <row r="176" spans="1:20" x14ac:dyDescent="0.35">
      <c r="A176" s="7" t="s">
        <v>268</v>
      </c>
      <c r="B176" s="12" t="s">
        <v>179</v>
      </c>
      <c r="C176">
        <v>1308128852.2410691</v>
      </c>
      <c r="D176">
        <v>1314695332.7343698</v>
      </c>
      <c r="E176">
        <v>987138372.07207203</v>
      </c>
      <c r="F176">
        <v>691707872.97297287</v>
      </c>
      <c r="G176">
        <v>682</v>
      </c>
      <c r="H176">
        <v>401</v>
      </c>
      <c r="I176">
        <v>1</v>
      </c>
      <c r="K176">
        <v>1169</v>
      </c>
      <c r="L176">
        <v>876</v>
      </c>
      <c r="M176">
        <v>191356960.36036038</v>
      </c>
      <c r="N176">
        <v>204043468.46846849</v>
      </c>
      <c r="O176">
        <v>396730822.52252251</v>
      </c>
      <c r="P176">
        <v>426156915.31531531</v>
      </c>
      <c r="Q176">
        <v>172655495.4954955</v>
      </c>
      <c r="R176">
        <v>187258963.96396396</v>
      </c>
      <c r="S176">
        <v>31686</v>
      </c>
      <c r="T176">
        <v>34196</v>
      </c>
    </row>
    <row r="177" spans="1:20" x14ac:dyDescent="0.35">
      <c r="A177" s="7" t="s">
        <v>269</v>
      </c>
      <c r="B177" s="12" t="s">
        <v>63</v>
      </c>
      <c r="C177">
        <v>213449289.38469261</v>
      </c>
      <c r="D177">
        <v>224525278.90064546</v>
      </c>
      <c r="E177">
        <v>4943243.2432432482</v>
      </c>
      <c r="F177">
        <v>6318108.1081081079</v>
      </c>
      <c r="G177">
        <v>65</v>
      </c>
      <c r="H177">
        <v>159</v>
      </c>
      <c r="K177">
        <v>71</v>
      </c>
      <c r="L177">
        <v>233</v>
      </c>
      <c r="M177">
        <v>72298828.828828827</v>
      </c>
      <c r="N177">
        <v>78467837.837837845</v>
      </c>
      <c r="O177">
        <v>70116396.396396399</v>
      </c>
      <c r="P177">
        <v>82171628.828828827</v>
      </c>
      <c r="Q177">
        <v>59452342.342342339</v>
      </c>
      <c r="R177">
        <v>52506756.756756753</v>
      </c>
      <c r="S177">
        <v>4673</v>
      </c>
      <c r="T177">
        <v>4914</v>
      </c>
    </row>
    <row r="178" spans="1:20" x14ac:dyDescent="0.35">
      <c r="A178" s="7" t="s">
        <v>270</v>
      </c>
      <c r="B178" s="12" t="s">
        <v>71</v>
      </c>
      <c r="C178">
        <v>276345305.15478086</v>
      </c>
      <c r="D178">
        <v>267069016.29124621</v>
      </c>
      <c r="E178">
        <v>135208371.17117116</v>
      </c>
      <c r="F178">
        <v>162055345.04504505</v>
      </c>
      <c r="G178">
        <v>98</v>
      </c>
      <c r="H178">
        <v>95</v>
      </c>
      <c r="K178">
        <v>185</v>
      </c>
      <c r="L178">
        <v>128</v>
      </c>
      <c r="M178">
        <v>85085595.495495498</v>
      </c>
      <c r="N178">
        <v>117308462.16216215</v>
      </c>
      <c r="O178">
        <v>126331423.42342342</v>
      </c>
      <c r="P178">
        <v>129115090.0900901</v>
      </c>
      <c r="Q178">
        <v>21443513.513513517</v>
      </c>
      <c r="R178">
        <v>41284864.864864856</v>
      </c>
      <c r="S178">
        <v>6930</v>
      </c>
      <c r="T178">
        <v>6788</v>
      </c>
    </row>
    <row r="179" spans="1:20" x14ac:dyDescent="0.35">
      <c r="A179" s="7" t="s">
        <v>271</v>
      </c>
      <c r="B179" s="12" t="s">
        <v>135</v>
      </c>
      <c r="C179">
        <v>4228124.3591538854</v>
      </c>
      <c r="D179">
        <v>4128267.7682529432</v>
      </c>
      <c r="O179">
        <v>257297.29729729699</v>
      </c>
      <c r="P179">
        <v>280270.27027027</v>
      </c>
      <c r="S179">
        <v>230</v>
      </c>
      <c r="T179">
        <v>216</v>
      </c>
    </row>
    <row r="180" spans="1:20" x14ac:dyDescent="0.35">
      <c r="A180" s="7" t="s">
        <v>272</v>
      </c>
      <c r="B180" s="12" t="s">
        <v>77</v>
      </c>
      <c r="C180">
        <v>130455077.97487119</v>
      </c>
      <c r="D180">
        <v>121133030.44389802</v>
      </c>
      <c r="E180">
        <v>76576.576576577005</v>
      </c>
      <c r="F180">
        <v>470270.27027027</v>
      </c>
      <c r="G180">
        <v>18</v>
      </c>
      <c r="H180">
        <v>18</v>
      </c>
      <c r="K180">
        <v>20</v>
      </c>
      <c r="L180">
        <v>19</v>
      </c>
      <c r="M180">
        <v>166666.66666666701</v>
      </c>
      <c r="N180">
        <v>686486.48648648604</v>
      </c>
      <c r="O180">
        <v>7903824.3243243238</v>
      </c>
      <c r="P180">
        <v>9330468.4684684686</v>
      </c>
      <c r="Q180">
        <v>271171.17117117101</v>
      </c>
      <c r="R180">
        <v>534324.32432432403</v>
      </c>
      <c r="S180">
        <v>2950</v>
      </c>
      <c r="T180">
        <v>2481</v>
      </c>
    </row>
    <row r="181" spans="1:20" x14ac:dyDescent="0.35">
      <c r="A181" s="7" t="s">
        <v>273</v>
      </c>
      <c r="B181" s="12" t="s">
        <v>77</v>
      </c>
      <c r="C181">
        <v>44527241.422045633</v>
      </c>
      <c r="D181">
        <v>51193175.275837541</v>
      </c>
      <c r="E181">
        <v>150450.450450451</v>
      </c>
      <c r="F181">
        <v>237837.83783783799</v>
      </c>
      <c r="G181">
        <v>4</v>
      </c>
      <c r="H181">
        <v>15</v>
      </c>
      <c r="K181">
        <v>6</v>
      </c>
      <c r="L181">
        <v>15</v>
      </c>
      <c r="M181">
        <v>10073153.153153151</v>
      </c>
      <c r="N181">
        <v>13583783.783783784</v>
      </c>
      <c r="O181">
        <v>11383747.747747747</v>
      </c>
      <c r="P181">
        <v>15459007.207207208</v>
      </c>
      <c r="Q181">
        <v>8629819.8198198192</v>
      </c>
      <c r="R181">
        <v>10697207.207207208</v>
      </c>
      <c r="S181">
        <v>750</v>
      </c>
      <c r="T181">
        <v>804</v>
      </c>
    </row>
    <row r="182" spans="1:20" x14ac:dyDescent="0.35">
      <c r="A182" s="7" t="s">
        <v>274</v>
      </c>
      <c r="B182" s="12" t="s">
        <v>261</v>
      </c>
      <c r="C182">
        <v>926681771.56289482</v>
      </c>
      <c r="D182">
        <v>974760995.44263196</v>
      </c>
      <c r="E182">
        <v>10403603.603603605</v>
      </c>
      <c r="F182">
        <v>11437837.837837849</v>
      </c>
      <c r="G182">
        <v>265</v>
      </c>
      <c r="H182">
        <v>389</v>
      </c>
      <c r="K182">
        <v>362</v>
      </c>
      <c r="L182">
        <v>593</v>
      </c>
      <c r="M182">
        <v>182284684.68468466</v>
      </c>
      <c r="N182">
        <v>229756036.03603604</v>
      </c>
      <c r="O182">
        <v>283201923.42342341</v>
      </c>
      <c r="P182">
        <v>322695747.74774778</v>
      </c>
      <c r="Q182">
        <v>159196756.75675678</v>
      </c>
      <c r="R182">
        <v>205555855.85585588</v>
      </c>
      <c r="S182">
        <v>19037</v>
      </c>
      <c r="T182">
        <v>19141</v>
      </c>
    </row>
    <row r="183" spans="1:20" x14ac:dyDescent="0.35">
      <c r="A183" s="7" t="s">
        <v>667</v>
      </c>
      <c r="B183" s="12" t="s">
        <v>261</v>
      </c>
      <c r="E183">
        <v>345876253.15315318</v>
      </c>
      <c r="F183">
        <v>387101070.27027029</v>
      </c>
      <c r="M183">
        <v>44936936.936936937</v>
      </c>
      <c r="N183">
        <v>32792792.792792793</v>
      </c>
    </row>
    <row r="184" spans="1:20" x14ac:dyDescent="0.35">
      <c r="A184" s="7" t="s">
        <v>275</v>
      </c>
      <c r="B184" s="12" t="s">
        <v>261</v>
      </c>
      <c r="C184">
        <v>204577389.1512441</v>
      </c>
      <c r="D184">
        <v>197124753.54889584</v>
      </c>
      <c r="E184">
        <v>1287612.6126126151</v>
      </c>
      <c r="F184">
        <v>480180.18018018402</v>
      </c>
      <c r="G184">
        <v>10</v>
      </c>
      <c r="H184">
        <v>30</v>
      </c>
      <c r="K184">
        <v>14</v>
      </c>
      <c r="L184">
        <v>32</v>
      </c>
      <c r="M184">
        <v>15250900.9009009</v>
      </c>
      <c r="N184">
        <v>18859459.459459458</v>
      </c>
      <c r="O184">
        <v>41415990.990990989</v>
      </c>
      <c r="P184">
        <v>46384396.396396399</v>
      </c>
      <c r="Q184">
        <v>12375945.945945945</v>
      </c>
      <c r="R184">
        <v>15515628.828828828</v>
      </c>
      <c r="S184">
        <v>3907</v>
      </c>
      <c r="T184">
        <v>3821</v>
      </c>
    </row>
    <row r="185" spans="1:20" x14ac:dyDescent="0.35">
      <c r="A185" s="7" t="s">
        <v>276</v>
      </c>
      <c r="B185" s="12" t="s">
        <v>261</v>
      </c>
      <c r="C185">
        <v>228335166.39860591</v>
      </c>
      <c r="D185">
        <v>268298671.83693248</v>
      </c>
      <c r="E185">
        <v>5682522.5225225231</v>
      </c>
      <c r="F185">
        <v>8152210.8108108146</v>
      </c>
      <c r="G185">
        <v>26</v>
      </c>
      <c r="H185">
        <v>45</v>
      </c>
      <c r="K185">
        <v>30</v>
      </c>
      <c r="L185">
        <v>51</v>
      </c>
      <c r="M185">
        <v>46893693.693693697</v>
      </c>
      <c r="N185">
        <v>26611526.126126129</v>
      </c>
      <c r="O185">
        <v>51313540.540540546</v>
      </c>
      <c r="P185">
        <v>72592493.693693697</v>
      </c>
      <c r="Q185">
        <v>46750720.720720723</v>
      </c>
      <c r="R185">
        <v>22386486.486486487</v>
      </c>
      <c r="S185">
        <v>5762</v>
      </c>
      <c r="T185">
        <v>5977</v>
      </c>
    </row>
    <row r="186" spans="1:20" x14ac:dyDescent="0.35">
      <c r="A186" s="7" t="s">
        <v>277</v>
      </c>
      <c r="B186" s="12" t="s">
        <v>135</v>
      </c>
      <c r="C186">
        <v>287767007.2516287</v>
      </c>
      <c r="D186">
        <v>308972427.85025007</v>
      </c>
      <c r="E186">
        <v>355855.85585585801</v>
      </c>
      <c r="F186">
        <v>409909.90990991</v>
      </c>
      <c r="G186">
        <v>59</v>
      </c>
      <c r="H186">
        <v>27</v>
      </c>
      <c r="K186">
        <v>68</v>
      </c>
      <c r="L186">
        <v>27</v>
      </c>
      <c r="M186">
        <v>14319819.819819823</v>
      </c>
      <c r="N186">
        <v>14373873.873873875</v>
      </c>
      <c r="O186">
        <v>24906445.945945948</v>
      </c>
      <c r="P186">
        <v>32395250.45045045</v>
      </c>
      <c r="Q186">
        <v>6694504.5045045037</v>
      </c>
      <c r="R186">
        <v>7494324.3243243247</v>
      </c>
      <c r="S186">
        <v>5266</v>
      </c>
      <c r="T186">
        <v>7945</v>
      </c>
    </row>
    <row r="187" spans="1:20" x14ac:dyDescent="0.35">
      <c r="A187" s="7" t="s">
        <v>278</v>
      </c>
      <c r="B187" s="12" t="s">
        <v>170</v>
      </c>
      <c r="C187">
        <v>169835885.91826317</v>
      </c>
      <c r="D187">
        <v>159635867.03085095</v>
      </c>
      <c r="E187">
        <v>1476576.576576577</v>
      </c>
      <c r="F187">
        <v>2705405.4054054078</v>
      </c>
      <c r="G187">
        <v>35</v>
      </c>
      <c r="H187">
        <v>12</v>
      </c>
      <c r="K187">
        <v>38</v>
      </c>
      <c r="L187">
        <v>13</v>
      </c>
      <c r="M187">
        <v>14127477.477477478</v>
      </c>
      <c r="N187">
        <v>12092792.792792795</v>
      </c>
      <c r="O187">
        <v>77541970.720720723</v>
      </c>
      <c r="P187">
        <v>74073736.936936945</v>
      </c>
      <c r="Q187">
        <v>10667207.207207208</v>
      </c>
      <c r="R187">
        <v>9982522.5225225221</v>
      </c>
      <c r="S187">
        <v>3283</v>
      </c>
      <c r="T187">
        <v>3285</v>
      </c>
    </row>
    <row r="188" spans="1:20" x14ac:dyDescent="0.35">
      <c r="A188" s="7" t="s">
        <v>668</v>
      </c>
      <c r="B188" s="12" t="s">
        <v>88</v>
      </c>
      <c r="F188">
        <v>567066.66666666698</v>
      </c>
      <c r="N188">
        <v>2702702.702702703</v>
      </c>
    </row>
    <row r="189" spans="1:20" x14ac:dyDescent="0.35">
      <c r="A189" s="7" t="s">
        <v>279</v>
      </c>
      <c r="B189" s="12" t="s">
        <v>170</v>
      </c>
      <c r="C189">
        <v>98840012.07552743</v>
      </c>
      <c r="D189">
        <v>93524536.84203817</v>
      </c>
      <c r="E189">
        <v>30630.630630631</v>
      </c>
      <c r="F189">
        <v>6306.3063063059999</v>
      </c>
      <c r="G189">
        <v>18</v>
      </c>
      <c r="H189">
        <v>43</v>
      </c>
      <c r="K189">
        <v>19</v>
      </c>
      <c r="L189">
        <v>44</v>
      </c>
      <c r="M189">
        <v>7721283.7837837841</v>
      </c>
      <c r="N189">
        <v>4150450.4504504511</v>
      </c>
      <c r="O189">
        <v>43478527.027027026</v>
      </c>
      <c r="P189">
        <v>48247963.963963971</v>
      </c>
      <c r="Q189">
        <v>5842432.4324324327</v>
      </c>
      <c r="R189">
        <v>4984504.5045045037</v>
      </c>
      <c r="S189">
        <v>2066</v>
      </c>
      <c r="T189">
        <v>2039</v>
      </c>
    </row>
    <row r="190" spans="1:20" x14ac:dyDescent="0.35">
      <c r="A190" s="7" t="s">
        <v>280</v>
      </c>
      <c r="B190" s="12" t="s">
        <v>88</v>
      </c>
      <c r="C190">
        <v>2331275.7843249361</v>
      </c>
      <c r="D190">
        <v>2574150.6383113111</v>
      </c>
      <c r="G190">
        <v>5</v>
      </c>
      <c r="K190">
        <v>5</v>
      </c>
      <c r="O190">
        <v>895549.54954955005</v>
      </c>
      <c r="P190">
        <v>1048198.198198198</v>
      </c>
      <c r="S190">
        <v>201</v>
      </c>
      <c r="T190">
        <v>140</v>
      </c>
    </row>
    <row r="191" spans="1:20" x14ac:dyDescent="0.35">
      <c r="A191" s="7" t="s">
        <v>281</v>
      </c>
      <c r="B191" s="12" t="s">
        <v>170</v>
      </c>
      <c r="C191">
        <v>166646417.16443142</v>
      </c>
      <c r="D191">
        <v>191738146.81533733</v>
      </c>
      <c r="E191">
        <v>790090.09009009099</v>
      </c>
      <c r="F191">
        <v>1410810.8108108109</v>
      </c>
      <c r="G191">
        <v>39</v>
      </c>
      <c r="H191">
        <v>85</v>
      </c>
      <c r="K191">
        <v>40</v>
      </c>
      <c r="L191">
        <v>99</v>
      </c>
      <c r="M191">
        <v>20945765.765765764</v>
      </c>
      <c r="N191">
        <v>17655495.495495491</v>
      </c>
      <c r="O191">
        <v>67497459.459459454</v>
      </c>
      <c r="P191">
        <v>82785297.297297299</v>
      </c>
      <c r="Q191">
        <v>18948018.018018018</v>
      </c>
      <c r="R191">
        <v>18020630.630630631</v>
      </c>
      <c r="S191">
        <v>4186</v>
      </c>
      <c r="T191">
        <v>4315</v>
      </c>
    </row>
    <row r="192" spans="1:20" x14ac:dyDescent="0.35">
      <c r="A192" s="7" t="s">
        <v>282</v>
      </c>
      <c r="B192" s="12" t="s">
        <v>55</v>
      </c>
      <c r="C192">
        <v>124612257.67566712</v>
      </c>
      <c r="D192">
        <v>129062951.80398029</v>
      </c>
      <c r="E192">
        <v>1548648.6486486499</v>
      </c>
      <c r="F192">
        <v>1483783.7837837839</v>
      </c>
      <c r="G192">
        <v>47</v>
      </c>
      <c r="H192">
        <v>54</v>
      </c>
      <c r="K192">
        <v>59</v>
      </c>
      <c r="L192">
        <v>63</v>
      </c>
      <c r="M192">
        <v>14473873.873873873</v>
      </c>
      <c r="N192">
        <v>19788288.288288288</v>
      </c>
      <c r="O192">
        <v>27113585.585585583</v>
      </c>
      <c r="P192">
        <v>30030540.540540539</v>
      </c>
      <c r="Q192">
        <v>13348108.108108105</v>
      </c>
      <c r="R192">
        <v>16796666.666666668</v>
      </c>
      <c r="S192">
        <v>3672</v>
      </c>
      <c r="T192">
        <v>3761</v>
      </c>
    </row>
    <row r="193" spans="1:20" x14ac:dyDescent="0.35">
      <c r="A193" s="7" t="s">
        <v>283</v>
      </c>
      <c r="B193" s="12" t="s">
        <v>284</v>
      </c>
      <c r="C193">
        <v>170709498.61825562</v>
      </c>
      <c r="D193">
        <v>206343909.64336297</v>
      </c>
      <c r="E193">
        <v>328828.82882882899</v>
      </c>
      <c r="F193">
        <v>813513.51351351396</v>
      </c>
      <c r="G193">
        <v>61</v>
      </c>
      <c r="H193">
        <v>44</v>
      </c>
      <c r="K193">
        <v>80</v>
      </c>
      <c r="L193">
        <v>55</v>
      </c>
      <c r="M193">
        <v>8897477.4774774797</v>
      </c>
      <c r="N193">
        <v>8002702.702702703</v>
      </c>
      <c r="O193">
        <v>27332378.378378376</v>
      </c>
      <c r="P193">
        <v>31066612.612612613</v>
      </c>
      <c r="Q193">
        <v>9051081.0810810812</v>
      </c>
      <c r="R193">
        <v>6204774.7747747758</v>
      </c>
      <c r="S193">
        <v>3394</v>
      </c>
      <c r="T193">
        <v>3211</v>
      </c>
    </row>
    <row r="194" spans="1:20" x14ac:dyDescent="0.35">
      <c r="A194" s="7" t="s">
        <v>285</v>
      </c>
      <c r="B194" s="12" t="s">
        <v>284</v>
      </c>
      <c r="C194">
        <v>356368075.36575407</v>
      </c>
      <c r="D194">
        <v>358771245.46004826</v>
      </c>
      <c r="E194">
        <v>2753603.6036036089</v>
      </c>
      <c r="F194">
        <v>4709009.009009012</v>
      </c>
      <c r="G194">
        <v>69</v>
      </c>
      <c r="H194">
        <v>236</v>
      </c>
      <c r="K194">
        <v>110</v>
      </c>
      <c r="L194">
        <v>338</v>
      </c>
      <c r="M194">
        <v>42004504.504504502</v>
      </c>
      <c r="N194">
        <v>53818918.918918923</v>
      </c>
      <c r="O194">
        <v>75382090.090090096</v>
      </c>
      <c r="P194">
        <v>80146873.873873875</v>
      </c>
      <c r="Q194">
        <v>38608378.378378376</v>
      </c>
      <c r="R194">
        <v>43128918.918918915</v>
      </c>
      <c r="S194">
        <v>8237</v>
      </c>
      <c r="T194">
        <v>8077</v>
      </c>
    </row>
    <row r="195" spans="1:20" x14ac:dyDescent="0.35">
      <c r="A195" s="7" t="s">
        <v>286</v>
      </c>
      <c r="B195" s="12" t="s">
        <v>284</v>
      </c>
      <c r="C195">
        <v>186828461.43362352</v>
      </c>
      <c r="D195">
        <v>198810813.27144825</v>
      </c>
      <c r="E195">
        <v>1708018.0180180189</v>
      </c>
      <c r="F195">
        <v>2277477.4774774779</v>
      </c>
      <c r="G195">
        <v>36</v>
      </c>
      <c r="H195">
        <v>46</v>
      </c>
      <c r="K195">
        <v>56</v>
      </c>
      <c r="L195">
        <v>73</v>
      </c>
      <c r="M195">
        <v>50146126.126126125</v>
      </c>
      <c r="N195">
        <v>57647027.027027026</v>
      </c>
      <c r="O195">
        <v>57503009.009009011</v>
      </c>
      <c r="P195">
        <v>63895666.666666664</v>
      </c>
      <c r="Q195">
        <v>43797837.837837838</v>
      </c>
      <c r="R195">
        <v>52585225.225225225</v>
      </c>
      <c r="S195">
        <v>4642</v>
      </c>
      <c r="T195">
        <v>4842</v>
      </c>
    </row>
    <row r="196" spans="1:20" x14ac:dyDescent="0.35">
      <c r="A196" s="7" t="s">
        <v>287</v>
      </c>
      <c r="B196" s="12" t="s">
        <v>284</v>
      </c>
      <c r="C196">
        <v>140099260.47225532</v>
      </c>
      <c r="D196">
        <v>148674485.83992746</v>
      </c>
      <c r="E196">
        <v>614414.414414417</v>
      </c>
      <c r="F196">
        <v>736036.03603603598</v>
      </c>
      <c r="G196">
        <v>10</v>
      </c>
      <c r="H196">
        <v>8</v>
      </c>
      <c r="K196">
        <v>12</v>
      </c>
      <c r="L196">
        <v>9</v>
      </c>
      <c r="M196">
        <v>31767567.567567568</v>
      </c>
      <c r="N196">
        <v>12990990.990990993</v>
      </c>
      <c r="O196">
        <v>26540324.324324325</v>
      </c>
      <c r="P196">
        <v>29859414.414414417</v>
      </c>
      <c r="Q196">
        <v>30651531.531531528</v>
      </c>
      <c r="R196">
        <v>10109819.819819819</v>
      </c>
      <c r="S196">
        <v>2487</v>
      </c>
      <c r="T196">
        <v>2577</v>
      </c>
    </row>
    <row r="197" spans="1:20" x14ac:dyDescent="0.35">
      <c r="A197" s="7" t="s">
        <v>288</v>
      </c>
      <c r="B197" s="12" t="s">
        <v>284</v>
      </c>
      <c r="C197">
        <v>71017598.691401169</v>
      </c>
      <c r="D197">
        <v>73917337.482117951</v>
      </c>
      <c r="E197">
        <v>214097933.33333334</v>
      </c>
      <c r="F197">
        <v>131863484.68468469</v>
      </c>
      <c r="G197">
        <v>1</v>
      </c>
      <c r="H197">
        <v>1</v>
      </c>
      <c r="K197">
        <v>2</v>
      </c>
      <c r="L197">
        <v>1</v>
      </c>
      <c r="M197">
        <v>31357090.990990993</v>
      </c>
      <c r="N197">
        <v>26005551.351351351</v>
      </c>
      <c r="O197">
        <v>12842990.990990993</v>
      </c>
      <c r="P197">
        <v>15546135.135135135</v>
      </c>
      <c r="Q197">
        <v>12282702.702702705</v>
      </c>
      <c r="R197">
        <v>9744054.0540540516</v>
      </c>
      <c r="S197">
        <v>1385</v>
      </c>
      <c r="T197">
        <v>1497</v>
      </c>
    </row>
    <row r="198" spans="1:20" x14ac:dyDescent="0.35">
      <c r="A198" s="7" t="s">
        <v>289</v>
      </c>
      <c r="B198" s="12" t="s">
        <v>284</v>
      </c>
      <c r="C198">
        <v>11399863.08176247</v>
      </c>
      <c r="D198">
        <v>11482151.583084747</v>
      </c>
      <c r="E198">
        <v>370270.27027027</v>
      </c>
      <c r="F198">
        <v>606306.30630630697</v>
      </c>
      <c r="M198">
        <v>19847747.747747749</v>
      </c>
      <c r="N198">
        <v>9042342.3423423432</v>
      </c>
      <c r="O198">
        <v>1730549.5495495501</v>
      </c>
      <c r="P198">
        <v>2478009.0090090092</v>
      </c>
      <c r="Q198">
        <v>19450450.45045045</v>
      </c>
      <c r="R198">
        <v>6527027.0270270268</v>
      </c>
      <c r="S198">
        <v>310</v>
      </c>
      <c r="T198">
        <v>283</v>
      </c>
    </row>
    <row r="199" spans="1:20" x14ac:dyDescent="0.35">
      <c r="A199" s="7" t="s">
        <v>290</v>
      </c>
      <c r="B199" s="12" t="s">
        <v>291</v>
      </c>
      <c r="C199">
        <v>144206930.39239883</v>
      </c>
      <c r="D199">
        <v>148697187.11931649</v>
      </c>
      <c r="E199">
        <v>124324.324324325</v>
      </c>
      <c r="F199">
        <v>139639.63963964101</v>
      </c>
      <c r="G199">
        <v>40</v>
      </c>
      <c r="H199">
        <v>18</v>
      </c>
      <c r="K199">
        <v>43</v>
      </c>
      <c r="L199">
        <v>21</v>
      </c>
      <c r="M199">
        <v>630630.630630631</v>
      </c>
      <c r="N199">
        <v>1869369.3693693699</v>
      </c>
      <c r="O199">
        <v>13445578.37837838</v>
      </c>
      <c r="P199">
        <v>17247553.153153151</v>
      </c>
      <c r="Q199">
        <v>818108.10810810805</v>
      </c>
      <c r="R199">
        <v>1300900.9009009011</v>
      </c>
      <c r="S199">
        <v>4198</v>
      </c>
      <c r="T199">
        <v>4653</v>
      </c>
    </row>
    <row r="200" spans="1:20" x14ac:dyDescent="0.35">
      <c r="A200" s="7" t="s">
        <v>292</v>
      </c>
      <c r="B200" s="12" t="s">
        <v>148</v>
      </c>
      <c r="C200">
        <v>338630795.12165999</v>
      </c>
      <c r="D200">
        <v>309322964.91767359</v>
      </c>
      <c r="E200">
        <v>292943354.95495492</v>
      </c>
      <c r="F200">
        <v>339165317.11711711</v>
      </c>
      <c r="G200">
        <v>87</v>
      </c>
      <c r="H200">
        <v>103</v>
      </c>
      <c r="I200">
        <v>1</v>
      </c>
      <c r="K200">
        <v>101</v>
      </c>
      <c r="L200">
        <v>120</v>
      </c>
      <c r="M200">
        <v>130450866.66666666</v>
      </c>
      <c r="N200">
        <v>138239788.2882883</v>
      </c>
      <c r="O200">
        <v>134090504.50450452</v>
      </c>
      <c r="P200">
        <v>124642783.78378379</v>
      </c>
      <c r="Q200">
        <v>124889819.81981982</v>
      </c>
      <c r="R200">
        <v>119871171.17117117</v>
      </c>
      <c r="S200">
        <v>7543</v>
      </c>
      <c r="T200">
        <v>7480</v>
      </c>
    </row>
    <row r="201" spans="1:20" x14ac:dyDescent="0.35">
      <c r="A201" s="7" t="s">
        <v>293</v>
      </c>
      <c r="B201" s="12" t="s">
        <v>294</v>
      </c>
      <c r="C201">
        <v>160557381.21807945</v>
      </c>
      <c r="D201">
        <v>171940953.44074547</v>
      </c>
      <c r="E201">
        <v>37184830.630630635</v>
      </c>
      <c r="F201">
        <v>53182572.072072074</v>
      </c>
      <c r="G201">
        <v>16</v>
      </c>
      <c r="H201">
        <v>7</v>
      </c>
      <c r="K201">
        <v>20</v>
      </c>
      <c r="L201">
        <v>12</v>
      </c>
      <c r="M201">
        <v>45657297.297297299</v>
      </c>
      <c r="N201">
        <v>45657657.657657661</v>
      </c>
      <c r="O201">
        <v>22322954.954954956</v>
      </c>
      <c r="P201">
        <v>24072828.828828827</v>
      </c>
      <c r="Q201">
        <v>39969639.639639638</v>
      </c>
      <c r="R201">
        <v>39869009.009009011</v>
      </c>
      <c r="S201">
        <v>3448</v>
      </c>
      <c r="T201">
        <v>3543</v>
      </c>
    </row>
    <row r="202" spans="1:20" x14ac:dyDescent="0.35">
      <c r="A202" s="7" t="s">
        <v>295</v>
      </c>
      <c r="B202" s="12" t="s">
        <v>291</v>
      </c>
      <c r="C202">
        <v>35452199.380865335</v>
      </c>
      <c r="D202">
        <v>40758120.050859563</v>
      </c>
      <c r="E202">
        <v>163086788.2882883</v>
      </c>
      <c r="F202">
        <v>153335017.11711711</v>
      </c>
      <c r="G202">
        <v>8</v>
      </c>
      <c r="H202">
        <v>7</v>
      </c>
      <c r="K202">
        <v>8</v>
      </c>
      <c r="L202">
        <v>8</v>
      </c>
      <c r="M202">
        <v>22870325.225225225</v>
      </c>
      <c r="N202">
        <v>22240778.37837838</v>
      </c>
      <c r="O202">
        <v>5180223.4234234244</v>
      </c>
      <c r="P202">
        <v>4700072.072072071</v>
      </c>
      <c r="Q202">
        <v>2127117.1171171181</v>
      </c>
      <c r="R202">
        <v>1825405.405405405</v>
      </c>
      <c r="S202">
        <v>1247</v>
      </c>
      <c r="T202">
        <v>1264</v>
      </c>
    </row>
    <row r="203" spans="1:20" x14ac:dyDescent="0.35">
      <c r="A203" s="7" t="s">
        <v>296</v>
      </c>
      <c r="B203" s="12" t="s">
        <v>53</v>
      </c>
      <c r="C203">
        <v>464759756.61706883</v>
      </c>
      <c r="D203">
        <v>475201644.71888399</v>
      </c>
      <c r="E203">
        <v>6062162.162162167</v>
      </c>
      <c r="F203">
        <v>8065063.0630630683</v>
      </c>
      <c r="G203">
        <v>131</v>
      </c>
      <c r="H203">
        <v>189</v>
      </c>
      <c r="K203">
        <v>188</v>
      </c>
      <c r="L203">
        <v>325</v>
      </c>
      <c r="M203">
        <v>259828648.64864865</v>
      </c>
      <c r="N203">
        <v>89156954.954954967</v>
      </c>
      <c r="O203">
        <v>126208360.36036037</v>
      </c>
      <c r="P203">
        <v>131267234.23423424</v>
      </c>
      <c r="Q203">
        <v>267048378.37837836</v>
      </c>
      <c r="R203">
        <v>85993063.06306307</v>
      </c>
      <c r="S203">
        <v>11421</v>
      </c>
      <c r="T203">
        <v>11453</v>
      </c>
    </row>
    <row r="204" spans="1:20" x14ac:dyDescent="0.35">
      <c r="A204" s="7" t="s">
        <v>297</v>
      </c>
      <c r="B204" s="12" t="s">
        <v>170</v>
      </c>
      <c r="C204">
        <v>134076199.30352642</v>
      </c>
      <c r="D204">
        <v>157978516.89377689</v>
      </c>
      <c r="E204">
        <v>27027.027027028002</v>
      </c>
      <c r="F204">
        <v>92342.342342343007</v>
      </c>
      <c r="G204">
        <v>19</v>
      </c>
      <c r="H204">
        <v>11</v>
      </c>
      <c r="K204">
        <v>26</v>
      </c>
      <c r="L204">
        <v>11</v>
      </c>
      <c r="M204">
        <v>10567567.567567568</v>
      </c>
      <c r="N204">
        <v>7362612.6126126125</v>
      </c>
      <c r="O204">
        <v>30473549.549549554</v>
      </c>
      <c r="P204">
        <v>42105126.126126125</v>
      </c>
      <c r="Q204">
        <v>7162882.8828828828</v>
      </c>
      <c r="R204">
        <v>8600900.9009009004</v>
      </c>
      <c r="S204">
        <v>3430</v>
      </c>
      <c r="T204">
        <v>4455</v>
      </c>
    </row>
    <row r="205" spans="1:20" x14ac:dyDescent="0.35">
      <c r="A205" s="7" t="s">
        <v>669</v>
      </c>
      <c r="B205" s="12" t="s">
        <v>170</v>
      </c>
      <c r="E205">
        <v>74887387.387387395</v>
      </c>
      <c r="F205">
        <v>246509009.00900903</v>
      </c>
      <c r="M205">
        <v>12294414.414414413</v>
      </c>
      <c r="N205">
        <v>27378378.378378376</v>
      </c>
    </row>
    <row r="206" spans="1:20" x14ac:dyDescent="0.35">
      <c r="A206" s="7" t="s">
        <v>298</v>
      </c>
      <c r="B206" s="12" t="s">
        <v>170</v>
      </c>
      <c r="C206">
        <v>182163570.75071374</v>
      </c>
      <c r="D206">
        <v>141507417.11188304</v>
      </c>
      <c r="E206">
        <v>694261.261261262</v>
      </c>
      <c r="F206">
        <v>72522.522522522995</v>
      </c>
      <c r="G206">
        <v>30</v>
      </c>
      <c r="H206">
        <v>20</v>
      </c>
      <c r="K206">
        <v>33</v>
      </c>
      <c r="L206">
        <v>23</v>
      </c>
      <c r="M206">
        <v>1835042747.7477479</v>
      </c>
      <c r="N206">
        <v>1824414864.8648648</v>
      </c>
      <c r="O206">
        <v>64647081.081081077</v>
      </c>
      <c r="P206">
        <v>60249657.657657653</v>
      </c>
      <c r="Q206">
        <v>1827098731.5315316</v>
      </c>
      <c r="R206">
        <v>1819341697.2972975</v>
      </c>
      <c r="S206">
        <v>2869</v>
      </c>
      <c r="T206">
        <v>2685</v>
      </c>
    </row>
    <row r="207" spans="1:20" x14ac:dyDescent="0.35">
      <c r="A207" s="7" t="s">
        <v>299</v>
      </c>
      <c r="B207" s="12" t="s">
        <v>90</v>
      </c>
      <c r="C207">
        <v>531867509.25539058</v>
      </c>
      <c r="D207">
        <v>553541197.80153489</v>
      </c>
      <c r="E207">
        <v>7891757.6576576661</v>
      </c>
      <c r="F207">
        <v>2550450.4504504558</v>
      </c>
      <c r="G207">
        <v>102</v>
      </c>
      <c r="H207">
        <v>52</v>
      </c>
      <c r="I207">
        <v>2</v>
      </c>
      <c r="K207">
        <v>204</v>
      </c>
      <c r="L207">
        <v>65</v>
      </c>
      <c r="M207">
        <v>34295258.558558561</v>
      </c>
      <c r="N207">
        <v>581134099.09909916</v>
      </c>
      <c r="O207">
        <v>104110234.23423424</v>
      </c>
      <c r="P207">
        <v>118949306.3063063</v>
      </c>
      <c r="Q207">
        <v>31094504.504504506</v>
      </c>
      <c r="R207">
        <v>424126441.44144148</v>
      </c>
      <c r="S207">
        <v>11302</v>
      </c>
      <c r="T207">
        <v>11174</v>
      </c>
    </row>
    <row r="208" spans="1:20" x14ac:dyDescent="0.35">
      <c r="A208" s="7" t="s">
        <v>300</v>
      </c>
      <c r="B208" s="12" t="s">
        <v>135</v>
      </c>
      <c r="C208">
        <v>296582743.16480732</v>
      </c>
      <c r="D208">
        <v>332468465.23615241</v>
      </c>
      <c r="E208">
        <v>2029729.729729732</v>
      </c>
      <c r="F208">
        <v>3074774.7747747782</v>
      </c>
      <c r="G208">
        <v>69</v>
      </c>
      <c r="H208">
        <v>73</v>
      </c>
      <c r="K208">
        <v>88</v>
      </c>
      <c r="L208">
        <v>99</v>
      </c>
      <c r="M208">
        <v>21863063.063063063</v>
      </c>
      <c r="N208">
        <v>39777477.477477469</v>
      </c>
      <c r="O208">
        <v>35777954.954954959</v>
      </c>
      <c r="P208">
        <v>48009169.369369365</v>
      </c>
      <c r="Q208">
        <v>18529459.459459461</v>
      </c>
      <c r="R208">
        <v>32629819.819819823</v>
      </c>
      <c r="S208">
        <v>7436</v>
      </c>
      <c r="T208">
        <v>7065</v>
      </c>
    </row>
    <row r="209" spans="1:20" x14ac:dyDescent="0.35">
      <c r="A209" s="7" t="s">
        <v>301</v>
      </c>
      <c r="B209" s="12" t="s">
        <v>291</v>
      </c>
      <c r="C209">
        <v>200798453.87399864</v>
      </c>
      <c r="D209">
        <v>204696745.51315734</v>
      </c>
      <c r="E209">
        <v>2749549.5495495521</v>
      </c>
      <c r="F209">
        <v>2563963.9639639701</v>
      </c>
      <c r="G209">
        <v>68</v>
      </c>
      <c r="H209">
        <v>62</v>
      </c>
      <c r="K209">
        <v>77</v>
      </c>
      <c r="L209">
        <v>68</v>
      </c>
      <c r="M209">
        <v>15517117.117117116</v>
      </c>
      <c r="N209">
        <v>19437837.837837841</v>
      </c>
      <c r="O209">
        <v>28174318.018018018</v>
      </c>
      <c r="P209">
        <v>33109045.045045048</v>
      </c>
      <c r="Q209">
        <v>14643513.513513513</v>
      </c>
      <c r="R209">
        <v>23816576.576576576</v>
      </c>
      <c r="S209">
        <v>4329</v>
      </c>
      <c r="T209">
        <v>4372</v>
      </c>
    </row>
    <row r="210" spans="1:20" x14ac:dyDescent="0.35">
      <c r="A210" s="7" t="s">
        <v>302</v>
      </c>
      <c r="B210" s="12" t="s">
        <v>81</v>
      </c>
      <c r="C210">
        <v>296294563.05799717</v>
      </c>
      <c r="D210">
        <v>304072686.15085369</v>
      </c>
      <c r="E210">
        <v>4187162.1621621642</v>
      </c>
      <c r="F210">
        <v>5779279.2792792842</v>
      </c>
      <c r="G210">
        <v>53</v>
      </c>
      <c r="H210">
        <v>20</v>
      </c>
      <c r="I210">
        <v>5</v>
      </c>
      <c r="K210">
        <v>57</v>
      </c>
      <c r="L210">
        <v>26</v>
      </c>
      <c r="M210">
        <v>47800450.45045045</v>
      </c>
      <c r="N210">
        <v>35047754.954954952</v>
      </c>
      <c r="O210">
        <v>62091818.018018015</v>
      </c>
      <c r="P210">
        <v>69617603.603603601</v>
      </c>
      <c r="Q210">
        <v>41972792.79279279</v>
      </c>
      <c r="R210">
        <v>29943783.783783782</v>
      </c>
      <c r="S210">
        <v>5654</v>
      </c>
      <c r="T210">
        <v>5722</v>
      </c>
    </row>
    <row r="211" spans="1:20" x14ac:dyDescent="0.35">
      <c r="A211" s="7" t="s">
        <v>303</v>
      </c>
      <c r="B211" s="12" t="s">
        <v>73</v>
      </c>
      <c r="C211">
        <v>452251732.80501026</v>
      </c>
      <c r="D211">
        <v>482946032.50257212</v>
      </c>
      <c r="E211">
        <v>1285585.585585587</v>
      </c>
      <c r="F211">
        <v>912612.61261261802</v>
      </c>
      <c r="G211">
        <v>112</v>
      </c>
      <c r="H211">
        <v>54</v>
      </c>
      <c r="I211">
        <v>2</v>
      </c>
      <c r="K211">
        <v>120</v>
      </c>
      <c r="L211">
        <v>61</v>
      </c>
      <c r="M211">
        <v>26909909.909909911</v>
      </c>
      <c r="N211">
        <v>39750450.45045045</v>
      </c>
      <c r="O211">
        <v>67447639.639639646</v>
      </c>
      <c r="P211">
        <v>77408448.648648649</v>
      </c>
      <c r="Q211">
        <v>23495585.585585587</v>
      </c>
      <c r="R211">
        <v>27246666.666666664</v>
      </c>
      <c r="S211">
        <v>9016</v>
      </c>
      <c r="T211">
        <v>10126</v>
      </c>
    </row>
    <row r="212" spans="1:20" x14ac:dyDescent="0.35">
      <c r="A212" s="7" t="s">
        <v>304</v>
      </c>
      <c r="B212" s="12" t="s">
        <v>305</v>
      </c>
      <c r="C212">
        <v>1578107.827055769</v>
      </c>
      <c r="D212">
        <v>1878061.4650227991</v>
      </c>
      <c r="O212">
        <v>651441.44144144095</v>
      </c>
      <c r="P212">
        <v>356162.16216216201</v>
      </c>
      <c r="S212">
        <v>66</v>
      </c>
      <c r="T212">
        <v>72</v>
      </c>
    </row>
    <row r="213" spans="1:20" x14ac:dyDescent="0.35">
      <c r="A213" s="7" t="s">
        <v>670</v>
      </c>
      <c r="B213" s="12" t="s">
        <v>305</v>
      </c>
      <c r="E213">
        <v>7207207.2072072066</v>
      </c>
      <c r="F213">
        <v>26914414.414414417</v>
      </c>
      <c r="M213">
        <v>44594.594594595001</v>
      </c>
      <c r="N213">
        <v>81081.081081081007</v>
      </c>
    </row>
    <row r="214" spans="1:20" x14ac:dyDescent="0.35">
      <c r="A214" s="7" t="s">
        <v>306</v>
      </c>
      <c r="B214" s="12" t="s">
        <v>118</v>
      </c>
      <c r="C214">
        <v>58726196.064948067</v>
      </c>
      <c r="D214">
        <v>60453502.044747151</v>
      </c>
      <c r="E214">
        <v>308108.10810810601</v>
      </c>
      <c r="F214">
        <v>458558.558558558</v>
      </c>
      <c r="G214">
        <v>19</v>
      </c>
      <c r="H214">
        <v>12</v>
      </c>
      <c r="K214">
        <v>39</v>
      </c>
      <c r="L214">
        <v>19</v>
      </c>
      <c r="M214">
        <v>3283243.243243244</v>
      </c>
      <c r="N214">
        <v>3797297.2972972961</v>
      </c>
      <c r="O214">
        <v>25638063.063063063</v>
      </c>
      <c r="P214">
        <v>24164450.450450446</v>
      </c>
      <c r="Q214">
        <v>3097657.6576576568</v>
      </c>
      <c r="R214">
        <v>3167837.8378378358</v>
      </c>
      <c r="S214">
        <v>1771</v>
      </c>
      <c r="T214">
        <v>1737</v>
      </c>
    </row>
    <row r="215" spans="1:20" x14ac:dyDescent="0.35">
      <c r="A215" s="7" t="s">
        <v>307</v>
      </c>
      <c r="B215" s="12" t="s">
        <v>308</v>
      </c>
      <c r="C215">
        <v>75461633.954283938</v>
      </c>
      <c r="D215">
        <v>72298748.590748295</v>
      </c>
      <c r="E215">
        <v>271171.17117117101</v>
      </c>
      <c r="F215">
        <v>477477.47747747699</v>
      </c>
      <c r="G215">
        <v>38</v>
      </c>
      <c r="H215">
        <v>24</v>
      </c>
      <c r="K215">
        <v>45</v>
      </c>
      <c r="L215">
        <v>30</v>
      </c>
      <c r="M215">
        <v>1239639.6396396391</v>
      </c>
      <c r="N215">
        <v>1815135.1351351349</v>
      </c>
      <c r="O215">
        <v>39931036.036036029</v>
      </c>
      <c r="P215">
        <v>37402558.558558561</v>
      </c>
      <c r="Q215">
        <v>1092432.432432432</v>
      </c>
      <c r="R215">
        <v>1338558.558558559</v>
      </c>
      <c r="S215">
        <v>4150</v>
      </c>
      <c r="T215">
        <v>4306</v>
      </c>
    </row>
    <row r="216" spans="1:20" x14ac:dyDescent="0.35">
      <c r="A216" s="7" t="s">
        <v>309</v>
      </c>
      <c r="B216" s="12" t="s">
        <v>141</v>
      </c>
      <c r="C216">
        <v>475219200.18162239</v>
      </c>
      <c r="D216">
        <v>501376531.19495392</v>
      </c>
      <c r="E216">
        <v>2188738.7387387459</v>
      </c>
      <c r="F216">
        <v>3339639.639639644</v>
      </c>
      <c r="G216">
        <v>76</v>
      </c>
      <c r="H216">
        <v>35</v>
      </c>
      <c r="I216">
        <v>4</v>
      </c>
      <c r="K216">
        <v>92</v>
      </c>
      <c r="L216">
        <v>40</v>
      </c>
      <c r="M216">
        <v>91153603.603603601</v>
      </c>
      <c r="N216">
        <v>94631621.621621639</v>
      </c>
      <c r="O216">
        <v>106469472.97297297</v>
      </c>
      <c r="P216">
        <v>116322953.15315315</v>
      </c>
      <c r="Q216">
        <v>48889459.459459454</v>
      </c>
      <c r="R216">
        <v>53493783.783783786</v>
      </c>
      <c r="S216">
        <v>8152</v>
      </c>
      <c r="T216">
        <v>8151</v>
      </c>
    </row>
    <row r="217" spans="1:20" x14ac:dyDescent="0.35">
      <c r="A217" s="7" t="s">
        <v>310</v>
      </c>
      <c r="B217" s="12" t="s">
        <v>133</v>
      </c>
      <c r="C217">
        <v>468578128.19332385</v>
      </c>
      <c r="D217">
        <v>454961470.70981169</v>
      </c>
      <c r="E217">
        <v>3294594.5945945969</v>
      </c>
      <c r="F217">
        <v>2824324.3243243252</v>
      </c>
      <c r="G217">
        <v>138</v>
      </c>
      <c r="H217">
        <v>87</v>
      </c>
      <c r="K217">
        <v>155</v>
      </c>
      <c r="L217">
        <v>99</v>
      </c>
      <c r="M217">
        <v>19546846.846846849</v>
      </c>
      <c r="N217">
        <v>16278603.603603603</v>
      </c>
      <c r="O217">
        <v>125011252.25225225</v>
      </c>
      <c r="P217">
        <v>136425162.16216215</v>
      </c>
      <c r="Q217">
        <v>15473513.513513517</v>
      </c>
      <c r="R217">
        <v>12504729.729729731</v>
      </c>
      <c r="S217">
        <v>12671</v>
      </c>
      <c r="T217">
        <v>12236</v>
      </c>
    </row>
    <row r="218" spans="1:20" x14ac:dyDescent="0.35">
      <c r="A218" s="7" t="s">
        <v>311</v>
      </c>
      <c r="B218" s="12" t="s">
        <v>73</v>
      </c>
      <c r="C218">
        <v>768587936.04911172</v>
      </c>
      <c r="D218">
        <v>893396440.88104796</v>
      </c>
      <c r="E218">
        <v>5859684.6846846938</v>
      </c>
      <c r="F218">
        <v>4497297.2972973129</v>
      </c>
      <c r="G218">
        <v>181</v>
      </c>
      <c r="H218">
        <v>78</v>
      </c>
      <c r="I218">
        <v>3</v>
      </c>
      <c r="K218">
        <v>219</v>
      </c>
      <c r="L218">
        <v>91</v>
      </c>
      <c r="M218">
        <v>109186486.48648648</v>
      </c>
      <c r="N218">
        <v>133436036.03603603</v>
      </c>
      <c r="O218">
        <v>193825090.99099097</v>
      </c>
      <c r="P218">
        <v>296413329.72972971</v>
      </c>
      <c r="Q218">
        <v>97289863.06306307</v>
      </c>
      <c r="R218">
        <v>114027747.74774775</v>
      </c>
      <c r="S218">
        <v>16855</v>
      </c>
      <c r="T218">
        <v>17319</v>
      </c>
    </row>
    <row r="219" spans="1:20" x14ac:dyDescent="0.35">
      <c r="A219" s="7" t="s">
        <v>312</v>
      </c>
      <c r="B219" s="12" t="s">
        <v>63</v>
      </c>
      <c r="C219">
        <v>133970387.59009446</v>
      </c>
      <c r="D219">
        <v>135402121.29380691</v>
      </c>
      <c r="E219">
        <v>1651351.351351354</v>
      </c>
      <c r="F219">
        <v>1419819.8198198201</v>
      </c>
      <c r="G219">
        <v>16</v>
      </c>
      <c r="H219">
        <v>13</v>
      </c>
      <c r="K219">
        <v>17</v>
      </c>
      <c r="L219">
        <v>13</v>
      </c>
      <c r="M219">
        <v>29286126.126126129</v>
      </c>
      <c r="N219">
        <v>29483963.963963963</v>
      </c>
      <c r="O219">
        <v>37195702.702702701</v>
      </c>
      <c r="P219">
        <v>38990981.981981985</v>
      </c>
      <c r="Q219">
        <v>24151441.441441443</v>
      </c>
      <c r="R219">
        <v>25472792.792792793</v>
      </c>
      <c r="S219">
        <v>2251</v>
      </c>
      <c r="T219">
        <v>2248</v>
      </c>
    </row>
    <row r="220" spans="1:20" x14ac:dyDescent="0.35">
      <c r="A220" s="7" t="s">
        <v>313</v>
      </c>
      <c r="B220" s="12" t="s">
        <v>90</v>
      </c>
      <c r="C220">
        <v>45683080.266939268</v>
      </c>
      <c r="D220">
        <v>49330055.675039299</v>
      </c>
      <c r="E220">
        <v>610810.810810811</v>
      </c>
      <c r="F220">
        <v>1484684.684684688</v>
      </c>
      <c r="G220">
        <v>13</v>
      </c>
      <c r="H220">
        <v>9</v>
      </c>
      <c r="K220">
        <v>16</v>
      </c>
      <c r="L220">
        <v>10</v>
      </c>
      <c r="M220">
        <v>5919459.4594594594</v>
      </c>
      <c r="N220">
        <v>8200000.0000000009</v>
      </c>
      <c r="O220">
        <v>15786648.648648648</v>
      </c>
      <c r="P220">
        <v>17312441.441441443</v>
      </c>
      <c r="Q220">
        <v>5896126.1261261273</v>
      </c>
      <c r="R220">
        <v>7911981.9819819815</v>
      </c>
      <c r="S220">
        <v>1239</v>
      </c>
      <c r="T220">
        <v>1160</v>
      </c>
    </row>
    <row r="221" spans="1:20" x14ac:dyDescent="0.35">
      <c r="A221" s="7" t="s">
        <v>314</v>
      </c>
      <c r="B221" s="12" t="s">
        <v>93</v>
      </c>
      <c r="C221">
        <v>20565458.626497786</v>
      </c>
      <c r="D221">
        <v>16943544.547012955</v>
      </c>
      <c r="E221">
        <v>144144.144144144</v>
      </c>
      <c r="F221">
        <v>117117.117117117</v>
      </c>
      <c r="G221">
        <v>3</v>
      </c>
      <c r="H221">
        <v>4</v>
      </c>
      <c r="K221">
        <v>3</v>
      </c>
      <c r="L221">
        <v>4</v>
      </c>
      <c r="M221">
        <v>1360360.36036036</v>
      </c>
      <c r="N221">
        <v>2234242.3423423418</v>
      </c>
      <c r="O221">
        <v>1342387.387387387</v>
      </c>
      <c r="P221">
        <v>1783729.7297297299</v>
      </c>
      <c r="Q221">
        <v>1361261.2612612611</v>
      </c>
      <c r="R221">
        <v>2153153.1531531531</v>
      </c>
      <c r="S221">
        <v>949</v>
      </c>
      <c r="T221">
        <v>856</v>
      </c>
    </row>
    <row r="222" spans="1:20" x14ac:dyDescent="0.35">
      <c r="A222" s="7" t="s">
        <v>315</v>
      </c>
      <c r="B222" s="12" t="s">
        <v>316</v>
      </c>
      <c r="C222">
        <v>156642234.38458854</v>
      </c>
      <c r="D222">
        <v>155177688.29797307</v>
      </c>
      <c r="E222">
        <v>101615679.27927928</v>
      </c>
      <c r="F222">
        <v>140005509.90990993</v>
      </c>
      <c r="G222">
        <v>32</v>
      </c>
      <c r="H222">
        <v>30</v>
      </c>
      <c r="K222">
        <v>35</v>
      </c>
      <c r="L222">
        <v>37</v>
      </c>
      <c r="M222">
        <v>22659009.009009007</v>
      </c>
      <c r="N222">
        <v>49540090.090090089</v>
      </c>
      <c r="O222">
        <v>23890899.0990991</v>
      </c>
      <c r="P222">
        <v>26427675.675675675</v>
      </c>
      <c r="Q222">
        <v>21107927.927927926</v>
      </c>
      <c r="R222">
        <v>28809189.189189188</v>
      </c>
      <c r="S222">
        <v>3314</v>
      </c>
      <c r="T222">
        <v>3633</v>
      </c>
    </row>
    <row r="223" spans="1:20" x14ac:dyDescent="0.35">
      <c r="A223" s="7" t="s">
        <v>317</v>
      </c>
      <c r="B223" s="12" t="s">
        <v>63</v>
      </c>
      <c r="C223">
        <v>263512256.59268403</v>
      </c>
      <c r="D223">
        <v>282008671.10565984</v>
      </c>
      <c r="E223">
        <v>5430630.6306306385</v>
      </c>
      <c r="F223">
        <v>4390090.0900900988</v>
      </c>
      <c r="G223">
        <v>108</v>
      </c>
      <c r="H223">
        <v>69</v>
      </c>
      <c r="K223">
        <v>175</v>
      </c>
      <c r="L223">
        <v>107</v>
      </c>
      <c r="M223">
        <v>49315315.315315314</v>
      </c>
      <c r="N223">
        <v>59009088.288288288</v>
      </c>
      <c r="O223">
        <v>91976558.558558553</v>
      </c>
      <c r="P223">
        <v>102534621.62162161</v>
      </c>
      <c r="Q223">
        <v>45799279.279279277</v>
      </c>
      <c r="R223">
        <v>37821441.441441439</v>
      </c>
      <c r="S223">
        <v>8672</v>
      </c>
      <c r="T223">
        <v>8856</v>
      </c>
    </row>
    <row r="224" spans="1:20" x14ac:dyDescent="0.35">
      <c r="A224" s="7" t="s">
        <v>318</v>
      </c>
      <c r="B224" s="12" t="s">
        <v>63</v>
      </c>
      <c r="C224">
        <v>245223649.95603347</v>
      </c>
      <c r="D224">
        <v>270822861.60337937</v>
      </c>
      <c r="E224">
        <v>1892792.792792795</v>
      </c>
      <c r="F224">
        <v>2318018.0180180208</v>
      </c>
      <c r="G224">
        <v>42</v>
      </c>
      <c r="H224">
        <v>11</v>
      </c>
      <c r="K224">
        <v>46</v>
      </c>
      <c r="L224">
        <v>18</v>
      </c>
      <c r="M224">
        <v>36681081.081081077</v>
      </c>
      <c r="N224">
        <v>48008648.648648649</v>
      </c>
      <c r="O224">
        <v>86566099.0990991</v>
      </c>
      <c r="P224">
        <v>96194099.0990991</v>
      </c>
      <c r="Q224">
        <v>34685315.315315314</v>
      </c>
      <c r="R224">
        <v>38877207.20720721</v>
      </c>
      <c r="S224">
        <v>5462</v>
      </c>
      <c r="T224">
        <v>5543</v>
      </c>
    </row>
    <row r="225" spans="1:20" x14ac:dyDescent="0.35">
      <c r="A225" s="7" t="s">
        <v>319</v>
      </c>
      <c r="B225" s="12" t="s">
        <v>79</v>
      </c>
      <c r="C225">
        <v>256020618.33607033</v>
      </c>
      <c r="D225">
        <v>259688903.58218843</v>
      </c>
      <c r="E225">
        <v>5196396.3963964004</v>
      </c>
      <c r="F225">
        <v>6416216.2162162187</v>
      </c>
      <c r="G225">
        <v>103</v>
      </c>
      <c r="H225">
        <v>80</v>
      </c>
      <c r="I225">
        <v>2</v>
      </c>
      <c r="K225">
        <v>149</v>
      </c>
      <c r="L225">
        <v>91</v>
      </c>
      <c r="M225">
        <v>65166666.666666672</v>
      </c>
      <c r="N225">
        <v>72238738.738738731</v>
      </c>
      <c r="O225">
        <v>112246364.86486487</v>
      </c>
      <c r="P225">
        <v>113272277.47747748</v>
      </c>
      <c r="Q225">
        <v>64239639.639639638</v>
      </c>
      <c r="R225">
        <v>68960360.360360354</v>
      </c>
      <c r="S225">
        <v>8643</v>
      </c>
      <c r="T225">
        <v>8698</v>
      </c>
    </row>
    <row r="226" spans="1:20" x14ac:dyDescent="0.35">
      <c r="A226" s="7" t="s">
        <v>320</v>
      </c>
      <c r="B226" s="12" t="s">
        <v>79</v>
      </c>
      <c r="C226">
        <v>153794881.98794967</v>
      </c>
      <c r="D226">
        <v>154523483.40311438</v>
      </c>
      <c r="E226">
        <v>2851351.3513513529</v>
      </c>
      <c r="F226">
        <v>3370270.270270274</v>
      </c>
      <c r="G226">
        <v>75</v>
      </c>
      <c r="H226">
        <v>56</v>
      </c>
      <c r="K226">
        <v>122</v>
      </c>
      <c r="L226">
        <v>100</v>
      </c>
      <c r="M226">
        <v>14545045.045045044</v>
      </c>
      <c r="N226">
        <v>16253153.153153153</v>
      </c>
      <c r="O226">
        <v>58966225.225225225</v>
      </c>
      <c r="P226">
        <v>61970846.846846849</v>
      </c>
      <c r="Q226">
        <v>13326126.126126127</v>
      </c>
      <c r="R226">
        <v>15813783.783783788</v>
      </c>
      <c r="S226">
        <v>5637</v>
      </c>
      <c r="T226">
        <v>5756</v>
      </c>
    </row>
    <row r="227" spans="1:20" x14ac:dyDescent="0.35">
      <c r="A227" s="7" t="s">
        <v>321</v>
      </c>
      <c r="B227" s="12" t="s">
        <v>122</v>
      </c>
      <c r="C227">
        <v>1149822.2216953461</v>
      </c>
      <c r="D227">
        <v>946917.52262890898</v>
      </c>
      <c r="H227">
        <v>2</v>
      </c>
      <c r="L227">
        <v>2</v>
      </c>
      <c r="O227">
        <v>87117.117117116999</v>
      </c>
      <c r="P227">
        <v>353108.10810810799</v>
      </c>
      <c r="S227">
        <v>66</v>
      </c>
      <c r="T227">
        <v>56</v>
      </c>
    </row>
    <row r="228" spans="1:20" x14ac:dyDescent="0.35">
      <c r="A228" s="7" t="s">
        <v>322</v>
      </c>
      <c r="B228" s="12" t="s">
        <v>225</v>
      </c>
      <c r="C228">
        <v>176079719.52151728</v>
      </c>
      <c r="D228">
        <v>187423364.5374313</v>
      </c>
      <c r="E228">
        <v>55855.855855857</v>
      </c>
      <c r="F228">
        <v>22522.522522522999</v>
      </c>
      <c r="G228">
        <v>45</v>
      </c>
      <c r="H228">
        <v>28</v>
      </c>
      <c r="I228">
        <v>2</v>
      </c>
      <c r="K228">
        <v>51</v>
      </c>
      <c r="L228">
        <v>29</v>
      </c>
      <c r="M228">
        <v>9094774.7747747768</v>
      </c>
      <c r="N228">
        <v>6148648.6486486495</v>
      </c>
      <c r="O228">
        <v>71614484.684684694</v>
      </c>
      <c r="P228">
        <v>79997000</v>
      </c>
      <c r="Q228">
        <v>8960360.3603603616</v>
      </c>
      <c r="R228">
        <v>6877027.0270270268</v>
      </c>
      <c r="S228">
        <v>4029</v>
      </c>
      <c r="T228">
        <v>4028</v>
      </c>
    </row>
    <row r="229" spans="1:20" x14ac:dyDescent="0.35">
      <c r="A229" s="7" t="s">
        <v>323</v>
      </c>
      <c r="B229" s="12" t="s">
        <v>225</v>
      </c>
      <c r="C229">
        <v>124613217.49764365</v>
      </c>
      <c r="D229">
        <v>141363785.71123049</v>
      </c>
      <c r="E229">
        <v>54954.954954956003</v>
      </c>
      <c r="F229">
        <v>50450.450450452998</v>
      </c>
      <c r="G229">
        <v>9</v>
      </c>
      <c r="H229">
        <v>15</v>
      </c>
      <c r="K229">
        <v>9</v>
      </c>
      <c r="L229">
        <v>23</v>
      </c>
      <c r="M229">
        <v>12778558.558558561</v>
      </c>
      <c r="N229">
        <v>14766666.666666666</v>
      </c>
      <c r="O229">
        <v>38218292.79279279</v>
      </c>
      <c r="P229">
        <v>43911900.9009009</v>
      </c>
      <c r="Q229">
        <v>9247207.2072072085</v>
      </c>
      <c r="R229">
        <v>11845135.135135135</v>
      </c>
      <c r="S229">
        <v>2183</v>
      </c>
      <c r="T229">
        <v>2208</v>
      </c>
    </row>
    <row r="230" spans="1:20" x14ac:dyDescent="0.35">
      <c r="A230" s="7" t="s">
        <v>671</v>
      </c>
      <c r="B230" s="12" t="s">
        <v>95</v>
      </c>
      <c r="T230">
        <v>11</v>
      </c>
    </row>
    <row r="231" spans="1:20" x14ac:dyDescent="0.35">
      <c r="A231" s="7" t="s">
        <v>324</v>
      </c>
      <c r="B231" s="12" t="s">
        <v>79</v>
      </c>
      <c r="C231">
        <v>192390695.74058762</v>
      </c>
      <c r="D231">
        <v>189980696.40690154</v>
      </c>
      <c r="E231">
        <v>1018018.0180180219</v>
      </c>
      <c r="F231">
        <v>1894594.5945945999</v>
      </c>
      <c r="G231">
        <v>122</v>
      </c>
      <c r="H231">
        <v>67</v>
      </c>
      <c r="I231">
        <v>1</v>
      </c>
      <c r="K231">
        <v>153</v>
      </c>
      <c r="L231">
        <v>76</v>
      </c>
      <c r="M231">
        <v>20432432.432432435</v>
      </c>
      <c r="N231">
        <v>25246846.846846849</v>
      </c>
      <c r="O231">
        <v>57438801.801801801</v>
      </c>
      <c r="P231">
        <v>57708612.612612605</v>
      </c>
      <c r="Q231">
        <v>19555765.765765764</v>
      </c>
      <c r="R231">
        <v>23214234.234234236</v>
      </c>
      <c r="S231">
        <v>5392</v>
      </c>
      <c r="T231">
        <v>4561</v>
      </c>
    </row>
    <row r="232" spans="1:20" x14ac:dyDescent="0.35">
      <c r="A232" s="7" t="s">
        <v>325</v>
      </c>
      <c r="B232" s="12" t="s">
        <v>109</v>
      </c>
      <c r="C232">
        <v>1326694854.5335181</v>
      </c>
      <c r="D232">
        <v>1360143110.7049787</v>
      </c>
      <c r="E232">
        <v>1821479723.4234235</v>
      </c>
      <c r="F232">
        <v>1187201166.6666667</v>
      </c>
      <c r="G232">
        <v>290</v>
      </c>
      <c r="H232">
        <v>370</v>
      </c>
      <c r="I232">
        <v>4</v>
      </c>
      <c r="K232">
        <v>432</v>
      </c>
      <c r="L232">
        <v>571</v>
      </c>
      <c r="M232">
        <v>551762612.61261261</v>
      </c>
      <c r="N232">
        <v>121893243.24324325</v>
      </c>
      <c r="O232">
        <v>679118081.08108103</v>
      </c>
      <c r="P232">
        <v>688593129.72972977</v>
      </c>
      <c r="Q232">
        <v>104326576.57657658</v>
      </c>
      <c r="R232">
        <v>116440540.54054055</v>
      </c>
      <c r="S232">
        <v>22448</v>
      </c>
      <c r="T232">
        <v>22039</v>
      </c>
    </row>
    <row r="233" spans="1:20" x14ac:dyDescent="0.35">
      <c r="A233" s="7" t="s">
        <v>326</v>
      </c>
      <c r="B233" s="12" t="s">
        <v>225</v>
      </c>
      <c r="C233">
        <v>180518105.99703914</v>
      </c>
      <c r="D233">
        <v>201160841.25703615</v>
      </c>
      <c r="E233">
        <v>561261.261261262</v>
      </c>
      <c r="F233">
        <v>693693.69369369501</v>
      </c>
      <c r="G233">
        <v>26</v>
      </c>
      <c r="H233">
        <v>34</v>
      </c>
      <c r="K233">
        <v>27</v>
      </c>
      <c r="L233">
        <v>48</v>
      </c>
      <c r="M233">
        <v>15969909.909909908</v>
      </c>
      <c r="N233">
        <v>16189189.189189188</v>
      </c>
      <c r="O233">
        <v>37515837.837837838</v>
      </c>
      <c r="P233">
        <v>47715288.288288288</v>
      </c>
      <c r="Q233">
        <v>15860270.270270268</v>
      </c>
      <c r="R233">
        <v>16905585.585585587</v>
      </c>
      <c r="S233">
        <v>4352</v>
      </c>
      <c r="T233">
        <v>4489</v>
      </c>
    </row>
    <row r="234" spans="1:20" x14ac:dyDescent="0.35">
      <c r="A234" s="7" t="s">
        <v>4</v>
      </c>
      <c r="B234" s="12" t="s">
        <v>159</v>
      </c>
      <c r="C234">
        <v>155498754.64560893</v>
      </c>
      <c r="D234">
        <v>150838944.51762575</v>
      </c>
      <c r="E234">
        <v>2141441.4414414442</v>
      </c>
      <c r="F234">
        <v>2012162.162162161</v>
      </c>
      <c r="G234">
        <v>12</v>
      </c>
      <c r="H234">
        <v>29</v>
      </c>
      <c r="I234">
        <v>1</v>
      </c>
      <c r="K234">
        <v>16</v>
      </c>
      <c r="L234">
        <v>34</v>
      </c>
      <c r="M234">
        <v>27266666.666666668</v>
      </c>
      <c r="N234">
        <v>51825225.225225225</v>
      </c>
      <c r="O234">
        <v>54740666.666666672</v>
      </c>
      <c r="P234">
        <v>56279387.387387387</v>
      </c>
      <c r="Q234">
        <v>34727567.567567565</v>
      </c>
      <c r="R234">
        <v>42272792.79279279</v>
      </c>
      <c r="S234">
        <v>3701</v>
      </c>
      <c r="T234">
        <v>3701</v>
      </c>
    </row>
    <row r="235" spans="1:20" x14ac:dyDescent="0.35">
      <c r="A235" s="7" t="s">
        <v>327</v>
      </c>
      <c r="B235" s="12" t="s">
        <v>109</v>
      </c>
      <c r="C235">
        <v>724039383.84514868</v>
      </c>
      <c r="D235">
        <v>734353404.71554637</v>
      </c>
      <c r="E235">
        <v>9545876.5765765794</v>
      </c>
      <c r="F235">
        <v>69492043.243243247</v>
      </c>
      <c r="G235">
        <v>250</v>
      </c>
      <c r="H235">
        <v>236</v>
      </c>
      <c r="I235">
        <v>1</v>
      </c>
      <c r="K235">
        <v>474</v>
      </c>
      <c r="L235">
        <v>467</v>
      </c>
      <c r="M235">
        <v>549247228.82882881</v>
      </c>
      <c r="N235">
        <v>344700573.87387383</v>
      </c>
      <c r="O235">
        <v>224854939.1891892</v>
      </c>
      <c r="P235">
        <v>223658801.8018018</v>
      </c>
      <c r="Q235">
        <v>92303333.333333328</v>
      </c>
      <c r="R235">
        <v>289034864.86486489</v>
      </c>
      <c r="S235">
        <v>20547</v>
      </c>
      <c r="T235">
        <v>19912</v>
      </c>
    </row>
    <row r="236" spans="1:20" x14ac:dyDescent="0.35">
      <c r="A236" s="7" t="s">
        <v>328</v>
      </c>
      <c r="B236" s="12" t="s">
        <v>79</v>
      </c>
      <c r="C236">
        <v>76173175.857394531</v>
      </c>
      <c r="D236">
        <v>74423975.234374359</v>
      </c>
      <c r="E236">
        <v>536936.93693693797</v>
      </c>
      <c r="F236">
        <v>785585.58558558603</v>
      </c>
      <c r="G236">
        <v>28</v>
      </c>
      <c r="H236">
        <v>28</v>
      </c>
      <c r="K236">
        <v>33</v>
      </c>
      <c r="L236">
        <v>28</v>
      </c>
      <c r="M236">
        <v>5581981.9819819834</v>
      </c>
      <c r="N236">
        <v>8894594.5945945941</v>
      </c>
      <c r="O236">
        <v>24915765.765765768</v>
      </c>
      <c r="P236">
        <v>25984360.360360362</v>
      </c>
      <c r="Q236">
        <v>5554684.6846846836</v>
      </c>
      <c r="R236">
        <v>8584504.5045045055</v>
      </c>
      <c r="S236">
        <v>2007</v>
      </c>
      <c r="T236">
        <v>1823</v>
      </c>
    </row>
    <row r="237" spans="1:20" x14ac:dyDescent="0.35">
      <c r="A237" s="7" t="s">
        <v>329</v>
      </c>
      <c r="B237" s="12" t="s">
        <v>122</v>
      </c>
      <c r="C237">
        <v>194726087.09158531</v>
      </c>
      <c r="D237">
        <v>189991170.9554106</v>
      </c>
      <c r="E237">
        <v>907882.88288288203</v>
      </c>
      <c r="F237">
        <v>545045.04504504602</v>
      </c>
      <c r="G237">
        <v>60</v>
      </c>
      <c r="H237">
        <v>72</v>
      </c>
      <c r="I237">
        <v>9</v>
      </c>
      <c r="K237">
        <v>67</v>
      </c>
      <c r="L237">
        <v>78</v>
      </c>
      <c r="M237">
        <v>18824324.324324325</v>
      </c>
      <c r="N237">
        <v>12481981.981981983</v>
      </c>
      <c r="O237">
        <v>30320837.837837838</v>
      </c>
      <c r="P237">
        <v>34284855.855855852</v>
      </c>
      <c r="Q237">
        <v>13267657.657657657</v>
      </c>
      <c r="R237">
        <v>11107477.477477476</v>
      </c>
      <c r="S237">
        <v>3888</v>
      </c>
      <c r="T237">
        <v>3943</v>
      </c>
    </row>
    <row r="238" spans="1:20" x14ac:dyDescent="0.35">
      <c r="A238" s="7" t="s">
        <v>330</v>
      </c>
      <c r="B238" s="12" t="s">
        <v>331</v>
      </c>
      <c r="C238">
        <v>473614980.67331535</v>
      </c>
      <c r="D238">
        <v>458236881.84299272</v>
      </c>
      <c r="E238">
        <v>6975000.0000000028</v>
      </c>
      <c r="F238">
        <v>3036486.4864864941</v>
      </c>
      <c r="G238">
        <v>184</v>
      </c>
      <c r="H238">
        <v>198</v>
      </c>
      <c r="I238">
        <v>18</v>
      </c>
      <c r="K238">
        <v>241</v>
      </c>
      <c r="L238">
        <v>250</v>
      </c>
      <c r="M238">
        <v>71725405.405405402</v>
      </c>
      <c r="N238">
        <v>52840090.090090089</v>
      </c>
      <c r="O238">
        <v>108653740.990991</v>
      </c>
      <c r="P238">
        <v>106521313.51351351</v>
      </c>
      <c r="Q238">
        <v>65853513.51351352</v>
      </c>
      <c r="R238">
        <v>56405855.855855852</v>
      </c>
      <c r="S238">
        <v>13740</v>
      </c>
      <c r="T238">
        <v>13766</v>
      </c>
    </row>
    <row r="239" spans="1:20" x14ac:dyDescent="0.35">
      <c r="A239" s="7" t="s">
        <v>332</v>
      </c>
      <c r="B239" s="12" t="s">
        <v>291</v>
      </c>
      <c r="C239">
        <v>697330593.23157263</v>
      </c>
      <c r="D239">
        <v>703543583.36420333</v>
      </c>
      <c r="E239">
        <v>3968918.9189189202</v>
      </c>
      <c r="F239">
        <v>2690540.5405405541</v>
      </c>
      <c r="G239">
        <v>254</v>
      </c>
      <c r="H239">
        <v>203</v>
      </c>
      <c r="K239">
        <v>375</v>
      </c>
      <c r="L239">
        <v>233</v>
      </c>
      <c r="M239">
        <v>77187387.387387395</v>
      </c>
      <c r="N239">
        <v>68613963.963963971</v>
      </c>
      <c r="O239">
        <v>126147187.38738739</v>
      </c>
      <c r="P239">
        <v>130830394.5945946</v>
      </c>
      <c r="Q239">
        <v>64625765.765765771</v>
      </c>
      <c r="R239">
        <v>78656036.036036029</v>
      </c>
      <c r="S239">
        <v>17080</v>
      </c>
      <c r="T239">
        <v>17138</v>
      </c>
    </row>
    <row r="240" spans="1:20" x14ac:dyDescent="0.35">
      <c r="A240" s="7" t="s">
        <v>333</v>
      </c>
      <c r="B240" s="12" t="s">
        <v>291</v>
      </c>
      <c r="C240">
        <v>529431110.14195055</v>
      </c>
      <c r="D240">
        <v>551493738.64199519</v>
      </c>
      <c r="E240">
        <v>5881981.9819819909</v>
      </c>
      <c r="F240">
        <v>4626126.1261261329</v>
      </c>
      <c r="G240">
        <v>153</v>
      </c>
      <c r="H240">
        <v>176</v>
      </c>
      <c r="I240">
        <v>1</v>
      </c>
      <c r="K240">
        <v>210</v>
      </c>
      <c r="L240">
        <v>286</v>
      </c>
      <c r="M240">
        <v>76572072.072072074</v>
      </c>
      <c r="N240">
        <v>77948198.198198199</v>
      </c>
      <c r="O240">
        <v>141536072.07207209</v>
      </c>
      <c r="P240">
        <v>152268214.41441441</v>
      </c>
      <c r="Q240">
        <v>74444504.504504517</v>
      </c>
      <c r="R240">
        <v>133048738.73873873</v>
      </c>
      <c r="S240">
        <v>15237</v>
      </c>
      <c r="T240">
        <v>15010</v>
      </c>
    </row>
    <row r="241" spans="1:20" x14ac:dyDescent="0.35">
      <c r="A241" s="7" t="s">
        <v>334</v>
      </c>
      <c r="B241" s="12" t="s">
        <v>61</v>
      </c>
      <c r="C241">
        <v>72478988.084416404</v>
      </c>
      <c r="D241">
        <v>73377774.39844358</v>
      </c>
      <c r="E241">
        <v>2054054.0540540561</v>
      </c>
      <c r="F241">
        <v>1293693.693693693</v>
      </c>
      <c r="G241">
        <v>78</v>
      </c>
      <c r="H241">
        <v>19</v>
      </c>
      <c r="I241">
        <v>2</v>
      </c>
      <c r="K241">
        <v>116</v>
      </c>
      <c r="L241">
        <v>40</v>
      </c>
      <c r="M241">
        <v>28392792.792792793</v>
      </c>
      <c r="N241">
        <v>4762162.1621621642</v>
      </c>
      <c r="O241">
        <v>25600252.252252251</v>
      </c>
      <c r="P241">
        <v>24845702.702702705</v>
      </c>
      <c r="Q241">
        <v>25445585.585585583</v>
      </c>
      <c r="R241">
        <v>3688108.1081081089</v>
      </c>
      <c r="S241">
        <v>1976</v>
      </c>
      <c r="T241">
        <v>1980</v>
      </c>
    </row>
    <row r="242" spans="1:20" x14ac:dyDescent="0.35">
      <c r="A242" s="7" t="s">
        <v>335</v>
      </c>
      <c r="B242" s="12" t="s">
        <v>61</v>
      </c>
      <c r="C242">
        <v>14327550.217126528</v>
      </c>
      <c r="D242">
        <v>16970059.029742062</v>
      </c>
      <c r="E242">
        <v>243243.24324324299</v>
      </c>
      <c r="F242">
        <v>490090.09009009099</v>
      </c>
      <c r="G242">
        <v>6</v>
      </c>
      <c r="H242">
        <v>7</v>
      </c>
      <c r="K242">
        <v>7</v>
      </c>
      <c r="L242">
        <v>9</v>
      </c>
      <c r="M242">
        <v>631981.98198198201</v>
      </c>
      <c r="N242">
        <v>938738.73873873998</v>
      </c>
      <c r="O242">
        <v>7894684.6846846836</v>
      </c>
      <c r="P242">
        <v>8764126.1261261255</v>
      </c>
      <c r="Q242">
        <v>850720.72072072094</v>
      </c>
      <c r="R242">
        <v>999459.45945945894</v>
      </c>
      <c r="S242">
        <v>958</v>
      </c>
      <c r="T242">
        <v>879</v>
      </c>
    </row>
    <row r="243" spans="1:20" x14ac:dyDescent="0.35">
      <c r="A243" s="7" t="s">
        <v>336</v>
      </c>
      <c r="B243" s="12" t="s">
        <v>122</v>
      </c>
      <c r="C243">
        <v>1611171.0953467949</v>
      </c>
      <c r="D243">
        <v>1921750.937294753</v>
      </c>
      <c r="G243">
        <v>1</v>
      </c>
      <c r="K243">
        <v>1</v>
      </c>
      <c r="L243">
        <v>1</v>
      </c>
      <c r="O243">
        <v>97747.747747747999</v>
      </c>
      <c r="P243">
        <v>495720.720720721</v>
      </c>
      <c r="S243">
        <v>151</v>
      </c>
      <c r="T243">
        <v>157</v>
      </c>
    </row>
    <row r="244" spans="1:20" x14ac:dyDescent="0.35">
      <c r="A244" s="7" t="s">
        <v>337</v>
      </c>
      <c r="B244" s="12" t="s">
        <v>122</v>
      </c>
      <c r="C244">
        <v>2586494.864991107</v>
      </c>
      <c r="D244">
        <v>2635978.5286338399</v>
      </c>
      <c r="G244">
        <v>2</v>
      </c>
      <c r="H244">
        <v>1</v>
      </c>
      <c r="K244">
        <v>2</v>
      </c>
      <c r="L244">
        <v>2</v>
      </c>
      <c r="O244">
        <v>537882.88288288296</v>
      </c>
      <c r="P244">
        <v>1061621.621621622</v>
      </c>
      <c r="S244">
        <v>86</v>
      </c>
      <c r="T244">
        <v>104</v>
      </c>
    </row>
    <row r="245" spans="1:20" x14ac:dyDescent="0.35">
      <c r="A245" s="7" t="s">
        <v>338</v>
      </c>
      <c r="B245" s="12" t="s">
        <v>122</v>
      </c>
      <c r="C245">
        <v>2077421.9882089121</v>
      </c>
      <c r="D245">
        <v>2192776.428410721</v>
      </c>
      <c r="G245">
        <v>1</v>
      </c>
      <c r="K245">
        <v>1</v>
      </c>
      <c r="O245">
        <v>18918.918918919</v>
      </c>
      <c r="P245">
        <v>325450.45045045001</v>
      </c>
      <c r="S245">
        <v>138</v>
      </c>
      <c r="T245">
        <v>135</v>
      </c>
    </row>
    <row r="246" spans="1:20" x14ac:dyDescent="0.35">
      <c r="A246" s="7" t="s">
        <v>339</v>
      </c>
      <c r="B246" s="12" t="s">
        <v>141</v>
      </c>
      <c r="C246">
        <v>793528104.50538719</v>
      </c>
      <c r="D246">
        <v>815404231.00694716</v>
      </c>
      <c r="E246">
        <v>3511711.7117117178</v>
      </c>
      <c r="F246">
        <v>3918018.018018024</v>
      </c>
      <c r="G246">
        <v>287</v>
      </c>
      <c r="H246">
        <v>124</v>
      </c>
      <c r="I246">
        <v>1</v>
      </c>
      <c r="K246">
        <v>323</v>
      </c>
      <c r="L246">
        <v>163</v>
      </c>
      <c r="M246">
        <v>75967387.387387395</v>
      </c>
      <c r="N246">
        <v>89900728.828828827</v>
      </c>
      <c r="O246">
        <v>160285016.21621624</v>
      </c>
      <c r="P246">
        <v>184948958.55855855</v>
      </c>
      <c r="Q246">
        <v>69421441.441441447</v>
      </c>
      <c r="R246">
        <v>76037477.477477476</v>
      </c>
      <c r="S246">
        <v>16171</v>
      </c>
      <c r="T246">
        <v>16604</v>
      </c>
    </row>
    <row r="247" spans="1:20" x14ac:dyDescent="0.35">
      <c r="A247" s="7" t="s">
        <v>340</v>
      </c>
      <c r="B247" s="12" t="s">
        <v>122</v>
      </c>
      <c r="C247">
        <v>123291072.22070991</v>
      </c>
      <c r="D247">
        <v>121908072.02361912</v>
      </c>
      <c r="G247">
        <v>40</v>
      </c>
      <c r="H247">
        <v>36</v>
      </c>
      <c r="K247">
        <v>42</v>
      </c>
      <c r="L247">
        <v>44</v>
      </c>
      <c r="O247">
        <v>8143387.3873873875</v>
      </c>
      <c r="P247">
        <v>8743180.1801801808</v>
      </c>
      <c r="S247">
        <v>2503</v>
      </c>
      <c r="T247">
        <v>2376</v>
      </c>
    </row>
    <row r="248" spans="1:20" x14ac:dyDescent="0.35">
      <c r="A248" s="7" t="s">
        <v>341</v>
      </c>
      <c r="B248" s="12" t="s">
        <v>141</v>
      </c>
      <c r="C248">
        <v>421273068.24950135</v>
      </c>
      <c r="D248">
        <v>445930867.3505047</v>
      </c>
      <c r="E248">
        <v>2212162.1621621652</v>
      </c>
      <c r="F248">
        <v>2166666.666666674</v>
      </c>
      <c r="G248">
        <v>80</v>
      </c>
      <c r="H248">
        <v>47</v>
      </c>
      <c r="I248">
        <v>4</v>
      </c>
      <c r="K248">
        <v>110</v>
      </c>
      <c r="L248">
        <v>53</v>
      </c>
      <c r="M248">
        <v>79344324.324324325</v>
      </c>
      <c r="N248">
        <v>78472477.477477476</v>
      </c>
      <c r="O248">
        <v>124996180.63063063</v>
      </c>
      <c r="P248">
        <v>135261270.27027026</v>
      </c>
      <c r="Q248">
        <v>68864234.234234229</v>
      </c>
      <c r="R248">
        <v>68935810.810810804</v>
      </c>
      <c r="S248">
        <v>8934</v>
      </c>
      <c r="T248">
        <v>8934</v>
      </c>
    </row>
    <row r="249" spans="1:20" x14ac:dyDescent="0.35">
      <c r="A249" s="7" t="s">
        <v>342</v>
      </c>
      <c r="B249" s="12" t="s">
        <v>135</v>
      </c>
      <c r="C249">
        <v>47089582.266226083</v>
      </c>
      <c r="D249">
        <v>43202017.634293742</v>
      </c>
      <c r="E249">
        <v>54054.054054054002</v>
      </c>
      <c r="F249">
        <v>27027.027027028002</v>
      </c>
      <c r="G249">
        <v>11</v>
      </c>
      <c r="H249">
        <v>10</v>
      </c>
      <c r="I249">
        <v>1</v>
      </c>
      <c r="K249">
        <v>12</v>
      </c>
      <c r="L249">
        <v>11</v>
      </c>
      <c r="M249">
        <v>1495495.4954954961</v>
      </c>
      <c r="N249">
        <v>1558558.5585585581</v>
      </c>
      <c r="O249">
        <v>4395324.3243243247</v>
      </c>
      <c r="P249">
        <v>5186450.4504504511</v>
      </c>
      <c r="Q249">
        <v>1159819.8198198201</v>
      </c>
      <c r="R249">
        <v>933513.51351351396</v>
      </c>
      <c r="S249">
        <v>1310</v>
      </c>
      <c r="T249">
        <v>1293</v>
      </c>
    </row>
    <row r="250" spans="1:20" x14ac:dyDescent="0.35">
      <c r="A250" s="7" t="s">
        <v>343</v>
      </c>
      <c r="B250" s="12" t="s">
        <v>122</v>
      </c>
      <c r="C250">
        <v>1869086.3941910369</v>
      </c>
      <c r="D250">
        <v>2900478.8071751222</v>
      </c>
      <c r="G250">
        <v>10</v>
      </c>
      <c r="H250">
        <v>3</v>
      </c>
      <c r="K250">
        <v>14</v>
      </c>
      <c r="L250">
        <v>4</v>
      </c>
      <c r="O250">
        <v>918558.55855855905</v>
      </c>
      <c r="P250">
        <v>1875450.4504504499</v>
      </c>
      <c r="S250">
        <v>390</v>
      </c>
      <c r="T250">
        <v>376</v>
      </c>
    </row>
    <row r="251" spans="1:20" x14ac:dyDescent="0.35">
      <c r="A251" s="7" t="s">
        <v>5</v>
      </c>
      <c r="B251" s="12" t="s">
        <v>159</v>
      </c>
      <c r="C251">
        <v>163285065.63256246</v>
      </c>
      <c r="D251">
        <v>168639226.05856568</v>
      </c>
      <c r="E251">
        <v>629546083.78378379</v>
      </c>
      <c r="F251">
        <v>569289698.1981982</v>
      </c>
      <c r="G251">
        <v>23</v>
      </c>
      <c r="H251">
        <v>19</v>
      </c>
      <c r="I251">
        <v>1</v>
      </c>
      <c r="K251">
        <v>23</v>
      </c>
      <c r="L251">
        <v>24</v>
      </c>
      <c r="M251">
        <v>56213513.513513513</v>
      </c>
      <c r="N251">
        <v>64667567.567567565</v>
      </c>
      <c r="O251">
        <v>69195891.891891882</v>
      </c>
      <c r="P251">
        <v>71582225.225225225</v>
      </c>
      <c r="Q251">
        <v>11728468.468468469</v>
      </c>
      <c r="R251">
        <v>15067477.477477476</v>
      </c>
      <c r="S251">
        <v>3003</v>
      </c>
      <c r="T251">
        <v>3091</v>
      </c>
    </row>
    <row r="252" spans="1:20" x14ac:dyDescent="0.35">
      <c r="A252" s="7" t="s">
        <v>344</v>
      </c>
      <c r="B252" s="12" t="s">
        <v>305</v>
      </c>
      <c r="C252">
        <v>17167911.607939448</v>
      </c>
      <c r="D252">
        <v>27260648.469496474</v>
      </c>
      <c r="E252">
        <v>900900.90090090095</v>
      </c>
      <c r="F252">
        <v>360360.36036036001</v>
      </c>
      <c r="G252">
        <v>10</v>
      </c>
      <c r="H252">
        <v>44</v>
      </c>
      <c r="K252">
        <v>13</v>
      </c>
      <c r="L252">
        <v>55</v>
      </c>
      <c r="M252">
        <v>1351351.351351351</v>
      </c>
      <c r="N252">
        <v>360360.36036036001</v>
      </c>
      <c r="O252">
        <v>2852981.981981982</v>
      </c>
      <c r="P252">
        <v>5700619.8198198201</v>
      </c>
      <c r="Q252">
        <v>256216.21621621601</v>
      </c>
      <c r="R252">
        <v>395495.49549549498</v>
      </c>
      <c r="S252">
        <v>515</v>
      </c>
      <c r="T252">
        <v>574</v>
      </c>
    </row>
    <row r="253" spans="1:20" x14ac:dyDescent="0.35">
      <c r="A253" s="7" t="s">
        <v>345</v>
      </c>
      <c r="B253" s="12" t="s">
        <v>106</v>
      </c>
      <c r="C253">
        <v>332274728.22181016</v>
      </c>
      <c r="D253">
        <v>347047556.06936371</v>
      </c>
      <c r="E253">
        <v>1583333.333333337</v>
      </c>
      <c r="F253">
        <v>1453153.1531531559</v>
      </c>
      <c r="G253">
        <v>57</v>
      </c>
      <c r="H253">
        <v>85</v>
      </c>
      <c r="K253">
        <v>74</v>
      </c>
      <c r="L253">
        <v>94</v>
      </c>
      <c r="M253">
        <v>43304504.504504502</v>
      </c>
      <c r="N253">
        <v>43481531.531531528</v>
      </c>
      <c r="O253">
        <v>81632414.414414421</v>
      </c>
      <c r="P253">
        <v>90126630.630630627</v>
      </c>
      <c r="Q253">
        <v>40654414.414414413</v>
      </c>
      <c r="R253">
        <v>39729099.099099107</v>
      </c>
      <c r="S253">
        <v>5968</v>
      </c>
      <c r="T253">
        <v>5920</v>
      </c>
    </row>
    <row r="254" spans="1:20" x14ac:dyDescent="0.35">
      <c r="A254" s="7" t="s">
        <v>346</v>
      </c>
      <c r="B254" s="12" t="s">
        <v>88</v>
      </c>
      <c r="C254">
        <v>98370336.936084419</v>
      </c>
      <c r="D254">
        <v>100947086.76587933</v>
      </c>
      <c r="E254">
        <v>48380588.288288288</v>
      </c>
      <c r="F254">
        <v>82910721.621621609</v>
      </c>
      <c r="G254">
        <v>40</v>
      </c>
      <c r="H254">
        <v>49</v>
      </c>
      <c r="K254">
        <v>46</v>
      </c>
      <c r="L254">
        <v>55</v>
      </c>
      <c r="M254">
        <v>24798198.198198199</v>
      </c>
      <c r="N254">
        <v>27144144.144144144</v>
      </c>
      <c r="O254">
        <v>25957182.882882878</v>
      </c>
      <c r="P254">
        <v>30847926.126126129</v>
      </c>
      <c r="Q254">
        <v>19615809.009009007</v>
      </c>
      <c r="R254">
        <v>17977747.747747749</v>
      </c>
      <c r="S254">
        <v>2114</v>
      </c>
      <c r="T254">
        <v>2301</v>
      </c>
    </row>
    <row r="255" spans="1:20" x14ac:dyDescent="0.35">
      <c r="A255" s="7" t="s">
        <v>347</v>
      </c>
      <c r="B255" s="12" t="s">
        <v>88</v>
      </c>
      <c r="C255">
        <v>272142848.16287017</v>
      </c>
      <c r="D255">
        <v>265441242.34345683</v>
      </c>
      <c r="E255">
        <v>3253153.153153155</v>
      </c>
      <c r="F255">
        <v>1590090.0900900981</v>
      </c>
      <c r="G255">
        <v>170</v>
      </c>
      <c r="H255">
        <v>159</v>
      </c>
      <c r="I255">
        <v>3</v>
      </c>
      <c r="K255">
        <v>197</v>
      </c>
      <c r="L255">
        <v>205</v>
      </c>
      <c r="M255">
        <v>27287387.387387387</v>
      </c>
      <c r="N255">
        <v>28662162.162162159</v>
      </c>
      <c r="O255">
        <v>46570953.153153151</v>
      </c>
      <c r="P255">
        <v>51213324.324324317</v>
      </c>
      <c r="Q255">
        <v>20539639.639639638</v>
      </c>
      <c r="R255">
        <v>24500810.810810812</v>
      </c>
      <c r="S255">
        <v>7497</v>
      </c>
      <c r="T255">
        <v>6241</v>
      </c>
    </row>
    <row r="256" spans="1:20" x14ac:dyDescent="0.35">
      <c r="A256" s="7" t="s">
        <v>348</v>
      </c>
      <c r="B256" s="12" t="s">
        <v>88</v>
      </c>
      <c r="C256">
        <v>8398363.2576378155</v>
      </c>
      <c r="D256">
        <v>8609193.0608339347</v>
      </c>
      <c r="G256">
        <v>19</v>
      </c>
      <c r="H256">
        <v>6</v>
      </c>
      <c r="K256">
        <v>21</v>
      </c>
      <c r="L256">
        <v>8</v>
      </c>
      <c r="O256">
        <v>3330621.6216216232</v>
      </c>
      <c r="P256">
        <v>4774954.9549549539</v>
      </c>
      <c r="S256">
        <v>866</v>
      </c>
      <c r="T256">
        <v>794</v>
      </c>
    </row>
    <row r="257" spans="1:20" x14ac:dyDescent="0.35">
      <c r="A257" s="7" t="s">
        <v>349</v>
      </c>
      <c r="B257" s="12" t="s">
        <v>88</v>
      </c>
      <c r="C257">
        <v>3800360.3256748728</v>
      </c>
      <c r="D257">
        <v>2946631.9740743409</v>
      </c>
      <c r="G257">
        <v>2</v>
      </c>
      <c r="K257">
        <v>2</v>
      </c>
      <c r="O257">
        <v>1300855.8558558561</v>
      </c>
      <c r="P257">
        <v>914414.41441441397</v>
      </c>
      <c r="S257">
        <v>221</v>
      </c>
      <c r="T257">
        <v>180</v>
      </c>
    </row>
    <row r="258" spans="1:20" x14ac:dyDescent="0.35">
      <c r="A258" s="7" t="s">
        <v>350</v>
      </c>
      <c r="B258" s="12" t="s">
        <v>88</v>
      </c>
      <c r="C258">
        <v>3163592.9350178032</v>
      </c>
      <c r="D258">
        <v>1755621.900467721</v>
      </c>
      <c r="G258">
        <v>6</v>
      </c>
      <c r="H258">
        <v>5</v>
      </c>
      <c r="K258">
        <v>10</v>
      </c>
      <c r="L258">
        <v>9</v>
      </c>
      <c r="O258">
        <v>1871630.630630631</v>
      </c>
      <c r="P258">
        <v>1178198.1981981981</v>
      </c>
      <c r="S258">
        <v>587</v>
      </c>
      <c r="T258">
        <v>522</v>
      </c>
    </row>
    <row r="259" spans="1:20" x14ac:dyDescent="0.35">
      <c r="A259" s="7" t="s">
        <v>351</v>
      </c>
      <c r="B259" s="12" t="s">
        <v>88</v>
      </c>
      <c r="C259">
        <v>90984655.558477953</v>
      </c>
      <c r="D259">
        <v>94065274.902096868</v>
      </c>
      <c r="E259">
        <v>158558.55855856001</v>
      </c>
      <c r="F259">
        <v>444144.144144146</v>
      </c>
      <c r="G259">
        <v>73</v>
      </c>
      <c r="H259">
        <v>44</v>
      </c>
      <c r="I259">
        <v>1</v>
      </c>
      <c r="K259">
        <v>79</v>
      </c>
      <c r="L259">
        <v>52</v>
      </c>
      <c r="M259">
        <v>6959459.4594594594</v>
      </c>
      <c r="N259">
        <v>11516216.216216216</v>
      </c>
      <c r="O259">
        <v>17934527.02702703</v>
      </c>
      <c r="P259">
        <v>21530846.846846849</v>
      </c>
      <c r="Q259">
        <v>5696036.036036036</v>
      </c>
      <c r="R259">
        <v>9536756.7567567565</v>
      </c>
      <c r="S259">
        <v>1983</v>
      </c>
      <c r="T259">
        <v>2221</v>
      </c>
    </row>
    <row r="260" spans="1:20" x14ac:dyDescent="0.35">
      <c r="A260" s="7" t="s">
        <v>352</v>
      </c>
      <c r="B260" s="12" t="s">
        <v>51</v>
      </c>
      <c r="C260">
        <v>241615691.58119336</v>
      </c>
      <c r="D260">
        <v>231090111.91458377</v>
      </c>
      <c r="E260">
        <v>2943243.2432432459</v>
      </c>
      <c r="F260">
        <v>1932432.4324324359</v>
      </c>
      <c r="G260">
        <v>60</v>
      </c>
      <c r="H260">
        <v>94</v>
      </c>
      <c r="K260">
        <v>68</v>
      </c>
      <c r="L260">
        <v>137</v>
      </c>
      <c r="M260">
        <v>34514054.054054052</v>
      </c>
      <c r="N260">
        <v>42565720.720720723</v>
      </c>
      <c r="O260">
        <v>94494004.504504517</v>
      </c>
      <c r="P260">
        <v>97492234.234234244</v>
      </c>
      <c r="Q260">
        <v>30933873.873873871</v>
      </c>
      <c r="R260">
        <v>41588963.963963963</v>
      </c>
      <c r="S260">
        <v>5261</v>
      </c>
      <c r="T260">
        <v>5260</v>
      </c>
    </row>
    <row r="261" spans="1:20" x14ac:dyDescent="0.35">
      <c r="A261" s="7" t="s">
        <v>353</v>
      </c>
      <c r="B261" s="12" t="s">
        <v>124</v>
      </c>
      <c r="C261">
        <v>1467627.0552975221</v>
      </c>
      <c r="D261">
        <v>2649739.246456753</v>
      </c>
      <c r="G261">
        <v>1</v>
      </c>
      <c r="H261">
        <v>1</v>
      </c>
      <c r="K261">
        <v>1</v>
      </c>
      <c r="L261">
        <v>1</v>
      </c>
      <c r="O261">
        <v>562252.25225225196</v>
      </c>
      <c r="P261">
        <v>799225.22522522497</v>
      </c>
      <c r="S261">
        <v>99</v>
      </c>
      <c r="T261">
        <v>171</v>
      </c>
    </row>
    <row r="262" spans="1:20" x14ac:dyDescent="0.35">
      <c r="A262" s="7" t="s">
        <v>354</v>
      </c>
      <c r="B262" s="12" t="s">
        <v>355</v>
      </c>
      <c r="C262">
        <v>422773891.40797919</v>
      </c>
      <c r="D262">
        <v>447887851.76534617</v>
      </c>
      <c r="E262">
        <v>9862162.1621621642</v>
      </c>
      <c r="F262">
        <v>7920334.2342342334</v>
      </c>
      <c r="G262">
        <v>369</v>
      </c>
      <c r="H262">
        <v>368</v>
      </c>
      <c r="K262">
        <v>545</v>
      </c>
      <c r="L262">
        <v>386</v>
      </c>
      <c r="M262">
        <v>267270000</v>
      </c>
      <c r="N262">
        <v>185450964.86486486</v>
      </c>
      <c r="O262">
        <v>253314765.76576576</v>
      </c>
      <c r="P262">
        <v>263315459.45945945</v>
      </c>
      <c r="Q262">
        <v>276610090.0900901</v>
      </c>
      <c r="R262">
        <v>180678918.91891891</v>
      </c>
      <c r="S262">
        <v>9664</v>
      </c>
      <c r="T262">
        <v>10110</v>
      </c>
    </row>
    <row r="263" spans="1:20" x14ac:dyDescent="0.35">
      <c r="A263" s="7" t="s">
        <v>356</v>
      </c>
      <c r="B263" s="12" t="s">
        <v>49</v>
      </c>
      <c r="C263">
        <v>288703692.91301191</v>
      </c>
      <c r="D263">
        <v>335355859.04577214</v>
      </c>
      <c r="E263">
        <v>909009.00900900899</v>
      </c>
      <c r="F263">
        <v>261261.26126126101</v>
      </c>
      <c r="G263">
        <v>22</v>
      </c>
      <c r="H263">
        <v>9</v>
      </c>
      <c r="K263">
        <v>25</v>
      </c>
      <c r="L263">
        <v>10</v>
      </c>
      <c r="M263">
        <v>1654954.9549549541</v>
      </c>
      <c r="N263">
        <v>407207.20720720798</v>
      </c>
      <c r="O263">
        <v>22012441.441441439</v>
      </c>
      <c r="P263">
        <v>27371072.072072074</v>
      </c>
      <c r="Q263">
        <v>1751621.6216216199</v>
      </c>
      <c r="R263">
        <v>589279.27927928104</v>
      </c>
      <c r="S263">
        <v>5504</v>
      </c>
      <c r="T263">
        <v>5653</v>
      </c>
    </row>
    <row r="264" spans="1:20" x14ac:dyDescent="0.35">
      <c r="A264" s="7" t="s">
        <v>357</v>
      </c>
      <c r="B264" s="12" t="s">
        <v>124</v>
      </c>
      <c r="C264">
        <v>305633800.32103646</v>
      </c>
      <c r="D264">
        <v>327252970.87832403</v>
      </c>
      <c r="E264">
        <v>153153.15315315299</v>
      </c>
      <c r="F264">
        <v>606306.30630630802</v>
      </c>
      <c r="G264">
        <v>74</v>
      </c>
      <c r="H264">
        <v>58</v>
      </c>
      <c r="K264">
        <v>76</v>
      </c>
      <c r="L264">
        <v>64</v>
      </c>
      <c r="M264">
        <v>9393963.9639639631</v>
      </c>
      <c r="N264">
        <v>13389369.369369367</v>
      </c>
      <c r="O264">
        <v>67197180.180180177</v>
      </c>
      <c r="P264">
        <v>80207720.720720723</v>
      </c>
      <c r="Q264">
        <v>8527387.3873873875</v>
      </c>
      <c r="R264">
        <v>12130450.45045045</v>
      </c>
      <c r="S264">
        <v>5418</v>
      </c>
      <c r="T264">
        <v>5163</v>
      </c>
    </row>
    <row r="265" spans="1:20" x14ac:dyDescent="0.35">
      <c r="A265" s="7" t="s">
        <v>358</v>
      </c>
      <c r="B265" s="12" t="s">
        <v>63</v>
      </c>
      <c r="C265">
        <v>172288662.95500863</v>
      </c>
      <c r="D265">
        <v>182095654.19814348</v>
      </c>
      <c r="E265">
        <v>2157657.6576576591</v>
      </c>
      <c r="F265">
        <v>1253153.1531531559</v>
      </c>
      <c r="G265">
        <v>32</v>
      </c>
      <c r="H265">
        <v>7</v>
      </c>
      <c r="K265">
        <v>36</v>
      </c>
      <c r="L265">
        <v>8</v>
      </c>
      <c r="M265">
        <v>30478558.558558561</v>
      </c>
      <c r="N265">
        <v>40608828.828828834</v>
      </c>
      <c r="O265">
        <v>48773711.711711712</v>
      </c>
      <c r="P265">
        <v>57015531.531531535</v>
      </c>
      <c r="Q265">
        <v>30710090.090090089</v>
      </c>
      <c r="R265">
        <v>21408018.018018018</v>
      </c>
      <c r="S265">
        <v>3751</v>
      </c>
      <c r="T265">
        <v>3869</v>
      </c>
    </row>
    <row r="266" spans="1:20" x14ac:dyDescent="0.35">
      <c r="A266" s="7" t="s">
        <v>359</v>
      </c>
      <c r="B266" s="12" t="s">
        <v>316</v>
      </c>
      <c r="C266">
        <v>5687349.5045916792</v>
      </c>
      <c r="D266">
        <v>11454553.353932364</v>
      </c>
      <c r="E266">
        <v>64909909.909909911</v>
      </c>
      <c r="F266">
        <v>54729729.729729727</v>
      </c>
      <c r="G266">
        <v>10</v>
      </c>
      <c r="H266">
        <v>13</v>
      </c>
      <c r="K266">
        <v>11</v>
      </c>
      <c r="L266">
        <v>13</v>
      </c>
      <c r="M266">
        <v>353153.15315315302</v>
      </c>
      <c r="O266">
        <v>2302432.4324324331</v>
      </c>
      <c r="P266">
        <v>6027927.927927928</v>
      </c>
      <c r="S266">
        <v>12</v>
      </c>
      <c r="T266">
        <v>569</v>
      </c>
    </row>
    <row r="267" spans="1:20" x14ac:dyDescent="0.35">
      <c r="A267" s="7" t="s">
        <v>360</v>
      </c>
      <c r="B267" s="12" t="s">
        <v>316</v>
      </c>
      <c r="C267">
        <v>173324326.90738034</v>
      </c>
      <c r="D267">
        <v>142080939.14902017</v>
      </c>
      <c r="E267">
        <v>1034234.2342342359</v>
      </c>
      <c r="F267">
        <v>266666.66666667</v>
      </c>
      <c r="G267">
        <v>43</v>
      </c>
      <c r="H267">
        <v>19</v>
      </c>
      <c r="K267">
        <v>49</v>
      </c>
      <c r="L267">
        <v>25</v>
      </c>
      <c r="M267">
        <v>35697657.657657653</v>
      </c>
      <c r="N267">
        <v>33914864.864864863</v>
      </c>
      <c r="O267">
        <v>64045261.261261262</v>
      </c>
      <c r="P267">
        <v>59501333.333333336</v>
      </c>
      <c r="Q267">
        <v>35859099.0990991</v>
      </c>
      <c r="R267">
        <v>35709819.819819823</v>
      </c>
      <c r="S267">
        <v>3118</v>
      </c>
      <c r="T267">
        <v>3121</v>
      </c>
    </row>
    <row r="268" spans="1:20" x14ac:dyDescent="0.35">
      <c r="A268" s="7" t="s">
        <v>361</v>
      </c>
      <c r="B268" s="12" t="s">
        <v>93</v>
      </c>
      <c r="C268">
        <v>317892540.66457415</v>
      </c>
      <c r="D268">
        <v>321921939.93516904</v>
      </c>
      <c r="E268">
        <v>183462488.2882883</v>
      </c>
      <c r="F268">
        <v>103896418.01801802</v>
      </c>
      <c r="G268">
        <v>177</v>
      </c>
      <c r="H268">
        <v>66</v>
      </c>
      <c r="I268">
        <v>2</v>
      </c>
      <c r="K268">
        <v>210</v>
      </c>
      <c r="L268">
        <v>97</v>
      </c>
      <c r="M268">
        <v>70141891.891891882</v>
      </c>
      <c r="N268">
        <v>67490450.45045045</v>
      </c>
      <c r="O268">
        <v>96047223.423423424</v>
      </c>
      <c r="P268">
        <v>96507810.810810819</v>
      </c>
      <c r="Q268">
        <v>58011394.59459459</v>
      </c>
      <c r="R268">
        <v>60563873.873873875</v>
      </c>
      <c r="S268">
        <v>6660</v>
      </c>
      <c r="T268">
        <v>7560</v>
      </c>
    </row>
    <row r="269" spans="1:20" x14ac:dyDescent="0.35">
      <c r="A269" s="7" t="s">
        <v>362</v>
      </c>
      <c r="B269" s="12" t="s">
        <v>59</v>
      </c>
      <c r="C269">
        <v>625815895.36428857</v>
      </c>
      <c r="D269">
        <v>654086841.56097388</v>
      </c>
      <c r="E269">
        <v>14980180.180180185</v>
      </c>
      <c r="F269">
        <v>17334234.23423424</v>
      </c>
      <c r="G269">
        <v>108</v>
      </c>
      <c r="H269">
        <v>222</v>
      </c>
      <c r="K269">
        <v>117</v>
      </c>
      <c r="L269">
        <v>243</v>
      </c>
      <c r="M269">
        <v>29354954.954954956</v>
      </c>
      <c r="N269">
        <v>32325225.225225225</v>
      </c>
      <c r="O269">
        <v>98991076.576576576</v>
      </c>
      <c r="P269">
        <v>120129180.18018018</v>
      </c>
      <c r="Q269">
        <v>24547927.927927926</v>
      </c>
      <c r="R269">
        <v>27871801.801801801</v>
      </c>
      <c r="S269">
        <v>12768</v>
      </c>
      <c r="T269">
        <v>13050</v>
      </c>
    </row>
    <row r="270" spans="1:20" x14ac:dyDescent="0.35">
      <c r="A270" s="7" t="s">
        <v>363</v>
      </c>
      <c r="B270" s="12" t="s">
        <v>49</v>
      </c>
      <c r="C270">
        <v>221243444.03867632</v>
      </c>
      <c r="D270">
        <v>246830727.17777282</v>
      </c>
      <c r="E270">
        <v>466666.66666666599</v>
      </c>
      <c r="F270">
        <v>725225.22522522695</v>
      </c>
      <c r="G270">
        <v>13</v>
      </c>
      <c r="H270">
        <v>7</v>
      </c>
      <c r="K270">
        <v>14</v>
      </c>
      <c r="L270">
        <v>8</v>
      </c>
      <c r="M270">
        <v>30860540.540540535</v>
      </c>
      <c r="N270">
        <v>13018918.918918924</v>
      </c>
      <c r="O270">
        <v>36216702.702702701</v>
      </c>
      <c r="P270">
        <v>44869324.324324317</v>
      </c>
      <c r="Q270">
        <v>27539909.909909908</v>
      </c>
      <c r="R270">
        <v>14295135.135135137</v>
      </c>
      <c r="S270">
        <v>3682</v>
      </c>
      <c r="T270">
        <v>4361</v>
      </c>
    </row>
    <row r="271" spans="1:20" x14ac:dyDescent="0.35">
      <c r="A271" s="7" t="s">
        <v>364</v>
      </c>
      <c r="B271" s="12" t="s">
        <v>53</v>
      </c>
      <c r="C271">
        <v>93861089.442954257</v>
      </c>
      <c r="D271">
        <v>92920794.169235885</v>
      </c>
      <c r="E271">
        <v>263963.96396396501</v>
      </c>
      <c r="F271">
        <v>962162.16216216504</v>
      </c>
      <c r="G271">
        <v>62</v>
      </c>
      <c r="H271">
        <v>10</v>
      </c>
      <c r="K271">
        <v>67</v>
      </c>
      <c r="L271">
        <v>13</v>
      </c>
      <c r="M271">
        <v>1966666.666666666</v>
      </c>
      <c r="N271">
        <v>5563963.9639639622</v>
      </c>
      <c r="O271">
        <v>45868468.468468465</v>
      </c>
      <c r="P271">
        <v>44332261.261261262</v>
      </c>
      <c r="Q271">
        <v>2360990.9909909898</v>
      </c>
      <c r="R271">
        <v>5343783.7837837823</v>
      </c>
      <c r="S271">
        <v>2374</v>
      </c>
      <c r="T271">
        <v>2272</v>
      </c>
    </row>
    <row r="272" spans="1:20" x14ac:dyDescent="0.35">
      <c r="A272" s="7" t="s">
        <v>365</v>
      </c>
      <c r="B272" s="12" t="s">
        <v>53</v>
      </c>
      <c r="C272">
        <v>72228615.499680966</v>
      </c>
      <c r="D272">
        <v>72379272.003279299</v>
      </c>
      <c r="E272">
        <v>2702702.7027027048</v>
      </c>
      <c r="F272">
        <v>2099549.5495495489</v>
      </c>
      <c r="G272">
        <v>82</v>
      </c>
      <c r="H272">
        <v>35</v>
      </c>
      <c r="K272">
        <v>197</v>
      </c>
      <c r="L272">
        <v>106</v>
      </c>
      <c r="M272">
        <v>7603603.6036036033</v>
      </c>
      <c r="N272">
        <v>13784234.234234234</v>
      </c>
      <c r="O272">
        <v>40440207.20720721</v>
      </c>
      <c r="P272">
        <v>40523639.639639638</v>
      </c>
      <c r="Q272">
        <v>12217477.477477476</v>
      </c>
      <c r="R272">
        <v>12585315.315315315</v>
      </c>
      <c r="S272">
        <v>2355</v>
      </c>
      <c r="T272">
        <v>2393</v>
      </c>
    </row>
    <row r="273" spans="1:20" x14ac:dyDescent="0.35">
      <c r="A273" s="7" t="s">
        <v>366</v>
      </c>
      <c r="B273" s="12" t="s">
        <v>53</v>
      </c>
      <c r="C273">
        <v>818977670.45796859</v>
      </c>
      <c r="D273">
        <v>817026601.06848598</v>
      </c>
      <c r="E273">
        <v>494883812.61261261</v>
      </c>
      <c r="F273">
        <v>411424804.5045045</v>
      </c>
      <c r="G273">
        <v>305</v>
      </c>
      <c r="H273">
        <v>319</v>
      </c>
      <c r="I273">
        <v>3</v>
      </c>
      <c r="K273">
        <v>479</v>
      </c>
      <c r="L273">
        <v>587</v>
      </c>
      <c r="M273">
        <v>46834234.234234244</v>
      </c>
      <c r="N273">
        <v>535126576.57657659</v>
      </c>
      <c r="O273">
        <v>299877116.21621621</v>
      </c>
      <c r="P273">
        <v>304038846.84684682</v>
      </c>
      <c r="Q273">
        <v>67426486.486486495</v>
      </c>
      <c r="R273">
        <v>70628468.468468457</v>
      </c>
      <c r="S273">
        <v>20811</v>
      </c>
      <c r="T273">
        <v>21001</v>
      </c>
    </row>
    <row r="274" spans="1:20" x14ac:dyDescent="0.35">
      <c r="A274" s="7" t="s">
        <v>367</v>
      </c>
      <c r="B274" s="12" t="s">
        <v>294</v>
      </c>
      <c r="C274">
        <v>470447130.84089845</v>
      </c>
      <c r="D274">
        <v>482999378.60628861</v>
      </c>
      <c r="E274">
        <v>63875495.495495498</v>
      </c>
      <c r="F274">
        <v>75917117.117117122</v>
      </c>
      <c r="G274">
        <v>281</v>
      </c>
      <c r="H274">
        <v>56</v>
      </c>
      <c r="K274">
        <v>333</v>
      </c>
      <c r="L274">
        <v>207</v>
      </c>
      <c r="M274">
        <v>49741081.081081077</v>
      </c>
      <c r="N274">
        <v>79066486.486486495</v>
      </c>
      <c r="O274">
        <v>155674290.990991</v>
      </c>
      <c r="P274">
        <v>157839077.47747746</v>
      </c>
      <c r="Q274">
        <v>54325585.585585587</v>
      </c>
      <c r="R274">
        <v>72780720.720720723</v>
      </c>
      <c r="S274">
        <v>10856</v>
      </c>
      <c r="T274">
        <v>11012</v>
      </c>
    </row>
    <row r="275" spans="1:20" x14ac:dyDescent="0.35">
      <c r="A275" s="7" t="s">
        <v>368</v>
      </c>
      <c r="B275" s="12" t="s">
        <v>369</v>
      </c>
      <c r="C275">
        <v>198386848.27114365</v>
      </c>
      <c r="D275">
        <v>203131760.79315189</v>
      </c>
      <c r="E275">
        <v>87981074.77477479</v>
      </c>
      <c r="F275">
        <v>85136312.612612605</v>
      </c>
      <c r="G275">
        <v>45</v>
      </c>
      <c r="H275">
        <v>30</v>
      </c>
      <c r="K275">
        <v>61</v>
      </c>
      <c r="L275">
        <v>34</v>
      </c>
      <c r="M275">
        <v>55796036.036036029</v>
      </c>
      <c r="N275">
        <v>89665405.405405402</v>
      </c>
      <c r="O275">
        <v>85021972.972972974</v>
      </c>
      <c r="P275">
        <v>88188171.171171173</v>
      </c>
      <c r="Q275">
        <v>58432702.702702701</v>
      </c>
      <c r="R275">
        <v>77374684.684684694</v>
      </c>
      <c r="S275">
        <v>3871</v>
      </c>
      <c r="T275">
        <v>3796</v>
      </c>
    </row>
    <row r="276" spans="1:20" x14ac:dyDescent="0.35">
      <c r="A276" s="7" t="s">
        <v>370</v>
      </c>
      <c r="B276" s="12" t="s">
        <v>71</v>
      </c>
      <c r="C276">
        <v>57906563.63558197</v>
      </c>
      <c r="D276">
        <v>60133366.351247206</v>
      </c>
      <c r="E276">
        <v>2084684.6846846871</v>
      </c>
      <c r="F276">
        <v>1536936.9369369361</v>
      </c>
      <c r="G276">
        <v>41</v>
      </c>
      <c r="H276">
        <v>25</v>
      </c>
      <c r="K276">
        <v>48</v>
      </c>
      <c r="L276">
        <v>44</v>
      </c>
      <c r="M276">
        <v>12900900.9009009</v>
      </c>
      <c r="N276">
        <v>14359459.459459459</v>
      </c>
      <c r="O276">
        <v>19796720.72072072</v>
      </c>
      <c r="P276">
        <v>19668090.090090092</v>
      </c>
      <c r="Q276">
        <v>12192702.702702705</v>
      </c>
      <c r="R276">
        <v>11247207.207207208</v>
      </c>
      <c r="S276">
        <v>1196</v>
      </c>
      <c r="T276">
        <v>1232</v>
      </c>
    </row>
    <row r="277" spans="1:20" x14ac:dyDescent="0.35">
      <c r="A277" s="7" t="s">
        <v>371</v>
      </c>
      <c r="B277" s="12" t="s">
        <v>51</v>
      </c>
      <c r="C277">
        <v>121258538.45301366</v>
      </c>
      <c r="D277">
        <v>107162004.77122481</v>
      </c>
      <c r="E277">
        <v>1119819.819819821</v>
      </c>
      <c r="F277">
        <v>1536036.0360360369</v>
      </c>
      <c r="G277">
        <v>26</v>
      </c>
      <c r="H277">
        <v>19</v>
      </c>
      <c r="K277">
        <v>29</v>
      </c>
      <c r="L277">
        <v>19</v>
      </c>
      <c r="M277">
        <v>10102882.882882882</v>
      </c>
      <c r="N277">
        <v>12474414.414414415</v>
      </c>
      <c r="O277">
        <v>54560594.59459459</v>
      </c>
      <c r="P277">
        <v>47833576.576576576</v>
      </c>
      <c r="Q277">
        <v>8584504.5045045037</v>
      </c>
      <c r="R277">
        <v>9991711.7117117122</v>
      </c>
      <c r="S277">
        <v>2724</v>
      </c>
      <c r="T277">
        <v>2428</v>
      </c>
    </row>
    <row r="278" spans="1:20" x14ac:dyDescent="0.35">
      <c r="A278" s="7" t="s">
        <v>372</v>
      </c>
      <c r="B278" s="12" t="s">
        <v>122</v>
      </c>
      <c r="C278">
        <v>119502584.7075288</v>
      </c>
      <c r="D278">
        <v>110729252.96214302</v>
      </c>
      <c r="E278">
        <v>886486.48648648697</v>
      </c>
      <c r="F278">
        <v>675675.67567567702</v>
      </c>
      <c r="G278">
        <v>52</v>
      </c>
      <c r="H278">
        <v>54</v>
      </c>
      <c r="K278">
        <v>64</v>
      </c>
      <c r="L278">
        <v>65</v>
      </c>
      <c r="M278">
        <v>6270270.2702702703</v>
      </c>
      <c r="N278">
        <v>2927927.9279279271</v>
      </c>
      <c r="O278">
        <v>12687927.927927928</v>
      </c>
      <c r="P278">
        <v>12910819.819819819</v>
      </c>
      <c r="Q278">
        <v>4615765.7657657638</v>
      </c>
      <c r="R278">
        <v>2985495.4954954949</v>
      </c>
      <c r="S278">
        <v>2738</v>
      </c>
      <c r="T278">
        <v>2827</v>
      </c>
    </row>
    <row r="279" spans="1:20" x14ac:dyDescent="0.35">
      <c r="A279" s="7" t="s">
        <v>373</v>
      </c>
      <c r="B279" s="12" t="s">
        <v>374</v>
      </c>
      <c r="C279">
        <v>271129265.60062253</v>
      </c>
      <c r="D279">
        <v>274747256.23787403</v>
      </c>
      <c r="E279">
        <v>31941592.792792797</v>
      </c>
      <c r="F279">
        <v>58795185.585585594</v>
      </c>
      <c r="G279">
        <v>41</v>
      </c>
      <c r="H279">
        <v>23</v>
      </c>
      <c r="K279">
        <v>45</v>
      </c>
      <c r="L279">
        <v>28</v>
      </c>
      <c r="M279">
        <v>47227927.927927919</v>
      </c>
      <c r="N279">
        <v>88501846.846846849</v>
      </c>
      <c r="O279">
        <v>102052621.62162161</v>
      </c>
      <c r="P279">
        <v>113029896.3963964</v>
      </c>
      <c r="Q279">
        <v>47970540.540540539</v>
      </c>
      <c r="R279">
        <v>56933198.198198199</v>
      </c>
      <c r="S279">
        <v>10093</v>
      </c>
      <c r="T279">
        <v>10538</v>
      </c>
    </row>
    <row r="280" spans="1:20" x14ac:dyDescent="0.35">
      <c r="A280" s="7" t="s">
        <v>375</v>
      </c>
      <c r="B280" s="12" t="s">
        <v>67</v>
      </c>
      <c r="C280">
        <v>201823896.80249193</v>
      </c>
      <c r="D280">
        <v>217058168.80691329</v>
      </c>
      <c r="E280">
        <v>280498198.1981982</v>
      </c>
      <c r="F280">
        <v>414052702.7027027</v>
      </c>
      <c r="G280">
        <v>76</v>
      </c>
      <c r="H280">
        <v>39</v>
      </c>
      <c r="K280">
        <v>93</v>
      </c>
      <c r="L280">
        <v>43</v>
      </c>
      <c r="M280">
        <v>194888738.73873875</v>
      </c>
      <c r="N280">
        <v>248413288.2882883</v>
      </c>
      <c r="O280">
        <v>74090531.531531543</v>
      </c>
      <c r="P280">
        <v>83151837.837837845</v>
      </c>
      <c r="Q280">
        <v>126845945.94594595</v>
      </c>
      <c r="R280">
        <v>97921306.306306303</v>
      </c>
      <c r="S280">
        <v>7041</v>
      </c>
      <c r="T280">
        <v>7499</v>
      </c>
    </row>
    <row r="281" spans="1:20" x14ac:dyDescent="0.35">
      <c r="A281" s="7" t="s">
        <v>376</v>
      </c>
      <c r="B281" s="12" t="s">
        <v>355</v>
      </c>
      <c r="C281">
        <v>303312231.04698306</v>
      </c>
      <c r="D281">
        <v>312397565.07351321</v>
      </c>
      <c r="E281">
        <v>318003756.75675672</v>
      </c>
      <c r="F281">
        <v>288279953.15315318</v>
      </c>
      <c r="G281">
        <v>467</v>
      </c>
      <c r="H281">
        <v>271</v>
      </c>
      <c r="K281">
        <v>479</v>
      </c>
      <c r="L281">
        <v>284</v>
      </c>
      <c r="M281">
        <v>78014549.54954955</v>
      </c>
      <c r="N281">
        <v>89485675.675675675</v>
      </c>
      <c r="O281">
        <v>188252945.94594595</v>
      </c>
      <c r="P281">
        <v>181010396.3963964</v>
      </c>
      <c r="Q281">
        <v>66727297.297297299</v>
      </c>
      <c r="R281">
        <v>57623603.603603609</v>
      </c>
      <c r="S281">
        <v>6935</v>
      </c>
      <c r="T281">
        <v>6832</v>
      </c>
    </row>
    <row r="282" spans="1:20" x14ac:dyDescent="0.35">
      <c r="A282" s="7" t="s">
        <v>377</v>
      </c>
      <c r="B282" s="12" t="s">
        <v>67</v>
      </c>
      <c r="C282">
        <v>116733023.42101473</v>
      </c>
      <c r="D282">
        <v>120924802.6561175</v>
      </c>
      <c r="E282">
        <v>1134234.2342342359</v>
      </c>
      <c r="F282">
        <v>1996396.396396396</v>
      </c>
      <c r="G282">
        <v>49</v>
      </c>
      <c r="H282">
        <v>16</v>
      </c>
      <c r="K282">
        <v>55</v>
      </c>
      <c r="L282">
        <v>24</v>
      </c>
      <c r="M282">
        <v>12961261.26126126</v>
      </c>
      <c r="N282">
        <v>13832297.297297295</v>
      </c>
      <c r="O282">
        <v>55127716.216216214</v>
      </c>
      <c r="P282">
        <v>54720801.801801801</v>
      </c>
      <c r="Q282">
        <v>13370990.990990989</v>
      </c>
      <c r="R282">
        <v>15290045.045045046</v>
      </c>
      <c r="S282">
        <v>5771</v>
      </c>
      <c r="T282">
        <v>5161</v>
      </c>
    </row>
    <row r="283" spans="1:20" x14ac:dyDescent="0.35">
      <c r="A283" s="7" t="s">
        <v>378</v>
      </c>
      <c r="B283" s="12" t="s">
        <v>261</v>
      </c>
      <c r="C283">
        <v>97670677.526736587</v>
      </c>
      <c r="D283">
        <v>97556196.856716633</v>
      </c>
      <c r="E283">
        <v>13513.513513514001</v>
      </c>
      <c r="F283">
        <v>315315.31531531602</v>
      </c>
      <c r="G283">
        <v>8</v>
      </c>
      <c r="H283">
        <v>22</v>
      </c>
      <c r="K283">
        <v>8</v>
      </c>
      <c r="L283">
        <v>30</v>
      </c>
      <c r="M283">
        <v>6454954.9549549539</v>
      </c>
      <c r="N283">
        <v>7539639.6396396402</v>
      </c>
      <c r="O283">
        <v>16275288.288288288</v>
      </c>
      <c r="P283">
        <v>22217445.945945945</v>
      </c>
      <c r="Q283">
        <v>2965405.405405405</v>
      </c>
      <c r="R283">
        <v>5126486.4864864862</v>
      </c>
      <c r="S283">
        <v>1584</v>
      </c>
      <c r="T283">
        <v>1612</v>
      </c>
    </row>
    <row r="284" spans="1:20" x14ac:dyDescent="0.35">
      <c r="A284" s="7" t="s">
        <v>379</v>
      </c>
      <c r="B284" s="12" t="s">
        <v>355</v>
      </c>
      <c r="C284">
        <v>253282714.02923021</v>
      </c>
      <c r="D284">
        <v>249133338.44897044</v>
      </c>
      <c r="E284">
        <v>3846846.8468468492</v>
      </c>
      <c r="F284">
        <v>3907657.657657661</v>
      </c>
      <c r="G284">
        <v>57</v>
      </c>
      <c r="H284">
        <v>68</v>
      </c>
      <c r="K284">
        <v>58</v>
      </c>
      <c r="L284">
        <v>76</v>
      </c>
      <c r="M284">
        <v>50597207.20720721</v>
      </c>
      <c r="N284">
        <v>48796846.846846849</v>
      </c>
      <c r="O284">
        <v>141766906.3063063</v>
      </c>
      <c r="P284">
        <v>137318945.94594595</v>
      </c>
      <c r="Q284">
        <v>50048198.198198199</v>
      </c>
      <c r="R284">
        <v>45529369.369369365</v>
      </c>
      <c r="S284">
        <v>4754</v>
      </c>
      <c r="T284">
        <v>4705</v>
      </c>
    </row>
    <row r="285" spans="1:20" x14ac:dyDescent="0.35">
      <c r="A285" s="7" t="s">
        <v>380</v>
      </c>
      <c r="B285" s="12" t="s">
        <v>88</v>
      </c>
      <c r="C285">
        <v>6947387.2883427916</v>
      </c>
      <c r="D285">
        <v>6467689.7945754603</v>
      </c>
      <c r="G285">
        <v>2</v>
      </c>
      <c r="H285">
        <v>1</v>
      </c>
      <c r="K285">
        <v>3</v>
      </c>
      <c r="L285">
        <v>2</v>
      </c>
      <c r="O285">
        <v>378513.51351351402</v>
      </c>
      <c r="P285">
        <v>1318018.018018018</v>
      </c>
      <c r="S285">
        <v>142</v>
      </c>
      <c r="T285">
        <v>189</v>
      </c>
    </row>
    <row r="286" spans="1:20" x14ac:dyDescent="0.35">
      <c r="A286" s="7" t="s">
        <v>381</v>
      </c>
      <c r="B286" s="12" t="s">
        <v>88</v>
      </c>
      <c r="C286">
        <v>9869418.5584710706</v>
      </c>
      <c r="D286">
        <v>8704089.8335792851</v>
      </c>
      <c r="G286">
        <v>20</v>
      </c>
      <c r="H286">
        <v>23</v>
      </c>
      <c r="K286">
        <v>22</v>
      </c>
      <c r="L286">
        <v>27</v>
      </c>
      <c r="O286">
        <v>1275729.7297297299</v>
      </c>
      <c r="P286">
        <v>1759279.2792792791</v>
      </c>
      <c r="S286">
        <v>367</v>
      </c>
      <c r="T286">
        <v>357</v>
      </c>
    </row>
    <row r="287" spans="1:20" x14ac:dyDescent="0.35">
      <c r="A287" s="7" t="s">
        <v>382</v>
      </c>
      <c r="B287" s="12" t="s">
        <v>81</v>
      </c>
      <c r="C287">
        <v>1715088323.2241852</v>
      </c>
      <c r="D287">
        <v>1749061960.7381501</v>
      </c>
      <c r="E287">
        <v>1034787884.6846846</v>
      </c>
      <c r="F287">
        <v>700489836.03603613</v>
      </c>
      <c r="G287">
        <v>643</v>
      </c>
      <c r="H287">
        <v>392</v>
      </c>
      <c r="I287">
        <v>12</v>
      </c>
      <c r="K287">
        <v>778</v>
      </c>
      <c r="L287">
        <v>622</v>
      </c>
      <c r="M287">
        <v>279121171.17117119</v>
      </c>
      <c r="N287">
        <v>538392545.04504502</v>
      </c>
      <c r="O287">
        <v>444854820.27027029</v>
      </c>
      <c r="P287">
        <v>499690066.66666669</v>
      </c>
      <c r="Q287">
        <v>249251351.35135135</v>
      </c>
      <c r="R287">
        <v>235800450.45045045</v>
      </c>
      <c r="S287">
        <v>36393</v>
      </c>
      <c r="T287">
        <v>37275</v>
      </c>
    </row>
    <row r="288" spans="1:20" x14ac:dyDescent="0.35">
      <c r="A288" s="7" t="s">
        <v>383</v>
      </c>
      <c r="B288" s="12" t="s">
        <v>81</v>
      </c>
      <c r="C288">
        <v>469754183.88397902</v>
      </c>
      <c r="D288">
        <v>462035674.63660717</v>
      </c>
      <c r="E288">
        <v>5545270.270270274</v>
      </c>
      <c r="F288">
        <v>5181081.0810810877</v>
      </c>
      <c r="G288">
        <v>148</v>
      </c>
      <c r="H288">
        <v>160</v>
      </c>
      <c r="I288">
        <v>1</v>
      </c>
      <c r="K288">
        <v>204</v>
      </c>
      <c r="L288">
        <v>284</v>
      </c>
      <c r="M288">
        <v>91790990.990990996</v>
      </c>
      <c r="N288">
        <v>113325225.22522523</v>
      </c>
      <c r="O288">
        <v>194695888.73873875</v>
      </c>
      <c r="P288">
        <v>201146260.36036035</v>
      </c>
      <c r="Q288">
        <v>80077607.207207203</v>
      </c>
      <c r="R288">
        <v>102360313.51351351</v>
      </c>
      <c r="S288">
        <v>9892</v>
      </c>
      <c r="T288">
        <v>9722</v>
      </c>
    </row>
    <row r="289" spans="1:20" x14ac:dyDescent="0.35">
      <c r="A289" s="7" t="s">
        <v>384</v>
      </c>
      <c r="B289" s="12" t="s">
        <v>81</v>
      </c>
      <c r="C289">
        <v>591431246.56966901</v>
      </c>
      <c r="D289">
        <v>617931305.46936119</v>
      </c>
      <c r="E289">
        <v>604123.42342342495</v>
      </c>
      <c r="F289">
        <v>1176576.5765765789</v>
      </c>
      <c r="G289">
        <v>81</v>
      </c>
      <c r="H289">
        <v>43</v>
      </c>
      <c r="I289">
        <v>2</v>
      </c>
      <c r="K289">
        <v>89</v>
      </c>
      <c r="L289">
        <v>51</v>
      </c>
      <c r="M289">
        <v>42105905.40540541</v>
      </c>
      <c r="N289">
        <v>33418018.018018015</v>
      </c>
      <c r="O289">
        <v>119697189.18918918</v>
      </c>
      <c r="P289">
        <v>135493349.54954955</v>
      </c>
      <c r="Q289">
        <v>41191621.621621624</v>
      </c>
      <c r="R289">
        <v>39855495.495495498</v>
      </c>
      <c r="S289">
        <v>8842</v>
      </c>
      <c r="T289">
        <v>9760</v>
      </c>
    </row>
    <row r="290" spans="1:20" x14ac:dyDescent="0.35">
      <c r="A290" s="7" t="s">
        <v>385</v>
      </c>
      <c r="B290" s="12" t="s">
        <v>69</v>
      </c>
      <c r="C290">
        <v>261272818.846504</v>
      </c>
      <c r="D290">
        <v>247038043.12447032</v>
      </c>
      <c r="E290">
        <v>1069369.3693693699</v>
      </c>
      <c r="F290">
        <v>1632432.4324324371</v>
      </c>
      <c r="G290">
        <v>56</v>
      </c>
      <c r="H290">
        <v>29</v>
      </c>
      <c r="K290">
        <v>59</v>
      </c>
      <c r="L290">
        <v>38</v>
      </c>
      <c r="M290">
        <v>10636486.486486487</v>
      </c>
      <c r="N290">
        <v>11586486.486486485</v>
      </c>
      <c r="O290">
        <v>37310738.738738738</v>
      </c>
      <c r="P290">
        <v>36559600</v>
      </c>
      <c r="Q290">
        <v>9095405.4054054059</v>
      </c>
      <c r="R290">
        <v>10255225.225225223</v>
      </c>
      <c r="S290">
        <v>5073</v>
      </c>
      <c r="T290">
        <v>5388</v>
      </c>
    </row>
    <row r="291" spans="1:20" x14ac:dyDescent="0.35">
      <c r="A291" s="7" t="s">
        <v>386</v>
      </c>
      <c r="B291" s="12" t="s">
        <v>168</v>
      </c>
      <c r="C291">
        <v>90257379.616216436</v>
      </c>
      <c r="D291">
        <v>102425514.21518026</v>
      </c>
      <c r="E291">
        <v>1700000.0000000021</v>
      </c>
      <c r="F291">
        <v>2427927.9279279271</v>
      </c>
      <c r="G291">
        <v>33</v>
      </c>
      <c r="H291">
        <v>17</v>
      </c>
      <c r="K291">
        <v>40</v>
      </c>
      <c r="L291">
        <v>22</v>
      </c>
      <c r="M291">
        <v>22127993.693693697</v>
      </c>
      <c r="N291">
        <v>17743243.243243244</v>
      </c>
      <c r="O291">
        <v>37885378.378378376</v>
      </c>
      <c r="P291">
        <v>46912394.59459459</v>
      </c>
      <c r="Q291">
        <v>20483693.693693697</v>
      </c>
      <c r="R291">
        <v>20292882.882882878</v>
      </c>
      <c r="S291">
        <v>2289</v>
      </c>
      <c r="T291">
        <v>2390</v>
      </c>
    </row>
    <row r="292" spans="1:20" x14ac:dyDescent="0.35">
      <c r="A292" s="7" t="s">
        <v>387</v>
      </c>
      <c r="B292" s="12" t="s">
        <v>95</v>
      </c>
      <c r="C292">
        <v>517168753.23769319</v>
      </c>
      <c r="D292">
        <v>532950768.26864302</v>
      </c>
      <c r="E292">
        <v>707207.20720720803</v>
      </c>
      <c r="F292">
        <v>1477477.477477479</v>
      </c>
      <c r="G292">
        <v>117</v>
      </c>
      <c r="H292">
        <v>110</v>
      </c>
      <c r="I292">
        <v>1</v>
      </c>
      <c r="K292">
        <v>126</v>
      </c>
      <c r="L292">
        <v>127</v>
      </c>
      <c r="M292">
        <v>19337837.837837841</v>
      </c>
      <c r="N292">
        <v>20720720.72072072</v>
      </c>
      <c r="O292">
        <v>62361666.666666664</v>
      </c>
      <c r="P292">
        <v>79782297.297297299</v>
      </c>
      <c r="Q292">
        <v>15838198.198198199</v>
      </c>
      <c r="R292">
        <v>13442432.432432432</v>
      </c>
      <c r="S292">
        <v>8131</v>
      </c>
      <c r="T292">
        <v>9685</v>
      </c>
    </row>
    <row r="293" spans="1:20" x14ac:dyDescent="0.35">
      <c r="A293" s="7" t="s">
        <v>388</v>
      </c>
      <c r="B293" s="12" t="s">
        <v>215</v>
      </c>
      <c r="C293">
        <v>94329038.542582512</v>
      </c>
      <c r="D293">
        <v>101218762.37409149</v>
      </c>
      <c r="E293">
        <v>1380180.1801801811</v>
      </c>
      <c r="F293">
        <v>1201801.8018018019</v>
      </c>
      <c r="G293">
        <v>40</v>
      </c>
      <c r="H293">
        <v>3</v>
      </c>
      <c r="K293">
        <v>43</v>
      </c>
      <c r="L293">
        <v>6</v>
      </c>
      <c r="M293">
        <v>3181981.981981982</v>
      </c>
      <c r="N293">
        <v>4293693.6936936937</v>
      </c>
      <c r="O293">
        <v>45026117.117117122</v>
      </c>
      <c r="P293">
        <v>47511198.198198199</v>
      </c>
      <c r="Q293">
        <v>2241531.5315315309</v>
      </c>
      <c r="R293">
        <v>3496216.2162162159</v>
      </c>
      <c r="S293">
        <v>2271</v>
      </c>
      <c r="T293">
        <v>2374</v>
      </c>
    </row>
    <row r="294" spans="1:20" x14ac:dyDescent="0.35">
      <c r="A294" s="7" t="s">
        <v>389</v>
      </c>
      <c r="B294" s="12" t="s">
        <v>118</v>
      </c>
      <c r="C294">
        <v>37599859.283410802</v>
      </c>
      <c r="D294">
        <v>36109716.298737906</v>
      </c>
      <c r="E294">
        <v>543243.24324324203</v>
      </c>
      <c r="F294">
        <v>320720.720720721</v>
      </c>
      <c r="G294">
        <v>25</v>
      </c>
      <c r="H294">
        <v>23</v>
      </c>
      <c r="K294">
        <v>34</v>
      </c>
      <c r="L294">
        <v>28</v>
      </c>
      <c r="M294">
        <v>9146962.1621621642</v>
      </c>
      <c r="N294">
        <v>8230572.072072072</v>
      </c>
      <c r="O294">
        <v>17765909.909909911</v>
      </c>
      <c r="P294">
        <v>15676549.549549548</v>
      </c>
      <c r="Q294">
        <v>6982792.7927927924</v>
      </c>
      <c r="R294">
        <v>6416846.8468468469</v>
      </c>
      <c r="S294">
        <v>1566</v>
      </c>
      <c r="T294">
        <v>1736</v>
      </c>
    </row>
    <row r="295" spans="1:20" x14ac:dyDescent="0.35">
      <c r="A295" s="7" t="s">
        <v>390</v>
      </c>
      <c r="B295" s="12" t="s">
        <v>316</v>
      </c>
      <c r="C295">
        <v>164138577.98398358</v>
      </c>
      <c r="D295">
        <v>162595278.77405465</v>
      </c>
      <c r="E295">
        <v>381081.08108108101</v>
      </c>
      <c r="F295">
        <v>31531.531531533001</v>
      </c>
      <c r="G295">
        <v>17</v>
      </c>
      <c r="H295">
        <v>11</v>
      </c>
      <c r="I295">
        <v>1</v>
      </c>
      <c r="K295">
        <v>17</v>
      </c>
      <c r="L295">
        <v>12</v>
      </c>
      <c r="M295">
        <v>7408108.1081081079</v>
      </c>
      <c r="N295">
        <v>7761261.261261262</v>
      </c>
      <c r="O295">
        <v>34039783.783783786</v>
      </c>
      <c r="P295">
        <v>33936342.342342347</v>
      </c>
      <c r="Q295">
        <v>7083873.8738738736</v>
      </c>
      <c r="R295">
        <v>7893963.9639639631</v>
      </c>
      <c r="S295">
        <v>2570</v>
      </c>
      <c r="T295">
        <v>2852</v>
      </c>
    </row>
    <row r="296" spans="1:20" x14ac:dyDescent="0.35">
      <c r="A296" s="7" t="s">
        <v>391</v>
      </c>
      <c r="B296" s="12" t="s">
        <v>225</v>
      </c>
      <c r="C296">
        <v>70988130.94252722</v>
      </c>
      <c r="D296">
        <v>68923388.37534152</v>
      </c>
      <c r="G296">
        <v>7</v>
      </c>
      <c r="H296">
        <v>5</v>
      </c>
      <c r="K296">
        <v>7</v>
      </c>
      <c r="L296">
        <v>5</v>
      </c>
      <c r="O296">
        <v>13279414.414414413</v>
      </c>
      <c r="P296">
        <v>13654846.846846849</v>
      </c>
      <c r="S296">
        <v>1437</v>
      </c>
      <c r="T296">
        <v>1458</v>
      </c>
    </row>
    <row r="297" spans="1:20" x14ac:dyDescent="0.35">
      <c r="A297" s="7" t="s">
        <v>6</v>
      </c>
      <c r="B297" s="12" t="s">
        <v>194</v>
      </c>
      <c r="C297">
        <v>594009650.30883157</v>
      </c>
      <c r="D297">
        <v>573628501.57156622</v>
      </c>
      <c r="E297">
        <v>6331105.4054054143</v>
      </c>
      <c r="F297">
        <v>21618842.342342343</v>
      </c>
      <c r="G297">
        <v>331</v>
      </c>
      <c r="H297">
        <v>288</v>
      </c>
      <c r="K297">
        <v>781</v>
      </c>
      <c r="L297">
        <v>1028</v>
      </c>
      <c r="M297">
        <v>226275796.3963964</v>
      </c>
      <c r="N297">
        <v>410980283.78378379</v>
      </c>
      <c r="O297">
        <v>402609981.98198193</v>
      </c>
      <c r="P297">
        <v>380559972.97297299</v>
      </c>
      <c r="Q297">
        <v>191808018.01801801</v>
      </c>
      <c r="R297">
        <v>375849549.54954958</v>
      </c>
      <c r="S297">
        <v>13025</v>
      </c>
      <c r="T297">
        <v>14135</v>
      </c>
    </row>
    <row r="298" spans="1:20" x14ac:dyDescent="0.35">
      <c r="A298" s="7" t="s">
        <v>392</v>
      </c>
      <c r="B298" s="12" t="s">
        <v>122</v>
      </c>
      <c r="C298">
        <v>26650751.657507673</v>
      </c>
      <c r="D298">
        <v>25502188.517778952</v>
      </c>
      <c r="G298">
        <v>9</v>
      </c>
      <c r="H298">
        <v>16</v>
      </c>
      <c r="K298">
        <v>10</v>
      </c>
      <c r="L298">
        <v>20</v>
      </c>
      <c r="O298">
        <v>1392792.7927927929</v>
      </c>
      <c r="P298">
        <v>1827036.036036036</v>
      </c>
      <c r="S298">
        <v>515</v>
      </c>
      <c r="T298">
        <v>547</v>
      </c>
    </row>
    <row r="299" spans="1:20" x14ac:dyDescent="0.35">
      <c r="A299" s="7" t="s">
        <v>393</v>
      </c>
      <c r="B299" s="12" t="s">
        <v>135</v>
      </c>
      <c r="C299">
        <v>78564182.535682991</v>
      </c>
      <c r="D299">
        <v>85636031.717263773</v>
      </c>
      <c r="E299">
        <v>67567.567567567996</v>
      </c>
      <c r="F299">
        <v>542342.34234234295</v>
      </c>
      <c r="G299">
        <v>23</v>
      </c>
      <c r="H299">
        <v>14</v>
      </c>
      <c r="K299">
        <v>28</v>
      </c>
      <c r="L299">
        <v>16</v>
      </c>
      <c r="M299">
        <v>5490990.9909909898</v>
      </c>
      <c r="N299">
        <v>8166216.2162162159</v>
      </c>
      <c r="O299">
        <v>15466926.126126125</v>
      </c>
      <c r="P299">
        <v>23977729.729729727</v>
      </c>
      <c r="Q299">
        <v>1680990.9909909919</v>
      </c>
      <c r="R299">
        <v>3226216.2162162168</v>
      </c>
      <c r="S299">
        <v>3469</v>
      </c>
      <c r="T299">
        <v>3594</v>
      </c>
    </row>
    <row r="300" spans="1:20" x14ac:dyDescent="0.35">
      <c r="A300" s="7" t="s">
        <v>394</v>
      </c>
      <c r="B300" s="12" t="s">
        <v>59</v>
      </c>
      <c r="C300">
        <v>387060712.11880755</v>
      </c>
      <c r="D300">
        <v>409597738.3859176</v>
      </c>
      <c r="E300">
        <v>11783558.558558563</v>
      </c>
      <c r="F300">
        <v>5442342.3423423497</v>
      </c>
      <c r="G300">
        <v>129</v>
      </c>
      <c r="H300">
        <v>119</v>
      </c>
      <c r="K300">
        <v>161</v>
      </c>
      <c r="L300">
        <v>136</v>
      </c>
      <c r="M300">
        <v>39994594.59459459</v>
      </c>
      <c r="N300">
        <v>49847747.747747749</v>
      </c>
      <c r="O300">
        <v>62213738.738738738</v>
      </c>
      <c r="P300">
        <v>74351027.027027026</v>
      </c>
      <c r="Q300">
        <v>37197207.20720721</v>
      </c>
      <c r="R300">
        <v>45962342.342342347</v>
      </c>
      <c r="S300">
        <v>9027</v>
      </c>
      <c r="T300">
        <v>9197</v>
      </c>
    </row>
    <row r="301" spans="1:20" x14ac:dyDescent="0.35">
      <c r="A301" s="7" t="s">
        <v>395</v>
      </c>
      <c r="B301" s="12" t="s">
        <v>135</v>
      </c>
      <c r="C301">
        <v>133944823.67437226</v>
      </c>
      <c r="D301">
        <v>143603604.22493303</v>
      </c>
      <c r="E301">
        <v>658558.55855855905</v>
      </c>
      <c r="F301">
        <v>885585.58558558603</v>
      </c>
      <c r="G301">
        <v>25</v>
      </c>
      <c r="H301">
        <v>16</v>
      </c>
      <c r="K301">
        <v>29</v>
      </c>
      <c r="L301">
        <v>19</v>
      </c>
      <c r="M301">
        <v>18554954.954954952</v>
      </c>
      <c r="N301">
        <v>23003603.603603605</v>
      </c>
      <c r="O301">
        <v>24792333.333333336</v>
      </c>
      <c r="P301">
        <v>31670063.063063063</v>
      </c>
      <c r="Q301">
        <v>11887837.837837838</v>
      </c>
      <c r="R301">
        <v>14511711.711711712</v>
      </c>
      <c r="S301">
        <v>3858</v>
      </c>
      <c r="T301">
        <v>3967</v>
      </c>
    </row>
    <row r="302" spans="1:20" x14ac:dyDescent="0.35">
      <c r="A302" s="7" t="s">
        <v>396</v>
      </c>
      <c r="B302" s="12" t="s">
        <v>55</v>
      </c>
      <c r="C302">
        <v>55942075.119426876</v>
      </c>
      <c r="D302">
        <v>55136705.227325469</v>
      </c>
      <c r="E302">
        <v>55855.855855856003</v>
      </c>
      <c r="F302">
        <v>531531.53153153101</v>
      </c>
      <c r="G302">
        <v>17</v>
      </c>
      <c r="H302">
        <v>13</v>
      </c>
      <c r="K302">
        <v>19</v>
      </c>
      <c r="L302">
        <v>14</v>
      </c>
      <c r="M302">
        <v>2776576.576576577</v>
      </c>
      <c r="N302">
        <v>3099099.0990990992</v>
      </c>
      <c r="O302">
        <v>9403180.1801801808</v>
      </c>
      <c r="P302">
        <v>9112774.7747747768</v>
      </c>
      <c r="Q302">
        <v>3087117.1171171172</v>
      </c>
      <c r="R302">
        <v>2975855.8558558561</v>
      </c>
      <c r="S302">
        <v>1618</v>
      </c>
      <c r="T302">
        <v>1535</v>
      </c>
    </row>
    <row r="303" spans="1:20" x14ac:dyDescent="0.35">
      <c r="A303" s="7" t="s">
        <v>397</v>
      </c>
      <c r="B303" s="12" t="s">
        <v>398</v>
      </c>
      <c r="C303">
        <v>396859458.28883439</v>
      </c>
      <c r="D303">
        <v>394224027.63562649</v>
      </c>
      <c r="E303">
        <v>2936036.036036036</v>
      </c>
      <c r="F303">
        <v>4721171.1711711716</v>
      </c>
      <c r="G303">
        <v>169</v>
      </c>
      <c r="H303">
        <v>158</v>
      </c>
      <c r="I303">
        <v>1</v>
      </c>
      <c r="K303">
        <v>337</v>
      </c>
      <c r="L303">
        <v>186</v>
      </c>
      <c r="M303">
        <v>43893693.693693697</v>
      </c>
      <c r="N303">
        <v>47156531.531531535</v>
      </c>
      <c r="O303">
        <v>78520654.054054052</v>
      </c>
      <c r="P303">
        <v>84665945.945945948</v>
      </c>
      <c r="Q303">
        <v>41653873.873873875</v>
      </c>
      <c r="R303">
        <v>42737612.612612613</v>
      </c>
      <c r="S303">
        <v>9414</v>
      </c>
      <c r="T303">
        <v>9308</v>
      </c>
    </row>
    <row r="304" spans="1:20" x14ac:dyDescent="0.35">
      <c r="A304" s="7" t="s">
        <v>399</v>
      </c>
      <c r="B304" s="12" t="s">
        <v>400</v>
      </c>
      <c r="C304">
        <v>429720144.83186519</v>
      </c>
      <c r="D304">
        <v>435537343.38890082</v>
      </c>
      <c r="E304">
        <v>158186554.05405405</v>
      </c>
      <c r="F304">
        <v>130970151.35135137</v>
      </c>
      <c r="G304">
        <v>91</v>
      </c>
      <c r="H304">
        <v>85</v>
      </c>
      <c r="K304">
        <v>103</v>
      </c>
      <c r="L304">
        <v>100</v>
      </c>
      <c r="M304">
        <v>59038963.963963971</v>
      </c>
      <c r="N304">
        <v>101733754.95495497</v>
      </c>
      <c r="O304">
        <v>78577603.603603601</v>
      </c>
      <c r="P304">
        <v>88741702.702702701</v>
      </c>
      <c r="Q304">
        <v>44559279.279279277</v>
      </c>
      <c r="R304">
        <v>46531261.261261262</v>
      </c>
      <c r="S304">
        <v>11662</v>
      </c>
      <c r="T304">
        <v>11994</v>
      </c>
    </row>
    <row r="305" spans="1:20" x14ac:dyDescent="0.35">
      <c r="A305" s="7" t="s">
        <v>401</v>
      </c>
      <c r="B305" s="12" t="s">
        <v>141</v>
      </c>
      <c r="C305">
        <v>139414934.10373071</v>
      </c>
      <c r="D305">
        <v>143029604.66555721</v>
      </c>
      <c r="E305">
        <v>1888288.2882882899</v>
      </c>
      <c r="F305">
        <v>1738738.738738738</v>
      </c>
      <c r="G305">
        <v>43</v>
      </c>
      <c r="H305">
        <v>25</v>
      </c>
      <c r="K305">
        <v>44</v>
      </c>
      <c r="L305">
        <v>30</v>
      </c>
      <c r="M305">
        <v>29756936.936936937</v>
      </c>
      <c r="N305">
        <v>33626126.126126125</v>
      </c>
      <c r="O305">
        <v>44504882.882882878</v>
      </c>
      <c r="P305">
        <v>46859540.540540546</v>
      </c>
      <c r="Q305">
        <v>27105585.585585583</v>
      </c>
      <c r="R305">
        <v>30154864.864864863</v>
      </c>
      <c r="S305">
        <v>3377</v>
      </c>
      <c r="T305">
        <v>3211</v>
      </c>
    </row>
    <row r="306" spans="1:20" x14ac:dyDescent="0.35">
      <c r="A306" s="7" t="s">
        <v>402</v>
      </c>
      <c r="B306" s="12" t="s">
        <v>122</v>
      </c>
      <c r="C306">
        <v>37598880.915700279</v>
      </c>
      <c r="D306">
        <v>34197039.906417914</v>
      </c>
      <c r="E306">
        <v>400900.900900901</v>
      </c>
      <c r="F306">
        <v>112612.612612613</v>
      </c>
      <c r="G306">
        <v>15</v>
      </c>
      <c r="H306">
        <v>27</v>
      </c>
      <c r="K306">
        <v>21</v>
      </c>
      <c r="L306">
        <v>35</v>
      </c>
      <c r="M306">
        <v>2202702.702702703</v>
      </c>
      <c r="N306">
        <v>1914414.4144144149</v>
      </c>
      <c r="O306">
        <v>3753975.2252252251</v>
      </c>
      <c r="P306">
        <v>5207567.5675675683</v>
      </c>
      <c r="Q306">
        <v>985495.49549549504</v>
      </c>
      <c r="R306">
        <v>1503873.8738738729</v>
      </c>
      <c r="S306">
        <v>1060</v>
      </c>
      <c r="T306">
        <v>1068</v>
      </c>
    </row>
    <row r="307" spans="1:20" x14ac:dyDescent="0.35">
      <c r="A307" s="7" t="s">
        <v>403</v>
      </c>
      <c r="B307" s="12" t="s">
        <v>291</v>
      </c>
      <c r="C307">
        <v>59371982.584112257</v>
      </c>
      <c r="D307">
        <v>60575801.664916188</v>
      </c>
      <c r="E307">
        <v>398648.64864864998</v>
      </c>
      <c r="F307">
        <v>76576.576576577994</v>
      </c>
      <c r="G307">
        <v>10</v>
      </c>
      <c r="H307">
        <v>9</v>
      </c>
      <c r="K307">
        <v>14</v>
      </c>
      <c r="L307">
        <v>13</v>
      </c>
      <c r="M307">
        <v>2124324.3243243238</v>
      </c>
      <c r="N307">
        <v>3702702.702702703</v>
      </c>
      <c r="O307">
        <v>7910216.2162162159</v>
      </c>
      <c r="P307">
        <v>8962450.4504504502</v>
      </c>
      <c r="Q307">
        <v>2933333.3333333321</v>
      </c>
      <c r="R307">
        <v>2059099.0990991001</v>
      </c>
      <c r="S307">
        <v>1691</v>
      </c>
      <c r="T307">
        <v>1635</v>
      </c>
    </row>
    <row r="308" spans="1:20" x14ac:dyDescent="0.35">
      <c r="A308" s="7" t="s">
        <v>404</v>
      </c>
      <c r="B308" s="12" t="s">
        <v>122</v>
      </c>
      <c r="C308">
        <v>67830791.317130059</v>
      </c>
      <c r="D308">
        <v>60561135.839446023</v>
      </c>
      <c r="E308">
        <v>55630.630630631</v>
      </c>
      <c r="G308">
        <v>12</v>
      </c>
      <c r="H308">
        <v>9</v>
      </c>
      <c r="K308">
        <v>13</v>
      </c>
      <c r="L308">
        <v>9</v>
      </c>
      <c r="M308">
        <v>58558.558558559002</v>
      </c>
      <c r="O308">
        <v>5309315.3153153146</v>
      </c>
      <c r="P308">
        <v>6950495.4954954954</v>
      </c>
      <c r="R308">
        <v>13513.513513514001</v>
      </c>
      <c r="S308">
        <v>999</v>
      </c>
      <c r="T308">
        <v>1085</v>
      </c>
    </row>
    <row r="309" spans="1:20" x14ac:dyDescent="0.35">
      <c r="A309" s="7" t="s">
        <v>405</v>
      </c>
      <c r="B309" s="12" t="s">
        <v>369</v>
      </c>
      <c r="C309">
        <v>147909405.90804258</v>
      </c>
      <c r="D309">
        <v>156226828.73671055</v>
      </c>
      <c r="E309">
        <v>2276126.1261261259</v>
      </c>
      <c r="F309">
        <v>1733783.7837837881</v>
      </c>
      <c r="G309">
        <v>106</v>
      </c>
      <c r="H309">
        <v>9</v>
      </c>
      <c r="K309">
        <v>157</v>
      </c>
      <c r="L309">
        <v>11</v>
      </c>
      <c r="M309">
        <v>29578828.82882883</v>
      </c>
      <c r="N309">
        <v>39597477.477477483</v>
      </c>
      <c r="O309">
        <v>54196936.936936937</v>
      </c>
      <c r="P309">
        <v>52818825.225225225</v>
      </c>
      <c r="Q309">
        <v>26759819.819819819</v>
      </c>
      <c r="R309">
        <v>36074414.414414413</v>
      </c>
      <c r="S309">
        <v>4750</v>
      </c>
      <c r="T309">
        <v>3691</v>
      </c>
    </row>
    <row r="310" spans="1:20" x14ac:dyDescent="0.35">
      <c r="A310" s="7" t="s">
        <v>406</v>
      </c>
      <c r="B310" s="12" t="s">
        <v>141</v>
      </c>
      <c r="C310">
        <v>72076181.849942461</v>
      </c>
      <c r="D310">
        <v>74302807.174368292</v>
      </c>
      <c r="E310">
        <v>233108.108108107</v>
      </c>
      <c r="F310">
        <v>65765.765765767006</v>
      </c>
      <c r="G310">
        <v>17</v>
      </c>
      <c r="H310">
        <v>5</v>
      </c>
      <c r="K310">
        <v>19</v>
      </c>
      <c r="L310">
        <v>6</v>
      </c>
      <c r="M310">
        <v>8973333.333333334</v>
      </c>
      <c r="N310">
        <v>17466846.846846849</v>
      </c>
      <c r="O310">
        <v>20113772.97297297</v>
      </c>
      <c r="P310">
        <v>22948054.054054055</v>
      </c>
      <c r="Q310">
        <v>10188648.648648648</v>
      </c>
      <c r="R310">
        <v>13794954.954954956</v>
      </c>
      <c r="S310">
        <v>1443</v>
      </c>
      <c r="T310">
        <v>1469</v>
      </c>
    </row>
    <row r="311" spans="1:20" x14ac:dyDescent="0.35">
      <c r="A311" s="7" t="s">
        <v>407</v>
      </c>
      <c r="B311" s="12" t="s">
        <v>55</v>
      </c>
      <c r="C311">
        <v>99881967.360135764</v>
      </c>
      <c r="D311">
        <v>102441331.96160005</v>
      </c>
      <c r="E311">
        <v>2018918.9189189209</v>
      </c>
      <c r="F311">
        <v>4466216.2162162177</v>
      </c>
      <c r="G311">
        <v>110</v>
      </c>
      <c r="H311">
        <v>68</v>
      </c>
      <c r="I311">
        <v>1</v>
      </c>
      <c r="K311">
        <v>191</v>
      </c>
      <c r="L311">
        <v>111</v>
      </c>
      <c r="M311">
        <v>9618378.3783783801</v>
      </c>
      <c r="N311">
        <v>12898648.648648651</v>
      </c>
      <c r="O311">
        <v>22981747.747747749</v>
      </c>
      <c r="P311">
        <v>24489027.02702703</v>
      </c>
      <c r="Q311">
        <v>10415765.765765764</v>
      </c>
      <c r="R311">
        <v>10999549.549549548</v>
      </c>
      <c r="S311">
        <v>2140</v>
      </c>
      <c r="T311">
        <v>2195</v>
      </c>
    </row>
    <row r="312" spans="1:20" x14ac:dyDescent="0.35">
      <c r="A312" s="7" t="s">
        <v>408</v>
      </c>
      <c r="B312" s="12" t="s">
        <v>135</v>
      </c>
      <c r="C312">
        <v>45422667.498469561</v>
      </c>
      <c r="D312">
        <v>50584779.286863267</v>
      </c>
      <c r="E312">
        <v>27027.027027027001</v>
      </c>
      <c r="F312">
        <v>239639.639639639</v>
      </c>
      <c r="G312">
        <v>6</v>
      </c>
      <c r="K312">
        <v>6</v>
      </c>
      <c r="L312">
        <v>1</v>
      </c>
      <c r="M312">
        <v>1594594.5945945941</v>
      </c>
      <c r="N312">
        <v>3572972.9729729728</v>
      </c>
      <c r="O312">
        <v>4094792.7927927929</v>
      </c>
      <c r="P312">
        <v>6074810.8108108109</v>
      </c>
      <c r="Q312">
        <v>1141531.5315315309</v>
      </c>
      <c r="R312">
        <v>3358558.558558559</v>
      </c>
      <c r="S312">
        <v>901</v>
      </c>
      <c r="T312">
        <v>960</v>
      </c>
    </row>
    <row r="313" spans="1:20" x14ac:dyDescent="0.35">
      <c r="A313" s="7" t="s">
        <v>409</v>
      </c>
      <c r="B313" s="12" t="s">
        <v>291</v>
      </c>
      <c r="C313">
        <v>24810867.89248883</v>
      </c>
      <c r="D313">
        <v>25700041.051063459</v>
      </c>
      <c r="E313">
        <v>361261.261261262</v>
      </c>
      <c r="F313">
        <v>220720.72072072199</v>
      </c>
      <c r="G313">
        <v>8</v>
      </c>
      <c r="H313">
        <v>10</v>
      </c>
      <c r="K313">
        <v>9</v>
      </c>
      <c r="L313">
        <v>10</v>
      </c>
      <c r="M313">
        <v>5111711.7117117122</v>
      </c>
      <c r="N313">
        <v>4117117.1171171181</v>
      </c>
      <c r="O313">
        <v>4810630.630630631</v>
      </c>
      <c r="P313">
        <v>5739297.297297297</v>
      </c>
      <c r="Q313">
        <v>2924864.8648648639</v>
      </c>
      <c r="R313">
        <v>1867747.7477477491</v>
      </c>
      <c r="S313">
        <v>867</v>
      </c>
      <c r="T313">
        <v>834</v>
      </c>
    </row>
    <row r="314" spans="1:20" x14ac:dyDescent="0.35">
      <c r="A314" s="7" t="s">
        <v>410</v>
      </c>
      <c r="B314" s="12" t="s">
        <v>179</v>
      </c>
      <c r="C314">
        <v>451560356.9552893</v>
      </c>
      <c r="D314">
        <v>439592034.73597509</v>
      </c>
      <c r="E314">
        <v>1903603.603603607</v>
      </c>
      <c r="F314">
        <v>4589189.189189191</v>
      </c>
      <c r="G314">
        <v>135</v>
      </c>
      <c r="H314">
        <v>67</v>
      </c>
      <c r="K314">
        <v>256</v>
      </c>
      <c r="L314">
        <v>81</v>
      </c>
      <c r="M314">
        <v>49579360.360360362</v>
      </c>
      <c r="N314">
        <v>54004954.954954952</v>
      </c>
      <c r="O314">
        <v>155796635.13513514</v>
      </c>
      <c r="P314">
        <v>163831457.65765765</v>
      </c>
      <c r="Q314">
        <v>45740720.720720723</v>
      </c>
      <c r="R314">
        <v>52204774.774774775</v>
      </c>
      <c r="S314">
        <v>10078</v>
      </c>
      <c r="T314">
        <v>11076</v>
      </c>
    </row>
    <row r="315" spans="1:20" x14ac:dyDescent="0.35">
      <c r="A315" s="7" t="s">
        <v>411</v>
      </c>
      <c r="B315" s="12" t="s">
        <v>55</v>
      </c>
      <c r="C315">
        <v>821084765.64373279</v>
      </c>
      <c r="D315">
        <v>806842579.7451663</v>
      </c>
      <c r="E315">
        <v>115411301.8018018</v>
      </c>
      <c r="F315">
        <v>223674046.84684685</v>
      </c>
      <c r="G315">
        <v>295</v>
      </c>
      <c r="H315">
        <v>245</v>
      </c>
      <c r="K315">
        <v>365</v>
      </c>
      <c r="L315">
        <v>424</v>
      </c>
      <c r="M315">
        <v>63270720.720720723</v>
      </c>
      <c r="N315">
        <v>76691441.441441447</v>
      </c>
      <c r="O315">
        <v>170282288.2882883</v>
      </c>
      <c r="P315">
        <v>173504547.74774775</v>
      </c>
      <c r="Q315">
        <v>56058018.018018022</v>
      </c>
      <c r="R315">
        <v>67588828.828828827</v>
      </c>
      <c r="S315">
        <v>19023</v>
      </c>
      <c r="T315">
        <v>18832</v>
      </c>
    </row>
    <row r="316" spans="1:20" x14ac:dyDescent="0.35">
      <c r="A316" s="7" t="s">
        <v>412</v>
      </c>
      <c r="B316" s="12" t="s">
        <v>225</v>
      </c>
      <c r="C316">
        <v>421782637.27999693</v>
      </c>
      <c r="D316">
        <v>489503583.76247889</v>
      </c>
      <c r="E316">
        <v>1786486.486486491</v>
      </c>
      <c r="F316">
        <v>3180180.1801801822</v>
      </c>
      <c r="G316">
        <v>155</v>
      </c>
      <c r="H316">
        <v>122</v>
      </c>
      <c r="K316">
        <v>176</v>
      </c>
      <c r="L316">
        <v>141</v>
      </c>
      <c r="M316">
        <v>43167747.747747742</v>
      </c>
      <c r="N316">
        <v>68255135.135135129</v>
      </c>
      <c r="O316">
        <v>121390149.54954955</v>
      </c>
      <c r="P316">
        <v>151492576.57657659</v>
      </c>
      <c r="Q316">
        <v>50027971.171171166</v>
      </c>
      <c r="R316">
        <v>61304054.054054059</v>
      </c>
      <c r="S316">
        <v>13536</v>
      </c>
      <c r="T316">
        <v>13704</v>
      </c>
    </row>
    <row r="317" spans="1:20" x14ac:dyDescent="0.35">
      <c r="A317" s="7" t="s">
        <v>413</v>
      </c>
      <c r="B317" s="12" t="s">
        <v>414</v>
      </c>
      <c r="C317">
        <v>165886408.94461623</v>
      </c>
      <c r="D317">
        <v>162265723.31805453</v>
      </c>
      <c r="E317">
        <v>3585135.1351351389</v>
      </c>
      <c r="F317">
        <v>43700000</v>
      </c>
      <c r="G317">
        <v>14</v>
      </c>
      <c r="H317">
        <v>5</v>
      </c>
      <c r="K317">
        <v>15</v>
      </c>
      <c r="L317">
        <v>22</v>
      </c>
      <c r="M317">
        <v>5819819.8198198238</v>
      </c>
      <c r="N317">
        <v>9273648.6486486476</v>
      </c>
      <c r="O317">
        <v>67496333.333333343</v>
      </c>
      <c r="P317">
        <v>72426657.657657668</v>
      </c>
      <c r="Q317">
        <v>3351981.9819819811</v>
      </c>
      <c r="R317">
        <v>3938918.9189189188</v>
      </c>
      <c r="S317">
        <v>4140</v>
      </c>
      <c r="T317">
        <v>3962</v>
      </c>
    </row>
    <row r="318" spans="1:20" x14ac:dyDescent="0.35">
      <c r="A318" s="7" t="s">
        <v>415</v>
      </c>
      <c r="B318" s="12" t="s">
        <v>215</v>
      </c>
      <c r="C318">
        <v>1070175604.1107875</v>
      </c>
      <c r="D318">
        <v>997270372.27075577</v>
      </c>
      <c r="E318">
        <v>614681426.12612605</v>
      </c>
      <c r="F318">
        <v>476789956.75675678</v>
      </c>
      <c r="G318">
        <v>1133</v>
      </c>
      <c r="H318">
        <v>516</v>
      </c>
      <c r="I318">
        <v>3</v>
      </c>
      <c r="K318">
        <v>1233</v>
      </c>
      <c r="L318">
        <v>727</v>
      </c>
      <c r="M318">
        <v>155231666.66666666</v>
      </c>
      <c r="N318">
        <v>134192072.07207206</v>
      </c>
      <c r="O318">
        <v>481400417.11711711</v>
      </c>
      <c r="P318">
        <v>452497891.8918919</v>
      </c>
      <c r="Q318">
        <v>138385495.4954955</v>
      </c>
      <c r="R318">
        <v>133267387.38738738</v>
      </c>
      <c r="S318">
        <v>23824</v>
      </c>
      <c r="T318">
        <v>23782</v>
      </c>
    </row>
    <row r="319" spans="1:20" x14ac:dyDescent="0.35">
      <c r="A319" s="7" t="s">
        <v>416</v>
      </c>
      <c r="B319" s="12" t="s">
        <v>414</v>
      </c>
      <c r="C319">
        <v>91869030.169182196</v>
      </c>
      <c r="D319">
        <v>89086036.759091243</v>
      </c>
      <c r="E319">
        <v>705855.85585585795</v>
      </c>
      <c r="F319">
        <v>1583783.7837837839</v>
      </c>
      <c r="G319">
        <v>27</v>
      </c>
      <c r="H319">
        <v>12</v>
      </c>
      <c r="K319">
        <v>33</v>
      </c>
      <c r="L319">
        <v>17</v>
      </c>
      <c r="M319">
        <v>15311028.828828828</v>
      </c>
      <c r="N319">
        <v>14378828.828828828</v>
      </c>
      <c r="O319">
        <v>34669218.468468465</v>
      </c>
      <c r="P319">
        <v>35768126.126126125</v>
      </c>
      <c r="Q319">
        <v>12813603.603603603</v>
      </c>
      <c r="R319">
        <v>13320810.81081081</v>
      </c>
      <c r="S319">
        <v>2916</v>
      </c>
      <c r="T319">
        <v>2852</v>
      </c>
    </row>
    <row r="320" spans="1:20" x14ac:dyDescent="0.35">
      <c r="A320" s="7" t="s">
        <v>417</v>
      </c>
      <c r="B320" s="12" t="s">
        <v>237</v>
      </c>
      <c r="C320">
        <v>661346892.97492373</v>
      </c>
      <c r="D320">
        <v>666800740.50391614</v>
      </c>
      <c r="E320">
        <v>139305072.07207209</v>
      </c>
      <c r="F320">
        <v>141265235.13513514</v>
      </c>
      <c r="G320">
        <v>248</v>
      </c>
      <c r="H320">
        <v>173</v>
      </c>
      <c r="I320">
        <v>5</v>
      </c>
      <c r="K320">
        <v>344</v>
      </c>
      <c r="L320">
        <v>267</v>
      </c>
      <c r="M320">
        <v>104911486.48648649</v>
      </c>
      <c r="N320">
        <v>76320180.180180177</v>
      </c>
      <c r="O320">
        <v>154445738.73873875</v>
      </c>
      <c r="P320">
        <v>169337655.85585585</v>
      </c>
      <c r="Q320">
        <v>78351261.261261269</v>
      </c>
      <c r="R320">
        <v>52121171.171171173</v>
      </c>
      <c r="S320">
        <v>10639</v>
      </c>
      <c r="T320">
        <v>10613</v>
      </c>
    </row>
    <row r="321" spans="1:20" x14ac:dyDescent="0.35">
      <c r="A321" s="7" t="s">
        <v>418</v>
      </c>
      <c r="B321" s="12" t="s">
        <v>118</v>
      </c>
      <c r="C321">
        <v>643488385.54716778</v>
      </c>
      <c r="D321">
        <v>651513754.44747162</v>
      </c>
      <c r="E321">
        <v>645051814.41441441</v>
      </c>
      <c r="F321">
        <v>447106663.06306303</v>
      </c>
      <c r="G321">
        <v>479</v>
      </c>
      <c r="H321">
        <v>431</v>
      </c>
      <c r="I321">
        <v>1</v>
      </c>
      <c r="K321">
        <v>798</v>
      </c>
      <c r="L321">
        <v>1205</v>
      </c>
      <c r="M321">
        <v>149712963.96396396</v>
      </c>
      <c r="N321">
        <v>177361309.00900903</v>
      </c>
      <c r="O321">
        <v>292071822.52252251</v>
      </c>
      <c r="P321">
        <v>329885549.54954958</v>
      </c>
      <c r="Q321">
        <v>148026306.3063063</v>
      </c>
      <c r="R321">
        <v>176551846.84684685</v>
      </c>
      <c r="S321">
        <v>17195</v>
      </c>
      <c r="T321">
        <v>18060</v>
      </c>
    </row>
    <row r="322" spans="1:20" x14ac:dyDescent="0.35">
      <c r="A322" s="7" t="s">
        <v>419</v>
      </c>
      <c r="B322" s="12" t="s">
        <v>148</v>
      </c>
      <c r="C322">
        <v>15335517.775783457</v>
      </c>
      <c r="D322">
        <v>17244880.072849076</v>
      </c>
      <c r="E322">
        <v>86385585.585585579</v>
      </c>
      <c r="F322">
        <v>68763963.963963971</v>
      </c>
      <c r="G322">
        <v>3</v>
      </c>
      <c r="H322">
        <v>3</v>
      </c>
      <c r="K322">
        <v>3</v>
      </c>
      <c r="L322">
        <v>3</v>
      </c>
      <c r="M322">
        <v>10258558.558558561</v>
      </c>
      <c r="N322">
        <v>4762612.6126126125</v>
      </c>
      <c r="O322">
        <v>5564765.7657657648</v>
      </c>
      <c r="P322">
        <v>5773954.9549549557</v>
      </c>
      <c r="S322">
        <v>807</v>
      </c>
      <c r="T322">
        <v>463</v>
      </c>
    </row>
    <row r="323" spans="1:20" x14ac:dyDescent="0.35">
      <c r="A323" s="7" t="s">
        <v>420</v>
      </c>
      <c r="B323" s="12" t="s">
        <v>305</v>
      </c>
      <c r="C323">
        <v>139485830.66935456</v>
      </c>
      <c r="D323">
        <v>127978453.85418417</v>
      </c>
      <c r="E323">
        <v>4111936.9369369359</v>
      </c>
      <c r="F323">
        <v>2805405.405405412</v>
      </c>
      <c r="G323">
        <v>98</v>
      </c>
      <c r="H323">
        <v>52</v>
      </c>
      <c r="K323">
        <v>112</v>
      </c>
      <c r="L323">
        <v>66</v>
      </c>
      <c r="M323">
        <v>26169369.369369369</v>
      </c>
      <c r="N323">
        <v>32416216.216216221</v>
      </c>
      <c r="O323">
        <v>30620818.018018018</v>
      </c>
      <c r="P323">
        <v>29310243.24324324</v>
      </c>
      <c r="Q323">
        <v>22796036.036036041</v>
      </c>
      <c r="R323">
        <v>30452882.882882878</v>
      </c>
      <c r="S323">
        <v>2342</v>
      </c>
      <c r="T323">
        <v>2131</v>
      </c>
    </row>
    <row r="324" spans="1:20" x14ac:dyDescent="0.35">
      <c r="A324" s="7" t="s">
        <v>421</v>
      </c>
      <c r="B324" s="12" t="s">
        <v>305</v>
      </c>
      <c r="C324">
        <v>159295556.01721296</v>
      </c>
      <c r="D324">
        <v>156293664.60647252</v>
      </c>
      <c r="E324">
        <v>6373648.6486486467</v>
      </c>
      <c r="F324">
        <v>4571171.1711711884</v>
      </c>
      <c r="G324">
        <v>585</v>
      </c>
      <c r="H324">
        <v>246</v>
      </c>
      <c r="K324">
        <v>807</v>
      </c>
      <c r="L324">
        <v>603</v>
      </c>
      <c r="M324">
        <v>32226126.126126125</v>
      </c>
      <c r="N324">
        <v>36244144.144144148</v>
      </c>
      <c r="O324">
        <v>50825772.972972974</v>
      </c>
      <c r="P324">
        <v>54909897.297297299</v>
      </c>
      <c r="Q324">
        <v>23661081.081081081</v>
      </c>
      <c r="R324">
        <v>32901171.171171162</v>
      </c>
      <c r="S324">
        <v>3171</v>
      </c>
      <c r="T324">
        <v>2961</v>
      </c>
    </row>
    <row r="325" spans="1:20" x14ac:dyDescent="0.35">
      <c r="A325" s="7" t="s">
        <v>422</v>
      </c>
      <c r="B325" s="12" t="s">
        <v>122</v>
      </c>
      <c r="C325">
        <v>6124654.1501876609</v>
      </c>
      <c r="D325">
        <v>7473478.5674671382</v>
      </c>
      <c r="E325">
        <v>42342.342342342999</v>
      </c>
      <c r="G325">
        <v>3</v>
      </c>
      <c r="H325">
        <v>4</v>
      </c>
      <c r="K325">
        <v>3</v>
      </c>
      <c r="L325">
        <v>4</v>
      </c>
      <c r="M325">
        <v>42342.342342342999</v>
      </c>
      <c r="O325">
        <v>599225.22522522497</v>
      </c>
      <c r="P325">
        <v>643243.24324324296</v>
      </c>
      <c r="Q325">
        <v>169369.369369369</v>
      </c>
      <c r="R325">
        <v>82432.432432432004</v>
      </c>
      <c r="S325">
        <v>346</v>
      </c>
      <c r="T325">
        <v>5</v>
      </c>
    </row>
    <row r="326" spans="1:20" x14ac:dyDescent="0.35">
      <c r="A326" s="7" t="s">
        <v>423</v>
      </c>
      <c r="B326" s="12" t="s">
        <v>61</v>
      </c>
      <c r="C326">
        <v>82121832.434568346</v>
      </c>
      <c r="D326">
        <v>79036673.00181824</v>
      </c>
      <c r="E326">
        <v>911711.711711713</v>
      </c>
      <c r="F326">
        <v>1160810.8108108109</v>
      </c>
      <c r="G326">
        <v>43</v>
      </c>
      <c r="H326">
        <v>35</v>
      </c>
      <c r="I326">
        <v>5</v>
      </c>
      <c r="K326">
        <v>46</v>
      </c>
      <c r="L326">
        <v>51</v>
      </c>
      <c r="M326">
        <v>15517117.11711712</v>
      </c>
      <c r="N326">
        <v>18643693.693693694</v>
      </c>
      <c r="O326">
        <v>28540954.954954956</v>
      </c>
      <c r="P326">
        <v>30476675.675675675</v>
      </c>
      <c r="Q326">
        <v>14919639.63963964</v>
      </c>
      <c r="R326">
        <v>18831891.891891893</v>
      </c>
      <c r="S326">
        <v>2070</v>
      </c>
      <c r="T326">
        <v>2057</v>
      </c>
    </row>
    <row r="327" spans="1:20" x14ac:dyDescent="0.35">
      <c r="A327" s="7" t="s">
        <v>424</v>
      </c>
      <c r="B327" s="12" t="s">
        <v>182</v>
      </c>
      <c r="C327">
        <v>813366656.56265104</v>
      </c>
      <c r="D327">
        <v>837921034.53402185</v>
      </c>
      <c r="E327">
        <v>8461261.2612612676</v>
      </c>
      <c r="F327">
        <v>9515765.7657657731</v>
      </c>
      <c r="G327">
        <v>310</v>
      </c>
      <c r="H327">
        <v>312</v>
      </c>
      <c r="I327">
        <v>1</v>
      </c>
      <c r="K327">
        <v>403</v>
      </c>
      <c r="L327">
        <v>390</v>
      </c>
      <c r="M327">
        <v>120756756.75675674</v>
      </c>
      <c r="N327">
        <v>185207882.88288289</v>
      </c>
      <c r="O327">
        <v>236779545.94594595</v>
      </c>
      <c r="P327">
        <v>247545333.33333334</v>
      </c>
      <c r="Q327">
        <v>117368378.37837836</v>
      </c>
      <c r="R327">
        <v>182340450.45045042</v>
      </c>
      <c r="S327">
        <v>21994</v>
      </c>
      <c r="T327">
        <v>21882</v>
      </c>
    </row>
    <row r="328" spans="1:20" x14ac:dyDescent="0.35">
      <c r="A328" s="7" t="s">
        <v>425</v>
      </c>
      <c r="B328" s="12" t="s">
        <v>77</v>
      </c>
      <c r="C328">
        <v>25634501.078327097</v>
      </c>
      <c r="D328">
        <v>24226667.820714992</v>
      </c>
      <c r="E328">
        <v>54054.054054054999</v>
      </c>
      <c r="F328">
        <v>157657.65765765801</v>
      </c>
      <c r="G328">
        <v>4</v>
      </c>
      <c r="H328">
        <v>3</v>
      </c>
      <c r="K328">
        <v>5</v>
      </c>
      <c r="L328">
        <v>4</v>
      </c>
      <c r="M328">
        <v>1972972.972972973</v>
      </c>
      <c r="N328">
        <v>3130630.630630631</v>
      </c>
      <c r="O328">
        <v>2468711.7117117122</v>
      </c>
      <c r="P328">
        <v>3919864.8648648649</v>
      </c>
      <c r="Q328">
        <v>2050090.090090089</v>
      </c>
      <c r="R328">
        <v>2036846.8468468471</v>
      </c>
      <c r="S328">
        <v>911</v>
      </c>
      <c r="T328">
        <v>1471</v>
      </c>
    </row>
    <row r="329" spans="1:20" x14ac:dyDescent="0.35">
      <c r="A329" s="7" t="s">
        <v>426</v>
      </c>
      <c r="B329" s="12" t="s">
        <v>77</v>
      </c>
      <c r="C329">
        <v>94495894.570300207</v>
      </c>
      <c r="D329">
        <v>95682863.916420519</v>
      </c>
      <c r="E329">
        <v>145045.04504504599</v>
      </c>
      <c r="F329">
        <v>934234.23423423397</v>
      </c>
      <c r="G329">
        <v>21</v>
      </c>
      <c r="H329">
        <v>23</v>
      </c>
      <c r="K329">
        <v>22</v>
      </c>
      <c r="L329">
        <v>25</v>
      </c>
      <c r="M329">
        <v>10428918.918918919</v>
      </c>
      <c r="N329">
        <v>12701531.531531531</v>
      </c>
      <c r="O329">
        <v>20972720.72072072</v>
      </c>
      <c r="P329">
        <v>22104810.810810812</v>
      </c>
      <c r="Q329">
        <v>8915225.2252252232</v>
      </c>
      <c r="R329">
        <v>8699009.0090090074</v>
      </c>
      <c r="S329">
        <v>1452</v>
      </c>
      <c r="T329">
        <v>1460</v>
      </c>
    </row>
    <row r="330" spans="1:20" x14ac:dyDescent="0.35">
      <c r="A330" s="7" t="s">
        <v>427</v>
      </c>
      <c r="B330" s="12" t="s">
        <v>331</v>
      </c>
      <c r="C330">
        <v>497752911.41782373</v>
      </c>
      <c r="D330">
        <v>444795054.44122434</v>
      </c>
      <c r="E330">
        <v>4006981.9819819862</v>
      </c>
      <c r="F330">
        <v>1815765.765765772</v>
      </c>
      <c r="G330">
        <v>185</v>
      </c>
      <c r="H330">
        <v>167</v>
      </c>
      <c r="K330">
        <v>210</v>
      </c>
      <c r="L330">
        <v>197</v>
      </c>
      <c r="M330">
        <v>27093333.333333336</v>
      </c>
      <c r="N330">
        <v>44755855.855855852</v>
      </c>
      <c r="O330">
        <v>117550506.75675675</v>
      </c>
      <c r="P330">
        <v>86359495.495495483</v>
      </c>
      <c r="Q330">
        <v>22705315.315315314</v>
      </c>
      <c r="R330">
        <v>43364414.414414413</v>
      </c>
      <c r="S330">
        <v>11989</v>
      </c>
      <c r="T330">
        <v>12903</v>
      </c>
    </row>
    <row r="331" spans="1:20" x14ac:dyDescent="0.35">
      <c r="A331" s="7" t="s">
        <v>428</v>
      </c>
      <c r="B331" s="12" t="s">
        <v>242</v>
      </c>
      <c r="C331">
        <v>125031562.34448852</v>
      </c>
      <c r="D331">
        <v>117251416.88085094</v>
      </c>
      <c r="E331">
        <v>118213873.87387387</v>
      </c>
      <c r="F331">
        <v>47755945.945945941</v>
      </c>
      <c r="G331">
        <v>45</v>
      </c>
      <c r="H331">
        <v>37</v>
      </c>
      <c r="K331">
        <v>48</v>
      </c>
      <c r="L331">
        <v>42</v>
      </c>
      <c r="M331">
        <v>17273243.24324324</v>
      </c>
      <c r="N331">
        <v>17681531.531531528</v>
      </c>
      <c r="O331">
        <v>47834900.9009009</v>
      </c>
      <c r="P331">
        <v>48116585.585585587</v>
      </c>
      <c r="Q331">
        <v>14683243.243243238</v>
      </c>
      <c r="R331">
        <v>19335135.135135137</v>
      </c>
      <c r="S331">
        <v>5240</v>
      </c>
      <c r="T331">
        <v>5552</v>
      </c>
    </row>
    <row r="332" spans="1:20" x14ac:dyDescent="0.35">
      <c r="A332" s="7" t="s">
        <v>429</v>
      </c>
      <c r="B332" s="12" t="s">
        <v>284</v>
      </c>
      <c r="C332">
        <v>52911595.961052053</v>
      </c>
      <c r="D332">
        <v>64801557.39493116</v>
      </c>
      <c r="E332">
        <v>555855.85585585702</v>
      </c>
      <c r="F332">
        <v>1462162.1621621619</v>
      </c>
      <c r="G332">
        <v>6</v>
      </c>
      <c r="H332">
        <v>64</v>
      </c>
      <c r="K332">
        <v>34</v>
      </c>
      <c r="L332">
        <v>79</v>
      </c>
      <c r="M332">
        <v>25180720.72072072</v>
      </c>
      <c r="N332">
        <v>16363063.063063065</v>
      </c>
      <c r="O332">
        <v>10053810.810810812</v>
      </c>
      <c r="P332">
        <v>16176045.045045044</v>
      </c>
      <c r="Q332">
        <v>26639819.819819823</v>
      </c>
      <c r="R332">
        <v>12888918.918918921</v>
      </c>
      <c r="S332">
        <v>1220</v>
      </c>
      <c r="T332">
        <v>1369</v>
      </c>
    </row>
    <row r="333" spans="1:20" x14ac:dyDescent="0.35">
      <c r="A333" s="7" t="s">
        <v>430</v>
      </c>
      <c r="B333" s="12" t="s">
        <v>284</v>
      </c>
      <c r="C333">
        <v>16834331.488086708</v>
      </c>
      <c r="D333">
        <v>16793991.741531231</v>
      </c>
      <c r="E333">
        <v>207207.20720720699</v>
      </c>
      <c r="F333">
        <v>499099.099099099</v>
      </c>
      <c r="H333">
        <v>1</v>
      </c>
      <c r="L333">
        <v>1</v>
      </c>
      <c r="M333">
        <v>3090090.090090089</v>
      </c>
      <c r="N333">
        <v>5165765.7657657657</v>
      </c>
      <c r="O333">
        <v>1163234.2342342341</v>
      </c>
      <c r="P333">
        <v>1885450.4504504511</v>
      </c>
      <c r="Q333">
        <v>2885855.8558558552</v>
      </c>
      <c r="R333">
        <v>4580990.9909909908</v>
      </c>
      <c r="S333">
        <v>502</v>
      </c>
      <c r="T333">
        <v>464</v>
      </c>
    </row>
    <row r="334" spans="1:20" x14ac:dyDescent="0.35">
      <c r="A334" s="7" t="s">
        <v>431</v>
      </c>
      <c r="B334" s="12" t="s">
        <v>284</v>
      </c>
      <c r="C334">
        <v>35936657.151413769</v>
      </c>
      <c r="D334">
        <v>39846938.044066213</v>
      </c>
      <c r="E334">
        <v>73126126.126126125</v>
      </c>
      <c r="F334">
        <v>57459459.459459454</v>
      </c>
      <c r="G334">
        <v>5</v>
      </c>
      <c r="H334">
        <v>1</v>
      </c>
      <c r="K334">
        <v>5</v>
      </c>
      <c r="L334">
        <v>2</v>
      </c>
      <c r="M334">
        <v>1356756.756756756</v>
      </c>
      <c r="N334">
        <v>572072.072072073</v>
      </c>
      <c r="O334">
        <v>3053063.0630630632</v>
      </c>
      <c r="P334">
        <v>3631216.2162162159</v>
      </c>
      <c r="Q334">
        <v>173423.423423423</v>
      </c>
      <c r="R334">
        <v>205585.585585586</v>
      </c>
      <c r="S334">
        <v>746</v>
      </c>
      <c r="T334">
        <v>801</v>
      </c>
    </row>
    <row r="335" spans="1:20" x14ac:dyDescent="0.35">
      <c r="A335" s="7" t="s">
        <v>432</v>
      </c>
      <c r="B335" s="12" t="s">
        <v>79</v>
      </c>
      <c r="C335">
        <v>209653048.3473424</v>
      </c>
      <c r="D335">
        <v>214209432.60916093</v>
      </c>
      <c r="E335">
        <v>2557657.6576576619</v>
      </c>
      <c r="F335">
        <v>4999099.0990991024</v>
      </c>
      <c r="G335">
        <v>181</v>
      </c>
      <c r="H335">
        <v>124</v>
      </c>
      <c r="K335">
        <v>286</v>
      </c>
      <c r="L335">
        <v>205</v>
      </c>
      <c r="M335">
        <v>21589189.189189192</v>
      </c>
      <c r="N335">
        <v>29125225.225225229</v>
      </c>
      <c r="O335">
        <v>92225990.990990996</v>
      </c>
      <c r="P335">
        <v>93587972.972972974</v>
      </c>
      <c r="Q335">
        <v>21420990.990990993</v>
      </c>
      <c r="R335">
        <v>25740540.540540539</v>
      </c>
      <c r="S335">
        <v>6384</v>
      </c>
      <c r="T335">
        <v>6371</v>
      </c>
    </row>
    <row r="336" spans="1:20" x14ac:dyDescent="0.35">
      <c r="A336" s="7" t="s">
        <v>433</v>
      </c>
      <c r="B336" s="12" t="s">
        <v>106</v>
      </c>
      <c r="C336">
        <v>190572450.75005531</v>
      </c>
      <c r="D336">
        <v>180530411.71819228</v>
      </c>
      <c r="E336">
        <v>510810.81081081199</v>
      </c>
      <c r="F336">
        <v>1082882.8828828831</v>
      </c>
      <c r="G336">
        <v>21</v>
      </c>
      <c r="H336">
        <v>39</v>
      </c>
      <c r="I336">
        <v>1</v>
      </c>
      <c r="K336">
        <v>23</v>
      </c>
      <c r="L336">
        <v>46</v>
      </c>
      <c r="M336">
        <v>24215990.990990993</v>
      </c>
      <c r="N336">
        <v>29718918.918918919</v>
      </c>
      <c r="O336">
        <v>45049387.387387387</v>
      </c>
      <c r="P336">
        <v>50953522.522522517</v>
      </c>
      <c r="Q336">
        <v>24564459.459459461</v>
      </c>
      <c r="R336">
        <v>29793963.963963963</v>
      </c>
      <c r="S336">
        <v>3730</v>
      </c>
      <c r="T336">
        <v>3264</v>
      </c>
    </row>
    <row r="337" spans="1:20" x14ac:dyDescent="0.35">
      <c r="A337" s="7" t="s">
        <v>434</v>
      </c>
      <c r="B337" s="12" t="s">
        <v>73</v>
      </c>
      <c r="C337">
        <v>1023166858.1254104</v>
      </c>
      <c r="D337">
        <v>1019157886.3019636</v>
      </c>
      <c r="E337">
        <v>47549099.099099122</v>
      </c>
      <c r="F337">
        <v>70229099.099099115</v>
      </c>
      <c r="G337">
        <v>293</v>
      </c>
      <c r="H337">
        <v>251</v>
      </c>
      <c r="I337">
        <v>4</v>
      </c>
      <c r="K337">
        <v>409</v>
      </c>
      <c r="L337">
        <v>293</v>
      </c>
      <c r="M337">
        <v>155059909.90990993</v>
      </c>
      <c r="N337">
        <v>170912837.83783782</v>
      </c>
      <c r="O337">
        <v>215588592.34234235</v>
      </c>
      <c r="P337">
        <v>233488342.34234235</v>
      </c>
      <c r="Q337">
        <v>113110270.27027027</v>
      </c>
      <c r="R337">
        <v>119627207.20720722</v>
      </c>
      <c r="S337">
        <v>18321</v>
      </c>
      <c r="T337">
        <v>17971</v>
      </c>
    </row>
    <row r="338" spans="1:20" x14ac:dyDescent="0.35">
      <c r="A338" s="7" t="s">
        <v>435</v>
      </c>
      <c r="B338" s="12" t="s">
        <v>73</v>
      </c>
      <c r="C338">
        <v>702212913.58475316</v>
      </c>
      <c r="D338">
        <v>727473424.93805218</v>
      </c>
      <c r="E338">
        <v>4309234.2342342399</v>
      </c>
      <c r="F338">
        <v>5482882.8828828968</v>
      </c>
      <c r="G338">
        <v>161</v>
      </c>
      <c r="H338">
        <v>107</v>
      </c>
      <c r="I338">
        <v>2</v>
      </c>
      <c r="K338">
        <v>198</v>
      </c>
      <c r="L338">
        <v>124</v>
      </c>
      <c r="M338">
        <v>84468468.468468457</v>
      </c>
      <c r="N338">
        <v>92473873.873873889</v>
      </c>
      <c r="O338">
        <v>132490612.61261261</v>
      </c>
      <c r="P338">
        <v>156622306.3063063</v>
      </c>
      <c r="Q338">
        <v>57637927.927927926</v>
      </c>
      <c r="R338">
        <v>62688648.648648649</v>
      </c>
      <c r="S338">
        <v>13397</v>
      </c>
      <c r="T338">
        <v>13671</v>
      </c>
    </row>
    <row r="339" spans="1:20" x14ac:dyDescent="0.35">
      <c r="A339" s="7" t="s">
        <v>436</v>
      </c>
      <c r="B339" s="12" t="s">
        <v>95</v>
      </c>
      <c r="C339">
        <v>49601574.077323169</v>
      </c>
      <c r="D339">
        <v>53248046.86360877</v>
      </c>
      <c r="E339">
        <v>13513.513513514001</v>
      </c>
      <c r="G339">
        <v>3</v>
      </c>
      <c r="H339">
        <v>6</v>
      </c>
      <c r="K339">
        <v>3</v>
      </c>
      <c r="L339">
        <v>8</v>
      </c>
      <c r="M339">
        <v>554054.05405405397</v>
      </c>
      <c r="N339">
        <v>450450.45045045001</v>
      </c>
      <c r="O339">
        <v>11999747.747747747</v>
      </c>
      <c r="P339">
        <v>15051000</v>
      </c>
      <c r="Q339">
        <v>381801.80180180201</v>
      </c>
      <c r="R339">
        <v>296846.84684684698</v>
      </c>
      <c r="S339">
        <v>880</v>
      </c>
      <c r="T339">
        <v>875</v>
      </c>
    </row>
    <row r="340" spans="1:20" x14ac:dyDescent="0.35">
      <c r="A340" s="7" t="s">
        <v>437</v>
      </c>
      <c r="B340" s="12" t="s">
        <v>90</v>
      </c>
      <c r="C340">
        <v>256682601.03716993</v>
      </c>
      <c r="D340">
        <v>276362936.36187077</v>
      </c>
      <c r="E340">
        <v>3601801.80180181</v>
      </c>
      <c r="F340">
        <v>4441441.4414414484</v>
      </c>
      <c r="G340">
        <v>72</v>
      </c>
      <c r="H340">
        <v>46</v>
      </c>
      <c r="K340">
        <v>82</v>
      </c>
      <c r="L340">
        <v>49</v>
      </c>
      <c r="M340">
        <v>36352072.072072074</v>
      </c>
      <c r="N340">
        <v>39039549.54954955</v>
      </c>
      <c r="O340">
        <v>115449860.36036035</v>
      </c>
      <c r="P340">
        <v>128509819.81981982</v>
      </c>
      <c r="Q340">
        <v>35568288.288288295</v>
      </c>
      <c r="R340">
        <v>41445675.675675675</v>
      </c>
      <c r="S340">
        <v>5353</v>
      </c>
      <c r="T340">
        <v>5393</v>
      </c>
    </row>
    <row r="341" spans="1:20" x14ac:dyDescent="0.35">
      <c r="A341" s="7" t="s">
        <v>438</v>
      </c>
      <c r="B341" s="12" t="s">
        <v>71</v>
      </c>
      <c r="C341">
        <v>7947567.2920757197</v>
      </c>
      <c r="D341">
        <v>7344395.7498923959</v>
      </c>
      <c r="G341">
        <v>5</v>
      </c>
      <c r="H341">
        <v>5</v>
      </c>
      <c r="K341">
        <v>5</v>
      </c>
      <c r="L341">
        <v>5</v>
      </c>
      <c r="O341">
        <v>5197513.5135135129</v>
      </c>
      <c r="P341">
        <v>5060216.2162162159</v>
      </c>
      <c r="S341">
        <v>2193</v>
      </c>
      <c r="T341">
        <v>2654</v>
      </c>
    </row>
    <row r="342" spans="1:20" x14ac:dyDescent="0.35">
      <c r="A342" s="7" t="s">
        <v>439</v>
      </c>
      <c r="B342" s="12" t="s">
        <v>196</v>
      </c>
      <c r="C342">
        <v>1213618674.2299929</v>
      </c>
      <c r="D342">
        <v>1221918316.7969792</v>
      </c>
      <c r="E342">
        <v>181274154.95495495</v>
      </c>
      <c r="F342">
        <v>251189466.66666669</v>
      </c>
      <c r="G342">
        <v>330</v>
      </c>
      <c r="H342">
        <v>183</v>
      </c>
      <c r="K342">
        <v>398</v>
      </c>
      <c r="L342">
        <v>265</v>
      </c>
      <c r="M342">
        <v>125796576.57657658</v>
      </c>
      <c r="N342">
        <v>111595945.94594595</v>
      </c>
      <c r="O342">
        <v>209323873.87387389</v>
      </c>
      <c r="P342">
        <v>217883700.9009009</v>
      </c>
      <c r="Q342">
        <v>99645495.495495498</v>
      </c>
      <c r="R342">
        <v>94037927.927927926</v>
      </c>
      <c r="S342">
        <v>20498</v>
      </c>
      <c r="T342">
        <v>23000</v>
      </c>
    </row>
    <row r="343" spans="1:20" x14ac:dyDescent="0.35">
      <c r="A343" s="7" t="s">
        <v>440</v>
      </c>
      <c r="B343" s="12" t="s">
        <v>179</v>
      </c>
      <c r="C343">
        <v>612075776.47546875</v>
      </c>
      <c r="D343">
        <v>600756107.7985723</v>
      </c>
      <c r="E343">
        <v>9445045.045045048</v>
      </c>
      <c r="F343">
        <v>84960360.360360369</v>
      </c>
      <c r="G343">
        <v>148</v>
      </c>
      <c r="H343">
        <v>73</v>
      </c>
      <c r="I343">
        <v>1</v>
      </c>
      <c r="K343">
        <v>220</v>
      </c>
      <c r="L343">
        <v>93</v>
      </c>
      <c r="M343">
        <v>116046881.98198198</v>
      </c>
      <c r="N343">
        <v>105843018.01801802</v>
      </c>
      <c r="O343">
        <v>245800635.13513514</v>
      </c>
      <c r="P343">
        <v>255786495.4954955</v>
      </c>
      <c r="Q343">
        <v>95753018.018018022</v>
      </c>
      <c r="R343">
        <v>90054414.414414421</v>
      </c>
      <c r="S343">
        <v>14412</v>
      </c>
      <c r="T343">
        <v>14422</v>
      </c>
    </row>
    <row r="344" spans="1:20" x14ac:dyDescent="0.35">
      <c r="A344" s="7" t="s">
        <v>441</v>
      </c>
      <c r="B344" s="12" t="s">
        <v>79</v>
      </c>
      <c r="C344">
        <v>259020302.52045268</v>
      </c>
      <c r="D344">
        <v>254389924.6813691</v>
      </c>
      <c r="E344">
        <v>67271171.171171173</v>
      </c>
      <c r="F344">
        <v>87977477.477477476</v>
      </c>
      <c r="G344">
        <v>56</v>
      </c>
      <c r="H344">
        <v>112</v>
      </c>
      <c r="I344">
        <v>4</v>
      </c>
      <c r="K344">
        <v>110</v>
      </c>
      <c r="L344">
        <v>150</v>
      </c>
      <c r="M344">
        <v>26210810.810810808</v>
      </c>
      <c r="N344">
        <v>36941441.441441439</v>
      </c>
      <c r="O344">
        <v>52584819.819819815</v>
      </c>
      <c r="P344">
        <v>57986945.945945941</v>
      </c>
      <c r="Q344">
        <v>24762342.342342339</v>
      </c>
      <c r="R344">
        <v>29709549.549549554</v>
      </c>
      <c r="S344">
        <v>4685</v>
      </c>
      <c r="T344">
        <v>4987</v>
      </c>
    </row>
    <row r="345" spans="1:20" x14ac:dyDescent="0.35">
      <c r="A345" s="7" t="s">
        <v>442</v>
      </c>
      <c r="B345" s="12" t="s">
        <v>79</v>
      </c>
      <c r="C345">
        <v>108674290.4267427</v>
      </c>
      <c r="D345">
        <v>115886836.37106793</v>
      </c>
      <c r="E345">
        <v>1718918.91891892</v>
      </c>
      <c r="F345">
        <v>1734234.2342342359</v>
      </c>
      <c r="G345">
        <v>29</v>
      </c>
      <c r="H345">
        <v>23</v>
      </c>
      <c r="I345">
        <v>1</v>
      </c>
      <c r="K345">
        <v>40</v>
      </c>
      <c r="L345">
        <v>27</v>
      </c>
      <c r="M345">
        <v>18675495.495495494</v>
      </c>
      <c r="N345">
        <v>22849369.369369369</v>
      </c>
      <c r="O345">
        <v>23637306.306306306</v>
      </c>
      <c r="P345">
        <v>24419198.198198199</v>
      </c>
      <c r="Q345">
        <v>20182342.342342339</v>
      </c>
      <c r="R345">
        <v>20411171.171171173</v>
      </c>
      <c r="S345">
        <v>2350</v>
      </c>
      <c r="T345">
        <v>2351</v>
      </c>
    </row>
    <row r="346" spans="1:20" x14ac:dyDescent="0.35">
      <c r="A346" s="7" t="s">
        <v>443</v>
      </c>
      <c r="B346" s="12" t="s">
        <v>124</v>
      </c>
      <c r="C346">
        <v>1852096.7269186049</v>
      </c>
      <c r="D346">
        <v>1018189.5433726</v>
      </c>
      <c r="E346">
        <v>157950450.45045045</v>
      </c>
      <c r="F346">
        <v>355441441.44144148</v>
      </c>
      <c r="M346">
        <v>2988513.5135135129</v>
      </c>
      <c r="N346">
        <v>318018.01801801799</v>
      </c>
      <c r="O346">
        <v>715450.45045044995</v>
      </c>
      <c r="P346">
        <v>371657.65765765798</v>
      </c>
      <c r="S346">
        <v>156</v>
      </c>
      <c r="T346">
        <v>306</v>
      </c>
    </row>
    <row r="347" spans="1:20" x14ac:dyDescent="0.35">
      <c r="A347" s="7" t="s">
        <v>444</v>
      </c>
      <c r="B347" s="12" t="s">
        <v>141</v>
      </c>
      <c r="C347">
        <v>263735257.92430183</v>
      </c>
      <c r="D347">
        <v>268059449.03294039</v>
      </c>
      <c r="E347">
        <v>1793243.2432432431</v>
      </c>
      <c r="F347">
        <v>4613063.0630630674</v>
      </c>
      <c r="G347">
        <v>44</v>
      </c>
      <c r="H347">
        <v>58</v>
      </c>
      <c r="I347">
        <v>10</v>
      </c>
      <c r="K347">
        <v>52</v>
      </c>
      <c r="L347">
        <v>65</v>
      </c>
      <c r="M347">
        <v>27194954.954954956</v>
      </c>
      <c r="N347">
        <v>38206126.126126118</v>
      </c>
      <c r="O347">
        <v>72217252.252252251</v>
      </c>
      <c r="P347">
        <v>77889387.387387395</v>
      </c>
      <c r="Q347">
        <v>24048468.468468469</v>
      </c>
      <c r="R347">
        <v>32744324.324324325</v>
      </c>
      <c r="S347">
        <v>5795</v>
      </c>
      <c r="T347">
        <v>5560</v>
      </c>
    </row>
    <row r="348" spans="1:20" x14ac:dyDescent="0.35">
      <c r="A348" s="7" t="s">
        <v>445</v>
      </c>
      <c r="B348" s="12" t="s">
        <v>77</v>
      </c>
      <c r="C348">
        <v>29346073.583367553</v>
      </c>
      <c r="D348">
        <v>27535235.186113313</v>
      </c>
      <c r="E348">
        <v>254054.054054054</v>
      </c>
      <c r="F348">
        <v>139639.63963963999</v>
      </c>
      <c r="G348">
        <v>4</v>
      </c>
      <c r="H348">
        <v>2</v>
      </c>
      <c r="K348">
        <v>5</v>
      </c>
      <c r="L348">
        <v>2</v>
      </c>
      <c r="M348">
        <v>5258558.558558559</v>
      </c>
      <c r="N348">
        <v>8557657.6576576568</v>
      </c>
      <c r="O348">
        <v>6535243.2432432426</v>
      </c>
      <c r="P348">
        <v>6659216.2162162159</v>
      </c>
      <c r="Q348">
        <v>4658108.1081081079</v>
      </c>
      <c r="R348">
        <v>6909639.6396396393</v>
      </c>
      <c r="S348">
        <v>587</v>
      </c>
      <c r="T348">
        <v>609</v>
      </c>
    </row>
    <row r="349" spans="1:20" x14ac:dyDescent="0.35">
      <c r="A349" s="7" t="s">
        <v>446</v>
      </c>
      <c r="B349" s="12" t="s">
        <v>90</v>
      </c>
      <c r="C349">
        <v>810132806.22259533</v>
      </c>
      <c r="D349">
        <v>805317618.84098494</v>
      </c>
      <c r="E349">
        <v>411864538.73873878</v>
      </c>
      <c r="F349">
        <v>749348906.30630636</v>
      </c>
      <c r="G349">
        <v>315</v>
      </c>
      <c r="H349">
        <v>270</v>
      </c>
      <c r="I349">
        <v>3</v>
      </c>
      <c r="K349">
        <v>1066</v>
      </c>
      <c r="L349">
        <v>429</v>
      </c>
      <c r="M349">
        <v>269142432.43243247</v>
      </c>
      <c r="N349">
        <v>121181621.62162161</v>
      </c>
      <c r="O349">
        <v>267233205.4054054</v>
      </c>
      <c r="P349">
        <v>267579657.65765765</v>
      </c>
      <c r="Q349">
        <v>158952972.97297296</v>
      </c>
      <c r="R349">
        <v>117235855.85585585</v>
      </c>
      <c r="S349">
        <v>16260</v>
      </c>
      <c r="T349">
        <v>16150</v>
      </c>
    </row>
    <row r="350" spans="1:20" x14ac:dyDescent="0.35">
      <c r="A350" s="7" t="s">
        <v>447</v>
      </c>
      <c r="B350" s="12" t="s">
        <v>49</v>
      </c>
      <c r="C350">
        <v>79955680.223737791</v>
      </c>
      <c r="D350">
        <v>80751636.625448585</v>
      </c>
      <c r="E350">
        <v>233821332.43243244</v>
      </c>
      <c r="F350">
        <v>111729590.990991</v>
      </c>
      <c r="G350">
        <v>9</v>
      </c>
      <c r="H350">
        <v>3</v>
      </c>
      <c r="K350">
        <v>10</v>
      </c>
      <c r="L350">
        <v>4</v>
      </c>
      <c r="M350">
        <v>40775366.666666664</v>
      </c>
      <c r="N350">
        <v>37762352.252252258</v>
      </c>
      <c r="O350">
        <v>27443900.9009009</v>
      </c>
      <c r="P350">
        <v>29689810.810810812</v>
      </c>
      <c r="Q350">
        <v>20102162.162162162</v>
      </c>
      <c r="R350">
        <v>14342252.252252253</v>
      </c>
      <c r="S350">
        <v>1078</v>
      </c>
      <c r="T350">
        <v>1099</v>
      </c>
    </row>
    <row r="351" spans="1:20" x14ac:dyDescent="0.35">
      <c r="A351" s="7" t="s">
        <v>448</v>
      </c>
      <c r="B351" s="12" t="s">
        <v>449</v>
      </c>
      <c r="C351">
        <v>160730364.1934312</v>
      </c>
      <c r="D351">
        <v>173393879.56213695</v>
      </c>
      <c r="E351">
        <v>3513513.5135135138</v>
      </c>
      <c r="F351">
        <v>5221621.6216216218</v>
      </c>
      <c r="G351">
        <v>149</v>
      </c>
      <c r="H351">
        <v>76</v>
      </c>
      <c r="K351">
        <v>187</v>
      </c>
      <c r="L351">
        <v>97</v>
      </c>
      <c r="M351">
        <v>11591711.711711712</v>
      </c>
      <c r="N351">
        <v>71996846.846846849</v>
      </c>
      <c r="O351">
        <v>65134693.693693697</v>
      </c>
      <c r="P351">
        <v>70151216.216216221</v>
      </c>
      <c r="Q351">
        <v>13024864.864864867</v>
      </c>
      <c r="R351">
        <v>70951351.351351351</v>
      </c>
      <c r="S351">
        <v>5574</v>
      </c>
      <c r="T351">
        <v>5754</v>
      </c>
    </row>
    <row r="352" spans="1:20" x14ac:dyDescent="0.35">
      <c r="A352" s="7" t="s">
        <v>450</v>
      </c>
      <c r="B352" s="12" t="s">
        <v>77</v>
      </c>
      <c r="C352">
        <v>38313105.022416338</v>
      </c>
      <c r="D352">
        <v>42441334.77427005</v>
      </c>
      <c r="E352">
        <v>541441.44144144305</v>
      </c>
      <c r="F352">
        <v>400900.90090090199</v>
      </c>
      <c r="G352">
        <v>22</v>
      </c>
      <c r="H352">
        <v>20</v>
      </c>
      <c r="I352">
        <v>1</v>
      </c>
      <c r="K352">
        <v>25</v>
      </c>
      <c r="L352">
        <v>27</v>
      </c>
      <c r="M352">
        <v>10512882.882882884</v>
      </c>
      <c r="N352">
        <v>13981081.081081079</v>
      </c>
      <c r="O352">
        <v>13825403.603603603</v>
      </c>
      <c r="P352">
        <v>14627063.063063065</v>
      </c>
      <c r="Q352">
        <v>8572702.7027027011</v>
      </c>
      <c r="R352">
        <v>9830090.0900900923</v>
      </c>
      <c r="S352">
        <v>1874</v>
      </c>
      <c r="T352">
        <v>1876</v>
      </c>
    </row>
    <row r="353" spans="1:20" x14ac:dyDescent="0.35">
      <c r="A353" s="7" t="s">
        <v>451</v>
      </c>
      <c r="B353" s="12" t="s">
        <v>84</v>
      </c>
      <c r="C353">
        <v>1441629592.3454471</v>
      </c>
      <c r="D353">
        <v>1491517707.0009682</v>
      </c>
      <c r="E353">
        <v>566565230.63063061</v>
      </c>
      <c r="F353">
        <v>473307889.1891892</v>
      </c>
      <c r="G353">
        <v>442</v>
      </c>
      <c r="H353">
        <v>284</v>
      </c>
      <c r="I353">
        <v>3</v>
      </c>
      <c r="K353">
        <v>586</v>
      </c>
      <c r="L353">
        <v>509</v>
      </c>
      <c r="M353">
        <v>181584009.00900903</v>
      </c>
      <c r="N353">
        <v>231304459.45945945</v>
      </c>
      <c r="O353">
        <v>315037759.009009</v>
      </c>
      <c r="P353">
        <v>349798962.16216218</v>
      </c>
      <c r="Q353">
        <v>169212747.74774775</v>
      </c>
      <c r="R353">
        <v>209236801.8018018</v>
      </c>
      <c r="S353">
        <v>31435</v>
      </c>
      <c r="T353">
        <v>32288</v>
      </c>
    </row>
    <row r="354" spans="1:20" x14ac:dyDescent="0.35">
      <c r="A354" s="7" t="s">
        <v>452</v>
      </c>
      <c r="B354" s="12" t="s">
        <v>71</v>
      </c>
      <c r="C354">
        <v>95002647.032349676</v>
      </c>
      <c r="D354">
        <v>94087554.310479194</v>
      </c>
      <c r="E354">
        <v>438738.73873873998</v>
      </c>
      <c r="F354">
        <v>1148648.648648649</v>
      </c>
      <c r="G354">
        <v>22</v>
      </c>
      <c r="H354">
        <v>10</v>
      </c>
      <c r="K354">
        <v>23</v>
      </c>
      <c r="L354">
        <v>12</v>
      </c>
      <c r="M354">
        <v>2541441.4414414428</v>
      </c>
      <c r="N354">
        <v>188719819.81981981</v>
      </c>
      <c r="O354">
        <v>58833009.009009011</v>
      </c>
      <c r="P354">
        <v>54329927.927927926</v>
      </c>
      <c r="Q354">
        <v>2396936.9369369368</v>
      </c>
      <c r="R354">
        <v>187169099.0990991</v>
      </c>
      <c r="S354">
        <v>2815</v>
      </c>
      <c r="T354">
        <v>2722</v>
      </c>
    </row>
    <row r="355" spans="1:20" x14ac:dyDescent="0.35">
      <c r="A355" s="7" t="s">
        <v>453</v>
      </c>
      <c r="B355" s="12" t="s">
        <v>168</v>
      </c>
      <c r="C355">
        <v>115224560.18602242</v>
      </c>
      <c r="D355">
        <v>119304035.78598776</v>
      </c>
      <c r="E355">
        <v>1396396.396396396</v>
      </c>
      <c r="F355">
        <v>2231531.5315315318</v>
      </c>
      <c r="G355">
        <v>4</v>
      </c>
      <c r="H355">
        <v>18</v>
      </c>
      <c r="K355">
        <v>4</v>
      </c>
      <c r="L355">
        <v>21</v>
      </c>
      <c r="M355">
        <v>4488738.7387387399</v>
      </c>
      <c r="N355">
        <v>4105405.405405404</v>
      </c>
      <c r="O355">
        <v>22097126.126126129</v>
      </c>
      <c r="P355">
        <v>29712459.459459461</v>
      </c>
      <c r="Q355">
        <v>5427567.5675675692</v>
      </c>
      <c r="R355">
        <v>3792972.9729729719</v>
      </c>
      <c r="S355">
        <v>2689</v>
      </c>
      <c r="T355">
        <v>2792</v>
      </c>
    </row>
    <row r="356" spans="1:20" x14ac:dyDescent="0.35">
      <c r="A356" s="7" t="s">
        <v>454</v>
      </c>
      <c r="B356" s="12" t="s">
        <v>122</v>
      </c>
      <c r="C356">
        <v>4685244.8120354991</v>
      </c>
      <c r="D356">
        <v>5261247.265949239</v>
      </c>
      <c r="E356">
        <v>34234.234234233998</v>
      </c>
      <c r="G356">
        <v>2</v>
      </c>
      <c r="K356">
        <v>2</v>
      </c>
      <c r="M356">
        <v>36036.036036035999</v>
      </c>
      <c r="O356">
        <v>420360.36036036001</v>
      </c>
      <c r="P356">
        <v>376612.61261261301</v>
      </c>
      <c r="S356">
        <v>130</v>
      </c>
      <c r="T356">
        <v>154</v>
      </c>
    </row>
    <row r="357" spans="1:20" x14ac:dyDescent="0.35">
      <c r="A357" s="7" t="s">
        <v>455</v>
      </c>
      <c r="B357" s="12" t="s">
        <v>225</v>
      </c>
      <c r="C357">
        <v>39066998.693633921</v>
      </c>
      <c r="D357">
        <v>41560210.826788992</v>
      </c>
      <c r="K357">
        <v>2</v>
      </c>
      <c r="O357">
        <v>7458729.7297297297</v>
      </c>
      <c r="P357">
        <v>11874657.657657657</v>
      </c>
      <c r="Q357">
        <v>168648.64864864899</v>
      </c>
      <c r="R357">
        <v>237567.56756756801</v>
      </c>
      <c r="S357">
        <v>1248</v>
      </c>
      <c r="T357">
        <v>1272</v>
      </c>
    </row>
    <row r="358" spans="1:20" x14ac:dyDescent="0.35">
      <c r="A358" s="7" t="s">
        <v>456</v>
      </c>
      <c r="B358" s="12" t="s">
        <v>95</v>
      </c>
      <c r="C358">
        <v>62106440.076983809</v>
      </c>
      <c r="D358">
        <v>75752859.971541554</v>
      </c>
      <c r="E358">
        <v>531531.53153153195</v>
      </c>
      <c r="F358">
        <v>1211711.711711714</v>
      </c>
      <c r="G358">
        <v>17</v>
      </c>
      <c r="H358">
        <v>27</v>
      </c>
      <c r="K358">
        <v>20</v>
      </c>
      <c r="L358">
        <v>30</v>
      </c>
      <c r="M358">
        <v>19954954.954954956</v>
      </c>
      <c r="N358">
        <v>15445945.945945946</v>
      </c>
      <c r="O358">
        <v>14088941.441441439</v>
      </c>
      <c r="P358">
        <v>19957923.423423424</v>
      </c>
      <c r="Q358">
        <v>19335585.585585583</v>
      </c>
      <c r="R358">
        <v>13809099.099099096</v>
      </c>
      <c r="S358">
        <v>2034</v>
      </c>
      <c r="T358">
        <v>2092</v>
      </c>
    </row>
    <row r="359" spans="1:20" x14ac:dyDescent="0.35">
      <c r="A359" s="7" t="s">
        <v>672</v>
      </c>
      <c r="B359" s="12" t="s">
        <v>190</v>
      </c>
      <c r="E359">
        <v>29103608.108108107</v>
      </c>
      <c r="F359">
        <v>55703945.045045048</v>
      </c>
      <c r="M359">
        <v>16161481.981981982</v>
      </c>
      <c r="N359">
        <v>9675675.6756756753</v>
      </c>
    </row>
    <row r="360" spans="1:20" x14ac:dyDescent="0.35">
      <c r="A360" s="7" t="s">
        <v>457</v>
      </c>
      <c r="B360" s="12" t="s">
        <v>61</v>
      </c>
      <c r="C360">
        <v>8556361.9303185381</v>
      </c>
      <c r="D360">
        <v>10478959.697250912</v>
      </c>
      <c r="E360">
        <v>171171.17117117101</v>
      </c>
      <c r="G360">
        <v>5</v>
      </c>
      <c r="H360">
        <v>2</v>
      </c>
      <c r="K360">
        <v>6</v>
      </c>
      <c r="L360">
        <v>4</v>
      </c>
      <c r="M360">
        <v>1207207.207207208</v>
      </c>
      <c r="N360">
        <v>450450.45045045001</v>
      </c>
      <c r="O360">
        <v>3820666.666666666</v>
      </c>
      <c r="P360">
        <v>5387720.7207207223</v>
      </c>
      <c r="Q360">
        <v>620270.27027026995</v>
      </c>
      <c r="R360">
        <v>530990.99099099101</v>
      </c>
      <c r="S360">
        <v>555</v>
      </c>
      <c r="T360">
        <v>723</v>
      </c>
    </row>
    <row r="361" spans="1:20" x14ac:dyDescent="0.35">
      <c r="A361" s="7" t="s">
        <v>458</v>
      </c>
      <c r="B361" s="12" t="s">
        <v>215</v>
      </c>
      <c r="C361">
        <v>160486106.39032871</v>
      </c>
      <c r="D361">
        <v>156612810.78180766</v>
      </c>
      <c r="E361">
        <v>396396.39639639598</v>
      </c>
      <c r="G361">
        <v>37</v>
      </c>
      <c r="H361">
        <v>4</v>
      </c>
      <c r="K361">
        <v>39</v>
      </c>
      <c r="L361">
        <v>5</v>
      </c>
      <c r="M361">
        <v>936936.93693693704</v>
      </c>
      <c r="N361">
        <v>360360.36036036001</v>
      </c>
      <c r="O361">
        <v>81862081.081081092</v>
      </c>
      <c r="P361">
        <v>83386846.846846849</v>
      </c>
      <c r="Q361">
        <v>1759909.9099099101</v>
      </c>
      <c r="R361">
        <v>427117.11711711698</v>
      </c>
      <c r="S361">
        <v>2984</v>
      </c>
      <c r="T361">
        <v>3087</v>
      </c>
    </row>
    <row r="362" spans="1:20" x14ac:dyDescent="0.35">
      <c r="A362" s="7" t="s">
        <v>459</v>
      </c>
      <c r="B362" s="12" t="s">
        <v>460</v>
      </c>
      <c r="C362">
        <v>619101811.66653478</v>
      </c>
      <c r="D362">
        <v>659800611.8091377</v>
      </c>
      <c r="E362">
        <v>401475495.4954955</v>
      </c>
      <c r="F362">
        <v>146519819.81981984</v>
      </c>
      <c r="G362">
        <v>406</v>
      </c>
      <c r="H362">
        <v>269</v>
      </c>
      <c r="K362">
        <v>529</v>
      </c>
      <c r="L362">
        <v>385</v>
      </c>
      <c r="M362">
        <v>247852027.02702704</v>
      </c>
      <c r="N362">
        <v>243411126.12612611</v>
      </c>
      <c r="O362">
        <v>221490740.99099097</v>
      </c>
      <c r="P362">
        <v>250828942.34234235</v>
      </c>
      <c r="Q362">
        <v>149655630.63063061</v>
      </c>
      <c r="R362">
        <v>162433648.64864865</v>
      </c>
      <c r="S362">
        <v>24308</v>
      </c>
      <c r="T362">
        <v>24736</v>
      </c>
    </row>
    <row r="363" spans="1:20" x14ac:dyDescent="0.35">
      <c r="A363" s="7" t="s">
        <v>461</v>
      </c>
      <c r="B363" s="12" t="s">
        <v>460</v>
      </c>
      <c r="C363">
        <v>2159831491.5632906</v>
      </c>
      <c r="D363">
        <v>2005827988.3867943</v>
      </c>
      <c r="E363">
        <v>13762162.162162164</v>
      </c>
      <c r="F363">
        <v>20436936.936936941</v>
      </c>
      <c r="G363">
        <v>623</v>
      </c>
      <c r="H363">
        <v>448</v>
      </c>
      <c r="I363">
        <v>5</v>
      </c>
      <c r="K363">
        <v>736</v>
      </c>
      <c r="L363">
        <v>697</v>
      </c>
      <c r="M363">
        <v>108666891.89189188</v>
      </c>
      <c r="N363">
        <v>153060405.4054054</v>
      </c>
      <c r="O363">
        <v>1413692554.5045047</v>
      </c>
      <c r="P363">
        <v>1237258378.3783784</v>
      </c>
      <c r="Q363">
        <v>100377162.16216215</v>
      </c>
      <c r="R363">
        <v>142391216.21621621</v>
      </c>
      <c r="S363">
        <v>31083</v>
      </c>
      <c r="T363">
        <v>32619</v>
      </c>
    </row>
    <row r="364" spans="1:20" x14ac:dyDescent="0.35">
      <c r="A364" s="7" t="s">
        <v>462</v>
      </c>
      <c r="B364" s="12" t="s">
        <v>460</v>
      </c>
      <c r="C364">
        <v>983785945.82903087</v>
      </c>
      <c r="D364">
        <v>989519344.04497874</v>
      </c>
      <c r="E364">
        <v>26801289.189189196</v>
      </c>
      <c r="F364">
        <v>33562761.261261262</v>
      </c>
      <c r="G364">
        <v>443</v>
      </c>
      <c r="H364">
        <v>407</v>
      </c>
      <c r="I364">
        <v>6</v>
      </c>
      <c r="K364">
        <v>557</v>
      </c>
      <c r="L364">
        <v>608</v>
      </c>
      <c r="M364">
        <v>889402875.67567563</v>
      </c>
      <c r="N364">
        <v>1046714788.2882882</v>
      </c>
      <c r="O364">
        <v>274726617.11711711</v>
      </c>
      <c r="P364">
        <v>293747259.45945948</v>
      </c>
      <c r="Q364">
        <v>872100495.49549556</v>
      </c>
      <c r="R364">
        <v>160029504.5045045</v>
      </c>
      <c r="S364">
        <v>23856</v>
      </c>
      <c r="T364">
        <v>22957</v>
      </c>
    </row>
    <row r="365" spans="1:20" x14ac:dyDescent="0.35">
      <c r="A365" s="7" t="s">
        <v>463</v>
      </c>
      <c r="B365" s="12" t="s">
        <v>460</v>
      </c>
      <c r="C365">
        <v>715789805.03511453</v>
      </c>
      <c r="D365">
        <v>654016001.42320466</v>
      </c>
      <c r="E365">
        <v>4100900.900900906</v>
      </c>
      <c r="F365">
        <v>8413513.5135135129</v>
      </c>
      <c r="G365">
        <v>287</v>
      </c>
      <c r="H365">
        <v>130</v>
      </c>
      <c r="I365">
        <v>5</v>
      </c>
      <c r="K365">
        <v>338</v>
      </c>
      <c r="L365">
        <v>155</v>
      </c>
      <c r="M365">
        <v>132121531.53153154</v>
      </c>
      <c r="N365">
        <v>80102414.414414421</v>
      </c>
      <c r="O365">
        <v>162860540.54054055</v>
      </c>
      <c r="P365">
        <v>165838475.67567569</v>
      </c>
      <c r="Q365">
        <v>67993963.963963956</v>
      </c>
      <c r="R365">
        <v>75257297.297297299</v>
      </c>
      <c r="S365">
        <v>19371</v>
      </c>
      <c r="T365">
        <v>17086</v>
      </c>
    </row>
    <row r="366" spans="1:20" x14ac:dyDescent="0.35">
      <c r="A366" s="7" t="s">
        <v>464</v>
      </c>
      <c r="B366" s="12" t="s">
        <v>460</v>
      </c>
      <c r="C366">
        <v>691418015.43903255</v>
      </c>
      <c r="D366">
        <v>722354666.19271278</v>
      </c>
      <c r="E366">
        <v>12661486.486486487</v>
      </c>
      <c r="F366">
        <v>10836486.486486491</v>
      </c>
      <c r="G366">
        <v>636</v>
      </c>
      <c r="H366">
        <v>405</v>
      </c>
      <c r="I366">
        <v>1</v>
      </c>
      <c r="K366">
        <v>820</v>
      </c>
      <c r="L366">
        <v>1083</v>
      </c>
      <c r="M366">
        <v>163822432.43243244</v>
      </c>
      <c r="N366">
        <v>234918918.91891891</v>
      </c>
      <c r="O366">
        <v>277610295.04504508</v>
      </c>
      <c r="P366">
        <v>296077018.01801807</v>
      </c>
      <c r="Q366">
        <v>167515405.4054054</v>
      </c>
      <c r="R366">
        <v>218352387.38738739</v>
      </c>
      <c r="S366">
        <v>26125</v>
      </c>
      <c r="T366">
        <v>27134</v>
      </c>
    </row>
    <row r="367" spans="1:20" x14ac:dyDescent="0.35">
      <c r="A367" s="7" t="s">
        <v>465</v>
      </c>
      <c r="B367" s="12" t="s">
        <v>460</v>
      </c>
      <c r="C367">
        <v>799487417.22029591</v>
      </c>
      <c r="D367">
        <v>781886918.20655334</v>
      </c>
      <c r="E367">
        <v>1968032272.9729731</v>
      </c>
      <c r="F367">
        <v>1241493586.4864864</v>
      </c>
      <c r="G367">
        <v>325</v>
      </c>
      <c r="H367">
        <v>167</v>
      </c>
      <c r="K367">
        <v>378</v>
      </c>
      <c r="L367">
        <v>235</v>
      </c>
      <c r="M367">
        <v>112258688.2882883</v>
      </c>
      <c r="N367">
        <v>153790990.99099097</v>
      </c>
      <c r="O367">
        <v>342505203.15315318</v>
      </c>
      <c r="P367">
        <v>356594549.54954958</v>
      </c>
      <c r="Q367">
        <v>106283423.42342342</v>
      </c>
      <c r="R367">
        <v>149368198.1981982</v>
      </c>
      <c r="S367">
        <v>29790</v>
      </c>
      <c r="T367">
        <v>29118</v>
      </c>
    </row>
    <row r="368" spans="1:20" x14ac:dyDescent="0.35">
      <c r="A368" s="7" t="s">
        <v>466</v>
      </c>
      <c r="B368" s="12" t="s">
        <v>55</v>
      </c>
      <c r="C368">
        <v>51874208.833292656</v>
      </c>
      <c r="D368">
        <v>52512183.72039216</v>
      </c>
      <c r="E368">
        <v>353153.153153155</v>
      </c>
      <c r="F368">
        <v>579279.27927927999</v>
      </c>
      <c r="G368">
        <v>14</v>
      </c>
      <c r="H368">
        <v>6</v>
      </c>
      <c r="K368">
        <v>20</v>
      </c>
      <c r="L368">
        <v>10</v>
      </c>
      <c r="M368">
        <v>4580900.9009009013</v>
      </c>
      <c r="N368">
        <v>5863603.6036036042</v>
      </c>
      <c r="O368">
        <v>11460621.621621622</v>
      </c>
      <c r="P368">
        <v>11411423.423423424</v>
      </c>
      <c r="Q368">
        <v>5140180.180180179</v>
      </c>
      <c r="R368">
        <v>5611441.44144144</v>
      </c>
      <c r="S368">
        <v>1236</v>
      </c>
      <c r="T368">
        <v>1218</v>
      </c>
    </row>
    <row r="369" spans="1:20" x14ac:dyDescent="0.35">
      <c r="A369" s="7" t="s">
        <v>467</v>
      </c>
      <c r="B369" s="12" t="s">
        <v>88</v>
      </c>
      <c r="C369">
        <v>1985947.3758840221</v>
      </c>
      <c r="D369">
        <v>2355009.30671249</v>
      </c>
      <c r="H369">
        <v>1</v>
      </c>
      <c r="L369">
        <v>1</v>
      </c>
      <c r="O369">
        <v>351351.35135135101</v>
      </c>
      <c r="P369">
        <v>1031981.981981982</v>
      </c>
      <c r="S369">
        <v>96</v>
      </c>
      <c r="T369">
        <v>85</v>
      </c>
    </row>
    <row r="370" spans="1:20" x14ac:dyDescent="0.35">
      <c r="A370" s="7" t="s">
        <v>468</v>
      </c>
      <c r="B370" s="12" t="s">
        <v>144</v>
      </c>
      <c r="C370">
        <v>245966533.68850175</v>
      </c>
      <c r="D370">
        <v>273455811.33995825</v>
      </c>
      <c r="E370">
        <v>248648.64864865001</v>
      </c>
      <c r="F370">
        <v>297297.29729729902</v>
      </c>
      <c r="G370">
        <v>65</v>
      </c>
      <c r="H370">
        <v>7</v>
      </c>
      <c r="K370">
        <v>71</v>
      </c>
      <c r="L370">
        <v>7</v>
      </c>
      <c r="M370">
        <v>15374774.774774777</v>
      </c>
      <c r="N370">
        <v>17279279.27927928</v>
      </c>
      <c r="O370">
        <v>38203816.216216214</v>
      </c>
      <c r="P370">
        <v>52290331.531531528</v>
      </c>
      <c r="Q370">
        <v>10971891.891891891</v>
      </c>
      <c r="R370">
        <v>12683827.027027026</v>
      </c>
      <c r="S370">
        <v>4966</v>
      </c>
      <c r="T370">
        <v>5067</v>
      </c>
    </row>
    <row r="371" spans="1:20" x14ac:dyDescent="0.35">
      <c r="A371" s="7" t="s">
        <v>469</v>
      </c>
      <c r="B371" s="12" t="s">
        <v>81</v>
      </c>
      <c r="C371">
        <v>216756199.79664317</v>
      </c>
      <c r="D371">
        <v>210933848.57684848</v>
      </c>
      <c r="E371">
        <v>85135.135135138</v>
      </c>
      <c r="F371">
        <v>1098198.1981982</v>
      </c>
      <c r="G371">
        <v>36</v>
      </c>
      <c r="H371">
        <v>22</v>
      </c>
      <c r="K371">
        <v>41</v>
      </c>
      <c r="L371">
        <v>25</v>
      </c>
      <c r="M371">
        <v>6056306.3063063063</v>
      </c>
      <c r="N371">
        <v>7548648.6486486467</v>
      </c>
      <c r="O371">
        <v>81723261.261261269</v>
      </c>
      <c r="P371">
        <v>81637677.477477476</v>
      </c>
      <c r="Q371">
        <v>5230180.1801801799</v>
      </c>
      <c r="R371">
        <v>4633783.7837837832</v>
      </c>
      <c r="S371">
        <v>5802</v>
      </c>
      <c r="T371">
        <v>5187</v>
      </c>
    </row>
    <row r="372" spans="1:20" x14ac:dyDescent="0.35">
      <c r="A372" s="7" t="s">
        <v>470</v>
      </c>
      <c r="B372" s="12" t="s">
        <v>471</v>
      </c>
      <c r="C372">
        <v>256737986.29969642</v>
      </c>
      <c r="D372">
        <v>256267493.84487116</v>
      </c>
      <c r="E372">
        <v>1927927.927927928</v>
      </c>
      <c r="F372">
        <v>1883783.7837837851</v>
      </c>
      <c r="G372">
        <v>27</v>
      </c>
      <c r="H372">
        <v>34</v>
      </c>
      <c r="K372">
        <v>28</v>
      </c>
      <c r="L372">
        <v>47</v>
      </c>
      <c r="M372">
        <v>23152702.702702705</v>
      </c>
      <c r="N372">
        <v>13505405.405405404</v>
      </c>
      <c r="O372">
        <v>80312520.720720723</v>
      </c>
      <c r="P372">
        <v>86345455.855855852</v>
      </c>
      <c r="Q372">
        <v>22973196.396396395</v>
      </c>
      <c r="R372">
        <v>30677549.549549554</v>
      </c>
      <c r="S372">
        <v>5498</v>
      </c>
      <c r="T372">
        <v>5623</v>
      </c>
    </row>
    <row r="373" spans="1:20" x14ac:dyDescent="0.35">
      <c r="A373" s="7" t="s">
        <v>472</v>
      </c>
      <c r="B373" s="12" t="s">
        <v>471</v>
      </c>
      <c r="C373">
        <v>20964138.299980152</v>
      </c>
      <c r="D373">
        <v>22090276.989253528</v>
      </c>
      <c r="E373">
        <v>182935813.51351351</v>
      </c>
      <c r="F373">
        <v>105523856.75675675</v>
      </c>
      <c r="H373">
        <v>1</v>
      </c>
      <c r="K373">
        <v>1</v>
      </c>
      <c r="L373">
        <v>1</v>
      </c>
      <c r="M373">
        <v>26349245.045045044</v>
      </c>
      <c r="N373">
        <v>11479465.765765766</v>
      </c>
      <c r="O373">
        <v>2010225.2252252251</v>
      </c>
      <c r="P373">
        <v>2797189.1891891891</v>
      </c>
      <c r="Q373">
        <v>2697117.1171171172</v>
      </c>
      <c r="R373">
        <v>111711.71171171201</v>
      </c>
      <c r="S373">
        <v>619</v>
      </c>
      <c r="T373">
        <v>620</v>
      </c>
    </row>
    <row r="374" spans="1:20" x14ac:dyDescent="0.35">
      <c r="A374" s="7" t="s">
        <v>473</v>
      </c>
      <c r="B374" s="12" t="s">
        <v>471</v>
      </c>
      <c r="C374">
        <v>2613451.5044812108</v>
      </c>
      <c r="D374">
        <v>2745551.3238751641</v>
      </c>
      <c r="E374">
        <v>359459.45945945999</v>
      </c>
      <c r="F374">
        <v>229729.72972973</v>
      </c>
      <c r="G374">
        <v>1</v>
      </c>
      <c r="K374">
        <v>1</v>
      </c>
      <c r="M374">
        <v>2936036.036036036</v>
      </c>
      <c r="N374">
        <v>680180.18018018105</v>
      </c>
      <c r="O374">
        <v>615585.58558558603</v>
      </c>
      <c r="P374">
        <v>704054.05405405397</v>
      </c>
      <c r="Q374">
        <v>2549549.5495495498</v>
      </c>
      <c r="R374">
        <v>4247207.2072072066</v>
      </c>
      <c r="S374">
        <v>471</v>
      </c>
      <c r="T374">
        <v>432</v>
      </c>
    </row>
    <row r="375" spans="1:20" x14ac:dyDescent="0.35">
      <c r="A375" s="7" t="s">
        <v>474</v>
      </c>
      <c r="B375" s="12" t="s">
        <v>471</v>
      </c>
      <c r="C375">
        <v>90546685.221055076</v>
      </c>
      <c r="D375">
        <v>89390693.127942368</v>
      </c>
      <c r="E375">
        <v>436036.03603603598</v>
      </c>
      <c r="F375">
        <v>1361617.1171171169</v>
      </c>
      <c r="G375">
        <v>13</v>
      </c>
      <c r="H375">
        <v>22</v>
      </c>
      <c r="K375">
        <v>13</v>
      </c>
      <c r="L375">
        <v>39</v>
      </c>
      <c r="M375">
        <v>25915765.765765768</v>
      </c>
      <c r="N375">
        <v>16547387.387387387</v>
      </c>
      <c r="O375">
        <v>12495621.621621622</v>
      </c>
      <c r="P375">
        <v>16006628.828828828</v>
      </c>
      <c r="Q375">
        <v>17707837.837837838</v>
      </c>
      <c r="R375">
        <v>17051171.171171173</v>
      </c>
      <c r="S375">
        <v>2148</v>
      </c>
      <c r="T375">
        <v>2295</v>
      </c>
    </row>
    <row r="376" spans="1:20" x14ac:dyDescent="0.35">
      <c r="A376" s="7" t="s">
        <v>475</v>
      </c>
      <c r="B376" s="12" t="s">
        <v>471</v>
      </c>
      <c r="C376">
        <v>128093856.70789514</v>
      </c>
      <c r="D376">
        <v>126733701.33600476</v>
      </c>
      <c r="E376">
        <v>1035135.135135136</v>
      </c>
      <c r="F376">
        <v>1186486.4864864871</v>
      </c>
      <c r="G376">
        <v>30</v>
      </c>
      <c r="H376">
        <v>14</v>
      </c>
      <c r="K376">
        <v>31</v>
      </c>
      <c r="L376">
        <v>16</v>
      </c>
      <c r="M376">
        <v>10928018.018018018</v>
      </c>
      <c r="N376">
        <v>4343603.6036036024</v>
      </c>
      <c r="O376">
        <v>28008135.135135137</v>
      </c>
      <c r="P376">
        <v>31261189.189189188</v>
      </c>
      <c r="Q376">
        <v>10635765.765765768</v>
      </c>
      <c r="R376">
        <v>11106936.936936935</v>
      </c>
      <c r="S376">
        <v>2415</v>
      </c>
      <c r="T376">
        <v>2369</v>
      </c>
    </row>
    <row r="377" spans="1:20" x14ac:dyDescent="0.35">
      <c r="A377" s="7" t="s">
        <v>476</v>
      </c>
      <c r="B377" s="12" t="s">
        <v>471</v>
      </c>
      <c r="C377">
        <v>46714599.876644656</v>
      </c>
      <c r="D377">
        <v>47530770.705716781</v>
      </c>
      <c r="E377">
        <v>337837.83783783898</v>
      </c>
      <c r="F377">
        <v>459459.45945946203</v>
      </c>
      <c r="G377">
        <v>4</v>
      </c>
      <c r="H377">
        <v>5</v>
      </c>
      <c r="K377">
        <v>4</v>
      </c>
      <c r="L377">
        <v>6</v>
      </c>
      <c r="M377">
        <v>7436936.9369369382</v>
      </c>
      <c r="N377">
        <v>2959459.4594594599</v>
      </c>
      <c r="O377">
        <v>9657133.333333334</v>
      </c>
      <c r="P377">
        <v>12153882.882882884</v>
      </c>
      <c r="Q377">
        <v>6278018.0180180185</v>
      </c>
      <c r="R377">
        <v>7222072.0720720729</v>
      </c>
      <c r="S377">
        <v>1363</v>
      </c>
      <c r="T377">
        <v>1418</v>
      </c>
    </row>
    <row r="378" spans="1:20" x14ac:dyDescent="0.35">
      <c r="A378" s="7" t="s">
        <v>477</v>
      </c>
      <c r="B378" s="12" t="s">
        <v>471</v>
      </c>
      <c r="C378">
        <v>482309333.67583972</v>
      </c>
      <c r="D378">
        <v>498392735.60848439</v>
      </c>
      <c r="E378">
        <v>9589189.1891891956</v>
      </c>
      <c r="F378">
        <v>8431531.5315315425</v>
      </c>
      <c r="G378">
        <v>197</v>
      </c>
      <c r="H378">
        <v>374</v>
      </c>
      <c r="K378">
        <v>346</v>
      </c>
      <c r="L378">
        <v>416</v>
      </c>
      <c r="M378">
        <v>131181801.8018018</v>
      </c>
      <c r="N378">
        <v>113566666.66666667</v>
      </c>
      <c r="O378">
        <v>127006376.57657658</v>
      </c>
      <c r="P378">
        <v>140243976.57657659</v>
      </c>
      <c r="Q378">
        <v>125908828.82882883</v>
      </c>
      <c r="R378">
        <v>116065675.67567568</v>
      </c>
      <c r="S378">
        <v>15869</v>
      </c>
      <c r="T378">
        <v>16355</v>
      </c>
    </row>
    <row r="379" spans="1:20" x14ac:dyDescent="0.35">
      <c r="A379" s="7" t="s">
        <v>478</v>
      </c>
      <c r="B379" s="12" t="s">
        <v>261</v>
      </c>
      <c r="C379">
        <v>588349982.06466138</v>
      </c>
      <c r="D379">
        <v>570226018.4346931</v>
      </c>
      <c r="E379">
        <v>3339864.8648648649</v>
      </c>
      <c r="F379">
        <v>5113513.5135135157</v>
      </c>
      <c r="G379">
        <v>121</v>
      </c>
      <c r="H379">
        <v>70</v>
      </c>
      <c r="I379">
        <v>1</v>
      </c>
      <c r="K379">
        <v>126</v>
      </c>
      <c r="L379">
        <v>75</v>
      </c>
      <c r="M379">
        <v>73800000</v>
      </c>
      <c r="N379">
        <v>79596396.396396399</v>
      </c>
      <c r="O379">
        <v>155854319.81981981</v>
      </c>
      <c r="P379">
        <v>163609747.74774775</v>
      </c>
      <c r="Q379">
        <v>72536216.216216207</v>
      </c>
      <c r="R379">
        <v>80429639.639639631</v>
      </c>
      <c r="S379">
        <v>10849</v>
      </c>
      <c r="T379">
        <v>12299</v>
      </c>
    </row>
    <row r="380" spans="1:20" x14ac:dyDescent="0.35">
      <c r="A380" s="7" t="s">
        <v>479</v>
      </c>
      <c r="B380" s="12" t="s">
        <v>480</v>
      </c>
      <c r="C380">
        <v>40755022.243551873</v>
      </c>
      <c r="D380">
        <v>40713053.691640154</v>
      </c>
      <c r="E380">
        <v>437837.83783783799</v>
      </c>
      <c r="F380">
        <v>636036.03603603598</v>
      </c>
      <c r="G380">
        <v>13</v>
      </c>
      <c r="H380">
        <v>11</v>
      </c>
      <c r="K380">
        <v>14</v>
      </c>
      <c r="L380">
        <v>12</v>
      </c>
      <c r="M380">
        <v>12134684.684684685</v>
      </c>
      <c r="N380">
        <v>15765585.585585585</v>
      </c>
      <c r="O380">
        <v>9915540.5405405406</v>
      </c>
      <c r="P380">
        <v>11204178.378378378</v>
      </c>
      <c r="Q380">
        <v>12144774.774774777</v>
      </c>
      <c r="R380">
        <v>16139099.0990991</v>
      </c>
      <c r="S380">
        <v>796</v>
      </c>
      <c r="T380">
        <v>788</v>
      </c>
    </row>
    <row r="381" spans="1:20" x14ac:dyDescent="0.35">
      <c r="A381" s="7" t="s">
        <v>481</v>
      </c>
      <c r="B381" s="12" t="s">
        <v>124</v>
      </c>
      <c r="C381">
        <v>306690530.90631199</v>
      </c>
      <c r="D381">
        <v>300617149.5578683</v>
      </c>
      <c r="E381">
        <v>2840540.5405405429</v>
      </c>
      <c r="F381">
        <v>1716216.2162162201</v>
      </c>
      <c r="G381">
        <v>62</v>
      </c>
      <c r="H381">
        <v>44</v>
      </c>
      <c r="K381">
        <v>67</v>
      </c>
      <c r="L381">
        <v>50</v>
      </c>
      <c r="M381">
        <v>20474774.774774775</v>
      </c>
      <c r="N381">
        <v>20425405.40540541</v>
      </c>
      <c r="O381">
        <v>115157454.95495497</v>
      </c>
      <c r="P381">
        <v>122675637.83783785</v>
      </c>
      <c r="Q381">
        <v>18917747.747747749</v>
      </c>
      <c r="R381">
        <v>19677297.297297295</v>
      </c>
      <c r="S381">
        <v>5623</v>
      </c>
      <c r="T381">
        <v>5554</v>
      </c>
    </row>
    <row r="382" spans="1:20" x14ac:dyDescent="0.35">
      <c r="A382" s="7" t="s">
        <v>482</v>
      </c>
      <c r="B382" s="12" t="s">
        <v>471</v>
      </c>
      <c r="C382">
        <v>24327233.685844801</v>
      </c>
      <c r="D382">
        <v>25051340.734996326</v>
      </c>
      <c r="E382">
        <v>84082882.882882878</v>
      </c>
      <c r="F382">
        <v>63770270.270270273</v>
      </c>
      <c r="G382">
        <v>3</v>
      </c>
      <c r="H382">
        <v>2</v>
      </c>
      <c r="K382">
        <v>4</v>
      </c>
      <c r="L382">
        <v>2</v>
      </c>
      <c r="M382">
        <v>4073423.423423423</v>
      </c>
      <c r="N382">
        <v>869369.36936937005</v>
      </c>
      <c r="O382">
        <v>3577063.0630630632</v>
      </c>
      <c r="P382">
        <v>3561216.2162162159</v>
      </c>
      <c r="Q382">
        <v>873873.87387387303</v>
      </c>
      <c r="R382">
        <v>974324.32432432403</v>
      </c>
      <c r="S382">
        <v>563</v>
      </c>
      <c r="T382">
        <v>606</v>
      </c>
    </row>
    <row r="383" spans="1:20" x14ac:dyDescent="0.35">
      <c r="A383" s="7" t="s">
        <v>483</v>
      </c>
      <c r="B383" s="12" t="s">
        <v>168</v>
      </c>
      <c r="C383">
        <v>252118285.67484382</v>
      </c>
      <c r="D383">
        <v>265977871.62412822</v>
      </c>
      <c r="E383">
        <v>2609009.0090090111</v>
      </c>
      <c r="F383">
        <v>6536036.036036035</v>
      </c>
      <c r="G383">
        <v>225</v>
      </c>
      <c r="H383">
        <v>32</v>
      </c>
      <c r="K383">
        <v>300</v>
      </c>
      <c r="L383">
        <v>83</v>
      </c>
      <c r="M383">
        <v>21592829.729729731</v>
      </c>
      <c r="N383">
        <v>32060585.585585583</v>
      </c>
      <c r="O383">
        <v>105632018.01801802</v>
      </c>
      <c r="P383">
        <v>114918459.45945945</v>
      </c>
      <c r="Q383">
        <v>20687837.837837841</v>
      </c>
      <c r="R383">
        <v>29747072.072072074</v>
      </c>
      <c r="S383">
        <v>8422</v>
      </c>
      <c r="T383">
        <v>8296</v>
      </c>
    </row>
    <row r="384" spans="1:20" x14ac:dyDescent="0.35">
      <c r="A384" s="7" t="s">
        <v>484</v>
      </c>
      <c r="B384" s="12" t="s">
        <v>168</v>
      </c>
      <c r="C384">
        <v>288580999.08251107</v>
      </c>
      <c r="D384">
        <v>298534924.90610605</v>
      </c>
      <c r="E384">
        <v>476189870.27027029</v>
      </c>
      <c r="F384">
        <v>439071177.47747749</v>
      </c>
      <c r="G384">
        <v>500</v>
      </c>
      <c r="H384">
        <v>151</v>
      </c>
      <c r="K384">
        <v>925</v>
      </c>
      <c r="L384">
        <v>625</v>
      </c>
      <c r="M384">
        <v>48424550.45045045</v>
      </c>
      <c r="N384">
        <v>68781531.531531543</v>
      </c>
      <c r="O384">
        <v>109007101.8018018</v>
      </c>
      <c r="P384">
        <v>125583654.05405405</v>
      </c>
      <c r="Q384">
        <v>44241484.684684686</v>
      </c>
      <c r="R384">
        <v>58610493.693693697</v>
      </c>
      <c r="S384">
        <v>9414</v>
      </c>
      <c r="T384">
        <v>10367</v>
      </c>
    </row>
    <row r="385" spans="1:20" x14ac:dyDescent="0.35">
      <c r="A385" s="7" t="s">
        <v>673</v>
      </c>
      <c r="B385" s="12" t="s">
        <v>182</v>
      </c>
      <c r="E385">
        <v>65878378.378378376</v>
      </c>
      <c r="F385">
        <v>188063063.06306309</v>
      </c>
      <c r="M385">
        <v>2800450.4504504511</v>
      </c>
      <c r="N385">
        <v>3243243.2432432431</v>
      </c>
    </row>
    <row r="386" spans="1:20" x14ac:dyDescent="0.35">
      <c r="A386" s="7" t="s">
        <v>485</v>
      </c>
      <c r="B386" s="12" t="s">
        <v>51</v>
      </c>
      <c r="C386">
        <v>170889456.15184373</v>
      </c>
      <c r="D386">
        <v>174096475.09305388</v>
      </c>
      <c r="E386">
        <v>2336036.0360360378</v>
      </c>
      <c r="F386">
        <v>3042342.342342345</v>
      </c>
      <c r="G386">
        <v>48</v>
      </c>
      <c r="H386">
        <v>31</v>
      </c>
      <c r="K386">
        <v>50</v>
      </c>
      <c r="L386">
        <v>34</v>
      </c>
      <c r="M386">
        <v>27512072.072072074</v>
      </c>
      <c r="N386">
        <v>35656126.126126125</v>
      </c>
      <c r="O386">
        <v>76145223.423423424</v>
      </c>
      <c r="P386">
        <v>78974549.54954955</v>
      </c>
      <c r="Q386">
        <v>26580000</v>
      </c>
      <c r="R386">
        <v>31427207.207207207</v>
      </c>
      <c r="S386">
        <v>3603</v>
      </c>
      <c r="T386">
        <v>3595</v>
      </c>
    </row>
    <row r="387" spans="1:20" x14ac:dyDescent="0.35">
      <c r="A387" s="7" t="s">
        <v>486</v>
      </c>
      <c r="B387" s="12" t="s">
        <v>135</v>
      </c>
      <c r="C387">
        <v>229820097.16956171</v>
      </c>
      <c r="D387">
        <v>236370121.46788579</v>
      </c>
      <c r="E387">
        <v>1535135.1351351349</v>
      </c>
      <c r="F387">
        <v>1482882.8828828849</v>
      </c>
      <c r="G387">
        <v>60</v>
      </c>
      <c r="H387">
        <v>47</v>
      </c>
      <c r="K387">
        <v>61</v>
      </c>
      <c r="L387">
        <v>56</v>
      </c>
      <c r="M387">
        <v>35173873.873873875</v>
      </c>
      <c r="N387">
        <v>40681981.981981985</v>
      </c>
      <c r="O387">
        <v>44478890.090090089</v>
      </c>
      <c r="P387">
        <v>52185954.954954959</v>
      </c>
      <c r="Q387">
        <v>21234144.144144144</v>
      </c>
      <c r="R387">
        <v>30413873.873873871</v>
      </c>
      <c r="S387">
        <v>4561</v>
      </c>
      <c r="T387">
        <v>4775</v>
      </c>
    </row>
    <row r="388" spans="1:20" x14ac:dyDescent="0.35">
      <c r="A388" s="7" t="s">
        <v>487</v>
      </c>
      <c r="B388" s="12" t="s">
        <v>77</v>
      </c>
      <c r="C388">
        <v>48631265.552030273</v>
      </c>
      <c r="D388">
        <v>64048975.941878445</v>
      </c>
      <c r="E388">
        <v>1076576.576576577</v>
      </c>
      <c r="F388">
        <v>734234.23423423502</v>
      </c>
      <c r="G388">
        <v>14</v>
      </c>
      <c r="H388">
        <v>18</v>
      </c>
      <c r="K388">
        <v>15</v>
      </c>
      <c r="L388">
        <v>20</v>
      </c>
      <c r="M388">
        <v>10709099.0990991</v>
      </c>
      <c r="N388">
        <v>12909009.009009007</v>
      </c>
      <c r="O388">
        <v>19573086.486486487</v>
      </c>
      <c r="P388">
        <v>23163468.468468469</v>
      </c>
      <c r="Q388">
        <v>10251257.657657659</v>
      </c>
      <c r="R388">
        <v>12282702.702702705</v>
      </c>
      <c r="S388">
        <v>1460</v>
      </c>
      <c r="T388">
        <v>1608</v>
      </c>
    </row>
    <row r="389" spans="1:20" x14ac:dyDescent="0.35">
      <c r="A389" s="7" t="s">
        <v>488</v>
      </c>
      <c r="B389" s="12" t="s">
        <v>308</v>
      </c>
      <c r="C389">
        <v>395730094.71572393</v>
      </c>
      <c r="D389">
        <v>395459176.46958953</v>
      </c>
      <c r="E389">
        <v>4016216.216216221</v>
      </c>
      <c r="F389">
        <v>5155855.8558558552</v>
      </c>
      <c r="G389">
        <v>154</v>
      </c>
      <c r="H389">
        <v>99</v>
      </c>
      <c r="K389">
        <v>181</v>
      </c>
      <c r="L389">
        <v>115</v>
      </c>
      <c r="M389">
        <v>101620810.81081082</v>
      </c>
      <c r="N389">
        <v>102218783.78378378</v>
      </c>
      <c r="O389">
        <v>168538990.99099097</v>
      </c>
      <c r="P389">
        <v>172450837.83783782</v>
      </c>
      <c r="Q389">
        <v>82485945.945945948</v>
      </c>
      <c r="R389">
        <v>92704639.639639646</v>
      </c>
      <c r="S389">
        <v>11067</v>
      </c>
      <c r="T389">
        <v>11745</v>
      </c>
    </row>
    <row r="390" spans="1:20" x14ac:dyDescent="0.35">
      <c r="A390" s="7" t="s">
        <v>489</v>
      </c>
      <c r="B390" s="12" t="s">
        <v>316</v>
      </c>
      <c r="C390">
        <v>88518476.840324804</v>
      </c>
      <c r="D390">
        <v>87352787.337351233</v>
      </c>
      <c r="E390">
        <v>1077477.4774774781</v>
      </c>
      <c r="F390">
        <v>903603.60360360902</v>
      </c>
      <c r="G390">
        <v>6</v>
      </c>
      <c r="H390">
        <v>6</v>
      </c>
      <c r="K390">
        <v>7</v>
      </c>
      <c r="L390">
        <v>6</v>
      </c>
      <c r="M390">
        <v>42423333.333333328</v>
      </c>
      <c r="N390">
        <v>54711441.441441439</v>
      </c>
      <c r="O390">
        <v>37767927.927927926</v>
      </c>
      <c r="P390">
        <v>35288936.936936937</v>
      </c>
      <c r="Q390">
        <v>39199189.189189181</v>
      </c>
      <c r="R390">
        <v>53491531.531531528</v>
      </c>
      <c r="S390">
        <v>1589</v>
      </c>
      <c r="T390">
        <v>4494</v>
      </c>
    </row>
    <row r="391" spans="1:20" x14ac:dyDescent="0.35">
      <c r="A391" s="7" t="s">
        <v>490</v>
      </c>
      <c r="B391" s="12" t="s">
        <v>182</v>
      </c>
      <c r="C391">
        <v>206356247.19545686</v>
      </c>
      <c r="D391">
        <v>218096811.37382036</v>
      </c>
      <c r="E391">
        <v>1328378.378378378</v>
      </c>
      <c r="F391">
        <v>1464864.864864866</v>
      </c>
      <c r="G391">
        <v>103</v>
      </c>
      <c r="H391">
        <v>78</v>
      </c>
      <c r="I391">
        <v>1</v>
      </c>
      <c r="K391">
        <v>152</v>
      </c>
      <c r="L391">
        <v>98</v>
      </c>
      <c r="M391">
        <v>23577657.657657657</v>
      </c>
      <c r="N391">
        <v>23717117.117117122</v>
      </c>
      <c r="O391">
        <v>60943045.045045048</v>
      </c>
      <c r="P391">
        <v>69564432.432432428</v>
      </c>
      <c r="Q391">
        <v>21411261.261261266</v>
      </c>
      <c r="R391">
        <v>24840990.990990993</v>
      </c>
      <c r="S391">
        <v>6361</v>
      </c>
      <c r="T391">
        <v>6426</v>
      </c>
    </row>
    <row r="392" spans="1:20" x14ac:dyDescent="0.35">
      <c r="A392" s="7" t="s">
        <v>491</v>
      </c>
      <c r="B392" s="12" t="s">
        <v>221</v>
      </c>
      <c r="C392">
        <v>119650103.68804643</v>
      </c>
      <c r="D392">
        <v>123153112.02813926</v>
      </c>
      <c r="E392">
        <v>60360.360360359999</v>
      </c>
      <c r="G392">
        <v>42</v>
      </c>
      <c r="H392">
        <v>36</v>
      </c>
      <c r="K392">
        <v>49</v>
      </c>
      <c r="L392">
        <v>59</v>
      </c>
      <c r="M392">
        <v>2390450.4504504502</v>
      </c>
      <c r="N392">
        <v>1650450.450450452</v>
      </c>
      <c r="O392">
        <v>29818466.666666664</v>
      </c>
      <c r="P392">
        <v>32577684.684684683</v>
      </c>
      <c r="Q392">
        <v>1653063.063063063</v>
      </c>
      <c r="R392">
        <v>850000.00000000105</v>
      </c>
      <c r="S392">
        <v>3982</v>
      </c>
      <c r="T392">
        <v>4161</v>
      </c>
    </row>
    <row r="393" spans="1:20" x14ac:dyDescent="0.35">
      <c r="A393" s="7" t="s">
        <v>492</v>
      </c>
      <c r="B393" s="12" t="s">
        <v>221</v>
      </c>
      <c r="C393">
        <v>40314773.581409693</v>
      </c>
      <c r="D393">
        <v>29010976.768236045</v>
      </c>
      <c r="E393">
        <v>514361687.38738739</v>
      </c>
      <c r="F393">
        <v>352680576.57657659</v>
      </c>
      <c r="G393">
        <v>22</v>
      </c>
      <c r="H393">
        <v>7</v>
      </c>
      <c r="I393">
        <v>1</v>
      </c>
      <c r="K393">
        <v>25</v>
      </c>
      <c r="L393">
        <v>7</v>
      </c>
      <c r="M393">
        <v>33284504.504504506</v>
      </c>
      <c r="N393">
        <v>24526933.333333332</v>
      </c>
      <c r="O393">
        <v>11988324.324324325</v>
      </c>
      <c r="P393">
        <v>11005763.963963963</v>
      </c>
      <c r="Q393">
        <v>15283513.513513515</v>
      </c>
      <c r="R393">
        <v>11361261.261261262</v>
      </c>
      <c r="S393">
        <v>1186</v>
      </c>
      <c r="T393">
        <v>982</v>
      </c>
    </row>
    <row r="394" spans="1:20" x14ac:dyDescent="0.35">
      <c r="A394" s="7" t="s">
        <v>493</v>
      </c>
      <c r="B394" s="12" t="s">
        <v>61</v>
      </c>
      <c r="C394">
        <v>136463556.85277507</v>
      </c>
      <c r="D394">
        <v>144822850.44378075</v>
      </c>
      <c r="E394">
        <v>2830630.6306306371</v>
      </c>
      <c r="F394">
        <v>2961261.2612612662</v>
      </c>
      <c r="G394">
        <v>31</v>
      </c>
      <c r="H394">
        <v>16</v>
      </c>
      <c r="K394">
        <v>78</v>
      </c>
      <c r="L394">
        <v>23</v>
      </c>
      <c r="M394">
        <v>29780810.810810812</v>
      </c>
      <c r="N394">
        <v>32898198.198198199</v>
      </c>
      <c r="O394">
        <v>61568837.837837838</v>
      </c>
      <c r="P394">
        <v>66949990.990990989</v>
      </c>
      <c r="Q394">
        <v>27569909.909909908</v>
      </c>
      <c r="R394">
        <v>27570090.090090089</v>
      </c>
      <c r="S394">
        <v>4353</v>
      </c>
      <c r="T394">
        <v>3691</v>
      </c>
    </row>
    <row r="395" spans="1:20" x14ac:dyDescent="0.35">
      <c r="A395" s="7" t="s">
        <v>494</v>
      </c>
      <c r="B395" s="12" t="s">
        <v>449</v>
      </c>
      <c r="C395">
        <v>166742688.43765646</v>
      </c>
      <c r="D395">
        <v>162381862.19944561</v>
      </c>
      <c r="E395">
        <v>228828.82882882899</v>
      </c>
      <c r="F395">
        <v>1810810.8108108139</v>
      </c>
      <c r="G395">
        <v>105</v>
      </c>
      <c r="H395">
        <v>71</v>
      </c>
      <c r="K395">
        <v>196</v>
      </c>
      <c r="L395">
        <v>116</v>
      </c>
      <c r="M395">
        <v>11820720.720720721</v>
      </c>
      <c r="N395">
        <v>23503378.378378376</v>
      </c>
      <c r="O395">
        <v>59866738.738738738</v>
      </c>
      <c r="P395">
        <v>65495657.657657653</v>
      </c>
      <c r="Q395">
        <v>12962252.252252255</v>
      </c>
      <c r="R395">
        <v>23290360.360360362</v>
      </c>
      <c r="S395">
        <v>6446</v>
      </c>
      <c r="T395">
        <v>4344</v>
      </c>
    </row>
    <row r="396" spans="1:20" x14ac:dyDescent="0.35">
      <c r="A396" s="7" t="s">
        <v>7</v>
      </c>
      <c r="B396" s="12" t="s">
        <v>194</v>
      </c>
      <c r="C396">
        <v>141469894.0978041</v>
      </c>
      <c r="D396">
        <v>138327555.25977108</v>
      </c>
      <c r="E396">
        <v>290990.99099099298</v>
      </c>
      <c r="F396">
        <v>147747.74774774801</v>
      </c>
      <c r="G396">
        <v>42</v>
      </c>
      <c r="H396">
        <v>37</v>
      </c>
      <c r="K396">
        <v>51</v>
      </c>
      <c r="L396">
        <v>50</v>
      </c>
      <c r="M396">
        <v>26045495.495495494</v>
      </c>
      <c r="N396">
        <v>36399549.54954955</v>
      </c>
      <c r="O396">
        <v>98916720.720720723</v>
      </c>
      <c r="P396">
        <v>92311828.828828827</v>
      </c>
      <c r="Q396">
        <v>26878108.108108107</v>
      </c>
      <c r="R396">
        <v>37531081.081081077</v>
      </c>
      <c r="S396">
        <v>5025</v>
      </c>
      <c r="T396">
        <v>4883</v>
      </c>
    </row>
    <row r="397" spans="1:20" x14ac:dyDescent="0.35">
      <c r="A397" s="7" t="s">
        <v>495</v>
      </c>
      <c r="B397" s="12" t="s">
        <v>331</v>
      </c>
      <c r="C397">
        <v>161525806.71756405</v>
      </c>
      <c r="D397">
        <v>162399990.83298916</v>
      </c>
      <c r="E397">
        <v>290090.09009009</v>
      </c>
      <c r="F397">
        <v>150450.450450451</v>
      </c>
      <c r="G397">
        <v>83</v>
      </c>
      <c r="H397">
        <v>67</v>
      </c>
      <c r="K397">
        <v>141</v>
      </c>
      <c r="L397">
        <v>82</v>
      </c>
      <c r="M397">
        <v>7353873.8738738745</v>
      </c>
      <c r="N397">
        <v>8739639.6396396384</v>
      </c>
      <c r="O397">
        <v>40068009.009009011</v>
      </c>
      <c r="P397">
        <v>42826648.648648649</v>
      </c>
      <c r="Q397">
        <v>6614054.0540540544</v>
      </c>
      <c r="R397">
        <v>8116846.8468468469</v>
      </c>
      <c r="S397">
        <v>6197</v>
      </c>
      <c r="T397">
        <v>5897</v>
      </c>
    </row>
    <row r="398" spans="1:20" x14ac:dyDescent="0.35">
      <c r="A398" s="7" t="s">
        <v>496</v>
      </c>
      <c r="B398" s="12" t="s">
        <v>331</v>
      </c>
      <c r="C398">
        <v>275058183.89857996</v>
      </c>
      <c r="D398">
        <v>278935424.95611858</v>
      </c>
      <c r="E398">
        <v>1513288.2882882911</v>
      </c>
      <c r="F398">
        <v>52634234.234234244</v>
      </c>
      <c r="G398">
        <v>129</v>
      </c>
      <c r="H398">
        <v>90</v>
      </c>
      <c r="K398">
        <v>145</v>
      </c>
      <c r="L398">
        <v>111</v>
      </c>
      <c r="M398">
        <v>10413558.558558563</v>
      </c>
      <c r="N398">
        <v>15367792.792792792</v>
      </c>
      <c r="O398">
        <v>63938022.522522517</v>
      </c>
      <c r="P398">
        <v>68609891.891891882</v>
      </c>
      <c r="Q398">
        <v>10009099.0990991</v>
      </c>
      <c r="R398">
        <v>16492612.612612614</v>
      </c>
      <c r="S398">
        <v>6989</v>
      </c>
      <c r="T398">
        <v>7119</v>
      </c>
    </row>
    <row r="399" spans="1:20" x14ac:dyDescent="0.35">
      <c r="A399" s="7" t="s">
        <v>497</v>
      </c>
      <c r="B399" s="12" t="s">
        <v>331</v>
      </c>
      <c r="C399">
        <v>276395157.14701331</v>
      </c>
      <c r="D399">
        <v>255452945.93324316</v>
      </c>
      <c r="E399">
        <v>3208783.7837837851</v>
      </c>
      <c r="F399">
        <v>2333333.3333333391</v>
      </c>
      <c r="G399">
        <v>129</v>
      </c>
      <c r="H399">
        <v>108</v>
      </c>
      <c r="K399">
        <v>178</v>
      </c>
      <c r="L399">
        <v>148</v>
      </c>
      <c r="M399">
        <v>31376576.576576576</v>
      </c>
      <c r="N399">
        <v>28589909.909909911</v>
      </c>
      <c r="O399">
        <v>62138720.720720723</v>
      </c>
      <c r="P399">
        <v>62026153.153153151</v>
      </c>
      <c r="Q399">
        <v>32213243.243243244</v>
      </c>
      <c r="R399">
        <v>29287747.747747749</v>
      </c>
      <c r="S399">
        <v>8126</v>
      </c>
      <c r="T399">
        <v>7995</v>
      </c>
    </row>
    <row r="400" spans="1:20" x14ac:dyDescent="0.35">
      <c r="A400" s="7" t="s">
        <v>498</v>
      </c>
      <c r="B400" s="12" t="s">
        <v>331</v>
      </c>
      <c r="C400">
        <v>1070451565.2211684</v>
      </c>
      <c r="D400">
        <v>1006238222.6698115</v>
      </c>
      <c r="E400">
        <v>1009900437.8378378</v>
      </c>
      <c r="F400">
        <v>15249311.711711727</v>
      </c>
      <c r="G400">
        <v>798</v>
      </c>
      <c r="H400">
        <v>502</v>
      </c>
      <c r="K400">
        <v>1431</v>
      </c>
      <c r="L400">
        <v>591</v>
      </c>
      <c r="M400">
        <v>315623934.23423421</v>
      </c>
      <c r="N400">
        <v>381341834.23423421</v>
      </c>
      <c r="O400">
        <v>233556360.36036035</v>
      </c>
      <c r="P400">
        <v>217632414.41441441</v>
      </c>
      <c r="Q400">
        <v>162742612.61261261</v>
      </c>
      <c r="R400">
        <v>298530270.27027029</v>
      </c>
      <c r="S400">
        <v>28164</v>
      </c>
      <c r="T400">
        <v>27290</v>
      </c>
    </row>
    <row r="401" spans="1:20" x14ac:dyDescent="0.35">
      <c r="A401" s="7" t="s">
        <v>499</v>
      </c>
      <c r="B401" s="12" t="s">
        <v>331</v>
      </c>
      <c r="C401">
        <v>848947604.10575736</v>
      </c>
      <c r="D401">
        <v>823692836.82713783</v>
      </c>
      <c r="E401">
        <v>6776576.5765765803</v>
      </c>
      <c r="F401">
        <v>3393693.6936937072</v>
      </c>
      <c r="G401">
        <v>333</v>
      </c>
      <c r="H401">
        <v>269</v>
      </c>
      <c r="I401">
        <v>2</v>
      </c>
      <c r="K401">
        <v>407</v>
      </c>
      <c r="L401">
        <v>355</v>
      </c>
      <c r="M401">
        <v>181272072.07207206</v>
      </c>
      <c r="N401">
        <v>103990090.0900901</v>
      </c>
      <c r="O401">
        <v>223018939.1891892</v>
      </c>
      <c r="P401">
        <v>220806830.63063061</v>
      </c>
      <c r="Q401">
        <v>176078198.1981982</v>
      </c>
      <c r="R401">
        <v>106635045.04504503</v>
      </c>
      <c r="S401">
        <v>25517</v>
      </c>
      <c r="T401">
        <v>25993</v>
      </c>
    </row>
    <row r="402" spans="1:20" x14ac:dyDescent="0.35">
      <c r="A402" s="7" t="s">
        <v>500</v>
      </c>
      <c r="B402" s="12" t="s">
        <v>144</v>
      </c>
      <c r="C402">
        <v>354876233.82913339</v>
      </c>
      <c r="D402">
        <v>370350183.22153956</v>
      </c>
      <c r="E402">
        <v>105317705.4054054</v>
      </c>
      <c r="F402">
        <v>109970721.62162164</v>
      </c>
      <c r="G402">
        <v>214</v>
      </c>
      <c r="H402">
        <v>53</v>
      </c>
      <c r="K402">
        <v>229</v>
      </c>
      <c r="L402">
        <v>72</v>
      </c>
      <c r="M402">
        <v>42667567.567567565</v>
      </c>
      <c r="N402">
        <v>48516216.216216214</v>
      </c>
      <c r="O402">
        <v>56465998.198198199</v>
      </c>
      <c r="P402">
        <v>67644477.477477476</v>
      </c>
      <c r="Q402">
        <v>22793153.153153151</v>
      </c>
      <c r="R402">
        <v>20985765.765765764</v>
      </c>
      <c r="S402">
        <v>8233</v>
      </c>
      <c r="T402">
        <v>8311</v>
      </c>
    </row>
    <row r="403" spans="1:20" x14ac:dyDescent="0.35">
      <c r="A403" s="7" t="s">
        <v>501</v>
      </c>
      <c r="B403" s="12" t="s">
        <v>221</v>
      </c>
      <c r="C403">
        <v>423960735.88908094</v>
      </c>
      <c r="D403">
        <v>445055230.13557798</v>
      </c>
      <c r="E403">
        <v>4565990.9909909973</v>
      </c>
      <c r="F403">
        <v>12374774.77477478</v>
      </c>
      <c r="G403">
        <v>189</v>
      </c>
      <c r="H403">
        <v>211</v>
      </c>
      <c r="I403">
        <v>5</v>
      </c>
      <c r="K403">
        <v>241</v>
      </c>
      <c r="L403">
        <v>274</v>
      </c>
      <c r="M403">
        <v>167048018.01801801</v>
      </c>
      <c r="N403">
        <v>297572882.88288289</v>
      </c>
      <c r="O403">
        <v>129463761.26126127</v>
      </c>
      <c r="P403">
        <v>138916567.56756756</v>
      </c>
      <c r="Q403">
        <v>167254324.32432431</v>
      </c>
      <c r="R403">
        <v>279389459.45945948</v>
      </c>
      <c r="S403">
        <v>12020</v>
      </c>
      <c r="T403">
        <v>12218</v>
      </c>
    </row>
    <row r="404" spans="1:20" x14ac:dyDescent="0.35">
      <c r="A404" s="7" t="s">
        <v>502</v>
      </c>
      <c r="B404" s="12" t="s">
        <v>398</v>
      </c>
      <c r="C404">
        <v>1197301007.2526622</v>
      </c>
      <c r="D404">
        <v>1226509359.5811608</v>
      </c>
      <c r="E404">
        <v>174932722.52252254</v>
      </c>
      <c r="F404">
        <v>290515394.5945946</v>
      </c>
      <c r="G404">
        <v>372</v>
      </c>
      <c r="H404">
        <v>241</v>
      </c>
      <c r="K404">
        <v>489</v>
      </c>
      <c r="L404">
        <v>297</v>
      </c>
      <c r="M404">
        <v>135029954.95495495</v>
      </c>
      <c r="N404">
        <v>161947702.7027027</v>
      </c>
      <c r="O404">
        <v>256669151.35135135</v>
      </c>
      <c r="P404">
        <v>277232273.87387389</v>
      </c>
      <c r="Q404">
        <v>123400315.31531531</v>
      </c>
      <c r="R404">
        <v>143581846.84684685</v>
      </c>
      <c r="S404">
        <v>27162</v>
      </c>
      <c r="T404">
        <v>27168</v>
      </c>
    </row>
    <row r="405" spans="1:20" x14ac:dyDescent="0.35">
      <c r="A405" s="7" t="s">
        <v>503</v>
      </c>
      <c r="B405" s="12" t="s">
        <v>71</v>
      </c>
      <c r="C405">
        <v>18486820.415809743</v>
      </c>
      <c r="D405">
        <v>18630250.290115938</v>
      </c>
      <c r="E405">
        <v>229729.72972973</v>
      </c>
      <c r="F405">
        <v>663513.51351351303</v>
      </c>
      <c r="G405">
        <v>7</v>
      </c>
      <c r="H405">
        <v>6</v>
      </c>
      <c r="K405">
        <v>9</v>
      </c>
      <c r="L405">
        <v>8</v>
      </c>
      <c r="M405">
        <v>959459.45945945999</v>
      </c>
      <c r="N405">
        <v>2768018.018018018</v>
      </c>
      <c r="O405">
        <v>13200126.126126125</v>
      </c>
      <c r="P405">
        <v>14293693.693693694</v>
      </c>
      <c r="Q405">
        <v>765135.13513513503</v>
      </c>
      <c r="R405">
        <v>2149459.4594594589</v>
      </c>
      <c r="S405">
        <v>705</v>
      </c>
      <c r="T405">
        <v>710</v>
      </c>
    </row>
    <row r="406" spans="1:20" x14ac:dyDescent="0.35">
      <c r="A406" s="7" t="s">
        <v>504</v>
      </c>
      <c r="B406" s="12" t="s">
        <v>331</v>
      </c>
      <c r="C406">
        <v>508013019.40685058</v>
      </c>
      <c r="D406">
        <v>501768624.91648179</v>
      </c>
      <c r="E406">
        <v>4050225.2252252279</v>
      </c>
      <c r="F406">
        <v>3889189.1891891961</v>
      </c>
      <c r="G406">
        <v>199</v>
      </c>
      <c r="H406">
        <v>158</v>
      </c>
      <c r="K406">
        <v>246</v>
      </c>
      <c r="L406">
        <v>191</v>
      </c>
      <c r="M406">
        <v>54148468.468468465</v>
      </c>
      <c r="N406">
        <v>65319819.819819815</v>
      </c>
      <c r="O406">
        <v>139462578.82882884</v>
      </c>
      <c r="P406">
        <v>133735736.93693694</v>
      </c>
      <c r="Q406">
        <v>52823603.603603601</v>
      </c>
      <c r="R406">
        <v>68309909.909909919</v>
      </c>
      <c r="S406">
        <v>15864</v>
      </c>
      <c r="T406">
        <v>16206</v>
      </c>
    </row>
    <row r="407" spans="1:20" x14ac:dyDescent="0.35">
      <c r="A407" s="7" t="s">
        <v>505</v>
      </c>
      <c r="B407" s="12" t="s">
        <v>284</v>
      </c>
      <c r="C407">
        <v>154202843.00735533</v>
      </c>
      <c r="D407">
        <v>165617603.14314914</v>
      </c>
      <c r="E407">
        <v>296396.39639639598</v>
      </c>
      <c r="F407">
        <v>1755855.855855857</v>
      </c>
      <c r="G407">
        <v>29</v>
      </c>
      <c r="H407">
        <v>11</v>
      </c>
      <c r="K407">
        <v>30</v>
      </c>
      <c r="L407">
        <v>13</v>
      </c>
      <c r="M407">
        <v>14548648.648648648</v>
      </c>
      <c r="N407">
        <v>13548648.648648648</v>
      </c>
      <c r="O407">
        <v>27419621.62162162</v>
      </c>
      <c r="P407">
        <v>32105864.864864863</v>
      </c>
      <c r="Q407">
        <v>12200540.540540541</v>
      </c>
      <c r="R407">
        <v>12895675.675675675</v>
      </c>
      <c r="S407">
        <v>2882</v>
      </c>
      <c r="T407">
        <v>2991</v>
      </c>
    </row>
    <row r="408" spans="1:20" x14ac:dyDescent="0.35">
      <c r="A408" s="7" t="s">
        <v>506</v>
      </c>
      <c r="B408" s="12" t="s">
        <v>261</v>
      </c>
      <c r="C408">
        <v>94394384.511907741</v>
      </c>
      <c r="D408">
        <v>110188133.47956759</v>
      </c>
      <c r="E408">
        <v>54954.954954954999</v>
      </c>
      <c r="F408">
        <v>13513.513513514001</v>
      </c>
      <c r="G408">
        <v>4</v>
      </c>
      <c r="H408">
        <v>12</v>
      </c>
      <c r="K408">
        <v>5</v>
      </c>
      <c r="L408">
        <v>16</v>
      </c>
      <c r="M408">
        <v>1865765.7657657659</v>
      </c>
      <c r="N408">
        <v>2716216.2162162168</v>
      </c>
      <c r="O408">
        <v>21333720.72072072</v>
      </c>
      <c r="P408">
        <v>30787322.52252252</v>
      </c>
      <c r="Q408">
        <v>1402702.7027027039</v>
      </c>
      <c r="R408">
        <v>3331981.9819819811</v>
      </c>
      <c r="S408">
        <v>2167</v>
      </c>
      <c r="T408">
        <v>2293</v>
      </c>
    </row>
    <row r="409" spans="1:20" x14ac:dyDescent="0.35">
      <c r="A409" s="7" t="s">
        <v>507</v>
      </c>
      <c r="B409" s="12" t="s">
        <v>237</v>
      </c>
      <c r="C409">
        <v>233302637.48155963</v>
      </c>
      <c r="D409">
        <v>232729377.91131553</v>
      </c>
      <c r="E409">
        <v>830180.18018018198</v>
      </c>
      <c r="F409">
        <v>2832432.4324324438</v>
      </c>
      <c r="G409">
        <v>44</v>
      </c>
      <c r="H409">
        <v>96</v>
      </c>
      <c r="I409">
        <v>1</v>
      </c>
      <c r="K409">
        <v>180</v>
      </c>
      <c r="L409">
        <v>159</v>
      </c>
      <c r="M409">
        <v>51221261.261261255</v>
      </c>
      <c r="N409">
        <v>42987837.837837838</v>
      </c>
      <c r="O409">
        <v>52660009.009009011</v>
      </c>
      <c r="P409">
        <v>54990891.891891889</v>
      </c>
      <c r="Q409">
        <v>49416576.576576576</v>
      </c>
      <c r="R409">
        <v>37548918.918918923</v>
      </c>
      <c r="S409">
        <v>4538</v>
      </c>
      <c r="T409">
        <v>4497</v>
      </c>
    </row>
    <row r="410" spans="1:20" x14ac:dyDescent="0.35">
      <c r="A410" s="7" t="s">
        <v>508</v>
      </c>
      <c r="B410" s="12" t="s">
        <v>135</v>
      </c>
      <c r="C410">
        <v>25483279.453687668</v>
      </c>
      <c r="D410">
        <v>39774712.146809824</v>
      </c>
      <c r="G410">
        <v>1</v>
      </c>
      <c r="H410">
        <v>1</v>
      </c>
      <c r="K410">
        <v>1</v>
      </c>
      <c r="L410">
        <v>1</v>
      </c>
      <c r="O410">
        <v>4137963.963963964</v>
      </c>
      <c r="P410">
        <v>6952234.2342342343</v>
      </c>
      <c r="S410">
        <v>1197</v>
      </c>
      <c r="T410">
        <v>1178</v>
      </c>
    </row>
    <row r="411" spans="1:20" x14ac:dyDescent="0.35">
      <c r="A411" s="7" t="s">
        <v>509</v>
      </c>
      <c r="B411" s="12" t="s">
        <v>398</v>
      </c>
      <c r="C411">
        <v>243525901.40562358</v>
      </c>
      <c r="D411">
        <v>250875518.27734038</v>
      </c>
      <c r="E411">
        <v>1106306.306306307</v>
      </c>
      <c r="F411">
        <v>657207.20720720803</v>
      </c>
      <c r="G411">
        <v>42</v>
      </c>
      <c r="H411">
        <v>50</v>
      </c>
      <c r="K411">
        <v>70</v>
      </c>
      <c r="L411">
        <v>59</v>
      </c>
      <c r="M411">
        <v>28650000</v>
      </c>
      <c r="N411">
        <v>26756081.081081081</v>
      </c>
      <c r="O411">
        <v>37986864.864864863</v>
      </c>
      <c r="P411">
        <v>39757135.135135137</v>
      </c>
      <c r="Q411">
        <v>25849189.189189188</v>
      </c>
      <c r="R411">
        <v>24001216.216216218</v>
      </c>
      <c r="S411">
        <v>5641</v>
      </c>
      <c r="T411">
        <v>4522</v>
      </c>
    </row>
    <row r="412" spans="1:20" x14ac:dyDescent="0.35">
      <c r="A412" s="7" t="s">
        <v>510</v>
      </c>
      <c r="B412" s="12" t="s">
        <v>135</v>
      </c>
      <c r="C412">
        <v>270813725.40277106</v>
      </c>
      <c r="D412">
        <v>289183431.64449191</v>
      </c>
      <c r="E412">
        <v>1491891.891891897</v>
      </c>
      <c r="F412">
        <v>2031531.5315315339</v>
      </c>
      <c r="G412">
        <v>68</v>
      </c>
      <c r="H412">
        <v>57</v>
      </c>
      <c r="K412">
        <v>75</v>
      </c>
      <c r="L412">
        <v>64</v>
      </c>
      <c r="M412">
        <v>26775675.675675675</v>
      </c>
      <c r="N412">
        <v>32258558.558558557</v>
      </c>
      <c r="O412">
        <v>44372889.639639638</v>
      </c>
      <c r="P412">
        <v>50458126.126126125</v>
      </c>
      <c r="Q412">
        <v>21343153.153153151</v>
      </c>
      <c r="R412">
        <v>25305135.135135137</v>
      </c>
      <c r="S412">
        <v>6885</v>
      </c>
      <c r="T412">
        <v>6338</v>
      </c>
    </row>
    <row r="413" spans="1:20" x14ac:dyDescent="0.35">
      <c r="A413" s="7" t="s">
        <v>511</v>
      </c>
      <c r="B413" s="12" t="s">
        <v>135</v>
      </c>
      <c r="C413">
        <v>743084860.70254958</v>
      </c>
      <c r="D413">
        <v>770263478.85373592</v>
      </c>
      <c r="E413">
        <v>4219819.8198198266</v>
      </c>
      <c r="F413">
        <v>6450450.4504504567</v>
      </c>
      <c r="G413">
        <v>155</v>
      </c>
      <c r="H413">
        <v>129</v>
      </c>
      <c r="K413">
        <v>215</v>
      </c>
      <c r="L413">
        <v>170</v>
      </c>
      <c r="M413">
        <v>56122522.522522517</v>
      </c>
      <c r="N413">
        <v>71900000</v>
      </c>
      <c r="O413">
        <v>77827216.216216221</v>
      </c>
      <c r="P413">
        <v>89340720.720720723</v>
      </c>
      <c r="Q413">
        <v>52357297.297297299</v>
      </c>
      <c r="R413">
        <v>65448468.468468472</v>
      </c>
      <c r="S413">
        <v>16247</v>
      </c>
      <c r="T413">
        <v>16767</v>
      </c>
    </row>
    <row r="414" spans="1:20" x14ac:dyDescent="0.35">
      <c r="A414" s="7" t="s">
        <v>8</v>
      </c>
      <c r="B414" s="12" t="s">
        <v>159</v>
      </c>
      <c r="C414">
        <v>195272934.37521195</v>
      </c>
      <c r="D414">
        <v>199389472.29399139</v>
      </c>
      <c r="E414">
        <v>4070270.2702702731</v>
      </c>
      <c r="F414">
        <v>3431531.5315315332</v>
      </c>
      <c r="G414">
        <v>17</v>
      </c>
      <c r="H414">
        <v>45</v>
      </c>
      <c r="K414">
        <v>18</v>
      </c>
      <c r="L414">
        <v>46</v>
      </c>
      <c r="M414">
        <v>25445945.945945945</v>
      </c>
      <c r="N414">
        <v>39840540.540540546</v>
      </c>
      <c r="O414">
        <v>56910468.468468472</v>
      </c>
      <c r="P414">
        <v>60629792.79279279</v>
      </c>
      <c r="Q414">
        <v>23465945.945945945</v>
      </c>
      <c r="R414">
        <v>35972882.882882886</v>
      </c>
      <c r="S414">
        <v>3764</v>
      </c>
      <c r="T414">
        <v>3690</v>
      </c>
    </row>
    <row r="415" spans="1:20" x14ac:dyDescent="0.35">
      <c r="A415" s="7" t="s">
        <v>512</v>
      </c>
      <c r="B415" s="12" t="s">
        <v>135</v>
      </c>
      <c r="C415">
        <v>142419911.99488169</v>
      </c>
      <c r="D415">
        <v>165320101.30978063</v>
      </c>
      <c r="E415">
        <v>563063.06306306296</v>
      </c>
      <c r="F415">
        <v>441441.441441442</v>
      </c>
      <c r="G415">
        <v>12</v>
      </c>
      <c r="K415">
        <v>13</v>
      </c>
      <c r="M415">
        <v>5968468.4684684686</v>
      </c>
      <c r="N415">
        <v>13504504.504504504</v>
      </c>
      <c r="O415">
        <v>19941324.324324325</v>
      </c>
      <c r="P415">
        <v>25834927.927927926</v>
      </c>
      <c r="Q415">
        <v>4216306.3063063063</v>
      </c>
      <c r="R415">
        <v>5084504.5045045046</v>
      </c>
      <c r="S415">
        <v>3926</v>
      </c>
      <c r="T415">
        <v>3146</v>
      </c>
    </row>
    <row r="416" spans="1:20" x14ac:dyDescent="0.35">
      <c r="A416" s="7" t="s">
        <v>513</v>
      </c>
      <c r="B416" s="12" t="s">
        <v>63</v>
      </c>
      <c r="C416">
        <v>618725946.72745013</v>
      </c>
      <c r="D416">
        <v>608231346.50707543</v>
      </c>
      <c r="E416">
        <v>580047301.8018018</v>
      </c>
      <c r="F416">
        <v>770199563.06306303</v>
      </c>
      <c r="G416">
        <v>178</v>
      </c>
      <c r="H416">
        <v>76</v>
      </c>
      <c r="K416">
        <v>250</v>
      </c>
      <c r="L416">
        <v>128</v>
      </c>
      <c r="M416">
        <v>158087918.01801801</v>
      </c>
      <c r="N416">
        <v>92652826.126126125</v>
      </c>
      <c r="O416">
        <v>128847984.68468469</v>
      </c>
      <c r="P416">
        <v>136958167.56756756</v>
      </c>
      <c r="Q416">
        <v>99797387.387387395</v>
      </c>
      <c r="R416">
        <v>49738241.441441439</v>
      </c>
      <c r="S416">
        <v>14245</v>
      </c>
      <c r="T416">
        <v>14736</v>
      </c>
    </row>
    <row r="417" spans="1:20" x14ac:dyDescent="0.35">
      <c r="A417" s="7" t="s">
        <v>514</v>
      </c>
      <c r="B417" s="12" t="s">
        <v>118</v>
      </c>
      <c r="C417">
        <v>64534578.538960062</v>
      </c>
      <c r="D417">
        <v>55640350.002023056</v>
      </c>
      <c r="E417">
        <v>4906306.3063063072</v>
      </c>
      <c r="F417">
        <v>92683063.06306307</v>
      </c>
      <c r="G417">
        <v>29</v>
      </c>
      <c r="H417">
        <v>23</v>
      </c>
      <c r="K417">
        <v>30</v>
      </c>
      <c r="L417">
        <v>26</v>
      </c>
      <c r="M417">
        <v>5972792.7927927924</v>
      </c>
      <c r="N417">
        <v>6430855.855855857</v>
      </c>
      <c r="O417">
        <v>27620018.018018015</v>
      </c>
      <c r="P417">
        <v>25672693.693693694</v>
      </c>
      <c r="Q417">
        <v>2975315.3153153169</v>
      </c>
      <c r="R417">
        <v>4144909.9099099101</v>
      </c>
      <c r="S417">
        <v>2015</v>
      </c>
      <c r="T417">
        <v>1937</v>
      </c>
    </row>
    <row r="418" spans="1:20" x14ac:dyDescent="0.35">
      <c r="A418" s="7" t="s">
        <v>515</v>
      </c>
      <c r="B418" s="12" t="s">
        <v>305</v>
      </c>
      <c r="C418">
        <v>116432231.57603592</v>
      </c>
      <c r="D418">
        <v>110830386.22599247</v>
      </c>
      <c r="E418">
        <v>1527027.0270270279</v>
      </c>
      <c r="F418">
        <v>436936.93693693797</v>
      </c>
      <c r="G418">
        <v>64</v>
      </c>
      <c r="H418">
        <v>69</v>
      </c>
      <c r="I418">
        <v>2</v>
      </c>
      <c r="K418">
        <v>67</v>
      </c>
      <c r="L418">
        <v>75</v>
      </c>
      <c r="M418">
        <v>10062612.612612613</v>
      </c>
      <c r="N418">
        <v>4503603.6036036042</v>
      </c>
      <c r="O418">
        <v>11788108.108108109</v>
      </c>
      <c r="P418">
        <v>13627810.810810812</v>
      </c>
      <c r="Q418">
        <v>10211801.801801803</v>
      </c>
      <c r="R418">
        <v>4121981.9819819829</v>
      </c>
      <c r="S418">
        <v>1530</v>
      </c>
      <c r="T418">
        <v>1534</v>
      </c>
    </row>
    <row r="419" spans="1:20" x14ac:dyDescent="0.35">
      <c r="A419" s="7" t="s">
        <v>516</v>
      </c>
      <c r="B419" s="12" t="s">
        <v>305</v>
      </c>
      <c r="C419">
        <v>31646483.936825734</v>
      </c>
      <c r="D419">
        <v>37931387.870734803</v>
      </c>
      <c r="E419">
        <v>248648.64864864899</v>
      </c>
      <c r="F419">
        <v>360360.36036036297</v>
      </c>
      <c r="G419">
        <v>8</v>
      </c>
      <c r="H419">
        <v>6</v>
      </c>
      <c r="K419">
        <v>9</v>
      </c>
      <c r="L419">
        <v>6</v>
      </c>
      <c r="M419">
        <v>4299999.9999999991</v>
      </c>
      <c r="N419">
        <v>6405405.4054054059</v>
      </c>
      <c r="O419">
        <v>4818882.8828828828</v>
      </c>
      <c r="P419">
        <v>6271972.9729729723</v>
      </c>
      <c r="Q419">
        <v>2861531.53153153</v>
      </c>
      <c r="R419">
        <v>4635045.0450450443</v>
      </c>
      <c r="S419">
        <v>619</v>
      </c>
      <c r="T419">
        <v>589</v>
      </c>
    </row>
    <row r="420" spans="1:20" x14ac:dyDescent="0.35">
      <c r="A420" s="7" t="s">
        <v>517</v>
      </c>
      <c r="B420" s="12" t="s">
        <v>305</v>
      </c>
      <c r="C420">
        <v>69502595.458884776</v>
      </c>
      <c r="D420">
        <v>71249154.565287411</v>
      </c>
      <c r="E420">
        <v>715315.31531531399</v>
      </c>
      <c r="F420">
        <v>189189.18918919199</v>
      </c>
      <c r="G420">
        <v>35</v>
      </c>
      <c r="H420">
        <v>20</v>
      </c>
      <c r="K420">
        <v>39</v>
      </c>
      <c r="L420">
        <v>26</v>
      </c>
      <c r="M420">
        <v>3623423.423423423</v>
      </c>
      <c r="N420">
        <v>5873873.8738738727</v>
      </c>
      <c r="O420">
        <v>10192666.666666668</v>
      </c>
      <c r="P420">
        <v>10534162.162162164</v>
      </c>
      <c r="Q420">
        <v>3112972.9729729728</v>
      </c>
      <c r="R420">
        <v>5491891.8918918921</v>
      </c>
      <c r="S420">
        <v>1089</v>
      </c>
      <c r="T420">
        <v>1093</v>
      </c>
    </row>
    <row r="421" spans="1:20" x14ac:dyDescent="0.35">
      <c r="A421" s="7" t="s">
        <v>518</v>
      </c>
      <c r="B421" s="12" t="s">
        <v>305</v>
      </c>
      <c r="C421">
        <v>54374975.818856098</v>
      </c>
      <c r="D421">
        <v>53505342.388173111</v>
      </c>
      <c r="E421">
        <v>108484582.88288288</v>
      </c>
      <c r="F421">
        <v>116531624.32432432</v>
      </c>
      <c r="G421">
        <v>20</v>
      </c>
      <c r="H421">
        <v>15</v>
      </c>
      <c r="K421">
        <v>20</v>
      </c>
      <c r="L421">
        <v>15</v>
      </c>
      <c r="M421">
        <v>1175675.675675676</v>
      </c>
      <c r="N421">
        <v>2090090.0900900899</v>
      </c>
      <c r="O421">
        <v>6912558.558558559</v>
      </c>
      <c r="P421">
        <v>8073414.4144144142</v>
      </c>
      <c r="Q421">
        <v>1076486.4864864859</v>
      </c>
      <c r="R421">
        <v>1240090.090090089</v>
      </c>
      <c r="S421">
        <v>701</v>
      </c>
      <c r="T421">
        <v>736</v>
      </c>
    </row>
    <row r="422" spans="1:20" x14ac:dyDescent="0.35">
      <c r="A422" s="7" t="s">
        <v>519</v>
      </c>
      <c r="B422" s="12" t="s">
        <v>449</v>
      </c>
      <c r="C422">
        <v>55140869.76030805</v>
      </c>
      <c r="D422">
        <v>54312556.235158049</v>
      </c>
      <c r="E422">
        <v>333333.33333333401</v>
      </c>
      <c r="F422">
        <v>1454954.9549549569</v>
      </c>
      <c r="G422">
        <v>13</v>
      </c>
      <c r="H422">
        <v>21</v>
      </c>
      <c r="K422">
        <v>15</v>
      </c>
      <c r="L422">
        <v>28</v>
      </c>
      <c r="M422">
        <v>4147297.297297297</v>
      </c>
      <c r="N422">
        <v>65496666.666666664</v>
      </c>
      <c r="O422">
        <v>18774632.882882878</v>
      </c>
      <c r="P422">
        <v>18545117.117117114</v>
      </c>
      <c r="Q422">
        <v>4009099.0990990978</v>
      </c>
      <c r="R422">
        <v>65112972.972972974</v>
      </c>
      <c r="S422">
        <v>1767</v>
      </c>
      <c r="T422">
        <v>1847</v>
      </c>
    </row>
    <row r="423" spans="1:20" x14ac:dyDescent="0.35">
      <c r="A423" s="7" t="s">
        <v>520</v>
      </c>
      <c r="B423" s="12" t="s">
        <v>86</v>
      </c>
      <c r="C423">
        <v>171421991.94187242</v>
      </c>
      <c r="D423">
        <v>177371018.8670387</v>
      </c>
      <c r="E423">
        <v>168078619.81981981</v>
      </c>
      <c r="F423">
        <v>379223681.98198199</v>
      </c>
      <c r="G423">
        <v>28</v>
      </c>
      <c r="H423">
        <v>11</v>
      </c>
      <c r="K423">
        <v>33</v>
      </c>
      <c r="L423">
        <v>15</v>
      </c>
      <c r="M423">
        <v>62139189.189189196</v>
      </c>
      <c r="N423">
        <v>67853243.243243247</v>
      </c>
      <c r="O423">
        <v>42827675.675675675</v>
      </c>
      <c r="P423">
        <v>51337072.072072074</v>
      </c>
      <c r="Q423">
        <v>25089142.342342343</v>
      </c>
      <c r="R423">
        <v>41166306.306306303</v>
      </c>
      <c r="S423">
        <v>4076</v>
      </c>
      <c r="T423">
        <v>3999</v>
      </c>
    </row>
    <row r="424" spans="1:20" x14ac:dyDescent="0.35">
      <c r="A424" s="7" t="s">
        <v>521</v>
      </c>
      <c r="B424" s="12" t="s">
        <v>305</v>
      </c>
      <c r="C424">
        <v>88459359.037417293</v>
      </c>
      <c r="D424">
        <v>89367501.515830681</v>
      </c>
      <c r="E424">
        <v>44144.144144143997</v>
      </c>
      <c r="G424">
        <v>12</v>
      </c>
      <c r="H424">
        <v>13</v>
      </c>
      <c r="K424">
        <v>13</v>
      </c>
      <c r="L424">
        <v>14</v>
      </c>
      <c r="M424">
        <v>5756756.7567567565</v>
      </c>
      <c r="N424">
        <v>3873873.8738738731</v>
      </c>
      <c r="O424">
        <v>14834202.702702705</v>
      </c>
      <c r="P424">
        <v>16877513.513513513</v>
      </c>
      <c r="Q424">
        <v>2585675.6756756748</v>
      </c>
      <c r="R424">
        <v>3650090.090090089</v>
      </c>
      <c r="S424">
        <v>1347</v>
      </c>
      <c r="T424">
        <v>1335</v>
      </c>
    </row>
    <row r="425" spans="1:20" x14ac:dyDescent="0.35">
      <c r="A425" s="7" t="s">
        <v>522</v>
      </c>
      <c r="B425" s="12" t="s">
        <v>400</v>
      </c>
      <c r="C425">
        <v>604368118.60380745</v>
      </c>
      <c r="D425">
        <v>609284533.98603666</v>
      </c>
      <c r="E425">
        <v>9564864.8648648672</v>
      </c>
      <c r="F425">
        <v>5918018.0180180231</v>
      </c>
      <c r="G425">
        <v>267</v>
      </c>
      <c r="H425">
        <v>134</v>
      </c>
      <c r="I425">
        <v>1</v>
      </c>
      <c r="K425">
        <v>587</v>
      </c>
      <c r="L425">
        <v>250</v>
      </c>
      <c r="M425">
        <v>102059909.9099099</v>
      </c>
      <c r="N425">
        <v>133631981.98198198</v>
      </c>
      <c r="O425">
        <v>154123099.0990991</v>
      </c>
      <c r="P425">
        <v>157417270.27027026</v>
      </c>
      <c r="Q425">
        <v>94436576.576576576</v>
      </c>
      <c r="R425">
        <v>124427700.9009009</v>
      </c>
      <c r="S425">
        <v>14486</v>
      </c>
      <c r="T425">
        <v>13933</v>
      </c>
    </row>
    <row r="426" spans="1:20" x14ac:dyDescent="0.35">
      <c r="A426" s="7" t="s">
        <v>523</v>
      </c>
      <c r="B426" s="12" t="s">
        <v>144</v>
      </c>
      <c r="C426">
        <v>170172739.2201125</v>
      </c>
      <c r="D426">
        <v>180598921.00424641</v>
      </c>
      <c r="E426">
        <v>303603.60360360402</v>
      </c>
      <c r="F426">
        <v>337837.83783783799</v>
      </c>
      <c r="G426">
        <v>52</v>
      </c>
      <c r="H426">
        <v>11</v>
      </c>
      <c r="K426">
        <v>55</v>
      </c>
      <c r="L426">
        <v>13</v>
      </c>
      <c r="M426">
        <v>9312612.6126126125</v>
      </c>
      <c r="N426">
        <v>9346846.8468468487</v>
      </c>
      <c r="O426">
        <v>22296036.036036037</v>
      </c>
      <c r="P426">
        <v>22956827.02702703</v>
      </c>
      <c r="Q426">
        <v>9955495.4954954963</v>
      </c>
      <c r="R426">
        <v>7979909.9099099096</v>
      </c>
      <c r="S426">
        <v>2961</v>
      </c>
      <c r="T426">
        <v>3052</v>
      </c>
    </row>
    <row r="427" spans="1:20" x14ac:dyDescent="0.35">
      <c r="A427" s="7" t="s">
        <v>524</v>
      </c>
      <c r="B427" s="12" t="s">
        <v>67</v>
      </c>
      <c r="C427">
        <v>119448540.77324416</v>
      </c>
      <c r="D427">
        <v>110102071.48895067</v>
      </c>
      <c r="E427">
        <v>2609909.9099099119</v>
      </c>
      <c r="F427">
        <v>1841441.441441441</v>
      </c>
      <c r="G427">
        <v>26</v>
      </c>
      <c r="H427">
        <v>28</v>
      </c>
      <c r="K427">
        <v>32</v>
      </c>
      <c r="L427">
        <v>30</v>
      </c>
      <c r="M427">
        <v>59630090.090090089</v>
      </c>
      <c r="N427">
        <v>30624324.324324325</v>
      </c>
      <c r="O427">
        <v>56821189.189189196</v>
      </c>
      <c r="P427">
        <v>55937378.378378376</v>
      </c>
      <c r="Q427">
        <v>41092612.612612605</v>
      </c>
      <c r="R427">
        <v>23037657.657657657</v>
      </c>
      <c r="S427">
        <v>3690</v>
      </c>
      <c r="T427">
        <v>3696</v>
      </c>
    </row>
    <row r="428" spans="1:20" x14ac:dyDescent="0.35">
      <c r="A428" s="7" t="s">
        <v>525</v>
      </c>
      <c r="B428" s="12" t="s">
        <v>221</v>
      </c>
      <c r="C428">
        <v>153108315.89873618</v>
      </c>
      <c r="D428">
        <v>155208834.78292736</v>
      </c>
      <c r="E428">
        <v>657657.65765765705</v>
      </c>
      <c r="F428">
        <v>243243.24324324401</v>
      </c>
      <c r="G428">
        <v>54</v>
      </c>
      <c r="H428">
        <v>50</v>
      </c>
      <c r="K428">
        <v>61</v>
      </c>
      <c r="L428">
        <v>53</v>
      </c>
      <c r="M428">
        <v>11477477.477477476</v>
      </c>
      <c r="N428">
        <v>9346621.6216216199</v>
      </c>
      <c r="O428">
        <v>38158882.882882878</v>
      </c>
      <c r="P428">
        <v>41728980.180180177</v>
      </c>
      <c r="Q428">
        <v>8223333.3333333321</v>
      </c>
      <c r="R428">
        <v>5991036.036036035</v>
      </c>
      <c r="S428">
        <v>4285</v>
      </c>
      <c r="T428">
        <v>4370</v>
      </c>
    </row>
    <row r="429" spans="1:20" x14ac:dyDescent="0.35">
      <c r="A429" s="7" t="s">
        <v>526</v>
      </c>
      <c r="B429" s="12" t="s">
        <v>414</v>
      </c>
      <c r="C429">
        <v>1690600010.2083349</v>
      </c>
      <c r="D429">
        <v>1718093531.920356</v>
      </c>
      <c r="E429">
        <v>556132181.08108103</v>
      </c>
      <c r="F429">
        <v>498828691.8918919</v>
      </c>
      <c r="G429">
        <v>434</v>
      </c>
      <c r="H429">
        <v>614</v>
      </c>
      <c r="I429">
        <v>2</v>
      </c>
      <c r="K429">
        <v>1173</v>
      </c>
      <c r="L429">
        <v>1104</v>
      </c>
      <c r="M429">
        <v>131516432.43243243</v>
      </c>
      <c r="N429">
        <v>184201711.7117117</v>
      </c>
      <c r="O429">
        <v>498002869.36936933</v>
      </c>
      <c r="P429">
        <v>546186065.76576579</v>
      </c>
      <c r="Q429">
        <v>137071711.7117117</v>
      </c>
      <c r="R429">
        <v>167672702.70270273</v>
      </c>
      <c r="S429">
        <v>35957</v>
      </c>
      <c r="T429">
        <v>34159</v>
      </c>
    </row>
    <row r="430" spans="1:20" x14ac:dyDescent="0.35">
      <c r="A430" s="7" t="s">
        <v>527</v>
      </c>
      <c r="B430" s="12" t="s">
        <v>414</v>
      </c>
      <c r="C430">
        <v>187497548.78487512</v>
      </c>
      <c r="D430">
        <v>196857174.81995335</v>
      </c>
      <c r="E430">
        <v>940765.76576576603</v>
      </c>
      <c r="F430">
        <v>90090.090090091995</v>
      </c>
      <c r="G430">
        <v>34</v>
      </c>
      <c r="H430">
        <v>19</v>
      </c>
      <c r="K430">
        <v>38</v>
      </c>
      <c r="L430">
        <v>32</v>
      </c>
      <c r="M430">
        <v>11840408.108108109</v>
      </c>
      <c r="N430">
        <v>10929279.27927928</v>
      </c>
      <c r="O430">
        <v>58799216.216216214</v>
      </c>
      <c r="P430">
        <v>63674851.351351351</v>
      </c>
      <c r="Q430">
        <v>9294234.2342342343</v>
      </c>
      <c r="R430">
        <v>9632432.4324324317</v>
      </c>
      <c r="S430">
        <v>4525</v>
      </c>
      <c r="T430">
        <v>4275</v>
      </c>
    </row>
    <row r="431" spans="1:20" x14ac:dyDescent="0.35">
      <c r="A431" s="7" t="s">
        <v>663</v>
      </c>
      <c r="B431" s="12" t="s">
        <v>190</v>
      </c>
      <c r="C431">
        <v>471846.45712800598</v>
      </c>
      <c r="G431">
        <v>1</v>
      </c>
      <c r="K431">
        <v>1</v>
      </c>
      <c r="O431">
        <v>314189.189189189</v>
      </c>
      <c r="S431">
        <v>105</v>
      </c>
    </row>
    <row r="432" spans="1:20" x14ac:dyDescent="0.35">
      <c r="A432" s="7" t="s">
        <v>528</v>
      </c>
      <c r="B432" s="12" t="s">
        <v>148</v>
      </c>
      <c r="C432">
        <v>391772778.4896813</v>
      </c>
      <c r="D432">
        <v>372653194.88302433</v>
      </c>
      <c r="E432">
        <v>7052477.4774774797</v>
      </c>
      <c r="F432">
        <v>6077477.4774774816</v>
      </c>
      <c r="G432">
        <v>193</v>
      </c>
      <c r="H432">
        <v>129</v>
      </c>
      <c r="K432">
        <v>412</v>
      </c>
      <c r="L432">
        <v>138</v>
      </c>
      <c r="M432">
        <v>90852474.77477479</v>
      </c>
      <c r="N432">
        <v>88178752.252252251</v>
      </c>
      <c r="O432">
        <v>142759944.14414415</v>
      </c>
      <c r="P432">
        <v>144266315.31531534</v>
      </c>
      <c r="Q432">
        <v>89571801.801801801</v>
      </c>
      <c r="R432">
        <v>87013423.423423424</v>
      </c>
      <c r="S432">
        <v>9724</v>
      </c>
      <c r="T432">
        <v>10012</v>
      </c>
    </row>
    <row r="433" spans="1:20" x14ac:dyDescent="0.35">
      <c r="A433" s="7" t="s">
        <v>529</v>
      </c>
      <c r="B433" s="12" t="s">
        <v>122</v>
      </c>
      <c r="C433">
        <v>43498396.370241836</v>
      </c>
      <c r="D433">
        <v>38519030.722662702</v>
      </c>
      <c r="E433">
        <v>460360.360360361</v>
      </c>
      <c r="F433">
        <v>317117.11711711698</v>
      </c>
      <c r="G433">
        <v>23</v>
      </c>
      <c r="H433">
        <v>22</v>
      </c>
      <c r="K433">
        <v>27</v>
      </c>
      <c r="L433">
        <v>24</v>
      </c>
      <c r="M433">
        <v>5320720.7207207214</v>
      </c>
      <c r="N433">
        <v>3290090.0900900899</v>
      </c>
      <c r="O433">
        <v>5773932.4324324317</v>
      </c>
      <c r="P433">
        <v>5121198.1981981983</v>
      </c>
      <c r="Q433">
        <v>4138918.9189189179</v>
      </c>
      <c r="R433">
        <v>3199189.18918919</v>
      </c>
      <c r="S433">
        <v>1017</v>
      </c>
      <c r="T433">
        <v>926</v>
      </c>
    </row>
    <row r="434" spans="1:20" x14ac:dyDescent="0.35">
      <c r="A434" s="7" t="s">
        <v>530</v>
      </c>
      <c r="B434" s="12" t="s">
        <v>449</v>
      </c>
      <c r="C434">
        <v>78314518.672246829</v>
      </c>
      <c r="D434">
        <v>105738169.85981131</v>
      </c>
      <c r="E434">
        <v>374774.77477477503</v>
      </c>
      <c r="F434">
        <v>1052252.2522522521</v>
      </c>
      <c r="G434">
        <v>58</v>
      </c>
      <c r="H434">
        <v>21</v>
      </c>
      <c r="K434">
        <v>144</v>
      </c>
      <c r="L434">
        <v>24</v>
      </c>
      <c r="M434">
        <v>4213513.513513512</v>
      </c>
      <c r="N434">
        <v>10909009.009009007</v>
      </c>
      <c r="O434">
        <v>38378398.648648649</v>
      </c>
      <c r="P434">
        <v>51791144.144144148</v>
      </c>
      <c r="Q434">
        <v>4090270.270270268</v>
      </c>
      <c r="R434">
        <v>9865495.4954954945</v>
      </c>
      <c r="S434">
        <v>2166</v>
      </c>
      <c r="T434">
        <v>2358</v>
      </c>
    </row>
    <row r="435" spans="1:20" x14ac:dyDescent="0.35">
      <c r="A435" s="7" t="s">
        <v>531</v>
      </c>
      <c r="B435" s="12" t="s">
        <v>449</v>
      </c>
      <c r="C435">
        <v>181708273.67154181</v>
      </c>
      <c r="D435">
        <v>189647708.37547493</v>
      </c>
      <c r="E435">
        <v>1174774.7747747749</v>
      </c>
      <c r="F435">
        <v>3559459.4594594599</v>
      </c>
      <c r="G435">
        <v>116</v>
      </c>
      <c r="H435">
        <v>209</v>
      </c>
      <c r="K435">
        <v>133</v>
      </c>
      <c r="L435">
        <v>221</v>
      </c>
      <c r="M435">
        <v>7815765.7657657657</v>
      </c>
      <c r="N435">
        <v>17271396.396396399</v>
      </c>
      <c r="O435">
        <v>86185450.45045045</v>
      </c>
      <c r="P435">
        <v>92611351.351351365</v>
      </c>
      <c r="Q435">
        <v>8520720.7207207214</v>
      </c>
      <c r="R435">
        <v>16208783.783783786</v>
      </c>
      <c r="S435">
        <v>5288</v>
      </c>
      <c r="T435">
        <v>5442</v>
      </c>
    </row>
    <row r="436" spans="1:20" x14ac:dyDescent="0.35">
      <c r="A436" s="7" t="s">
        <v>532</v>
      </c>
      <c r="B436" s="12" t="s">
        <v>124</v>
      </c>
      <c r="C436">
        <v>487853420.72418743</v>
      </c>
      <c r="D436">
        <v>497758100.96559912</v>
      </c>
      <c r="E436">
        <v>243077342.34234235</v>
      </c>
      <c r="F436">
        <v>297472100.9009009</v>
      </c>
      <c r="G436">
        <v>265</v>
      </c>
      <c r="H436">
        <v>379</v>
      </c>
      <c r="I436">
        <v>5</v>
      </c>
      <c r="K436">
        <v>635</v>
      </c>
      <c r="L436">
        <v>657</v>
      </c>
      <c r="M436">
        <v>146825765.76576576</v>
      </c>
      <c r="N436">
        <v>139710900.9009009</v>
      </c>
      <c r="O436">
        <v>172244390.09009007</v>
      </c>
      <c r="P436">
        <v>178061173.87387389</v>
      </c>
      <c r="Q436">
        <v>144413693.6936937</v>
      </c>
      <c r="R436">
        <v>138021171.17117116</v>
      </c>
      <c r="S436">
        <v>11150</v>
      </c>
      <c r="T436">
        <v>11194</v>
      </c>
    </row>
    <row r="437" spans="1:20" x14ac:dyDescent="0.35">
      <c r="A437" s="7" t="s">
        <v>533</v>
      </c>
      <c r="B437" s="12" t="s">
        <v>86</v>
      </c>
      <c r="C437">
        <v>141767912.42751595</v>
      </c>
      <c r="D437">
        <v>163264999.14671135</v>
      </c>
      <c r="E437">
        <v>333333.333333335</v>
      </c>
      <c r="F437">
        <v>3424324.3243243238</v>
      </c>
      <c r="G437">
        <v>35</v>
      </c>
      <c r="H437">
        <v>13</v>
      </c>
      <c r="K437">
        <v>40</v>
      </c>
      <c r="L437">
        <v>40</v>
      </c>
      <c r="M437">
        <v>14605045.045045044</v>
      </c>
      <c r="N437">
        <v>51556306.306306303</v>
      </c>
      <c r="O437">
        <v>30584414.414414417</v>
      </c>
      <c r="P437">
        <v>43337936.936936937</v>
      </c>
      <c r="Q437">
        <v>9523423.4234234244</v>
      </c>
      <c r="R437">
        <v>40582342.342342347</v>
      </c>
      <c r="S437">
        <v>3588</v>
      </c>
      <c r="T437">
        <v>3949</v>
      </c>
    </row>
    <row r="438" spans="1:20" x14ac:dyDescent="0.35">
      <c r="A438" s="7" t="s">
        <v>9</v>
      </c>
      <c r="B438" s="12" t="s">
        <v>159</v>
      </c>
      <c r="C438">
        <v>380503094.72856182</v>
      </c>
      <c r="D438">
        <v>363545969.83713037</v>
      </c>
      <c r="E438">
        <v>10358201.801801808</v>
      </c>
      <c r="F438">
        <v>5850163.0630630627</v>
      </c>
      <c r="G438">
        <v>58</v>
      </c>
      <c r="H438">
        <v>90</v>
      </c>
      <c r="K438">
        <v>65</v>
      </c>
      <c r="L438">
        <v>113</v>
      </c>
      <c r="M438">
        <v>493109320.72072071</v>
      </c>
      <c r="N438">
        <v>514775523.42342341</v>
      </c>
      <c r="O438">
        <v>137268792.7927928</v>
      </c>
      <c r="P438">
        <v>133410637.83783785</v>
      </c>
      <c r="Q438">
        <v>432883783.78378379</v>
      </c>
      <c r="R438">
        <v>465696081.08108109</v>
      </c>
      <c r="S438">
        <v>7114</v>
      </c>
      <c r="T438">
        <v>6855</v>
      </c>
    </row>
    <row r="439" spans="1:20" x14ac:dyDescent="0.35">
      <c r="A439" s="7" t="s">
        <v>534</v>
      </c>
      <c r="B439" s="12" t="s">
        <v>95</v>
      </c>
      <c r="C439">
        <v>367610957.89264512</v>
      </c>
      <c r="D439">
        <v>387567281.37741512</v>
      </c>
      <c r="E439">
        <v>1288288.2882882929</v>
      </c>
      <c r="F439">
        <v>1133333.333333337</v>
      </c>
      <c r="G439">
        <v>78</v>
      </c>
      <c r="H439">
        <v>83</v>
      </c>
      <c r="K439">
        <v>87</v>
      </c>
      <c r="L439">
        <v>92</v>
      </c>
      <c r="M439">
        <v>30792792.792792793</v>
      </c>
      <c r="N439">
        <v>40083783.783783786</v>
      </c>
      <c r="O439">
        <v>49926162.162162162</v>
      </c>
      <c r="P439">
        <v>59865428.828828834</v>
      </c>
      <c r="Q439">
        <v>20534774.774774771</v>
      </c>
      <c r="R439">
        <v>24582972.97297297</v>
      </c>
      <c r="S439">
        <v>6381</v>
      </c>
      <c r="T439">
        <v>6447</v>
      </c>
    </row>
    <row r="440" spans="1:20" x14ac:dyDescent="0.35">
      <c r="A440" s="7" t="s">
        <v>535</v>
      </c>
      <c r="B440" s="12" t="s">
        <v>305</v>
      </c>
      <c r="C440">
        <v>9897638.2386276964</v>
      </c>
      <c r="D440">
        <v>13946754.738691308</v>
      </c>
      <c r="G440">
        <v>4</v>
      </c>
      <c r="H440">
        <v>6</v>
      </c>
      <c r="K440">
        <v>4</v>
      </c>
      <c r="L440">
        <v>6</v>
      </c>
      <c r="O440">
        <v>1641756.7567567569</v>
      </c>
      <c r="P440">
        <v>1775045.045045044</v>
      </c>
      <c r="S440">
        <v>412</v>
      </c>
      <c r="T440">
        <v>379</v>
      </c>
    </row>
    <row r="441" spans="1:20" x14ac:dyDescent="0.35">
      <c r="A441" s="7" t="s">
        <v>536</v>
      </c>
      <c r="B441" s="12" t="s">
        <v>305</v>
      </c>
      <c r="C441">
        <v>150831733.73473608</v>
      </c>
      <c r="D441">
        <v>146108313.95740992</v>
      </c>
      <c r="E441">
        <v>675675.67567567597</v>
      </c>
      <c r="F441">
        <v>1563063.063063063</v>
      </c>
      <c r="G441">
        <v>15</v>
      </c>
      <c r="H441">
        <v>31</v>
      </c>
      <c r="K441">
        <v>21</v>
      </c>
      <c r="L441">
        <v>32</v>
      </c>
      <c r="M441">
        <v>12045045.045045044</v>
      </c>
      <c r="N441">
        <v>11211711.711711712</v>
      </c>
      <c r="O441">
        <v>13312162.162162164</v>
      </c>
      <c r="P441">
        <v>12354270.270270271</v>
      </c>
      <c r="Q441">
        <v>4721531.5315315323</v>
      </c>
      <c r="R441">
        <v>6478738.738738738</v>
      </c>
      <c r="S441">
        <v>2673</v>
      </c>
      <c r="T441">
        <v>2742</v>
      </c>
    </row>
    <row r="442" spans="1:20" x14ac:dyDescent="0.35">
      <c r="A442" s="7" t="s">
        <v>537</v>
      </c>
      <c r="B442" s="12" t="s">
        <v>86</v>
      </c>
      <c r="C442">
        <v>131678255.03738385</v>
      </c>
      <c r="D442">
        <v>141408344.77397695</v>
      </c>
      <c r="E442">
        <v>710810.81081081298</v>
      </c>
      <c r="F442">
        <v>931531.53153153404</v>
      </c>
      <c r="G442">
        <v>51</v>
      </c>
      <c r="H442">
        <v>76</v>
      </c>
      <c r="I442">
        <v>4</v>
      </c>
      <c r="K442">
        <v>61</v>
      </c>
      <c r="L442">
        <v>127</v>
      </c>
      <c r="M442">
        <v>39532342.342342347</v>
      </c>
      <c r="N442">
        <v>71488108.108108118</v>
      </c>
      <c r="O442">
        <v>60338774.774774775</v>
      </c>
      <c r="P442">
        <v>68905315.315315306</v>
      </c>
      <c r="Q442">
        <v>35912882.882882886</v>
      </c>
      <c r="R442">
        <v>63776486.486486487</v>
      </c>
      <c r="S442">
        <v>3003</v>
      </c>
      <c r="T442">
        <v>3063</v>
      </c>
    </row>
    <row r="443" spans="1:20" x14ac:dyDescent="0.35">
      <c r="A443" s="7" t="s">
        <v>538</v>
      </c>
      <c r="B443" s="12" t="s">
        <v>449</v>
      </c>
      <c r="C443">
        <v>182383856.68037349</v>
      </c>
      <c r="D443">
        <v>173181675.18649426</v>
      </c>
      <c r="E443">
        <v>1864864.8648648669</v>
      </c>
      <c r="F443">
        <v>374774.77477477601</v>
      </c>
      <c r="G443">
        <v>184</v>
      </c>
      <c r="H443">
        <v>58</v>
      </c>
      <c r="I443">
        <v>2</v>
      </c>
      <c r="K443">
        <v>250</v>
      </c>
      <c r="L443">
        <v>67</v>
      </c>
      <c r="M443">
        <v>15388918.918918915</v>
      </c>
      <c r="N443">
        <v>9688063.0630630646</v>
      </c>
      <c r="O443">
        <v>51568088.288288288</v>
      </c>
      <c r="P443">
        <v>53324567.567567565</v>
      </c>
      <c r="Q443">
        <v>15858108.108108109</v>
      </c>
      <c r="R443">
        <v>8753288.288288286</v>
      </c>
      <c r="S443">
        <v>5080</v>
      </c>
      <c r="T443">
        <v>4921</v>
      </c>
    </row>
    <row r="444" spans="1:20" x14ac:dyDescent="0.35">
      <c r="A444" s="7" t="s">
        <v>539</v>
      </c>
      <c r="B444" s="12" t="s">
        <v>118</v>
      </c>
      <c r="C444">
        <v>420339184.41432357</v>
      </c>
      <c r="D444">
        <v>397383238.4531824</v>
      </c>
      <c r="E444">
        <v>8296396.3963964004</v>
      </c>
      <c r="F444">
        <v>8450900.9009009041</v>
      </c>
      <c r="G444">
        <v>121</v>
      </c>
      <c r="H444">
        <v>132</v>
      </c>
      <c r="K444">
        <v>179</v>
      </c>
      <c r="L444">
        <v>196</v>
      </c>
      <c r="M444">
        <v>87585314.414414421</v>
      </c>
      <c r="N444">
        <v>86170146.846846849</v>
      </c>
      <c r="O444">
        <v>240128297.2972973</v>
      </c>
      <c r="P444">
        <v>224330126.12612611</v>
      </c>
      <c r="Q444">
        <v>80884144.144144148</v>
      </c>
      <c r="R444">
        <v>71209234.234234244</v>
      </c>
      <c r="S444">
        <v>11261</v>
      </c>
      <c r="T444">
        <v>11199</v>
      </c>
    </row>
    <row r="445" spans="1:20" x14ac:dyDescent="0.35">
      <c r="A445" s="7" t="s">
        <v>540</v>
      </c>
      <c r="B445" s="12" t="s">
        <v>84</v>
      </c>
      <c r="C445">
        <v>1291791718.9726768</v>
      </c>
      <c r="D445">
        <v>1265233202.118134</v>
      </c>
      <c r="E445">
        <v>5461338.7387387389</v>
      </c>
      <c r="F445">
        <v>8359009.009009013</v>
      </c>
      <c r="G445">
        <v>275</v>
      </c>
      <c r="H445">
        <v>161</v>
      </c>
      <c r="I445">
        <v>1</v>
      </c>
      <c r="K445">
        <v>316</v>
      </c>
      <c r="L445">
        <v>199</v>
      </c>
      <c r="M445">
        <v>84279810.810810819</v>
      </c>
      <c r="N445">
        <v>86812162.162162155</v>
      </c>
      <c r="O445">
        <v>141202534.68468469</v>
      </c>
      <c r="P445">
        <v>149751502.70270273</v>
      </c>
      <c r="Q445">
        <v>73045178.378378391</v>
      </c>
      <c r="R445">
        <v>77980944.144144148</v>
      </c>
      <c r="S445">
        <v>21511</v>
      </c>
      <c r="T445">
        <v>21701</v>
      </c>
    </row>
    <row r="446" spans="1:20" x14ac:dyDescent="0.35">
      <c r="A446" s="7" t="s">
        <v>541</v>
      </c>
      <c r="B446" s="12" t="s">
        <v>316</v>
      </c>
      <c r="C446">
        <v>159541252.3500115</v>
      </c>
      <c r="D446">
        <v>154611562.39441991</v>
      </c>
      <c r="E446">
        <v>2267792.7927927929</v>
      </c>
      <c r="F446">
        <v>2428828.8288288331</v>
      </c>
      <c r="G446">
        <v>32</v>
      </c>
      <c r="H446">
        <v>16</v>
      </c>
      <c r="K446">
        <v>39</v>
      </c>
      <c r="L446">
        <v>16</v>
      </c>
      <c r="M446">
        <v>12856306.306306306</v>
      </c>
      <c r="N446">
        <v>21247747.747747753</v>
      </c>
      <c r="O446">
        <v>31226576.576576576</v>
      </c>
      <c r="P446">
        <v>31257720.72072072</v>
      </c>
      <c r="Q446">
        <v>10277117.117117116</v>
      </c>
      <c r="R446">
        <v>18762252.252252247</v>
      </c>
      <c r="S446">
        <v>2404</v>
      </c>
      <c r="T446">
        <v>2616</v>
      </c>
    </row>
    <row r="447" spans="1:20" x14ac:dyDescent="0.35">
      <c r="A447" s="7" t="s">
        <v>542</v>
      </c>
      <c r="B447" s="12" t="s">
        <v>170</v>
      </c>
      <c r="C447">
        <v>1100681517.8596072</v>
      </c>
      <c r="D447">
        <v>1143134311.7723207</v>
      </c>
      <c r="E447">
        <v>2762162.1621621661</v>
      </c>
      <c r="F447">
        <v>4176576.5765765789</v>
      </c>
      <c r="G447">
        <v>146</v>
      </c>
      <c r="H447">
        <v>169</v>
      </c>
      <c r="I447">
        <v>1</v>
      </c>
      <c r="K447">
        <v>194</v>
      </c>
      <c r="L447">
        <v>240</v>
      </c>
      <c r="M447">
        <v>62867725.225225225</v>
      </c>
      <c r="N447">
        <v>71479188.288288295</v>
      </c>
      <c r="O447">
        <v>407234114.86486489</v>
      </c>
      <c r="P447">
        <v>446779576.57657659</v>
      </c>
      <c r="Q447">
        <v>65024954.954954952</v>
      </c>
      <c r="R447">
        <v>69873243.243243247</v>
      </c>
      <c r="S447">
        <v>21590</v>
      </c>
      <c r="T447">
        <v>21364</v>
      </c>
    </row>
    <row r="448" spans="1:20" x14ac:dyDescent="0.35">
      <c r="A448" s="7" t="s">
        <v>543</v>
      </c>
      <c r="B448" s="12" t="s">
        <v>480</v>
      </c>
      <c r="C448">
        <v>341572186.63690829</v>
      </c>
      <c r="D448">
        <v>335437492.97090298</v>
      </c>
      <c r="E448">
        <v>1117117.1171171169</v>
      </c>
      <c r="F448">
        <v>1204504.5045045039</v>
      </c>
      <c r="G448">
        <v>33</v>
      </c>
      <c r="H448">
        <v>27</v>
      </c>
      <c r="K448">
        <v>38</v>
      </c>
      <c r="L448">
        <v>32</v>
      </c>
      <c r="M448">
        <v>3315315.3153153141</v>
      </c>
      <c r="N448">
        <v>2429729.729729739</v>
      </c>
      <c r="O448">
        <v>44528081.081081077</v>
      </c>
      <c r="P448">
        <v>62773747.747747742</v>
      </c>
      <c r="Q448">
        <v>2201981.9819819811</v>
      </c>
      <c r="R448">
        <v>2237477.4774774848</v>
      </c>
      <c r="S448">
        <v>5423</v>
      </c>
      <c r="T448">
        <v>5467</v>
      </c>
    </row>
    <row r="449" spans="1:20" x14ac:dyDescent="0.35">
      <c r="A449" s="7" t="s">
        <v>544</v>
      </c>
      <c r="B449" s="12" t="s">
        <v>81</v>
      </c>
      <c r="C449">
        <v>81972890.925761491</v>
      </c>
      <c r="D449">
        <v>92341727.764107093</v>
      </c>
      <c r="E449">
        <v>520270.27027027</v>
      </c>
      <c r="F449">
        <v>1336036.036036036</v>
      </c>
      <c r="G449">
        <v>28</v>
      </c>
      <c r="H449">
        <v>5</v>
      </c>
      <c r="K449">
        <v>31</v>
      </c>
      <c r="L449">
        <v>10</v>
      </c>
      <c r="M449">
        <v>26178828.828828827</v>
      </c>
      <c r="N449">
        <v>12163963.963963963</v>
      </c>
      <c r="O449">
        <v>30394117.117117114</v>
      </c>
      <c r="P449">
        <v>33643279.279279277</v>
      </c>
      <c r="Q449">
        <v>23703063.063063063</v>
      </c>
      <c r="R449">
        <v>10669909.909909908</v>
      </c>
      <c r="S449">
        <v>2412</v>
      </c>
      <c r="T449">
        <v>2262</v>
      </c>
    </row>
    <row r="450" spans="1:20" x14ac:dyDescent="0.35">
      <c r="A450" s="7" t="s">
        <v>545</v>
      </c>
      <c r="B450" s="12" t="s">
        <v>170</v>
      </c>
      <c r="C450">
        <v>88307849.005667314</v>
      </c>
      <c r="D450">
        <v>126197592.10227939</v>
      </c>
      <c r="E450">
        <v>277477.47747747699</v>
      </c>
      <c r="F450">
        <v>460360.36036036001</v>
      </c>
      <c r="G450">
        <v>14</v>
      </c>
      <c r="H450">
        <v>2</v>
      </c>
      <c r="K450">
        <v>15</v>
      </c>
      <c r="L450">
        <v>3</v>
      </c>
      <c r="M450">
        <v>1178378.378378378</v>
      </c>
      <c r="N450">
        <v>460360.36036036001</v>
      </c>
      <c r="O450">
        <v>37291565.765765771</v>
      </c>
      <c r="P450">
        <v>46214342.342342347</v>
      </c>
      <c r="Q450">
        <v>571801.80180180096</v>
      </c>
      <c r="R450">
        <v>1029909.9099099101</v>
      </c>
      <c r="S450">
        <v>2455</v>
      </c>
      <c r="T450">
        <v>2524</v>
      </c>
    </row>
    <row r="451" spans="1:20" x14ac:dyDescent="0.35">
      <c r="A451" s="7" t="s">
        <v>546</v>
      </c>
      <c r="B451" s="12" t="s">
        <v>225</v>
      </c>
      <c r="C451">
        <v>8192.2221528959999</v>
      </c>
      <c r="D451">
        <v>42305.486981403003</v>
      </c>
      <c r="P451">
        <v>6081.0810810809999</v>
      </c>
    </row>
    <row r="452" spans="1:20" x14ac:dyDescent="0.35">
      <c r="A452" s="7" t="s">
        <v>547</v>
      </c>
      <c r="B452" s="12" t="s">
        <v>137</v>
      </c>
      <c r="C452">
        <v>217004515.10149303</v>
      </c>
      <c r="D452">
        <v>226923652.73310155</v>
      </c>
      <c r="E452">
        <v>867567.56756757002</v>
      </c>
      <c r="F452">
        <v>1126576.576576578</v>
      </c>
      <c r="G452">
        <v>75</v>
      </c>
      <c r="H452">
        <v>34</v>
      </c>
      <c r="K452">
        <v>79</v>
      </c>
      <c r="L452">
        <v>39</v>
      </c>
      <c r="M452">
        <v>46960360.360360362</v>
      </c>
      <c r="N452">
        <v>51000450.45045045</v>
      </c>
      <c r="O452">
        <v>71352628.828828827</v>
      </c>
      <c r="P452">
        <v>92475495.495495483</v>
      </c>
      <c r="Q452">
        <v>38736756.75675676</v>
      </c>
      <c r="R452">
        <v>39806756.756756753</v>
      </c>
      <c r="S452">
        <v>4423</v>
      </c>
      <c r="T452">
        <v>4390</v>
      </c>
    </row>
    <row r="453" spans="1:20" x14ac:dyDescent="0.35">
      <c r="A453" s="7" t="s">
        <v>548</v>
      </c>
      <c r="B453" s="12" t="s">
        <v>137</v>
      </c>
      <c r="C453">
        <v>414072274.90856266</v>
      </c>
      <c r="D453">
        <v>404325318.49653244</v>
      </c>
      <c r="E453">
        <v>226555379.27927929</v>
      </c>
      <c r="F453">
        <v>358418841.44144148</v>
      </c>
      <c r="G453">
        <v>205</v>
      </c>
      <c r="H453">
        <v>156</v>
      </c>
      <c r="I453">
        <v>6</v>
      </c>
      <c r="K453">
        <v>236</v>
      </c>
      <c r="L453">
        <v>182</v>
      </c>
      <c r="M453">
        <v>104660360.36036037</v>
      </c>
      <c r="N453">
        <v>96418018.018018022</v>
      </c>
      <c r="O453">
        <v>137301716.21621624</v>
      </c>
      <c r="P453">
        <v>139671423.42342341</v>
      </c>
      <c r="Q453">
        <v>87670846.846846849</v>
      </c>
      <c r="R453">
        <v>81109099.0990991</v>
      </c>
      <c r="S453">
        <v>12580</v>
      </c>
      <c r="T453">
        <v>13179</v>
      </c>
    </row>
    <row r="454" spans="1:20" x14ac:dyDescent="0.35">
      <c r="A454" s="7" t="s">
        <v>549</v>
      </c>
      <c r="B454" s="12" t="s">
        <v>137</v>
      </c>
      <c r="C454">
        <v>460408809.67010486</v>
      </c>
      <c r="D454">
        <v>473628390.53498465</v>
      </c>
      <c r="E454">
        <v>16321621.621621622</v>
      </c>
      <c r="F454">
        <v>42677477.477477483</v>
      </c>
      <c r="G454">
        <v>67</v>
      </c>
      <c r="H454">
        <v>100</v>
      </c>
      <c r="I454">
        <v>6</v>
      </c>
      <c r="K454">
        <v>76</v>
      </c>
      <c r="L454">
        <v>106</v>
      </c>
      <c r="M454">
        <v>18587387.387387387</v>
      </c>
      <c r="N454">
        <v>22028828.82882883</v>
      </c>
      <c r="O454">
        <v>74919529.729729727</v>
      </c>
      <c r="P454">
        <v>82665054.054054052</v>
      </c>
      <c r="Q454">
        <v>17358288.288288288</v>
      </c>
      <c r="R454">
        <v>17863333.333333332</v>
      </c>
      <c r="S454">
        <v>8742</v>
      </c>
      <c r="T454">
        <v>8988</v>
      </c>
    </row>
    <row r="455" spans="1:20" x14ac:dyDescent="0.35">
      <c r="A455" s="7" t="s">
        <v>550</v>
      </c>
      <c r="B455" s="12" t="s">
        <v>137</v>
      </c>
      <c r="C455">
        <v>191464536.88162059</v>
      </c>
      <c r="D455">
        <v>185810383.45023111</v>
      </c>
      <c r="E455">
        <v>550450.450450451</v>
      </c>
      <c r="F455">
        <v>1117117.1171171169</v>
      </c>
      <c r="G455">
        <v>33</v>
      </c>
      <c r="H455">
        <v>47</v>
      </c>
      <c r="I455">
        <v>1</v>
      </c>
      <c r="K455">
        <v>37</v>
      </c>
      <c r="L455">
        <v>49</v>
      </c>
      <c r="M455">
        <v>15316216.216216214</v>
      </c>
      <c r="N455">
        <v>15112612.612612613</v>
      </c>
      <c r="O455">
        <v>32173396.396396395</v>
      </c>
      <c r="P455">
        <v>37020603.603603601</v>
      </c>
      <c r="Q455">
        <v>12537837.837837838</v>
      </c>
      <c r="R455">
        <v>12985945.945945946</v>
      </c>
      <c r="S455">
        <v>3671</v>
      </c>
      <c r="T455">
        <v>3825</v>
      </c>
    </row>
    <row r="456" spans="1:20" x14ac:dyDescent="0.35">
      <c r="A456" s="7" t="s">
        <v>551</v>
      </c>
      <c r="B456" s="12" t="s">
        <v>88</v>
      </c>
      <c r="C456">
        <v>77846206.530939594</v>
      </c>
      <c r="D456">
        <v>79450051.361352146</v>
      </c>
      <c r="E456">
        <v>133333.33333333299</v>
      </c>
      <c r="F456">
        <v>27027.027027028002</v>
      </c>
      <c r="G456">
        <v>31</v>
      </c>
      <c r="H456">
        <v>23</v>
      </c>
      <c r="K456">
        <v>34</v>
      </c>
      <c r="L456">
        <v>26</v>
      </c>
      <c r="M456">
        <v>4616216.2162162159</v>
      </c>
      <c r="N456">
        <v>4207207.2072072066</v>
      </c>
      <c r="O456">
        <v>12287486.486486485</v>
      </c>
      <c r="P456">
        <v>14290513.513513515</v>
      </c>
      <c r="Q456">
        <v>4971261.2612612611</v>
      </c>
      <c r="R456">
        <v>3335045.0450450452</v>
      </c>
      <c r="S456">
        <v>1418</v>
      </c>
      <c r="T456">
        <v>1336</v>
      </c>
    </row>
    <row r="457" spans="1:20" x14ac:dyDescent="0.35">
      <c r="A457" s="7" t="s">
        <v>552</v>
      </c>
      <c r="B457" s="12" t="s">
        <v>88</v>
      </c>
      <c r="C457">
        <v>119929427.31674182</v>
      </c>
      <c r="D457">
        <v>122519076.69724067</v>
      </c>
      <c r="E457">
        <v>459459.45945945999</v>
      </c>
      <c r="F457">
        <v>463963.963963966</v>
      </c>
      <c r="G457">
        <v>73</v>
      </c>
      <c r="H457">
        <v>52</v>
      </c>
      <c r="K457">
        <v>83</v>
      </c>
      <c r="L457">
        <v>56</v>
      </c>
      <c r="M457">
        <v>11149549.54954955</v>
      </c>
      <c r="N457">
        <v>11171171.171171172</v>
      </c>
      <c r="O457">
        <v>18427962.162162159</v>
      </c>
      <c r="P457">
        <v>19096468.468468469</v>
      </c>
      <c r="Q457">
        <v>7506846.8468468459</v>
      </c>
      <c r="R457">
        <v>8730270.2702702712</v>
      </c>
      <c r="S457">
        <v>2463</v>
      </c>
      <c r="T457">
        <v>2691</v>
      </c>
    </row>
    <row r="458" spans="1:20" x14ac:dyDescent="0.35">
      <c r="A458" s="7" t="s">
        <v>553</v>
      </c>
      <c r="B458" s="12" t="s">
        <v>67</v>
      </c>
      <c r="C458">
        <v>237525678.41443959</v>
      </c>
      <c r="D458">
        <v>245107765.68904603</v>
      </c>
      <c r="E458">
        <v>7277477.4774774779</v>
      </c>
      <c r="F458">
        <v>9199099.0990990996</v>
      </c>
      <c r="G458">
        <v>142</v>
      </c>
      <c r="H458">
        <v>68</v>
      </c>
      <c r="I458">
        <v>1</v>
      </c>
      <c r="K458">
        <v>169</v>
      </c>
      <c r="L458">
        <v>93</v>
      </c>
      <c r="M458">
        <v>195277297.2972973</v>
      </c>
      <c r="N458">
        <v>206325675.67567569</v>
      </c>
      <c r="O458">
        <v>100702506.75675675</v>
      </c>
      <c r="P458">
        <v>104136432.43243243</v>
      </c>
      <c r="Q458">
        <v>136647747.74774775</v>
      </c>
      <c r="R458">
        <v>91079909.909909904</v>
      </c>
      <c r="S458">
        <v>8923</v>
      </c>
      <c r="T458">
        <v>9319</v>
      </c>
    </row>
    <row r="459" spans="1:20" x14ac:dyDescent="0.35">
      <c r="A459" s="7" t="s">
        <v>554</v>
      </c>
      <c r="B459" s="12" t="s">
        <v>555</v>
      </c>
      <c r="C459">
        <v>473891454.73840338</v>
      </c>
      <c r="D459">
        <v>472233119.41299742</v>
      </c>
      <c r="E459">
        <v>173912312.61261261</v>
      </c>
      <c r="F459">
        <v>180952026.12612611</v>
      </c>
      <c r="G459">
        <v>89</v>
      </c>
      <c r="H459">
        <v>48</v>
      </c>
      <c r="I459">
        <v>6</v>
      </c>
      <c r="K459">
        <v>115</v>
      </c>
      <c r="L459">
        <v>61</v>
      </c>
      <c r="M459">
        <v>150844144.14414415</v>
      </c>
      <c r="N459">
        <v>164115765.76576576</v>
      </c>
      <c r="O459">
        <v>129555927.92792793</v>
      </c>
      <c r="P459">
        <v>151574459.45945945</v>
      </c>
      <c r="Q459">
        <v>139977567.56756756</v>
      </c>
      <c r="R459">
        <v>132263423.42342342</v>
      </c>
      <c r="S459">
        <v>9185</v>
      </c>
      <c r="T459">
        <v>9204</v>
      </c>
    </row>
    <row r="460" spans="1:20" x14ac:dyDescent="0.35">
      <c r="A460" s="7" t="s">
        <v>556</v>
      </c>
      <c r="B460" s="12" t="s">
        <v>555</v>
      </c>
      <c r="C460">
        <v>73418528.944552422</v>
      </c>
      <c r="D460">
        <v>76539472.231404528</v>
      </c>
      <c r="E460">
        <v>2067567.567567568</v>
      </c>
      <c r="F460">
        <v>377477.47747747903</v>
      </c>
      <c r="G460">
        <v>27</v>
      </c>
      <c r="H460">
        <v>26</v>
      </c>
      <c r="K460">
        <v>29</v>
      </c>
      <c r="L460">
        <v>31</v>
      </c>
      <c r="M460">
        <v>11076576.576576577</v>
      </c>
      <c r="N460">
        <v>7249099.0990990996</v>
      </c>
      <c r="O460">
        <v>26644900.9009009</v>
      </c>
      <c r="P460">
        <v>31735216.216216218</v>
      </c>
      <c r="Q460">
        <v>10724594.594594596</v>
      </c>
      <c r="R460">
        <v>6224414.4144144151</v>
      </c>
      <c r="S460">
        <v>1529</v>
      </c>
      <c r="T460">
        <v>1576</v>
      </c>
    </row>
    <row r="461" spans="1:20" x14ac:dyDescent="0.35">
      <c r="A461" s="7" t="s">
        <v>557</v>
      </c>
      <c r="B461" s="12" t="s">
        <v>122</v>
      </c>
      <c r="C461">
        <v>54167746.161587685</v>
      </c>
      <c r="D461">
        <v>55438456.092580691</v>
      </c>
      <c r="E461">
        <v>61173981.981981985</v>
      </c>
      <c r="F461">
        <v>73725696.396396399</v>
      </c>
      <c r="G461">
        <v>27</v>
      </c>
      <c r="H461">
        <v>30</v>
      </c>
      <c r="K461">
        <v>33</v>
      </c>
      <c r="L461">
        <v>31</v>
      </c>
      <c r="M461">
        <v>16993336.936936937</v>
      </c>
      <c r="N461">
        <v>157657.65765765801</v>
      </c>
      <c r="O461">
        <v>5077693.6936936937</v>
      </c>
      <c r="P461">
        <v>7429594.594594595</v>
      </c>
      <c r="Q461">
        <v>118918.91891891899</v>
      </c>
      <c r="R461">
        <v>198198.19819819799</v>
      </c>
      <c r="S461">
        <v>1337</v>
      </c>
      <c r="T461">
        <v>1367</v>
      </c>
    </row>
    <row r="462" spans="1:20" x14ac:dyDescent="0.35">
      <c r="A462" s="7" t="s">
        <v>558</v>
      </c>
      <c r="B462" s="12" t="s">
        <v>71</v>
      </c>
      <c r="C462">
        <v>435969774.2736398</v>
      </c>
      <c r="D462">
        <v>431554108.92978108</v>
      </c>
      <c r="E462">
        <v>4314414.4144144207</v>
      </c>
      <c r="F462">
        <v>8477027.0270270314</v>
      </c>
      <c r="G462">
        <v>96</v>
      </c>
      <c r="H462">
        <v>72</v>
      </c>
      <c r="I462">
        <v>1</v>
      </c>
      <c r="K462">
        <v>113</v>
      </c>
      <c r="L462">
        <v>88</v>
      </c>
      <c r="M462">
        <v>59001801.801801801</v>
      </c>
      <c r="N462">
        <v>110882432.43243243</v>
      </c>
      <c r="O462">
        <v>184170846.84684685</v>
      </c>
      <c r="P462">
        <v>184241117.11711711</v>
      </c>
      <c r="Q462">
        <v>53532882.882882878</v>
      </c>
      <c r="R462">
        <v>105167927.92792794</v>
      </c>
      <c r="S462">
        <v>10236</v>
      </c>
      <c r="T462">
        <v>10198</v>
      </c>
    </row>
    <row r="463" spans="1:20" x14ac:dyDescent="0.35">
      <c r="A463" s="7" t="s">
        <v>559</v>
      </c>
      <c r="B463" s="12" t="s">
        <v>63</v>
      </c>
      <c r="C463">
        <v>788365475.09193838</v>
      </c>
      <c r="D463">
        <v>784485158.72919118</v>
      </c>
      <c r="E463">
        <v>13427027.027027031</v>
      </c>
      <c r="F463">
        <v>14895495.4954955</v>
      </c>
      <c r="G463">
        <v>302</v>
      </c>
      <c r="H463">
        <v>350</v>
      </c>
      <c r="K463">
        <v>505</v>
      </c>
      <c r="L463">
        <v>704</v>
      </c>
      <c r="M463">
        <v>124646666.66666666</v>
      </c>
      <c r="N463">
        <v>244486666.66666666</v>
      </c>
      <c r="O463">
        <v>182257463.96396396</v>
      </c>
      <c r="P463">
        <v>202086587.38738739</v>
      </c>
      <c r="Q463">
        <v>116708738.73873873</v>
      </c>
      <c r="R463">
        <v>159981981.98198199</v>
      </c>
      <c r="S463">
        <v>18011</v>
      </c>
      <c r="T463">
        <v>18395</v>
      </c>
    </row>
    <row r="464" spans="1:20" x14ac:dyDescent="0.35">
      <c r="A464" s="7" t="s">
        <v>560</v>
      </c>
      <c r="B464" s="12" t="s">
        <v>480</v>
      </c>
      <c r="C464">
        <v>368388842.7001549</v>
      </c>
      <c r="D464">
        <v>379310337.20644903</v>
      </c>
      <c r="E464">
        <v>160003392.7927928</v>
      </c>
      <c r="F464">
        <v>188631816.21621624</v>
      </c>
      <c r="G464">
        <v>144</v>
      </c>
      <c r="H464">
        <v>87</v>
      </c>
      <c r="I464">
        <v>1</v>
      </c>
      <c r="K464">
        <v>162</v>
      </c>
      <c r="L464">
        <v>97</v>
      </c>
      <c r="M464">
        <v>68099914.414414421</v>
      </c>
      <c r="N464">
        <v>49965990.990990989</v>
      </c>
      <c r="O464">
        <v>113215151.35135135</v>
      </c>
      <c r="P464">
        <v>118753099.0990991</v>
      </c>
      <c r="Q464">
        <v>47654774.774774775</v>
      </c>
      <c r="R464">
        <v>55814819.819819815</v>
      </c>
      <c r="S464">
        <v>7757</v>
      </c>
      <c r="T464">
        <v>9029</v>
      </c>
    </row>
    <row r="465" spans="1:20" x14ac:dyDescent="0.35">
      <c r="A465" s="7" t="s">
        <v>561</v>
      </c>
      <c r="B465" s="12" t="s">
        <v>237</v>
      </c>
      <c r="C465">
        <v>64647131.810558736</v>
      </c>
      <c r="D465">
        <v>67410760.682532609</v>
      </c>
      <c r="E465">
        <v>1221621.621621622</v>
      </c>
      <c r="F465">
        <v>727027.02702702803</v>
      </c>
      <c r="G465">
        <v>21</v>
      </c>
      <c r="H465">
        <v>18</v>
      </c>
      <c r="K465">
        <v>23</v>
      </c>
      <c r="L465">
        <v>19</v>
      </c>
      <c r="M465">
        <v>4152882.8828828819</v>
      </c>
      <c r="N465">
        <v>3622522.5225225231</v>
      </c>
      <c r="O465">
        <v>24201549.549549554</v>
      </c>
      <c r="P465">
        <v>27280540.540540539</v>
      </c>
      <c r="Q465">
        <v>3912252.2522522518</v>
      </c>
      <c r="R465">
        <v>2368648.6486486481</v>
      </c>
      <c r="S465">
        <v>2031</v>
      </c>
      <c r="T465">
        <v>2536</v>
      </c>
    </row>
    <row r="466" spans="1:20" x14ac:dyDescent="0.35">
      <c r="A466" s="7" t="s">
        <v>562</v>
      </c>
      <c r="B466" s="12" t="s">
        <v>61</v>
      </c>
      <c r="C466">
        <v>60756615.419297099</v>
      </c>
      <c r="D466">
        <v>59381773.198409297</v>
      </c>
      <c r="E466">
        <v>2042342.342342342</v>
      </c>
      <c r="F466">
        <v>1874324.3243243259</v>
      </c>
      <c r="G466">
        <v>21</v>
      </c>
      <c r="H466">
        <v>48</v>
      </c>
      <c r="K466">
        <v>38</v>
      </c>
      <c r="L466">
        <v>110</v>
      </c>
      <c r="M466">
        <v>18077477.47747748</v>
      </c>
      <c r="N466">
        <v>14622072.072072072</v>
      </c>
      <c r="O466">
        <v>21438837.837837841</v>
      </c>
      <c r="P466">
        <v>21807873.873873871</v>
      </c>
      <c r="Q466">
        <v>15923243.243243244</v>
      </c>
      <c r="R466">
        <v>13683513.513513513</v>
      </c>
      <c r="S466">
        <v>1284</v>
      </c>
      <c r="T466">
        <v>1197</v>
      </c>
    </row>
    <row r="467" spans="1:20" x14ac:dyDescent="0.35">
      <c r="A467" s="7" t="s">
        <v>563</v>
      </c>
      <c r="B467" s="12" t="s">
        <v>564</v>
      </c>
      <c r="C467">
        <v>341614293.25864601</v>
      </c>
      <c r="D467">
        <v>363673579.99199438</v>
      </c>
      <c r="E467">
        <v>745731156.75675678</v>
      </c>
      <c r="F467">
        <v>490690984.68468469</v>
      </c>
      <c r="G467">
        <v>423</v>
      </c>
      <c r="H467">
        <v>287</v>
      </c>
      <c r="I467">
        <v>3</v>
      </c>
      <c r="K467">
        <v>868</v>
      </c>
      <c r="L467">
        <v>535</v>
      </c>
      <c r="M467">
        <v>675162809.009009</v>
      </c>
      <c r="N467">
        <v>460463425.22522521</v>
      </c>
      <c r="O467">
        <v>145163549.54954955</v>
      </c>
      <c r="P467">
        <v>172596729.72972974</v>
      </c>
      <c r="Q467">
        <v>496538434.23423421</v>
      </c>
      <c r="R467">
        <v>609070843.24324322</v>
      </c>
      <c r="S467">
        <v>8975</v>
      </c>
      <c r="T467">
        <v>8586</v>
      </c>
    </row>
    <row r="468" spans="1:20" x14ac:dyDescent="0.35">
      <c r="A468" s="7" t="s">
        <v>565</v>
      </c>
      <c r="B468" s="12" t="s">
        <v>564</v>
      </c>
      <c r="C468">
        <v>462783708.30898565</v>
      </c>
      <c r="D468">
        <v>461161637.8923949</v>
      </c>
      <c r="E468">
        <v>6081981.9819819862</v>
      </c>
      <c r="F468">
        <v>8012162.1621621652</v>
      </c>
      <c r="G468">
        <v>151</v>
      </c>
      <c r="H468">
        <v>123</v>
      </c>
      <c r="K468">
        <v>161</v>
      </c>
      <c r="L468">
        <v>218</v>
      </c>
      <c r="M468">
        <v>49752344.144144148</v>
      </c>
      <c r="N468">
        <v>73051846.846846849</v>
      </c>
      <c r="O468">
        <v>191498567.56756756</v>
      </c>
      <c r="P468">
        <v>202720414.41441441</v>
      </c>
      <c r="Q468">
        <v>50397927.927927926</v>
      </c>
      <c r="R468">
        <v>67742297.297297299</v>
      </c>
      <c r="S468">
        <v>12419</v>
      </c>
      <c r="T468">
        <v>12208</v>
      </c>
    </row>
    <row r="469" spans="1:20" x14ac:dyDescent="0.35">
      <c r="A469" s="7" t="s">
        <v>566</v>
      </c>
      <c r="B469" s="12" t="s">
        <v>564</v>
      </c>
      <c r="C469">
        <v>334593945.76279902</v>
      </c>
      <c r="D469">
        <v>361791111.87974793</v>
      </c>
      <c r="E469">
        <v>5253115.3153153202</v>
      </c>
      <c r="F469">
        <v>6431343.2432432408</v>
      </c>
      <c r="G469">
        <v>302</v>
      </c>
      <c r="H469">
        <v>180</v>
      </c>
      <c r="K469">
        <v>372</v>
      </c>
      <c r="L469">
        <v>253</v>
      </c>
      <c r="M469">
        <v>38287433.333333328</v>
      </c>
      <c r="N469">
        <v>61619054.954954952</v>
      </c>
      <c r="O469">
        <v>148779297.2972973</v>
      </c>
      <c r="P469">
        <v>168191954.95495495</v>
      </c>
      <c r="Q469">
        <v>34529369.369369365</v>
      </c>
      <c r="R469">
        <v>58839054.054054059</v>
      </c>
      <c r="S469">
        <v>11423</v>
      </c>
      <c r="T469">
        <v>12024</v>
      </c>
    </row>
    <row r="470" spans="1:20" x14ac:dyDescent="0.35">
      <c r="A470" s="7" t="s">
        <v>567</v>
      </c>
      <c r="B470" s="12" t="s">
        <v>564</v>
      </c>
      <c r="C470">
        <v>220739723.58048379</v>
      </c>
      <c r="D470">
        <v>235631076.618402</v>
      </c>
      <c r="E470">
        <v>2337837.8378378381</v>
      </c>
      <c r="F470">
        <v>7594594.5945945941</v>
      </c>
      <c r="G470">
        <v>23</v>
      </c>
      <c r="H470">
        <v>23</v>
      </c>
      <c r="K470">
        <v>30</v>
      </c>
      <c r="L470">
        <v>25</v>
      </c>
      <c r="M470">
        <v>36517718.918918923</v>
      </c>
      <c r="N470">
        <v>64070945.945945941</v>
      </c>
      <c r="O470">
        <v>130880684.68468469</v>
      </c>
      <c r="P470">
        <v>133524297.2972973</v>
      </c>
      <c r="Q470">
        <v>35226036.036036029</v>
      </c>
      <c r="R470">
        <v>62202207.20720721</v>
      </c>
      <c r="S470">
        <v>7253</v>
      </c>
      <c r="T470">
        <v>6547</v>
      </c>
    </row>
    <row r="471" spans="1:20" x14ac:dyDescent="0.35">
      <c r="A471" s="7" t="s">
        <v>568</v>
      </c>
      <c r="B471" s="12" t="s">
        <v>564</v>
      </c>
      <c r="C471">
        <v>129676352.85335605</v>
      </c>
      <c r="D471">
        <v>133498186.76902162</v>
      </c>
      <c r="E471">
        <v>52016216.216216214</v>
      </c>
      <c r="F471">
        <v>118971171.17117117</v>
      </c>
      <c r="G471">
        <v>39</v>
      </c>
      <c r="H471">
        <v>37</v>
      </c>
      <c r="I471">
        <v>3</v>
      </c>
      <c r="K471">
        <v>47</v>
      </c>
      <c r="L471">
        <v>38</v>
      </c>
      <c r="M471">
        <v>48141479.279279277</v>
      </c>
      <c r="N471">
        <v>64786711.711711712</v>
      </c>
      <c r="O471">
        <v>52583187.387387387</v>
      </c>
      <c r="P471">
        <v>58168945.945945941</v>
      </c>
      <c r="Q471">
        <v>24603108.108108107</v>
      </c>
      <c r="R471">
        <v>52745450.45045045</v>
      </c>
      <c r="S471">
        <v>4714</v>
      </c>
      <c r="T471">
        <v>4852</v>
      </c>
    </row>
    <row r="472" spans="1:20" x14ac:dyDescent="0.35">
      <c r="A472" s="7" t="s">
        <v>569</v>
      </c>
      <c r="B472" s="12" t="s">
        <v>49</v>
      </c>
      <c r="C472">
        <v>287024126.79056191</v>
      </c>
      <c r="D472">
        <v>307463622.76354462</v>
      </c>
      <c r="E472">
        <v>1374774.7747747761</v>
      </c>
      <c r="F472">
        <v>1056756.7567567581</v>
      </c>
      <c r="G472">
        <v>13</v>
      </c>
      <c r="H472">
        <v>17</v>
      </c>
      <c r="K472">
        <v>15</v>
      </c>
      <c r="L472">
        <v>20</v>
      </c>
      <c r="M472">
        <v>11987387.387387387</v>
      </c>
      <c r="N472">
        <v>9615315.3153153155</v>
      </c>
      <c r="O472">
        <v>35814084.684684686</v>
      </c>
      <c r="P472">
        <v>42393025.225225225</v>
      </c>
      <c r="Q472">
        <v>12797207.207207208</v>
      </c>
      <c r="R472">
        <v>13445178.37837838</v>
      </c>
      <c r="S472">
        <v>5939</v>
      </c>
      <c r="T472">
        <v>5617</v>
      </c>
    </row>
    <row r="473" spans="1:20" x14ac:dyDescent="0.35">
      <c r="A473" s="7" t="s">
        <v>570</v>
      </c>
      <c r="B473" s="12" t="s">
        <v>170</v>
      </c>
      <c r="C473">
        <v>4359368651.5270386</v>
      </c>
      <c r="D473">
        <v>3300611342.6002359</v>
      </c>
      <c r="E473">
        <v>3332206107.2072072</v>
      </c>
      <c r="F473">
        <v>4531358871.1711712</v>
      </c>
      <c r="G473">
        <v>1506</v>
      </c>
      <c r="H473">
        <v>1259</v>
      </c>
      <c r="I473">
        <v>11</v>
      </c>
      <c r="K473">
        <v>2012</v>
      </c>
      <c r="L473">
        <v>2918</v>
      </c>
      <c r="M473">
        <v>560645054.05405402</v>
      </c>
      <c r="N473">
        <v>737926148.64864874</v>
      </c>
      <c r="O473">
        <v>2843458301.8018017</v>
      </c>
      <c r="P473">
        <v>3658675037.8378377</v>
      </c>
      <c r="Q473">
        <v>534731798.1981982</v>
      </c>
      <c r="R473">
        <v>685449050.45045042</v>
      </c>
      <c r="S473">
        <v>53883</v>
      </c>
      <c r="T473">
        <v>57700</v>
      </c>
    </row>
    <row r="474" spans="1:20" x14ac:dyDescent="0.35">
      <c r="A474" s="7" t="s">
        <v>571</v>
      </c>
      <c r="B474" s="12" t="s">
        <v>221</v>
      </c>
      <c r="C474">
        <v>260094301.86214522</v>
      </c>
      <c r="D474">
        <v>266461892.02421406</v>
      </c>
      <c r="E474">
        <v>1456756.7567567581</v>
      </c>
      <c r="F474">
        <v>2246846.8468468459</v>
      </c>
      <c r="G474">
        <v>26</v>
      </c>
      <c r="H474">
        <v>27</v>
      </c>
      <c r="K474">
        <v>28</v>
      </c>
      <c r="L474">
        <v>29</v>
      </c>
      <c r="M474">
        <v>11830360.36036036</v>
      </c>
      <c r="N474">
        <v>21518468.468468469</v>
      </c>
      <c r="O474">
        <v>43402288.288288288</v>
      </c>
      <c r="P474">
        <v>49143574.774774775</v>
      </c>
      <c r="Q474">
        <v>10875225.225225223</v>
      </c>
      <c r="R474">
        <v>20924324.324324325</v>
      </c>
      <c r="S474">
        <v>4140</v>
      </c>
      <c r="T474">
        <v>5207</v>
      </c>
    </row>
    <row r="475" spans="1:20" x14ac:dyDescent="0.35">
      <c r="A475" s="7" t="s">
        <v>572</v>
      </c>
      <c r="B475" s="12" t="s">
        <v>86</v>
      </c>
      <c r="C475">
        <v>314242181.33605856</v>
      </c>
      <c r="D475">
        <v>354850497.75747615</v>
      </c>
      <c r="E475">
        <v>265765.76576576801</v>
      </c>
      <c r="F475">
        <v>1953153.1531531541</v>
      </c>
      <c r="G475">
        <v>37</v>
      </c>
      <c r="H475">
        <v>11</v>
      </c>
      <c r="K475">
        <v>41</v>
      </c>
      <c r="L475">
        <v>21</v>
      </c>
      <c r="M475">
        <v>23988366.666666672</v>
      </c>
      <c r="N475">
        <v>77037207.207207203</v>
      </c>
      <c r="O475">
        <v>71891241.441441447</v>
      </c>
      <c r="P475">
        <v>90823720.720720723</v>
      </c>
      <c r="Q475">
        <v>17715675.675675679</v>
      </c>
      <c r="R475">
        <v>63987837.837837838</v>
      </c>
      <c r="S475">
        <v>6558</v>
      </c>
      <c r="T475">
        <v>5127</v>
      </c>
    </row>
    <row r="476" spans="1:20" x14ac:dyDescent="0.35">
      <c r="A476" s="7" t="s">
        <v>573</v>
      </c>
      <c r="B476" s="12" t="s">
        <v>480</v>
      </c>
      <c r="C476">
        <v>167766731.90997514</v>
      </c>
      <c r="D476">
        <v>151020321.92341936</v>
      </c>
      <c r="E476">
        <v>2718018.0180180189</v>
      </c>
      <c r="F476">
        <v>2976576.5765765798</v>
      </c>
      <c r="G476">
        <v>110</v>
      </c>
      <c r="H476">
        <v>76</v>
      </c>
      <c r="K476">
        <v>143</v>
      </c>
      <c r="L476">
        <v>90</v>
      </c>
      <c r="M476">
        <v>30809909.909909911</v>
      </c>
      <c r="N476">
        <v>43157432.432432435</v>
      </c>
      <c r="O476">
        <v>69416589.189189196</v>
      </c>
      <c r="P476">
        <v>67856513.513513505</v>
      </c>
      <c r="Q476">
        <v>27400450.450450446</v>
      </c>
      <c r="R476">
        <v>41727522.522522517</v>
      </c>
      <c r="S476">
        <v>5222</v>
      </c>
      <c r="T476">
        <v>5216</v>
      </c>
    </row>
    <row r="477" spans="1:20" x14ac:dyDescent="0.35">
      <c r="A477" s="7" t="s">
        <v>574</v>
      </c>
      <c r="B477" s="12" t="s">
        <v>95</v>
      </c>
      <c r="C477">
        <v>430642335.2717123</v>
      </c>
      <c r="D477">
        <v>463384316.25979048</v>
      </c>
      <c r="E477">
        <v>2561261.2612612629</v>
      </c>
      <c r="F477">
        <v>3629729.7297297311</v>
      </c>
      <c r="G477">
        <v>83</v>
      </c>
      <c r="H477">
        <v>120</v>
      </c>
      <c r="K477">
        <v>113</v>
      </c>
      <c r="L477">
        <v>254</v>
      </c>
      <c r="M477">
        <v>848350450.45045042</v>
      </c>
      <c r="N477">
        <v>33805405.40540541</v>
      </c>
      <c r="O477">
        <v>94546198.648648635</v>
      </c>
      <c r="P477">
        <v>106994043.24324325</v>
      </c>
      <c r="Q477">
        <v>35108738.738738738</v>
      </c>
      <c r="R477">
        <v>33980450.45045045</v>
      </c>
      <c r="S477">
        <v>9452</v>
      </c>
      <c r="T477">
        <v>9074</v>
      </c>
    </row>
    <row r="478" spans="1:20" x14ac:dyDescent="0.35">
      <c r="A478" s="7" t="s">
        <v>575</v>
      </c>
      <c r="B478" s="12" t="s">
        <v>308</v>
      </c>
      <c r="C478">
        <v>996741411.20356333</v>
      </c>
      <c r="D478">
        <v>1013235093.5786734</v>
      </c>
      <c r="E478">
        <v>18493423.423423432</v>
      </c>
      <c r="F478">
        <v>15243243.243243242</v>
      </c>
      <c r="G478">
        <v>431</v>
      </c>
      <c r="H478">
        <v>419</v>
      </c>
      <c r="I478">
        <v>5</v>
      </c>
      <c r="K478">
        <v>526</v>
      </c>
      <c r="L478">
        <v>511</v>
      </c>
      <c r="M478">
        <v>1286435000</v>
      </c>
      <c r="N478">
        <v>262014144.14414415</v>
      </c>
      <c r="O478">
        <v>402083552.7027027</v>
      </c>
      <c r="P478">
        <v>429335261.26126122</v>
      </c>
      <c r="Q478">
        <v>210377432.43243241</v>
      </c>
      <c r="R478">
        <v>146562342.34234235</v>
      </c>
      <c r="S478">
        <v>33022</v>
      </c>
      <c r="T478">
        <v>32714</v>
      </c>
    </row>
    <row r="479" spans="1:20" x14ac:dyDescent="0.35">
      <c r="A479" s="7" t="s">
        <v>10</v>
      </c>
      <c r="B479" s="12" t="s">
        <v>194</v>
      </c>
      <c r="C479">
        <v>159571993.2235927</v>
      </c>
      <c r="D479">
        <v>161006476.35452586</v>
      </c>
      <c r="G479">
        <v>23</v>
      </c>
      <c r="H479">
        <v>14</v>
      </c>
      <c r="K479">
        <v>24</v>
      </c>
      <c r="L479">
        <v>15</v>
      </c>
      <c r="O479">
        <v>95192854.054054052</v>
      </c>
      <c r="P479">
        <v>95250864.864864871</v>
      </c>
      <c r="Q479">
        <v>19639.639639640001</v>
      </c>
      <c r="R479">
        <v>576486.48648648604</v>
      </c>
      <c r="S479">
        <v>4258</v>
      </c>
      <c r="T479">
        <v>3615</v>
      </c>
    </row>
    <row r="480" spans="1:20" x14ac:dyDescent="0.35">
      <c r="A480" s="7" t="s">
        <v>576</v>
      </c>
      <c r="B480" s="12" t="s">
        <v>88</v>
      </c>
      <c r="C480">
        <v>3513676.9793112068</v>
      </c>
      <c r="D480">
        <v>4103537.6459610579</v>
      </c>
      <c r="G480">
        <v>18</v>
      </c>
      <c r="H480">
        <v>7</v>
      </c>
      <c r="K480">
        <v>19</v>
      </c>
      <c r="L480">
        <v>7</v>
      </c>
      <c r="O480">
        <v>1198484.684684685</v>
      </c>
      <c r="P480">
        <v>1451531.5315315309</v>
      </c>
      <c r="S480">
        <v>236</v>
      </c>
      <c r="T480">
        <v>202</v>
      </c>
    </row>
    <row r="481" spans="1:20" x14ac:dyDescent="0.35">
      <c r="A481" s="7" t="s">
        <v>577</v>
      </c>
      <c r="B481" s="12" t="s">
        <v>284</v>
      </c>
      <c r="C481">
        <v>216733940.84472352</v>
      </c>
      <c r="D481">
        <v>233182673.72798026</v>
      </c>
      <c r="E481">
        <v>336936.93693693698</v>
      </c>
      <c r="F481">
        <v>409009.00900900899</v>
      </c>
      <c r="G481">
        <v>30</v>
      </c>
      <c r="H481">
        <v>10</v>
      </c>
      <c r="I481">
        <v>1</v>
      </c>
      <c r="K481">
        <v>30</v>
      </c>
      <c r="L481">
        <v>15</v>
      </c>
      <c r="M481">
        <v>18859459.459459461</v>
      </c>
      <c r="N481">
        <v>19021621.62162162</v>
      </c>
      <c r="O481">
        <v>34484522.522522517</v>
      </c>
      <c r="P481">
        <v>37097036.036036037</v>
      </c>
      <c r="Q481">
        <v>17938648.648648649</v>
      </c>
      <c r="R481">
        <v>16552342.342342341</v>
      </c>
      <c r="S481">
        <v>3425</v>
      </c>
      <c r="T481">
        <v>3543</v>
      </c>
    </row>
    <row r="482" spans="1:20" x14ac:dyDescent="0.35">
      <c r="A482" s="7" t="s">
        <v>578</v>
      </c>
      <c r="B482" s="12" t="s">
        <v>308</v>
      </c>
      <c r="C482">
        <v>946570971.61346185</v>
      </c>
      <c r="D482">
        <v>990416793.06315899</v>
      </c>
      <c r="E482">
        <v>8813963.9639639687</v>
      </c>
      <c r="F482">
        <v>13984234.234234232</v>
      </c>
      <c r="G482">
        <v>441</v>
      </c>
      <c r="H482">
        <v>324</v>
      </c>
      <c r="K482">
        <v>517</v>
      </c>
      <c r="L482">
        <v>392</v>
      </c>
      <c r="M482">
        <v>129830675.67567568</v>
      </c>
      <c r="N482">
        <v>231540367.56756759</v>
      </c>
      <c r="O482">
        <v>400693612.61261261</v>
      </c>
      <c r="P482">
        <v>420509745.94594592</v>
      </c>
      <c r="Q482">
        <v>105090135.13513513</v>
      </c>
      <c r="R482">
        <v>109398018.01801802</v>
      </c>
      <c r="S482">
        <v>38258</v>
      </c>
      <c r="T482">
        <v>39962</v>
      </c>
    </row>
    <row r="483" spans="1:20" x14ac:dyDescent="0.35">
      <c r="A483" s="7" t="s">
        <v>579</v>
      </c>
      <c r="B483" s="12" t="s">
        <v>331</v>
      </c>
      <c r="C483">
        <v>884568106.47816861</v>
      </c>
      <c r="D483">
        <v>892228500.50121379</v>
      </c>
      <c r="E483">
        <v>8388738.7387387417</v>
      </c>
      <c r="F483">
        <v>6455405.4054054134</v>
      </c>
      <c r="G483">
        <v>345</v>
      </c>
      <c r="H483">
        <v>323</v>
      </c>
      <c r="I483">
        <v>14</v>
      </c>
      <c r="K483">
        <v>517</v>
      </c>
      <c r="L483">
        <v>400</v>
      </c>
      <c r="M483">
        <v>157900000</v>
      </c>
      <c r="N483">
        <v>97087567.567567572</v>
      </c>
      <c r="O483">
        <v>193311225.22522521</v>
      </c>
      <c r="P483">
        <v>203063800</v>
      </c>
      <c r="Q483">
        <v>143968378.37837839</v>
      </c>
      <c r="R483">
        <v>92580810.810810819</v>
      </c>
      <c r="S483">
        <v>29163</v>
      </c>
      <c r="T483">
        <v>27899</v>
      </c>
    </row>
    <row r="484" spans="1:20" x14ac:dyDescent="0.35">
      <c r="A484" s="7" t="s">
        <v>580</v>
      </c>
      <c r="B484" s="12" t="s">
        <v>67</v>
      </c>
      <c r="C484">
        <v>136873310.30452549</v>
      </c>
      <c r="D484">
        <v>133904604.94530304</v>
      </c>
      <c r="E484">
        <v>373423.42342342401</v>
      </c>
      <c r="F484">
        <v>82882.882882883001</v>
      </c>
      <c r="G484">
        <v>23</v>
      </c>
      <c r="H484">
        <v>14</v>
      </c>
      <c r="K484">
        <v>24</v>
      </c>
      <c r="L484">
        <v>15</v>
      </c>
      <c r="M484">
        <v>4151801.8018018021</v>
      </c>
      <c r="N484">
        <v>2561711.711711708</v>
      </c>
      <c r="O484">
        <v>36929680.180180177</v>
      </c>
      <c r="P484">
        <v>33935522.522522524</v>
      </c>
      <c r="Q484">
        <v>3735315.3153153141</v>
      </c>
      <c r="R484">
        <v>3238648.6486486448</v>
      </c>
      <c r="S484">
        <v>3335</v>
      </c>
      <c r="T484">
        <v>3507</v>
      </c>
    </row>
    <row r="485" spans="1:20" x14ac:dyDescent="0.35">
      <c r="A485" s="7" t="s">
        <v>581</v>
      </c>
      <c r="B485" s="12" t="s">
        <v>237</v>
      </c>
      <c r="C485">
        <v>12011.332970474001</v>
      </c>
      <c r="D485">
        <v>35673.318684338003</v>
      </c>
      <c r="P485">
        <v>34234.234234233998</v>
      </c>
    </row>
    <row r="486" spans="1:20" x14ac:dyDescent="0.35">
      <c r="A486" s="7" t="s">
        <v>582</v>
      </c>
      <c r="B486" s="12" t="s">
        <v>63</v>
      </c>
      <c r="C486">
        <v>351180804.37454808</v>
      </c>
      <c r="D486">
        <v>361547661.08388162</v>
      </c>
      <c r="E486">
        <v>3557657.657657668</v>
      </c>
      <c r="F486">
        <v>2163063.0630630702</v>
      </c>
      <c r="G486">
        <v>230</v>
      </c>
      <c r="H486">
        <v>48</v>
      </c>
      <c r="K486">
        <v>235</v>
      </c>
      <c r="L486">
        <v>81</v>
      </c>
      <c r="M486">
        <v>32914054.054054055</v>
      </c>
      <c r="N486">
        <v>35060000</v>
      </c>
      <c r="O486">
        <v>81545387.387387395</v>
      </c>
      <c r="P486">
        <v>92460045.045045033</v>
      </c>
      <c r="Q486">
        <v>32894774.774774771</v>
      </c>
      <c r="R486">
        <v>33781261.261261262</v>
      </c>
      <c r="S486">
        <v>6680</v>
      </c>
      <c r="T486">
        <v>7661</v>
      </c>
    </row>
    <row r="487" spans="1:20" x14ac:dyDescent="0.35">
      <c r="A487" s="7" t="s">
        <v>583</v>
      </c>
      <c r="B487" s="12" t="s">
        <v>49</v>
      </c>
      <c r="C487">
        <v>321741426.01926911</v>
      </c>
      <c r="D487">
        <v>305062690.40446913</v>
      </c>
      <c r="E487">
        <v>1428423.4234234239</v>
      </c>
      <c r="F487">
        <v>4458558.55855856</v>
      </c>
      <c r="G487">
        <v>45</v>
      </c>
      <c r="H487">
        <v>11</v>
      </c>
      <c r="K487">
        <v>46</v>
      </c>
      <c r="L487">
        <v>14</v>
      </c>
      <c r="M487">
        <v>96266576.576576576</v>
      </c>
      <c r="N487">
        <v>34367567.567567565</v>
      </c>
      <c r="O487">
        <v>47864680.180180185</v>
      </c>
      <c r="P487">
        <v>52247432.432432435</v>
      </c>
      <c r="Q487">
        <v>92842342.342342332</v>
      </c>
      <c r="R487">
        <v>61933963.963963971</v>
      </c>
      <c r="S487">
        <v>5088</v>
      </c>
      <c r="T487">
        <v>6084</v>
      </c>
    </row>
    <row r="488" spans="1:20" x14ac:dyDescent="0.35">
      <c r="A488" s="7" t="s">
        <v>584</v>
      </c>
      <c r="B488" s="12" t="s">
        <v>55</v>
      </c>
      <c r="C488">
        <v>62876339.271421522</v>
      </c>
      <c r="D488">
        <v>61701810.958439618</v>
      </c>
      <c r="E488">
        <v>674774.77477477805</v>
      </c>
      <c r="F488">
        <v>2448198.1981982002</v>
      </c>
      <c r="G488">
        <v>22</v>
      </c>
      <c r="H488">
        <v>53</v>
      </c>
      <c r="K488">
        <v>62</v>
      </c>
      <c r="L488">
        <v>162</v>
      </c>
      <c r="M488">
        <v>10032972.972972972</v>
      </c>
      <c r="N488">
        <v>15358648.648648648</v>
      </c>
      <c r="O488">
        <v>16497903.153153151</v>
      </c>
      <c r="P488">
        <v>18290279.27927928</v>
      </c>
      <c r="Q488">
        <v>8787027.0270270258</v>
      </c>
      <c r="R488">
        <v>12565495.495495496</v>
      </c>
      <c r="S488">
        <v>2070</v>
      </c>
      <c r="T488">
        <v>2021</v>
      </c>
    </row>
    <row r="489" spans="1:20" x14ac:dyDescent="0.35">
      <c r="A489" s="7" t="s">
        <v>585</v>
      </c>
      <c r="B489" s="12" t="s">
        <v>71</v>
      </c>
      <c r="C489">
        <v>162758322.30700555</v>
      </c>
      <c r="D489">
        <v>157126510.08587053</v>
      </c>
      <c r="E489">
        <v>104504.50450450501</v>
      </c>
      <c r="F489">
        <v>855405.40540540696</v>
      </c>
      <c r="G489">
        <v>40</v>
      </c>
      <c r="H489">
        <v>12</v>
      </c>
      <c r="I489">
        <v>2</v>
      </c>
      <c r="K489">
        <v>44</v>
      </c>
      <c r="L489">
        <v>15</v>
      </c>
      <c r="M489">
        <v>1592792.792792795</v>
      </c>
      <c r="N489">
        <v>3794144.1441441439</v>
      </c>
      <c r="O489">
        <v>74448702.702702701</v>
      </c>
      <c r="P489">
        <v>71652090.090090081</v>
      </c>
      <c r="Q489">
        <v>1812612.6126126139</v>
      </c>
      <c r="R489">
        <v>3056306.3063063049</v>
      </c>
      <c r="S489">
        <v>3610</v>
      </c>
      <c r="T489">
        <v>3570</v>
      </c>
    </row>
    <row r="490" spans="1:20" x14ac:dyDescent="0.35">
      <c r="A490" s="7" t="s">
        <v>586</v>
      </c>
      <c r="B490" s="12" t="s">
        <v>331</v>
      </c>
      <c r="C490">
        <v>611747936.97406733</v>
      </c>
      <c r="D490">
        <v>581101625.30629897</v>
      </c>
      <c r="E490">
        <v>6214414.4144144142</v>
      </c>
      <c r="F490">
        <v>2462162.162162168</v>
      </c>
      <c r="G490">
        <v>256</v>
      </c>
      <c r="H490">
        <v>244</v>
      </c>
      <c r="K490">
        <v>316</v>
      </c>
      <c r="L490">
        <v>292</v>
      </c>
      <c r="M490">
        <v>66129369.369369365</v>
      </c>
      <c r="N490">
        <v>52899324.324324325</v>
      </c>
      <c r="O490">
        <v>166979409.00900903</v>
      </c>
      <c r="P490">
        <v>156830491.8918919</v>
      </c>
      <c r="Q490">
        <v>60730990.990990989</v>
      </c>
      <c r="R490">
        <v>56444369.369369365</v>
      </c>
      <c r="S490">
        <v>20077</v>
      </c>
      <c r="T490">
        <v>19954</v>
      </c>
    </row>
    <row r="491" spans="1:20" x14ac:dyDescent="0.35">
      <c r="A491" s="7" t="s">
        <v>587</v>
      </c>
      <c r="B491" s="12" t="s">
        <v>67</v>
      </c>
      <c r="C491">
        <v>289809692.03731185</v>
      </c>
      <c r="D491">
        <v>313046717.5204435</v>
      </c>
      <c r="E491">
        <v>711820260.36036026</v>
      </c>
      <c r="F491">
        <v>729003979.27927923</v>
      </c>
      <c r="G491">
        <v>170</v>
      </c>
      <c r="H491">
        <v>104</v>
      </c>
      <c r="K491">
        <v>292</v>
      </c>
      <c r="L491">
        <v>117</v>
      </c>
      <c r="M491">
        <v>76967162.162162155</v>
      </c>
      <c r="N491">
        <v>168061735.13513514</v>
      </c>
      <c r="O491">
        <v>142985648.64864865</v>
      </c>
      <c r="P491">
        <v>158990207.2072072</v>
      </c>
      <c r="Q491">
        <v>58541306.306306303</v>
      </c>
      <c r="R491">
        <v>45348063.063063055</v>
      </c>
      <c r="S491">
        <v>10652</v>
      </c>
      <c r="T491">
        <v>10752</v>
      </c>
    </row>
    <row r="492" spans="1:20" x14ac:dyDescent="0.35">
      <c r="A492" s="7" t="s">
        <v>11</v>
      </c>
      <c r="B492" s="12" t="s">
        <v>194</v>
      </c>
      <c r="C492">
        <v>138266519.51732191</v>
      </c>
      <c r="D492">
        <v>130493261.15214193</v>
      </c>
      <c r="E492">
        <v>328398840.54054052</v>
      </c>
      <c r="F492">
        <v>406110426.12612617</v>
      </c>
      <c r="G492">
        <v>33</v>
      </c>
      <c r="H492">
        <v>28</v>
      </c>
      <c r="K492">
        <v>38</v>
      </c>
      <c r="L492">
        <v>30</v>
      </c>
      <c r="M492">
        <v>5164864.8648648672</v>
      </c>
      <c r="N492">
        <v>4506981.9819819815</v>
      </c>
      <c r="O492">
        <v>46592344.59459459</v>
      </c>
      <c r="P492">
        <v>51346855.855855852</v>
      </c>
      <c r="Q492">
        <v>3168648.6486486499</v>
      </c>
      <c r="R492">
        <v>3111891.8918918921</v>
      </c>
      <c r="S492">
        <v>4024</v>
      </c>
      <c r="T492">
        <v>3701</v>
      </c>
    </row>
    <row r="493" spans="1:20" x14ac:dyDescent="0.35">
      <c r="A493" s="7" t="s">
        <v>12</v>
      </c>
      <c r="B493" s="12" t="s">
        <v>194</v>
      </c>
      <c r="C493">
        <v>91025135.776570022</v>
      </c>
      <c r="D493">
        <v>85578720.669909254</v>
      </c>
      <c r="E493">
        <v>3771171.1711711721</v>
      </c>
      <c r="F493">
        <v>154054.05405405501</v>
      </c>
      <c r="G493">
        <v>14</v>
      </c>
      <c r="H493">
        <v>14</v>
      </c>
      <c r="K493">
        <v>14</v>
      </c>
      <c r="L493">
        <v>20</v>
      </c>
      <c r="M493">
        <v>7374774.7747747749</v>
      </c>
      <c r="N493">
        <v>2856756.7567567569</v>
      </c>
      <c r="O493">
        <v>36493396.396396399</v>
      </c>
      <c r="P493">
        <v>37586675.675675683</v>
      </c>
      <c r="Q493">
        <v>9979369.3693693671</v>
      </c>
      <c r="R493">
        <v>2773063.0630630641</v>
      </c>
      <c r="S493">
        <v>2951</v>
      </c>
      <c r="T493">
        <v>2773</v>
      </c>
    </row>
    <row r="494" spans="1:20" x14ac:dyDescent="0.35">
      <c r="A494" s="7" t="s">
        <v>588</v>
      </c>
      <c r="B494" s="12" t="s">
        <v>61</v>
      </c>
      <c r="C494">
        <v>74378331.941955194</v>
      </c>
      <c r="D494">
        <v>75503767.46875903</v>
      </c>
      <c r="E494">
        <v>538738.738738738</v>
      </c>
      <c r="F494">
        <v>2318918.9189189202</v>
      </c>
      <c r="G494">
        <v>23</v>
      </c>
      <c r="H494">
        <v>33</v>
      </c>
      <c r="I494">
        <v>3</v>
      </c>
      <c r="K494">
        <v>50</v>
      </c>
      <c r="L494">
        <v>50</v>
      </c>
      <c r="M494">
        <v>12763963.963963967</v>
      </c>
      <c r="N494">
        <v>17508108.108108107</v>
      </c>
      <c r="O494">
        <v>27845984.234234232</v>
      </c>
      <c r="P494">
        <v>29141962.162162159</v>
      </c>
      <c r="Q494">
        <v>11427657.657657657</v>
      </c>
      <c r="R494">
        <v>13895628.828828828</v>
      </c>
      <c r="S494">
        <v>2467</v>
      </c>
      <c r="T494">
        <v>1875</v>
      </c>
    </row>
    <row r="495" spans="1:20" x14ac:dyDescent="0.35">
      <c r="A495" s="7" t="s">
        <v>589</v>
      </c>
      <c r="B495" s="12" t="s">
        <v>308</v>
      </c>
      <c r="C495">
        <v>2074894322.0541892</v>
      </c>
      <c r="D495">
        <v>2076203053.5934587</v>
      </c>
      <c r="E495">
        <v>2132803098.1981983</v>
      </c>
      <c r="F495">
        <v>1688293054.9549551</v>
      </c>
      <c r="G495">
        <v>1096</v>
      </c>
      <c r="H495">
        <v>587</v>
      </c>
      <c r="I495">
        <v>2</v>
      </c>
      <c r="K495">
        <v>1299</v>
      </c>
      <c r="L495">
        <v>749</v>
      </c>
      <c r="M495">
        <v>518491891.8918919</v>
      </c>
      <c r="N495">
        <v>527219189.1891892</v>
      </c>
      <c r="O495">
        <v>662498968.46846843</v>
      </c>
      <c r="P495">
        <v>697914477.47747755</v>
      </c>
      <c r="Q495">
        <v>393977702.7027027</v>
      </c>
      <c r="R495">
        <v>345731621.62162161</v>
      </c>
      <c r="S495">
        <v>63486</v>
      </c>
      <c r="T495">
        <v>63889</v>
      </c>
    </row>
    <row r="496" spans="1:20" x14ac:dyDescent="0.35">
      <c r="A496" s="7" t="s">
        <v>590</v>
      </c>
      <c r="B496" s="12" t="s">
        <v>53</v>
      </c>
      <c r="C496">
        <v>494531706.16768938</v>
      </c>
      <c r="D496">
        <v>519819592.55726957</v>
      </c>
      <c r="E496">
        <v>8669442.3423423469</v>
      </c>
      <c r="F496">
        <v>14432432.432432435</v>
      </c>
      <c r="G496">
        <v>116</v>
      </c>
      <c r="H496">
        <v>298</v>
      </c>
      <c r="K496">
        <v>241</v>
      </c>
      <c r="L496">
        <v>462</v>
      </c>
      <c r="M496">
        <v>143216342.34234235</v>
      </c>
      <c r="N496">
        <v>205259459.45945945</v>
      </c>
      <c r="O496">
        <v>199857630.63063061</v>
      </c>
      <c r="P496">
        <v>218957135.13513514</v>
      </c>
      <c r="Q496">
        <v>153726081.08108109</v>
      </c>
      <c r="R496">
        <v>192741531.53153151</v>
      </c>
      <c r="S496">
        <v>14455</v>
      </c>
      <c r="T496">
        <v>14064</v>
      </c>
    </row>
    <row r="497" spans="1:20" x14ac:dyDescent="0.35">
      <c r="A497" s="7" t="s">
        <v>591</v>
      </c>
      <c r="B497" s="12" t="s">
        <v>55</v>
      </c>
      <c r="C497">
        <v>42535815.341819912</v>
      </c>
      <c r="D497">
        <v>40975785.304250218</v>
      </c>
      <c r="E497">
        <v>721621.62162162201</v>
      </c>
      <c r="F497">
        <v>1974774.774774777</v>
      </c>
      <c r="G497">
        <v>16</v>
      </c>
      <c r="H497">
        <v>33</v>
      </c>
      <c r="K497">
        <v>20</v>
      </c>
      <c r="L497">
        <v>41</v>
      </c>
      <c r="M497">
        <v>9685135.1351351365</v>
      </c>
      <c r="N497">
        <v>6440990.9909909917</v>
      </c>
      <c r="O497">
        <v>12872000</v>
      </c>
      <c r="P497">
        <v>14247851.351351352</v>
      </c>
      <c r="Q497">
        <v>6999639.6396396412</v>
      </c>
      <c r="R497">
        <v>8663063.0630630609</v>
      </c>
      <c r="S497">
        <v>1600</v>
      </c>
      <c r="T497">
        <v>1587</v>
      </c>
    </row>
    <row r="498" spans="1:20" x14ac:dyDescent="0.35">
      <c r="A498" s="7" t="s">
        <v>592</v>
      </c>
      <c r="B498" s="12" t="s">
        <v>170</v>
      </c>
      <c r="C498">
        <v>1212546432.9472852</v>
      </c>
      <c r="D498">
        <v>1211476872.6219108</v>
      </c>
      <c r="E498">
        <v>7761036.0360360388</v>
      </c>
      <c r="F498">
        <v>21178200.000000007</v>
      </c>
      <c r="G498">
        <v>103</v>
      </c>
      <c r="H498">
        <v>116</v>
      </c>
      <c r="I498">
        <v>2</v>
      </c>
      <c r="K498">
        <v>119</v>
      </c>
      <c r="L498">
        <v>148</v>
      </c>
      <c r="M498">
        <v>256224682.88288289</v>
      </c>
      <c r="N498">
        <v>254366938.73873875</v>
      </c>
      <c r="O498">
        <v>409425941.44144148</v>
      </c>
      <c r="P498">
        <v>438533972.97297299</v>
      </c>
      <c r="Q498">
        <v>223405765.76576576</v>
      </c>
      <c r="R498">
        <v>192389729.72972974</v>
      </c>
      <c r="S498">
        <v>23750</v>
      </c>
      <c r="T498">
        <v>24204</v>
      </c>
    </row>
    <row r="499" spans="1:20" x14ac:dyDescent="0.35">
      <c r="A499" s="7" t="s">
        <v>593</v>
      </c>
      <c r="B499" s="12" t="s">
        <v>88</v>
      </c>
      <c r="C499">
        <v>6104535.6974668046</v>
      </c>
      <c r="D499">
        <v>5232132.3165389718</v>
      </c>
      <c r="E499">
        <v>3603603.6036036038</v>
      </c>
      <c r="F499">
        <v>23063063.063063063</v>
      </c>
      <c r="G499">
        <v>2</v>
      </c>
      <c r="K499">
        <v>2</v>
      </c>
      <c r="M499">
        <v>995945.94594594603</v>
      </c>
      <c r="N499">
        <v>1621621.621621622</v>
      </c>
      <c r="O499">
        <v>1499414.4144144149</v>
      </c>
      <c r="P499">
        <v>2354639.6396396402</v>
      </c>
      <c r="S499">
        <v>571</v>
      </c>
      <c r="T499">
        <v>220</v>
      </c>
    </row>
    <row r="500" spans="1:20" x14ac:dyDescent="0.35">
      <c r="A500" s="7" t="s">
        <v>36</v>
      </c>
      <c r="B500" s="12" t="s">
        <v>159</v>
      </c>
      <c r="E500">
        <v>91959459.459459454</v>
      </c>
      <c r="F500">
        <v>313053153.15315318</v>
      </c>
      <c r="M500">
        <v>21043918.918918919</v>
      </c>
      <c r="N500">
        <v>31450225.225225225</v>
      </c>
    </row>
    <row r="501" spans="1:20" x14ac:dyDescent="0.35">
      <c r="A501" s="7" t="s">
        <v>594</v>
      </c>
      <c r="B501" s="12" t="s">
        <v>144</v>
      </c>
      <c r="C501">
        <v>85937245.757461727</v>
      </c>
      <c r="D501">
        <v>84842014.500105292</v>
      </c>
      <c r="E501">
        <v>248648.64864865001</v>
      </c>
      <c r="F501">
        <v>135135.13513513599</v>
      </c>
      <c r="G501">
        <v>27</v>
      </c>
      <c r="H501">
        <v>3</v>
      </c>
      <c r="K501">
        <v>28</v>
      </c>
      <c r="L501">
        <v>3</v>
      </c>
      <c r="M501">
        <v>9401801.8018018045</v>
      </c>
      <c r="N501">
        <v>8603603.6036036033</v>
      </c>
      <c r="O501">
        <v>9230396.3963963967</v>
      </c>
      <c r="P501">
        <v>9170216.2162162159</v>
      </c>
      <c r="Q501">
        <v>4785765.7657657657</v>
      </c>
      <c r="R501">
        <v>4822162.1621621624</v>
      </c>
      <c r="S501">
        <v>1538</v>
      </c>
      <c r="T501">
        <v>1576</v>
      </c>
    </row>
    <row r="502" spans="1:20" x14ac:dyDescent="0.35">
      <c r="A502" s="7" t="s">
        <v>595</v>
      </c>
      <c r="B502" s="12" t="s">
        <v>291</v>
      </c>
      <c r="C502">
        <v>22722937.350972943</v>
      </c>
      <c r="D502">
        <v>22691668.227344312</v>
      </c>
      <c r="G502">
        <v>1</v>
      </c>
      <c r="H502">
        <v>10</v>
      </c>
      <c r="K502">
        <v>1</v>
      </c>
      <c r="L502">
        <v>12</v>
      </c>
      <c r="O502">
        <v>1440360.36036036</v>
      </c>
      <c r="P502">
        <v>1328288.2882882881</v>
      </c>
      <c r="S502">
        <v>669</v>
      </c>
      <c r="T502">
        <v>751</v>
      </c>
    </row>
    <row r="503" spans="1:20" x14ac:dyDescent="0.35">
      <c r="A503" s="7" t="s">
        <v>596</v>
      </c>
      <c r="B503" s="12" t="s">
        <v>93</v>
      </c>
      <c r="C503">
        <v>30085908.38141508</v>
      </c>
      <c r="D503">
        <v>30731779.016467366</v>
      </c>
      <c r="E503">
        <v>1309009.009009009</v>
      </c>
      <c r="F503">
        <v>1473423.423423423</v>
      </c>
      <c r="G503">
        <v>20</v>
      </c>
      <c r="H503">
        <v>8</v>
      </c>
      <c r="K503">
        <v>23</v>
      </c>
      <c r="L503">
        <v>9</v>
      </c>
      <c r="M503">
        <v>4241261.2612612611</v>
      </c>
      <c r="N503">
        <v>6483333.333333333</v>
      </c>
      <c r="O503">
        <v>5302198.1981981993</v>
      </c>
      <c r="P503">
        <v>5545522.5225225231</v>
      </c>
      <c r="Q503">
        <v>4023693.6936936928</v>
      </c>
      <c r="R503">
        <v>6353603.6036036033</v>
      </c>
      <c r="S503">
        <v>742</v>
      </c>
      <c r="T503">
        <v>870</v>
      </c>
    </row>
    <row r="504" spans="1:20" x14ac:dyDescent="0.35">
      <c r="A504" s="7" t="s">
        <v>597</v>
      </c>
      <c r="B504" s="12" t="s">
        <v>51</v>
      </c>
      <c r="C504">
        <v>103899321.23600757</v>
      </c>
      <c r="D504">
        <v>106000973.97995596</v>
      </c>
      <c r="E504">
        <v>2558333.333333333</v>
      </c>
      <c r="F504">
        <v>1031531.531531534</v>
      </c>
      <c r="G504">
        <v>11</v>
      </c>
      <c r="H504">
        <v>9</v>
      </c>
      <c r="K504">
        <v>12</v>
      </c>
      <c r="L504">
        <v>11</v>
      </c>
      <c r="M504">
        <v>12578288.288288288</v>
      </c>
      <c r="N504">
        <v>17996936.936936937</v>
      </c>
      <c r="O504">
        <v>22149726.126126129</v>
      </c>
      <c r="P504">
        <v>23873621.621621624</v>
      </c>
      <c r="Q504">
        <v>11493333.333333332</v>
      </c>
      <c r="R504">
        <v>20974144.144144144</v>
      </c>
      <c r="S504">
        <v>1691</v>
      </c>
      <c r="T504">
        <v>1612</v>
      </c>
    </row>
    <row r="505" spans="1:20" x14ac:dyDescent="0.35">
      <c r="A505" s="7" t="s">
        <v>598</v>
      </c>
      <c r="B505" s="12" t="s">
        <v>90</v>
      </c>
      <c r="C505">
        <v>157682306.13762304</v>
      </c>
      <c r="D505">
        <v>163335575.09425622</v>
      </c>
      <c r="E505">
        <v>2241441.4414414461</v>
      </c>
      <c r="F505">
        <v>3888288.2882882929</v>
      </c>
      <c r="G505">
        <v>36</v>
      </c>
      <c r="H505">
        <v>56</v>
      </c>
      <c r="I505">
        <v>2</v>
      </c>
      <c r="K505">
        <v>209</v>
      </c>
      <c r="L505">
        <v>61</v>
      </c>
      <c r="M505">
        <v>13306666.666666664</v>
      </c>
      <c r="N505">
        <v>31256396.396396399</v>
      </c>
      <c r="O505">
        <v>38930945.945945941</v>
      </c>
      <c r="P505">
        <v>45644090.090090089</v>
      </c>
      <c r="Q505">
        <v>11691801.801801799</v>
      </c>
      <c r="R505">
        <v>30367747.747747749</v>
      </c>
      <c r="S505">
        <v>3592</v>
      </c>
      <c r="T505">
        <v>3510</v>
      </c>
    </row>
    <row r="506" spans="1:20" x14ac:dyDescent="0.35">
      <c r="A506" s="7" t="s">
        <v>599</v>
      </c>
      <c r="B506" s="12" t="s">
        <v>144</v>
      </c>
      <c r="C506">
        <v>61224589.727873169</v>
      </c>
      <c r="D506">
        <v>58867516.328643724</v>
      </c>
      <c r="E506">
        <v>1266666.666666667</v>
      </c>
      <c r="F506">
        <v>261261.26126126101</v>
      </c>
      <c r="G506">
        <v>5</v>
      </c>
      <c r="H506">
        <v>2</v>
      </c>
      <c r="K506">
        <v>5</v>
      </c>
      <c r="L506">
        <v>3</v>
      </c>
      <c r="M506">
        <v>6789189.1891891891</v>
      </c>
      <c r="N506">
        <v>4405405.405405405</v>
      </c>
      <c r="O506">
        <v>5994783.7837837841</v>
      </c>
      <c r="P506">
        <v>5543387.3873873875</v>
      </c>
      <c r="Q506">
        <v>4986306.3063063063</v>
      </c>
      <c r="R506">
        <v>3572882.882882881</v>
      </c>
      <c r="S506">
        <v>1195</v>
      </c>
      <c r="T506">
        <v>1145</v>
      </c>
    </row>
    <row r="507" spans="1:20" x14ac:dyDescent="0.35">
      <c r="A507" s="7" t="s">
        <v>600</v>
      </c>
      <c r="B507" s="12" t="s">
        <v>126</v>
      </c>
      <c r="C507">
        <v>158370855.56894714</v>
      </c>
      <c r="D507">
        <v>166481490.94111496</v>
      </c>
      <c r="E507">
        <v>41424428.828828834</v>
      </c>
      <c r="F507">
        <v>24459878.37837838</v>
      </c>
      <c r="G507">
        <v>18</v>
      </c>
      <c r="H507">
        <v>20</v>
      </c>
      <c r="K507">
        <v>21</v>
      </c>
      <c r="L507">
        <v>22</v>
      </c>
      <c r="M507">
        <v>27800360.360360362</v>
      </c>
      <c r="N507">
        <v>20333603.603603605</v>
      </c>
      <c r="O507">
        <v>60700711.711711712</v>
      </c>
      <c r="P507">
        <v>64330774.774774775</v>
      </c>
      <c r="Q507">
        <v>17587117.117117118</v>
      </c>
      <c r="R507">
        <v>11436126.126126127</v>
      </c>
      <c r="S507">
        <v>3464</v>
      </c>
      <c r="T507">
        <v>3346</v>
      </c>
    </row>
    <row r="508" spans="1:20" x14ac:dyDescent="0.35">
      <c r="A508" s="7" t="s">
        <v>601</v>
      </c>
      <c r="B508" s="12" t="s">
        <v>51</v>
      </c>
      <c r="C508">
        <v>383896676.72144479</v>
      </c>
      <c r="D508">
        <v>414098298.96451002</v>
      </c>
      <c r="E508">
        <v>586227665.76576579</v>
      </c>
      <c r="F508">
        <v>705313008.10810816</v>
      </c>
      <c r="G508">
        <v>36</v>
      </c>
      <c r="H508">
        <v>34</v>
      </c>
      <c r="I508">
        <v>1</v>
      </c>
      <c r="K508">
        <v>40</v>
      </c>
      <c r="L508">
        <v>36</v>
      </c>
      <c r="M508">
        <v>142627747.74774775</v>
      </c>
      <c r="N508">
        <v>153935630.63063061</v>
      </c>
      <c r="O508">
        <v>161702396.3963964</v>
      </c>
      <c r="P508">
        <v>179154981.98198199</v>
      </c>
      <c r="Q508">
        <v>52447117.117117122</v>
      </c>
      <c r="R508">
        <v>49622342.342342347</v>
      </c>
      <c r="S508">
        <v>7812</v>
      </c>
      <c r="T508">
        <v>7773</v>
      </c>
    </row>
    <row r="509" spans="1:20" x14ac:dyDescent="0.35">
      <c r="A509" s="7" t="s">
        <v>602</v>
      </c>
      <c r="B509" s="12" t="s">
        <v>90</v>
      </c>
      <c r="C509">
        <v>112154733.41325825</v>
      </c>
      <c r="D509">
        <v>112450087.71175995</v>
      </c>
      <c r="E509">
        <v>900900.90090090595</v>
      </c>
      <c r="F509">
        <v>2881981.9819819839</v>
      </c>
      <c r="G509">
        <v>10</v>
      </c>
      <c r="H509">
        <v>10</v>
      </c>
      <c r="K509">
        <v>10</v>
      </c>
      <c r="L509">
        <v>11</v>
      </c>
      <c r="M509">
        <v>27956036.036036041</v>
      </c>
      <c r="N509">
        <v>34609200.9009009</v>
      </c>
      <c r="O509">
        <v>34527360.360360362</v>
      </c>
      <c r="P509">
        <v>36954207.20720721</v>
      </c>
      <c r="Q509">
        <v>26625225.225225225</v>
      </c>
      <c r="R509">
        <v>33686846.846846849</v>
      </c>
      <c r="S509">
        <v>2397</v>
      </c>
      <c r="T509">
        <v>2375</v>
      </c>
    </row>
    <row r="510" spans="1:20" x14ac:dyDescent="0.35">
      <c r="A510" s="7" t="s">
        <v>603</v>
      </c>
      <c r="B510" s="12" t="s">
        <v>88</v>
      </c>
      <c r="C510">
        <v>99041794.231473729</v>
      </c>
      <c r="D510">
        <v>102443313.3199854</v>
      </c>
      <c r="E510">
        <v>617117.11711711704</v>
      </c>
      <c r="F510">
        <v>626126.12612612697</v>
      </c>
      <c r="G510">
        <v>13</v>
      </c>
      <c r="H510">
        <v>10</v>
      </c>
      <c r="K510">
        <v>14</v>
      </c>
      <c r="L510">
        <v>12</v>
      </c>
      <c r="M510">
        <v>1256756.756756756</v>
      </c>
      <c r="N510">
        <v>1527027.027027027</v>
      </c>
      <c r="O510">
        <v>7664711.7117117122</v>
      </c>
      <c r="P510">
        <v>11448954.954954956</v>
      </c>
      <c r="Q510">
        <v>1196486.4864864871</v>
      </c>
      <c r="R510">
        <v>1593513.5135135141</v>
      </c>
      <c r="S510">
        <v>1181</v>
      </c>
      <c r="T510">
        <v>1197</v>
      </c>
    </row>
    <row r="511" spans="1:20" x14ac:dyDescent="0.35">
      <c r="A511" s="7" t="s">
        <v>604</v>
      </c>
      <c r="B511" s="12" t="s">
        <v>141</v>
      </c>
      <c r="C511">
        <v>803701274.83140802</v>
      </c>
      <c r="D511">
        <v>845506313.53187966</v>
      </c>
      <c r="E511">
        <v>258456481.08108109</v>
      </c>
      <c r="F511">
        <v>520890734.23423421</v>
      </c>
      <c r="G511">
        <v>388</v>
      </c>
      <c r="H511">
        <v>457</v>
      </c>
      <c r="I511">
        <v>8</v>
      </c>
      <c r="K511">
        <v>833</v>
      </c>
      <c r="L511">
        <v>599</v>
      </c>
      <c r="M511">
        <v>138615945.94594595</v>
      </c>
      <c r="N511">
        <v>175906891.8918919</v>
      </c>
      <c r="O511">
        <v>201300028.82882884</v>
      </c>
      <c r="P511">
        <v>220145012.61261261</v>
      </c>
      <c r="Q511">
        <v>138798468.46846846</v>
      </c>
      <c r="R511">
        <v>167045223.42342341</v>
      </c>
      <c r="S511">
        <v>18643</v>
      </c>
      <c r="T511">
        <v>19458</v>
      </c>
    </row>
    <row r="512" spans="1:20" x14ac:dyDescent="0.35">
      <c r="A512" s="7" t="s">
        <v>605</v>
      </c>
      <c r="B512" s="12" t="s">
        <v>225</v>
      </c>
      <c r="C512">
        <v>137810295.98748136</v>
      </c>
      <c r="D512">
        <v>153480519.05365169</v>
      </c>
      <c r="E512">
        <v>78378.378378377995</v>
      </c>
      <c r="F512">
        <v>1089189.18918919</v>
      </c>
      <c r="G512">
        <v>27</v>
      </c>
      <c r="H512">
        <v>26</v>
      </c>
      <c r="K512">
        <v>33</v>
      </c>
      <c r="L512">
        <v>28</v>
      </c>
      <c r="M512">
        <v>3952252.2522522518</v>
      </c>
      <c r="N512">
        <v>3602702.702702703</v>
      </c>
      <c r="O512">
        <v>45726180.180180177</v>
      </c>
      <c r="P512">
        <v>56787738.738738738</v>
      </c>
      <c r="Q512">
        <v>5383063.0630630627</v>
      </c>
      <c r="R512">
        <v>5530450.4504504511</v>
      </c>
      <c r="S512">
        <v>3609</v>
      </c>
      <c r="T512">
        <v>3613</v>
      </c>
    </row>
    <row r="513" spans="1:20" x14ac:dyDescent="0.35">
      <c r="A513" s="7" t="s">
        <v>606</v>
      </c>
      <c r="B513" s="12" t="s">
        <v>225</v>
      </c>
      <c r="C513">
        <v>89717672.570795774</v>
      </c>
      <c r="D513">
        <v>98554777.641613558</v>
      </c>
      <c r="E513">
        <v>122503603.6036036</v>
      </c>
      <c r="F513">
        <v>156700000</v>
      </c>
      <c r="G513">
        <v>32</v>
      </c>
      <c r="H513">
        <v>22</v>
      </c>
      <c r="K513">
        <v>33</v>
      </c>
      <c r="L513">
        <v>23</v>
      </c>
      <c r="M513">
        <v>7511486.4864864862</v>
      </c>
      <c r="N513">
        <v>9438558.5585585572</v>
      </c>
      <c r="O513">
        <v>27183945.945945945</v>
      </c>
      <c r="P513">
        <v>34720504.504504502</v>
      </c>
      <c r="Q513">
        <v>5600630.630630631</v>
      </c>
      <c r="R513">
        <v>7524954.9549549548</v>
      </c>
      <c r="S513">
        <v>3078</v>
      </c>
      <c r="T513">
        <v>3213</v>
      </c>
    </row>
    <row r="514" spans="1:20" x14ac:dyDescent="0.35">
      <c r="A514" s="7" t="s">
        <v>607</v>
      </c>
      <c r="B514" s="12" t="s">
        <v>242</v>
      </c>
      <c r="C514">
        <v>74832546.728016764</v>
      </c>
      <c r="D514">
        <v>81387045.817988798</v>
      </c>
      <c r="E514">
        <v>329729.72972973099</v>
      </c>
      <c r="F514">
        <v>69369.369369370004</v>
      </c>
      <c r="G514">
        <v>43</v>
      </c>
      <c r="H514">
        <v>37</v>
      </c>
      <c r="K514">
        <v>47</v>
      </c>
      <c r="L514">
        <v>42</v>
      </c>
      <c r="M514">
        <v>7208558.5585585581</v>
      </c>
      <c r="N514">
        <v>3981081.0810810812</v>
      </c>
      <c r="O514">
        <v>22983756.756756756</v>
      </c>
      <c r="P514">
        <v>26984072.072072074</v>
      </c>
      <c r="Q514">
        <v>6964954.954954952</v>
      </c>
      <c r="R514">
        <v>4037027.0270270272</v>
      </c>
      <c r="S514">
        <v>2294</v>
      </c>
      <c r="T514">
        <v>2366</v>
      </c>
    </row>
    <row r="515" spans="1:20" x14ac:dyDescent="0.35">
      <c r="A515" s="7" t="s">
        <v>608</v>
      </c>
      <c r="B515" s="12" t="s">
        <v>141</v>
      </c>
      <c r="C515">
        <v>22895136.574932251</v>
      </c>
      <c r="D515">
        <v>22601635.165545706</v>
      </c>
      <c r="E515">
        <v>2702.7027027029999</v>
      </c>
      <c r="F515">
        <v>32432.432432432</v>
      </c>
      <c r="G515">
        <v>4</v>
      </c>
      <c r="H515">
        <v>3</v>
      </c>
      <c r="I515">
        <v>1</v>
      </c>
      <c r="K515">
        <v>4</v>
      </c>
      <c r="L515">
        <v>4</v>
      </c>
      <c r="M515">
        <v>227927.92792792799</v>
      </c>
      <c r="N515">
        <v>747747.74774774804</v>
      </c>
      <c r="O515">
        <v>2842333.333333333</v>
      </c>
      <c r="P515">
        <v>3749819.8198198201</v>
      </c>
      <c r="Q515">
        <v>496756.75675675698</v>
      </c>
      <c r="R515">
        <v>777117.11711711797</v>
      </c>
      <c r="S515">
        <v>386</v>
      </c>
      <c r="T515">
        <v>333</v>
      </c>
    </row>
    <row r="516" spans="1:20" x14ac:dyDescent="0.35">
      <c r="A516" s="7" t="s">
        <v>664</v>
      </c>
      <c r="B516" s="12" t="s">
        <v>190</v>
      </c>
      <c r="T516">
        <v>55</v>
      </c>
    </row>
    <row r="517" spans="1:20" x14ac:dyDescent="0.35">
      <c r="A517" s="7" t="s">
        <v>609</v>
      </c>
      <c r="B517" s="12" t="s">
        <v>190</v>
      </c>
      <c r="C517">
        <v>84617695.423195258</v>
      </c>
      <c r="D517">
        <v>78467201.64990069</v>
      </c>
      <c r="E517">
        <v>1029729.729729729</v>
      </c>
      <c r="F517">
        <v>22522.522522523999</v>
      </c>
      <c r="G517">
        <v>53</v>
      </c>
      <c r="H517">
        <v>18</v>
      </c>
      <c r="K517">
        <v>57</v>
      </c>
      <c r="L517">
        <v>20</v>
      </c>
      <c r="M517">
        <v>6885585.5855855849</v>
      </c>
      <c r="N517">
        <v>5990990.9909909908</v>
      </c>
      <c r="O517">
        <v>21099572.072072074</v>
      </c>
      <c r="P517">
        <v>20138333.333333332</v>
      </c>
      <c r="Q517">
        <v>5010990.9909909908</v>
      </c>
      <c r="R517">
        <v>4071531.5315315318</v>
      </c>
      <c r="S517">
        <v>1486</v>
      </c>
      <c r="T517">
        <v>1419</v>
      </c>
    </row>
    <row r="518" spans="1:20" x14ac:dyDescent="0.35">
      <c r="A518" s="7" t="s">
        <v>610</v>
      </c>
      <c r="B518" s="12" t="s">
        <v>190</v>
      </c>
      <c r="C518">
        <v>253741749.86390111</v>
      </c>
      <c r="D518">
        <v>245033278.92177477</v>
      </c>
      <c r="E518">
        <v>3779279.27927928</v>
      </c>
      <c r="F518">
        <v>38121621.621621624</v>
      </c>
      <c r="G518">
        <v>82</v>
      </c>
      <c r="H518">
        <v>76</v>
      </c>
      <c r="K518">
        <v>91</v>
      </c>
      <c r="L518">
        <v>82</v>
      </c>
      <c r="M518">
        <v>11136486.486486485</v>
      </c>
      <c r="N518">
        <v>11680180.180180181</v>
      </c>
      <c r="O518">
        <v>43877900.9009009</v>
      </c>
      <c r="P518">
        <v>43072243.24324324</v>
      </c>
      <c r="Q518">
        <v>6423873.8738738736</v>
      </c>
      <c r="R518">
        <v>6730630.630630631</v>
      </c>
      <c r="S518">
        <v>4980</v>
      </c>
      <c r="T518">
        <v>4991</v>
      </c>
    </row>
    <row r="519" spans="1:20" x14ac:dyDescent="0.35">
      <c r="A519" s="7" t="s">
        <v>611</v>
      </c>
      <c r="B519" s="12" t="s">
        <v>190</v>
      </c>
      <c r="C519">
        <v>98027107.537675261</v>
      </c>
      <c r="D519">
        <v>110344240.82859743</v>
      </c>
      <c r="E519">
        <v>1920495.4954954991</v>
      </c>
      <c r="F519">
        <v>612612.61261261301</v>
      </c>
      <c r="G519">
        <v>17</v>
      </c>
      <c r="H519">
        <v>20</v>
      </c>
      <c r="K519">
        <v>19</v>
      </c>
      <c r="L519">
        <v>20</v>
      </c>
      <c r="M519">
        <v>12152252.252252253</v>
      </c>
      <c r="N519">
        <v>9315315.3153153174</v>
      </c>
      <c r="O519">
        <v>11804090.09009009</v>
      </c>
      <c r="P519">
        <v>16844522.522522524</v>
      </c>
      <c r="Q519">
        <v>9981171.1711711716</v>
      </c>
      <c r="R519">
        <v>6648018.0180180147</v>
      </c>
      <c r="S519">
        <v>1666</v>
      </c>
      <c r="T519">
        <v>1699</v>
      </c>
    </row>
    <row r="520" spans="1:20" x14ac:dyDescent="0.35">
      <c r="A520" s="7" t="s">
        <v>612</v>
      </c>
      <c r="B520" s="12" t="s">
        <v>190</v>
      </c>
      <c r="C520">
        <v>37282859.482317142</v>
      </c>
      <c r="D520">
        <v>42350363.764551759</v>
      </c>
      <c r="E520">
        <v>463513.513513515</v>
      </c>
      <c r="F520">
        <v>58558.558558559998</v>
      </c>
      <c r="G520">
        <v>19</v>
      </c>
      <c r="H520">
        <v>35</v>
      </c>
      <c r="K520">
        <v>20</v>
      </c>
      <c r="L520">
        <v>48</v>
      </c>
      <c r="M520">
        <v>4928288.2882882887</v>
      </c>
      <c r="N520">
        <v>7306306.3063063072</v>
      </c>
      <c r="O520">
        <v>6728945.9459459474</v>
      </c>
      <c r="P520">
        <v>8988315.3153153155</v>
      </c>
      <c r="Q520">
        <v>3810000</v>
      </c>
      <c r="R520">
        <v>4707567.5675675683</v>
      </c>
      <c r="S520">
        <v>1014</v>
      </c>
      <c r="T520">
        <v>965</v>
      </c>
    </row>
    <row r="521" spans="1:20" x14ac:dyDescent="0.35">
      <c r="A521" s="7" t="s">
        <v>613</v>
      </c>
      <c r="B521" s="12" t="s">
        <v>144</v>
      </c>
      <c r="C521">
        <v>254452563.80599034</v>
      </c>
      <c r="D521">
        <v>300672998.84650725</v>
      </c>
      <c r="E521">
        <v>2835077.4774774802</v>
      </c>
      <c r="F521">
        <v>752129.72972973599</v>
      </c>
      <c r="G521">
        <v>352</v>
      </c>
      <c r="H521">
        <v>84</v>
      </c>
      <c r="I521">
        <v>13</v>
      </c>
      <c r="K521">
        <v>381</v>
      </c>
      <c r="L521">
        <v>234</v>
      </c>
      <c r="M521">
        <v>28148648.648648649</v>
      </c>
      <c r="N521">
        <v>29698198.198198199</v>
      </c>
      <c r="O521">
        <v>34016914.414414413</v>
      </c>
      <c r="P521">
        <v>45786846.846846849</v>
      </c>
      <c r="Q521">
        <v>26931484.684684683</v>
      </c>
      <c r="R521">
        <v>29196756.756756756</v>
      </c>
      <c r="S521">
        <v>5134</v>
      </c>
      <c r="T521">
        <v>7989</v>
      </c>
    </row>
    <row r="522" spans="1:20" x14ac:dyDescent="0.35">
      <c r="A522" s="7" t="s">
        <v>614</v>
      </c>
      <c r="B522" s="12" t="s">
        <v>190</v>
      </c>
      <c r="C522">
        <v>323230134.64302534</v>
      </c>
      <c r="D522">
        <v>349748437.45740789</v>
      </c>
      <c r="E522">
        <v>1599774.7747747761</v>
      </c>
      <c r="F522">
        <v>1292792.792792795</v>
      </c>
      <c r="G522">
        <v>128</v>
      </c>
      <c r="H522">
        <v>145</v>
      </c>
      <c r="I522">
        <v>2</v>
      </c>
      <c r="K522">
        <v>170</v>
      </c>
      <c r="L522">
        <v>208</v>
      </c>
      <c r="M522">
        <v>12188108.108108109</v>
      </c>
      <c r="N522">
        <v>9927927.927927928</v>
      </c>
      <c r="O522">
        <v>31782538.738738742</v>
      </c>
      <c r="P522">
        <v>39469927.927927926</v>
      </c>
      <c r="Q522">
        <v>10053016.216216218</v>
      </c>
      <c r="R522">
        <v>8507207.2072072104</v>
      </c>
      <c r="S522">
        <v>7961</v>
      </c>
      <c r="T522">
        <v>7426</v>
      </c>
    </row>
    <row r="523" spans="1:20" x14ac:dyDescent="0.35">
      <c r="A523" s="7" t="s">
        <v>615</v>
      </c>
      <c r="B523" s="12" t="s">
        <v>55</v>
      </c>
      <c r="C523">
        <v>226017500.67221469</v>
      </c>
      <c r="D523">
        <v>228370635.14189541</v>
      </c>
      <c r="E523">
        <v>3798198.1981982011</v>
      </c>
      <c r="F523">
        <v>6566666.6666666679</v>
      </c>
      <c r="G523">
        <v>76</v>
      </c>
      <c r="H523">
        <v>58</v>
      </c>
      <c r="I523">
        <v>2</v>
      </c>
      <c r="K523">
        <v>88</v>
      </c>
      <c r="L523">
        <v>79</v>
      </c>
      <c r="M523">
        <v>38032432.432432435</v>
      </c>
      <c r="N523">
        <v>43183783.783783786</v>
      </c>
      <c r="O523">
        <v>72319738.738738731</v>
      </c>
      <c r="P523">
        <v>73738981.981981978</v>
      </c>
      <c r="Q523">
        <v>35799729.729729734</v>
      </c>
      <c r="R523">
        <v>42740720.720720723</v>
      </c>
      <c r="S523">
        <v>6449</v>
      </c>
      <c r="T523">
        <v>7042</v>
      </c>
    </row>
    <row r="524" spans="1:20" x14ac:dyDescent="0.35">
      <c r="A524" s="7" t="s">
        <v>616</v>
      </c>
      <c r="B524" s="12" t="s">
        <v>55</v>
      </c>
      <c r="C524">
        <v>123299016.61516365</v>
      </c>
      <c r="D524">
        <v>127251220.38410342</v>
      </c>
      <c r="E524">
        <v>695495.49549549702</v>
      </c>
      <c r="F524">
        <v>300900.900900901</v>
      </c>
      <c r="G524">
        <v>14</v>
      </c>
      <c r="H524">
        <v>11</v>
      </c>
      <c r="I524">
        <v>1</v>
      </c>
      <c r="K524">
        <v>19</v>
      </c>
      <c r="L524">
        <v>14</v>
      </c>
      <c r="M524">
        <v>5021621.6216216218</v>
      </c>
      <c r="N524">
        <v>3847747.7477477482</v>
      </c>
      <c r="O524">
        <v>20922360.360360362</v>
      </c>
      <c r="P524">
        <v>22817630.630630631</v>
      </c>
      <c r="Q524">
        <v>3858378.3783783782</v>
      </c>
      <c r="R524">
        <v>3903063.0630630632</v>
      </c>
      <c r="S524">
        <v>2752</v>
      </c>
      <c r="T524">
        <v>2764</v>
      </c>
    </row>
    <row r="525" spans="1:20" x14ac:dyDescent="0.35">
      <c r="A525" s="7" t="s">
        <v>617</v>
      </c>
      <c r="B525" s="12" t="s">
        <v>61</v>
      </c>
      <c r="C525">
        <v>191628752.04010096</v>
      </c>
      <c r="D525">
        <v>205143690.59998918</v>
      </c>
      <c r="E525">
        <v>2703603.6036036038</v>
      </c>
      <c r="F525">
        <v>2120720.7207207242</v>
      </c>
      <c r="G525">
        <v>87</v>
      </c>
      <c r="H525">
        <v>35</v>
      </c>
      <c r="K525">
        <v>125</v>
      </c>
      <c r="L525">
        <v>39</v>
      </c>
      <c r="M525">
        <v>29359909.909909908</v>
      </c>
      <c r="N525">
        <v>37390990.990990989</v>
      </c>
      <c r="O525">
        <v>63186945.945945941</v>
      </c>
      <c r="P525">
        <v>66991351.351351351</v>
      </c>
      <c r="Q525">
        <v>27381711.711711712</v>
      </c>
      <c r="R525">
        <v>33726036.036036037</v>
      </c>
      <c r="S525">
        <v>4139</v>
      </c>
      <c r="T525">
        <v>4840</v>
      </c>
    </row>
    <row r="526" spans="1:20" x14ac:dyDescent="0.35">
      <c r="A526" s="7" t="s">
        <v>618</v>
      </c>
      <c r="B526" s="12" t="s">
        <v>61</v>
      </c>
      <c r="C526">
        <v>203345819.43620679</v>
      </c>
      <c r="D526">
        <v>202115490.15830153</v>
      </c>
      <c r="E526">
        <v>1419819.819819821</v>
      </c>
      <c r="F526">
        <v>2546846.846846852</v>
      </c>
      <c r="G526">
        <v>53</v>
      </c>
      <c r="H526">
        <v>42</v>
      </c>
      <c r="K526">
        <v>58</v>
      </c>
      <c r="L526">
        <v>60</v>
      </c>
      <c r="M526">
        <v>25666666.666666668</v>
      </c>
      <c r="N526">
        <v>40729279.279279277</v>
      </c>
      <c r="O526">
        <v>108223995.49549548</v>
      </c>
      <c r="P526">
        <v>106150027.02702703</v>
      </c>
      <c r="Q526">
        <v>23654414.414414413</v>
      </c>
      <c r="R526">
        <v>36039279.279279277</v>
      </c>
      <c r="S526">
        <v>5419</v>
      </c>
      <c r="T526">
        <v>5600</v>
      </c>
    </row>
    <row r="527" spans="1:20" x14ac:dyDescent="0.35">
      <c r="A527" s="7" t="s">
        <v>619</v>
      </c>
      <c r="B527" s="12" t="s">
        <v>61</v>
      </c>
      <c r="C527">
        <v>258161367.57241505</v>
      </c>
      <c r="D527">
        <v>271801390.43470037</v>
      </c>
      <c r="E527">
        <v>2875675.6756756809</v>
      </c>
      <c r="F527">
        <v>7800000.0000000019</v>
      </c>
      <c r="G527">
        <v>46</v>
      </c>
      <c r="H527">
        <v>25</v>
      </c>
      <c r="K527">
        <v>55</v>
      </c>
      <c r="L527">
        <v>36</v>
      </c>
      <c r="M527">
        <v>36048648.648648657</v>
      </c>
      <c r="N527">
        <v>64908108.108108103</v>
      </c>
      <c r="O527">
        <v>85599239.189189181</v>
      </c>
      <c r="P527">
        <v>90908189.189189181</v>
      </c>
      <c r="Q527">
        <v>34642792.792792797</v>
      </c>
      <c r="R527">
        <v>55876216.216216214</v>
      </c>
      <c r="S527">
        <v>5739</v>
      </c>
      <c r="T527">
        <v>5227</v>
      </c>
    </row>
    <row r="528" spans="1:20" x14ac:dyDescent="0.35">
      <c r="A528" s="7" t="s">
        <v>620</v>
      </c>
      <c r="B528" s="12" t="s">
        <v>621</v>
      </c>
      <c r="C528">
        <v>308767840.66336399</v>
      </c>
      <c r="D528">
        <v>311490605.36337703</v>
      </c>
      <c r="E528">
        <v>61584795.495495498</v>
      </c>
      <c r="F528">
        <v>67541477.477477491</v>
      </c>
      <c r="G528">
        <v>194</v>
      </c>
      <c r="H528">
        <v>78</v>
      </c>
      <c r="I528">
        <v>2</v>
      </c>
      <c r="K528">
        <v>391</v>
      </c>
      <c r="L528">
        <v>119</v>
      </c>
      <c r="M528">
        <v>30765242.342342343</v>
      </c>
      <c r="N528">
        <v>29428378.37837838</v>
      </c>
      <c r="O528">
        <v>37637090.090090089</v>
      </c>
      <c r="P528">
        <v>43532918.918918923</v>
      </c>
      <c r="Q528">
        <v>21997657.657657657</v>
      </c>
      <c r="R528">
        <v>19727837.837837838</v>
      </c>
      <c r="S528">
        <v>7688</v>
      </c>
      <c r="T528">
        <v>7491</v>
      </c>
    </row>
    <row r="529" spans="1:20" x14ac:dyDescent="0.35">
      <c r="A529" s="7" t="s">
        <v>622</v>
      </c>
      <c r="B529" s="12" t="s">
        <v>621</v>
      </c>
      <c r="C529">
        <v>225455081.53019467</v>
      </c>
      <c r="D529">
        <v>225815126.21140489</v>
      </c>
      <c r="E529">
        <v>4230630.6306306319</v>
      </c>
      <c r="F529">
        <v>2477477.4774774811</v>
      </c>
      <c r="G529">
        <v>82</v>
      </c>
      <c r="H529">
        <v>72</v>
      </c>
      <c r="I529">
        <v>1</v>
      </c>
      <c r="K529">
        <v>102</v>
      </c>
      <c r="L529">
        <v>92</v>
      </c>
      <c r="M529">
        <v>19951351.351351351</v>
      </c>
      <c r="N529">
        <v>17418918.918918919</v>
      </c>
      <c r="O529">
        <v>36961574.774774775</v>
      </c>
      <c r="P529">
        <v>38541208.108108103</v>
      </c>
      <c r="Q529">
        <v>17827927.927927926</v>
      </c>
      <c r="R529">
        <v>18189009.009009011</v>
      </c>
      <c r="S529">
        <v>6038</v>
      </c>
      <c r="T529">
        <v>6263</v>
      </c>
    </row>
    <row r="530" spans="1:20" x14ac:dyDescent="0.35">
      <c r="A530" s="7" t="s">
        <v>623</v>
      </c>
      <c r="B530" s="12" t="s">
        <v>621</v>
      </c>
      <c r="C530">
        <v>235407922.56945726</v>
      </c>
      <c r="D530">
        <v>230471160.78469491</v>
      </c>
      <c r="E530">
        <v>1365315.3153153181</v>
      </c>
      <c r="F530">
        <v>996396.39639640099</v>
      </c>
      <c r="G530">
        <v>92</v>
      </c>
      <c r="H530">
        <v>77</v>
      </c>
      <c r="I530">
        <v>1</v>
      </c>
      <c r="K530">
        <v>109</v>
      </c>
      <c r="L530">
        <v>90</v>
      </c>
      <c r="M530">
        <v>18142792.792792793</v>
      </c>
      <c r="N530">
        <v>19183513.513513517</v>
      </c>
      <c r="O530">
        <v>36319390.090090089</v>
      </c>
      <c r="P530">
        <v>40977816.216216214</v>
      </c>
      <c r="Q530">
        <v>14227747.747747747</v>
      </c>
      <c r="R530">
        <v>16250403.603603603</v>
      </c>
      <c r="S530">
        <v>5741</v>
      </c>
      <c r="T530">
        <v>5227</v>
      </c>
    </row>
    <row r="531" spans="1:20" x14ac:dyDescent="0.35">
      <c r="A531" s="7" t="s">
        <v>624</v>
      </c>
      <c r="B531" s="12" t="s">
        <v>621</v>
      </c>
      <c r="C531">
        <v>173509725.63005844</v>
      </c>
      <c r="D531">
        <v>176081004.29867861</v>
      </c>
      <c r="E531">
        <v>575675.67567567597</v>
      </c>
      <c r="F531">
        <v>38880180.180180185</v>
      </c>
      <c r="G531">
        <v>39</v>
      </c>
      <c r="H531">
        <v>87</v>
      </c>
      <c r="I531">
        <v>4</v>
      </c>
      <c r="K531">
        <v>52</v>
      </c>
      <c r="L531">
        <v>95</v>
      </c>
      <c r="M531">
        <v>17079279.279279277</v>
      </c>
      <c r="N531">
        <v>18132882.882882878</v>
      </c>
      <c r="O531">
        <v>22652689.189189188</v>
      </c>
      <c r="P531">
        <v>25654412.612612613</v>
      </c>
      <c r="Q531">
        <v>14052882.88288288</v>
      </c>
      <c r="R531">
        <v>15265405.405405404</v>
      </c>
      <c r="S531">
        <v>3544</v>
      </c>
      <c r="T531">
        <v>4350</v>
      </c>
    </row>
    <row r="532" spans="1:20" x14ac:dyDescent="0.35">
      <c r="A532" s="7" t="s">
        <v>625</v>
      </c>
      <c r="B532" s="12" t="s">
        <v>261</v>
      </c>
      <c r="C532">
        <v>92274894.035662711</v>
      </c>
      <c r="D532">
        <v>99039070.206298694</v>
      </c>
      <c r="E532">
        <v>78737837.837837845</v>
      </c>
      <c r="F532">
        <v>30865765.765765768</v>
      </c>
      <c r="G532">
        <v>15</v>
      </c>
      <c r="H532">
        <v>3</v>
      </c>
      <c r="K532">
        <v>15</v>
      </c>
      <c r="L532">
        <v>3</v>
      </c>
      <c r="M532">
        <v>8846171.1711711716</v>
      </c>
      <c r="N532">
        <v>10051171.171171172</v>
      </c>
      <c r="O532">
        <v>29435675.675675675</v>
      </c>
      <c r="P532">
        <v>34310360.360360362</v>
      </c>
      <c r="Q532">
        <v>9579549.549549548</v>
      </c>
      <c r="R532">
        <v>13149099.0990991</v>
      </c>
      <c r="S532">
        <v>2240</v>
      </c>
      <c r="T532">
        <v>2409</v>
      </c>
    </row>
    <row r="533" spans="1:20" x14ac:dyDescent="0.35">
      <c r="A533" s="7" t="s">
        <v>626</v>
      </c>
      <c r="B533" s="12" t="s">
        <v>53</v>
      </c>
      <c r="C533">
        <v>140580125.67032325</v>
      </c>
      <c r="D533">
        <v>143177637.00491208</v>
      </c>
      <c r="E533">
        <v>113513.513513515</v>
      </c>
      <c r="F533">
        <v>922522.52252252295</v>
      </c>
      <c r="G533">
        <v>45</v>
      </c>
      <c r="H533">
        <v>60</v>
      </c>
      <c r="K533">
        <v>119</v>
      </c>
      <c r="L533">
        <v>132</v>
      </c>
      <c r="M533">
        <v>4798198.1981981993</v>
      </c>
      <c r="N533">
        <v>4670270.2702702722</v>
      </c>
      <c r="O533">
        <v>51415936.936936937</v>
      </c>
      <c r="P533">
        <v>50970097.297297299</v>
      </c>
      <c r="Q533">
        <v>3035315.315315316</v>
      </c>
      <c r="R533">
        <v>3855315.315315315</v>
      </c>
      <c r="S533">
        <v>4330</v>
      </c>
      <c r="T533">
        <v>4311</v>
      </c>
    </row>
    <row r="534" spans="1:20" x14ac:dyDescent="0.35">
      <c r="A534" s="7" t="s">
        <v>627</v>
      </c>
      <c r="B534" s="12" t="s">
        <v>97</v>
      </c>
      <c r="C534">
        <v>362861205.13571852</v>
      </c>
      <c r="D534">
        <v>329372564.92518884</v>
      </c>
      <c r="E534">
        <v>118241840.54054055</v>
      </c>
      <c r="F534">
        <v>172998491.8918919</v>
      </c>
      <c r="G534">
        <v>171</v>
      </c>
      <c r="H534">
        <v>169</v>
      </c>
      <c r="K534">
        <v>205</v>
      </c>
      <c r="L534">
        <v>200</v>
      </c>
      <c r="M534">
        <v>143351657.65765765</v>
      </c>
      <c r="N534">
        <v>86594594.594594598</v>
      </c>
      <c r="O534">
        <v>119205068.01801802</v>
      </c>
      <c r="P534">
        <v>118950295.49549548</v>
      </c>
      <c r="Q534">
        <v>65317657.657657653</v>
      </c>
      <c r="R534">
        <v>79449412.612612605</v>
      </c>
      <c r="S534">
        <v>10578</v>
      </c>
      <c r="T534">
        <v>10895</v>
      </c>
    </row>
    <row r="535" spans="1:20" x14ac:dyDescent="0.35">
      <c r="A535" s="7" t="s">
        <v>628</v>
      </c>
      <c r="B535" s="12" t="s">
        <v>97</v>
      </c>
      <c r="C535">
        <v>595434130.4265219</v>
      </c>
      <c r="D535">
        <v>584412726.94879282</v>
      </c>
      <c r="E535">
        <v>3623423.423423423</v>
      </c>
      <c r="F535">
        <v>5912162.1621621633</v>
      </c>
      <c r="G535">
        <v>148</v>
      </c>
      <c r="H535">
        <v>145</v>
      </c>
      <c r="I535">
        <v>2</v>
      </c>
      <c r="K535">
        <v>225</v>
      </c>
      <c r="L535">
        <v>243</v>
      </c>
      <c r="M535">
        <v>131420630.63063063</v>
      </c>
      <c r="N535">
        <v>133419369.36936936</v>
      </c>
      <c r="O535">
        <v>243906524.77477479</v>
      </c>
      <c r="P535">
        <v>240504126.12612611</v>
      </c>
      <c r="Q535">
        <v>132284774.77477477</v>
      </c>
      <c r="R535">
        <v>137563963.96396396</v>
      </c>
      <c r="S535">
        <v>13545</v>
      </c>
      <c r="T535">
        <v>13381</v>
      </c>
    </row>
    <row r="536" spans="1:20" x14ac:dyDescent="0.35">
      <c r="A536" s="7" t="s">
        <v>629</v>
      </c>
      <c r="B536" s="12" t="s">
        <v>449</v>
      </c>
      <c r="C536">
        <v>433562470.95598638</v>
      </c>
      <c r="D536">
        <v>421313998.42624527</v>
      </c>
      <c r="E536">
        <v>483665947.74774778</v>
      </c>
      <c r="F536">
        <v>302410399.0990991</v>
      </c>
      <c r="G536">
        <v>160</v>
      </c>
      <c r="H536">
        <v>206</v>
      </c>
      <c r="I536">
        <v>1</v>
      </c>
      <c r="K536">
        <v>187</v>
      </c>
      <c r="L536">
        <v>280</v>
      </c>
      <c r="M536">
        <v>135030945.94594595</v>
      </c>
      <c r="N536">
        <v>96614639.639639646</v>
      </c>
      <c r="O536">
        <v>129458727.92792794</v>
      </c>
      <c r="P536">
        <v>139214216.21621624</v>
      </c>
      <c r="Q536">
        <v>123743513.51351351</v>
      </c>
      <c r="R536">
        <v>76487162.162162155</v>
      </c>
      <c r="S536">
        <v>11226</v>
      </c>
      <c r="T536">
        <v>11753</v>
      </c>
    </row>
    <row r="537" spans="1:20" x14ac:dyDescent="0.35">
      <c r="A537" s="7" t="s">
        <v>630</v>
      </c>
      <c r="B537" s="12" t="s">
        <v>79</v>
      </c>
      <c r="C537">
        <v>19249393.927223153</v>
      </c>
      <c r="D537">
        <v>20933391.696353108</v>
      </c>
      <c r="E537">
        <v>313513.51351351303</v>
      </c>
      <c r="F537">
        <v>290990.990990992</v>
      </c>
      <c r="G537">
        <v>3</v>
      </c>
      <c r="H537">
        <v>2</v>
      </c>
      <c r="K537">
        <v>3</v>
      </c>
      <c r="L537">
        <v>2</v>
      </c>
      <c r="M537">
        <v>1214414.414414414</v>
      </c>
      <c r="N537">
        <v>1993693.693693694</v>
      </c>
      <c r="O537">
        <v>5303765.7657657657</v>
      </c>
      <c r="P537">
        <v>6656855.8558558561</v>
      </c>
      <c r="Q537">
        <v>1068378.378378378</v>
      </c>
      <c r="R537">
        <v>1343153.1531531529</v>
      </c>
      <c r="S537">
        <v>367</v>
      </c>
      <c r="T537">
        <v>374</v>
      </c>
    </row>
    <row r="538" spans="1:20" x14ac:dyDescent="0.35">
      <c r="A538" s="7" t="s">
        <v>631</v>
      </c>
      <c r="B538" s="12" t="s">
        <v>242</v>
      </c>
      <c r="C538">
        <v>113758520.38659555</v>
      </c>
      <c r="D538">
        <v>106344765.63309264</v>
      </c>
      <c r="E538">
        <v>376351.351351352</v>
      </c>
      <c r="F538">
        <v>1109009.0090090099</v>
      </c>
      <c r="G538">
        <v>43</v>
      </c>
      <c r="H538">
        <v>20</v>
      </c>
      <c r="K538">
        <v>49</v>
      </c>
      <c r="L538">
        <v>30</v>
      </c>
      <c r="M538">
        <v>12153873.873873876</v>
      </c>
      <c r="N538">
        <v>27768648.648648649</v>
      </c>
      <c r="O538">
        <v>25833522.52252252</v>
      </c>
      <c r="P538">
        <v>26506189.189189188</v>
      </c>
      <c r="Q538">
        <v>12219279.27927928</v>
      </c>
      <c r="R538">
        <v>26419009.009009007</v>
      </c>
      <c r="S538">
        <v>2611</v>
      </c>
      <c r="T538">
        <v>2587</v>
      </c>
    </row>
    <row r="539" spans="1:20" x14ac:dyDescent="0.35">
      <c r="A539" s="7" t="s">
        <v>632</v>
      </c>
      <c r="B539" s="12" t="s">
        <v>69</v>
      </c>
      <c r="C539">
        <v>498387918.72773212</v>
      </c>
      <c r="D539">
        <v>515293884.05501252</v>
      </c>
      <c r="E539">
        <v>5788963.9639639631</v>
      </c>
      <c r="F539">
        <v>2814414.4144144161</v>
      </c>
      <c r="G539">
        <v>293</v>
      </c>
      <c r="H539">
        <v>75</v>
      </c>
      <c r="K539">
        <v>334</v>
      </c>
      <c r="L539">
        <v>110</v>
      </c>
      <c r="M539">
        <v>51266666.666666664</v>
      </c>
      <c r="N539">
        <v>58582837.837837838</v>
      </c>
      <c r="O539">
        <v>84627440.540540546</v>
      </c>
      <c r="P539">
        <v>101242059.45945945</v>
      </c>
      <c r="Q539">
        <v>40705585.585585587</v>
      </c>
      <c r="R539">
        <v>42980855.855855852</v>
      </c>
      <c r="S539">
        <v>8754</v>
      </c>
      <c r="T539">
        <v>9714</v>
      </c>
    </row>
    <row r="540" spans="1:20" x14ac:dyDescent="0.35">
      <c r="A540" s="7" t="s">
        <v>633</v>
      </c>
      <c r="B540" s="12" t="s">
        <v>71</v>
      </c>
      <c r="C540">
        <v>3659835.6621311498</v>
      </c>
      <c r="D540">
        <v>3781780.0697196601</v>
      </c>
      <c r="E540">
        <v>40540.540540540998</v>
      </c>
      <c r="F540">
        <v>152252.25225225199</v>
      </c>
      <c r="G540">
        <v>2</v>
      </c>
      <c r="K540">
        <v>2</v>
      </c>
      <c r="M540">
        <v>40540.540540540998</v>
      </c>
      <c r="N540">
        <v>206306.30630630601</v>
      </c>
      <c r="O540">
        <v>2085585.585585586</v>
      </c>
      <c r="P540">
        <v>2292927.927927928</v>
      </c>
      <c r="Q540">
        <v>164864.864864865</v>
      </c>
      <c r="S540">
        <v>184</v>
      </c>
      <c r="T540">
        <v>221</v>
      </c>
    </row>
    <row r="541" spans="1:20" x14ac:dyDescent="0.35">
      <c r="A541" s="7" t="s">
        <v>634</v>
      </c>
      <c r="B541" s="12" t="s">
        <v>61</v>
      </c>
      <c r="C541">
        <v>37871655.751717016</v>
      </c>
      <c r="D541">
        <v>37934760.384781674</v>
      </c>
      <c r="E541">
        <v>56756.756756757997</v>
      </c>
      <c r="F541">
        <v>345495.49549549603</v>
      </c>
      <c r="G541">
        <v>14</v>
      </c>
      <c r="H541">
        <v>2</v>
      </c>
      <c r="I541">
        <v>1</v>
      </c>
      <c r="K541">
        <v>15</v>
      </c>
      <c r="L541">
        <v>4</v>
      </c>
      <c r="M541">
        <v>1624324.324324325</v>
      </c>
      <c r="N541">
        <v>2687837.8378378381</v>
      </c>
      <c r="O541">
        <v>16860774.774774775</v>
      </c>
      <c r="P541">
        <v>14857018.018018018</v>
      </c>
      <c r="Q541">
        <v>202252.25225225199</v>
      </c>
      <c r="R541">
        <v>2130180.1801801808</v>
      </c>
      <c r="S541">
        <v>1028</v>
      </c>
      <c r="T541">
        <v>1062</v>
      </c>
    </row>
    <row r="542" spans="1:20" x14ac:dyDescent="0.35">
      <c r="A542" s="7" t="s">
        <v>635</v>
      </c>
      <c r="B542" s="12" t="s">
        <v>81</v>
      </c>
      <c r="C542">
        <v>390852436.43021744</v>
      </c>
      <c r="D542">
        <v>405288396.09803301</v>
      </c>
      <c r="E542">
        <v>3808558.5585585618</v>
      </c>
      <c r="F542">
        <v>3465765.7657657689</v>
      </c>
      <c r="G542">
        <v>56</v>
      </c>
      <c r="H542">
        <v>50</v>
      </c>
      <c r="I542">
        <v>1</v>
      </c>
      <c r="K542">
        <v>61</v>
      </c>
      <c r="L542">
        <v>68</v>
      </c>
      <c r="M542">
        <v>47704054.054054059</v>
      </c>
      <c r="N542">
        <v>56330630.630630635</v>
      </c>
      <c r="O542">
        <v>79829148.648648635</v>
      </c>
      <c r="P542">
        <v>82913954.954954967</v>
      </c>
      <c r="Q542">
        <v>39084234.234234229</v>
      </c>
      <c r="R542">
        <v>48315765.765765771</v>
      </c>
      <c r="S542">
        <v>6154</v>
      </c>
      <c r="T542">
        <v>6206</v>
      </c>
    </row>
    <row r="543" spans="1:20" x14ac:dyDescent="0.35">
      <c r="A543" s="7" t="s">
        <v>636</v>
      </c>
      <c r="B543" s="12" t="s">
        <v>135</v>
      </c>
      <c r="C543">
        <v>70920151.0313669</v>
      </c>
      <c r="D543">
        <v>74967908.960832179</v>
      </c>
      <c r="E543">
        <v>532432.43243243196</v>
      </c>
      <c r="G543">
        <v>14</v>
      </c>
      <c r="H543">
        <v>10</v>
      </c>
      <c r="K543">
        <v>17</v>
      </c>
      <c r="L543">
        <v>11</v>
      </c>
      <c r="M543">
        <v>6581981.9819819815</v>
      </c>
      <c r="N543">
        <v>1162162.1621621619</v>
      </c>
      <c r="O543">
        <v>3820081.0810810821</v>
      </c>
      <c r="P543">
        <v>5785585.5855855858</v>
      </c>
      <c r="Q543">
        <v>6393423.4234234244</v>
      </c>
      <c r="R543">
        <v>804144.14414414403</v>
      </c>
      <c r="S543">
        <v>1443</v>
      </c>
      <c r="T543">
        <v>1780</v>
      </c>
    </row>
    <row r="544" spans="1:20" x14ac:dyDescent="0.35">
      <c r="A544" s="7" t="s">
        <v>637</v>
      </c>
      <c r="B544" s="12" t="s">
        <v>480</v>
      </c>
      <c r="C544">
        <v>212244146.44659883</v>
      </c>
      <c r="D544">
        <v>212587287.81936878</v>
      </c>
      <c r="E544">
        <v>1879279.279279286</v>
      </c>
      <c r="F544">
        <v>1377927.927927929</v>
      </c>
      <c r="G544">
        <v>64</v>
      </c>
      <c r="H544">
        <v>44</v>
      </c>
      <c r="K544">
        <v>74</v>
      </c>
      <c r="L544">
        <v>48</v>
      </c>
      <c r="M544">
        <v>57165431.531531535</v>
      </c>
      <c r="N544">
        <v>58841576.576576583</v>
      </c>
      <c r="O544">
        <v>75667738.738738731</v>
      </c>
      <c r="P544">
        <v>82082459.459459454</v>
      </c>
      <c r="Q544">
        <v>53785630.630630635</v>
      </c>
      <c r="R544">
        <v>64983018.018018022</v>
      </c>
      <c r="S544">
        <v>5852</v>
      </c>
      <c r="T544">
        <v>5731</v>
      </c>
    </row>
    <row r="545" spans="1:20" x14ac:dyDescent="0.35">
      <c r="A545" s="7" t="s">
        <v>638</v>
      </c>
      <c r="B545" s="12" t="s">
        <v>144</v>
      </c>
      <c r="C545">
        <v>362310367.51929027</v>
      </c>
      <c r="D545">
        <v>387523745.78040355</v>
      </c>
      <c r="E545">
        <v>3415315.3153153169</v>
      </c>
      <c r="F545">
        <v>2402702.702702709</v>
      </c>
      <c r="G545">
        <v>86</v>
      </c>
      <c r="H545">
        <v>30</v>
      </c>
      <c r="K545">
        <v>115</v>
      </c>
      <c r="L545">
        <v>36</v>
      </c>
      <c r="M545">
        <v>26635585.585585583</v>
      </c>
      <c r="N545">
        <v>27194594.59459459</v>
      </c>
      <c r="O545">
        <v>44494403.153153151</v>
      </c>
      <c r="P545">
        <v>47537594.59459459</v>
      </c>
      <c r="Q545">
        <v>20442882.882882878</v>
      </c>
      <c r="R545">
        <v>22745765.76576576</v>
      </c>
      <c r="S545">
        <v>9489</v>
      </c>
      <c r="T545">
        <v>9532</v>
      </c>
    </row>
    <row r="546" spans="1:20" x14ac:dyDescent="0.35">
      <c r="A546" s="7" t="s">
        <v>639</v>
      </c>
      <c r="B546" s="12" t="s">
        <v>242</v>
      </c>
      <c r="C546">
        <v>393565048.78082138</v>
      </c>
      <c r="D546">
        <v>393270158.84451121</v>
      </c>
      <c r="E546">
        <v>202871954.05405405</v>
      </c>
      <c r="F546">
        <v>111801401.8018018</v>
      </c>
      <c r="G546">
        <v>209</v>
      </c>
      <c r="H546">
        <v>172</v>
      </c>
      <c r="K546">
        <v>246</v>
      </c>
      <c r="L546">
        <v>208</v>
      </c>
      <c r="M546">
        <v>43512432.432432435</v>
      </c>
      <c r="N546">
        <v>46985990.990990989</v>
      </c>
      <c r="O546">
        <v>127398790.990991</v>
      </c>
      <c r="P546">
        <v>141600243.24324325</v>
      </c>
      <c r="Q546">
        <v>25714144.144144144</v>
      </c>
      <c r="R546">
        <v>34214009.009009011</v>
      </c>
      <c r="S546">
        <v>12907</v>
      </c>
      <c r="T546">
        <v>14918</v>
      </c>
    </row>
    <row r="547" spans="1:20" x14ac:dyDescent="0.35">
      <c r="A547" s="7" t="s">
        <v>640</v>
      </c>
      <c r="B547" s="12" t="s">
        <v>133</v>
      </c>
      <c r="C547">
        <v>148524232.30121568</v>
      </c>
      <c r="D547">
        <v>159150366.76905894</v>
      </c>
      <c r="E547">
        <v>102702.702702703</v>
      </c>
      <c r="F547">
        <v>54954.954954954999</v>
      </c>
      <c r="G547">
        <v>65</v>
      </c>
      <c r="H547">
        <v>57</v>
      </c>
      <c r="K547">
        <v>71</v>
      </c>
      <c r="L547">
        <v>66</v>
      </c>
      <c r="M547">
        <v>3560360.3603603612</v>
      </c>
      <c r="N547">
        <v>3988513.5135135138</v>
      </c>
      <c r="O547">
        <v>54236198.198198199</v>
      </c>
      <c r="P547">
        <v>57507908.108108103</v>
      </c>
      <c r="Q547">
        <v>3954144.1441441439</v>
      </c>
      <c r="R547">
        <v>4362207.2072072066</v>
      </c>
      <c r="S547">
        <v>5683</v>
      </c>
      <c r="T547">
        <v>5596</v>
      </c>
    </row>
    <row r="548" spans="1:20" x14ac:dyDescent="0.35">
      <c r="A548" s="7" t="s">
        <v>641</v>
      </c>
      <c r="B548" s="12" t="s">
        <v>135</v>
      </c>
      <c r="C548">
        <v>454933744.5578596</v>
      </c>
      <c r="D548">
        <v>492924426.22896039</v>
      </c>
      <c r="E548">
        <v>1349549.549549554</v>
      </c>
      <c r="F548">
        <v>3158558.5585585618</v>
      </c>
      <c r="G548">
        <v>75</v>
      </c>
      <c r="H548">
        <v>64</v>
      </c>
      <c r="I548">
        <v>1</v>
      </c>
      <c r="K548">
        <v>81</v>
      </c>
      <c r="L548">
        <v>72</v>
      </c>
      <c r="M548">
        <v>36929549.54954955</v>
      </c>
      <c r="N548">
        <v>49412612.612612613</v>
      </c>
      <c r="O548">
        <v>60272951.351351351</v>
      </c>
      <c r="P548">
        <v>71604036.036036029</v>
      </c>
      <c r="Q548">
        <v>30126709.909909911</v>
      </c>
      <c r="R548">
        <v>40381351.351351351</v>
      </c>
      <c r="S548">
        <v>7420</v>
      </c>
      <c r="T548">
        <v>7829</v>
      </c>
    </row>
    <row r="549" spans="1:20" x14ac:dyDescent="0.35">
      <c r="A549" s="7" t="s">
        <v>642</v>
      </c>
      <c r="B549" s="12" t="s">
        <v>81</v>
      </c>
      <c r="C549">
        <v>241907121.06624609</v>
      </c>
      <c r="D549">
        <v>245368121.87106976</v>
      </c>
      <c r="E549">
        <v>1101801.801801804</v>
      </c>
      <c r="F549">
        <v>1321621.621621622</v>
      </c>
      <c r="G549">
        <v>40</v>
      </c>
      <c r="H549">
        <v>29</v>
      </c>
      <c r="K549">
        <v>54</v>
      </c>
      <c r="L549">
        <v>63</v>
      </c>
      <c r="M549">
        <v>25281081.081081081</v>
      </c>
      <c r="N549">
        <v>29207207.207207207</v>
      </c>
      <c r="O549">
        <v>86831968.468468457</v>
      </c>
      <c r="P549">
        <v>91528295.495495483</v>
      </c>
      <c r="Q549">
        <v>23401711.711711712</v>
      </c>
      <c r="R549">
        <v>27829909.909909911</v>
      </c>
      <c r="S549">
        <v>4952</v>
      </c>
      <c r="T549">
        <v>4894</v>
      </c>
    </row>
    <row r="550" spans="1:20" x14ac:dyDescent="0.35">
      <c r="A550" s="7" t="s">
        <v>643</v>
      </c>
      <c r="B550" s="12" t="s">
        <v>170</v>
      </c>
      <c r="C550">
        <v>396236381.56545681</v>
      </c>
      <c r="D550">
        <v>428867167.11966151</v>
      </c>
      <c r="E550">
        <v>1463963.963963964</v>
      </c>
      <c r="F550">
        <v>2419819.8198198201</v>
      </c>
      <c r="G550">
        <v>39</v>
      </c>
      <c r="H550">
        <v>48</v>
      </c>
      <c r="I550">
        <v>2</v>
      </c>
      <c r="K550">
        <v>40</v>
      </c>
      <c r="L550">
        <v>51</v>
      </c>
      <c r="M550">
        <v>37630826.126126125</v>
      </c>
      <c r="N550">
        <v>36969369.369369365</v>
      </c>
      <c r="O550">
        <v>141903927.92792791</v>
      </c>
      <c r="P550">
        <v>166171720.72072074</v>
      </c>
      <c r="Q550">
        <v>33049099.099099096</v>
      </c>
      <c r="R550">
        <v>36107117.117117122</v>
      </c>
      <c r="S550">
        <v>9287</v>
      </c>
      <c r="T550">
        <v>8637</v>
      </c>
    </row>
    <row r="551" spans="1:20" x14ac:dyDescent="0.35">
      <c r="A551" s="7" t="s">
        <v>644</v>
      </c>
      <c r="B551" s="12" t="s">
        <v>59</v>
      </c>
      <c r="C551">
        <v>678793440.98625922</v>
      </c>
      <c r="D551">
        <v>686118518.39468527</v>
      </c>
      <c r="E551">
        <v>7171171.1711711716</v>
      </c>
      <c r="F551">
        <v>5467567.5675675776</v>
      </c>
      <c r="G551">
        <v>191</v>
      </c>
      <c r="H551">
        <v>140</v>
      </c>
      <c r="K551">
        <v>217</v>
      </c>
      <c r="L551">
        <v>180</v>
      </c>
      <c r="M551">
        <v>48768918.918918923</v>
      </c>
      <c r="N551">
        <v>84752702.702702701</v>
      </c>
      <c r="O551">
        <v>141580220.72072071</v>
      </c>
      <c r="P551">
        <v>147189547.74774775</v>
      </c>
      <c r="Q551">
        <v>49542792.79279279</v>
      </c>
      <c r="R551">
        <v>93137567.567567572</v>
      </c>
      <c r="S551">
        <v>17321</v>
      </c>
      <c r="T551">
        <v>17545</v>
      </c>
    </row>
    <row r="552" spans="1:20" x14ac:dyDescent="0.35">
      <c r="A552" s="7" t="s">
        <v>645</v>
      </c>
      <c r="B552" s="12" t="s">
        <v>59</v>
      </c>
      <c r="C552">
        <v>851601430.62384892</v>
      </c>
      <c r="D552">
        <v>880954580.47528768</v>
      </c>
      <c r="E552">
        <v>234080459.45945945</v>
      </c>
      <c r="F552">
        <v>331844569.36936939</v>
      </c>
      <c r="G552">
        <v>753</v>
      </c>
      <c r="H552">
        <v>359</v>
      </c>
      <c r="I552">
        <v>1</v>
      </c>
      <c r="K552">
        <v>919</v>
      </c>
      <c r="L552">
        <v>561</v>
      </c>
      <c r="M552">
        <v>139900900.9009009</v>
      </c>
      <c r="N552">
        <v>198328828.82882884</v>
      </c>
      <c r="O552">
        <v>254874554.05405405</v>
      </c>
      <c r="P552">
        <v>255465482.88288289</v>
      </c>
      <c r="Q552">
        <v>130931711.7117117</v>
      </c>
      <c r="R552">
        <v>189689679.27927926</v>
      </c>
      <c r="S552">
        <v>22038</v>
      </c>
      <c r="T552">
        <v>23128</v>
      </c>
    </row>
    <row r="553" spans="1:20" x14ac:dyDescent="0.35">
      <c r="A553" s="7" t="s">
        <v>646</v>
      </c>
      <c r="B553" s="12" t="s">
        <v>308</v>
      </c>
      <c r="C553">
        <v>280878213.71968412</v>
      </c>
      <c r="D553">
        <v>268702586.95054871</v>
      </c>
      <c r="E553">
        <v>1855855.8558558561</v>
      </c>
      <c r="F553">
        <v>1685585.585585586</v>
      </c>
      <c r="G553">
        <v>26</v>
      </c>
      <c r="H553">
        <v>24</v>
      </c>
      <c r="K553">
        <v>30</v>
      </c>
      <c r="L553">
        <v>27</v>
      </c>
      <c r="M553">
        <v>5543243.2432432426</v>
      </c>
      <c r="N553">
        <v>5704504.5045045046</v>
      </c>
      <c r="O553">
        <v>47179013.513513513</v>
      </c>
      <c r="P553">
        <v>50254436.936936937</v>
      </c>
      <c r="Q553">
        <v>5363873.8738738736</v>
      </c>
      <c r="R553">
        <v>5342882.8828828819</v>
      </c>
      <c r="S553">
        <v>5072</v>
      </c>
      <c r="T553">
        <v>5640</v>
      </c>
    </row>
    <row r="554" spans="1:20" x14ac:dyDescent="0.35">
      <c r="A554" s="7" t="s">
        <v>13</v>
      </c>
      <c r="B554" s="12" t="s">
        <v>159</v>
      </c>
      <c r="C554">
        <v>317341611.80918109</v>
      </c>
      <c r="D554">
        <v>303339954.37909091</v>
      </c>
      <c r="E554">
        <v>2981981.9819819881</v>
      </c>
      <c r="F554">
        <v>1679729.729729733</v>
      </c>
      <c r="G554">
        <v>69</v>
      </c>
      <c r="H554">
        <v>93</v>
      </c>
      <c r="K554">
        <v>257</v>
      </c>
      <c r="L554">
        <v>144</v>
      </c>
      <c r="M554">
        <v>66428828.828828834</v>
      </c>
      <c r="N554">
        <v>68727477.477477476</v>
      </c>
      <c r="O554">
        <v>183866819.81981981</v>
      </c>
      <c r="P554">
        <v>174797945.94594595</v>
      </c>
      <c r="Q554">
        <v>62506529.729729727</v>
      </c>
      <c r="R554">
        <v>73804954.954954967</v>
      </c>
      <c r="S554">
        <v>6970</v>
      </c>
      <c r="T554">
        <v>7169</v>
      </c>
    </row>
    <row r="555" spans="1:20" x14ac:dyDescent="0.35">
      <c r="A555" s="7" t="s">
        <v>647</v>
      </c>
      <c r="B555" s="12" t="s">
        <v>122</v>
      </c>
      <c r="C555">
        <v>217715335.15448543</v>
      </c>
      <c r="D555">
        <v>221877426.32000136</v>
      </c>
      <c r="E555">
        <v>149549.54954954999</v>
      </c>
      <c r="F555">
        <v>45045.045045045001</v>
      </c>
      <c r="G555">
        <v>47</v>
      </c>
      <c r="H555">
        <v>60</v>
      </c>
      <c r="K555">
        <v>52</v>
      </c>
      <c r="L555">
        <v>61</v>
      </c>
      <c r="M555">
        <v>1144144.1441441439</v>
      </c>
      <c r="N555">
        <v>675675.67567567504</v>
      </c>
      <c r="O555">
        <v>18846650.9009009</v>
      </c>
      <c r="P555">
        <v>22325475.675675675</v>
      </c>
      <c r="Q555">
        <v>1008468.468468469</v>
      </c>
      <c r="R555">
        <v>628828.82882882899</v>
      </c>
      <c r="S555">
        <v>3179</v>
      </c>
      <c r="T555">
        <v>3239</v>
      </c>
    </row>
    <row r="556" spans="1:20" x14ac:dyDescent="0.35">
      <c r="A556" s="7" t="s">
        <v>648</v>
      </c>
      <c r="B556" s="12" t="s">
        <v>316</v>
      </c>
      <c r="C556">
        <v>78237113.302764103</v>
      </c>
      <c r="D556">
        <v>69082518.837397829</v>
      </c>
      <c r="E556">
        <v>1299099.0990990989</v>
      </c>
      <c r="F556">
        <v>1262162.1621621649</v>
      </c>
      <c r="G556">
        <v>36</v>
      </c>
      <c r="H556">
        <v>10</v>
      </c>
      <c r="K556">
        <v>40</v>
      </c>
      <c r="L556">
        <v>11</v>
      </c>
      <c r="M556">
        <v>13929729.729729729</v>
      </c>
      <c r="N556">
        <v>22785135.135135137</v>
      </c>
      <c r="O556">
        <v>20083882.882882886</v>
      </c>
      <c r="P556">
        <v>19299342.342342343</v>
      </c>
      <c r="Q556">
        <v>15347477.47747748</v>
      </c>
      <c r="R556">
        <v>18653693.693693694</v>
      </c>
      <c r="S556">
        <v>1349</v>
      </c>
      <c r="T556">
        <v>1284</v>
      </c>
    </row>
    <row r="557" spans="1:20" x14ac:dyDescent="0.35">
      <c r="A557" s="7" t="s">
        <v>649</v>
      </c>
      <c r="B557" s="12" t="s">
        <v>261</v>
      </c>
      <c r="C557">
        <v>200789453.74707612</v>
      </c>
      <c r="D557">
        <v>218552826.15599951</v>
      </c>
      <c r="E557">
        <v>1199324.324324324</v>
      </c>
      <c r="F557">
        <v>834234.23423423595</v>
      </c>
      <c r="G557">
        <v>61</v>
      </c>
      <c r="H557">
        <v>44</v>
      </c>
      <c r="K557">
        <v>66</v>
      </c>
      <c r="L557">
        <v>47</v>
      </c>
      <c r="M557">
        <v>41409009.009009011</v>
      </c>
      <c r="N557">
        <v>39942342.342342347</v>
      </c>
      <c r="O557">
        <v>64837423.423423424</v>
      </c>
      <c r="P557">
        <v>75503603.603603601</v>
      </c>
      <c r="Q557">
        <v>41680360.360360362</v>
      </c>
      <c r="R557">
        <v>39438828.828828834</v>
      </c>
      <c r="S557">
        <v>4303</v>
      </c>
      <c r="T557">
        <v>4416</v>
      </c>
    </row>
    <row r="558" spans="1:20" x14ac:dyDescent="0.35">
      <c r="A558" s="7" t="s">
        <v>650</v>
      </c>
      <c r="B558" s="12" t="s">
        <v>225</v>
      </c>
      <c r="C558">
        <v>191676778.27228644</v>
      </c>
      <c r="D558">
        <v>234072115.35854283</v>
      </c>
      <c r="E558">
        <v>1457432.432432435</v>
      </c>
      <c r="F558">
        <v>2158558.558558559</v>
      </c>
      <c r="G558">
        <v>56</v>
      </c>
      <c r="H558">
        <v>62</v>
      </c>
      <c r="K558">
        <v>65</v>
      </c>
      <c r="L558">
        <v>83</v>
      </c>
      <c r="M558">
        <v>18966126.126126129</v>
      </c>
      <c r="N558">
        <v>23509009.009009007</v>
      </c>
      <c r="O558">
        <v>45494180.180180177</v>
      </c>
      <c r="P558">
        <v>57944396.396396399</v>
      </c>
      <c r="Q558">
        <v>18154684.684684686</v>
      </c>
      <c r="R558">
        <v>20693693.693693697</v>
      </c>
      <c r="S558">
        <v>5302</v>
      </c>
      <c r="T558">
        <v>5752</v>
      </c>
    </row>
    <row r="559" spans="1:20" x14ac:dyDescent="0.35">
      <c r="A559" s="7" t="s">
        <v>651</v>
      </c>
      <c r="B559" s="12" t="s">
        <v>225</v>
      </c>
      <c r="C559">
        <v>155435535.25492784</v>
      </c>
      <c r="D559">
        <v>186872596.25466004</v>
      </c>
      <c r="E559">
        <v>63963.963963964998</v>
      </c>
      <c r="F559">
        <v>75675.675675676001</v>
      </c>
      <c r="G559">
        <v>31</v>
      </c>
      <c r="H559">
        <v>36</v>
      </c>
      <c r="K559">
        <v>34</v>
      </c>
      <c r="L559">
        <v>37</v>
      </c>
      <c r="M559">
        <v>7134234.2342342334</v>
      </c>
      <c r="N559">
        <v>6708108.1081081061</v>
      </c>
      <c r="O559">
        <v>22456027.02702703</v>
      </c>
      <c r="P559">
        <v>31045558.558558561</v>
      </c>
      <c r="Q559">
        <v>6846756.7567567546</v>
      </c>
      <c r="R559">
        <v>6244864.8648648635</v>
      </c>
      <c r="S559">
        <v>3300</v>
      </c>
      <c r="T559">
        <v>3124</v>
      </c>
    </row>
    <row r="560" spans="1:20" x14ac:dyDescent="0.35">
      <c r="A560" s="7" t="s">
        <v>652</v>
      </c>
      <c r="B560" s="12" t="s">
        <v>225</v>
      </c>
      <c r="C560">
        <v>598095892.20372975</v>
      </c>
      <c r="D560">
        <v>693514146.06116021</v>
      </c>
      <c r="E560">
        <v>194075532.43243244</v>
      </c>
      <c r="F560">
        <v>273161635.13513511</v>
      </c>
      <c r="G560">
        <v>226</v>
      </c>
      <c r="H560">
        <v>230</v>
      </c>
      <c r="K560">
        <v>328</v>
      </c>
      <c r="L560">
        <v>289</v>
      </c>
      <c r="M560">
        <v>121428648.64864863</v>
      </c>
      <c r="N560">
        <v>132632342.34234233</v>
      </c>
      <c r="O560">
        <v>150896873.87387389</v>
      </c>
      <c r="P560">
        <v>181253270.27027026</v>
      </c>
      <c r="Q560">
        <v>103246756.75675675</v>
      </c>
      <c r="R560">
        <v>113586306.3063063</v>
      </c>
      <c r="S560">
        <v>18266</v>
      </c>
      <c r="T560">
        <v>18645</v>
      </c>
    </row>
    <row r="561" spans="1:20" x14ac:dyDescent="0.35">
      <c r="A561" s="7" t="s">
        <v>653</v>
      </c>
      <c r="B561" s="12" t="s">
        <v>225</v>
      </c>
      <c r="C561">
        <v>73624827.870057389</v>
      </c>
      <c r="D561">
        <v>87830242.701400161</v>
      </c>
      <c r="E561">
        <v>207207.207207208</v>
      </c>
      <c r="F561">
        <v>95495.495495495998</v>
      </c>
      <c r="G561">
        <v>18</v>
      </c>
      <c r="H561">
        <v>19</v>
      </c>
      <c r="K561">
        <v>21</v>
      </c>
      <c r="L561">
        <v>20</v>
      </c>
      <c r="M561">
        <v>1648648.6486486481</v>
      </c>
      <c r="N561">
        <v>2347747.7477477472</v>
      </c>
      <c r="O561">
        <v>12224945.945945946</v>
      </c>
      <c r="P561">
        <v>16350358.558558561</v>
      </c>
      <c r="Q561">
        <v>1360720.72072072</v>
      </c>
      <c r="R561">
        <v>1313243.2432432431</v>
      </c>
      <c r="S561">
        <v>1721</v>
      </c>
      <c r="T561">
        <v>1782</v>
      </c>
    </row>
    <row r="562" spans="1:20" x14ac:dyDescent="0.35">
      <c r="A562" s="7" t="s">
        <v>654</v>
      </c>
      <c r="B562" s="12" t="s">
        <v>97</v>
      </c>
      <c r="C562">
        <v>381620147.7729938</v>
      </c>
      <c r="D562">
        <v>372527625.09301275</v>
      </c>
      <c r="E562">
        <v>773873.87387387699</v>
      </c>
      <c r="F562">
        <v>1709009.0090090081</v>
      </c>
      <c r="G562">
        <v>205</v>
      </c>
      <c r="H562">
        <v>101</v>
      </c>
      <c r="K562">
        <v>219</v>
      </c>
      <c r="L562">
        <v>120</v>
      </c>
      <c r="M562">
        <v>9481981.9819819834</v>
      </c>
      <c r="N562">
        <v>18265765.765765764</v>
      </c>
      <c r="O562">
        <v>52852198.198198199</v>
      </c>
      <c r="P562">
        <v>49779378.378378376</v>
      </c>
      <c r="Q562">
        <v>7411801.8018018017</v>
      </c>
      <c r="R562">
        <v>14148378.37837838</v>
      </c>
      <c r="S562">
        <v>8867</v>
      </c>
      <c r="T562">
        <v>8033</v>
      </c>
    </row>
    <row r="563" spans="1:20" x14ac:dyDescent="0.35">
      <c r="A563" s="7" t="s">
        <v>655</v>
      </c>
      <c r="B563" s="12" t="s">
        <v>67</v>
      </c>
      <c r="C563">
        <v>235042398.1855607</v>
      </c>
      <c r="D563">
        <v>220764595.59369436</v>
      </c>
      <c r="E563">
        <v>5322522.522522524</v>
      </c>
      <c r="F563">
        <v>4150450.4504504488</v>
      </c>
      <c r="G563">
        <v>86</v>
      </c>
      <c r="H563">
        <v>56</v>
      </c>
      <c r="K563">
        <v>94</v>
      </c>
      <c r="L563">
        <v>57</v>
      </c>
      <c r="M563">
        <v>82108108.108108118</v>
      </c>
      <c r="N563">
        <v>67499504.504504502</v>
      </c>
      <c r="O563">
        <v>153356603.6036036</v>
      </c>
      <c r="P563">
        <v>146165270.27027026</v>
      </c>
      <c r="Q563">
        <v>65296306.306306303</v>
      </c>
      <c r="R563">
        <v>60995720.720720723</v>
      </c>
      <c r="S563">
        <v>5786</v>
      </c>
      <c r="T563">
        <v>5295</v>
      </c>
    </row>
    <row r="564" spans="1:20" x14ac:dyDescent="0.35">
      <c r="A564" s="7" t="s">
        <v>656</v>
      </c>
      <c r="B564" s="12" t="s">
        <v>69</v>
      </c>
      <c r="C564">
        <v>372421105.59256434</v>
      </c>
      <c r="D564">
        <v>382026231.67102748</v>
      </c>
      <c r="E564">
        <v>1004504.504504505</v>
      </c>
      <c r="F564">
        <v>426126.12612612802</v>
      </c>
      <c r="G564">
        <v>64</v>
      </c>
      <c r="H564">
        <v>40</v>
      </c>
      <c r="I564">
        <v>1</v>
      </c>
      <c r="K564">
        <v>68</v>
      </c>
      <c r="L564">
        <v>47</v>
      </c>
      <c r="M564">
        <v>16015400.9009009</v>
      </c>
      <c r="N564">
        <v>24710810.810810812</v>
      </c>
      <c r="O564">
        <v>51066027.027027026</v>
      </c>
      <c r="P564">
        <v>57787981.981981985</v>
      </c>
      <c r="Q564">
        <v>13010540.540540541</v>
      </c>
      <c r="R564">
        <v>17113963.963963963</v>
      </c>
      <c r="S564">
        <v>7024</v>
      </c>
      <c r="T564">
        <v>7128</v>
      </c>
    </row>
    <row r="565" spans="1:20" x14ac:dyDescent="0.35">
      <c r="A565" s="7" t="s">
        <v>14</v>
      </c>
      <c r="B565" s="12" t="s">
        <v>159</v>
      </c>
      <c r="C565">
        <v>161659125.46048063</v>
      </c>
      <c r="D565">
        <v>166290009.36320668</v>
      </c>
      <c r="E565">
        <v>881981.98198198504</v>
      </c>
      <c r="F565">
        <v>160360.36036036201</v>
      </c>
      <c r="G565">
        <v>26</v>
      </c>
      <c r="H565">
        <v>21</v>
      </c>
      <c r="K565">
        <v>28</v>
      </c>
      <c r="L565">
        <v>24</v>
      </c>
      <c r="M565">
        <v>34600000</v>
      </c>
      <c r="N565">
        <v>25964414.414414413</v>
      </c>
      <c r="O565">
        <v>54733603.603603601</v>
      </c>
      <c r="P565">
        <v>58698153.153153151</v>
      </c>
      <c r="Q565">
        <v>37200000</v>
      </c>
      <c r="R565">
        <v>24800090.090090092</v>
      </c>
      <c r="S565">
        <v>3985</v>
      </c>
      <c r="T565">
        <v>3942</v>
      </c>
    </row>
    <row r="566" spans="1:20" x14ac:dyDescent="0.35">
      <c r="A566" s="7" t="s">
        <v>657</v>
      </c>
      <c r="B566" s="12" t="s">
        <v>305</v>
      </c>
      <c r="C566">
        <v>176929607.08512551</v>
      </c>
      <c r="D566">
        <v>180698423.65604976</v>
      </c>
      <c r="E566">
        <v>684684.68468468206</v>
      </c>
      <c r="F566">
        <v>592792.79279279802</v>
      </c>
      <c r="G566">
        <v>186</v>
      </c>
      <c r="H566">
        <v>44</v>
      </c>
      <c r="K566">
        <v>201</v>
      </c>
      <c r="L566">
        <v>46</v>
      </c>
      <c r="M566">
        <v>30400000</v>
      </c>
      <c r="N566">
        <v>27800000</v>
      </c>
      <c r="O566">
        <v>50163031.531531528</v>
      </c>
      <c r="P566">
        <v>57303099.0990991</v>
      </c>
      <c r="Q566">
        <v>27174234.234234236</v>
      </c>
      <c r="R566">
        <v>28120090.090090092</v>
      </c>
      <c r="S566">
        <v>3049</v>
      </c>
      <c r="T566">
        <v>3082</v>
      </c>
    </row>
    <row r="567" spans="1:20" x14ac:dyDescent="0.35">
      <c r="A567" s="7" t="s">
        <v>658</v>
      </c>
      <c r="B567" s="12" t="s">
        <v>49</v>
      </c>
      <c r="C567">
        <v>213524556.00608772</v>
      </c>
      <c r="D567">
        <v>214758453.46022969</v>
      </c>
      <c r="E567">
        <v>1263963.963963965</v>
      </c>
      <c r="F567">
        <v>2958558.5585585628</v>
      </c>
      <c r="G567">
        <v>61</v>
      </c>
      <c r="H567">
        <v>11</v>
      </c>
      <c r="K567">
        <v>129</v>
      </c>
      <c r="L567">
        <v>11</v>
      </c>
      <c r="M567">
        <v>52414414.414414413</v>
      </c>
      <c r="N567">
        <v>17945945.945945945</v>
      </c>
      <c r="O567">
        <v>68732540.540540546</v>
      </c>
      <c r="P567">
        <v>66849538.738738738</v>
      </c>
      <c r="Q567">
        <v>42474414.414414413</v>
      </c>
      <c r="R567">
        <v>18375495.495495494</v>
      </c>
      <c r="S567">
        <v>4671</v>
      </c>
      <c r="T567">
        <v>3142</v>
      </c>
    </row>
    <row r="568" spans="1:20" x14ac:dyDescent="0.35">
      <c r="A568" s="7" t="s">
        <v>659</v>
      </c>
      <c r="B568" s="12" t="s">
        <v>55</v>
      </c>
      <c r="C568">
        <v>70991353.446104795</v>
      </c>
      <c r="D568">
        <v>72865985.813244194</v>
      </c>
      <c r="E568">
        <v>570270.27027026995</v>
      </c>
      <c r="F568">
        <v>2740540.5405405411</v>
      </c>
      <c r="G568">
        <v>1</v>
      </c>
      <c r="H568">
        <v>13</v>
      </c>
      <c r="K568">
        <v>1</v>
      </c>
      <c r="L568">
        <v>21</v>
      </c>
      <c r="M568">
        <v>5902702.702702703</v>
      </c>
      <c r="N568">
        <v>7542342.3423423432</v>
      </c>
      <c r="O568">
        <v>16576891.891891891</v>
      </c>
      <c r="P568">
        <v>17442099.0990991</v>
      </c>
      <c r="Q568">
        <v>5198378.3783783792</v>
      </c>
      <c r="R568">
        <v>6212792.7927927934</v>
      </c>
      <c r="S568">
        <v>1548</v>
      </c>
      <c r="T568">
        <v>1581</v>
      </c>
    </row>
    <row r="569" spans="1:20" x14ac:dyDescent="0.35">
      <c r="A569" s="7" t="s">
        <v>660</v>
      </c>
      <c r="B569" s="12" t="s">
        <v>51</v>
      </c>
      <c r="C569">
        <v>310706241.18786132</v>
      </c>
      <c r="D569">
        <v>325722609.68811429</v>
      </c>
      <c r="E569">
        <v>1474774.774774777</v>
      </c>
      <c r="F569">
        <v>1477927.9279279311</v>
      </c>
      <c r="G569">
        <v>56</v>
      </c>
      <c r="H569">
        <v>15</v>
      </c>
      <c r="K569">
        <v>78</v>
      </c>
      <c r="L569">
        <v>18</v>
      </c>
      <c r="M569">
        <v>71692072.072072074</v>
      </c>
      <c r="N569">
        <v>62665225.225225225</v>
      </c>
      <c r="O569">
        <v>156380135.13513514</v>
      </c>
      <c r="P569">
        <v>167275207.2072072</v>
      </c>
      <c r="Q569">
        <v>61878738.738738738</v>
      </c>
      <c r="R569">
        <v>63815045.045045048</v>
      </c>
      <c r="S569">
        <v>6572</v>
      </c>
      <c r="T569">
        <v>5813</v>
      </c>
    </row>
    <row r="570" spans="1:20" x14ac:dyDescent="0.35">
      <c r="A570" s="7" t="s">
        <v>661</v>
      </c>
      <c r="B570" s="12" t="s">
        <v>84</v>
      </c>
      <c r="C570">
        <v>379190599.68951619</v>
      </c>
      <c r="D570">
        <v>372757887.15793949</v>
      </c>
      <c r="E570">
        <v>3012404.5045045051</v>
      </c>
      <c r="F570">
        <v>3689189.1891891891</v>
      </c>
      <c r="G570">
        <v>111</v>
      </c>
      <c r="H570">
        <v>111</v>
      </c>
      <c r="K570">
        <v>128</v>
      </c>
      <c r="L570">
        <v>133</v>
      </c>
      <c r="M570">
        <v>59503965.765765771</v>
      </c>
      <c r="N570">
        <v>42764639.639639638</v>
      </c>
      <c r="O570">
        <v>97987207.207207203</v>
      </c>
      <c r="P570">
        <v>103747257.65765767</v>
      </c>
      <c r="Q570">
        <v>34152477.477477476</v>
      </c>
      <c r="R570">
        <v>38832881.081081077</v>
      </c>
      <c r="S570">
        <v>8823</v>
      </c>
      <c r="T570">
        <v>8788</v>
      </c>
    </row>
    <row r="571" spans="1:20" x14ac:dyDescent="0.35">
      <c r="A571" s="7" t="s">
        <v>657</v>
      </c>
      <c r="B571" s="12" t="s">
        <v>305</v>
      </c>
      <c r="C571">
        <v>143432369.34788302</v>
      </c>
      <c r="D571">
        <v>150073366.98743346</v>
      </c>
      <c r="E571">
        <v>578378.37837837695</v>
      </c>
      <c r="F571">
        <v>493693.69369369303</v>
      </c>
      <c r="G571">
        <v>24</v>
      </c>
      <c r="H571">
        <v>37</v>
      </c>
      <c r="K571">
        <v>28</v>
      </c>
      <c r="L571">
        <v>40</v>
      </c>
      <c r="M571">
        <v>21942342.342342343</v>
      </c>
      <c r="N571">
        <v>27106306.306306306</v>
      </c>
      <c r="O571">
        <v>36547806.306306303</v>
      </c>
      <c r="P571">
        <v>48923279.279279277</v>
      </c>
      <c r="Q571">
        <v>21219099.0990991</v>
      </c>
      <c r="R571">
        <v>24647837.837837841</v>
      </c>
      <c r="S571">
        <v>3070</v>
      </c>
      <c r="T571">
        <v>3084</v>
      </c>
    </row>
    <row r="572" spans="1:20" x14ac:dyDescent="0.35">
      <c r="A572" s="7" t="s">
        <v>658</v>
      </c>
      <c r="B572" s="12" t="s">
        <v>49</v>
      </c>
      <c r="C572">
        <v>173158008.08994815</v>
      </c>
      <c r="D572">
        <v>178064778.39322439</v>
      </c>
      <c r="E572">
        <v>863963.96396396495</v>
      </c>
      <c r="F572">
        <v>2760360.3603603649</v>
      </c>
      <c r="G572">
        <v>26</v>
      </c>
      <c r="H572">
        <v>9</v>
      </c>
      <c r="K572">
        <v>31</v>
      </c>
      <c r="L572">
        <v>9</v>
      </c>
      <c r="M572">
        <v>41685585.585585587</v>
      </c>
      <c r="N572">
        <v>17297297.297297295</v>
      </c>
      <c r="O572">
        <v>53455018.018018015</v>
      </c>
      <c r="P572">
        <v>55238369.369369365</v>
      </c>
      <c r="Q572">
        <v>37620630.630630635</v>
      </c>
      <c r="R572">
        <v>17836306.306306306</v>
      </c>
      <c r="S572">
        <v>3216</v>
      </c>
      <c r="T572">
        <v>3056</v>
      </c>
    </row>
    <row r="573" spans="1:20" x14ac:dyDescent="0.35">
      <c r="A573" s="7" t="s">
        <v>659</v>
      </c>
      <c r="B573" s="12" t="s">
        <v>55</v>
      </c>
      <c r="C573">
        <v>58499163.264758267</v>
      </c>
      <c r="D573">
        <v>59794834.12491186</v>
      </c>
      <c r="E573">
        <v>250450.45045045001</v>
      </c>
      <c r="F573">
        <v>2578378.3783783801</v>
      </c>
      <c r="H573">
        <v>9</v>
      </c>
      <c r="L573">
        <v>19</v>
      </c>
      <c r="M573">
        <v>4056756.7567567569</v>
      </c>
      <c r="N573">
        <v>7380180.1801801799</v>
      </c>
      <c r="O573">
        <v>13809774.774774777</v>
      </c>
      <c r="P573">
        <v>14329891.891891891</v>
      </c>
      <c r="Q573">
        <v>4280720.7207207223</v>
      </c>
      <c r="R573">
        <v>5291261.2612612611</v>
      </c>
      <c r="S573">
        <v>1497</v>
      </c>
      <c r="T573">
        <v>1598</v>
      </c>
    </row>
    <row r="574" spans="1:20" x14ac:dyDescent="0.35">
      <c r="A574" s="7" t="s">
        <v>660</v>
      </c>
      <c r="B574" s="12" t="s">
        <v>51</v>
      </c>
      <c r="C574">
        <v>253747315.66371119</v>
      </c>
      <c r="D574">
        <v>267983116.39670351</v>
      </c>
      <c r="E574">
        <v>1028828.828828831</v>
      </c>
      <c r="F574">
        <v>1212612.6126126121</v>
      </c>
      <c r="G574">
        <v>41</v>
      </c>
      <c r="H574">
        <v>9</v>
      </c>
      <c r="K574">
        <v>54</v>
      </c>
      <c r="L574">
        <v>14</v>
      </c>
      <c r="M574">
        <v>55152432.432432435</v>
      </c>
      <c r="N574">
        <v>50409279.279279277</v>
      </c>
      <c r="O574">
        <v>127004963.96396397</v>
      </c>
      <c r="P574">
        <v>135096540.54054055</v>
      </c>
      <c r="Q574">
        <v>50698918.918918923</v>
      </c>
      <c r="R574">
        <v>51922342.342342347</v>
      </c>
      <c r="S574">
        <v>5817</v>
      </c>
      <c r="T574">
        <v>5732</v>
      </c>
    </row>
    <row r="575" spans="1:20" x14ac:dyDescent="0.35">
      <c r="A575" s="7" t="s">
        <v>661</v>
      </c>
      <c r="B575" s="12" t="s">
        <v>84</v>
      </c>
      <c r="C575">
        <v>311422534.01624048</v>
      </c>
      <c r="D575">
        <v>308922578.58725983</v>
      </c>
      <c r="E575">
        <v>2315107.207207208</v>
      </c>
      <c r="F575">
        <v>3053153.1531531578</v>
      </c>
      <c r="G575">
        <v>98</v>
      </c>
      <c r="H575">
        <v>91</v>
      </c>
      <c r="K575">
        <v>114</v>
      </c>
      <c r="L575">
        <v>112</v>
      </c>
      <c r="M575">
        <v>53210722.522522531</v>
      </c>
      <c r="N575">
        <v>41858333.333333336</v>
      </c>
      <c r="O575">
        <v>80130225.225225225</v>
      </c>
      <c r="P575">
        <v>85384511.711711705</v>
      </c>
      <c r="Q575">
        <v>27515900.900900904</v>
      </c>
      <c r="R575">
        <v>31656351.351351351</v>
      </c>
      <c r="S575">
        <v>8825</v>
      </c>
      <c r="T575">
        <v>8921</v>
      </c>
    </row>
    <row r="576" spans="1:20" x14ac:dyDescent="0.35">
      <c r="A576" s="13" t="s">
        <v>662</v>
      </c>
      <c r="B576" s="14"/>
      <c r="C576" s="15">
        <v>128271665346.12497</v>
      </c>
      <c r="D576" s="15">
        <v>132158564620.26212</v>
      </c>
      <c r="E576" s="15">
        <v>27114972049.549534</v>
      </c>
      <c r="F576" s="15">
        <v>30432270579.279301</v>
      </c>
      <c r="G576" s="15">
        <v>40621</v>
      </c>
      <c r="H576" s="15">
        <v>31716</v>
      </c>
      <c r="I576" s="15">
        <v>416</v>
      </c>
      <c r="J576" s="15"/>
      <c r="K576" s="15">
        <v>57338</v>
      </c>
      <c r="L576" s="15">
        <v>49355</v>
      </c>
      <c r="M576" s="15">
        <v>26584693067.56757</v>
      </c>
      <c r="N576" s="15">
        <v>28771765740.540546</v>
      </c>
      <c r="O576" s="15">
        <v>38177585445.045029</v>
      </c>
      <c r="P576" s="15">
        <v>42169923271.171188</v>
      </c>
      <c r="Q576" s="15">
        <v>18703835405.405399</v>
      </c>
      <c r="R576" s="15">
        <v>21162554133.333317</v>
      </c>
      <c r="S576" s="15">
        <v>3721019</v>
      </c>
      <c r="T576" s="15">
        <v>3745925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2026-08-23T10:08:52Z</dcterms:modified>
</cp:coreProperties>
</file>