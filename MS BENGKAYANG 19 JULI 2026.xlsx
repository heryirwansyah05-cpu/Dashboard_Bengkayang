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W13" i="1" s="1"/>
  <c r="V14" i="1"/>
  <c r="V15" i="1"/>
  <c r="V16" i="1"/>
  <c r="V17" i="1"/>
  <c r="V18" i="1"/>
  <c r="V19" i="1"/>
  <c r="V20" i="1"/>
  <c r="V21" i="1"/>
  <c r="V22" i="1"/>
  <c r="V6" i="1"/>
  <c r="U7" i="1"/>
  <c r="W7" i="1" s="1"/>
  <c r="U8" i="1"/>
  <c r="W8" i="1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9" i="1" l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<sst xmlns="http://schemas.openxmlformats.org/spreadsheetml/2006/main" count="1239" uniqueCount="676">
  <si>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</si>
  <si>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</si>
  <si>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</si>
  <si>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</si>
  <si>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</si>
  <si>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</si>
  <si>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</si>
  <si>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</si>
  <si>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</si>
  <si>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</si>
  <si>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</si>
  <si>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</si>
  <si>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</si>
  <si>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</si>
  <si>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</si>
  <si>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</si>
  <si>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</si>
  <si>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</si>
  <si>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</si>
  <si>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</si>
  <si>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</si>
  <si>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</si>
  <si>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</si>
  <si>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</si>
  <si>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</si>
  <si>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</si>
  <si>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</si>
  <si>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</si>
  <si>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</si>
  <si>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</si>
  <si>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</si>
  <si>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</si>
  <si>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</si>
  <si>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</si>
  <si>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</si>
  <si>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</si>
  <si>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</si>
  <si>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</si>
  <si>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</si>
  <si>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</si>
  <si>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</si>
  <si>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</si>
  <si>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</si>
  <si>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</si>
  <si>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</si>
  <si>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</si>
  <si>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</si>
  <si>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</si>
  <si>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</si>
  <si>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</si>
  <si>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</si>
  <si>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</si>
  <si>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</si>
  <si>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</si>
  <si>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</si>
  <si>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</si>
  <si>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</si>
  <si>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</si>
  <si>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</si>
  <si>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</si>
  <si>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</si>
  <si>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</si>
  <si>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</si>
  <si>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</si>
  <si>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</si>
  <si>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</si>
  <si>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</si>
  <si>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</si>
  <si>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</si>
  <si>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</si>
  <si>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</si>
  <si>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</si>
  <si>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</si>
  <si>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</si>
  <si>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</si>
  <si>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</si>
  <si>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</si>
  <si>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</si>
  <si>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</si>
  <si>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</si>
  <si>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</si>
  <si>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</si>
  <si>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</si>
  <si>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</si>
  <si>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</si>
  <si>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</si>
  <si>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</si>
  <si>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</si>
  <si>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</si>
  <si>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</si>
  <si>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</si>
  <si>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</si>
  <si>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</si>
  <si>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</si>
  <si>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</si>
  <si>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</si>
  <si>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</si>
  <si>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</si>
  <si>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</si>
  <si>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</si>
  <si>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</si>
  <si>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</si>
  <si>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</si>
  <si>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</si>
  <si>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</si>
  <si>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</si>
  <si>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</si>
  <si>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</si>
  <si>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</si>
  <si>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</si>
  <si>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</si>
  <si>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</si>
  <si>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</si>
  <si>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</si>
  <si>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</si>
  <si>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</si>
  <si>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</si>
  <si>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</si>
  <si>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</si>
  <si>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</si>
  <si>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</si>
  <si>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</si>
  <si>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</si>
  <si>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</si>
  <si>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</si>
  <si>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</si>
  <si>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</si>
  <si>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</si>
  <si>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</si>
  <si>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</si>
  <si>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</si>
  <si>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</si>
  <si>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</si>
  <si>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</si>
  <si>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</si>
  <si>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</si>
  <si>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</si>
  <si>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</si>
  <si>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</si>
  <si>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</si>
  <si>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</si>
  <si>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</si>
  <si>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</si>
  <si>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</si>
  <si>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</si>
  <si>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</si>
  <si>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</si>
  <si>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</si>
  <si>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</si>
  <si>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</si>
  <si>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</si>
  <si>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</si>
  <si>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</si>
  <si>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</si>
  <si>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</si>
  <si>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</si>
  <si>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</si>
  <si>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</si>
  <si>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</si>
  <si>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</si>
  <si>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</si>
  <si>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</si>
  <si>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</si>
  <si>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</si>
  <si>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</si>
  <si>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</si>
  <si>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</si>
  <si>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</si>
  <si>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</si>
  <si>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</si>
  <si>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</si>
  <si>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</si>
  <si>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</si>
  <si>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</si>
  <si>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</si>
  <si>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</si>
  <si>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</si>
  <si>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</si>
  <si>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</si>
  <si>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</si>
  <si>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</si>
  <si>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</si>
  <si>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</si>
  <si>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</si>
  <si>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</si>
  <si>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</si>
  <si>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</si>
  <si>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</si>
  <si>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</si>
  <si>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</si>
  <si>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</si>
  <si>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</si>
  <si>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</si>
  <si>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</si>
  <si>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</si>
  <si>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</si>
  <si>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</si>
  <si>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</si>
  <si>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</si>
  <si>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</si>
  <si>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</si>
  <si>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</si>
  <si>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</si>
  <si>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</si>
  <si>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</si>
  <si>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</si>
  <si>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</si>
  <si>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</si>
  <si>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</si>
  <si>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</si>
  <si>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</si>
  <si>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</si>
  <si>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</si>
  <si>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</si>
  <si>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</si>
  <si>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</si>
  <si>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</si>
  <si>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</si>
  <si>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</si>
  <si>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</si>
  <si>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</si>
  <si>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</si>
  <si>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</si>
  <si>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</si>
  <si>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</si>
  <si>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</si>
  <si>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</si>
  <si>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</si>
  <si>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</si>
  <si>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</si>
  <si>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</si>
  <si>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</si>
  <si>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</si>
  <si>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</si>
  <si>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</si>
  <si>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</si>
  <si>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</si>
  <si>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</si>
  <si>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</si>
  <si>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</si>
  <si>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</si>
  <si>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</si>
  <si>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</si>
  <si>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</si>
  <si>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</si>
  <si>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</si>
  <si>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</si>
  <si>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</si>
  <si>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</si>
  <si>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</si>
  <si>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</si>
  <si>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</si>
  <si>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</si>
  <si>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</si>
  <si>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</si>
  <si>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</si>
  <si>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</si>
  <si>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</si>
  <si>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</si>
  <si>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</si>
  <si>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</si>
  <si>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</si>
  <si>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</si>
  <si>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</si>
  <si>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</si>
  <si>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</si>
  <si>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</si>
  <si>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</si>
  <si>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</si>
  <si>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</si>
  <si>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</si>
  <si>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</si>
  <si>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</si>
  <si>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</si>
  <si>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</si>
  <si>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</si>
  <si>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</si>
  <si>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</si>
  <si>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</si>
  <si>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</si>
  <si>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</si>
  <si>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</si>
  <si>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</si>
  <si>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</si>
  <si>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</si>
  <si>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</si>
  <si>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</si>
  <si>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</si>
  <si>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</si>
  <si>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</si>
  <si>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</si>
  <si>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</si>
  <si>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</si>
  <si>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</si>
  <si>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</si>
  <si>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</si>
  <si>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</si>
  <si>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</si>
  <si>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</si>
  <si>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</si>
  <si>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</si>
  <si>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</si>
  <si>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</si>
  <si>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</si>
  <si>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</si>
  <si>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</si>
  <si>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</si>
  <si>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</si>
  <si>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</si>
  <si>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</si>
  <si>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</si>
  <si>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</si>
  <si>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</si>
  <si>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</si>
  <si>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</si>
  <si>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</si>
  <si>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</si>
  <si>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</si>
  <si>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</si>
  <si>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</si>
  <si>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</si>
  <si>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</si>
  <si>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</si>
  <si>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</si>
  <si>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</si>
  <si>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</si>
  <si>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</si>
  <si>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</si>
  <si>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</si>
  <si>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</si>
  <si>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</si>
  <si>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</si>
  <si>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</si>
  <si>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</si>
  <si>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</si>
  <si>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</si>
  <si>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</si>
  <si>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</si>
  <si>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</si>
  <si>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</si>
  <si>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</si>
  <si>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</si>
  <si>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</si>
  <si>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</si>
  <si>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</si>
  <si>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</si>
  <si>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</si>
  <si>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</si>
  <si>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</si>
  <si>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</si>
  <si>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</si>
  <si>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</si>
  <si>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</si>
  <si>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</si>
  <si>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</si>
  <si>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</si>
  <si>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</si>
  <si>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</si>
  <si>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</si>
  <si>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</si>
  <si>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</si>
  <si>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</si>
  <si>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</si>
  <si>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</si>
  <si>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</si>
  <si>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</si>
  <si>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</si>
  <si>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</si>
  <si>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</si>
  <si>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</si>
  <si>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</si>
  <si>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</si>
  <si>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</si>
  <si>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</si>
  <si>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</si>
  <si>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</si>
  <si>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</si>
  <si>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</si>
  <si>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</si>
  <si>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</si>
  <si>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</si>
  <si>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</si>
  <si>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</si>
  <si>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</si>
  <si>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</si>
  <si>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</si>
  <si>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</si>
  <si>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</si>
  <si>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</si>
  <si>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</si>
  <si>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</si>
  <si>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</si>
  <si>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</si>
  <si>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</si>
  <si>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</si>
  <si>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</si>
  <si>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</si>
  <si>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</si>
  <si>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</si>
  <si>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</si>
  <si>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</si>
  <si>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</si>
  <si>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</si>
  <si>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</si>
  <si>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</si>
  <si>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</si>
  <si>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</si>
  <si>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</si>
  <si>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</si>
  <si>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</si>
  <si>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</si>
  <si>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</si>
  <si>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</si>
  <si>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</si>
  <si>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</si>
  <si>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</si>
  <si>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</si>
  <si>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</si>
  <si>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</si>
  <si>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</si>
  <si>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</si>
  <si>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</si>
  <si>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</si>
  <si>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</si>
  <si>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</si>
  <si>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</si>
  <si>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</si>
  <si>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</si>
  <si>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</si>
  <si>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</si>
  <si>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</si>
  <si>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</si>
  <si>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</si>
  <si>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</si>
  <si>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</si>
  <si>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</si>
  <si>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</si>
  <si>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</si>
  <si>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</si>
  <si>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</si>
  <si>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</si>
  <si>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</si>
  <si>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</si>
  <si>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</si>
  <si>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</si>
  <si>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</si>
  <si>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</si>
  <si>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</si>
  <si>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</si>
  <si>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</si>
  <si>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</si>
  <si>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</si>
  <si>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</si>
  <si>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</si>
  <si>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</si>
  <si>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</si>
  <si>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</si>
  <si>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</si>
  <si>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</si>
  <si>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</si>
  <si>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</si>
  <si>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</si>
  <si>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</si>
  <si>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</si>
  <si>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</si>
  <si>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</si>
  <si>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</si>
  <si>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</si>
  <si>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</si>
  <si>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</si>
  <si>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</si>
  <si>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</si>
  <si>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</si>
  <si>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</si>
  <si>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</si>
  <si>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</si>
  <si>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</si>
  <si>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</si>
  <si>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</si>
  <si>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</si>
  <si>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</si>
  <si>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</si>
  <si>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</si>
  <si>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</si>
  <si>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</si>
  <si>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</si>
  <si>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</si>
  <si>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</si>
  <si>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</si>
  <si>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</si>
  <si>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</si>
  <si>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</si>
  <si>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</si>
  <si>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</si>
  <si>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</si>
  <si>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</si>
  <si>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</si>
  <si>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</si>
  <si>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</si>
  <si>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</si>
  <si>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</si>
  <si>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</si>
  <si>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</si>
  <si>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</si>
  <si>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</si>
  <si>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</si>
  <si>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</si>
  <si>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</si>
  <si>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</si>
  <si>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</si>
  <si>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</si>
  <si>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</si>
  <si>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</si>
  <si>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</si>
  <si>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</si>
  <si>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</si>
  <si>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</si>
  <si>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</si>
  <si>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</si>
  <si>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</si>
  <si>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</si>
  <si>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</si>
  <si>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</si>
  <si>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</si>
  <si>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</si>
  <si>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</si>
  <si>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</si>
  <si>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</si>
  <si>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</si>
  <si>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</si>
  <si>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</si>
  <si>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</si>
  <si>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</si>
  <si>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</si>
  <si>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</si>
  <si>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</si>
  <si>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</si>
  <si>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</si>
  <si>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</si>
  <si>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</si>
  <si>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</si>
  <si>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</si>
  <si>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</si>
  <si>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</si>
  <si>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</si>
  <si>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</si>
  <si>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</si>
  <si>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</si>
  <si>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</si>
  <si>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</si>
  <si>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</si>
  <si>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</si>
  <si>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</si>
  <si>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</si>
  <si>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</si>
  <si>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</si>
  <si>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</si>
  <si>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</si>
  <si>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</si>
  <si>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</si>
  <si>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</si>
  <si>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</si>
  <si>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</si>
  <si>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</si>
  <si>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</si>
  <si>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</si>
  <si>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</si>
  <si>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</si>
  <si>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</si>
  <si>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</si>
  <si>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</si>
  <si>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</si>
  <si>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</si>
  <si>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</si>
  <si>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</si>
  <si>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</si>
  <si>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</si>
  <si>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</si>
  <si>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</si>
  <si>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</si>
  <si>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</si>
  <si>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</si>
  <si>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</si>
  <si>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</si>
  <si>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</si>
  <si>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</si>
  <si>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</si>
  <si>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</si>
  <si>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</si>
  <si>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</si>
  <si>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</si>
  <si>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</si>
  <si>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</si>
  <si>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</si>
  <si>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</si>
  <si>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</si>
  <si>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</si>
  <si>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</si>
  <si>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</si>
  <si>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</si>
  <si>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</si>
  <si>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</si>
  <si>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</si>
  <si>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</si>
  <si>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</si>
  <si>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</si>
  <si>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</si>
  <si>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</si>
  <si>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</si>
  <si>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</si>
  <si>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</si>
  <si>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</si>
  <si>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</si>
  <si>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</si>
  <si>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</si>
  <si>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</si>
  <si>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</si>
  <si>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</si>
  <si>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</si>
  <si>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</si>
  <si>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</si>
  <si>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</si>
  <si>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</si>
  <si>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</si>
  <si>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</si>
  <si>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</si>
  <si>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</si>
  <si>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</si>
  <si>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</si>
  <si>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</si>
  <si>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</si>
  <si>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</si>
  <si>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</si>
  <si>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</si>
  <si>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</si>
  <si>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</si>
  <si>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</si>
  <si>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</si>
  <si>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</si>
  <si>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</si>
  <si>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</si>
  <si>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</si>
  <si>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</si>
  <si>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</si>
  <si>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</si>
  <si>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</si>
  <si>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</si>
  <si>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</si>
  <si>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</si>
  <si>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</si>
  <si>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</si>
  <si>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</si>
  <si>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</si>
  <si>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</si>
  <si>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</si>
  <si>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</si>
  <si>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</si>
  <si>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</si>
  <si>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</si>
  <si>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</si>
  <si>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</si>
  <si>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</si>
  <si>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Total</t>
  </si>
  <si>
    <t>SEKATAK|BULUNGAN</t>
  </si>
  <si>
    <t>MURUK RIAN|TANA TIDUNG</t>
  </si>
  <si>
    <t>RGUGA TRADE MTD</t>
  </si>
  <si>
    <t>RGUGA TRADE LMTD</t>
  </si>
  <si>
    <t>BUKIT SANTUAI|KOTAWARINGIN TIMUR</t>
  </si>
  <si>
    <t>LAMANDAU|LAMANDAU</t>
  </si>
  <si>
    <t>BATANG KAWA|LAMANDAU</t>
  </si>
  <si>
    <t>KAYAN HILIR|MALINAU</t>
  </si>
  <si>
    <t>KAYAN HULU|MALINAU</t>
  </si>
  <si>
    <t>KEPULAUAN KARIMATA|KAYONG UTARA</t>
  </si>
  <si>
    <t>MIRI MANASA|GUNUNG MAS</t>
  </si>
  <si>
    <t>PESO HILIR|BULUNGAN</t>
  </si>
  <si>
    <t>SADANIANG|MEMPAWAH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</si>
</sst>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b/>
      <sz val="11"/>
      <name val="Calibri"/>
      <family val="2"/>
    </font>
    <font>
      <b/>
      <sz val="11"/>
      <name val="Calibri"/>
    </font>
    <font>
      <sz val="14"/>
      <color theme="1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  <xf numFmtId="0" fontId="7" fillId="0" borderId="0" xfId="0" applyFont="1" applyAlignment="1">
      <alignment vertical="top"/>
    </xf>
    <xf numFmtId="0" fontId="7" fillId="0" borderId="0" xfId="0" applyFont="1"/>
    <xf numFmtId="0" fontId="8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P6" activePane="bottomRight" state="frozen"/>
      <selection pane="topRight" activeCell="B1" sqref="B1"/>
      <selection pane="bottomLeft" activeCell="A6" sqref="A6"/>
      <selection pane="bottomRight" activeCell="U6" sqref="U6:W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23" width="34.90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665</v>
      </c>
      <c r="V5" s="3" t="s">
        <v>666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498644374.44701076</v>
      </c>
      <c r="D6" s="4">
        <f>IFERROR(VLOOKUP($A:$A,MASTER!$A:$T,4,0),0)</f>
        <v>493665824.44792265</v>
      </c>
      <c r="E6" s="9">
        <f>IFERROR(C6/D6-1,0)</f>
        <v>1.0084858526829832E-2</v>
      </c>
      <c r="F6" s="4">
        <f>IFERROR(VLOOKUP(A:A,MASTER!A:E,5,0),0)</f>
        <v>5154054.0540540526</v>
      </c>
      <c r="G6" s="4">
        <f>IFERROR(VLOOKUP(A:A,MASTER!A:F,6,0),0)</f>
        <v>8844654.0540540516</v>
      </c>
      <c r="H6" s="9">
        <f>IFERROR(F6/G6-1,0)</f>
        <v>-0.4172690053726148</v>
      </c>
      <c r="I6" s="4">
        <f>IFERROR(VLOOKUP(A:A,MASTER!A:M,13,0),0)</f>
        <v>58635045.045045048</v>
      </c>
      <c r="J6" s="4">
        <f>IFERROR(VLOOKUP($A:$A,MASTER!$A:$T,14,0),0)</f>
        <v>112638270.27027027</v>
      </c>
      <c r="K6" s="9">
        <f>IFERROR(I6/J6-1,0)</f>
        <v>-0.47943940452607281</v>
      </c>
      <c r="L6" s="4">
        <f>IFERROR(VLOOKUP($A:$A,MASTER!$A:$T,15,0),0)</f>
        <v>238093000</v>
      </c>
      <c r="M6" s="4">
        <f>IFERROR(VLOOKUP($A:$A,MASTER!$A:$T,16,0),0)</f>
        <v>240797189.1891892</v>
      </c>
      <c r="N6" s="9">
        <f>IFERROR(L6/M6-1,0)</f>
        <v>-1.1230152637141333E-2</v>
      </c>
      <c r="O6" s="4">
        <f>IFERROR(VLOOKUP($A:$A,MASTER!$A:$T,17,0),0)</f>
        <v>54047927.927927926</v>
      </c>
      <c r="P6" s="4">
        <f>IFERROR(VLOOKUP($A:$A,MASTER!$A:$T,18,0),0)</f>
        <v>113373063.06306307</v>
      </c>
      <c r="Q6" s="9">
        <f>IFERROR(O6/P6-1,0)</f>
        <v>-0.52327363777880731</v>
      </c>
      <c r="R6" s="4">
        <f>IFERROR(VLOOKUP($A:$A,MASTER!$A:$T,19,0),0)</f>
        <v>9435</v>
      </c>
      <c r="S6" s="4">
        <f>IFERROR(VLOOKUP($A:$A,MASTER!$A:$T,20,0),0)</f>
        <v>7961</v>
      </c>
      <c r="T6" s="9">
        <f>IFERROR(R6/S6-1,0)</f>
        <v>0.1851526190177113</v>
      </c>
      <c r="U6" s="18">
        <f>IFERROR(VLOOKUP(A:A,MASTER!A:K,11,0),0)</f>
        <v>529</v>
      </c>
      <c r="V6" s="18">
        <f>IFERROR(VLOOKUP(A:A,MASTER!A:L,12,0),0)</f>
        <v>413</v>
      </c>
      <c r="W6" s="9">
        <f>IFERROR(U6/V6-1,0)</f>
        <v>0.28087167070217922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50578481.647141613</v>
      </c>
      <c r="D7" s="4">
        <f>IFERROR(VLOOKUP($A:$A,MASTER!$A:$T,4,0),0)</f>
        <v>32152469.870587096</v>
      </c>
      <c r="E7" s="9">
        <f t="shared" ref="E7:E22" si="0">IFERROR(C7/D7-1,0)</f>
        <v>0.57308231220552464</v>
      </c>
      <c r="F7" s="4">
        <f>IFERROR(VLOOKUP(A:A,MASTER!A:E,5,0),0)</f>
        <v>310810.81081081199</v>
      </c>
      <c r="G7" s="4">
        <f>IFERROR(VLOOKUP(A:A,MASTER!A:F,6,0),0)</f>
        <v>644144.14414414403</v>
      </c>
      <c r="H7" s="9">
        <f t="shared" ref="H7:H22" si="1">IFERROR(F7/G7-1,0)</f>
        <v>-0.5174825174825155</v>
      </c>
      <c r="I7" s="4">
        <f>IFERROR(VLOOKUP(A:A,MASTER!A:M,13,0),0)</f>
        <v>6662162.1621621633</v>
      </c>
      <c r="J7" s="4">
        <f>IFERROR(VLOOKUP($A:$A,MASTER!$A:$T,14,0),0)</f>
        <v>12310810.81081081</v>
      </c>
      <c r="K7" s="9">
        <f t="shared" ref="K7:K22" si="2">IFERROR(I7/J7-1,0)</f>
        <v>-0.45883644346871555</v>
      </c>
      <c r="L7" s="4">
        <f>IFERROR(VLOOKUP($A:$A,MASTER!$A:$T,15,0),0)</f>
        <v>28169342.342342343</v>
      </c>
      <c r="M7" s="4">
        <f>IFERROR(VLOOKUP($A:$A,MASTER!$A:$T,16,0),0)</f>
        <v>19711549.549549554</v>
      </c>
      <c r="N7" s="9">
        <f t="shared" ref="N7:N22" si="3">IFERROR(L7/M7-1,0)</f>
        <v>0.42907802715013177</v>
      </c>
      <c r="O7" s="4">
        <f>IFERROR(VLOOKUP($A:$A,MASTER!$A:$T,17,0),0)</f>
        <v>6763063.0630630637</v>
      </c>
      <c r="P7" s="4">
        <f>IFERROR(VLOOKUP($A:$A,MASTER!$A:$T,18,0),0)</f>
        <v>11959009.009009007</v>
      </c>
      <c r="Q7" s="9">
        <f t="shared" ref="Q7:Q22" si="4">IFERROR(O7/P7-1,0)</f>
        <v>-0.43447964141775575</v>
      </c>
      <c r="R7" s="4">
        <f>IFERROR(VLOOKUP($A:$A,MASTER!$A:$T,19,0),0)</f>
        <v>1258</v>
      </c>
      <c r="S7" s="4">
        <f>IFERROR(VLOOKUP($A:$A,MASTER!$A:$T,20,0),0)</f>
        <v>1413</v>
      </c>
      <c r="T7" s="9">
        <f t="shared" ref="T7:T22" si="5">IFERROR(R7/S7-1,0)</f>
        <v>-0.1096956829440906</v>
      </c>
      <c r="U7" s="18">
        <f>IFERROR(VLOOKUP(A:A,MASTER!A:K,11,0),0)</f>
        <v>6</v>
      </c>
      <c r="V7" s="18">
        <f>IFERROR(VLOOKUP(A:A,MASTER!A:L,12,0),0)</f>
        <v>1</v>
      </c>
      <c r="W7" s="9">
        <f t="shared" ref="W7:W22" si="6">IFERROR(U7/V7-1,0)</f>
        <v>5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374568134.88479263</v>
      </c>
      <c r="D8" s="4">
        <f>IFERROR(VLOOKUP($A:$A,MASTER!$A:$T,4,0),0)</f>
        <v>330810364.6796394</v>
      </c>
      <c r="E8" s="9">
        <f t="shared" si="0"/>
        <v>0.13227448374396844</v>
      </c>
      <c r="F8" s="4">
        <f>IFERROR(VLOOKUP(A:A,MASTER!A:E,5,0),0)</f>
        <v>5600675.6756756771</v>
      </c>
      <c r="G8" s="4">
        <f>IFERROR(VLOOKUP(A:A,MASTER!A:F,6,0),0)</f>
        <v>4810290.9909909908</v>
      </c>
      <c r="H8" s="9">
        <f t="shared" si="1"/>
        <v>0.16431119991804399</v>
      </c>
      <c r="I8" s="4">
        <f>IFERROR(VLOOKUP(A:A,MASTER!A:M,13,0),0)</f>
        <v>72558558.558558553</v>
      </c>
      <c r="J8" s="4">
        <f>IFERROR(VLOOKUP($A:$A,MASTER!$A:$T,14,0),0)</f>
        <v>103161614.41441442</v>
      </c>
      <c r="K8" s="9">
        <f t="shared" si="2"/>
        <v>-0.29665157946170917</v>
      </c>
      <c r="L8" s="4">
        <f>IFERROR(VLOOKUP($A:$A,MASTER!$A:$T,15,0),0)</f>
        <v>102058135.13513513</v>
      </c>
      <c r="M8" s="4">
        <f>IFERROR(VLOOKUP($A:$A,MASTER!$A:$T,16,0),0)</f>
        <v>94351810.810810819</v>
      </c>
      <c r="N8" s="9">
        <f t="shared" si="3"/>
        <v>8.1676485677382615E-2</v>
      </c>
      <c r="O8" s="4">
        <f>IFERROR(VLOOKUP($A:$A,MASTER!$A:$T,17,0),0)</f>
        <v>66120990.990990989</v>
      </c>
      <c r="P8" s="4">
        <f>IFERROR(VLOOKUP($A:$A,MASTER!$A:$T,18,0),0)</f>
        <v>98432882.882882878</v>
      </c>
      <c r="Q8" s="9">
        <f t="shared" si="4"/>
        <v>-0.32826318751973493</v>
      </c>
      <c r="R8" s="4">
        <f>IFERROR(VLOOKUP($A:$A,MASTER!$A:$T,19,0),0)</f>
        <v>3911</v>
      </c>
      <c r="S8" s="4">
        <f>IFERROR(VLOOKUP($A:$A,MASTER!$A:$T,20,0),0)</f>
        <v>3522</v>
      </c>
      <c r="T8" s="9">
        <f t="shared" si="5"/>
        <v>0.11044860874503115</v>
      </c>
      <c r="U8" s="18">
        <f>IFERROR(VLOOKUP(A:A,MASTER!A:K,11,0),0)</f>
        <v>68</v>
      </c>
      <c r="V8" s="18">
        <f>IFERROR(VLOOKUP(A:A,MASTER!A:L,12,0),0)</f>
        <v>70</v>
      </c>
      <c r="W8" s="9">
        <f t="shared" si="6"/>
        <v>-2.8571428571428581E-2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222515398.71580034</v>
      </c>
      <c r="D9" s="4">
        <f>IFERROR(VLOOKUP($A:$A,MASTER!$A:$T,4,0),0)</f>
        <v>212550284.01819611</v>
      </c>
      <c r="E9" s="9">
        <f t="shared" si="0"/>
        <v>4.6883563311310938E-2</v>
      </c>
      <c r="F9" s="4">
        <f>IFERROR(VLOOKUP(A:A,MASTER!A:E,5,0),0)</f>
        <v>3452252.2522522518</v>
      </c>
      <c r="G9" s="4">
        <f>IFERROR(VLOOKUP(A:A,MASTER!A:F,6,0),0)</f>
        <v>7038963.963963964</v>
      </c>
      <c r="H9" s="9">
        <f t="shared" si="1"/>
        <v>-0.50955108309602282</v>
      </c>
      <c r="I9" s="4">
        <f>IFERROR(VLOOKUP(A:A,MASTER!A:M,13,0),0)</f>
        <v>34649549.54954955</v>
      </c>
      <c r="J9" s="4">
        <f>IFERROR(VLOOKUP($A:$A,MASTER!$A:$T,14,0),0)</f>
        <v>88037162.162162155</v>
      </c>
      <c r="K9" s="9">
        <f t="shared" si="2"/>
        <v>-0.60642132596543741</v>
      </c>
      <c r="L9" s="4">
        <f>IFERROR(VLOOKUP($A:$A,MASTER!$A:$T,15,0),0)</f>
        <v>78430567.567567572</v>
      </c>
      <c r="M9" s="4">
        <f>IFERROR(VLOOKUP($A:$A,MASTER!$A:$T,16,0),0)</f>
        <v>78104819.819819823</v>
      </c>
      <c r="N9" s="9">
        <f t="shared" si="3"/>
        <v>4.1706484759738149E-3</v>
      </c>
      <c r="O9" s="4">
        <f>IFERROR(VLOOKUP($A:$A,MASTER!$A:$T,17,0),0)</f>
        <v>42093963.963963963</v>
      </c>
      <c r="P9" s="4">
        <f>IFERROR(VLOOKUP($A:$A,MASTER!$A:$T,18,0),0)</f>
        <v>81198873.873873875</v>
      </c>
      <c r="Q9" s="9">
        <f t="shared" si="4"/>
        <v>-0.48159423947986679</v>
      </c>
      <c r="R9" s="4">
        <f>IFERROR(VLOOKUP($A:$A,MASTER!$A:$T,19,0),0)</f>
        <v>4254</v>
      </c>
      <c r="S9" s="4">
        <f>IFERROR(VLOOKUP($A:$A,MASTER!$A:$T,20,0),0)</f>
        <v>3508</v>
      </c>
      <c r="T9" s="9">
        <f t="shared" si="5"/>
        <v>0.2126567844925884</v>
      </c>
      <c r="U9" s="18">
        <f>IFERROR(VLOOKUP(A:A,MASTER!A:K,11,0),0)</f>
        <v>24</v>
      </c>
      <c r="V9" s="18">
        <f>IFERROR(VLOOKUP(A:A,MASTER!A:L,12,0),0)</f>
        <v>46</v>
      </c>
      <c r="W9" s="9">
        <f t="shared" si="6"/>
        <v>-0.47826086956521741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8">
        <f>IFERROR(VLOOKUP(A:A,MASTER!A:K,11,0),0)</f>
        <v>0</v>
      </c>
      <c r="V10" s="18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236120252.47664022</v>
      </c>
      <c r="D11" s="4">
        <f>IFERROR(VLOOKUP($A:$A,MASTER!$A:$T,4,0),0)</f>
        <v>238977287.42416561</v>
      </c>
      <c r="E11" s="9">
        <f t="shared" si="0"/>
        <v>-1.1955257247749929E-2</v>
      </c>
      <c r="F11" s="4">
        <f>IFERROR(VLOOKUP(A:A,MASTER!A:E,5,0),0)</f>
        <v>852410197.29729724</v>
      </c>
      <c r="G11" s="4">
        <f>IFERROR(VLOOKUP(A:A,MASTER!A:F,6,0),0)</f>
        <v>907136916.21621621</v>
      </c>
      <c r="H11" s="9">
        <f t="shared" si="1"/>
        <v>-6.0329061623013991E-2</v>
      </c>
      <c r="I11" s="4">
        <f>IFERROR(VLOOKUP(A:A,MASTER!A:M,13,0),0)</f>
        <v>88351351.351351351</v>
      </c>
      <c r="J11" s="4">
        <f>IFERROR(VLOOKUP($A:$A,MASTER!$A:$T,14,0),0)</f>
        <v>106672297.2972973</v>
      </c>
      <c r="K11" s="9">
        <f t="shared" si="2"/>
        <v>-0.17174980205859069</v>
      </c>
      <c r="L11" s="4">
        <f>IFERROR(VLOOKUP($A:$A,MASTER!$A:$T,15,0),0)</f>
        <v>100284225.22522523</v>
      </c>
      <c r="M11" s="4">
        <f>IFERROR(VLOOKUP($A:$A,MASTER!$A:$T,16,0),0)</f>
        <v>100928774.77477477</v>
      </c>
      <c r="N11" s="9">
        <f t="shared" si="3"/>
        <v>-6.3861822457260686E-3</v>
      </c>
      <c r="O11" s="4">
        <f>IFERROR(VLOOKUP($A:$A,MASTER!$A:$T,17,0),0)</f>
        <v>14959279.27927928</v>
      </c>
      <c r="P11" s="4">
        <f>IFERROR(VLOOKUP($A:$A,MASTER!$A:$T,18,0),0)</f>
        <v>38915450.45045045</v>
      </c>
      <c r="Q11" s="9">
        <f t="shared" si="4"/>
        <v>-0.61559537134675191</v>
      </c>
      <c r="R11" s="4">
        <f>IFERROR(VLOOKUP($A:$A,MASTER!$A:$T,19,0),0)</f>
        <v>3212</v>
      </c>
      <c r="S11" s="4">
        <f>IFERROR(VLOOKUP($A:$A,MASTER!$A:$T,20,0),0)</f>
        <v>3022</v>
      </c>
      <c r="T11" s="9">
        <f t="shared" si="5"/>
        <v>6.2872270019854293E-2</v>
      </c>
      <c r="U11" s="18">
        <f>IFERROR(VLOOKUP(A:A,MASTER!A:K,11,0),0)</f>
        <v>42</v>
      </c>
      <c r="V11" s="18">
        <f>IFERROR(VLOOKUP(A:A,MASTER!A:L,12,0),0)</f>
        <v>28</v>
      </c>
      <c r="W11" s="9">
        <f t="shared" si="6"/>
        <v>0.5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864337204.86479962</v>
      </c>
      <c r="D12" s="4">
        <f>IFERROR(VLOOKUP($A:$A,MASTER!$A:$T,4,0),0)</f>
        <v>817546524.30394661</v>
      </c>
      <c r="E12" s="9">
        <f t="shared" si="0"/>
        <v>5.7233049337088504E-2</v>
      </c>
      <c r="F12" s="4">
        <f>IFERROR(VLOOKUP(A:A,MASTER!A:E,5,0),0)</f>
        <v>10888763.06306307</v>
      </c>
      <c r="G12" s="4">
        <f>IFERROR(VLOOKUP(A:A,MASTER!A:F,6,0),0)</f>
        <v>43003980.180180185</v>
      </c>
      <c r="H12" s="9">
        <f t="shared" si="1"/>
        <v>-0.74679638913791702</v>
      </c>
      <c r="I12" s="4">
        <f>IFERROR(VLOOKUP(A:A,MASTER!A:M,13,0),0)</f>
        <v>369436156.75675672</v>
      </c>
      <c r="J12" s="4">
        <f>IFERROR(VLOOKUP($A:$A,MASTER!$A:$T,14,0),0)</f>
        <v>569730855.85585582</v>
      </c>
      <c r="K12" s="9">
        <f t="shared" si="2"/>
        <v>-0.35156020959794121</v>
      </c>
      <c r="L12" s="4">
        <f>IFERROR(VLOOKUP($A:$A,MASTER!$A:$T,15,0),0)</f>
        <v>581137054.05405402</v>
      </c>
      <c r="M12" s="4">
        <f>IFERROR(VLOOKUP($A:$A,MASTER!$A:$T,16,0),0)</f>
        <v>562365135.13513505</v>
      </c>
      <c r="N12" s="9">
        <f t="shared" si="3"/>
        <v>3.3380303553861124E-2</v>
      </c>
      <c r="O12" s="4">
        <f>IFERROR(VLOOKUP($A:$A,MASTER!$A:$T,17,0),0)</f>
        <v>330216126.12612617</v>
      </c>
      <c r="P12" s="4">
        <f>IFERROR(VLOOKUP($A:$A,MASTER!$A:$T,18,0),0)</f>
        <v>537359099.09909904</v>
      </c>
      <c r="Q12" s="9">
        <f t="shared" si="4"/>
        <v>-0.38548332636453941</v>
      </c>
      <c r="R12" s="4">
        <f>IFERROR(VLOOKUP($A:$A,MASTER!$A:$T,19,0),0)</f>
        <v>14227</v>
      </c>
      <c r="S12" s="4">
        <f>IFERROR(VLOOKUP($A:$A,MASTER!$A:$T,20,0),0)</f>
        <v>13079</v>
      </c>
      <c r="T12" s="9">
        <f t="shared" si="5"/>
        <v>8.7774294670846409E-2</v>
      </c>
      <c r="U12" s="18">
        <f>IFERROR(VLOOKUP(A:A,MASTER!A:K,11,0),0)</f>
        <v>988</v>
      </c>
      <c r="V12" s="18">
        <f>IFERROR(VLOOKUP(A:A,MASTER!A:L,12,0),0)</f>
        <v>1432</v>
      </c>
      <c r="W12" s="9">
        <f t="shared" si="6"/>
        <v>-0.31005586592178769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199925715.85715863</v>
      </c>
      <c r="D13" s="4">
        <f>IFERROR(VLOOKUP($A:$A,MASTER!$A:$T,4,0),0)</f>
        <v>195268532.62143072</v>
      </c>
      <c r="E13" s="9">
        <f t="shared" si="0"/>
        <v>2.3850147144582889E-2</v>
      </c>
      <c r="F13" s="4">
        <f>IFERROR(VLOOKUP(A:A,MASTER!A:E,5,0),0)</f>
        <v>518918.91891892097</v>
      </c>
      <c r="G13" s="4">
        <f>IFERROR(VLOOKUP(A:A,MASTER!A:F,6,0),0)</f>
        <v>814414.41441441595</v>
      </c>
      <c r="H13" s="9">
        <f t="shared" si="1"/>
        <v>-0.36283185840707832</v>
      </c>
      <c r="I13" s="4">
        <f>IFERROR(VLOOKUP(A:A,MASTER!A:M,13,0),0)</f>
        <v>38931081.081081077</v>
      </c>
      <c r="J13" s="4">
        <f>IFERROR(VLOOKUP($A:$A,MASTER!$A:$T,14,0),0)</f>
        <v>70106756.756756753</v>
      </c>
      <c r="K13" s="9">
        <f t="shared" si="2"/>
        <v>-0.44468860232464003</v>
      </c>
      <c r="L13" s="4">
        <f>IFERROR(VLOOKUP($A:$A,MASTER!$A:$T,15,0),0)</f>
        <v>139052702.7027027</v>
      </c>
      <c r="M13" s="4">
        <f>IFERROR(VLOOKUP($A:$A,MASTER!$A:$T,16,0),0)</f>
        <v>130984882.88288288</v>
      </c>
      <c r="N13" s="9">
        <f t="shared" si="3"/>
        <v>6.1593518597359731E-2</v>
      </c>
      <c r="O13" s="4">
        <f>IFERROR(VLOOKUP($A:$A,MASTER!$A:$T,17,0),0)</f>
        <v>38215495.495495498</v>
      </c>
      <c r="P13" s="4">
        <f>IFERROR(VLOOKUP($A:$A,MASTER!$A:$T,18,0),0)</f>
        <v>68585675.675675675</v>
      </c>
      <c r="Q13" s="9">
        <f t="shared" si="4"/>
        <v>-0.44280645894330883</v>
      </c>
      <c r="R13" s="4">
        <f>IFERROR(VLOOKUP($A:$A,MASTER!$A:$T,19,0),0)</f>
        <v>5537</v>
      </c>
      <c r="S13" s="4">
        <f>IFERROR(VLOOKUP($A:$A,MASTER!$A:$T,20,0),0)</f>
        <v>5230</v>
      </c>
      <c r="T13" s="9">
        <f t="shared" si="5"/>
        <v>5.8699808795411146E-2</v>
      </c>
      <c r="U13" s="18">
        <f>IFERROR(VLOOKUP(A:A,MASTER!A:K,11,0),0)</f>
        <v>80</v>
      </c>
      <c r="V13" s="18">
        <f>IFERROR(VLOOKUP(A:A,MASTER!A:L,12,0),0)</f>
        <v>66</v>
      </c>
      <c r="W13" s="9">
        <f t="shared" si="6"/>
        <v>0.21212121212121215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284188350.45767039</v>
      </c>
      <c r="D14" s="4">
        <f>IFERROR(VLOOKUP($A:$A,MASTER!$A:$T,4,0),0)</f>
        <v>279380885.47509527</v>
      </c>
      <c r="E14" s="9">
        <f t="shared" si="0"/>
        <v>1.7207565844742367E-2</v>
      </c>
      <c r="F14" s="4">
        <f>IFERROR(VLOOKUP(A:A,MASTER!A:E,5,0),0)</f>
        <v>6268468.4684684677</v>
      </c>
      <c r="G14" s="4">
        <f>IFERROR(VLOOKUP(A:A,MASTER!A:F,6,0),0)</f>
        <v>6035492.7927927952</v>
      </c>
      <c r="H14" s="9">
        <f t="shared" si="1"/>
        <v>3.8600936770875949E-2</v>
      </c>
      <c r="I14" s="4">
        <f>IFERROR(VLOOKUP(A:A,MASTER!A:M,13,0),0)</f>
        <v>48911711.711711712</v>
      </c>
      <c r="J14" s="4">
        <f>IFERROR(VLOOKUP($A:$A,MASTER!$A:$T,14,0),0)</f>
        <v>50622282.882882886</v>
      </c>
      <c r="K14" s="9">
        <f t="shared" si="2"/>
        <v>-3.3790873776448627E-2</v>
      </c>
      <c r="L14" s="4">
        <f>IFERROR(VLOOKUP($A:$A,MASTER!$A:$T,15,0),0)</f>
        <v>83950626.126126125</v>
      </c>
      <c r="M14" s="4">
        <f>IFERROR(VLOOKUP($A:$A,MASTER!$A:$T,16,0),0)</f>
        <v>83917090.090090096</v>
      </c>
      <c r="N14" s="9">
        <f t="shared" si="3"/>
        <v>3.9963297106737627E-4</v>
      </c>
      <c r="O14" s="4">
        <f>IFERROR(VLOOKUP($A:$A,MASTER!$A:$T,17,0),0)</f>
        <v>43149369.369369365</v>
      </c>
      <c r="P14" s="4">
        <f>IFERROR(VLOOKUP($A:$A,MASTER!$A:$T,18,0),0)</f>
        <v>46311351.351351351</v>
      </c>
      <c r="Q14" s="9">
        <f t="shared" si="4"/>
        <v>-6.8276607996016092E-2</v>
      </c>
      <c r="R14" s="4">
        <f>IFERROR(VLOOKUP($A:$A,MASTER!$A:$T,19,0),0)</f>
        <v>4353</v>
      </c>
      <c r="S14" s="4">
        <f>IFERROR(VLOOKUP($A:$A,MASTER!$A:$T,20,0),0)</f>
        <v>3555</v>
      </c>
      <c r="T14" s="9">
        <f t="shared" si="5"/>
        <v>0.22447257383966246</v>
      </c>
      <c r="U14" s="18">
        <f>IFERROR(VLOOKUP(A:A,MASTER!A:K,11,0),0)</f>
        <v>30</v>
      </c>
      <c r="V14" s="18">
        <f>IFERROR(VLOOKUP(A:A,MASTER!A:L,12,0),0)</f>
        <v>63</v>
      </c>
      <c r="W14" s="9">
        <f t="shared" si="6"/>
        <v>-0.52380952380952384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544528165.94134271</v>
      </c>
      <c r="D15" s="4">
        <f>IFERROR(VLOOKUP($A:$A,MASTER!$A:$T,4,0),0)</f>
        <v>515045579.80558217</v>
      </c>
      <c r="E15" s="9">
        <f t="shared" si="0"/>
        <v>5.724267383653614E-2</v>
      </c>
      <c r="F15" s="4">
        <f>IFERROR(VLOOKUP(A:A,MASTER!A:E,5,0),0)</f>
        <v>14990409.009009007</v>
      </c>
      <c r="G15" s="4">
        <f>IFERROR(VLOOKUP(A:A,MASTER!A:F,6,0),0)</f>
        <v>12922036.036036037</v>
      </c>
      <c r="H15" s="9">
        <f t="shared" si="1"/>
        <v>0.1600655629813168</v>
      </c>
      <c r="I15" s="4">
        <f>IFERROR(VLOOKUP(A:A,MASTER!A:M,13,0),0)</f>
        <v>758407158.55855858</v>
      </c>
      <c r="J15" s="4">
        <f>IFERROR(VLOOKUP($A:$A,MASTER!$A:$T,14,0),0)</f>
        <v>770541268.46846843</v>
      </c>
      <c r="K15" s="9">
        <f t="shared" si="2"/>
        <v>-1.5747514645163219E-2</v>
      </c>
      <c r="L15" s="4">
        <f>IFERROR(VLOOKUP($A:$A,MASTER!$A:$T,15,0),0)</f>
        <v>195661945.94594595</v>
      </c>
      <c r="M15" s="4">
        <f>IFERROR(VLOOKUP($A:$A,MASTER!$A:$T,16,0),0)</f>
        <v>187596836.03603604</v>
      </c>
      <c r="N15" s="9">
        <f t="shared" si="3"/>
        <v>4.2991716066899111E-2</v>
      </c>
      <c r="O15" s="4">
        <f>IFERROR(VLOOKUP($A:$A,MASTER!$A:$T,17,0),0)</f>
        <v>671643063.06306303</v>
      </c>
      <c r="P15" s="4">
        <f>IFERROR(VLOOKUP($A:$A,MASTER!$A:$T,18,0),0)</f>
        <v>715023018.01801801</v>
      </c>
      <c r="Q15" s="9">
        <f t="shared" si="4"/>
        <v>-6.0669312542133924E-2</v>
      </c>
      <c r="R15" s="4">
        <f>IFERROR(VLOOKUP($A:$A,MASTER!$A:$T,19,0),0)</f>
        <v>8223</v>
      </c>
      <c r="S15" s="4">
        <f>IFERROR(VLOOKUP($A:$A,MASTER!$A:$T,20,0),0)</f>
        <v>7086</v>
      </c>
      <c r="T15" s="9">
        <f t="shared" si="5"/>
        <v>0.16045723962743441</v>
      </c>
      <c r="U15" s="18">
        <f>IFERROR(VLOOKUP(A:A,MASTER!A:K,11,0),0)</f>
        <v>102</v>
      </c>
      <c r="V15" s="18">
        <f>IFERROR(VLOOKUP(A:A,MASTER!A:L,12,0),0)</f>
        <v>149</v>
      </c>
      <c r="W15" s="9">
        <f t="shared" si="6"/>
        <v>-0.31543624161073824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376959459.45945948</v>
      </c>
      <c r="G16" s="4">
        <f>IFERROR(VLOOKUP(A:A,MASTER!A:F,6,0),0)</f>
        <v>831701801.8018018</v>
      </c>
      <c r="H16" s="9">
        <f t="shared" si="1"/>
        <v>-0.54676128073449748</v>
      </c>
      <c r="I16" s="4">
        <f>IFERROR(VLOOKUP(A:A,MASTER!A:M,13,0),0)</f>
        <v>26833558.558558561</v>
      </c>
      <c r="J16" s="4">
        <f>IFERROR(VLOOKUP($A:$A,MASTER!$A:$T,14,0),0)</f>
        <v>43948648.648648649</v>
      </c>
      <c r="K16" s="9">
        <f t="shared" si="2"/>
        <v>-0.38943381915831332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8">
        <f>IFERROR(VLOOKUP(A:A,MASTER!A:K,11,0),0)</f>
        <v>0</v>
      </c>
      <c r="V16" s="18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229081733.18282193</v>
      </c>
      <c r="D17" s="4">
        <f>IFERROR(VLOOKUP($A:$A,MASTER!$A:$T,4,0),0)</f>
        <v>223144516.50619581</v>
      </c>
      <c r="E17" s="9">
        <f t="shared" si="0"/>
        <v>2.6607047170981168E-2</v>
      </c>
      <c r="F17" s="4">
        <f>IFERROR(VLOOKUP(A:A,MASTER!A:E,5,0),0)</f>
        <v>0</v>
      </c>
      <c r="G17" s="4">
        <f>IFERROR(VLOOKUP(A:A,MASTER!A:F,6,0),0)</f>
        <v>20268.468468469</v>
      </c>
      <c r="H17" s="9">
        <f t="shared" si="1"/>
        <v>-1</v>
      </c>
      <c r="I17" s="4">
        <f>IFERROR(VLOOKUP(A:A,MASTER!A:M,13,0),0)</f>
        <v>0</v>
      </c>
      <c r="J17" s="4">
        <f>IFERROR(VLOOKUP($A:$A,MASTER!$A:$T,14,0),0)</f>
        <v>21335.135135134999</v>
      </c>
      <c r="K17" s="9">
        <f t="shared" si="2"/>
        <v>-1</v>
      </c>
      <c r="L17" s="4">
        <f>IFERROR(VLOOKUP($A:$A,MASTER!$A:$T,15,0),0)</f>
        <v>137249250.45045045</v>
      </c>
      <c r="M17" s="4">
        <f>IFERROR(VLOOKUP($A:$A,MASTER!$A:$T,16,0),0)</f>
        <v>133183387.38738739</v>
      </c>
      <c r="N17" s="9">
        <f t="shared" si="3"/>
        <v>3.0528304939690276E-2</v>
      </c>
      <c r="O17" s="4">
        <f>IFERROR(VLOOKUP($A:$A,MASTER!$A:$T,17,0),0)</f>
        <v>19639.639639640001</v>
      </c>
      <c r="P17" s="4">
        <f>IFERROR(VLOOKUP($A:$A,MASTER!$A:$T,18,0),0)</f>
        <v>606216.21621621598</v>
      </c>
      <c r="Q17" s="9">
        <f t="shared" si="4"/>
        <v>-0.9676029127656407</v>
      </c>
      <c r="R17" s="4">
        <f>IFERROR(VLOOKUP($A:$A,MASTER!$A:$T,19,0),0)</f>
        <v>4684</v>
      </c>
      <c r="S17" s="4">
        <f>IFERROR(VLOOKUP($A:$A,MASTER!$A:$T,20,0),0)</f>
        <v>3528</v>
      </c>
      <c r="T17" s="9">
        <f t="shared" si="5"/>
        <v>0.32766439909297063</v>
      </c>
      <c r="U17" s="18">
        <f>IFERROR(VLOOKUP(A:A,MASTER!A:K,11,0),0)</f>
        <v>35</v>
      </c>
      <c r="V17" s="18">
        <f>IFERROR(VLOOKUP(A:A,MASTER!A:L,12,0),0)</f>
        <v>29</v>
      </c>
      <c r="W17" s="9">
        <f t="shared" si="6"/>
        <v>0.2068965517241379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200110135.42586464</v>
      </c>
      <c r="D18" s="4">
        <f>IFERROR(VLOOKUP($A:$A,MASTER!$A:$T,4,0),0)</f>
        <v>184052969.14359424</v>
      </c>
      <c r="E18" s="9">
        <f t="shared" si="0"/>
        <v>8.7242093170162072E-2</v>
      </c>
      <c r="F18" s="4">
        <f>IFERROR(VLOOKUP(A:A,MASTER!A:E,5,0),0)</f>
        <v>314926772.97297299</v>
      </c>
      <c r="G18" s="4">
        <f>IFERROR(VLOOKUP(A:A,MASTER!A:F,6,0),0)</f>
        <v>351170092.7927928</v>
      </c>
      <c r="H18" s="9">
        <f t="shared" si="1"/>
        <v>-0.10320730769406694</v>
      </c>
      <c r="I18" s="4">
        <f>IFERROR(VLOOKUP(A:A,MASTER!A:M,13,0),0)</f>
        <v>59051351.351351351</v>
      </c>
      <c r="J18" s="4">
        <f>IFERROR(VLOOKUP($A:$A,MASTER!$A:$T,14,0),0)</f>
        <v>73527027.027027026</v>
      </c>
      <c r="K18" s="9">
        <f t="shared" si="2"/>
        <v>-0.19687557434295166</v>
      </c>
      <c r="L18" s="4">
        <f>IFERROR(VLOOKUP($A:$A,MASTER!$A:$T,15,0),0)</f>
        <v>67616290.540540546</v>
      </c>
      <c r="M18" s="4">
        <f>IFERROR(VLOOKUP($A:$A,MASTER!$A:$T,16,0),0)</f>
        <v>70041126.126126125</v>
      </c>
      <c r="N18" s="9">
        <f t="shared" si="3"/>
        <v>-3.462016845958571E-2</v>
      </c>
      <c r="O18" s="4">
        <f>IFERROR(VLOOKUP($A:$A,MASTER!$A:$T,17,0),0)</f>
        <v>15857387.387387387</v>
      </c>
      <c r="P18" s="4">
        <f>IFERROR(VLOOKUP($A:$A,MASTER!$A:$T,18,0),0)</f>
        <v>31856576.576576576</v>
      </c>
      <c r="Q18" s="9">
        <f t="shared" si="4"/>
        <v>-0.5022256283794484</v>
      </c>
      <c r="R18" s="4">
        <f>IFERROR(VLOOKUP($A:$A,MASTER!$A:$T,19,0),0)</f>
        <v>6408</v>
      </c>
      <c r="S18" s="4">
        <f>IFERROR(VLOOKUP($A:$A,MASTER!$A:$T,20,0),0)</f>
        <v>3796</v>
      </c>
      <c r="T18" s="9">
        <f t="shared" si="5"/>
        <v>0.68809272918861963</v>
      </c>
      <c r="U18" s="18">
        <f>IFERROR(VLOOKUP(A:A,MASTER!A:K,11,0),0)</f>
        <v>49</v>
      </c>
      <c r="V18" s="18">
        <f>IFERROR(VLOOKUP(A:A,MASTER!A:L,12,0),0)</f>
        <v>48</v>
      </c>
      <c r="W18" s="9">
        <f t="shared" si="6"/>
        <v>2.0833333333333259E-2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135984947.76866326</v>
      </c>
      <c r="D19" s="4">
        <f>IFERROR(VLOOKUP($A:$A,MASTER!$A:$T,4,0),0)</f>
        <v>119739845.40381643</v>
      </c>
      <c r="E19" s="9">
        <f t="shared" si="0"/>
        <v>0.13566997944636605</v>
      </c>
      <c r="F19" s="4">
        <f>IFERROR(VLOOKUP(A:A,MASTER!A:E,5,0),0)</f>
        <v>96188288.288288295</v>
      </c>
      <c r="G19" s="4">
        <f>IFERROR(VLOOKUP(A:A,MASTER!A:F,6,0),0)</f>
        <v>102658108.10810812</v>
      </c>
      <c r="H19" s="9">
        <f t="shared" si="1"/>
        <v>-6.3022979276089242E-2</v>
      </c>
      <c r="I19" s="4">
        <f>IFERROR(VLOOKUP(A:A,MASTER!A:M,13,0),0)</f>
        <v>24166441.441441439</v>
      </c>
      <c r="J19" s="4">
        <f>IFERROR(VLOOKUP($A:$A,MASTER!$A:$T,14,0),0)</f>
        <v>21064414.414414417</v>
      </c>
      <c r="K19" s="9">
        <f t="shared" si="2"/>
        <v>0.14726386245535972</v>
      </c>
      <c r="L19" s="4">
        <f>IFERROR(VLOOKUP($A:$A,MASTER!$A:$T,15,0),0)</f>
        <v>52972945.945945941</v>
      </c>
      <c r="M19" s="4">
        <f>IFERROR(VLOOKUP($A:$A,MASTER!$A:$T,16,0),0)</f>
        <v>51227342.342342347</v>
      </c>
      <c r="N19" s="9">
        <f t="shared" si="3"/>
        <v>3.4075622973724906E-2</v>
      </c>
      <c r="O19" s="4">
        <f>IFERROR(VLOOKUP($A:$A,MASTER!$A:$T,17,0),0)</f>
        <v>26688018.018018015</v>
      </c>
      <c r="P19" s="4">
        <f>IFERROR(VLOOKUP($A:$A,MASTER!$A:$T,18,0),0)</f>
        <v>20676486.486486487</v>
      </c>
      <c r="Q19" s="9">
        <f t="shared" si="4"/>
        <v>0.29074241097298992</v>
      </c>
      <c r="R19" s="4">
        <f>IFERROR(VLOOKUP($A:$A,MASTER!$A:$T,19,0),0)</f>
        <v>5954</v>
      </c>
      <c r="S19" s="4">
        <f>IFERROR(VLOOKUP($A:$A,MASTER!$A:$T,20,0),0)</f>
        <v>2719</v>
      </c>
      <c r="T19" s="9">
        <f t="shared" si="5"/>
        <v>1.1897756528135344</v>
      </c>
      <c r="U19" s="18">
        <f>IFERROR(VLOOKUP(A:A,MASTER!A:K,11,0),0)</f>
        <v>23</v>
      </c>
      <c r="V19" s="18">
        <f>IFERROR(VLOOKUP(A:A,MASTER!A:L,12,0),0)</f>
        <v>25</v>
      </c>
      <c r="W19" s="9">
        <f t="shared" si="6"/>
        <v>-7.999999999999996E-2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8">
        <f>IFERROR(VLOOKUP(A:A,MASTER!A:K,11,0),0)</f>
        <v>0</v>
      </c>
      <c r="V20" s="18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458265030.74112225</v>
      </c>
      <c r="D21" s="4">
        <f>IFERROR(VLOOKUP($A:$A,MASTER!$A:$T,4,0),0)</f>
        <v>431354069.42828333</v>
      </c>
      <c r="E21" s="9">
        <f t="shared" si="0"/>
        <v>6.2387173832639808E-2</v>
      </c>
      <c r="F21" s="4">
        <f>IFERROR(VLOOKUP(A:A,MASTER!A:E,5,0),0)</f>
        <v>6257657.6576576652</v>
      </c>
      <c r="G21" s="4">
        <f>IFERROR(VLOOKUP(A:A,MASTER!A:F,6,0),0)</f>
        <v>6988577.4774774816</v>
      </c>
      <c r="H21" s="9">
        <f t="shared" si="1"/>
        <v>-0.1045877823026784</v>
      </c>
      <c r="I21" s="4">
        <f>IFERROR(VLOOKUP(A:A,MASTER!A:M,13,0),0)</f>
        <v>159750675.67567569</v>
      </c>
      <c r="J21" s="4">
        <f>IFERROR(VLOOKUP($A:$A,MASTER!$A:$T,14,0),0)</f>
        <v>172155440.54054055</v>
      </c>
      <c r="K21" s="9">
        <f t="shared" si="2"/>
        <v>-7.2055607571366198E-2</v>
      </c>
      <c r="L21" s="4">
        <f>IFERROR(VLOOKUP($A:$A,MASTER!$A:$T,15,0),0)</f>
        <v>276937567.56756753</v>
      </c>
      <c r="M21" s="4">
        <f>IFERROR(VLOOKUP($A:$A,MASTER!$A:$T,16,0),0)</f>
        <v>269939315.31531531</v>
      </c>
      <c r="N21" s="9">
        <f t="shared" si="3"/>
        <v>2.5925279702504911E-2</v>
      </c>
      <c r="O21" s="4">
        <f>IFERROR(VLOOKUP($A:$A,MASTER!$A:$T,17,0),0)</f>
        <v>157423421.62162164</v>
      </c>
      <c r="P21" s="4">
        <f>IFERROR(VLOOKUP($A:$A,MASTER!$A:$T,18,0),0)</f>
        <v>197253423.42342341</v>
      </c>
      <c r="Q21" s="9">
        <f t="shared" si="4"/>
        <v>-0.20192299383470191</v>
      </c>
      <c r="R21" s="4">
        <f>IFERROR(VLOOKUP($A:$A,MASTER!$A:$T,19,0),0)</f>
        <v>10768</v>
      </c>
      <c r="S21" s="4">
        <f>IFERROR(VLOOKUP($A:$A,MASTER!$A:$T,20,0),0)</f>
        <v>9268</v>
      </c>
      <c r="T21" s="9">
        <f t="shared" si="5"/>
        <v>0.16184721622788079</v>
      </c>
      <c r="U21" s="18">
        <f>IFERROR(VLOOKUP(A:A,MASTER!A:K,11,0),0)</f>
        <v>834</v>
      </c>
      <c r="V21" s="18">
        <f>IFERROR(VLOOKUP(A:A,MASTER!A:L,12,0),0)</f>
        <v>980</v>
      </c>
      <c r="W21" s="9">
        <f t="shared" si="6"/>
        <v>-0.1489795918367347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232345101.47274095</v>
      </c>
      <c r="D22" s="4">
        <f>IFERROR(VLOOKUP($A:$A,MASTER!$A:$T,4,0),0)</f>
        <v>232091501.89753687</v>
      </c>
      <c r="E22" s="9">
        <f t="shared" si="0"/>
        <v>1.0926706627802929E-3</v>
      </c>
      <c r="F22" s="4">
        <f>IFERROR(VLOOKUP(A:A,MASTER!A:E,5,0),0)</f>
        <v>1668468.468468467</v>
      </c>
      <c r="G22" s="4">
        <f>IFERROR(VLOOKUP(A:A,MASTER!A:F,6,0),0)</f>
        <v>1224992.7927927929</v>
      </c>
      <c r="H22" s="9">
        <f t="shared" si="1"/>
        <v>0.36202308967436347</v>
      </c>
      <c r="I22" s="4">
        <f>IFERROR(VLOOKUP(A:A,MASTER!A:M,13,0),0)</f>
        <v>50521621.621621624</v>
      </c>
      <c r="J22" s="4">
        <f>IFERROR(VLOOKUP($A:$A,MASTER!$A:$T,14,0),0)</f>
        <v>40484083.783783786</v>
      </c>
      <c r="K22" s="9">
        <f t="shared" si="2"/>
        <v>0.24793787828930558</v>
      </c>
      <c r="L22" s="4">
        <f>IFERROR(VLOOKUP($A:$A,MASTER!$A:$T,15,0),0)</f>
        <v>77586441.441441447</v>
      </c>
      <c r="M22" s="4">
        <f>IFERROR(VLOOKUP($A:$A,MASTER!$A:$T,16,0),0)</f>
        <v>80924747.747747749</v>
      </c>
      <c r="N22" s="9">
        <f t="shared" si="3"/>
        <v>-4.1251982850934676E-2</v>
      </c>
      <c r="O22" s="4">
        <f>IFERROR(VLOOKUP($A:$A,MASTER!$A:$T,17,0),0)</f>
        <v>48674144.144144148</v>
      </c>
      <c r="P22" s="4">
        <f>IFERROR(VLOOKUP($A:$A,MASTER!$A:$T,18,0),0)</f>
        <v>34382612.612612613</v>
      </c>
      <c r="Q22" s="9">
        <f t="shared" si="4"/>
        <v>0.4156615930427856</v>
      </c>
      <c r="R22" s="4">
        <f>IFERROR(VLOOKUP($A:$A,MASTER!$A:$T,19,0),0)</f>
        <v>4169</v>
      </c>
      <c r="S22" s="4">
        <f>IFERROR(VLOOKUP($A:$A,MASTER!$A:$T,20,0),0)</f>
        <v>3949</v>
      </c>
      <c r="T22" s="9">
        <f t="shared" si="5"/>
        <v>5.5710306406685284E-2</v>
      </c>
      <c r="U22" s="18">
        <f>IFERROR(VLOOKUP(A:A,MASTER!A:K,11,0),0)</f>
        <v>40</v>
      </c>
      <c r="V22" s="18">
        <f>IFERROR(VLOOKUP(A:A,MASTER!A:L,12,0),0)</f>
        <v>38</v>
      </c>
      <c r="W22" s="9">
        <f t="shared" si="6"/>
        <v>5.2631578947368363E-2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6"/>
  <sheetViews>
    <sheetView tabSelected="1" workbookViewId="0">
      <pane xSplit="1" ySplit="2" topLeftCell="K3" activePane="bottomRight" state="frozen"/>
      <selection pane="topRight" activeCell="B1" sqref="B1"/>
      <selection pane="bottomLeft" activeCell="A3" sqref="A3"/>
      <selection pane="bottomRight" activeCell="A3" sqref="A3:T571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23.1796875" bestFit="1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48</v>
      </c>
      <c r="B4" s="12" t="s">
        <v>49</v>
      </c>
      <c r="C4">
        <v>723782782.56410384</v>
      </c>
      <c r="D4">
        <v>759622272.37363553</v>
      </c>
      <c r="E4">
        <v>3751801.801801804</v>
      </c>
      <c r="F4">
        <v>3622190.9909909931</v>
      </c>
      <c r="G4">
        <v>113</v>
      </c>
      <c r="H4">
        <v>34</v>
      </c>
      <c r="K4">
        <v>199</v>
      </c>
      <c r="L4">
        <v>60</v>
      </c>
      <c r="M4">
        <v>62946846.846846849</v>
      </c>
      <c r="N4">
        <v>32200836.936936937</v>
      </c>
      <c r="O4">
        <v>91583574.774774775</v>
      </c>
      <c r="P4">
        <v>105027151.35135135</v>
      </c>
      <c r="Q4">
        <v>66506036.036036029</v>
      </c>
      <c r="R4">
        <v>37243963.963963963</v>
      </c>
      <c r="S4">
        <v>8722</v>
      </c>
      <c r="T4">
        <v>8430</v>
      </c>
    </row>
    <row r="5" spans="1:20" x14ac:dyDescent="0.35">
      <c r="A5" s="7" t="s">
        <v>50</v>
      </c>
      <c r="B5" s="12" t="s">
        <v>51</v>
      </c>
      <c r="C5">
        <v>1102876219.0356379</v>
      </c>
      <c r="D5">
        <v>1131779920.1482699</v>
      </c>
      <c r="E5">
        <v>944586846.84684682</v>
      </c>
      <c r="F5">
        <v>792734945.94594598</v>
      </c>
      <c r="G5">
        <v>1119</v>
      </c>
      <c r="H5">
        <v>634</v>
      </c>
      <c r="I5">
        <v>6</v>
      </c>
      <c r="K5">
        <v>1479</v>
      </c>
      <c r="L5">
        <v>1089</v>
      </c>
      <c r="M5">
        <v>332350540.54054052</v>
      </c>
      <c r="N5">
        <v>437702319.81981987</v>
      </c>
      <c r="O5">
        <v>349164878.37837839</v>
      </c>
      <c r="P5">
        <v>368447342.34234232</v>
      </c>
      <c r="Q5">
        <v>320047297.2972973</v>
      </c>
      <c r="R5">
        <v>427817927.92792791</v>
      </c>
      <c r="S5">
        <v>25349</v>
      </c>
      <c r="T5">
        <v>21513</v>
      </c>
    </row>
    <row r="6" spans="1:20" x14ac:dyDescent="0.35">
      <c r="A6" s="7" t="s">
        <v>52</v>
      </c>
      <c r="B6" s="12" t="s">
        <v>53</v>
      </c>
      <c r="C6">
        <v>276314969.02351457</v>
      </c>
      <c r="D6">
        <v>290093037.00197572</v>
      </c>
      <c r="E6">
        <v>7747747.74774775</v>
      </c>
      <c r="F6">
        <v>5618598.1981981993</v>
      </c>
      <c r="G6">
        <v>152</v>
      </c>
      <c r="H6">
        <v>150</v>
      </c>
      <c r="I6">
        <v>1</v>
      </c>
      <c r="K6">
        <v>233</v>
      </c>
      <c r="L6">
        <v>179</v>
      </c>
      <c r="M6">
        <v>73983153.153153151</v>
      </c>
      <c r="N6">
        <v>59335266.666666672</v>
      </c>
      <c r="O6">
        <v>91867585.585585579</v>
      </c>
      <c r="P6">
        <v>96646333.333333328</v>
      </c>
      <c r="Q6">
        <v>64112072.072072081</v>
      </c>
      <c r="R6">
        <v>56793963.963963971</v>
      </c>
      <c r="S6">
        <v>5908</v>
      </c>
      <c r="T6">
        <v>4991</v>
      </c>
    </row>
    <row r="7" spans="1:20" x14ac:dyDescent="0.35">
      <c r="A7" s="7" t="s">
        <v>54</v>
      </c>
      <c r="B7" s="12" t="s">
        <v>55</v>
      </c>
      <c r="C7">
        <v>150288982.715516</v>
      </c>
      <c r="D7">
        <v>139873435.89398697</v>
      </c>
      <c r="E7">
        <v>2753828.828828834</v>
      </c>
      <c r="F7">
        <v>3053729.729729733</v>
      </c>
      <c r="G7">
        <v>42</v>
      </c>
      <c r="H7">
        <v>75</v>
      </c>
      <c r="K7">
        <v>93</v>
      </c>
      <c r="L7">
        <v>120</v>
      </c>
      <c r="M7">
        <v>17231261.261261266</v>
      </c>
      <c r="N7">
        <v>31259956.75675676</v>
      </c>
      <c r="O7">
        <v>47177605.855855852</v>
      </c>
      <c r="P7">
        <v>46305135.135135137</v>
      </c>
      <c r="Q7">
        <v>17020990.990990989</v>
      </c>
      <c r="R7">
        <v>29619279.27927928</v>
      </c>
      <c r="S7">
        <v>5622</v>
      </c>
      <c r="T7">
        <v>3860</v>
      </c>
    </row>
    <row r="8" spans="1:20" x14ac:dyDescent="0.35">
      <c r="A8" s="7" t="s">
        <v>56</v>
      </c>
      <c r="B8" s="12" t="s">
        <v>55</v>
      </c>
      <c r="C8">
        <v>246810558.99371031</v>
      </c>
      <c r="D8">
        <v>259585739.1593914</v>
      </c>
      <c r="E8">
        <v>62800360.360360362</v>
      </c>
      <c r="F8">
        <v>308130577.47747749</v>
      </c>
      <c r="G8">
        <v>328</v>
      </c>
      <c r="H8">
        <v>155</v>
      </c>
      <c r="K8">
        <v>738</v>
      </c>
      <c r="L8">
        <v>480</v>
      </c>
      <c r="M8">
        <v>99662792.792792797</v>
      </c>
      <c r="N8">
        <v>193346027.92792794</v>
      </c>
      <c r="O8">
        <v>69801567.567567572</v>
      </c>
      <c r="P8">
        <v>79803908.108108118</v>
      </c>
      <c r="Q8">
        <v>85778918.918918908</v>
      </c>
      <c r="R8">
        <v>132707117.11711712</v>
      </c>
      <c r="S8">
        <v>7426</v>
      </c>
      <c r="T8">
        <v>4628</v>
      </c>
    </row>
    <row r="9" spans="1:20" x14ac:dyDescent="0.35">
      <c r="A9" s="7" t="s">
        <v>57</v>
      </c>
      <c r="B9" s="12" t="s">
        <v>55</v>
      </c>
      <c r="C9">
        <v>120559716.33650182</v>
      </c>
      <c r="D9">
        <v>127448302.58379038</v>
      </c>
      <c r="E9">
        <v>2309909.9099099101</v>
      </c>
      <c r="F9">
        <v>3440767.5675675669</v>
      </c>
      <c r="G9">
        <v>34</v>
      </c>
      <c r="H9">
        <v>73</v>
      </c>
      <c r="K9">
        <v>39</v>
      </c>
      <c r="L9">
        <v>101</v>
      </c>
      <c r="M9">
        <v>18554594.59459459</v>
      </c>
      <c r="N9">
        <v>19907787.387387387</v>
      </c>
      <c r="O9">
        <v>35418081.081081077</v>
      </c>
      <c r="P9">
        <v>40681702.702702701</v>
      </c>
      <c r="Q9">
        <v>17131171.171171173</v>
      </c>
      <c r="R9">
        <v>19342432.432432432</v>
      </c>
      <c r="S9">
        <v>3336</v>
      </c>
      <c r="T9">
        <v>2178</v>
      </c>
    </row>
    <row r="10" spans="1:20" x14ac:dyDescent="0.35">
      <c r="A10" s="7" t="s">
        <v>58</v>
      </c>
      <c r="B10" s="12" t="s">
        <v>59</v>
      </c>
      <c r="C10">
        <v>317926229.50812978</v>
      </c>
      <c r="D10">
        <v>316539107.1317088</v>
      </c>
      <c r="E10">
        <v>1373873.873873875</v>
      </c>
      <c r="F10">
        <v>517332.43243243499</v>
      </c>
      <c r="G10">
        <v>99</v>
      </c>
      <c r="H10">
        <v>87</v>
      </c>
      <c r="I10">
        <v>1</v>
      </c>
      <c r="K10">
        <v>104</v>
      </c>
      <c r="L10">
        <v>102</v>
      </c>
      <c r="M10">
        <v>4806306.3063063053</v>
      </c>
      <c r="N10">
        <v>7644702.702702703</v>
      </c>
      <c r="O10">
        <v>59079340.540540546</v>
      </c>
      <c r="P10">
        <v>63614576.576576576</v>
      </c>
      <c r="Q10">
        <v>4804594.594594595</v>
      </c>
      <c r="R10">
        <v>7477387.3873873884</v>
      </c>
      <c r="S10">
        <v>6048</v>
      </c>
      <c r="T10">
        <v>5481</v>
      </c>
    </row>
    <row r="11" spans="1:20" x14ac:dyDescent="0.35">
      <c r="A11" s="7" t="s">
        <v>60</v>
      </c>
      <c r="B11" s="12" t="s">
        <v>61</v>
      </c>
      <c r="C11">
        <v>141369268.8463712</v>
      </c>
      <c r="D11">
        <v>144987743.62583908</v>
      </c>
      <c r="E11">
        <v>36911711.711711712</v>
      </c>
      <c r="F11">
        <v>602777674.77477479</v>
      </c>
      <c r="G11">
        <v>87</v>
      </c>
      <c r="H11">
        <v>43</v>
      </c>
      <c r="I11">
        <v>1</v>
      </c>
      <c r="K11">
        <v>265</v>
      </c>
      <c r="L11">
        <v>94</v>
      </c>
      <c r="M11">
        <v>21323127.02702703</v>
      </c>
      <c r="N11">
        <v>88381264.864864871</v>
      </c>
      <c r="O11">
        <v>65000099.0990991</v>
      </c>
      <c r="P11">
        <v>68075666.666666657</v>
      </c>
      <c r="Q11">
        <v>17052072.072072074</v>
      </c>
      <c r="R11">
        <v>80230090.090090096</v>
      </c>
      <c r="S11">
        <v>3636</v>
      </c>
      <c r="T11">
        <v>2809</v>
      </c>
    </row>
    <row r="12" spans="1:20" x14ac:dyDescent="0.35">
      <c r="A12" s="7" t="s">
        <v>62</v>
      </c>
      <c r="B12" s="12" t="s">
        <v>63</v>
      </c>
      <c r="C12">
        <v>638641033.46955407</v>
      </c>
      <c r="D12">
        <v>630981921.91442466</v>
      </c>
      <c r="E12">
        <v>5629279.279279287</v>
      </c>
      <c r="F12">
        <v>5579690.990991001</v>
      </c>
      <c r="G12">
        <v>94</v>
      </c>
      <c r="H12">
        <v>57</v>
      </c>
      <c r="K12">
        <v>101</v>
      </c>
      <c r="L12">
        <v>79</v>
      </c>
      <c r="M12">
        <v>133354234.23423424</v>
      </c>
      <c r="N12">
        <v>77334326.126126125</v>
      </c>
      <c r="O12">
        <v>67716169.369369373</v>
      </c>
      <c r="P12">
        <v>77405679.279279277</v>
      </c>
      <c r="Q12">
        <v>132502702.7027027</v>
      </c>
      <c r="R12">
        <v>79423243.243243247</v>
      </c>
      <c r="S12">
        <v>9397</v>
      </c>
      <c r="T12">
        <v>8503</v>
      </c>
    </row>
    <row r="13" spans="1:20" x14ac:dyDescent="0.35">
      <c r="A13" s="7" t="s">
        <v>64</v>
      </c>
      <c r="B13" s="12" t="s">
        <v>51</v>
      </c>
      <c r="C13">
        <v>338790009.81890988</v>
      </c>
      <c r="D13">
        <v>332866705.95673126</v>
      </c>
      <c r="E13">
        <v>4018018.0180180208</v>
      </c>
      <c r="F13">
        <v>5099393.6936936928</v>
      </c>
      <c r="G13">
        <v>117</v>
      </c>
      <c r="H13">
        <v>104</v>
      </c>
      <c r="K13">
        <v>149</v>
      </c>
      <c r="L13">
        <v>115</v>
      </c>
      <c r="M13">
        <v>107041981.98198198</v>
      </c>
      <c r="N13">
        <v>148310932.43243241</v>
      </c>
      <c r="O13">
        <v>130569630.63063063</v>
      </c>
      <c r="P13">
        <v>134772072.07207206</v>
      </c>
      <c r="Q13">
        <v>103426396.3963964</v>
      </c>
      <c r="R13">
        <v>148397657.65765765</v>
      </c>
      <c r="S13">
        <v>5802</v>
      </c>
      <c r="T13">
        <v>5746</v>
      </c>
    </row>
    <row r="14" spans="1:20" x14ac:dyDescent="0.35">
      <c r="A14" s="7" t="s">
        <v>65</v>
      </c>
      <c r="B14" s="12" t="s">
        <v>51</v>
      </c>
      <c r="C14">
        <v>346340195.91560769</v>
      </c>
      <c r="D14">
        <v>338849624.64400142</v>
      </c>
      <c r="E14">
        <v>4966666.666666666</v>
      </c>
      <c r="F14">
        <v>5098019.8198198192</v>
      </c>
      <c r="G14">
        <v>77</v>
      </c>
      <c r="H14">
        <v>50</v>
      </c>
      <c r="K14">
        <v>92</v>
      </c>
      <c r="L14">
        <v>60</v>
      </c>
      <c r="M14">
        <v>44987657.657657653</v>
      </c>
      <c r="N14">
        <v>61570267.567567565</v>
      </c>
      <c r="O14">
        <v>130565824.32432432</v>
      </c>
      <c r="P14">
        <v>132381198.1981982</v>
      </c>
      <c r="Q14">
        <v>43502792.792792797</v>
      </c>
      <c r="R14">
        <v>52560000</v>
      </c>
      <c r="S14">
        <v>5605</v>
      </c>
      <c r="T14">
        <v>5004</v>
      </c>
    </row>
    <row r="15" spans="1:20" x14ac:dyDescent="0.35">
      <c r="A15" s="7" t="s">
        <v>66</v>
      </c>
      <c r="B15" s="12" t="s">
        <v>67</v>
      </c>
      <c r="C15">
        <v>351936026.50304943</v>
      </c>
      <c r="D15">
        <v>339392827.73588222</v>
      </c>
      <c r="E15">
        <v>464614864.86486489</v>
      </c>
      <c r="F15">
        <v>496808643.24324328</v>
      </c>
      <c r="G15">
        <v>87</v>
      </c>
      <c r="H15">
        <v>103</v>
      </c>
      <c r="K15">
        <v>102</v>
      </c>
      <c r="L15">
        <v>126</v>
      </c>
      <c r="M15">
        <v>199166666.66666666</v>
      </c>
      <c r="N15">
        <v>282984880.18018019</v>
      </c>
      <c r="O15">
        <v>179460279.27927926</v>
      </c>
      <c r="P15">
        <v>172225234.23423424</v>
      </c>
      <c r="Q15">
        <v>177814594.5945946</v>
      </c>
      <c r="R15">
        <v>244880000</v>
      </c>
      <c r="S15">
        <v>9701</v>
      </c>
      <c r="T15">
        <v>5570</v>
      </c>
    </row>
    <row r="16" spans="1:20" x14ac:dyDescent="0.35">
      <c r="A16" s="7" t="s">
        <v>68</v>
      </c>
      <c r="B16" s="12" t="s">
        <v>69</v>
      </c>
      <c r="C16">
        <v>204224410.38543743</v>
      </c>
      <c r="D16">
        <v>198441050.88180488</v>
      </c>
      <c r="E16">
        <v>1452252.2522522539</v>
      </c>
      <c r="F16">
        <v>1701655.8558558549</v>
      </c>
      <c r="G16">
        <v>81</v>
      </c>
      <c r="H16">
        <v>43</v>
      </c>
      <c r="K16">
        <v>85</v>
      </c>
      <c r="L16">
        <v>51</v>
      </c>
      <c r="M16">
        <v>34938378.378378376</v>
      </c>
      <c r="N16">
        <v>32290792.792792793</v>
      </c>
      <c r="O16">
        <v>55883810.810810804</v>
      </c>
      <c r="P16">
        <v>58109720.720720723</v>
      </c>
      <c r="Q16">
        <v>26231351.351351351</v>
      </c>
      <c r="R16">
        <v>25338873.873873871</v>
      </c>
      <c r="S16">
        <v>3486</v>
      </c>
      <c r="T16">
        <v>3115</v>
      </c>
    </row>
    <row r="17" spans="1:20" x14ac:dyDescent="0.35">
      <c r="A17" s="7" t="s">
        <v>70</v>
      </c>
      <c r="B17" s="12" t="s">
        <v>71</v>
      </c>
      <c r="C17">
        <v>15822749.438271228</v>
      </c>
      <c r="D17">
        <v>15585422.574538635</v>
      </c>
      <c r="E17">
        <v>116216.216216217</v>
      </c>
      <c r="F17">
        <v>531531.53153153195</v>
      </c>
      <c r="G17">
        <v>5</v>
      </c>
      <c r="H17">
        <v>4</v>
      </c>
      <c r="K17">
        <v>5</v>
      </c>
      <c r="L17">
        <v>5</v>
      </c>
      <c r="M17">
        <v>404504.50450450502</v>
      </c>
      <c r="N17">
        <v>2117117.1171171172</v>
      </c>
      <c r="O17">
        <v>4601004.5045045046</v>
      </c>
      <c r="P17">
        <v>5029180.1801801799</v>
      </c>
      <c r="Q17">
        <v>404054.05405405402</v>
      </c>
      <c r="R17">
        <v>1732882.8828828831</v>
      </c>
      <c r="S17">
        <v>572</v>
      </c>
      <c r="T17">
        <v>238</v>
      </c>
    </row>
    <row r="18" spans="1:20" x14ac:dyDescent="0.35">
      <c r="A18" s="7" t="s">
        <v>72</v>
      </c>
      <c r="B18" s="12" t="s">
        <v>73</v>
      </c>
      <c r="C18">
        <v>2672929373.9699392</v>
      </c>
      <c r="D18">
        <v>2730709802.0691705</v>
      </c>
      <c r="E18">
        <v>666709870.27027035</v>
      </c>
      <c r="F18">
        <v>925942477.47747755</v>
      </c>
      <c r="G18">
        <v>941</v>
      </c>
      <c r="H18">
        <v>1094</v>
      </c>
      <c r="I18">
        <v>23</v>
      </c>
      <c r="K18">
        <v>1380</v>
      </c>
      <c r="L18">
        <v>1568</v>
      </c>
      <c r="M18">
        <v>393377935.13513511</v>
      </c>
      <c r="N18">
        <v>415871369.36936939</v>
      </c>
      <c r="O18">
        <v>549937462.16216218</v>
      </c>
      <c r="P18">
        <v>673695766.66666663</v>
      </c>
      <c r="Q18">
        <v>254565538.73873875</v>
      </c>
      <c r="R18">
        <v>303302115.31531531</v>
      </c>
      <c r="S18">
        <v>51156</v>
      </c>
      <c r="T18">
        <v>45905</v>
      </c>
    </row>
    <row r="19" spans="1:20" x14ac:dyDescent="0.35">
      <c r="A19" s="7" t="s">
        <v>74</v>
      </c>
      <c r="B19" s="12" t="s">
        <v>73</v>
      </c>
      <c r="C19">
        <v>251306360.36569241</v>
      </c>
      <c r="D19">
        <v>261180167.79642797</v>
      </c>
      <c r="E19">
        <v>295495.49549549702</v>
      </c>
      <c r="F19">
        <v>231531.531531532</v>
      </c>
      <c r="G19">
        <v>58</v>
      </c>
      <c r="H19">
        <v>46</v>
      </c>
      <c r="I19">
        <v>1</v>
      </c>
      <c r="K19">
        <v>69</v>
      </c>
      <c r="L19">
        <v>52</v>
      </c>
      <c r="M19">
        <v>8178378.3783783782</v>
      </c>
      <c r="N19">
        <v>8299099.0990990987</v>
      </c>
      <c r="O19">
        <v>37196054.054054059</v>
      </c>
      <c r="P19">
        <v>38288054.054054059</v>
      </c>
      <c r="Q19">
        <v>7173693.6936936937</v>
      </c>
      <c r="R19">
        <v>6222882.8828828819</v>
      </c>
      <c r="S19">
        <v>3657</v>
      </c>
      <c r="T19">
        <v>3660</v>
      </c>
    </row>
    <row r="20" spans="1:20" x14ac:dyDescent="0.35">
      <c r="A20" s="7" t="s">
        <v>75</v>
      </c>
      <c r="B20" s="12" t="s">
        <v>71</v>
      </c>
      <c r="C20">
        <v>281820579.18762833</v>
      </c>
      <c r="D20">
        <v>275838253.0865131</v>
      </c>
      <c r="E20">
        <v>123296170.27027027</v>
      </c>
      <c r="F20">
        <v>198304633.33333331</v>
      </c>
      <c r="G20">
        <v>88</v>
      </c>
      <c r="H20">
        <v>78</v>
      </c>
      <c r="I20">
        <v>1</v>
      </c>
      <c r="K20">
        <v>234</v>
      </c>
      <c r="L20">
        <v>128</v>
      </c>
      <c r="M20">
        <v>96881991.891891882</v>
      </c>
      <c r="N20">
        <v>404609893.6936937</v>
      </c>
      <c r="O20">
        <v>103924522.52252252</v>
      </c>
      <c r="P20">
        <v>102151864.86486487</v>
      </c>
      <c r="Q20">
        <v>59566846.846846849</v>
      </c>
      <c r="R20">
        <v>350503963.96396399</v>
      </c>
      <c r="S20">
        <v>6008</v>
      </c>
      <c r="T20">
        <v>4485</v>
      </c>
    </row>
    <row r="21" spans="1:20" x14ac:dyDescent="0.35">
      <c r="A21" s="7" t="s">
        <v>76</v>
      </c>
      <c r="B21" s="12" t="s">
        <v>77</v>
      </c>
      <c r="C21">
        <v>81447622.296943337</v>
      </c>
      <c r="D21">
        <v>83739328.944796622</v>
      </c>
      <c r="E21">
        <v>658558.55855855905</v>
      </c>
      <c r="F21">
        <v>471171.171171172</v>
      </c>
      <c r="G21">
        <v>28</v>
      </c>
      <c r="H21">
        <v>34</v>
      </c>
      <c r="K21">
        <v>28</v>
      </c>
      <c r="L21">
        <v>36</v>
      </c>
      <c r="M21">
        <v>10249009.009009007</v>
      </c>
      <c r="N21">
        <v>11202702.702702705</v>
      </c>
      <c r="O21">
        <v>20550774.774774775</v>
      </c>
      <c r="P21">
        <v>23606783.783783782</v>
      </c>
      <c r="Q21">
        <v>7704864.8648648662</v>
      </c>
      <c r="R21">
        <v>9227837.8378378395</v>
      </c>
      <c r="S21">
        <v>1792</v>
      </c>
      <c r="T21">
        <v>1470</v>
      </c>
    </row>
    <row r="22" spans="1:20" x14ac:dyDescent="0.35">
      <c r="A22" s="7" t="s">
        <v>78</v>
      </c>
      <c r="B22" s="12" t="s">
        <v>79</v>
      </c>
      <c r="C22">
        <v>176197570.0962674</v>
      </c>
      <c r="D22">
        <v>176691840.24061936</v>
      </c>
      <c r="E22">
        <v>2677477.4774774769</v>
      </c>
      <c r="F22">
        <v>3879055.855855858</v>
      </c>
      <c r="G22">
        <v>38</v>
      </c>
      <c r="H22">
        <v>69</v>
      </c>
      <c r="I22">
        <v>2</v>
      </c>
      <c r="K22">
        <v>42</v>
      </c>
      <c r="L22">
        <v>94</v>
      </c>
      <c r="M22">
        <v>21457657.657657657</v>
      </c>
      <c r="N22">
        <v>32514345.045045044</v>
      </c>
      <c r="O22">
        <v>57762342.342342347</v>
      </c>
      <c r="P22">
        <v>58370421.621621624</v>
      </c>
      <c r="Q22">
        <v>23588828.828828827</v>
      </c>
      <c r="R22">
        <v>31660450.450450446</v>
      </c>
      <c r="S22">
        <v>2895</v>
      </c>
      <c r="T22">
        <v>2239</v>
      </c>
    </row>
    <row r="23" spans="1:20" x14ac:dyDescent="0.35">
      <c r="A23" s="7" t="s">
        <v>80</v>
      </c>
      <c r="B23" s="12" t="s">
        <v>81</v>
      </c>
      <c r="C23">
        <v>1602256828.8645895</v>
      </c>
      <c r="D23">
        <v>1696939121.9947407</v>
      </c>
      <c r="E23">
        <v>10730405.405405411</v>
      </c>
      <c r="F23">
        <v>18522071.171171177</v>
      </c>
      <c r="G23">
        <v>1074</v>
      </c>
      <c r="H23">
        <v>1036</v>
      </c>
      <c r="I23">
        <v>7</v>
      </c>
      <c r="K23">
        <v>1215</v>
      </c>
      <c r="L23">
        <v>1393</v>
      </c>
      <c r="M23">
        <v>400762162.16216218</v>
      </c>
      <c r="N23">
        <v>214250090.09009007</v>
      </c>
      <c r="O23">
        <v>418639096.84684682</v>
      </c>
      <c r="P23">
        <v>518812823.42342341</v>
      </c>
      <c r="Q23">
        <v>206319369.36936939</v>
      </c>
      <c r="R23">
        <v>190355045.04504502</v>
      </c>
      <c r="S23">
        <v>33553</v>
      </c>
      <c r="T23">
        <v>26330</v>
      </c>
    </row>
    <row r="24" spans="1:20" x14ac:dyDescent="0.35">
      <c r="A24" s="7" t="s">
        <v>82</v>
      </c>
      <c r="B24" s="12" t="s">
        <v>55</v>
      </c>
      <c r="C24">
        <v>50465021.376388669</v>
      </c>
      <c r="D24">
        <v>47117913.710874915</v>
      </c>
      <c r="E24">
        <v>477477.47747747903</v>
      </c>
      <c r="F24">
        <v>347747.74774774897</v>
      </c>
      <c r="G24">
        <v>17</v>
      </c>
      <c r="H24">
        <v>12</v>
      </c>
      <c r="K24">
        <v>23</v>
      </c>
      <c r="L24">
        <v>13</v>
      </c>
      <c r="M24">
        <v>3831351.3513513519</v>
      </c>
      <c r="N24">
        <v>4193693.6936936919</v>
      </c>
      <c r="O24">
        <v>11684396.396396397</v>
      </c>
      <c r="P24">
        <v>12937333.333333334</v>
      </c>
      <c r="Q24">
        <v>3086306.3063063072</v>
      </c>
      <c r="R24">
        <v>3472612.612612613</v>
      </c>
      <c r="S24">
        <v>1809</v>
      </c>
      <c r="T24">
        <v>1001</v>
      </c>
    </row>
    <row r="25" spans="1:20" x14ac:dyDescent="0.35">
      <c r="A25" s="7" t="s">
        <v>83</v>
      </c>
      <c r="B25" s="12" t="s">
        <v>84</v>
      </c>
      <c r="C25">
        <v>1162929689.334291</v>
      </c>
      <c r="D25">
        <v>1141587481.7516215</v>
      </c>
      <c r="E25">
        <v>13429954.954954959</v>
      </c>
      <c r="F25">
        <v>18573676.576576576</v>
      </c>
      <c r="G25">
        <v>233</v>
      </c>
      <c r="H25">
        <v>183</v>
      </c>
      <c r="I25">
        <v>2</v>
      </c>
      <c r="K25">
        <v>269</v>
      </c>
      <c r="L25">
        <v>253</v>
      </c>
      <c r="M25">
        <v>224019369.36936939</v>
      </c>
      <c r="N25">
        <v>277778359.45945948</v>
      </c>
      <c r="O25">
        <v>339414226.57657659</v>
      </c>
      <c r="P25">
        <v>352647702.7027027</v>
      </c>
      <c r="Q25">
        <v>171832432.43243241</v>
      </c>
      <c r="R25">
        <v>192273153.15315315</v>
      </c>
      <c r="S25">
        <v>15588</v>
      </c>
      <c r="T25">
        <v>14949</v>
      </c>
    </row>
    <row r="26" spans="1:20" x14ac:dyDescent="0.35">
      <c r="A26" s="7" t="s">
        <v>85</v>
      </c>
      <c r="B26" s="12" t="s">
        <v>86</v>
      </c>
      <c r="C26">
        <v>110482086.38448459</v>
      </c>
      <c r="D26">
        <v>107540197.42206798</v>
      </c>
      <c r="E26">
        <v>2281531.5315315342</v>
      </c>
      <c r="F26">
        <v>7755668.4684684677</v>
      </c>
      <c r="G26">
        <v>61</v>
      </c>
      <c r="H26">
        <v>156</v>
      </c>
      <c r="K26">
        <v>74</v>
      </c>
      <c r="L26">
        <v>170</v>
      </c>
      <c r="M26">
        <v>219858108.1081081</v>
      </c>
      <c r="N26">
        <v>155799044.14414415</v>
      </c>
      <c r="O26">
        <v>38623810.810810804</v>
      </c>
      <c r="P26">
        <v>48584387.387387395</v>
      </c>
      <c r="Q26">
        <v>195676036.03603604</v>
      </c>
      <c r="R26">
        <v>123050627.02702703</v>
      </c>
      <c r="S26">
        <v>2499</v>
      </c>
      <c r="T26">
        <v>2191</v>
      </c>
    </row>
    <row r="27" spans="1:20" x14ac:dyDescent="0.35">
      <c r="A27" s="7" t="s">
        <v>87</v>
      </c>
      <c r="B27" s="12" t="s">
        <v>88</v>
      </c>
      <c r="C27">
        <v>4224153.9224909097</v>
      </c>
      <c r="D27">
        <v>5490982.5849714801</v>
      </c>
      <c r="G27">
        <v>4</v>
      </c>
      <c r="K27">
        <v>4</v>
      </c>
      <c r="O27">
        <v>1797801.801801801</v>
      </c>
      <c r="P27">
        <v>2518153.1531531531</v>
      </c>
      <c r="S27">
        <v>183</v>
      </c>
      <c r="T27">
        <v>160</v>
      </c>
    </row>
    <row r="28" spans="1:20" x14ac:dyDescent="0.35">
      <c r="A28" s="7" t="s">
        <v>89</v>
      </c>
      <c r="B28" s="12" t="s">
        <v>90</v>
      </c>
      <c r="C28">
        <v>239175366.32261446</v>
      </c>
      <c r="D28">
        <v>250754708.87563339</v>
      </c>
      <c r="E28">
        <v>5355855.8558558542</v>
      </c>
      <c r="F28">
        <v>4355145.0450450461</v>
      </c>
      <c r="G28">
        <v>38</v>
      </c>
      <c r="H28">
        <v>47</v>
      </c>
      <c r="K28">
        <v>42</v>
      </c>
      <c r="L28">
        <v>56</v>
      </c>
      <c r="M28">
        <v>44774954.954954952</v>
      </c>
      <c r="N28">
        <v>42160281.081081077</v>
      </c>
      <c r="O28">
        <v>84580135.135135129</v>
      </c>
      <c r="P28">
        <v>87656045.045045033</v>
      </c>
      <c r="Q28">
        <v>43603513.513513513</v>
      </c>
      <c r="R28">
        <v>44170180.180180185</v>
      </c>
      <c r="S28">
        <v>3739</v>
      </c>
      <c r="T28">
        <v>3127</v>
      </c>
    </row>
    <row r="29" spans="1:20" x14ac:dyDescent="0.35">
      <c r="A29" s="7" t="s">
        <v>91</v>
      </c>
      <c r="B29" s="12" t="s">
        <v>61</v>
      </c>
      <c r="C29">
        <v>83377610.485587299</v>
      </c>
      <c r="D29">
        <v>87125047.727658674</v>
      </c>
      <c r="E29">
        <v>326126.12612612703</v>
      </c>
      <c r="F29">
        <v>1634684.6846846859</v>
      </c>
      <c r="G29">
        <v>29</v>
      </c>
      <c r="H29">
        <v>57</v>
      </c>
      <c r="K29">
        <v>192</v>
      </c>
      <c r="L29">
        <v>170</v>
      </c>
      <c r="M29">
        <v>5704504.5045045046</v>
      </c>
      <c r="N29">
        <v>10303603.603603603</v>
      </c>
      <c r="O29">
        <v>48846873.873873875</v>
      </c>
      <c r="P29">
        <v>50749747.747747742</v>
      </c>
      <c r="Q29">
        <v>5382702.702702702</v>
      </c>
      <c r="R29">
        <v>10243423.423423424</v>
      </c>
      <c r="S29">
        <v>2084</v>
      </c>
      <c r="T29">
        <v>2303</v>
      </c>
    </row>
    <row r="30" spans="1:20" x14ac:dyDescent="0.35">
      <c r="A30" s="7" t="s">
        <v>92</v>
      </c>
      <c r="B30" s="12" t="s">
        <v>93</v>
      </c>
      <c r="C30">
        <v>70398949.285416812</v>
      </c>
      <c r="D30">
        <v>64530748.951351054</v>
      </c>
      <c r="E30">
        <v>2318018.018018018</v>
      </c>
      <c r="F30">
        <v>1539189.1891891891</v>
      </c>
      <c r="G30">
        <v>19</v>
      </c>
      <c r="H30">
        <v>10</v>
      </c>
      <c r="K30">
        <v>21</v>
      </c>
      <c r="L30">
        <v>11</v>
      </c>
      <c r="M30">
        <v>16535675.675675675</v>
      </c>
      <c r="N30">
        <v>20117567.567567568</v>
      </c>
      <c r="O30">
        <v>22666945.945945945</v>
      </c>
      <c r="P30">
        <v>23289306.306306303</v>
      </c>
      <c r="Q30">
        <v>16771711.711711712</v>
      </c>
      <c r="R30">
        <v>19485225.225225225</v>
      </c>
      <c r="S30">
        <v>1098</v>
      </c>
      <c r="T30">
        <v>1062</v>
      </c>
    </row>
    <row r="31" spans="1:20" x14ac:dyDescent="0.35">
      <c r="A31" s="7" t="s">
        <v>94</v>
      </c>
      <c r="B31" s="12" t="s">
        <v>95</v>
      </c>
      <c r="C31">
        <v>292868040.24964899</v>
      </c>
      <c r="D31">
        <v>304860793.93430275</v>
      </c>
      <c r="E31">
        <v>614864.86486486602</v>
      </c>
      <c r="F31">
        <v>1118553.153153155</v>
      </c>
      <c r="G31">
        <v>52</v>
      </c>
      <c r="H31">
        <v>22</v>
      </c>
      <c r="K31">
        <v>60</v>
      </c>
      <c r="L31">
        <v>28</v>
      </c>
      <c r="M31">
        <v>34722972.972972974</v>
      </c>
      <c r="N31">
        <v>36866139.639639638</v>
      </c>
      <c r="O31">
        <v>41898133.333333336</v>
      </c>
      <c r="P31">
        <v>51190507.20720721</v>
      </c>
      <c r="Q31">
        <v>30996666.666666664</v>
      </c>
      <c r="R31">
        <v>36406666.666666664</v>
      </c>
      <c r="S31">
        <v>4517</v>
      </c>
      <c r="T31">
        <v>4501</v>
      </c>
    </row>
    <row r="32" spans="1:20" x14ac:dyDescent="0.35">
      <c r="A32" s="7" t="s">
        <v>96</v>
      </c>
      <c r="B32" s="12" t="s">
        <v>97</v>
      </c>
      <c r="C32">
        <v>319741847.6347335</v>
      </c>
      <c r="D32">
        <v>325745524.46929926</v>
      </c>
      <c r="E32">
        <v>2483783.7837837851</v>
      </c>
      <c r="F32">
        <v>5556358.55855856</v>
      </c>
      <c r="G32">
        <v>75</v>
      </c>
      <c r="H32">
        <v>129</v>
      </c>
      <c r="I32">
        <v>5</v>
      </c>
      <c r="K32">
        <v>81</v>
      </c>
      <c r="L32">
        <v>147</v>
      </c>
      <c r="M32">
        <v>71810810.810810804</v>
      </c>
      <c r="N32">
        <v>56237252.252252258</v>
      </c>
      <c r="O32">
        <v>159113486.48648649</v>
      </c>
      <c r="P32">
        <v>164774963.96396396</v>
      </c>
      <c r="Q32">
        <v>58017117.117117122</v>
      </c>
      <c r="R32">
        <v>59261891.891891897</v>
      </c>
      <c r="S32">
        <v>7404</v>
      </c>
      <c r="T32">
        <v>7634</v>
      </c>
    </row>
    <row r="33" spans="1:20" x14ac:dyDescent="0.35">
      <c r="A33" s="7" t="s">
        <v>98</v>
      </c>
      <c r="B33" s="12" t="s">
        <v>99</v>
      </c>
      <c r="C33">
        <v>1117111813.6294966</v>
      </c>
      <c r="D33">
        <v>1110896441.9252555</v>
      </c>
      <c r="E33">
        <v>192463558.55855855</v>
      </c>
      <c r="F33">
        <v>329514262.16216218</v>
      </c>
      <c r="G33">
        <v>444</v>
      </c>
      <c r="H33">
        <v>338</v>
      </c>
      <c r="K33">
        <v>550</v>
      </c>
      <c r="L33">
        <v>383</v>
      </c>
      <c r="M33">
        <v>320550900.9009009</v>
      </c>
      <c r="N33">
        <v>269118426.12612611</v>
      </c>
      <c r="O33">
        <v>288164102.25225228</v>
      </c>
      <c r="P33">
        <v>306785648.64864862</v>
      </c>
      <c r="Q33">
        <v>235634594.5945946</v>
      </c>
      <c r="R33">
        <v>201026711.7117117</v>
      </c>
      <c r="S33">
        <v>28101</v>
      </c>
      <c r="T33">
        <v>22425</v>
      </c>
    </row>
    <row r="34" spans="1:20" x14ac:dyDescent="0.35">
      <c r="A34" s="7" t="s">
        <v>100</v>
      </c>
      <c r="B34" s="12" t="s">
        <v>99</v>
      </c>
      <c r="C34">
        <v>1807396820.5907927</v>
      </c>
      <c r="D34">
        <v>1808317843.8730669</v>
      </c>
      <c r="E34">
        <v>6855972.972972977</v>
      </c>
      <c r="F34">
        <v>10208101.801801804</v>
      </c>
      <c r="G34">
        <v>569</v>
      </c>
      <c r="H34">
        <v>563</v>
      </c>
      <c r="I34">
        <v>25</v>
      </c>
      <c r="K34">
        <v>865</v>
      </c>
      <c r="L34">
        <v>704</v>
      </c>
      <c r="M34">
        <v>99913063.06306307</v>
      </c>
      <c r="N34">
        <v>304425108.1081081</v>
      </c>
      <c r="O34">
        <v>343513678.82882881</v>
      </c>
      <c r="P34">
        <v>364401430.63063067</v>
      </c>
      <c r="Q34">
        <v>97738648.648648635</v>
      </c>
      <c r="R34">
        <v>118614189.18918918</v>
      </c>
      <c r="S34">
        <v>40328</v>
      </c>
      <c r="T34">
        <v>28191</v>
      </c>
    </row>
    <row r="35" spans="1:20" x14ac:dyDescent="0.35">
      <c r="A35" s="7" t="s">
        <v>101</v>
      </c>
      <c r="B35" s="12" t="s">
        <v>99</v>
      </c>
      <c r="C35">
        <v>2408238512.1434088</v>
      </c>
      <c r="D35">
        <v>2348345584.6171737</v>
      </c>
      <c r="E35">
        <v>22851576.576576583</v>
      </c>
      <c r="F35">
        <v>21388411.711711716</v>
      </c>
      <c r="G35">
        <v>523</v>
      </c>
      <c r="H35">
        <v>427</v>
      </c>
      <c r="I35">
        <v>20</v>
      </c>
      <c r="K35">
        <v>1743</v>
      </c>
      <c r="L35">
        <v>1159</v>
      </c>
      <c r="M35">
        <v>983448693.69369364</v>
      </c>
      <c r="N35">
        <v>300857463.06306303</v>
      </c>
      <c r="O35">
        <v>1036678090.5405406</v>
      </c>
      <c r="P35">
        <v>965338293.69369364</v>
      </c>
      <c r="Q35">
        <v>335829144.14414412</v>
      </c>
      <c r="R35">
        <v>201261709.90990993</v>
      </c>
      <c r="S35">
        <v>47828</v>
      </c>
      <c r="T35">
        <v>33688</v>
      </c>
    </row>
    <row r="36" spans="1:20" x14ac:dyDescent="0.35">
      <c r="A36" s="7" t="s">
        <v>102</v>
      </c>
      <c r="B36" s="12" t="s">
        <v>99</v>
      </c>
      <c r="C36">
        <v>1042096134.5888166</v>
      </c>
      <c r="D36">
        <v>1048958017.153003</v>
      </c>
      <c r="E36">
        <v>6451351.3513513505</v>
      </c>
      <c r="F36">
        <v>6804003.6036036061</v>
      </c>
      <c r="G36">
        <v>321</v>
      </c>
      <c r="H36">
        <v>252</v>
      </c>
      <c r="I36">
        <v>7</v>
      </c>
      <c r="K36">
        <v>379</v>
      </c>
      <c r="L36">
        <v>317</v>
      </c>
      <c r="M36">
        <v>87059009.009009004</v>
      </c>
      <c r="N36">
        <v>84041152.252252251</v>
      </c>
      <c r="O36">
        <v>226841090.09009007</v>
      </c>
      <c r="P36">
        <v>235458414.41441441</v>
      </c>
      <c r="Q36">
        <v>82970540.540540546</v>
      </c>
      <c r="R36">
        <v>82868558.558558553</v>
      </c>
      <c r="S36">
        <v>30327</v>
      </c>
      <c r="T36">
        <v>21546</v>
      </c>
    </row>
    <row r="37" spans="1:20" x14ac:dyDescent="0.35">
      <c r="A37" s="7" t="s">
        <v>103</v>
      </c>
      <c r="B37" s="12" t="s">
        <v>99</v>
      </c>
      <c r="C37">
        <v>1173548180.4090621</v>
      </c>
      <c r="D37">
        <v>1199607651.6494715</v>
      </c>
      <c r="E37">
        <v>12081081.081081085</v>
      </c>
      <c r="F37">
        <v>16517515.315315315</v>
      </c>
      <c r="G37">
        <v>258</v>
      </c>
      <c r="H37">
        <v>143</v>
      </c>
      <c r="I37">
        <v>1</v>
      </c>
      <c r="K37">
        <v>345</v>
      </c>
      <c r="L37">
        <v>247</v>
      </c>
      <c r="M37">
        <v>176581081.08108109</v>
      </c>
      <c r="N37">
        <v>248695853.15315315</v>
      </c>
      <c r="O37">
        <v>340775824.32432437</v>
      </c>
      <c r="P37">
        <v>348410673.87387383</v>
      </c>
      <c r="Q37">
        <v>200783153.15315315</v>
      </c>
      <c r="R37">
        <v>213180270.27027026</v>
      </c>
      <c r="S37">
        <v>35951</v>
      </c>
      <c r="T37">
        <v>25458</v>
      </c>
    </row>
    <row r="38" spans="1:20" x14ac:dyDescent="0.35">
      <c r="A38" s="7" t="s">
        <v>104</v>
      </c>
      <c r="B38" s="12" t="s">
        <v>99</v>
      </c>
      <c r="C38">
        <v>3030018039.8092113</v>
      </c>
      <c r="D38">
        <v>3018093627.5973554</v>
      </c>
      <c r="E38">
        <v>961552933.33333337</v>
      </c>
      <c r="F38">
        <v>2112880542.3423424</v>
      </c>
      <c r="G38">
        <v>919</v>
      </c>
      <c r="H38">
        <v>634</v>
      </c>
      <c r="I38">
        <v>18</v>
      </c>
      <c r="K38">
        <v>1299</v>
      </c>
      <c r="L38">
        <v>757</v>
      </c>
      <c r="M38">
        <v>338481829.72972971</v>
      </c>
      <c r="N38">
        <v>1651638149.5495496</v>
      </c>
      <c r="O38">
        <v>640264268.46846843</v>
      </c>
      <c r="P38">
        <v>658465320.72072077</v>
      </c>
      <c r="Q38">
        <v>303343153.15315318</v>
      </c>
      <c r="R38">
        <v>1310424594.5945945</v>
      </c>
      <c r="S38">
        <v>73503</v>
      </c>
      <c r="T38">
        <v>56027</v>
      </c>
    </row>
    <row r="39" spans="1:20" x14ac:dyDescent="0.35">
      <c r="A39" s="7" t="s">
        <v>105</v>
      </c>
      <c r="B39" s="12" t="s">
        <v>106</v>
      </c>
      <c r="C39">
        <v>211563052.75113079</v>
      </c>
      <c r="D39">
        <v>201476908.6048668</v>
      </c>
      <c r="E39">
        <v>1273873.8738738741</v>
      </c>
      <c r="F39">
        <v>165765.765765766</v>
      </c>
      <c r="G39">
        <v>47</v>
      </c>
      <c r="H39">
        <v>24</v>
      </c>
      <c r="K39">
        <v>49</v>
      </c>
      <c r="L39">
        <v>25</v>
      </c>
      <c r="M39">
        <v>1724324.324324324</v>
      </c>
      <c r="N39">
        <v>165765.765765766</v>
      </c>
      <c r="O39">
        <v>46038675.675675683</v>
      </c>
      <c r="P39">
        <v>48017090.090090089</v>
      </c>
      <c r="Q39">
        <v>1200360.36036036</v>
      </c>
      <c r="R39">
        <v>341441.44144144101</v>
      </c>
      <c r="S39">
        <v>2699</v>
      </c>
      <c r="T39">
        <v>5315</v>
      </c>
    </row>
    <row r="40" spans="1:20" x14ac:dyDescent="0.35">
      <c r="A40" s="7" t="s">
        <v>107</v>
      </c>
      <c r="B40" s="12" t="s">
        <v>55</v>
      </c>
      <c r="C40">
        <v>72875648.97600086</v>
      </c>
      <c r="D40">
        <v>67330981.868745223</v>
      </c>
      <c r="E40">
        <v>205405.405405406</v>
      </c>
      <c r="F40">
        <v>845045.04504504695</v>
      </c>
      <c r="G40">
        <v>40</v>
      </c>
      <c r="H40">
        <v>71</v>
      </c>
      <c r="I40">
        <v>13</v>
      </c>
      <c r="K40">
        <v>63</v>
      </c>
      <c r="L40">
        <v>78</v>
      </c>
      <c r="M40">
        <v>2668648.648648649</v>
      </c>
      <c r="N40">
        <v>24716126.126126129</v>
      </c>
      <c r="O40">
        <v>19140945.945945945</v>
      </c>
      <c r="P40">
        <v>18463360.360360362</v>
      </c>
      <c r="Q40">
        <v>2570180.1801801799</v>
      </c>
      <c r="R40">
        <v>24132342.342342343</v>
      </c>
      <c r="S40">
        <v>2162</v>
      </c>
      <c r="T40">
        <v>1212</v>
      </c>
    </row>
    <row r="41" spans="1:20" x14ac:dyDescent="0.35">
      <c r="A41" s="7" t="s">
        <v>108</v>
      </c>
      <c r="B41" s="12" t="s">
        <v>109</v>
      </c>
      <c r="C41">
        <v>582993392.55381525</v>
      </c>
      <c r="D41">
        <v>607844667.43462908</v>
      </c>
      <c r="E41">
        <v>101824954.95495497</v>
      </c>
      <c r="F41">
        <v>711670416.21621621</v>
      </c>
      <c r="G41">
        <v>170</v>
      </c>
      <c r="H41">
        <v>139</v>
      </c>
      <c r="I41">
        <v>1</v>
      </c>
      <c r="K41">
        <v>205</v>
      </c>
      <c r="L41">
        <v>165</v>
      </c>
      <c r="M41">
        <v>93784864.864864871</v>
      </c>
      <c r="N41">
        <v>127590172.07207207</v>
      </c>
      <c r="O41">
        <v>125413342.34234233</v>
      </c>
      <c r="P41">
        <v>132319378.37837839</v>
      </c>
      <c r="Q41">
        <v>72477837.837837845</v>
      </c>
      <c r="R41">
        <v>103431621.62162161</v>
      </c>
      <c r="S41">
        <v>14000</v>
      </c>
      <c r="T41">
        <v>9412</v>
      </c>
    </row>
    <row r="42" spans="1:20" x14ac:dyDescent="0.35">
      <c r="A42" s="7" t="s">
        <v>110</v>
      </c>
      <c r="B42" s="12" t="s">
        <v>109</v>
      </c>
      <c r="C42">
        <v>827639405.26964188</v>
      </c>
      <c r="D42">
        <v>854979739.94975114</v>
      </c>
      <c r="E42">
        <v>8444220.7207207233</v>
      </c>
      <c r="F42">
        <v>18446024.324324328</v>
      </c>
      <c r="G42">
        <v>319</v>
      </c>
      <c r="H42">
        <v>303</v>
      </c>
      <c r="I42">
        <v>1</v>
      </c>
      <c r="K42">
        <v>639</v>
      </c>
      <c r="L42">
        <v>592</v>
      </c>
      <c r="M42">
        <v>57923323.423423424</v>
      </c>
      <c r="N42">
        <v>534150397.2972973</v>
      </c>
      <c r="O42">
        <v>234652261.26126125</v>
      </c>
      <c r="P42">
        <v>233864207.2072072</v>
      </c>
      <c r="Q42">
        <v>188906396.3963964</v>
      </c>
      <c r="R42">
        <v>353049369.36936933</v>
      </c>
      <c r="S42">
        <v>21908</v>
      </c>
      <c r="T42">
        <v>14194</v>
      </c>
    </row>
    <row r="43" spans="1:20" x14ac:dyDescent="0.35">
      <c r="A43" s="7" t="s">
        <v>111</v>
      </c>
      <c r="B43" s="12" t="s">
        <v>112</v>
      </c>
      <c r="C43">
        <v>955799578.26103675</v>
      </c>
      <c r="D43">
        <v>983482977.44371819</v>
      </c>
      <c r="E43">
        <v>14417117.11711712</v>
      </c>
      <c r="F43">
        <v>12706295.495495496</v>
      </c>
      <c r="G43">
        <v>370</v>
      </c>
      <c r="H43">
        <v>295</v>
      </c>
      <c r="K43">
        <v>681</v>
      </c>
      <c r="L43">
        <v>532</v>
      </c>
      <c r="M43">
        <v>106309934.23423423</v>
      </c>
      <c r="N43">
        <v>116978713.51351351</v>
      </c>
      <c r="O43">
        <v>330791801.8018018</v>
      </c>
      <c r="P43">
        <v>356680774.77477479</v>
      </c>
      <c r="Q43">
        <v>95325088.288288295</v>
      </c>
      <c r="R43">
        <v>113494684.68468469</v>
      </c>
      <c r="S43">
        <v>28246</v>
      </c>
      <c r="T43">
        <v>20644</v>
      </c>
    </row>
    <row r="44" spans="1:20" x14ac:dyDescent="0.35">
      <c r="A44" s="7" t="s">
        <v>113</v>
      </c>
      <c r="B44" s="12" t="s">
        <v>112</v>
      </c>
      <c r="C44">
        <v>1226833592.7089195</v>
      </c>
      <c r="D44">
        <v>1259708867.3500869</v>
      </c>
      <c r="E44">
        <v>17390990.990990993</v>
      </c>
      <c r="F44">
        <v>57445923.423423432</v>
      </c>
      <c r="G44">
        <v>502</v>
      </c>
      <c r="H44">
        <v>419</v>
      </c>
      <c r="I44">
        <v>1</v>
      </c>
      <c r="K44">
        <v>916</v>
      </c>
      <c r="L44">
        <v>570</v>
      </c>
      <c r="M44">
        <v>100976228.82882883</v>
      </c>
      <c r="N44">
        <v>327632336.03603601</v>
      </c>
      <c r="O44">
        <v>451761642.34234232</v>
      </c>
      <c r="P44">
        <v>469236108.1081081</v>
      </c>
      <c r="Q44">
        <v>98867657.657657668</v>
      </c>
      <c r="R44">
        <v>360334908.1081081</v>
      </c>
      <c r="S44">
        <v>41392</v>
      </c>
      <c r="T44">
        <v>27633</v>
      </c>
    </row>
    <row r="45" spans="1:20" x14ac:dyDescent="0.35">
      <c r="A45" s="7" t="s">
        <v>114</v>
      </c>
      <c r="B45" s="12" t="s">
        <v>112</v>
      </c>
      <c r="C45">
        <v>1683962168.4536073</v>
      </c>
      <c r="D45">
        <v>861045325.97049737</v>
      </c>
      <c r="E45">
        <v>13318918.918918924</v>
      </c>
      <c r="F45">
        <v>19815969.369369373</v>
      </c>
      <c r="G45">
        <v>465</v>
      </c>
      <c r="H45">
        <v>363</v>
      </c>
      <c r="I45">
        <v>5</v>
      </c>
      <c r="K45">
        <v>778</v>
      </c>
      <c r="L45">
        <v>614</v>
      </c>
      <c r="M45">
        <v>519214069.36936939</v>
      </c>
      <c r="N45">
        <v>714598530.63063061</v>
      </c>
      <c r="O45">
        <v>1117786926.1261261</v>
      </c>
      <c r="P45">
        <v>284958747.74774772</v>
      </c>
      <c r="Q45">
        <v>55643827.027027033</v>
      </c>
      <c r="R45">
        <v>116647117.11711712</v>
      </c>
      <c r="S45">
        <v>21304</v>
      </c>
      <c r="T45">
        <v>14044</v>
      </c>
    </row>
    <row r="46" spans="1:20" x14ac:dyDescent="0.35">
      <c r="A46" s="7" t="s">
        <v>115</v>
      </c>
      <c r="B46" s="12" t="s">
        <v>112</v>
      </c>
      <c r="C46">
        <v>975892322.10660791</v>
      </c>
      <c r="D46">
        <v>1602122755.2460275</v>
      </c>
      <c r="E46">
        <v>15046621.621621627</v>
      </c>
      <c r="F46">
        <v>16108305.40540541</v>
      </c>
      <c r="G46">
        <v>754</v>
      </c>
      <c r="H46">
        <v>390</v>
      </c>
      <c r="I46">
        <v>14</v>
      </c>
      <c r="K46">
        <v>2002</v>
      </c>
      <c r="L46">
        <v>657</v>
      </c>
      <c r="M46">
        <v>121679549.54954955</v>
      </c>
      <c r="N46">
        <v>391831103.6036036</v>
      </c>
      <c r="O46">
        <v>293246360.36036038</v>
      </c>
      <c r="P46">
        <v>889382063.06306303</v>
      </c>
      <c r="Q46">
        <v>110998108.10810812</v>
      </c>
      <c r="R46">
        <v>382896756.75675672</v>
      </c>
      <c r="S46">
        <v>28983</v>
      </c>
      <c r="T46">
        <v>20660</v>
      </c>
    </row>
    <row r="47" spans="1:20" x14ac:dyDescent="0.35">
      <c r="A47" s="7" t="s">
        <v>116</v>
      </c>
      <c r="B47" s="12" t="s">
        <v>112</v>
      </c>
      <c r="C47">
        <v>1233095123.4523211</v>
      </c>
      <c r="D47">
        <v>1181044364.1153805</v>
      </c>
      <c r="E47">
        <v>1782982694.5945945</v>
      </c>
      <c r="F47">
        <v>2921648657.6576576</v>
      </c>
      <c r="G47">
        <v>551</v>
      </c>
      <c r="H47">
        <v>556</v>
      </c>
      <c r="K47">
        <v>849</v>
      </c>
      <c r="L47">
        <v>824</v>
      </c>
      <c r="M47">
        <v>901612801.8018018</v>
      </c>
      <c r="N47">
        <v>578503223.42342341</v>
      </c>
      <c r="O47">
        <v>381528696.84684682</v>
      </c>
      <c r="P47">
        <v>337078666.66666669</v>
      </c>
      <c r="Q47">
        <v>858462248.64864874</v>
      </c>
      <c r="R47">
        <v>427434054.05405408</v>
      </c>
      <c r="S47">
        <v>34766</v>
      </c>
      <c r="T47">
        <v>23089</v>
      </c>
    </row>
    <row r="48" spans="1:20" x14ac:dyDescent="0.35">
      <c r="A48" s="7" t="s">
        <v>117</v>
      </c>
      <c r="B48" s="12" t="s">
        <v>55</v>
      </c>
      <c r="C48">
        <v>68277621.228557184</v>
      </c>
      <c r="D48">
        <v>65154135.273625895</v>
      </c>
      <c r="E48">
        <v>1343918.9189189191</v>
      </c>
      <c r="F48">
        <v>1842031.5315315321</v>
      </c>
      <c r="G48">
        <v>12</v>
      </c>
      <c r="H48">
        <v>14</v>
      </c>
      <c r="K48">
        <v>12</v>
      </c>
      <c r="L48">
        <v>16</v>
      </c>
      <c r="M48">
        <v>5556306.3063063044</v>
      </c>
      <c r="N48">
        <v>9843721.6216216218</v>
      </c>
      <c r="O48">
        <v>16513351.351351352</v>
      </c>
      <c r="P48">
        <v>15590603.603603603</v>
      </c>
      <c r="Q48">
        <v>4978018.0180180185</v>
      </c>
      <c r="R48">
        <v>9194054.0540540535</v>
      </c>
      <c r="S48">
        <v>1277</v>
      </c>
      <c r="T48">
        <v>965</v>
      </c>
    </row>
    <row r="49" spans="1:20" x14ac:dyDescent="0.35">
      <c r="A49" s="7" t="s">
        <v>119</v>
      </c>
      <c r="B49" s="12" t="s">
        <v>79</v>
      </c>
      <c r="C49">
        <v>567300765.88302565</v>
      </c>
      <c r="D49">
        <v>608063027.39188647</v>
      </c>
      <c r="E49">
        <v>415763445.04504508</v>
      </c>
      <c r="F49">
        <v>1030930297.2972972</v>
      </c>
      <c r="G49">
        <v>251</v>
      </c>
      <c r="H49">
        <v>399</v>
      </c>
      <c r="I49">
        <v>8</v>
      </c>
      <c r="K49">
        <v>340</v>
      </c>
      <c r="L49">
        <v>521</v>
      </c>
      <c r="M49">
        <v>125039639.63963963</v>
      </c>
      <c r="N49">
        <v>244125977.47747746</v>
      </c>
      <c r="O49">
        <v>228104495.94594595</v>
      </c>
      <c r="P49">
        <v>243320189.1891892</v>
      </c>
      <c r="Q49">
        <v>118885405.4054054</v>
      </c>
      <c r="R49">
        <v>238991171.17117116</v>
      </c>
      <c r="S49">
        <v>14066</v>
      </c>
      <c r="T49">
        <v>11605</v>
      </c>
    </row>
    <row r="50" spans="1:20" x14ac:dyDescent="0.35">
      <c r="A50" s="7" t="s">
        <v>120</v>
      </c>
      <c r="B50" s="12" t="s">
        <v>51</v>
      </c>
      <c r="C50">
        <v>180100384.66302136</v>
      </c>
      <c r="D50">
        <v>175217622.10790309</v>
      </c>
      <c r="E50">
        <v>4960360.3603603607</v>
      </c>
      <c r="F50">
        <v>3043948.6486486532</v>
      </c>
      <c r="G50">
        <v>61</v>
      </c>
      <c r="H50">
        <v>33</v>
      </c>
      <c r="K50">
        <v>70</v>
      </c>
      <c r="L50">
        <v>35</v>
      </c>
      <c r="M50">
        <v>106535135.13513513</v>
      </c>
      <c r="N50">
        <v>54165342.342342347</v>
      </c>
      <c r="O50">
        <v>65233909.909909911</v>
      </c>
      <c r="P50">
        <v>67396576.576576576</v>
      </c>
      <c r="Q50">
        <v>100787387.38738739</v>
      </c>
      <c r="R50">
        <v>54620450.45045045</v>
      </c>
      <c r="S50">
        <v>2680</v>
      </c>
      <c r="T50">
        <v>2769</v>
      </c>
    </row>
    <row r="51" spans="1:20" x14ac:dyDescent="0.35">
      <c r="A51" s="7" t="s">
        <v>121</v>
      </c>
      <c r="B51" s="12" t="s">
        <v>122</v>
      </c>
      <c r="C51">
        <v>603952395.90552068</v>
      </c>
      <c r="D51">
        <v>562433215.19375682</v>
      </c>
      <c r="E51">
        <v>4909459.4594594613</v>
      </c>
      <c r="F51">
        <v>4168670.2702702731</v>
      </c>
      <c r="G51">
        <v>237</v>
      </c>
      <c r="H51">
        <v>287</v>
      </c>
      <c r="K51">
        <v>265</v>
      </c>
      <c r="L51">
        <v>443</v>
      </c>
      <c r="M51">
        <v>23560360.360360362</v>
      </c>
      <c r="N51">
        <v>26390064.864864863</v>
      </c>
      <c r="O51">
        <v>50118369.369369365</v>
      </c>
      <c r="P51">
        <v>55023540.540540546</v>
      </c>
      <c r="Q51">
        <v>20585945.945945945</v>
      </c>
      <c r="R51">
        <v>24298018.018018015</v>
      </c>
      <c r="S51">
        <v>8825</v>
      </c>
      <c r="T51">
        <v>9413</v>
      </c>
    </row>
    <row r="52" spans="1:20" x14ac:dyDescent="0.35">
      <c r="A52" s="7" t="s">
        <v>123</v>
      </c>
      <c r="B52" s="12" t="s">
        <v>124</v>
      </c>
      <c r="C52">
        <v>313141334.37394959</v>
      </c>
      <c r="D52">
        <v>319336487.72903407</v>
      </c>
      <c r="E52">
        <v>1325450.4504504511</v>
      </c>
      <c r="F52">
        <v>3559337.8378378372</v>
      </c>
      <c r="G52">
        <v>52</v>
      </c>
      <c r="H52">
        <v>30</v>
      </c>
      <c r="K52">
        <v>60</v>
      </c>
      <c r="L52">
        <v>33</v>
      </c>
      <c r="M52">
        <v>64933423.423423424</v>
      </c>
      <c r="N52">
        <v>85413836.036036029</v>
      </c>
      <c r="O52">
        <v>144349418.91891891</v>
      </c>
      <c r="P52">
        <v>144876345.94594595</v>
      </c>
      <c r="Q52">
        <v>65455675.675675683</v>
      </c>
      <c r="R52">
        <v>78316706.306306303</v>
      </c>
      <c r="S52">
        <v>4919</v>
      </c>
      <c r="T52">
        <v>4390</v>
      </c>
    </row>
    <row r="53" spans="1:20" x14ac:dyDescent="0.35">
      <c r="A53" s="7" t="s">
        <v>125</v>
      </c>
      <c r="B53" s="12" t="s">
        <v>126</v>
      </c>
      <c r="C53">
        <v>414110486.61683422</v>
      </c>
      <c r="D53">
        <v>426278237.78531128</v>
      </c>
      <c r="E53">
        <v>274190507.2072072</v>
      </c>
      <c r="F53">
        <v>181041199.0990991</v>
      </c>
      <c r="G53">
        <v>109</v>
      </c>
      <c r="H53">
        <v>80</v>
      </c>
      <c r="K53">
        <v>170</v>
      </c>
      <c r="L53">
        <v>91</v>
      </c>
      <c r="M53">
        <v>117579954.95495497</v>
      </c>
      <c r="N53">
        <v>112200849.54954955</v>
      </c>
      <c r="O53">
        <v>127361390.990991</v>
      </c>
      <c r="P53">
        <v>134403454.05405405</v>
      </c>
      <c r="Q53">
        <v>113936936.93693694</v>
      </c>
      <c r="R53">
        <v>109445315.31531531</v>
      </c>
      <c r="S53">
        <v>6860</v>
      </c>
      <c r="T53">
        <v>6418</v>
      </c>
    </row>
    <row r="54" spans="1:20" x14ac:dyDescent="0.35">
      <c r="A54" s="7" t="s">
        <v>127</v>
      </c>
      <c r="B54" s="12" t="s">
        <v>79</v>
      </c>
      <c r="C54">
        <v>276361114.79143029</v>
      </c>
      <c r="D54">
        <v>266472772.04135251</v>
      </c>
      <c r="E54">
        <v>5995495.4954954982</v>
      </c>
      <c r="F54">
        <v>7296893.6936936947</v>
      </c>
      <c r="G54">
        <v>93</v>
      </c>
      <c r="H54">
        <v>61</v>
      </c>
      <c r="I54">
        <v>1</v>
      </c>
      <c r="K54">
        <v>102</v>
      </c>
      <c r="L54">
        <v>64</v>
      </c>
      <c r="M54">
        <v>49536036.036036029</v>
      </c>
      <c r="N54">
        <v>62222571.171171166</v>
      </c>
      <c r="O54">
        <v>111979639.63963965</v>
      </c>
      <c r="P54">
        <v>109134495.49549548</v>
      </c>
      <c r="Q54">
        <v>46318468.468468472</v>
      </c>
      <c r="R54">
        <v>58805225.225225225</v>
      </c>
      <c r="S54">
        <v>5456</v>
      </c>
      <c r="T54">
        <v>5475</v>
      </c>
    </row>
    <row r="55" spans="1:20" x14ac:dyDescent="0.35">
      <c r="A55" s="7" t="s">
        <v>128</v>
      </c>
      <c r="B55" s="12" t="s">
        <v>79</v>
      </c>
      <c r="C55">
        <v>45866187.109034449</v>
      </c>
      <c r="D55">
        <v>45742471.251874104</v>
      </c>
      <c r="E55">
        <v>1346846.8468468471</v>
      </c>
      <c r="F55">
        <v>1053311.7117117119</v>
      </c>
      <c r="G55">
        <v>17</v>
      </c>
      <c r="H55">
        <v>9</v>
      </c>
      <c r="K55">
        <v>21</v>
      </c>
      <c r="L55">
        <v>11</v>
      </c>
      <c r="M55">
        <v>19229729.729729727</v>
      </c>
      <c r="N55">
        <v>20423637.837837841</v>
      </c>
      <c r="O55">
        <v>26507027.02702703</v>
      </c>
      <c r="P55">
        <v>24930108.108108107</v>
      </c>
      <c r="Q55">
        <v>20913873.873873871</v>
      </c>
      <c r="R55">
        <v>16286396.396396397</v>
      </c>
      <c r="S55">
        <v>1426</v>
      </c>
      <c r="T55">
        <v>1106</v>
      </c>
    </row>
    <row r="56" spans="1:20" x14ac:dyDescent="0.35">
      <c r="A56" s="7" t="s">
        <v>129</v>
      </c>
      <c r="B56" s="12" t="s">
        <v>79</v>
      </c>
      <c r="C56">
        <v>263245252.43793488</v>
      </c>
      <c r="D56">
        <v>264024624.98681962</v>
      </c>
      <c r="E56">
        <v>3153828.8288288321</v>
      </c>
      <c r="F56">
        <v>4287387.3873873893</v>
      </c>
      <c r="G56">
        <v>209</v>
      </c>
      <c r="H56">
        <v>89</v>
      </c>
      <c r="K56">
        <v>243</v>
      </c>
      <c r="L56">
        <v>147</v>
      </c>
      <c r="M56">
        <v>34454954.954954959</v>
      </c>
      <c r="N56">
        <v>47153603.603603609</v>
      </c>
      <c r="O56">
        <v>100666277.47747748</v>
      </c>
      <c r="P56">
        <v>106978684.68468469</v>
      </c>
      <c r="Q56">
        <v>33114504.504504506</v>
      </c>
      <c r="R56">
        <v>45678108.108108111</v>
      </c>
      <c r="S56">
        <v>6247</v>
      </c>
      <c r="T56">
        <v>6068</v>
      </c>
    </row>
    <row r="57" spans="1:20" x14ac:dyDescent="0.35">
      <c r="A57" s="7" t="s">
        <v>669</v>
      </c>
      <c r="B57" s="12" t="s">
        <v>95</v>
      </c>
      <c r="E57">
        <v>68840090.090090081</v>
      </c>
      <c r="F57">
        <v>93378378.378378391</v>
      </c>
      <c r="M57">
        <v>13302702.702702705</v>
      </c>
      <c r="N57">
        <v>5758108.1081081079</v>
      </c>
    </row>
    <row r="58" spans="1:20" x14ac:dyDescent="0.35">
      <c r="A58" s="7" t="s">
        <v>130</v>
      </c>
      <c r="B58" s="12" t="s">
        <v>86</v>
      </c>
      <c r="C58">
        <v>77817700.611892179</v>
      </c>
      <c r="D58">
        <v>81150109.679047585</v>
      </c>
      <c r="E58">
        <v>212612.612612614</v>
      </c>
      <c r="F58">
        <v>750183.78378378495</v>
      </c>
      <c r="G58">
        <v>16</v>
      </c>
      <c r="H58">
        <v>55</v>
      </c>
      <c r="K58">
        <v>18</v>
      </c>
      <c r="L58">
        <v>59</v>
      </c>
      <c r="M58">
        <v>93253783.783783793</v>
      </c>
      <c r="N58">
        <v>79629733.333333328</v>
      </c>
      <c r="O58">
        <v>36323945.945945941</v>
      </c>
      <c r="P58">
        <v>44684270.270270273</v>
      </c>
      <c r="Q58">
        <v>73929459.459459454</v>
      </c>
      <c r="R58">
        <v>72350090.090090096</v>
      </c>
      <c r="S58">
        <v>1388</v>
      </c>
      <c r="T58">
        <v>1189</v>
      </c>
    </row>
    <row r="59" spans="1:20" x14ac:dyDescent="0.35">
      <c r="A59" s="7" t="s">
        <v>131</v>
      </c>
      <c r="B59" s="12" t="s">
        <v>90</v>
      </c>
      <c r="C59">
        <v>720909916.3053931</v>
      </c>
      <c r="D59">
        <v>711352428.49726152</v>
      </c>
      <c r="E59">
        <v>4977927.9279279336</v>
      </c>
      <c r="F59">
        <v>10910007.207207214</v>
      </c>
      <c r="G59">
        <v>87</v>
      </c>
      <c r="H59">
        <v>118</v>
      </c>
      <c r="K59">
        <v>117</v>
      </c>
      <c r="L59">
        <v>140</v>
      </c>
      <c r="M59">
        <v>73636846.846846849</v>
      </c>
      <c r="N59">
        <v>88145545.945945948</v>
      </c>
      <c r="O59">
        <v>224389401.8018018</v>
      </c>
      <c r="P59">
        <v>229425747.74774775</v>
      </c>
      <c r="Q59">
        <v>72859545.945945933</v>
      </c>
      <c r="R59">
        <v>83591621.621621609</v>
      </c>
      <c r="S59">
        <v>12661</v>
      </c>
      <c r="T59">
        <v>11839</v>
      </c>
    </row>
    <row r="60" spans="1:20" x14ac:dyDescent="0.35">
      <c r="A60" s="7" t="s">
        <v>132</v>
      </c>
      <c r="B60" s="12" t="s">
        <v>133</v>
      </c>
      <c r="C60">
        <v>397214955.4265312</v>
      </c>
      <c r="D60">
        <v>378272409.5119037</v>
      </c>
      <c r="E60">
        <v>76693217.117117122</v>
      </c>
      <c r="F60">
        <v>108343890.0900901</v>
      </c>
      <c r="G60">
        <v>227</v>
      </c>
      <c r="H60">
        <v>157</v>
      </c>
      <c r="K60">
        <v>235</v>
      </c>
      <c r="L60">
        <v>167</v>
      </c>
      <c r="M60">
        <v>45047972.972972974</v>
      </c>
      <c r="N60">
        <v>73810189.189189181</v>
      </c>
      <c r="O60">
        <v>125076689.63963965</v>
      </c>
      <c r="P60">
        <v>126847405.4054054</v>
      </c>
      <c r="Q60">
        <v>34990450.450450458</v>
      </c>
      <c r="R60">
        <v>57683333.333333328</v>
      </c>
      <c r="S60">
        <v>6853</v>
      </c>
      <c r="T60">
        <v>7274</v>
      </c>
    </row>
    <row r="61" spans="1:20" x14ac:dyDescent="0.35">
      <c r="A61" s="7" t="s">
        <v>134</v>
      </c>
      <c r="B61" s="12" t="s">
        <v>135</v>
      </c>
      <c r="C61">
        <v>46891491.451778509</v>
      </c>
      <c r="D61">
        <v>64127280.760079429</v>
      </c>
      <c r="G61">
        <v>3</v>
      </c>
      <c r="H61">
        <v>4</v>
      </c>
      <c r="K61">
        <v>3</v>
      </c>
      <c r="L61">
        <v>6</v>
      </c>
      <c r="O61">
        <v>7317376.5765765756</v>
      </c>
      <c r="P61">
        <v>10210819.819819819</v>
      </c>
      <c r="S61">
        <v>2368</v>
      </c>
      <c r="T61">
        <v>2180</v>
      </c>
    </row>
    <row r="62" spans="1:20" x14ac:dyDescent="0.35">
      <c r="A62" s="7" t="s">
        <v>136</v>
      </c>
      <c r="B62" s="12" t="s">
        <v>137</v>
      </c>
      <c r="C62">
        <v>319199070.66517025</v>
      </c>
      <c r="D62">
        <v>317222318.42637146</v>
      </c>
      <c r="E62">
        <v>1053153.1531531559</v>
      </c>
      <c r="F62">
        <v>2187872.0720720738</v>
      </c>
      <c r="G62">
        <v>86</v>
      </c>
      <c r="H62">
        <v>72</v>
      </c>
      <c r="I62">
        <v>4</v>
      </c>
      <c r="K62">
        <v>89</v>
      </c>
      <c r="L62">
        <v>75</v>
      </c>
      <c r="M62">
        <v>27134234.234234236</v>
      </c>
      <c r="N62">
        <v>32477994.594594598</v>
      </c>
      <c r="O62">
        <v>49385333.333333336</v>
      </c>
      <c r="P62">
        <v>56941286.486486487</v>
      </c>
      <c r="Q62">
        <v>23257117.117117114</v>
      </c>
      <c r="R62">
        <v>27348918.918918919</v>
      </c>
      <c r="S62">
        <v>3903</v>
      </c>
      <c r="T62">
        <v>3462</v>
      </c>
    </row>
    <row r="63" spans="1:20" x14ac:dyDescent="0.35">
      <c r="A63" s="7" t="s">
        <v>138</v>
      </c>
      <c r="B63" s="12" t="s">
        <v>90</v>
      </c>
      <c r="C63">
        <v>356552033.11888152</v>
      </c>
      <c r="D63">
        <v>362666306.32242763</v>
      </c>
      <c r="E63">
        <v>4910585.5855855914</v>
      </c>
      <c r="F63">
        <v>7104241.441441441</v>
      </c>
      <c r="G63">
        <v>132</v>
      </c>
      <c r="H63">
        <v>48</v>
      </c>
      <c r="I63">
        <v>10</v>
      </c>
      <c r="K63">
        <v>296</v>
      </c>
      <c r="L63">
        <v>107</v>
      </c>
      <c r="M63">
        <v>63334504.504504502</v>
      </c>
      <c r="N63">
        <v>86806616.216216207</v>
      </c>
      <c r="O63">
        <v>127762349.54954955</v>
      </c>
      <c r="P63">
        <v>132863108.10810812</v>
      </c>
      <c r="Q63">
        <v>56588018.018018015</v>
      </c>
      <c r="R63">
        <v>89508918.918918908</v>
      </c>
      <c r="S63">
        <v>5066</v>
      </c>
      <c r="T63">
        <v>4743</v>
      </c>
    </row>
    <row r="64" spans="1:20" x14ac:dyDescent="0.35">
      <c r="A64" s="7" t="s">
        <v>139</v>
      </c>
      <c r="B64" s="12" t="s">
        <v>79</v>
      </c>
      <c r="C64">
        <v>255806664.98785052</v>
      </c>
      <c r="D64">
        <v>256213279.41689026</v>
      </c>
      <c r="E64">
        <v>91894594.594594598</v>
      </c>
      <c r="F64">
        <v>221503258.55855855</v>
      </c>
      <c r="G64">
        <v>146</v>
      </c>
      <c r="H64">
        <v>119</v>
      </c>
      <c r="I64">
        <v>6</v>
      </c>
      <c r="K64">
        <v>169</v>
      </c>
      <c r="L64">
        <v>126</v>
      </c>
      <c r="M64">
        <v>36124324.324324317</v>
      </c>
      <c r="N64">
        <v>50823558.558558561</v>
      </c>
      <c r="O64">
        <v>109300966.21621621</v>
      </c>
      <c r="P64">
        <v>112394009.009009</v>
      </c>
      <c r="Q64">
        <v>35892162.162162162</v>
      </c>
      <c r="R64">
        <v>42707117.117117122</v>
      </c>
      <c r="S64">
        <v>5695</v>
      </c>
      <c r="T64">
        <v>5618</v>
      </c>
    </row>
    <row r="65" spans="1:20" x14ac:dyDescent="0.35">
      <c r="A65" s="7" t="s">
        <v>140</v>
      </c>
      <c r="B65" s="12" t="s">
        <v>141</v>
      </c>
      <c r="C65">
        <v>354181617.87168026</v>
      </c>
      <c r="D65">
        <v>384694291.55053419</v>
      </c>
      <c r="E65">
        <v>3605405.4054054059</v>
      </c>
      <c r="F65">
        <v>4764599.9999999981</v>
      </c>
      <c r="G65">
        <v>29</v>
      </c>
      <c r="H65">
        <v>19</v>
      </c>
      <c r="K65">
        <v>31</v>
      </c>
      <c r="L65">
        <v>35</v>
      </c>
      <c r="M65">
        <v>34003423.423423424</v>
      </c>
      <c r="N65">
        <v>39221541.441441439</v>
      </c>
      <c r="O65">
        <v>62861117.117117122</v>
      </c>
      <c r="P65">
        <v>69637472.072072074</v>
      </c>
      <c r="Q65">
        <v>29824684.684684683</v>
      </c>
      <c r="R65">
        <v>30957657.657657661</v>
      </c>
      <c r="S65">
        <v>5737</v>
      </c>
      <c r="T65">
        <v>4470</v>
      </c>
    </row>
    <row r="66" spans="1:20" x14ac:dyDescent="0.35">
      <c r="A66" s="7" t="s">
        <v>142</v>
      </c>
      <c r="B66" s="12" t="s">
        <v>63</v>
      </c>
      <c r="C66">
        <v>234064958.41774899</v>
      </c>
      <c r="D66">
        <v>245382631.55555376</v>
      </c>
      <c r="E66">
        <v>3523398.1981981979</v>
      </c>
      <c r="F66">
        <v>10121818.01801802</v>
      </c>
      <c r="G66">
        <v>149</v>
      </c>
      <c r="H66">
        <v>49</v>
      </c>
      <c r="I66">
        <v>5</v>
      </c>
      <c r="K66">
        <v>167</v>
      </c>
      <c r="L66">
        <v>81</v>
      </c>
      <c r="M66">
        <v>120833956.75675675</v>
      </c>
      <c r="N66">
        <v>268336494.5945946</v>
      </c>
      <c r="O66">
        <v>52117603.603603609</v>
      </c>
      <c r="P66">
        <v>55571297.297297299</v>
      </c>
      <c r="Q66">
        <v>123091801.80180179</v>
      </c>
      <c r="R66">
        <v>273154954.95495492</v>
      </c>
      <c r="S66">
        <v>4340</v>
      </c>
      <c r="T66">
        <v>3915</v>
      </c>
    </row>
    <row r="67" spans="1:20" x14ac:dyDescent="0.35">
      <c r="A67" s="7" t="s">
        <v>143</v>
      </c>
      <c r="B67" s="12" t="s">
        <v>144</v>
      </c>
      <c r="C67">
        <v>2481058.7949541258</v>
      </c>
      <c r="D67">
        <v>2495920.8192756348</v>
      </c>
      <c r="G67">
        <v>1</v>
      </c>
      <c r="K67">
        <v>1</v>
      </c>
      <c r="O67">
        <v>164504.50450450499</v>
      </c>
      <c r="P67">
        <v>284279.279279279</v>
      </c>
      <c r="S67">
        <v>329</v>
      </c>
      <c r="T67">
        <v>125</v>
      </c>
    </row>
    <row r="68" spans="1:20" x14ac:dyDescent="0.35">
      <c r="A68" s="7" t="s">
        <v>145</v>
      </c>
      <c r="B68" s="12" t="s">
        <v>141</v>
      </c>
      <c r="C68">
        <v>498122681.22036457</v>
      </c>
      <c r="D68">
        <v>502089866.2526418</v>
      </c>
      <c r="E68">
        <v>113411891.89189188</v>
      </c>
      <c r="F68">
        <v>174552397.2972973</v>
      </c>
      <c r="G68">
        <v>132</v>
      </c>
      <c r="H68">
        <v>66</v>
      </c>
      <c r="K68">
        <v>151</v>
      </c>
      <c r="L68">
        <v>81</v>
      </c>
      <c r="M68">
        <v>57556666.666666664</v>
      </c>
      <c r="N68">
        <v>64678026.126126125</v>
      </c>
      <c r="O68">
        <v>93333936.93693693</v>
      </c>
      <c r="P68">
        <v>100060387.38738739</v>
      </c>
      <c r="Q68">
        <v>53702702.702702701</v>
      </c>
      <c r="R68">
        <v>61328018.018018015</v>
      </c>
      <c r="S68">
        <v>8040</v>
      </c>
      <c r="T68">
        <v>7711</v>
      </c>
    </row>
    <row r="69" spans="1:20" x14ac:dyDescent="0.35">
      <c r="A69" s="7" t="s">
        <v>146</v>
      </c>
      <c r="B69" s="12" t="s">
        <v>79</v>
      </c>
      <c r="C69">
        <v>357568679.04681998</v>
      </c>
      <c r="D69">
        <v>358565864.95021427</v>
      </c>
      <c r="E69">
        <v>4614414.4144144161</v>
      </c>
      <c r="F69">
        <v>4975115.3153153174</v>
      </c>
      <c r="G69">
        <v>109</v>
      </c>
      <c r="H69">
        <v>108</v>
      </c>
      <c r="K69">
        <v>120</v>
      </c>
      <c r="L69">
        <v>120</v>
      </c>
      <c r="M69">
        <v>34374774.774774775</v>
      </c>
      <c r="N69">
        <v>44339381.081081077</v>
      </c>
      <c r="O69">
        <v>101340261.26126127</v>
      </c>
      <c r="P69">
        <v>105056845.04504503</v>
      </c>
      <c r="Q69">
        <v>35080720.720720716</v>
      </c>
      <c r="R69">
        <v>40406666.666666664</v>
      </c>
      <c r="S69">
        <v>6771</v>
      </c>
      <c r="T69">
        <v>6672</v>
      </c>
    </row>
    <row r="70" spans="1:20" x14ac:dyDescent="0.35">
      <c r="A70" s="7" t="s">
        <v>147</v>
      </c>
      <c r="B70" s="12" t="s">
        <v>148</v>
      </c>
      <c r="C70">
        <v>234432456.08686075</v>
      </c>
      <c r="D70">
        <v>227660263.96966752</v>
      </c>
      <c r="E70">
        <v>5445045.0450450471</v>
      </c>
      <c r="F70">
        <v>4607145.9459459493</v>
      </c>
      <c r="G70">
        <v>48</v>
      </c>
      <c r="H70">
        <v>33</v>
      </c>
      <c r="K70">
        <v>52</v>
      </c>
      <c r="L70">
        <v>36</v>
      </c>
      <c r="M70">
        <v>88161795.495495483</v>
      </c>
      <c r="N70">
        <v>81458257.657657668</v>
      </c>
      <c r="O70">
        <v>73906729.729729727</v>
      </c>
      <c r="P70">
        <v>74107007.207207203</v>
      </c>
      <c r="Q70">
        <v>85729819.819819823</v>
      </c>
      <c r="R70">
        <v>79834504.504504517</v>
      </c>
      <c r="S70">
        <v>4256</v>
      </c>
      <c r="T70">
        <v>3663</v>
      </c>
    </row>
    <row r="71" spans="1:20" x14ac:dyDescent="0.35">
      <c r="A71" s="7" t="s">
        <v>149</v>
      </c>
      <c r="B71" s="12" t="s">
        <v>95</v>
      </c>
      <c r="C71">
        <v>17.531949365999999</v>
      </c>
      <c r="D71">
        <v>40.857157723</v>
      </c>
    </row>
    <row r="72" spans="1:20" x14ac:dyDescent="0.35">
      <c r="A72" s="7" t="s">
        <v>150</v>
      </c>
      <c r="B72" s="12" t="s">
        <v>51</v>
      </c>
      <c r="C72">
        <v>208550789.59260252</v>
      </c>
      <c r="D72">
        <v>207014881.76076835</v>
      </c>
      <c r="E72">
        <v>875675.67567567702</v>
      </c>
      <c r="F72">
        <v>1505087.3873873909</v>
      </c>
      <c r="G72">
        <v>65</v>
      </c>
      <c r="H72">
        <v>34</v>
      </c>
      <c r="I72">
        <v>1</v>
      </c>
      <c r="K72">
        <v>67</v>
      </c>
      <c r="L72">
        <v>37</v>
      </c>
      <c r="M72">
        <v>12725675.675675675</v>
      </c>
      <c r="N72">
        <v>119149869.36936937</v>
      </c>
      <c r="O72">
        <v>92645225.225225225</v>
      </c>
      <c r="P72">
        <v>94934756.756756753</v>
      </c>
      <c r="Q72">
        <v>12363693.693693692</v>
      </c>
      <c r="R72">
        <v>118538378.37837839</v>
      </c>
      <c r="S72">
        <v>3706</v>
      </c>
      <c r="T72">
        <v>2696</v>
      </c>
    </row>
    <row r="73" spans="1:20" x14ac:dyDescent="0.35">
      <c r="A73" s="7" t="s">
        <v>151</v>
      </c>
      <c r="B73" s="12" t="s">
        <v>152</v>
      </c>
      <c r="C73">
        <v>63249802.535897113</v>
      </c>
      <c r="D73">
        <v>58558912.66562736</v>
      </c>
      <c r="E73">
        <v>832297689.1891892</v>
      </c>
      <c r="F73">
        <v>567333336.03603601</v>
      </c>
      <c r="G73">
        <v>12</v>
      </c>
      <c r="H73">
        <v>7</v>
      </c>
      <c r="K73">
        <v>14</v>
      </c>
      <c r="L73">
        <v>7</v>
      </c>
      <c r="M73">
        <v>110519594.5945946</v>
      </c>
      <c r="N73">
        <v>68206306.306306303</v>
      </c>
      <c r="O73">
        <v>17639765.765765768</v>
      </c>
      <c r="P73">
        <v>16604225.225225225</v>
      </c>
      <c r="Q73">
        <v>28027387.387387387</v>
      </c>
      <c r="R73">
        <v>33280540.540540539</v>
      </c>
      <c r="S73">
        <v>1056</v>
      </c>
      <c r="T73">
        <v>722</v>
      </c>
    </row>
    <row r="74" spans="1:20" x14ac:dyDescent="0.35">
      <c r="A74" s="7" t="s">
        <v>153</v>
      </c>
      <c r="B74" s="12" t="s">
        <v>152</v>
      </c>
      <c r="C74">
        <v>615494823.26739252</v>
      </c>
      <c r="D74">
        <v>595938577.66804171</v>
      </c>
      <c r="E74">
        <v>9079954.9549549483</v>
      </c>
      <c r="F74">
        <v>8254602.7027027067</v>
      </c>
      <c r="G74">
        <v>343</v>
      </c>
      <c r="H74">
        <v>230</v>
      </c>
      <c r="I74">
        <v>2</v>
      </c>
      <c r="K74">
        <v>358</v>
      </c>
      <c r="L74">
        <v>273</v>
      </c>
      <c r="M74">
        <v>406282954.95495492</v>
      </c>
      <c r="N74">
        <v>427772860.36036038</v>
      </c>
      <c r="O74">
        <v>218987558.55855855</v>
      </c>
      <c r="P74">
        <v>217678531.53153151</v>
      </c>
      <c r="Q74">
        <v>333587960.36036038</v>
      </c>
      <c r="R74">
        <v>338220176.57657659</v>
      </c>
      <c r="S74">
        <v>9357</v>
      </c>
      <c r="T74">
        <v>7886</v>
      </c>
    </row>
    <row r="75" spans="1:20" x14ac:dyDescent="0.35">
      <c r="A75" s="7" t="s">
        <v>154</v>
      </c>
      <c r="B75" s="12" t="s">
        <v>155</v>
      </c>
      <c r="C75">
        <v>512766693.91059375</v>
      </c>
      <c r="D75">
        <v>505834035.48198175</v>
      </c>
      <c r="E75">
        <v>765540.54054054304</v>
      </c>
      <c r="F75">
        <v>2614442.3423423469</v>
      </c>
      <c r="G75">
        <v>71</v>
      </c>
      <c r="H75">
        <v>47</v>
      </c>
      <c r="K75">
        <v>79</v>
      </c>
      <c r="L75">
        <v>57</v>
      </c>
      <c r="M75">
        <v>72201801.801801801</v>
      </c>
      <c r="N75">
        <v>98220940.540540546</v>
      </c>
      <c r="O75">
        <v>220602279.27927929</v>
      </c>
      <c r="P75">
        <v>226923126.12612611</v>
      </c>
      <c r="Q75">
        <v>68494954.954954952</v>
      </c>
      <c r="R75">
        <v>97091351.351351351</v>
      </c>
      <c r="S75">
        <v>7782</v>
      </c>
      <c r="T75">
        <v>7096</v>
      </c>
    </row>
    <row r="76" spans="1:20" x14ac:dyDescent="0.35">
      <c r="A76" s="7" t="s">
        <v>156</v>
      </c>
      <c r="B76" s="12" t="s">
        <v>155</v>
      </c>
      <c r="C76">
        <v>54870116.993908301</v>
      </c>
      <c r="D76">
        <v>63236281.941242173</v>
      </c>
      <c r="E76">
        <v>244144.144144144</v>
      </c>
      <c r="F76">
        <v>1691666.666666666</v>
      </c>
      <c r="G76">
        <v>14</v>
      </c>
      <c r="H76">
        <v>9</v>
      </c>
      <c r="K76">
        <v>16</v>
      </c>
      <c r="L76">
        <v>9</v>
      </c>
      <c r="M76">
        <v>5353153.1531531531</v>
      </c>
      <c r="N76">
        <v>24268468.468468469</v>
      </c>
      <c r="O76">
        <v>14230846.846846847</v>
      </c>
      <c r="P76">
        <v>19012234.234234236</v>
      </c>
      <c r="Q76">
        <v>4678018.0180180185</v>
      </c>
      <c r="R76">
        <v>26393423.423423424</v>
      </c>
      <c r="S76">
        <v>2087</v>
      </c>
      <c r="T76">
        <v>2282</v>
      </c>
    </row>
    <row r="77" spans="1:20" x14ac:dyDescent="0.35">
      <c r="A77" s="7" t="s">
        <v>157</v>
      </c>
      <c r="B77" s="12" t="s">
        <v>155</v>
      </c>
      <c r="C77">
        <v>605985057.95078421</v>
      </c>
      <c r="D77">
        <v>578072787.05344307</v>
      </c>
      <c r="E77">
        <v>376915887.38738739</v>
      </c>
      <c r="F77">
        <v>432636058.55855858</v>
      </c>
      <c r="G77">
        <v>67</v>
      </c>
      <c r="H77">
        <v>66</v>
      </c>
      <c r="K77">
        <v>156</v>
      </c>
      <c r="L77">
        <v>216</v>
      </c>
      <c r="M77">
        <v>144321621.62162164</v>
      </c>
      <c r="N77">
        <v>248719061.26126125</v>
      </c>
      <c r="O77">
        <v>235574702.7027027</v>
      </c>
      <c r="P77">
        <v>246459270.27027026</v>
      </c>
      <c r="Q77">
        <v>127983423.42342342</v>
      </c>
      <c r="R77">
        <v>212162072.07207206</v>
      </c>
      <c r="S77">
        <v>8289</v>
      </c>
      <c r="T77">
        <v>7892</v>
      </c>
    </row>
    <row r="78" spans="1:20" x14ac:dyDescent="0.35">
      <c r="A78" s="7" t="s">
        <v>158</v>
      </c>
      <c r="B78" s="12" t="s">
        <v>135</v>
      </c>
      <c r="C78">
        <v>276667571.14864993</v>
      </c>
      <c r="D78">
        <v>265222688.60166135</v>
      </c>
      <c r="E78">
        <v>1407207.207207209</v>
      </c>
      <c r="F78">
        <v>3057486.486486489</v>
      </c>
      <c r="G78">
        <v>52</v>
      </c>
      <c r="H78">
        <v>64</v>
      </c>
      <c r="K78">
        <v>57</v>
      </c>
      <c r="L78">
        <v>103</v>
      </c>
      <c r="M78">
        <v>34150458.558558561</v>
      </c>
      <c r="N78">
        <v>30104039.639639638</v>
      </c>
      <c r="O78">
        <v>27289000</v>
      </c>
      <c r="P78">
        <v>29019585.585585583</v>
      </c>
      <c r="Q78">
        <v>17259459.459459461</v>
      </c>
      <c r="R78">
        <v>17097657.657657657</v>
      </c>
      <c r="S78">
        <v>4870</v>
      </c>
      <c r="T78">
        <v>4466</v>
      </c>
    </row>
    <row r="79" spans="1:20" x14ac:dyDescent="0.35">
      <c r="A79" s="7" t="s">
        <v>1</v>
      </c>
      <c r="B79" s="12" t="s">
        <v>159</v>
      </c>
      <c r="C79">
        <v>498644374.44701076</v>
      </c>
      <c r="D79">
        <v>493665824.44792265</v>
      </c>
      <c r="E79">
        <v>5154054.0540540526</v>
      </c>
      <c r="F79">
        <v>8844654.0540540516</v>
      </c>
      <c r="G79">
        <v>340</v>
      </c>
      <c r="H79">
        <v>100</v>
      </c>
      <c r="I79">
        <v>1</v>
      </c>
      <c r="K79">
        <v>529</v>
      </c>
      <c r="L79">
        <v>413</v>
      </c>
      <c r="M79">
        <v>58635045.045045048</v>
      </c>
      <c r="N79">
        <v>112638270.27027027</v>
      </c>
      <c r="O79">
        <v>238093000</v>
      </c>
      <c r="P79">
        <v>240797189.1891892</v>
      </c>
      <c r="Q79">
        <v>54047927.927927926</v>
      </c>
      <c r="R79">
        <v>113373063.06306307</v>
      </c>
      <c r="S79">
        <v>9435</v>
      </c>
      <c r="T79">
        <v>7961</v>
      </c>
    </row>
    <row r="80" spans="1:20" x14ac:dyDescent="0.35">
      <c r="A80" s="7" t="s">
        <v>160</v>
      </c>
      <c r="B80" s="12" t="s">
        <v>122</v>
      </c>
      <c r="C80">
        <v>18425760.911895044</v>
      </c>
      <c r="D80">
        <v>15998329.041980056</v>
      </c>
      <c r="F80">
        <v>1696454.054054054</v>
      </c>
      <c r="G80">
        <v>8</v>
      </c>
      <c r="H80">
        <v>11</v>
      </c>
      <c r="K80">
        <v>8</v>
      </c>
      <c r="L80">
        <v>12</v>
      </c>
      <c r="M80">
        <v>3448218.9189189188</v>
      </c>
      <c r="O80">
        <v>1768963.963963964</v>
      </c>
      <c r="P80">
        <v>1876666.666666667</v>
      </c>
      <c r="Q80">
        <v>96396.396396395998</v>
      </c>
      <c r="R80">
        <v>116216.21621621599</v>
      </c>
      <c r="S80">
        <v>648</v>
      </c>
      <c r="T80">
        <v>506</v>
      </c>
    </row>
    <row r="81" spans="1:20" x14ac:dyDescent="0.35">
      <c r="A81" s="7" t="s">
        <v>161</v>
      </c>
      <c r="B81" s="12" t="s">
        <v>162</v>
      </c>
      <c r="C81">
        <v>263889479.86686435</v>
      </c>
      <c r="D81">
        <v>275000331.87034172</v>
      </c>
      <c r="E81">
        <v>7147747.7477477519</v>
      </c>
      <c r="F81">
        <v>6161336.9369369466</v>
      </c>
      <c r="G81">
        <v>190</v>
      </c>
      <c r="H81">
        <v>326</v>
      </c>
      <c r="K81">
        <v>282</v>
      </c>
      <c r="L81">
        <v>527</v>
      </c>
      <c r="M81">
        <v>115790386.48648648</v>
      </c>
      <c r="N81">
        <v>128313586.48648649</v>
      </c>
      <c r="O81">
        <v>114879171.17117117</v>
      </c>
      <c r="P81">
        <v>122107511.7117117</v>
      </c>
      <c r="Q81">
        <v>113951261.26126127</v>
      </c>
      <c r="R81">
        <v>126525900.9009009</v>
      </c>
      <c r="S81">
        <v>16262</v>
      </c>
      <c r="T81">
        <v>5968</v>
      </c>
    </row>
    <row r="82" spans="1:20" x14ac:dyDescent="0.35">
      <c r="A82" s="7" t="s">
        <v>163</v>
      </c>
      <c r="B82" s="12" t="s">
        <v>77</v>
      </c>
      <c r="C82">
        <v>118751301.14776324</v>
      </c>
      <c r="D82">
        <v>123980239.4627583</v>
      </c>
      <c r="E82">
        <v>372072.072072073</v>
      </c>
      <c r="F82">
        <v>229729.72972973</v>
      </c>
      <c r="G82">
        <v>50</v>
      </c>
      <c r="H82">
        <v>17</v>
      </c>
      <c r="K82">
        <v>53</v>
      </c>
      <c r="L82">
        <v>17</v>
      </c>
      <c r="M82">
        <v>1696396.3963963969</v>
      </c>
      <c r="N82">
        <v>1755855.8558558561</v>
      </c>
      <c r="O82">
        <v>6695117.1171171172</v>
      </c>
      <c r="P82">
        <v>6253027.0270270268</v>
      </c>
      <c r="Q82">
        <v>1610180.1801801799</v>
      </c>
      <c r="R82">
        <v>1825675.675675675</v>
      </c>
      <c r="S82">
        <v>1052</v>
      </c>
      <c r="T82">
        <v>914</v>
      </c>
    </row>
    <row r="83" spans="1:20" x14ac:dyDescent="0.35">
      <c r="A83" s="7" t="s">
        <v>164</v>
      </c>
      <c r="B83" s="12" t="s">
        <v>53</v>
      </c>
      <c r="C83">
        <v>93240578.464181945</v>
      </c>
      <c r="D83">
        <v>86820241.088737577</v>
      </c>
      <c r="E83">
        <v>1405405.4054054059</v>
      </c>
      <c r="F83">
        <v>1701890.9909909919</v>
      </c>
      <c r="G83">
        <v>27</v>
      </c>
      <c r="H83">
        <v>17</v>
      </c>
      <c r="K83">
        <v>29</v>
      </c>
      <c r="L83">
        <v>24</v>
      </c>
      <c r="M83">
        <v>1712072.0720720729</v>
      </c>
      <c r="N83">
        <v>4545461.2612612611</v>
      </c>
      <c r="O83">
        <v>45758108.108108111</v>
      </c>
      <c r="P83">
        <v>40173369.369369365</v>
      </c>
      <c r="Q83">
        <v>1873243.243243244</v>
      </c>
      <c r="R83">
        <v>4245855.8558558561</v>
      </c>
      <c r="S83">
        <v>2668</v>
      </c>
      <c r="T83">
        <v>1728</v>
      </c>
    </row>
    <row r="84" spans="1:20" x14ac:dyDescent="0.35">
      <c r="A84" s="7" t="s">
        <v>165</v>
      </c>
      <c r="B84" s="12" t="s">
        <v>88</v>
      </c>
      <c r="C84">
        <v>51913380.780574448</v>
      </c>
      <c r="D84">
        <v>63708570.872845143</v>
      </c>
      <c r="E84">
        <v>550450.450450451</v>
      </c>
      <c r="F84">
        <v>147072.07207207099</v>
      </c>
      <c r="G84">
        <v>18</v>
      </c>
      <c r="H84">
        <v>19</v>
      </c>
      <c r="K84">
        <v>19</v>
      </c>
      <c r="L84">
        <v>21</v>
      </c>
      <c r="M84">
        <v>3797297.297297297</v>
      </c>
      <c r="N84">
        <v>2056756.7567567581</v>
      </c>
      <c r="O84">
        <v>5337342.3423423423</v>
      </c>
      <c r="P84">
        <v>9280639.6396396402</v>
      </c>
      <c r="Q84">
        <v>3234324.3243243238</v>
      </c>
      <c r="R84">
        <v>2046126.1261261271</v>
      </c>
      <c r="S84">
        <v>1238</v>
      </c>
      <c r="T84">
        <v>1179</v>
      </c>
    </row>
    <row r="85" spans="1:20" x14ac:dyDescent="0.35">
      <c r="A85" s="7" t="s">
        <v>166</v>
      </c>
      <c r="B85" s="12" t="s">
        <v>144</v>
      </c>
      <c r="C85">
        <v>15873055.694079384</v>
      </c>
      <c r="D85">
        <v>15484413.324117564</v>
      </c>
      <c r="E85">
        <v>108115709.009009</v>
      </c>
      <c r="F85">
        <v>142653027.02702701</v>
      </c>
      <c r="G85">
        <v>10</v>
      </c>
      <c r="K85">
        <v>10</v>
      </c>
      <c r="M85">
        <v>34653153.153153151</v>
      </c>
      <c r="N85">
        <v>29601575.675675675</v>
      </c>
      <c r="O85">
        <v>1967225.2252252251</v>
      </c>
      <c r="P85">
        <v>1687018.018018018</v>
      </c>
      <c r="Q85">
        <v>937477.47747747705</v>
      </c>
      <c r="R85">
        <v>962972.97297297302</v>
      </c>
      <c r="S85">
        <v>382</v>
      </c>
      <c r="T85">
        <v>339</v>
      </c>
    </row>
    <row r="86" spans="1:20" x14ac:dyDescent="0.35">
      <c r="A86" s="7" t="s">
        <v>167</v>
      </c>
      <c r="B86" s="12" t="s">
        <v>168</v>
      </c>
      <c r="C86">
        <v>62903885.174403727</v>
      </c>
      <c r="D86">
        <v>59098187.075756691</v>
      </c>
      <c r="E86">
        <v>854054.05405405397</v>
      </c>
      <c r="F86">
        <v>3028828.8288288289</v>
      </c>
      <c r="G86">
        <v>20</v>
      </c>
      <c r="H86">
        <v>12</v>
      </c>
      <c r="K86">
        <v>21</v>
      </c>
      <c r="L86">
        <v>14</v>
      </c>
      <c r="M86">
        <v>9165315.3153153155</v>
      </c>
      <c r="N86">
        <v>9682882.8828828838</v>
      </c>
      <c r="O86">
        <v>30333160.360360362</v>
      </c>
      <c r="P86">
        <v>31694324.324324325</v>
      </c>
      <c r="Q86">
        <v>6831081.0810810812</v>
      </c>
      <c r="R86">
        <v>7491621.6216216218</v>
      </c>
      <c r="S86">
        <v>1414</v>
      </c>
      <c r="T86">
        <v>1304</v>
      </c>
    </row>
    <row r="87" spans="1:20" x14ac:dyDescent="0.35">
      <c r="A87" s="7" t="s">
        <v>169</v>
      </c>
      <c r="B87" s="12" t="s">
        <v>170</v>
      </c>
      <c r="C87">
        <v>302471604.82484889</v>
      </c>
      <c r="D87">
        <v>314357470.57563341</v>
      </c>
      <c r="E87">
        <v>1903603.6036036031</v>
      </c>
      <c r="F87">
        <v>4708254.9549549557</v>
      </c>
      <c r="G87">
        <v>61</v>
      </c>
      <c r="H87">
        <v>52</v>
      </c>
      <c r="K87">
        <v>66</v>
      </c>
      <c r="L87">
        <v>57</v>
      </c>
      <c r="M87">
        <v>42562419.819819815</v>
      </c>
      <c r="N87">
        <v>66822772.072072074</v>
      </c>
      <c r="O87">
        <v>91649114.864864871</v>
      </c>
      <c r="P87">
        <v>102548567.56756757</v>
      </c>
      <c r="Q87">
        <v>45039369.369369365</v>
      </c>
      <c r="R87">
        <v>62871441.441441439</v>
      </c>
      <c r="S87">
        <v>6838</v>
      </c>
      <c r="T87">
        <v>5805</v>
      </c>
    </row>
    <row r="88" spans="1:20" x14ac:dyDescent="0.35">
      <c r="A88" s="7" t="s">
        <v>171</v>
      </c>
      <c r="B88" s="12" t="s">
        <v>55</v>
      </c>
      <c r="C88">
        <v>44677199.611848414</v>
      </c>
      <c r="D88">
        <v>52050706.722593695</v>
      </c>
      <c r="E88">
        <v>621621.62162162201</v>
      </c>
      <c r="F88">
        <v>265490.09009009099</v>
      </c>
      <c r="G88">
        <v>7</v>
      </c>
      <c r="H88">
        <v>4</v>
      </c>
      <c r="K88">
        <v>7</v>
      </c>
      <c r="L88">
        <v>5</v>
      </c>
      <c r="M88">
        <v>4632882.8828828828</v>
      </c>
      <c r="N88">
        <v>7968036.0360360369</v>
      </c>
      <c r="O88">
        <v>7338513.5135135129</v>
      </c>
      <c r="P88">
        <v>8698018.0180180185</v>
      </c>
      <c r="Q88">
        <v>5210090.0900900885</v>
      </c>
      <c r="R88">
        <v>6660630.630630631</v>
      </c>
      <c r="S88">
        <v>787</v>
      </c>
      <c r="T88">
        <v>709</v>
      </c>
    </row>
    <row r="89" spans="1:20" x14ac:dyDescent="0.35">
      <c r="A89" s="7" t="s">
        <v>172</v>
      </c>
      <c r="B89" s="12" t="s">
        <v>61</v>
      </c>
      <c r="C89">
        <v>950590072.1340574</v>
      </c>
      <c r="D89">
        <v>927110097.92346394</v>
      </c>
      <c r="E89">
        <v>13264639.63963964</v>
      </c>
      <c r="F89">
        <v>7513848.6486486495</v>
      </c>
      <c r="G89">
        <v>256</v>
      </c>
      <c r="H89">
        <v>94</v>
      </c>
      <c r="K89">
        <v>289</v>
      </c>
      <c r="L89">
        <v>131</v>
      </c>
      <c r="M89">
        <v>49747747.747747749</v>
      </c>
      <c r="N89">
        <v>49025254.954954959</v>
      </c>
      <c r="O89">
        <v>346232981.98198193</v>
      </c>
      <c r="P89">
        <v>338021356.75675672</v>
      </c>
      <c r="Q89">
        <v>47226486.486486487</v>
      </c>
      <c r="R89">
        <v>45586756.75675676</v>
      </c>
      <c r="S89">
        <v>12650</v>
      </c>
      <c r="T89">
        <v>12113</v>
      </c>
    </row>
    <row r="90" spans="1:20" x14ac:dyDescent="0.35">
      <c r="A90" s="7" t="s">
        <v>173</v>
      </c>
      <c r="B90" s="12" t="s">
        <v>122</v>
      </c>
      <c r="C90">
        <v>387914228.17265648</v>
      </c>
      <c r="D90">
        <v>370089338.11758959</v>
      </c>
      <c r="E90">
        <v>2687387.387387387</v>
      </c>
      <c r="F90">
        <v>2251059.459459465</v>
      </c>
      <c r="G90">
        <v>181</v>
      </c>
      <c r="H90">
        <v>181</v>
      </c>
      <c r="K90">
        <v>191</v>
      </c>
      <c r="L90">
        <v>201</v>
      </c>
      <c r="M90">
        <v>26637837.837837838</v>
      </c>
      <c r="N90">
        <v>29595851.351351354</v>
      </c>
      <c r="O90">
        <v>52563457.20720721</v>
      </c>
      <c r="P90">
        <v>60432493.693693697</v>
      </c>
      <c r="Q90">
        <v>17389099.0990991</v>
      </c>
      <c r="R90">
        <v>20953243.243243244</v>
      </c>
      <c r="S90">
        <v>5953</v>
      </c>
      <c r="T90">
        <v>5791</v>
      </c>
    </row>
    <row r="91" spans="1:20" x14ac:dyDescent="0.35">
      <c r="A91" s="7" t="s">
        <v>174</v>
      </c>
      <c r="B91" s="12" t="s">
        <v>175</v>
      </c>
      <c r="C91">
        <v>278039058.52571553</v>
      </c>
      <c r="D91">
        <v>290107993.40079272</v>
      </c>
      <c r="E91">
        <v>162361476.57657659</v>
      </c>
      <c r="F91">
        <v>183548430.63063061</v>
      </c>
      <c r="G91">
        <v>147</v>
      </c>
      <c r="H91">
        <v>54</v>
      </c>
      <c r="K91">
        <v>174</v>
      </c>
      <c r="L91">
        <v>73</v>
      </c>
      <c r="M91">
        <v>60667117.117117122</v>
      </c>
      <c r="N91">
        <v>60567293.693693697</v>
      </c>
      <c r="O91">
        <v>34235180.180180185</v>
      </c>
      <c r="P91">
        <v>39892009.009009011</v>
      </c>
      <c r="Q91">
        <v>38457387.387387395</v>
      </c>
      <c r="R91">
        <v>38399369.369369365</v>
      </c>
      <c r="S91">
        <v>6114</v>
      </c>
      <c r="T91">
        <v>4633</v>
      </c>
    </row>
    <row r="92" spans="1:20" x14ac:dyDescent="0.35">
      <c r="A92" s="7" t="s">
        <v>176</v>
      </c>
      <c r="B92" s="12" t="s">
        <v>175</v>
      </c>
      <c r="C92">
        <v>433563806.29848945</v>
      </c>
      <c r="D92">
        <v>446360620.60850853</v>
      </c>
      <c r="E92">
        <v>3481756.7567567611</v>
      </c>
      <c r="F92">
        <v>4812520.7207207251</v>
      </c>
      <c r="G92">
        <v>223</v>
      </c>
      <c r="H92">
        <v>208</v>
      </c>
      <c r="I92">
        <v>1</v>
      </c>
      <c r="K92">
        <v>265</v>
      </c>
      <c r="L92">
        <v>252</v>
      </c>
      <c r="M92">
        <v>62001801.801801801</v>
      </c>
      <c r="N92">
        <v>60237172.072072074</v>
      </c>
      <c r="O92">
        <v>75676459.459459454</v>
      </c>
      <c r="P92">
        <v>73285126.126126125</v>
      </c>
      <c r="Q92">
        <v>52166349.54954955</v>
      </c>
      <c r="R92">
        <v>47703603.603603609</v>
      </c>
      <c r="S92">
        <v>12430</v>
      </c>
      <c r="T92">
        <v>8738</v>
      </c>
    </row>
    <row r="93" spans="1:20" x14ac:dyDescent="0.35">
      <c r="A93" s="7" t="s">
        <v>177</v>
      </c>
      <c r="B93" s="12" t="s">
        <v>175</v>
      </c>
      <c r="C93">
        <v>591685400.01670814</v>
      </c>
      <c r="D93">
        <v>597617788.60368323</v>
      </c>
      <c r="E93">
        <v>2626126.1261261269</v>
      </c>
      <c r="F93">
        <v>3432809.0090090139</v>
      </c>
      <c r="G93">
        <v>270</v>
      </c>
      <c r="H93">
        <v>280</v>
      </c>
      <c r="K93">
        <v>342</v>
      </c>
      <c r="L93">
        <v>372</v>
      </c>
      <c r="M93">
        <v>67031981.981981985</v>
      </c>
      <c r="N93">
        <v>68052749.54954955</v>
      </c>
      <c r="O93">
        <v>88342214.414414421</v>
      </c>
      <c r="P93">
        <v>94701823.423423424</v>
      </c>
      <c r="Q93">
        <v>55299189.189189181</v>
      </c>
      <c r="R93">
        <v>57778828.828828834</v>
      </c>
      <c r="S93">
        <v>17136</v>
      </c>
      <c r="T93">
        <v>12038</v>
      </c>
    </row>
    <row r="94" spans="1:20" x14ac:dyDescent="0.35">
      <c r="A94" s="7" t="s">
        <v>178</v>
      </c>
      <c r="B94" s="12" t="s">
        <v>179</v>
      </c>
      <c r="C94">
        <v>202966740.01056436</v>
      </c>
      <c r="D94">
        <v>181088911.09073344</v>
      </c>
      <c r="E94">
        <v>1502702.702702703</v>
      </c>
      <c r="F94">
        <v>2268468.4684684682</v>
      </c>
      <c r="G94">
        <v>39</v>
      </c>
      <c r="H94">
        <v>69</v>
      </c>
      <c r="K94">
        <v>48</v>
      </c>
      <c r="L94">
        <v>106</v>
      </c>
      <c r="M94">
        <v>15028333.333333334</v>
      </c>
      <c r="N94">
        <v>12612162.162162162</v>
      </c>
      <c r="O94">
        <v>80075169.369369373</v>
      </c>
      <c r="P94">
        <v>72278810.810810819</v>
      </c>
      <c r="Q94">
        <v>14318693.693693692</v>
      </c>
      <c r="R94">
        <v>10164054.054054052</v>
      </c>
      <c r="S94">
        <v>3783</v>
      </c>
      <c r="T94">
        <v>3521</v>
      </c>
    </row>
    <row r="95" spans="1:20" x14ac:dyDescent="0.35">
      <c r="A95" s="7" t="s">
        <v>180</v>
      </c>
      <c r="B95" s="12" t="s">
        <v>168</v>
      </c>
      <c r="C95">
        <v>239610503.39581963</v>
      </c>
      <c r="D95">
        <v>256377606.20672551</v>
      </c>
      <c r="E95">
        <v>3742117.1171171172</v>
      </c>
      <c r="F95">
        <v>7529020.7207207195</v>
      </c>
      <c r="G95">
        <v>38</v>
      </c>
      <c r="H95">
        <v>24</v>
      </c>
      <c r="K95">
        <v>52</v>
      </c>
      <c r="L95">
        <v>26</v>
      </c>
      <c r="M95">
        <v>14191891.891891891</v>
      </c>
      <c r="N95">
        <v>23983938.738738742</v>
      </c>
      <c r="O95">
        <v>59750738.738738738</v>
      </c>
      <c r="P95">
        <v>78679612.612612605</v>
      </c>
      <c r="Q95">
        <v>12528378.378378376</v>
      </c>
      <c r="R95">
        <v>18993063.063063063</v>
      </c>
      <c r="S95">
        <v>4957</v>
      </c>
      <c r="T95">
        <v>4406</v>
      </c>
    </row>
    <row r="96" spans="1:20" x14ac:dyDescent="0.35">
      <c r="A96" s="7" t="s">
        <v>181</v>
      </c>
      <c r="B96" s="12" t="s">
        <v>182</v>
      </c>
      <c r="C96">
        <v>188827396.54149705</v>
      </c>
      <c r="D96">
        <v>200388125.09887064</v>
      </c>
      <c r="E96">
        <v>513513.51351351402</v>
      </c>
      <c r="F96">
        <v>2910125.225225227</v>
      </c>
      <c r="G96">
        <v>32</v>
      </c>
      <c r="H96">
        <v>44</v>
      </c>
      <c r="K96">
        <v>35</v>
      </c>
      <c r="L96">
        <v>46</v>
      </c>
      <c r="M96">
        <v>13325045.045045044</v>
      </c>
      <c r="N96">
        <v>35519567.567567565</v>
      </c>
      <c r="O96">
        <v>47236533.783783786</v>
      </c>
      <c r="P96">
        <v>49020765.765765771</v>
      </c>
      <c r="Q96">
        <v>13406846.846846849</v>
      </c>
      <c r="R96">
        <v>31288828.828828827</v>
      </c>
      <c r="S96">
        <v>3365</v>
      </c>
      <c r="T96">
        <v>3023</v>
      </c>
    </row>
    <row r="97" spans="1:20" x14ac:dyDescent="0.35">
      <c r="A97" s="7" t="s">
        <v>667</v>
      </c>
      <c r="B97" s="12" t="s">
        <v>69</v>
      </c>
      <c r="T97">
        <v>12</v>
      </c>
    </row>
    <row r="98" spans="1:20" x14ac:dyDescent="0.35">
      <c r="A98" s="7" t="s">
        <v>183</v>
      </c>
      <c r="B98" s="12" t="s">
        <v>95</v>
      </c>
      <c r="C98">
        <v>179558104.85896137</v>
      </c>
      <c r="D98">
        <v>189199935.9319033</v>
      </c>
      <c r="E98">
        <v>81081.081081081997</v>
      </c>
      <c r="F98">
        <v>203611.71171171201</v>
      </c>
      <c r="G98">
        <v>57</v>
      </c>
      <c r="H98">
        <v>57</v>
      </c>
      <c r="K98">
        <v>67</v>
      </c>
      <c r="L98">
        <v>65</v>
      </c>
      <c r="M98">
        <v>4504504.5045045037</v>
      </c>
      <c r="N98">
        <v>2006646.8468468471</v>
      </c>
      <c r="O98">
        <v>18453459.459459461</v>
      </c>
      <c r="P98">
        <v>27250261.261261266</v>
      </c>
      <c r="Q98">
        <v>2000720.7207207209</v>
      </c>
      <c r="R98">
        <v>1099099.0990990989</v>
      </c>
      <c r="S98">
        <v>3822</v>
      </c>
      <c r="T98">
        <v>3661</v>
      </c>
    </row>
    <row r="99" spans="1:20" x14ac:dyDescent="0.35">
      <c r="A99" s="7" t="s">
        <v>184</v>
      </c>
      <c r="B99" s="12" t="s">
        <v>95</v>
      </c>
      <c r="C99">
        <v>1122940015.4046471</v>
      </c>
      <c r="D99">
        <v>1193672150.0344284</v>
      </c>
      <c r="E99">
        <v>1246040262.1621621</v>
      </c>
      <c r="F99">
        <v>209527737.83783785</v>
      </c>
      <c r="G99">
        <v>222</v>
      </c>
      <c r="H99">
        <v>321</v>
      </c>
      <c r="K99">
        <v>281</v>
      </c>
      <c r="L99">
        <v>386</v>
      </c>
      <c r="M99">
        <v>75176126.126126125</v>
      </c>
      <c r="N99">
        <v>77086760.360360354</v>
      </c>
      <c r="O99">
        <v>135683320.27027026</v>
      </c>
      <c r="P99">
        <v>171114585.58558559</v>
      </c>
      <c r="Q99">
        <v>61026936.936936937</v>
      </c>
      <c r="R99">
        <v>58108738.738738738</v>
      </c>
      <c r="S99">
        <v>16741</v>
      </c>
      <c r="T99">
        <v>15722</v>
      </c>
    </row>
    <row r="100" spans="1:20" x14ac:dyDescent="0.35">
      <c r="A100" s="7" t="s">
        <v>185</v>
      </c>
      <c r="B100" s="12" t="s">
        <v>90</v>
      </c>
      <c r="C100">
        <v>103901929.24827987</v>
      </c>
      <c r="D100">
        <v>93177390.111816064</v>
      </c>
      <c r="E100">
        <v>1214189.1891891891</v>
      </c>
      <c r="F100">
        <v>2446621.6216216208</v>
      </c>
      <c r="G100">
        <v>21</v>
      </c>
      <c r="H100">
        <v>12</v>
      </c>
      <c r="K100">
        <v>21</v>
      </c>
      <c r="L100">
        <v>12</v>
      </c>
      <c r="M100">
        <v>5001261.2612612611</v>
      </c>
      <c r="N100">
        <v>7144144.1441441439</v>
      </c>
      <c r="O100">
        <v>34659756.756756753</v>
      </c>
      <c r="P100">
        <v>34827900.9009009</v>
      </c>
      <c r="Q100">
        <v>4860180.1801801808</v>
      </c>
      <c r="R100">
        <v>7225495.4954954963</v>
      </c>
      <c r="S100">
        <v>2077</v>
      </c>
      <c r="T100">
        <v>1550</v>
      </c>
    </row>
    <row r="101" spans="1:20" x14ac:dyDescent="0.35">
      <c r="A101" s="7" t="s">
        <v>186</v>
      </c>
      <c r="B101" s="12" t="s">
        <v>61</v>
      </c>
      <c r="C101">
        <v>63324397.055722855</v>
      </c>
      <c r="D101">
        <v>65315919.213947147</v>
      </c>
      <c r="E101">
        <v>270270.27027027198</v>
      </c>
      <c r="F101">
        <v>1230405.4054054059</v>
      </c>
      <c r="G101">
        <v>15</v>
      </c>
      <c r="H101">
        <v>10</v>
      </c>
      <c r="K101">
        <v>15</v>
      </c>
      <c r="L101">
        <v>12</v>
      </c>
      <c r="M101">
        <v>1756756.756756759</v>
      </c>
      <c r="N101">
        <v>3051351.3513513519</v>
      </c>
      <c r="O101">
        <v>21486236.486486487</v>
      </c>
      <c r="P101">
        <v>22629090.090090089</v>
      </c>
      <c r="Q101">
        <v>1575225.2252252251</v>
      </c>
      <c r="R101">
        <v>3726666.666666666</v>
      </c>
      <c r="S101">
        <v>960</v>
      </c>
      <c r="T101">
        <v>750</v>
      </c>
    </row>
    <row r="102" spans="1:20" x14ac:dyDescent="0.35">
      <c r="A102" s="7" t="s">
        <v>187</v>
      </c>
      <c r="B102" s="12" t="s">
        <v>168</v>
      </c>
      <c r="C102">
        <v>154549299.31646076</v>
      </c>
      <c r="D102">
        <v>145877717.81267822</v>
      </c>
      <c r="E102">
        <v>2413288.2882882892</v>
      </c>
      <c r="F102">
        <v>6638513.5135135138</v>
      </c>
      <c r="G102">
        <v>5</v>
      </c>
      <c r="H102">
        <v>6</v>
      </c>
      <c r="K102">
        <v>6</v>
      </c>
      <c r="L102">
        <v>12</v>
      </c>
      <c r="M102">
        <v>7913513.5135135129</v>
      </c>
      <c r="N102">
        <v>10952252.252252253</v>
      </c>
      <c r="O102">
        <v>40774981.981981985</v>
      </c>
      <c r="P102">
        <v>43598295.495495498</v>
      </c>
      <c r="Q102">
        <v>5803963.963963964</v>
      </c>
      <c r="R102">
        <v>12037477.477477478</v>
      </c>
      <c r="S102">
        <v>3088</v>
      </c>
      <c r="T102">
        <v>2852</v>
      </c>
    </row>
    <row r="103" spans="1:20" x14ac:dyDescent="0.35">
      <c r="A103" s="7" t="s">
        <v>188</v>
      </c>
      <c r="B103" s="12" t="s">
        <v>168</v>
      </c>
      <c r="C103">
        <v>408373321.96146107</v>
      </c>
      <c r="D103">
        <v>431916880.96522379</v>
      </c>
      <c r="E103">
        <v>2504504.5045045069</v>
      </c>
      <c r="F103">
        <v>4538288.2882882878</v>
      </c>
      <c r="G103">
        <v>64</v>
      </c>
      <c r="H103">
        <v>24</v>
      </c>
      <c r="K103">
        <v>72</v>
      </c>
      <c r="L103">
        <v>29</v>
      </c>
      <c r="M103">
        <v>22728409.909909911</v>
      </c>
      <c r="N103">
        <v>28290990.990990993</v>
      </c>
      <c r="O103">
        <v>84816936.936936945</v>
      </c>
      <c r="P103">
        <v>100854160.36036035</v>
      </c>
      <c r="Q103">
        <v>18943963.963963963</v>
      </c>
      <c r="R103">
        <v>25689729.729729731</v>
      </c>
      <c r="S103">
        <v>6564</v>
      </c>
      <c r="T103">
        <v>5498</v>
      </c>
    </row>
    <row r="104" spans="1:20" x14ac:dyDescent="0.35">
      <c r="A104" s="7" t="s">
        <v>189</v>
      </c>
      <c r="B104" s="12" t="s">
        <v>190</v>
      </c>
      <c r="C104">
        <v>178763640.26403961</v>
      </c>
      <c r="D104">
        <v>184085930.62536317</v>
      </c>
      <c r="E104">
        <v>283783.78378378402</v>
      </c>
      <c r="F104">
        <v>270270.27027027</v>
      </c>
      <c r="G104">
        <v>22</v>
      </c>
      <c r="H104">
        <v>39</v>
      </c>
      <c r="I104">
        <v>1</v>
      </c>
      <c r="K104">
        <v>23</v>
      </c>
      <c r="L104">
        <v>41</v>
      </c>
      <c r="M104">
        <v>2536036.036036036</v>
      </c>
      <c r="N104">
        <v>2657657.6576576582</v>
      </c>
      <c r="O104">
        <v>13219045.045045044</v>
      </c>
      <c r="P104">
        <v>15570855.855855856</v>
      </c>
      <c r="Q104">
        <v>2319369.369369369</v>
      </c>
      <c r="R104">
        <v>2285855.8558558561</v>
      </c>
      <c r="S104">
        <v>1902</v>
      </c>
      <c r="T104">
        <v>1726</v>
      </c>
    </row>
    <row r="105" spans="1:20" x14ac:dyDescent="0.35">
      <c r="A105" s="7" t="s">
        <v>191</v>
      </c>
      <c r="B105" s="12" t="s">
        <v>135</v>
      </c>
      <c r="C105">
        <v>42865457.906731293</v>
      </c>
      <c r="D105">
        <v>39491459.789786547</v>
      </c>
      <c r="E105">
        <v>13513.513513514001</v>
      </c>
      <c r="G105">
        <v>22</v>
      </c>
      <c r="H105">
        <v>33</v>
      </c>
      <c r="K105">
        <v>25</v>
      </c>
      <c r="L105">
        <v>35</v>
      </c>
      <c r="M105">
        <v>58558.558558559002</v>
      </c>
      <c r="O105">
        <v>2874684.684684685</v>
      </c>
      <c r="P105">
        <v>3252198.1981981979</v>
      </c>
      <c r="Q105">
        <v>200900.900900901</v>
      </c>
      <c r="S105">
        <v>900</v>
      </c>
      <c r="T105">
        <v>682</v>
      </c>
    </row>
    <row r="106" spans="1:20" x14ac:dyDescent="0.35">
      <c r="A106" s="7" t="s">
        <v>192</v>
      </c>
      <c r="B106" s="12" t="s">
        <v>61</v>
      </c>
      <c r="C106">
        <v>254118511.83420333</v>
      </c>
      <c r="D106">
        <v>260433339.22204202</v>
      </c>
      <c r="E106">
        <v>3887162.1621621628</v>
      </c>
      <c r="F106">
        <v>3855506.3063063072</v>
      </c>
      <c r="G106">
        <v>55</v>
      </c>
      <c r="H106">
        <v>49</v>
      </c>
      <c r="K106">
        <v>90</v>
      </c>
      <c r="L106">
        <v>105</v>
      </c>
      <c r="M106">
        <v>22166666.666666664</v>
      </c>
      <c r="N106">
        <v>81912244.144144148</v>
      </c>
      <c r="O106">
        <v>84142549.54954955</v>
      </c>
      <c r="P106">
        <v>88370900.9009009</v>
      </c>
      <c r="Q106">
        <v>21252972.97297297</v>
      </c>
      <c r="R106">
        <v>81498288.288288295</v>
      </c>
      <c r="S106">
        <v>4442</v>
      </c>
      <c r="T106">
        <v>3755</v>
      </c>
    </row>
    <row r="107" spans="1:20" x14ac:dyDescent="0.35">
      <c r="A107" s="7" t="s">
        <v>193</v>
      </c>
      <c r="B107" s="12" t="s">
        <v>61</v>
      </c>
      <c r="C107">
        <v>451391012.55621427</v>
      </c>
      <c r="D107">
        <v>451071381.79127234</v>
      </c>
      <c r="E107">
        <v>4333333.333333333</v>
      </c>
      <c r="F107">
        <v>4486636.0360360378</v>
      </c>
      <c r="G107">
        <v>42</v>
      </c>
      <c r="H107">
        <v>49</v>
      </c>
      <c r="I107">
        <v>2</v>
      </c>
      <c r="K107">
        <v>60</v>
      </c>
      <c r="L107">
        <v>65</v>
      </c>
      <c r="M107">
        <v>25576576.576576576</v>
      </c>
      <c r="N107">
        <v>84951199.0990991</v>
      </c>
      <c r="O107">
        <v>104264846.84684685</v>
      </c>
      <c r="P107">
        <v>104090592.7927928</v>
      </c>
      <c r="Q107">
        <v>21943423.423423424</v>
      </c>
      <c r="R107">
        <v>82905718.918918908</v>
      </c>
      <c r="S107">
        <v>6662</v>
      </c>
      <c r="T107">
        <v>6769</v>
      </c>
    </row>
    <row r="108" spans="1:20" x14ac:dyDescent="0.35">
      <c r="A108" s="7" t="s">
        <v>2</v>
      </c>
      <c r="B108" s="12" t="s">
        <v>194</v>
      </c>
      <c r="C108">
        <v>50578481.647141613</v>
      </c>
      <c r="D108">
        <v>32152469.870587096</v>
      </c>
      <c r="E108">
        <v>310810.81081081199</v>
      </c>
      <c r="F108">
        <v>644144.14414414403</v>
      </c>
      <c r="G108">
        <v>6</v>
      </c>
      <c r="H108">
        <v>1</v>
      </c>
      <c r="K108">
        <v>6</v>
      </c>
      <c r="L108">
        <v>1</v>
      </c>
      <c r="M108">
        <v>6662162.1621621633</v>
      </c>
      <c r="N108">
        <v>12310810.81081081</v>
      </c>
      <c r="O108">
        <v>28169342.342342343</v>
      </c>
      <c r="P108">
        <v>19711549.549549554</v>
      </c>
      <c r="Q108">
        <v>6763063.0630630637</v>
      </c>
      <c r="R108">
        <v>11959009.009009007</v>
      </c>
      <c r="S108">
        <v>1258</v>
      </c>
      <c r="T108">
        <v>1413</v>
      </c>
    </row>
    <row r="109" spans="1:20" x14ac:dyDescent="0.35">
      <c r="A109" s="7" t="s">
        <v>195</v>
      </c>
      <c r="B109" s="12" t="s">
        <v>196</v>
      </c>
      <c r="C109">
        <v>1542869539.5341783</v>
      </c>
      <c r="D109">
        <v>1569678452.5851226</v>
      </c>
      <c r="E109">
        <v>75640315.315315306</v>
      </c>
      <c r="F109">
        <v>68098873.873873875</v>
      </c>
      <c r="G109">
        <v>462</v>
      </c>
      <c r="H109">
        <v>171</v>
      </c>
      <c r="I109">
        <v>2</v>
      </c>
      <c r="K109">
        <v>677</v>
      </c>
      <c r="L109">
        <v>242</v>
      </c>
      <c r="M109">
        <v>104674234.23423424</v>
      </c>
      <c r="N109">
        <v>147929491.8918919</v>
      </c>
      <c r="O109">
        <v>299333504.5045045</v>
      </c>
      <c r="P109">
        <v>313699873.87387383</v>
      </c>
      <c r="Q109">
        <v>91072882.882882878</v>
      </c>
      <c r="R109">
        <v>75666846.846846849</v>
      </c>
      <c r="S109">
        <v>19384</v>
      </c>
      <c r="T109">
        <v>18362</v>
      </c>
    </row>
    <row r="110" spans="1:20" x14ac:dyDescent="0.35">
      <c r="A110" s="7" t="s">
        <v>197</v>
      </c>
      <c r="B110" s="12" t="s">
        <v>81</v>
      </c>
      <c r="C110">
        <v>473681986.29403067</v>
      </c>
      <c r="D110">
        <v>449841638.85235262</v>
      </c>
      <c r="E110">
        <v>2404504.5045045069</v>
      </c>
      <c r="F110">
        <v>4165697.297297297</v>
      </c>
      <c r="G110">
        <v>120</v>
      </c>
      <c r="H110">
        <v>73</v>
      </c>
      <c r="K110">
        <v>131</v>
      </c>
      <c r="L110">
        <v>90</v>
      </c>
      <c r="M110">
        <v>59688108.108108111</v>
      </c>
      <c r="N110">
        <v>73198719.819819808</v>
      </c>
      <c r="O110">
        <v>128228315.31531531</v>
      </c>
      <c r="P110">
        <v>123972792.7927928</v>
      </c>
      <c r="Q110">
        <v>59561081.081081077</v>
      </c>
      <c r="R110">
        <v>72970000</v>
      </c>
      <c r="S110">
        <v>7498</v>
      </c>
      <c r="T110">
        <v>6987</v>
      </c>
    </row>
    <row r="111" spans="1:20" x14ac:dyDescent="0.35">
      <c r="A111" s="7" t="s">
        <v>198</v>
      </c>
      <c r="B111" s="12" t="s">
        <v>109</v>
      </c>
      <c r="C111">
        <v>380488108.93505996</v>
      </c>
      <c r="D111">
        <v>390974711.16681421</v>
      </c>
      <c r="E111">
        <v>3890090.0900900909</v>
      </c>
      <c r="F111">
        <v>5268018.0180180212</v>
      </c>
      <c r="G111">
        <v>134</v>
      </c>
      <c r="H111">
        <v>109</v>
      </c>
      <c r="I111">
        <v>1</v>
      </c>
      <c r="K111">
        <v>152</v>
      </c>
      <c r="L111">
        <v>137</v>
      </c>
      <c r="M111">
        <v>21526126.126126125</v>
      </c>
      <c r="N111">
        <v>50646126.126126125</v>
      </c>
      <c r="O111">
        <v>115476036.03603603</v>
      </c>
      <c r="P111">
        <v>120144378.37837839</v>
      </c>
      <c r="Q111">
        <v>19117657.657657657</v>
      </c>
      <c r="R111">
        <v>50277117.117117122</v>
      </c>
      <c r="S111">
        <v>8777</v>
      </c>
      <c r="T111">
        <v>7439</v>
      </c>
    </row>
    <row r="112" spans="1:20" x14ac:dyDescent="0.35">
      <c r="A112" s="7" t="s">
        <v>199</v>
      </c>
      <c r="B112" s="12" t="s">
        <v>93</v>
      </c>
      <c r="C112">
        <v>206582015.1661472</v>
      </c>
      <c r="D112">
        <v>211167628.73678058</v>
      </c>
      <c r="E112">
        <v>6213513.5135135129</v>
      </c>
      <c r="F112">
        <v>5539639.6396396393</v>
      </c>
      <c r="G112">
        <v>237</v>
      </c>
      <c r="H112">
        <v>38</v>
      </c>
      <c r="K112">
        <v>259</v>
      </c>
      <c r="L112">
        <v>42</v>
      </c>
      <c r="M112">
        <v>63113423.423423424</v>
      </c>
      <c r="N112">
        <v>46344594.59459459</v>
      </c>
      <c r="O112">
        <v>55675639.639639638</v>
      </c>
      <c r="P112">
        <v>56094513.513513513</v>
      </c>
      <c r="Q112">
        <v>61568648.648648657</v>
      </c>
      <c r="R112">
        <v>46474774.774774775</v>
      </c>
      <c r="S112">
        <v>3163</v>
      </c>
      <c r="T112">
        <v>2911</v>
      </c>
    </row>
    <row r="113" spans="1:20" x14ac:dyDescent="0.35">
      <c r="A113" s="7" t="s">
        <v>200</v>
      </c>
      <c r="B113" s="12" t="s">
        <v>124</v>
      </c>
      <c r="C113">
        <v>191759732.76866141</v>
      </c>
      <c r="D113">
        <v>155541900.8167752</v>
      </c>
      <c r="E113">
        <v>655855.85585585597</v>
      </c>
      <c r="F113">
        <v>1795945.945945946</v>
      </c>
      <c r="G113">
        <v>68</v>
      </c>
      <c r="H113">
        <v>25</v>
      </c>
      <c r="K113">
        <v>71</v>
      </c>
      <c r="L113">
        <v>27</v>
      </c>
      <c r="M113">
        <v>5602162.1621621624</v>
      </c>
      <c r="N113">
        <v>10533603.603603603</v>
      </c>
      <c r="O113">
        <v>35786261.261261262</v>
      </c>
      <c r="P113">
        <v>34847045.045045041</v>
      </c>
      <c r="Q113">
        <v>8116126.1261261264</v>
      </c>
      <c r="R113">
        <v>7917567.5675675673</v>
      </c>
      <c r="S113">
        <v>2657</v>
      </c>
      <c r="T113">
        <v>2105</v>
      </c>
    </row>
    <row r="114" spans="1:20" x14ac:dyDescent="0.35">
      <c r="A114" s="7" t="s">
        <v>201</v>
      </c>
      <c r="B114" s="12" t="s">
        <v>61</v>
      </c>
      <c r="C114">
        <v>141295521.64927265</v>
      </c>
      <c r="D114">
        <v>141463129.75441533</v>
      </c>
      <c r="E114">
        <v>3703603.6036036038</v>
      </c>
      <c r="F114">
        <v>1599549.549549554</v>
      </c>
      <c r="G114">
        <v>31</v>
      </c>
      <c r="H114">
        <v>11</v>
      </c>
      <c r="I114">
        <v>1</v>
      </c>
      <c r="K114">
        <v>37</v>
      </c>
      <c r="L114">
        <v>22</v>
      </c>
      <c r="M114">
        <v>19379279.27927928</v>
      </c>
      <c r="N114">
        <v>21365765.765765768</v>
      </c>
      <c r="O114">
        <v>25664923.423423424</v>
      </c>
      <c r="P114">
        <v>26062675.675675675</v>
      </c>
      <c r="Q114">
        <v>18914234.234234236</v>
      </c>
      <c r="R114">
        <v>8940810.8108108118</v>
      </c>
      <c r="S114">
        <v>4419</v>
      </c>
      <c r="T114">
        <v>3647</v>
      </c>
    </row>
    <row r="115" spans="1:20" x14ac:dyDescent="0.35">
      <c r="A115" s="7" t="s">
        <v>202</v>
      </c>
      <c r="B115" s="12" t="s">
        <v>61</v>
      </c>
      <c r="C115">
        <v>47336429.219577327</v>
      </c>
      <c r="D115">
        <v>46051605.650633439</v>
      </c>
      <c r="E115">
        <v>247747.74774774999</v>
      </c>
      <c r="F115">
        <v>548361.26126126095</v>
      </c>
      <c r="G115">
        <v>16</v>
      </c>
      <c r="H115">
        <v>8</v>
      </c>
      <c r="K115">
        <v>19</v>
      </c>
      <c r="L115">
        <v>10</v>
      </c>
      <c r="M115">
        <v>2770270.2702702712</v>
      </c>
      <c r="N115">
        <v>2936634.2342342329</v>
      </c>
      <c r="O115">
        <v>8355207.2072072066</v>
      </c>
      <c r="P115">
        <v>9380531.5315315314</v>
      </c>
      <c r="Q115">
        <v>1595405.405405405</v>
      </c>
      <c r="R115">
        <v>1629639.6396396409</v>
      </c>
      <c r="S115">
        <v>1527</v>
      </c>
      <c r="T115">
        <v>1025</v>
      </c>
    </row>
    <row r="116" spans="1:20" x14ac:dyDescent="0.35">
      <c r="A116" s="7" t="s">
        <v>203</v>
      </c>
      <c r="B116" s="12" t="s">
        <v>122</v>
      </c>
      <c r="C116">
        <v>88826915.449557275</v>
      </c>
      <c r="D116">
        <v>79976649.653458029</v>
      </c>
      <c r="E116">
        <v>648648.64864864899</v>
      </c>
      <c r="F116">
        <v>936936.93693693902</v>
      </c>
      <c r="G116">
        <v>48</v>
      </c>
      <c r="H116">
        <v>39</v>
      </c>
      <c r="K116">
        <v>51</v>
      </c>
      <c r="L116">
        <v>44</v>
      </c>
      <c r="M116">
        <v>2004504.5045045051</v>
      </c>
      <c r="N116">
        <v>2423423.4234234239</v>
      </c>
      <c r="O116">
        <v>8409918.9189189188</v>
      </c>
      <c r="P116">
        <v>8062828.8288288293</v>
      </c>
      <c r="Q116">
        <v>1427477.4774774781</v>
      </c>
      <c r="R116">
        <v>1554054.054054053</v>
      </c>
      <c r="S116">
        <v>1617</v>
      </c>
      <c r="T116">
        <v>1349</v>
      </c>
    </row>
    <row r="117" spans="1:20" x14ac:dyDescent="0.35">
      <c r="A117" s="7" t="s">
        <v>204</v>
      </c>
      <c r="B117" s="12" t="s">
        <v>55</v>
      </c>
      <c r="C117">
        <v>144057565.71089396</v>
      </c>
      <c r="D117">
        <v>148250810.73707691</v>
      </c>
      <c r="E117">
        <v>1190990.9909909901</v>
      </c>
      <c r="F117">
        <v>1747481.9819819841</v>
      </c>
      <c r="G117">
        <v>34</v>
      </c>
      <c r="H117">
        <v>25</v>
      </c>
      <c r="K117">
        <v>35</v>
      </c>
      <c r="L117">
        <v>25</v>
      </c>
      <c r="M117">
        <v>7700000.0000000009</v>
      </c>
      <c r="N117">
        <v>9475590.0900900923</v>
      </c>
      <c r="O117">
        <v>37534756.75675676</v>
      </c>
      <c r="P117">
        <v>38692963.963963971</v>
      </c>
      <c r="Q117">
        <v>7783603.6036036042</v>
      </c>
      <c r="R117">
        <v>9320810.8108108118</v>
      </c>
      <c r="S117">
        <v>4477</v>
      </c>
      <c r="T117">
        <v>3962</v>
      </c>
    </row>
    <row r="118" spans="1:20" x14ac:dyDescent="0.35">
      <c r="A118" s="7" t="s">
        <v>205</v>
      </c>
      <c r="B118" s="12" t="s">
        <v>137</v>
      </c>
      <c r="C118">
        <v>506388117.67142236</v>
      </c>
      <c r="D118">
        <v>484591112.25116807</v>
      </c>
      <c r="E118">
        <v>1100900.9009008971</v>
      </c>
      <c r="F118">
        <v>4127378.3783783759</v>
      </c>
      <c r="G118">
        <v>74</v>
      </c>
      <c r="H118">
        <v>85</v>
      </c>
      <c r="I118">
        <v>2</v>
      </c>
      <c r="K118">
        <v>84</v>
      </c>
      <c r="L118">
        <v>89</v>
      </c>
      <c r="M118">
        <v>42317117.117117122</v>
      </c>
      <c r="N118">
        <v>43106912.612612613</v>
      </c>
      <c r="O118">
        <v>87226092.792792782</v>
      </c>
      <c r="P118">
        <v>92357621.621621609</v>
      </c>
      <c r="Q118">
        <v>36847297.297297299</v>
      </c>
      <c r="R118">
        <v>40035585.585585587</v>
      </c>
      <c r="S118">
        <v>6141</v>
      </c>
      <c r="T118">
        <v>6415</v>
      </c>
    </row>
    <row r="119" spans="1:20" x14ac:dyDescent="0.35">
      <c r="A119" s="7" t="s">
        <v>206</v>
      </c>
      <c r="B119" s="12" t="s">
        <v>137</v>
      </c>
      <c r="C119">
        <v>250216412.13736171</v>
      </c>
      <c r="D119">
        <v>241664016.78317764</v>
      </c>
      <c r="E119">
        <v>679279.27927927906</v>
      </c>
      <c r="F119">
        <v>371658.55855855998</v>
      </c>
      <c r="G119">
        <v>46</v>
      </c>
      <c r="H119">
        <v>34</v>
      </c>
      <c r="K119">
        <v>53</v>
      </c>
      <c r="L119">
        <v>36</v>
      </c>
      <c r="M119">
        <v>7913513.5135135129</v>
      </c>
      <c r="N119">
        <v>8535316.2162162159</v>
      </c>
      <c r="O119">
        <v>48388169.369369365</v>
      </c>
      <c r="P119">
        <v>54594936.936936937</v>
      </c>
      <c r="Q119">
        <v>4792612.6126126125</v>
      </c>
      <c r="R119">
        <v>4529639.6396396384</v>
      </c>
      <c r="S119">
        <v>3367</v>
      </c>
      <c r="T119">
        <v>3142</v>
      </c>
    </row>
    <row r="120" spans="1:20" x14ac:dyDescent="0.35">
      <c r="A120" s="7" t="s">
        <v>207</v>
      </c>
      <c r="B120" s="12" t="s">
        <v>170</v>
      </c>
      <c r="C120">
        <v>594146576.84057498</v>
      </c>
      <c r="D120">
        <v>609700638.30971658</v>
      </c>
      <c r="E120">
        <v>1803603.6036036049</v>
      </c>
      <c r="F120">
        <v>28689500.900900904</v>
      </c>
      <c r="G120">
        <v>22</v>
      </c>
      <c r="H120">
        <v>25</v>
      </c>
      <c r="K120">
        <v>24</v>
      </c>
      <c r="L120">
        <v>29</v>
      </c>
      <c r="M120">
        <v>2470631373.8738737</v>
      </c>
      <c r="N120">
        <v>923614635.13513505</v>
      </c>
      <c r="O120">
        <v>282949261.26126122</v>
      </c>
      <c r="P120">
        <v>294858252.25225222</v>
      </c>
      <c r="Q120">
        <v>758482172.97297287</v>
      </c>
      <c r="R120">
        <v>260426450.45045045</v>
      </c>
      <c r="S120">
        <v>7970</v>
      </c>
      <c r="T120">
        <v>7548</v>
      </c>
    </row>
    <row r="121" spans="1:20" x14ac:dyDescent="0.35">
      <c r="A121" s="7" t="s">
        <v>208</v>
      </c>
      <c r="B121" s="12" t="s">
        <v>162</v>
      </c>
      <c r="C121">
        <v>655265497.14065778</v>
      </c>
      <c r="D121">
        <v>667587765.4967469</v>
      </c>
      <c r="E121">
        <v>185575336.93693691</v>
      </c>
      <c r="F121">
        <v>195171016.21621624</v>
      </c>
      <c r="G121">
        <v>436</v>
      </c>
      <c r="H121">
        <v>184</v>
      </c>
      <c r="K121">
        <v>617</v>
      </c>
      <c r="L121">
        <v>552</v>
      </c>
      <c r="M121">
        <v>112493684.68468469</v>
      </c>
      <c r="N121">
        <v>156482307.2072072</v>
      </c>
      <c r="O121">
        <v>190608022.52252254</v>
      </c>
      <c r="P121">
        <v>216070214.41441441</v>
      </c>
      <c r="Q121">
        <v>92851971.171171173</v>
      </c>
      <c r="R121">
        <v>132213727.92792794</v>
      </c>
      <c r="S121">
        <v>36375</v>
      </c>
      <c r="T121">
        <v>12177</v>
      </c>
    </row>
    <row r="122" spans="1:20" x14ac:dyDescent="0.35">
      <c r="A122" s="7" t="s">
        <v>209</v>
      </c>
      <c r="B122" s="12" t="s">
        <v>77</v>
      </c>
      <c r="C122">
        <v>20202850.819157824</v>
      </c>
      <c r="D122">
        <v>22144996.014311846</v>
      </c>
      <c r="H122">
        <v>3</v>
      </c>
      <c r="L122">
        <v>3</v>
      </c>
      <c r="N122">
        <v>9009.0090090089998</v>
      </c>
      <c r="O122">
        <v>1230405.405405405</v>
      </c>
      <c r="P122">
        <v>1579864.8648648651</v>
      </c>
      <c r="S122">
        <v>558</v>
      </c>
      <c r="T122">
        <v>547</v>
      </c>
    </row>
    <row r="123" spans="1:20" x14ac:dyDescent="0.35">
      <c r="A123" s="7" t="s">
        <v>210</v>
      </c>
      <c r="B123" s="12" t="s">
        <v>77</v>
      </c>
      <c r="C123">
        <v>299595342.54018533</v>
      </c>
      <c r="D123">
        <v>289593523.88502842</v>
      </c>
      <c r="E123">
        <v>267934662.16216218</v>
      </c>
      <c r="F123">
        <v>216783209.90990993</v>
      </c>
      <c r="G123">
        <v>171</v>
      </c>
      <c r="H123">
        <v>192</v>
      </c>
      <c r="I123">
        <v>9</v>
      </c>
      <c r="K123">
        <v>267</v>
      </c>
      <c r="L123">
        <v>246</v>
      </c>
      <c r="M123">
        <v>41118108.108108103</v>
      </c>
      <c r="N123">
        <v>39065578.378378376</v>
      </c>
      <c r="O123">
        <v>45426162.162162162</v>
      </c>
      <c r="P123">
        <v>50193486.486486487</v>
      </c>
      <c r="Q123">
        <v>39870270.270270273</v>
      </c>
      <c r="R123">
        <v>36168108.108108111</v>
      </c>
      <c r="S123">
        <v>5532</v>
      </c>
      <c r="T123">
        <v>4442</v>
      </c>
    </row>
    <row r="124" spans="1:20" x14ac:dyDescent="0.35">
      <c r="A124" s="7" t="s">
        <v>211</v>
      </c>
      <c r="B124" s="12" t="s">
        <v>77</v>
      </c>
      <c r="C124">
        <v>370231118.90894794</v>
      </c>
      <c r="D124">
        <v>400119854.64097077</v>
      </c>
      <c r="E124">
        <v>5706981.9819819871</v>
      </c>
      <c r="F124">
        <v>10813922.52252252</v>
      </c>
      <c r="G124">
        <v>227</v>
      </c>
      <c r="H124">
        <v>438</v>
      </c>
      <c r="I124">
        <v>1</v>
      </c>
      <c r="K124">
        <v>293</v>
      </c>
      <c r="L124">
        <v>486</v>
      </c>
      <c r="M124">
        <v>178848918.91891891</v>
      </c>
      <c r="N124">
        <v>154409898.1981982</v>
      </c>
      <c r="O124">
        <v>111973660.36036035</v>
      </c>
      <c r="P124">
        <v>138027369.36936939</v>
      </c>
      <c r="Q124">
        <v>150738872.07207206</v>
      </c>
      <c r="R124">
        <v>122372432.43243243</v>
      </c>
      <c r="S124">
        <v>7272</v>
      </c>
      <c r="T124">
        <v>6932</v>
      </c>
    </row>
    <row r="125" spans="1:20" x14ac:dyDescent="0.35">
      <c r="A125" s="7" t="s">
        <v>212</v>
      </c>
      <c r="B125" s="12" t="s">
        <v>77</v>
      </c>
      <c r="C125">
        <v>269163647.45909798</v>
      </c>
      <c r="D125">
        <v>267911037.84931204</v>
      </c>
      <c r="E125">
        <v>4243918.9189189244</v>
      </c>
      <c r="F125">
        <v>3697292.7927927962</v>
      </c>
      <c r="G125">
        <v>126</v>
      </c>
      <c r="H125">
        <v>177</v>
      </c>
      <c r="K125">
        <v>138</v>
      </c>
      <c r="L125">
        <v>194</v>
      </c>
      <c r="M125">
        <v>26836396.396396395</v>
      </c>
      <c r="N125">
        <v>35155432.432432435</v>
      </c>
      <c r="O125">
        <v>41332759.009009011</v>
      </c>
      <c r="P125">
        <v>43392171.171171166</v>
      </c>
      <c r="Q125">
        <v>25511621.621621624</v>
      </c>
      <c r="R125">
        <v>32183783.783783779</v>
      </c>
      <c r="S125">
        <v>4439</v>
      </c>
      <c r="T125">
        <v>3988</v>
      </c>
    </row>
    <row r="126" spans="1:20" x14ac:dyDescent="0.35">
      <c r="A126" s="7" t="s">
        <v>213</v>
      </c>
      <c r="B126" s="12" t="s">
        <v>77</v>
      </c>
      <c r="C126">
        <v>96675014.885073468</v>
      </c>
      <c r="D126">
        <v>110574983.98292379</v>
      </c>
      <c r="E126">
        <v>66666.666666666002</v>
      </c>
      <c r="F126">
        <v>151351.35135135101</v>
      </c>
      <c r="G126">
        <v>21</v>
      </c>
      <c r="H126">
        <v>16</v>
      </c>
      <c r="K126">
        <v>22</v>
      </c>
      <c r="L126">
        <v>17</v>
      </c>
      <c r="M126">
        <v>1541621.6216216199</v>
      </c>
      <c r="N126">
        <v>5399099.0990990987</v>
      </c>
      <c r="O126">
        <v>14987126.126126124</v>
      </c>
      <c r="P126">
        <v>17728459.459459461</v>
      </c>
      <c r="Q126">
        <v>2199009.0090090092</v>
      </c>
      <c r="R126">
        <v>4788648.6486486504</v>
      </c>
      <c r="S126">
        <v>1886</v>
      </c>
      <c r="T126">
        <v>2077</v>
      </c>
    </row>
    <row r="127" spans="1:20" x14ac:dyDescent="0.35">
      <c r="A127" s="7" t="s">
        <v>214</v>
      </c>
      <c r="B127" s="12" t="s">
        <v>215</v>
      </c>
      <c r="C127">
        <v>136196536.90950021</v>
      </c>
      <c r="D127">
        <v>141384684.25782773</v>
      </c>
      <c r="E127">
        <v>103932432.43243243</v>
      </c>
      <c r="F127">
        <v>234563468.46846849</v>
      </c>
      <c r="G127">
        <v>39</v>
      </c>
      <c r="H127">
        <v>25</v>
      </c>
      <c r="I127">
        <v>1</v>
      </c>
      <c r="K127">
        <v>47</v>
      </c>
      <c r="L127">
        <v>27</v>
      </c>
      <c r="M127">
        <v>17843711.711711712</v>
      </c>
      <c r="N127">
        <v>36834744.144144148</v>
      </c>
      <c r="O127">
        <v>61954403.603603601</v>
      </c>
      <c r="P127">
        <v>69567855.855855852</v>
      </c>
      <c r="Q127">
        <v>14166486.486486485</v>
      </c>
      <c r="R127">
        <v>40063873.873873875</v>
      </c>
      <c r="S127">
        <v>2617</v>
      </c>
      <c r="T127">
        <v>2221</v>
      </c>
    </row>
    <row r="128" spans="1:20" x14ac:dyDescent="0.35">
      <c r="A128" s="7" t="s">
        <v>216</v>
      </c>
      <c r="B128" s="12" t="s">
        <v>168</v>
      </c>
      <c r="C128">
        <v>144148854.37318602</v>
      </c>
      <c r="D128">
        <v>145073229.10386965</v>
      </c>
      <c r="E128">
        <v>2793693.6936936942</v>
      </c>
      <c r="F128">
        <v>2747747.7477477482</v>
      </c>
      <c r="G128">
        <v>8</v>
      </c>
      <c r="H128">
        <v>1</v>
      </c>
      <c r="K128">
        <v>8</v>
      </c>
      <c r="L128">
        <v>1</v>
      </c>
      <c r="M128">
        <v>8233333.333333333</v>
      </c>
      <c r="N128">
        <v>5639639.6396396402</v>
      </c>
      <c r="O128">
        <v>25064504.504504506</v>
      </c>
      <c r="P128">
        <v>38275396.396396399</v>
      </c>
      <c r="Q128">
        <v>5072972.9729729742</v>
      </c>
      <c r="R128">
        <v>5286576.5765765756</v>
      </c>
      <c r="S128">
        <v>1887</v>
      </c>
      <c r="T128">
        <v>1820</v>
      </c>
    </row>
    <row r="129" spans="1:20" x14ac:dyDescent="0.35">
      <c r="A129" s="7" t="s">
        <v>217</v>
      </c>
      <c r="B129" s="12" t="s">
        <v>86</v>
      </c>
      <c r="C129">
        <v>34042092.152838103</v>
      </c>
      <c r="D129">
        <v>38491969.202455051</v>
      </c>
      <c r="E129">
        <v>1369369.369369369</v>
      </c>
      <c r="F129">
        <v>5932045.0450450471</v>
      </c>
      <c r="G129">
        <v>11</v>
      </c>
      <c r="H129">
        <v>6</v>
      </c>
      <c r="K129">
        <v>12</v>
      </c>
      <c r="L129">
        <v>7</v>
      </c>
      <c r="M129">
        <v>67886936.93693693</v>
      </c>
      <c r="N129">
        <v>60914149.54954955</v>
      </c>
      <c r="O129">
        <v>10471288.288288288</v>
      </c>
      <c r="P129">
        <v>13044664.864864863</v>
      </c>
      <c r="Q129">
        <v>59291081.081081077</v>
      </c>
      <c r="R129">
        <v>51324684.684684686</v>
      </c>
      <c r="S129">
        <v>717</v>
      </c>
      <c r="T129">
        <v>622</v>
      </c>
    </row>
    <row r="130" spans="1:20" x14ac:dyDescent="0.35">
      <c r="A130" s="7" t="s">
        <v>218</v>
      </c>
      <c r="B130" s="12" t="s">
        <v>86</v>
      </c>
      <c r="C130">
        <v>136475898.91708395</v>
      </c>
      <c r="D130">
        <v>138827400.46994299</v>
      </c>
      <c r="E130">
        <v>740540.54054054106</v>
      </c>
      <c r="F130">
        <v>734234.23423423397</v>
      </c>
      <c r="G130">
        <v>51</v>
      </c>
      <c r="H130">
        <v>20</v>
      </c>
      <c r="K130">
        <v>57</v>
      </c>
      <c r="L130">
        <v>26</v>
      </c>
      <c r="M130">
        <v>48183063.063063063</v>
      </c>
      <c r="N130">
        <v>31274782.882882886</v>
      </c>
      <c r="O130">
        <v>25921738.738738742</v>
      </c>
      <c r="P130">
        <v>28001405.405405402</v>
      </c>
      <c r="Q130">
        <v>40913333.333333336</v>
      </c>
      <c r="R130">
        <v>22907927.927927926</v>
      </c>
      <c r="S130">
        <v>2580</v>
      </c>
      <c r="T130">
        <v>2429</v>
      </c>
    </row>
    <row r="131" spans="1:20" x14ac:dyDescent="0.35">
      <c r="A131" s="7" t="s">
        <v>219</v>
      </c>
      <c r="B131" s="12" t="s">
        <v>148</v>
      </c>
      <c r="C131">
        <v>132858369.91754568</v>
      </c>
      <c r="D131">
        <v>124882340.01388974</v>
      </c>
      <c r="E131">
        <v>9963063.0630630646</v>
      </c>
      <c r="F131">
        <v>10547905.405405406</v>
      </c>
      <c r="G131">
        <v>91</v>
      </c>
      <c r="H131">
        <v>23</v>
      </c>
      <c r="K131">
        <v>105</v>
      </c>
      <c r="L131">
        <v>32</v>
      </c>
      <c r="M131">
        <v>95446872.972972974</v>
      </c>
      <c r="N131">
        <v>122044940.54054055</v>
      </c>
      <c r="O131">
        <v>41511306.306306303</v>
      </c>
      <c r="P131">
        <v>37697009.009009011</v>
      </c>
      <c r="Q131">
        <v>95110900.9009009</v>
      </c>
      <c r="R131">
        <v>118857747.74774775</v>
      </c>
      <c r="S131">
        <v>3567</v>
      </c>
      <c r="T131">
        <v>2442</v>
      </c>
    </row>
    <row r="132" spans="1:20" x14ac:dyDescent="0.35">
      <c r="A132" s="7" t="s">
        <v>220</v>
      </c>
      <c r="B132" s="12" t="s">
        <v>221</v>
      </c>
      <c r="C132">
        <v>262150951.66546619</v>
      </c>
      <c r="D132">
        <v>252455339.74615747</v>
      </c>
      <c r="E132">
        <v>734729333.33333337</v>
      </c>
      <c r="F132">
        <v>578030395.49549556</v>
      </c>
      <c r="G132">
        <v>93</v>
      </c>
      <c r="H132">
        <v>110</v>
      </c>
      <c r="K132">
        <v>105</v>
      </c>
      <c r="L132">
        <v>185</v>
      </c>
      <c r="M132">
        <v>250139735.13513514</v>
      </c>
      <c r="N132">
        <v>449390477.47747749</v>
      </c>
      <c r="O132">
        <v>66831344.59459459</v>
      </c>
      <c r="P132">
        <v>71081450.45045045</v>
      </c>
      <c r="Q132">
        <v>362184504.5045045</v>
      </c>
      <c r="R132">
        <v>379968603.6036036</v>
      </c>
      <c r="S132">
        <v>6875</v>
      </c>
      <c r="T132">
        <v>6319</v>
      </c>
    </row>
    <row r="133" spans="1:20" x14ac:dyDescent="0.35">
      <c r="A133" s="7" t="s">
        <v>222</v>
      </c>
      <c r="B133" s="12" t="s">
        <v>53</v>
      </c>
      <c r="C133">
        <v>624835333.62858415</v>
      </c>
      <c r="D133">
        <v>656392188.047279</v>
      </c>
      <c r="E133">
        <v>5838513.5135135194</v>
      </c>
      <c r="F133">
        <v>12555517.117117124</v>
      </c>
      <c r="G133">
        <v>140</v>
      </c>
      <c r="H133">
        <v>149</v>
      </c>
      <c r="K133">
        <v>179</v>
      </c>
      <c r="L133">
        <v>214</v>
      </c>
      <c r="M133">
        <v>44101621.621621631</v>
      </c>
      <c r="N133">
        <v>98196618.018018022</v>
      </c>
      <c r="O133">
        <v>199233333.33333334</v>
      </c>
      <c r="P133">
        <v>212522072.07207206</v>
      </c>
      <c r="Q133">
        <v>53554504.504504502</v>
      </c>
      <c r="R133">
        <v>86396756.756756753</v>
      </c>
      <c r="S133">
        <v>12886</v>
      </c>
      <c r="T133">
        <v>11816</v>
      </c>
    </row>
    <row r="134" spans="1:20" x14ac:dyDescent="0.35">
      <c r="A134" s="7" t="s">
        <v>223</v>
      </c>
      <c r="B134" s="12" t="s">
        <v>77</v>
      </c>
      <c r="C134">
        <v>480328723.88996661</v>
      </c>
      <c r="D134">
        <v>488013079.08202928</v>
      </c>
      <c r="E134">
        <v>1525450.450450456</v>
      </c>
      <c r="F134">
        <v>2174975.6756756809</v>
      </c>
      <c r="G134">
        <v>143</v>
      </c>
      <c r="H134">
        <v>121</v>
      </c>
      <c r="K134">
        <v>149</v>
      </c>
      <c r="L134">
        <v>126</v>
      </c>
      <c r="M134">
        <v>34673243.24324324</v>
      </c>
      <c r="N134">
        <v>45771950.450450458</v>
      </c>
      <c r="O134">
        <v>92338164.864864871</v>
      </c>
      <c r="P134">
        <v>103511324.32432432</v>
      </c>
      <c r="Q134">
        <v>30275135.135135133</v>
      </c>
      <c r="R134">
        <v>37646846.846846849</v>
      </c>
      <c r="S134">
        <v>7305</v>
      </c>
      <c r="T134">
        <v>7043</v>
      </c>
    </row>
    <row r="135" spans="1:20" x14ac:dyDescent="0.35">
      <c r="A135" s="7" t="s">
        <v>224</v>
      </c>
      <c r="B135" s="12" t="s">
        <v>225</v>
      </c>
      <c r="C135">
        <v>41310400.029059052</v>
      </c>
      <c r="D135">
        <v>41799572.955532163</v>
      </c>
      <c r="E135">
        <v>16216.216216216</v>
      </c>
      <c r="F135">
        <v>27557.657657658001</v>
      </c>
      <c r="G135">
        <v>4</v>
      </c>
      <c r="H135">
        <v>2</v>
      </c>
      <c r="K135">
        <v>4</v>
      </c>
      <c r="L135">
        <v>2</v>
      </c>
      <c r="M135">
        <v>917117.11711711704</v>
      </c>
      <c r="N135">
        <v>1779506.306306306</v>
      </c>
      <c r="O135">
        <v>10465117.117117116</v>
      </c>
      <c r="P135">
        <v>9719702.7027027048</v>
      </c>
      <c r="Q135">
        <v>1126396.396396396</v>
      </c>
      <c r="R135">
        <v>1277567.567567568</v>
      </c>
      <c r="S135">
        <v>806</v>
      </c>
      <c r="T135">
        <v>806</v>
      </c>
    </row>
    <row r="136" spans="1:20" x14ac:dyDescent="0.35">
      <c r="A136" s="7" t="s">
        <v>226</v>
      </c>
      <c r="B136" s="12" t="s">
        <v>144</v>
      </c>
      <c r="C136">
        <v>391089428.67533529</v>
      </c>
      <c r="D136">
        <v>400373029.03174812</v>
      </c>
      <c r="E136">
        <v>3844144.1441441448</v>
      </c>
      <c r="F136">
        <v>2366781.9819819881</v>
      </c>
      <c r="G136">
        <v>152</v>
      </c>
      <c r="H136">
        <v>47</v>
      </c>
      <c r="K136">
        <v>167</v>
      </c>
      <c r="L136">
        <v>57</v>
      </c>
      <c r="M136">
        <v>23712612.612612616</v>
      </c>
      <c r="N136">
        <v>25583335.13513514</v>
      </c>
      <c r="O136">
        <v>49436600.45045045</v>
      </c>
      <c r="P136">
        <v>58499673.873873875</v>
      </c>
      <c r="Q136">
        <v>15208648.648648648</v>
      </c>
      <c r="R136">
        <v>17106936.936936937</v>
      </c>
      <c r="S136">
        <v>6776</v>
      </c>
      <c r="T136">
        <v>5968</v>
      </c>
    </row>
    <row r="137" spans="1:20" x14ac:dyDescent="0.35">
      <c r="A137" s="7" t="s">
        <v>227</v>
      </c>
      <c r="B137" s="12" t="s">
        <v>225</v>
      </c>
      <c r="C137">
        <v>45207425.484682664</v>
      </c>
      <c r="D137">
        <v>44004784.214221999</v>
      </c>
      <c r="E137">
        <v>135135.13513513599</v>
      </c>
      <c r="F137">
        <v>139533.33333333401</v>
      </c>
      <c r="G137">
        <v>16</v>
      </c>
      <c r="H137">
        <v>9</v>
      </c>
      <c r="K137">
        <v>18</v>
      </c>
      <c r="L137">
        <v>12</v>
      </c>
      <c r="M137">
        <v>6082162.1621621624</v>
      </c>
      <c r="N137">
        <v>10717929.729729729</v>
      </c>
      <c r="O137">
        <v>12186058.558558561</v>
      </c>
      <c r="P137">
        <v>10229315.315315315</v>
      </c>
      <c r="Q137">
        <v>4986756.7567567574</v>
      </c>
      <c r="R137">
        <v>9194234.2342342343</v>
      </c>
      <c r="S137">
        <v>824</v>
      </c>
      <c r="T137">
        <v>747</v>
      </c>
    </row>
    <row r="138" spans="1:20" x14ac:dyDescent="0.35">
      <c r="A138" s="7" t="s">
        <v>228</v>
      </c>
      <c r="B138" s="12" t="s">
        <v>79</v>
      </c>
      <c r="C138">
        <v>370297692.13621688</v>
      </c>
      <c r="D138">
        <v>379039629.92179596</v>
      </c>
      <c r="E138">
        <v>4157657.6576576601</v>
      </c>
      <c r="F138">
        <v>4897493.6936936928</v>
      </c>
      <c r="G138">
        <v>81</v>
      </c>
      <c r="H138">
        <v>44</v>
      </c>
      <c r="K138">
        <v>93</v>
      </c>
      <c r="L138">
        <v>52</v>
      </c>
      <c r="M138">
        <v>44036756.756756753</v>
      </c>
      <c r="N138">
        <v>43865465.765765771</v>
      </c>
      <c r="O138">
        <v>148204513.51351351</v>
      </c>
      <c r="P138">
        <v>155308324.32432431</v>
      </c>
      <c r="Q138">
        <v>38850900.900900893</v>
      </c>
      <c r="R138">
        <v>38605538.738738745</v>
      </c>
      <c r="S138">
        <v>5172</v>
      </c>
      <c r="T138">
        <v>4701</v>
      </c>
    </row>
    <row r="139" spans="1:20" x14ac:dyDescent="0.35">
      <c r="A139" s="7" t="s">
        <v>229</v>
      </c>
      <c r="B139" s="12" t="s">
        <v>137</v>
      </c>
      <c r="C139">
        <v>480401811.95594579</v>
      </c>
      <c r="D139">
        <v>489485957.08828527</v>
      </c>
      <c r="E139">
        <v>22268693.693693697</v>
      </c>
      <c r="F139">
        <v>87360181.981981978</v>
      </c>
      <c r="G139">
        <v>120</v>
      </c>
      <c r="H139">
        <v>95</v>
      </c>
      <c r="I139">
        <v>1</v>
      </c>
      <c r="K139">
        <v>137</v>
      </c>
      <c r="L139">
        <v>107</v>
      </c>
      <c r="M139">
        <v>56209909.909909911</v>
      </c>
      <c r="N139">
        <v>76852633.333333328</v>
      </c>
      <c r="O139">
        <v>111371061.26126127</v>
      </c>
      <c r="P139">
        <v>119341798.1981982</v>
      </c>
      <c r="Q139">
        <v>47003736.936936937</v>
      </c>
      <c r="R139">
        <v>69069729.729729727</v>
      </c>
      <c r="S139">
        <v>7980</v>
      </c>
      <c r="T139">
        <v>5854</v>
      </c>
    </row>
    <row r="140" spans="1:20" x14ac:dyDescent="0.35">
      <c r="A140" s="7" t="s">
        <v>230</v>
      </c>
      <c r="B140" s="12" t="s">
        <v>79</v>
      </c>
      <c r="C140">
        <v>137619953.43522111</v>
      </c>
      <c r="D140">
        <v>150251661.29996336</v>
      </c>
      <c r="E140">
        <v>4583333.333333333</v>
      </c>
      <c r="F140">
        <v>6490911.7117117122</v>
      </c>
      <c r="G140">
        <v>71</v>
      </c>
      <c r="H140">
        <v>57</v>
      </c>
      <c r="I140">
        <v>2</v>
      </c>
      <c r="K140">
        <v>80</v>
      </c>
      <c r="L140">
        <v>66</v>
      </c>
      <c r="M140">
        <v>28190090.090090089</v>
      </c>
      <c r="N140">
        <v>33981803.603603601</v>
      </c>
      <c r="O140">
        <v>65248989.189189196</v>
      </c>
      <c r="P140">
        <v>71161079.279279277</v>
      </c>
      <c r="Q140">
        <v>27973196.396396395</v>
      </c>
      <c r="R140">
        <v>30178691.891891893</v>
      </c>
      <c r="S140">
        <v>2750</v>
      </c>
      <c r="T140">
        <v>2589</v>
      </c>
    </row>
    <row r="141" spans="1:20" x14ac:dyDescent="0.35">
      <c r="A141" s="7" t="s">
        <v>231</v>
      </c>
      <c r="B141" s="12" t="s">
        <v>55</v>
      </c>
      <c r="C141">
        <v>404997292.6222468</v>
      </c>
      <c r="D141">
        <v>410067435.01210213</v>
      </c>
      <c r="E141">
        <v>1047747.747747748</v>
      </c>
      <c r="F141">
        <v>1267223.423423423</v>
      </c>
      <c r="G141">
        <v>48</v>
      </c>
      <c r="H141">
        <v>60</v>
      </c>
      <c r="K141">
        <v>54</v>
      </c>
      <c r="L141">
        <v>72</v>
      </c>
      <c r="M141">
        <v>23919819.819819819</v>
      </c>
      <c r="N141">
        <v>24373183.783783782</v>
      </c>
      <c r="O141">
        <v>97862338.738738731</v>
      </c>
      <c r="P141">
        <v>103104333.33333333</v>
      </c>
      <c r="Q141">
        <v>26863873.873873875</v>
      </c>
      <c r="R141">
        <v>17971711.711711712</v>
      </c>
      <c r="S141">
        <v>7361</v>
      </c>
      <c r="T141">
        <v>6719</v>
      </c>
    </row>
    <row r="142" spans="1:20" x14ac:dyDescent="0.35">
      <c r="A142" s="7" t="s">
        <v>232</v>
      </c>
      <c r="B142" s="12" t="s">
        <v>79</v>
      </c>
      <c r="C142">
        <v>155668898.5957998</v>
      </c>
      <c r="D142">
        <v>156493843.06090656</v>
      </c>
      <c r="E142">
        <v>4204504.5045045046</v>
      </c>
      <c r="F142">
        <v>7065276.5765765794</v>
      </c>
      <c r="G142">
        <v>91</v>
      </c>
      <c r="H142">
        <v>52</v>
      </c>
      <c r="I142">
        <v>2</v>
      </c>
      <c r="K142">
        <v>106</v>
      </c>
      <c r="L142">
        <v>79</v>
      </c>
      <c r="M142">
        <v>37942342.342342347</v>
      </c>
      <c r="N142">
        <v>57122909.009009011</v>
      </c>
      <c r="O142">
        <v>73237324.324324325</v>
      </c>
      <c r="P142">
        <v>74279306.306306303</v>
      </c>
      <c r="Q142">
        <v>37990990.990990989</v>
      </c>
      <c r="R142">
        <v>54656126.126126118</v>
      </c>
      <c r="S142">
        <v>4147</v>
      </c>
      <c r="T142">
        <v>4031</v>
      </c>
    </row>
    <row r="143" spans="1:20" x14ac:dyDescent="0.35">
      <c r="A143" s="7" t="s">
        <v>233</v>
      </c>
      <c r="B143" s="12" t="s">
        <v>61</v>
      </c>
      <c r="C143">
        <v>140269764.42104125</v>
      </c>
      <c r="D143">
        <v>138719826.8482967</v>
      </c>
      <c r="G143">
        <v>54</v>
      </c>
      <c r="H143">
        <v>9</v>
      </c>
      <c r="K143">
        <v>57</v>
      </c>
      <c r="L143">
        <v>11</v>
      </c>
      <c r="O143">
        <v>57685045.045045048</v>
      </c>
      <c r="P143">
        <v>57721657.657657653</v>
      </c>
      <c r="S143">
        <v>2033</v>
      </c>
      <c r="T143">
        <v>1856</v>
      </c>
    </row>
    <row r="144" spans="1:20" x14ac:dyDescent="0.35">
      <c r="A144" s="7" t="s">
        <v>234</v>
      </c>
      <c r="B144" s="12" t="s">
        <v>55</v>
      </c>
      <c r="C144">
        <v>65958521.575528271</v>
      </c>
      <c r="D144">
        <v>65259413.505553879</v>
      </c>
      <c r="E144">
        <v>157657.65765765699</v>
      </c>
      <c r="F144">
        <v>2021621.6216216211</v>
      </c>
      <c r="G144">
        <v>49</v>
      </c>
      <c r="H144">
        <v>8</v>
      </c>
      <c r="K144">
        <v>62</v>
      </c>
      <c r="L144">
        <v>8</v>
      </c>
      <c r="M144">
        <v>3209279.2792792781</v>
      </c>
      <c r="N144">
        <v>6778378.3783783792</v>
      </c>
      <c r="O144">
        <v>14649855.855855856</v>
      </c>
      <c r="P144">
        <v>16357927.927927928</v>
      </c>
      <c r="Q144">
        <v>3077567.5675675669</v>
      </c>
      <c r="R144">
        <v>6764234.2342342352</v>
      </c>
      <c r="S144">
        <v>1641</v>
      </c>
      <c r="T144">
        <v>997</v>
      </c>
    </row>
    <row r="145" spans="1:20" x14ac:dyDescent="0.35">
      <c r="A145" s="7" t="s">
        <v>235</v>
      </c>
      <c r="B145" s="12" t="s">
        <v>168</v>
      </c>
      <c r="C145">
        <v>308554725.30376214</v>
      </c>
      <c r="D145">
        <v>295881179.60166943</v>
      </c>
      <c r="E145">
        <v>530630.63063062902</v>
      </c>
      <c r="F145">
        <v>2236318.9189189179</v>
      </c>
      <c r="G145">
        <v>24</v>
      </c>
      <c r="H145">
        <v>25</v>
      </c>
      <c r="K145">
        <v>28</v>
      </c>
      <c r="L145">
        <v>27</v>
      </c>
      <c r="M145">
        <v>35190438.738738738</v>
      </c>
      <c r="N145">
        <v>49930074.774774775</v>
      </c>
      <c r="O145">
        <v>85591725.225225225</v>
      </c>
      <c r="P145">
        <v>100429684.68468469</v>
      </c>
      <c r="Q145">
        <v>17182252.252252251</v>
      </c>
      <c r="R145">
        <v>26850450.45045045</v>
      </c>
      <c r="S145">
        <v>5289</v>
      </c>
      <c r="T145">
        <v>5267</v>
      </c>
    </row>
    <row r="146" spans="1:20" x14ac:dyDescent="0.35">
      <c r="A146" s="7" t="s">
        <v>236</v>
      </c>
      <c r="B146" s="12" t="s">
        <v>237</v>
      </c>
      <c r="C146">
        <v>6338.6316388719997</v>
      </c>
      <c r="D146">
        <v>1144.9650941479999</v>
      </c>
      <c r="O146">
        <v>9009.0090090089998</v>
      </c>
      <c r="S146">
        <v>39</v>
      </c>
      <c r="T146">
        <v>2</v>
      </c>
    </row>
    <row r="147" spans="1:20" x14ac:dyDescent="0.35">
      <c r="A147" s="7" t="s">
        <v>238</v>
      </c>
      <c r="B147" s="12" t="s">
        <v>106</v>
      </c>
      <c r="C147">
        <v>182340632.67459047</v>
      </c>
      <c r="D147">
        <v>181965047.14522845</v>
      </c>
      <c r="E147">
        <v>981981.98198198096</v>
      </c>
      <c r="F147">
        <v>705022.52252252295</v>
      </c>
      <c r="G147">
        <v>23</v>
      </c>
      <c r="H147">
        <v>25</v>
      </c>
      <c r="K147">
        <v>25</v>
      </c>
      <c r="L147">
        <v>26</v>
      </c>
      <c r="M147">
        <v>28334774.774774775</v>
      </c>
      <c r="N147">
        <v>25554125.225225225</v>
      </c>
      <c r="O147">
        <v>52897099.099099107</v>
      </c>
      <c r="P147">
        <v>56934369.369369365</v>
      </c>
      <c r="Q147">
        <v>27421981.981981982</v>
      </c>
      <c r="R147">
        <v>22823333.333333336</v>
      </c>
      <c r="S147">
        <v>2217</v>
      </c>
      <c r="T147">
        <v>1861</v>
      </c>
    </row>
    <row r="148" spans="1:20" x14ac:dyDescent="0.35">
      <c r="A148" s="7" t="s">
        <v>3</v>
      </c>
      <c r="B148" s="12" t="s">
        <v>159</v>
      </c>
      <c r="C148">
        <v>374568134.88479263</v>
      </c>
      <c r="D148">
        <v>330810364.6796394</v>
      </c>
      <c r="E148">
        <v>5600675.6756756771</v>
      </c>
      <c r="F148">
        <v>4810290.9909909908</v>
      </c>
      <c r="G148">
        <v>61</v>
      </c>
      <c r="H148">
        <v>61</v>
      </c>
      <c r="K148">
        <v>68</v>
      </c>
      <c r="L148">
        <v>70</v>
      </c>
      <c r="M148">
        <v>72558558.558558553</v>
      </c>
      <c r="N148">
        <v>103161614.41441442</v>
      </c>
      <c r="O148">
        <v>102058135.13513513</v>
      </c>
      <c r="P148">
        <v>94351810.810810819</v>
      </c>
      <c r="Q148">
        <v>66120990.990990989</v>
      </c>
      <c r="R148">
        <v>98432882.882882878</v>
      </c>
      <c r="S148">
        <v>3911</v>
      </c>
      <c r="T148">
        <v>3522</v>
      </c>
    </row>
    <row r="149" spans="1:20" x14ac:dyDescent="0.35">
      <c r="A149" s="7" t="s">
        <v>239</v>
      </c>
      <c r="B149" s="12" t="s">
        <v>179</v>
      </c>
      <c r="C149">
        <v>291945285.49877626</v>
      </c>
      <c r="D149">
        <v>303257297.47956109</v>
      </c>
      <c r="E149">
        <v>310941441.44144148</v>
      </c>
      <c r="F149">
        <v>294095340.54054052</v>
      </c>
      <c r="G149">
        <v>81</v>
      </c>
      <c r="H149">
        <v>69</v>
      </c>
      <c r="K149">
        <v>99</v>
      </c>
      <c r="L149">
        <v>79</v>
      </c>
      <c r="M149">
        <v>45104054.054054059</v>
      </c>
      <c r="N149">
        <v>59449125.225225225</v>
      </c>
      <c r="O149">
        <v>93115450.45045045</v>
      </c>
      <c r="P149">
        <v>97950315.315315306</v>
      </c>
      <c r="Q149">
        <v>34288738.738738738</v>
      </c>
      <c r="R149">
        <v>52346216.216216214</v>
      </c>
      <c r="S149">
        <v>5761</v>
      </c>
      <c r="T149">
        <v>5062</v>
      </c>
    </row>
    <row r="150" spans="1:20" x14ac:dyDescent="0.35">
      <c r="A150" s="7" t="s">
        <v>240</v>
      </c>
      <c r="B150" s="12" t="s">
        <v>55</v>
      </c>
      <c r="C150">
        <v>209673451.51322496</v>
      </c>
      <c r="D150">
        <v>218788504.77450478</v>
      </c>
      <c r="E150">
        <v>4224324.3243243247</v>
      </c>
      <c r="F150">
        <v>2303902.702702702</v>
      </c>
      <c r="G150">
        <v>36</v>
      </c>
      <c r="H150">
        <v>55</v>
      </c>
      <c r="K150">
        <v>37</v>
      </c>
      <c r="L150">
        <v>83</v>
      </c>
      <c r="M150">
        <v>27617477.47747748</v>
      </c>
      <c r="N150">
        <v>27873084.684684683</v>
      </c>
      <c r="O150">
        <v>57726284.684684686</v>
      </c>
      <c r="P150">
        <v>65320499.0990991</v>
      </c>
      <c r="Q150">
        <v>24609996.396396395</v>
      </c>
      <c r="R150">
        <v>28349369.369369369</v>
      </c>
      <c r="S150">
        <v>3607</v>
      </c>
      <c r="T150">
        <v>3341</v>
      </c>
    </row>
    <row r="151" spans="1:20" x14ac:dyDescent="0.35">
      <c r="A151" s="7" t="s">
        <v>241</v>
      </c>
      <c r="B151" s="12" t="s">
        <v>242</v>
      </c>
      <c r="C151">
        <v>180165144.37835175</v>
      </c>
      <c r="D151">
        <v>171130306.46781757</v>
      </c>
      <c r="E151">
        <v>1743243.2432432401</v>
      </c>
      <c r="F151">
        <v>1965521.6216216211</v>
      </c>
      <c r="G151">
        <v>79</v>
      </c>
      <c r="H151">
        <v>64</v>
      </c>
      <c r="K151">
        <v>85</v>
      </c>
      <c r="L151">
        <v>81</v>
      </c>
      <c r="M151">
        <v>57765045.045045048</v>
      </c>
      <c r="N151">
        <v>23892222.522522524</v>
      </c>
      <c r="O151">
        <v>42304052.252252258</v>
      </c>
      <c r="P151">
        <v>44924846.846846849</v>
      </c>
      <c r="Q151">
        <v>52711981.981981985</v>
      </c>
      <c r="R151">
        <v>22311981.981981985</v>
      </c>
      <c r="S151">
        <v>3115</v>
      </c>
      <c r="T151">
        <v>3227</v>
      </c>
    </row>
    <row r="152" spans="1:20" x14ac:dyDescent="0.35">
      <c r="A152" s="7" t="s">
        <v>243</v>
      </c>
      <c r="B152" s="12" t="s">
        <v>242</v>
      </c>
      <c r="C152">
        <v>459910838.10292691</v>
      </c>
      <c r="D152">
        <v>416469873.87765634</v>
      </c>
      <c r="E152">
        <v>7419819.8198198201</v>
      </c>
      <c r="F152">
        <v>10457328.82882883</v>
      </c>
      <c r="G152">
        <v>188</v>
      </c>
      <c r="H152">
        <v>160</v>
      </c>
      <c r="K152">
        <v>208</v>
      </c>
      <c r="L152">
        <v>176</v>
      </c>
      <c r="M152">
        <v>172536306.3063063</v>
      </c>
      <c r="N152">
        <v>155990552.25225225</v>
      </c>
      <c r="O152">
        <v>137138909.9099099</v>
      </c>
      <c r="P152">
        <v>135403585.58558559</v>
      </c>
      <c r="Q152">
        <v>162557207.2072072</v>
      </c>
      <c r="R152">
        <v>148352522.52252254</v>
      </c>
      <c r="S152">
        <v>8281</v>
      </c>
      <c r="T152">
        <v>6846</v>
      </c>
    </row>
    <row r="153" spans="1:20" x14ac:dyDescent="0.35">
      <c r="A153" s="7" t="s">
        <v>244</v>
      </c>
      <c r="B153" s="12" t="s">
        <v>51</v>
      </c>
      <c r="C153">
        <v>83517636.146837711</v>
      </c>
      <c r="D153">
        <v>75242343.680410475</v>
      </c>
      <c r="E153">
        <v>3550450.450450452</v>
      </c>
      <c r="F153">
        <v>2311665.7657657671</v>
      </c>
      <c r="G153">
        <v>27</v>
      </c>
      <c r="H153">
        <v>14</v>
      </c>
      <c r="K153">
        <v>27</v>
      </c>
      <c r="L153">
        <v>16</v>
      </c>
      <c r="M153">
        <v>18512252.252252251</v>
      </c>
      <c r="N153">
        <v>5914136.0360360369</v>
      </c>
      <c r="O153">
        <v>27035549.549549554</v>
      </c>
      <c r="P153">
        <v>25843243.243243244</v>
      </c>
      <c r="Q153">
        <v>16362792.792792792</v>
      </c>
      <c r="R153">
        <v>4960585.5855855849</v>
      </c>
      <c r="S153">
        <v>1303</v>
      </c>
      <c r="T153">
        <v>554</v>
      </c>
    </row>
    <row r="154" spans="1:20" x14ac:dyDescent="0.35">
      <c r="A154" s="7" t="s">
        <v>245</v>
      </c>
      <c r="B154" s="12" t="s">
        <v>182</v>
      </c>
      <c r="C154">
        <v>2519221828.886487</v>
      </c>
      <c r="D154">
        <v>2406359518.8423424</v>
      </c>
      <c r="E154">
        <v>232624921.62162164</v>
      </c>
      <c r="F154">
        <v>280960005.4054054</v>
      </c>
      <c r="G154">
        <v>1074</v>
      </c>
      <c r="H154">
        <v>1034</v>
      </c>
      <c r="I154">
        <v>17</v>
      </c>
      <c r="K154">
        <v>1620</v>
      </c>
      <c r="L154">
        <v>1339</v>
      </c>
      <c r="M154">
        <v>353646216.21621621</v>
      </c>
      <c r="N154">
        <v>598891456.75675678</v>
      </c>
      <c r="O154">
        <v>546316479.27927935</v>
      </c>
      <c r="P154">
        <v>568220394.5945946</v>
      </c>
      <c r="Q154">
        <v>370491621.62162161</v>
      </c>
      <c r="R154">
        <v>585403963.96396387</v>
      </c>
      <c r="S154">
        <v>60966</v>
      </c>
      <c r="T154">
        <v>40034</v>
      </c>
    </row>
    <row r="155" spans="1:20" x14ac:dyDescent="0.35">
      <c r="A155" s="7" t="s">
        <v>246</v>
      </c>
      <c r="B155" s="12" t="s">
        <v>49</v>
      </c>
      <c r="C155">
        <v>112042712.60345808</v>
      </c>
      <c r="D155">
        <v>110374440.22767973</v>
      </c>
      <c r="E155">
        <v>248135195.4954955</v>
      </c>
      <c r="F155">
        <v>107311088.2882883</v>
      </c>
      <c r="G155">
        <v>15</v>
      </c>
      <c r="H155">
        <v>7</v>
      </c>
      <c r="K155">
        <v>19</v>
      </c>
      <c r="L155">
        <v>7</v>
      </c>
      <c r="M155">
        <v>45942213.513513513</v>
      </c>
      <c r="N155">
        <v>31728874.774774775</v>
      </c>
      <c r="O155">
        <v>27083882.882882886</v>
      </c>
      <c r="P155">
        <v>29484567.567567568</v>
      </c>
      <c r="Q155">
        <v>30474504.504504506</v>
      </c>
      <c r="R155">
        <v>10260900.900900904</v>
      </c>
      <c r="S155">
        <v>2158</v>
      </c>
      <c r="T155">
        <v>1813</v>
      </c>
    </row>
    <row r="156" spans="1:20" x14ac:dyDescent="0.35">
      <c r="A156" s="7" t="s">
        <v>247</v>
      </c>
      <c r="B156" s="12" t="s">
        <v>95</v>
      </c>
      <c r="C156">
        <v>34661497.610934697</v>
      </c>
      <c r="D156">
        <v>27246840.778284773</v>
      </c>
      <c r="G156">
        <v>5</v>
      </c>
      <c r="K156">
        <v>5</v>
      </c>
      <c r="O156">
        <v>6909675.6756756762</v>
      </c>
      <c r="P156">
        <v>5371081.0810810812</v>
      </c>
      <c r="S156">
        <v>754</v>
      </c>
      <c r="T156">
        <v>693</v>
      </c>
    </row>
    <row r="157" spans="1:20" x14ac:dyDescent="0.35">
      <c r="A157" s="7" t="s">
        <v>248</v>
      </c>
      <c r="B157" s="12" t="s">
        <v>118</v>
      </c>
      <c r="C157">
        <v>102650176.08272742</v>
      </c>
      <c r="D157">
        <v>94903735.539544433</v>
      </c>
      <c r="E157">
        <v>2519142.3423423418</v>
      </c>
      <c r="F157">
        <v>2863510.81081081</v>
      </c>
      <c r="G157">
        <v>15</v>
      </c>
      <c r="H157">
        <v>21</v>
      </c>
      <c r="K157">
        <v>20</v>
      </c>
      <c r="L157">
        <v>31</v>
      </c>
      <c r="M157">
        <v>19369369.369369373</v>
      </c>
      <c r="N157">
        <v>111273427.92792793</v>
      </c>
      <c r="O157">
        <v>48994162.162162162</v>
      </c>
      <c r="P157">
        <v>49204225.225225225</v>
      </c>
      <c r="Q157">
        <v>19057477.477477476</v>
      </c>
      <c r="R157">
        <v>12939909.909909908</v>
      </c>
      <c r="S157">
        <v>1903</v>
      </c>
      <c r="T157">
        <v>1722</v>
      </c>
    </row>
    <row r="158" spans="1:20" x14ac:dyDescent="0.35">
      <c r="A158" s="7" t="s">
        <v>249</v>
      </c>
      <c r="B158" s="12" t="s">
        <v>122</v>
      </c>
      <c r="C158">
        <v>166255610.61274454</v>
      </c>
      <c r="D158">
        <v>152596193.26530737</v>
      </c>
      <c r="E158">
        <v>901801.80180180201</v>
      </c>
      <c r="F158">
        <v>480478.37837838201</v>
      </c>
      <c r="G158">
        <v>93</v>
      </c>
      <c r="H158">
        <v>97</v>
      </c>
      <c r="K158">
        <v>99</v>
      </c>
      <c r="L158">
        <v>101</v>
      </c>
      <c r="M158">
        <v>6815315.3153153136</v>
      </c>
      <c r="N158">
        <v>8128408.1081081107</v>
      </c>
      <c r="O158">
        <v>18461810.810810812</v>
      </c>
      <c r="P158">
        <v>17442360.360360362</v>
      </c>
      <c r="Q158">
        <v>4995315.3153153164</v>
      </c>
      <c r="R158">
        <v>6364864.8648648635</v>
      </c>
      <c r="S158">
        <v>2579</v>
      </c>
      <c r="T158">
        <v>2328</v>
      </c>
    </row>
    <row r="159" spans="1:20" x14ac:dyDescent="0.35">
      <c r="A159" s="7" t="s">
        <v>250</v>
      </c>
      <c r="B159" s="12" t="s">
        <v>77</v>
      </c>
      <c r="C159">
        <v>73292832.855454162</v>
      </c>
      <c r="D159">
        <v>71126222.786867738</v>
      </c>
      <c r="G159">
        <v>7</v>
      </c>
      <c r="H159">
        <v>1</v>
      </c>
      <c r="K159">
        <v>7</v>
      </c>
      <c r="L159">
        <v>1</v>
      </c>
      <c r="O159">
        <v>7325630.630630631</v>
      </c>
      <c r="P159">
        <v>8108882.8828828828</v>
      </c>
      <c r="S159">
        <v>1789</v>
      </c>
      <c r="T159">
        <v>1737</v>
      </c>
    </row>
    <row r="160" spans="1:20" x14ac:dyDescent="0.35">
      <c r="A160" s="7" t="s">
        <v>251</v>
      </c>
      <c r="B160" s="12" t="s">
        <v>168</v>
      </c>
      <c r="C160">
        <v>235729943.59721929</v>
      </c>
      <c r="D160">
        <v>236878228.6531851</v>
      </c>
      <c r="E160">
        <v>107149549.54954955</v>
      </c>
      <c r="F160">
        <v>217045072.97297296</v>
      </c>
      <c r="G160">
        <v>38</v>
      </c>
      <c r="H160">
        <v>10</v>
      </c>
      <c r="K160">
        <v>43</v>
      </c>
      <c r="L160">
        <v>12</v>
      </c>
      <c r="M160">
        <v>4954954.9549549539</v>
      </c>
      <c r="N160">
        <v>12425420.720720721</v>
      </c>
      <c r="O160">
        <v>43632400.9009009</v>
      </c>
      <c r="P160">
        <v>59684801.801801801</v>
      </c>
      <c r="Q160">
        <v>3983693.6936936928</v>
      </c>
      <c r="R160">
        <v>6511981.9819819806</v>
      </c>
      <c r="S160">
        <v>3806</v>
      </c>
      <c r="T160">
        <v>3627</v>
      </c>
    </row>
    <row r="161" spans="1:20" x14ac:dyDescent="0.35">
      <c r="A161" s="7" t="s">
        <v>252</v>
      </c>
      <c r="B161" s="12" t="s">
        <v>90</v>
      </c>
      <c r="C161">
        <v>698127113.86227262</v>
      </c>
      <c r="D161">
        <v>725722154.1438607</v>
      </c>
      <c r="E161">
        <v>6031081.0810810849</v>
      </c>
      <c r="F161">
        <v>6578927.0270270314</v>
      </c>
      <c r="G161">
        <v>126</v>
      </c>
      <c r="H161">
        <v>57</v>
      </c>
      <c r="I161">
        <v>1</v>
      </c>
      <c r="K161">
        <v>138</v>
      </c>
      <c r="L161">
        <v>76</v>
      </c>
      <c r="M161">
        <v>57147837.83783783</v>
      </c>
      <c r="N161">
        <v>59079344.144144148</v>
      </c>
      <c r="O161">
        <v>169720313.51351351</v>
      </c>
      <c r="P161">
        <v>190515045.04504505</v>
      </c>
      <c r="Q161">
        <v>54021891.891891889</v>
      </c>
      <c r="R161">
        <v>59532252.252252258</v>
      </c>
      <c r="S161">
        <v>10489</v>
      </c>
      <c r="T161">
        <v>12858</v>
      </c>
    </row>
    <row r="162" spans="1:20" x14ac:dyDescent="0.35">
      <c r="A162" s="7" t="s">
        <v>253</v>
      </c>
      <c r="B162" s="12" t="s">
        <v>79</v>
      </c>
      <c r="C162">
        <v>208111295.99312532</v>
      </c>
      <c r="D162">
        <v>207745636.14824736</v>
      </c>
      <c r="E162">
        <v>2844144.1441441448</v>
      </c>
      <c r="F162">
        <v>1880186.486486489</v>
      </c>
      <c r="G162">
        <v>35</v>
      </c>
      <c r="H162">
        <v>21</v>
      </c>
      <c r="K162">
        <v>37</v>
      </c>
      <c r="L162">
        <v>22</v>
      </c>
      <c r="M162">
        <v>40193873.873873875</v>
      </c>
      <c r="N162">
        <v>36753434.234234229</v>
      </c>
      <c r="O162">
        <v>57548288.288288288</v>
      </c>
      <c r="P162">
        <v>59821846.846846849</v>
      </c>
      <c r="Q162">
        <v>38715135.135135137</v>
      </c>
      <c r="R162">
        <v>35121621.621621624</v>
      </c>
      <c r="S162">
        <v>3354</v>
      </c>
      <c r="T162">
        <v>3003</v>
      </c>
    </row>
    <row r="163" spans="1:20" x14ac:dyDescent="0.35">
      <c r="A163" s="7" t="s">
        <v>254</v>
      </c>
      <c r="B163" s="12" t="s">
        <v>106</v>
      </c>
      <c r="C163">
        <v>403212128.28180736</v>
      </c>
      <c r="D163">
        <v>416562589.23180026</v>
      </c>
      <c r="E163">
        <v>173288157.65765765</v>
      </c>
      <c r="F163">
        <v>207152362.16216218</v>
      </c>
      <c r="G163">
        <v>181</v>
      </c>
      <c r="H163">
        <v>114</v>
      </c>
      <c r="I163">
        <v>1</v>
      </c>
      <c r="K163">
        <v>219</v>
      </c>
      <c r="L163">
        <v>133</v>
      </c>
      <c r="M163">
        <v>71028468.468468457</v>
      </c>
      <c r="N163">
        <v>185657814.41441441</v>
      </c>
      <c r="O163">
        <v>117773349.54954955</v>
      </c>
      <c r="P163">
        <v>124813144.14414415</v>
      </c>
      <c r="Q163">
        <v>71716169.369369373</v>
      </c>
      <c r="R163">
        <v>185001846.84684685</v>
      </c>
      <c r="S163">
        <v>5751</v>
      </c>
      <c r="T163">
        <v>5305</v>
      </c>
    </row>
    <row r="164" spans="1:20" x14ac:dyDescent="0.35">
      <c r="A164" s="7" t="s">
        <v>255</v>
      </c>
      <c r="B164" s="12" t="s">
        <v>106</v>
      </c>
      <c r="C164">
        <v>269178150.61548489</v>
      </c>
      <c r="D164">
        <v>235176680.30526584</v>
      </c>
      <c r="E164">
        <v>2661036.0360360369</v>
      </c>
      <c r="F164">
        <v>2273758.558558559</v>
      </c>
      <c r="G164">
        <v>35</v>
      </c>
      <c r="H164">
        <v>41</v>
      </c>
      <c r="I164">
        <v>1</v>
      </c>
      <c r="K164">
        <v>40</v>
      </c>
      <c r="L164">
        <v>44</v>
      </c>
      <c r="M164">
        <v>20587747.747747749</v>
      </c>
      <c r="N164">
        <v>26595018.918918919</v>
      </c>
      <c r="O164">
        <v>84127981.981981978</v>
      </c>
      <c r="P164">
        <v>81482547.747747749</v>
      </c>
      <c r="Q164">
        <v>18975765.765765768</v>
      </c>
      <c r="R164">
        <v>23050854.054054052</v>
      </c>
      <c r="S164">
        <v>4119</v>
      </c>
      <c r="T164">
        <v>3584</v>
      </c>
    </row>
    <row r="165" spans="1:20" x14ac:dyDescent="0.35">
      <c r="A165" s="7" t="s">
        <v>256</v>
      </c>
      <c r="B165" s="12" t="s">
        <v>106</v>
      </c>
      <c r="C165">
        <v>217520778.48542687</v>
      </c>
      <c r="D165">
        <v>238125468.69305179</v>
      </c>
      <c r="E165">
        <v>136936.936936938</v>
      </c>
      <c r="F165">
        <v>69369.369369370004</v>
      </c>
      <c r="G165">
        <v>39</v>
      </c>
      <c r="H165">
        <v>29</v>
      </c>
      <c r="I165">
        <v>4</v>
      </c>
      <c r="K165">
        <v>40</v>
      </c>
      <c r="L165">
        <v>32</v>
      </c>
      <c r="M165">
        <v>2389189.1891891891</v>
      </c>
      <c r="N165">
        <v>2546846.8468468469</v>
      </c>
      <c r="O165">
        <v>46420061.261261262</v>
      </c>
      <c r="P165">
        <v>55376333.333333336</v>
      </c>
      <c r="Q165">
        <v>2636486.4864864862</v>
      </c>
      <c r="R165">
        <v>1946666.666666667</v>
      </c>
      <c r="S165">
        <v>2609</v>
      </c>
      <c r="T165">
        <v>2089</v>
      </c>
    </row>
    <row r="166" spans="1:20" x14ac:dyDescent="0.35">
      <c r="A166" s="7" t="s">
        <v>257</v>
      </c>
      <c r="B166" s="12" t="s">
        <v>135</v>
      </c>
      <c r="C166">
        <v>339971565.89749503</v>
      </c>
      <c r="D166">
        <v>359543463.72762573</v>
      </c>
      <c r="E166">
        <v>1045045.045045046</v>
      </c>
      <c r="F166">
        <v>936934.23423423397</v>
      </c>
      <c r="G166">
        <v>25</v>
      </c>
      <c r="H166">
        <v>26</v>
      </c>
      <c r="K166">
        <v>26</v>
      </c>
      <c r="L166">
        <v>31</v>
      </c>
      <c r="M166">
        <v>3666666.666666667</v>
      </c>
      <c r="N166">
        <v>7091035.1351351347</v>
      </c>
      <c r="O166">
        <v>24486981.981981985</v>
      </c>
      <c r="P166">
        <v>35456953.153153151</v>
      </c>
      <c r="Q166">
        <v>4508648.6486486495</v>
      </c>
      <c r="R166">
        <v>6101981.9819819815</v>
      </c>
      <c r="S166">
        <v>4622</v>
      </c>
      <c r="T166">
        <v>4184</v>
      </c>
    </row>
    <row r="167" spans="1:20" x14ac:dyDescent="0.35">
      <c r="A167" s="7" t="s">
        <v>258</v>
      </c>
      <c r="B167" s="12" t="s">
        <v>168</v>
      </c>
      <c r="C167">
        <v>121649821.94723512</v>
      </c>
      <c r="D167">
        <v>135494280.65647697</v>
      </c>
      <c r="E167">
        <v>1233333.333333333</v>
      </c>
      <c r="F167">
        <v>965032.43243243301</v>
      </c>
      <c r="G167">
        <v>26</v>
      </c>
      <c r="H167">
        <v>14</v>
      </c>
      <c r="K167">
        <v>28</v>
      </c>
      <c r="L167">
        <v>15</v>
      </c>
      <c r="M167">
        <v>6933125.2252252251</v>
      </c>
      <c r="N167">
        <v>10469450.450450452</v>
      </c>
      <c r="O167">
        <v>40941565.765765771</v>
      </c>
      <c r="P167">
        <v>51466513.513513513</v>
      </c>
      <c r="Q167">
        <v>6116756.7567567565</v>
      </c>
      <c r="R167">
        <v>10032882.882882884</v>
      </c>
      <c r="S167">
        <v>2780</v>
      </c>
      <c r="T167">
        <v>2421</v>
      </c>
    </row>
    <row r="168" spans="1:20" x14ac:dyDescent="0.35">
      <c r="A168" s="7" t="s">
        <v>259</v>
      </c>
      <c r="B168" s="12" t="s">
        <v>61</v>
      </c>
      <c r="C168">
        <v>48602103.376974531</v>
      </c>
      <c r="D168">
        <v>47671245.551048309</v>
      </c>
      <c r="E168">
        <v>412612.61261261097</v>
      </c>
      <c r="F168">
        <v>1363513.5135135129</v>
      </c>
      <c r="G168">
        <v>28</v>
      </c>
      <c r="H168">
        <v>19</v>
      </c>
      <c r="I168">
        <v>4</v>
      </c>
      <c r="K168">
        <v>33</v>
      </c>
      <c r="L168">
        <v>24</v>
      </c>
      <c r="M168">
        <v>9547747.7477477472</v>
      </c>
      <c r="N168">
        <v>16064414.414414415</v>
      </c>
      <c r="O168">
        <v>17320918.918918919</v>
      </c>
      <c r="P168">
        <v>17964837.837837838</v>
      </c>
      <c r="Q168">
        <v>9537567.5675675683</v>
      </c>
      <c r="R168">
        <v>12974594.594594594</v>
      </c>
      <c r="S168">
        <v>785</v>
      </c>
      <c r="T168">
        <v>581</v>
      </c>
    </row>
    <row r="169" spans="1:20" x14ac:dyDescent="0.35">
      <c r="A169" s="7" t="s">
        <v>260</v>
      </c>
      <c r="B169" s="12" t="s">
        <v>261</v>
      </c>
      <c r="C169">
        <v>28554127.188650999</v>
      </c>
      <c r="D169">
        <v>29699985.224021956</v>
      </c>
      <c r="E169">
        <v>68954954.954954952</v>
      </c>
      <c r="F169">
        <v>59794594.59459459</v>
      </c>
      <c r="G169">
        <v>9</v>
      </c>
      <c r="H169">
        <v>2</v>
      </c>
      <c r="K169">
        <v>11</v>
      </c>
      <c r="L169">
        <v>2</v>
      </c>
      <c r="M169">
        <v>11640090.09009009</v>
      </c>
      <c r="N169">
        <v>4281081.0810810812</v>
      </c>
      <c r="O169">
        <v>5323225.2252252251</v>
      </c>
      <c r="P169">
        <v>7057729.7297297297</v>
      </c>
      <c r="Q169">
        <v>3532162.162162161</v>
      </c>
      <c r="R169">
        <v>1822252.252252253</v>
      </c>
      <c r="S169">
        <v>603</v>
      </c>
      <c r="T169">
        <v>559</v>
      </c>
    </row>
    <row r="170" spans="1:20" x14ac:dyDescent="0.35">
      <c r="A170" s="7" t="s">
        <v>262</v>
      </c>
      <c r="B170" s="12" t="s">
        <v>61</v>
      </c>
      <c r="C170">
        <v>448538561.01850468</v>
      </c>
      <c r="D170">
        <v>451688359.18873078</v>
      </c>
      <c r="E170">
        <v>265772896.39639643</v>
      </c>
      <c r="F170">
        <v>797293659.45945942</v>
      </c>
      <c r="G170">
        <v>324</v>
      </c>
      <c r="H170">
        <v>269</v>
      </c>
      <c r="I170">
        <v>3</v>
      </c>
      <c r="K170">
        <v>1170</v>
      </c>
      <c r="L170">
        <v>417</v>
      </c>
      <c r="M170">
        <v>87289639.639639646</v>
      </c>
      <c r="N170">
        <v>119957698.1981982</v>
      </c>
      <c r="O170">
        <v>164253718.46846849</v>
      </c>
      <c r="P170">
        <v>166972387.38738739</v>
      </c>
      <c r="Q170">
        <v>94146126.126126125</v>
      </c>
      <c r="R170">
        <v>113928468.46846846</v>
      </c>
      <c r="S170">
        <v>8797</v>
      </c>
      <c r="T170">
        <v>6637</v>
      </c>
    </row>
    <row r="171" spans="1:20" x14ac:dyDescent="0.35">
      <c r="A171" s="7" t="s">
        <v>263</v>
      </c>
      <c r="B171" s="12" t="s">
        <v>124</v>
      </c>
      <c r="C171">
        <v>346145743.84809732</v>
      </c>
      <c r="D171">
        <v>325642014.37248993</v>
      </c>
      <c r="E171">
        <v>1472972.972972973</v>
      </c>
      <c r="F171">
        <v>1530585.585585587</v>
      </c>
      <c r="G171">
        <v>95</v>
      </c>
      <c r="H171">
        <v>84</v>
      </c>
      <c r="I171">
        <v>1</v>
      </c>
      <c r="K171">
        <v>119</v>
      </c>
      <c r="L171">
        <v>105</v>
      </c>
      <c r="M171">
        <v>33911621.621621624</v>
      </c>
      <c r="N171">
        <v>26783228.82882883</v>
      </c>
      <c r="O171">
        <v>135846045.04504505</v>
      </c>
      <c r="P171">
        <v>131191745.94594595</v>
      </c>
      <c r="Q171">
        <v>32048108.108108107</v>
      </c>
      <c r="R171">
        <v>27254684.684684683</v>
      </c>
      <c r="S171">
        <v>5823</v>
      </c>
      <c r="T171">
        <v>5566</v>
      </c>
    </row>
    <row r="172" spans="1:20" x14ac:dyDescent="0.35">
      <c r="A172" s="7" t="s">
        <v>264</v>
      </c>
      <c r="B172" s="12" t="s">
        <v>124</v>
      </c>
      <c r="C172">
        <v>146548264.10754845</v>
      </c>
      <c r="D172">
        <v>151891465.34113818</v>
      </c>
      <c r="E172">
        <v>2333558.55855856</v>
      </c>
      <c r="F172">
        <v>5076606.3063063091</v>
      </c>
      <c r="G172">
        <v>110</v>
      </c>
      <c r="H172">
        <v>80</v>
      </c>
      <c r="I172">
        <v>2</v>
      </c>
      <c r="K172">
        <v>343</v>
      </c>
      <c r="L172">
        <v>454</v>
      </c>
      <c r="M172">
        <v>51647477.477477469</v>
      </c>
      <c r="N172">
        <v>41463648.648648649</v>
      </c>
      <c r="O172">
        <v>61629765.765765771</v>
      </c>
      <c r="P172">
        <v>69581711.711711705</v>
      </c>
      <c r="Q172">
        <v>54172162.16216217</v>
      </c>
      <c r="R172">
        <v>40028288.288288288</v>
      </c>
      <c r="S172">
        <v>3398</v>
      </c>
      <c r="T172">
        <v>2454</v>
      </c>
    </row>
    <row r="173" spans="1:20" x14ac:dyDescent="0.35">
      <c r="A173" s="7" t="s">
        <v>265</v>
      </c>
      <c r="B173" s="12" t="s">
        <v>126</v>
      </c>
      <c r="C173">
        <v>370076355.9543671</v>
      </c>
      <c r="D173">
        <v>367684924.27883691</v>
      </c>
      <c r="E173">
        <v>5121171.1711711716</v>
      </c>
      <c r="F173">
        <v>3923799.099099101</v>
      </c>
      <c r="G173">
        <v>99</v>
      </c>
      <c r="H173">
        <v>52</v>
      </c>
      <c r="K173">
        <v>101</v>
      </c>
      <c r="L173">
        <v>54</v>
      </c>
      <c r="M173">
        <v>31517117.117117122</v>
      </c>
      <c r="N173">
        <v>39360422.522522517</v>
      </c>
      <c r="O173">
        <v>131892699.0990991</v>
      </c>
      <c r="P173">
        <v>132717765.76576576</v>
      </c>
      <c r="Q173">
        <v>32602025.225225225</v>
      </c>
      <c r="R173">
        <v>33219009.009009007</v>
      </c>
      <c r="S173">
        <v>4630</v>
      </c>
      <c r="T173">
        <v>4916</v>
      </c>
    </row>
    <row r="174" spans="1:20" x14ac:dyDescent="0.35">
      <c r="A174" s="7" t="s">
        <v>266</v>
      </c>
      <c r="B174" s="12" t="s">
        <v>124</v>
      </c>
      <c r="C174">
        <v>354575459.0330565</v>
      </c>
      <c r="D174">
        <v>334755863.64834291</v>
      </c>
      <c r="E174">
        <v>2209009.0090090102</v>
      </c>
      <c r="F174">
        <v>2651062.1621621642</v>
      </c>
      <c r="G174">
        <v>59</v>
      </c>
      <c r="H174">
        <v>51</v>
      </c>
      <c r="I174">
        <v>1</v>
      </c>
      <c r="K174">
        <v>62</v>
      </c>
      <c r="L174">
        <v>55</v>
      </c>
      <c r="M174">
        <v>41374684.684684686</v>
      </c>
      <c r="N174">
        <v>57433972.072072074</v>
      </c>
      <c r="O174">
        <v>124506463.06306306</v>
      </c>
      <c r="P174">
        <v>128132933.33333333</v>
      </c>
      <c r="Q174">
        <v>39040450.45045045</v>
      </c>
      <c r="R174">
        <v>57638918.918918923</v>
      </c>
      <c r="S174">
        <v>5092</v>
      </c>
      <c r="T174">
        <v>4706</v>
      </c>
    </row>
    <row r="175" spans="1:20" x14ac:dyDescent="0.35">
      <c r="A175" s="7" t="s">
        <v>267</v>
      </c>
      <c r="B175" s="12" t="s">
        <v>124</v>
      </c>
      <c r="C175">
        <v>368397099.64392674</v>
      </c>
      <c r="D175">
        <v>371068985.91057974</v>
      </c>
      <c r="E175">
        <v>204275855.85585588</v>
      </c>
      <c r="F175">
        <v>432757124.32432437</v>
      </c>
      <c r="G175">
        <v>77</v>
      </c>
      <c r="H175">
        <v>102</v>
      </c>
      <c r="K175">
        <v>84</v>
      </c>
      <c r="L175">
        <v>108</v>
      </c>
      <c r="M175">
        <v>57986981.981981985</v>
      </c>
      <c r="N175">
        <v>48686929.729729727</v>
      </c>
      <c r="O175">
        <v>149457412.61261261</v>
      </c>
      <c r="P175">
        <v>149208473.87387389</v>
      </c>
      <c r="Q175">
        <v>58323063.063063063</v>
      </c>
      <c r="R175">
        <v>44484324.324324325</v>
      </c>
      <c r="S175">
        <v>6080</v>
      </c>
      <c r="T175">
        <v>5709</v>
      </c>
    </row>
    <row r="176" spans="1:20" x14ac:dyDescent="0.35">
      <c r="A176" s="7" t="s">
        <v>268</v>
      </c>
      <c r="B176" s="12" t="s">
        <v>179</v>
      </c>
      <c r="C176">
        <v>1880697611.4883177</v>
      </c>
      <c r="D176">
        <v>1862867197.5616586</v>
      </c>
      <c r="E176">
        <v>997953610.81081092</v>
      </c>
      <c r="F176">
        <v>975715857.65765762</v>
      </c>
      <c r="G176">
        <v>1099</v>
      </c>
      <c r="H176">
        <v>834</v>
      </c>
      <c r="I176">
        <v>2</v>
      </c>
      <c r="K176">
        <v>1683</v>
      </c>
      <c r="L176">
        <v>1631</v>
      </c>
      <c r="M176">
        <v>283290113.51351351</v>
      </c>
      <c r="N176">
        <v>505882242.34234232</v>
      </c>
      <c r="O176">
        <v>559532408.10810804</v>
      </c>
      <c r="P176">
        <v>594555111.71171176</v>
      </c>
      <c r="Q176">
        <v>257050090.09009007</v>
      </c>
      <c r="R176">
        <v>282233018.01801801</v>
      </c>
      <c r="S176">
        <v>39468</v>
      </c>
      <c r="T176">
        <v>35744</v>
      </c>
    </row>
    <row r="177" spans="1:20" x14ac:dyDescent="0.35">
      <c r="A177" s="7" t="s">
        <v>269</v>
      </c>
      <c r="B177" s="12" t="s">
        <v>63</v>
      </c>
      <c r="C177">
        <v>305459401.50743592</v>
      </c>
      <c r="D177">
        <v>319529628.09831107</v>
      </c>
      <c r="E177">
        <v>6987387.3873873902</v>
      </c>
      <c r="F177">
        <v>9964617.1171171162</v>
      </c>
      <c r="G177">
        <v>87</v>
      </c>
      <c r="H177">
        <v>207</v>
      </c>
      <c r="K177">
        <v>95</v>
      </c>
      <c r="L177">
        <v>258</v>
      </c>
      <c r="M177">
        <v>130756846.84684685</v>
      </c>
      <c r="N177">
        <v>102744172.07207206</v>
      </c>
      <c r="O177">
        <v>102098648.64864863</v>
      </c>
      <c r="P177">
        <v>115885232.43243243</v>
      </c>
      <c r="Q177">
        <v>80791981.981981978</v>
      </c>
      <c r="R177">
        <v>99284864.864864871</v>
      </c>
      <c r="S177">
        <v>4949</v>
      </c>
      <c r="T177">
        <v>4841</v>
      </c>
    </row>
    <row r="178" spans="1:20" x14ac:dyDescent="0.35">
      <c r="A178" s="7" t="s">
        <v>270</v>
      </c>
      <c r="B178" s="12" t="s">
        <v>71</v>
      </c>
      <c r="C178">
        <v>396809975.97093183</v>
      </c>
      <c r="D178">
        <v>382126248.16788739</v>
      </c>
      <c r="E178">
        <v>83508693.693693697</v>
      </c>
      <c r="F178">
        <v>59915227.027027033</v>
      </c>
      <c r="G178">
        <v>167</v>
      </c>
      <c r="H178">
        <v>270</v>
      </c>
      <c r="K178">
        <v>511</v>
      </c>
      <c r="L178">
        <v>376</v>
      </c>
      <c r="M178">
        <v>65945945.945945948</v>
      </c>
      <c r="N178">
        <v>112801819.81981982</v>
      </c>
      <c r="O178">
        <v>183668855.85585588</v>
      </c>
      <c r="P178">
        <v>185316081.08108109</v>
      </c>
      <c r="Q178">
        <v>24930180.180180185</v>
      </c>
      <c r="R178">
        <v>56911891.891891889</v>
      </c>
      <c r="S178">
        <v>7886</v>
      </c>
      <c r="T178">
        <v>7038</v>
      </c>
    </row>
    <row r="179" spans="1:20" x14ac:dyDescent="0.35">
      <c r="A179" s="7" t="s">
        <v>271</v>
      </c>
      <c r="B179" s="12" t="s">
        <v>135</v>
      </c>
      <c r="C179">
        <v>5427268.8194690207</v>
      </c>
      <c r="D179">
        <v>5869290.4768686416</v>
      </c>
      <c r="L179">
        <v>1</v>
      </c>
      <c r="O179">
        <v>434864.86486486503</v>
      </c>
      <c r="P179">
        <v>382972.97297297302</v>
      </c>
      <c r="S179">
        <v>198</v>
      </c>
      <c r="T179">
        <v>211</v>
      </c>
    </row>
    <row r="180" spans="1:20" x14ac:dyDescent="0.35">
      <c r="A180" s="7" t="s">
        <v>272</v>
      </c>
      <c r="B180" s="12" t="s">
        <v>77</v>
      </c>
      <c r="C180">
        <v>180242058.87478894</v>
      </c>
      <c r="D180">
        <v>173671185.36391056</v>
      </c>
      <c r="E180">
        <v>346846.84684684698</v>
      </c>
      <c r="F180">
        <v>835135.13513513503</v>
      </c>
      <c r="G180">
        <v>22</v>
      </c>
      <c r="H180">
        <v>21</v>
      </c>
      <c r="K180">
        <v>25</v>
      </c>
      <c r="L180">
        <v>21</v>
      </c>
      <c r="M180">
        <v>436936.93693693698</v>
      </c>
      <c r="N180">
        <v>1141441.4414414419</v>
      </c>
      <c r="O180">
        <v>10563463.963963963</v>
      </c>
      <c r="P180">
        <v>12212612.612612613</v>
      </c>
      <c r="Q180">
        <v>347747.74774774798</v>
      </c>
      <c r="R180">
        <v>791171.17117117101</v>
      </c>
      <c r="S180">
        <v>2566</v>
      </c>
      <c r="T180">
        <v>2402</v>
      </c>
    </row>
    <row r="181" spans="1:20" x14ac:dyDescent="0.35">
      <c r="A181" s="7" t="s">
        <v>273</v>
      </c>
      <c r="B181" s="12" t="s">
        <v>77</v>
      </c>
      <c r="C181">
        <v>64125763.457729459</v>
      </c>
      <c r="D181">
        <v>73125859.740832716</v>
      </c>
      <c r="E181">
        <v>212612.61261261301</v>
      </c>
      <c r="F181">
        <v>422827.92792792799</v>
      </c>
      <c r="G181">
        <v>7</v>
      </c>
      <c r="H181">
        <v>18</v>
      </c>
      <c r="K181">
        <v>9</v>
      </c>
      <c r="L181">
        <v>18</v>
      </c>
      <c r="M181">
        <v>12838018.018018018</v>
      </c>
      <c r="N181">
        <v>16347405.405405404</v>
      </c>
      <c r="O181">
        <v>15542846.846846849</v>
      </c>
      <c r="P181">
        <v>20577439.639639638</v>
      </c>
      <c r="Q181">
        <v>11341621.62162162</v>
      </c>
      <c r="R181">
        <v>14172882.882882882</v>
      </c>
      <c r="S181">
        <v>825</v>
      </c>
      <c r="T181">
        <v>831</v>
      </c>
    </row>
    <row r="182" spans="1:20" x14ac:dyDescent="0.35">
      <c r="A182" s="7" t="s">
        <v>274</v>
      </c>
      <c r="B182" s="12" t="s">
        <v>261</v>
      </c>
      <c r="C182">
        <v>1320991258.4575903</v>
      </c>
      <c r="D182">
        <v>1341711990.5383406</v>
      </c>
      <c r="E182">
        <v>16185585.585585585</v>
      </c>
      <c r="F182">
        <v>20758425.225225229</v>
      </c>
      <c r="G182">
        <v>531</v>
      </c>
      <c r="H182">
        <v>592</v>
      </c>
      <c r="K182">
        <v>660</v>
      </c>
      <c r="L182">
        <v>746</v>
      </c>
      <c r="M182">
        <v>270784684.68468469</v>
      </c>
      <c r="N182">
        <v>327781475.67567569</v>
      </c>
      <c r="O182">
        <v>406619545.04504508</v>
      </c>
      <c r="P182">
        <v>454125520.72072071</v>
      </c>
      <c r="Q182">
        <v>239568378.37837836</v>
      </c>
      <c r="R182">
        <v>308333423.42342341</v>
      </c>
      <c r="S182">
        <v>21267</v>
      </c>
      <c r="T182">
        <v>19142</v>
      </c>
    </row>
    <row r="183" spans="1:20" x14ac:dyDescent="0.35">
      <c r="A183" s="7" t="s">
        <v>275</v>
      </c>
      <c r="B183" s="12" t="s">
        <v>261</v>
      </c>
      <c r="C183">
        <v>296909322.37637419</v>
      </c>
      <c r="D183">
        <v>285190645.41827023</v>
      </c>
      <c r="E183">
        <v>1626126.1261261271</v>
      </c>
      <c r="F183">
        <v>714539.63963964302</v>
      </c>
      <c r="G183">
        <v>18</v>
      </c>
      <c r="H183">
        <v>35</v>
      </c>
      <c r="K183">
        <v>23</v>
      </c>
      <c r="L183">
        <v>36</v>
      </c>
      <c r="M183">
        <v>24504054.054054052</v>
      </c>
      <c r="N183">
        <v>25297618.918918919</v>
      </c>
      <c r="O183">
        <v>60447144.144144148</v>
      </c>
      <c r="P183">
        <v>64640018.018018015</v>
      </c>
      <c r="Q183">
        <v>17968918.918918915</v>
      </c>
      <c r="R183">
        <v>23678645.045045048</v>
      </c>
      <c r="S183">
        <v>3858</v>
      </c>
      <c r="T183">
        <v>3807</v>
      </c>
    </row>
    <row r="184" spans="1:20" x14ac:dyDescent="0.35">
      <c r="A184" s="7" t="s">
        <v>276</v>
      </c>
      <c r="B184" s="12" t="s">
        <v>261</v>
      </c>
      <c r="C184">
        <v>331265799.76415384</v>
      </c>
      <c r="D184">
        <v>349160263.90982777</v>
      </c>
      <c r="E184">
        <v>10378018.018018017</v>
      </c>
      <c r="F184">
        <v>9251058.5585585609</v>
      </c>
      <c r="G184">
        <v>221</v>
      </c>
      <c r="H184">
        <v>52</v>
      </c>
      <c r="K184">
        <v>232</v>
      </c>
      <c r="L184">
        <v>56</v>
      </c>
      <c r="M184">
        <v>66661261.261261262</v>
      </c>
      <c r="N184">
        <v>49111736.036036037</v>
      </c>
      <c r="O184">
        <v>79573117.117117122</v>
      </c>
      <c r="P184">
        <v>95310376.576576576</v>
      </c>
      <c r="Q184">
        <v>62476036.036036037</v>
      </c>
      <c r="R184">
        <v>49841261.261261262</v>
      </c>
      <c r="S184">
        <v>6962</v>
      </c>
      <c r="T184">
        <v>5997</v>
      </c>
    </row>
    <row r="185" spans="1:20" x14ac:dyDescent="0.35">
      <c r="A185" s="7" t="s">
        <v>277</v>
      </c>
      <c r="B185" s="12" t="s">
        <v>135</v>
      </c>
      <c r="C185">
        <v>409648174.38558668</v>
      </c>
      <c r="D185">
        <v>433666611.34527898</v>
      </c>
      <c r="E185">
        <v>2290990.9909909922</v>
      </c>
      <c r="F185">
        <v>2428962.1621621642</v>
      </c>
      <c r="G185">
        <v>77</v>
      </c>
      <c r="H185">
        <v>40</v>
      </c>
      <c r="K185">
        <v>85</v>
      </c>
      <c r="L185">
        <v>44</v>
      </c>
      <c r="M185">
        <v>21662162.162162159</v>
      </c>
      <c r="N185">
        <v>20546371.171171173</v>
      </c>
      <c r="O185">
        <v>37024193.693693697</v>
      </c>
      <c r="P185">
        <v>45538502.702702701</v>
      </c>
      <c r="Q185">
        <v>9672972.9729729723</v>
      </c>
      <c r="R185">
        <v>11376396.396396399</v>
      </c>
      <c r="S185">
        <v>6637</v>
      </c>
      <c r="T185">
        <v>6207</v>
      </c>
    </row>
    <row r="186" spans="1:20" x14ac:dyDescent="0.35">
      <c r="A186" s="7" t="s">
        <v>670</v>
      </c>
      <c r="B186" s="12" t="s">
        <v>88</v>
      </c>
      <c r="E186">
        <v>94603502.702702701</v>
      </c>
      <c r="F186">
        <v>82804289.189189181</v>
      </c>
    </row>
    <row r="187" spans="1:20" x14ac:dyDescent="0.35">
      <c r="A187" s="7" t="s">
        <v>278</v>
      </c>
      <c r="B187" s="12" t="s">
        <v>170</v>
      </c>
      <c r="C187">
        <v>237281500.79555407</v>
      </c>
      <c r="D187">
        <v>224364818.03880554</v>
      </c>
      <c r="E187">
        <v>1636936.936936937</v>
      </c>
      <c r="F187">
        <v>2960208.1081081089</v>
      </c>
      <c r="G187">
        <v>59</v>
      </c>
      <c r="H187">
        <v>14</v>
      </c>
      <c r="K187">
        <v>63</v>
      </c>
      <c r="L187">
        <v>15</v>
      </c>
      <c r="M187">
        <v>20603153.153153151</v>
      </c>
      <c r="N187">
        <v>17760817.117117122</v>
      </c>
      <c r="O187">
        <v>108329439.18918918</v>
      </c>
      <c r="P187">
        <v>102288574.77477477</v>
      </c>
      <c r="Q187">
        <v>15945225.225225223</v>
      </c>
      <c r="R187">
        <v>14708378.378378378</v>
      </c>
      <c r="S187">
        <v>5728</v>
      </c>
      <c r="T187">
        <v>3090</v>
      </c>
    </row>
    <row r="188" spans="1:20" x14ac:dyDescent="0.35">
      <c r="A188" s="7" t="s">
        <v>671</v>
      </c>
      <c r="B188" s="12" t="s">
        <v>88</v>
      </c>
      <c r="E188">
        <v>14954954.954954956</v>
      </c>
      <c r="F188">
        <v>32639138.738738742</v>
      </c>
      <c r="M188">
        <v>29729.729729729999</v>
      </c>
      <c r="N188">
        <v>2702702.702702703</v>
      </c>
    </row>
    <row r="189" spans="1:20" x14ac:dyDescent="0.35">
      <c r="A189" s="7" t="s">
        <v>279</v>
      </c>
      <c r="B189" s="12" t="s">
        <v>170</v>
      </c>
      <c r="C189">
        <v>141170119.65311608</v>
      </c>
      <c r="D189">
        <v>121713507.34687676</v>
      </c>
      <c r="E189">
        <v>12612.612612613</v>
      </c>
      <c r="F189">
        <v>11711.711711712</v>
      </c>
      <c r="G189">
        <v>20</v>
      </c>
      <c r="H189">
        <v>46</v>
      </c>
      <c r="K189">
        <v>21</v>
      </c>
      <c r="L189">
        <v>47</v>
      </c>
      <c r="M189">
        <v>8784346.8468468469</v>
      </c>
      <c r="N189">
        <v>6768468.4684684686</v>
      </c>
      <c r="O189">
        <v>61657454.954954952</v>
      </c>
      <c r="P189">
        <v>61654846.846846849</v>
      </c>
      <c r="Q189">
        <v>6920180.1801801799</v>
      </c>
      <c r="R189">
        <v>5774954.9549549548</v>
      </c>
      <c r="S189">
        <v>2061</v>
      </c>
      <c r="T189">
        <v>1905</v>
      </c>
    </row>
    <row r="190" spans="1:20" x14ac:dyDescent="0.35">
      <c r="A190" s="7" t="s">
        <v>280</v>
      </c>
      <c r="B190" s="12" t="s">
        <v>88</v>
      </c>
      <c r="C190">
        <v>3363083.6033466938</v>
      </c>
      <c r="D190">
        <v>3639321.3683390808</v>
      </c>
      <c r="G190">
        <v>6</v>
      </c>
      <c r="H190">
        <v>2</v>
      </c>
      <c r="K190">
        <v>7</v>
      </c>
      <c r="L190">
        <v>2</v>
      </c>
      <c r="O190">
        <v>1396763.963963964</v>
      </c>
      <c r="P190">
        <v>1429801.8018018019</v>
      </c>
      <c r="S190">
        <v>203</v>
      </c>
      <c r="T190">
        <v>171</v>
      </c>
    </row>
    <row r="191" spans="1:20" x14ac:dyDescent="0.35">
      <c r="A191" s="7" t="s">
        <v>281</v>
      </c>
      <c r="B191" s="12" t="s">
        <v>170</v>
      </c>
      <c r="C191">
        <v>235562575.45922062</v>
      </c>
      <c r="D191">
        <v>268973554.26900679</v>
      </c>
      <c r="E191">
        <v>1210585.585585587</v>
      </c>
      <c r="F191">
        <v>2555992.7927927952</v>
      </c>
      <c r="G191">
        <v>45</v>
      </c>
      <c r="H191">
        <v>101</v>
      </c>
      <c r="K191">
        <v>47</v>
      </c>
      <c r="L191">
        <v>114</v>
      </c>
      <c r="M191">
        <v>29948468.468468469</v>
      </c>
      <c r="N191">
        <v>31101860.360360362</v>
      </c>
      <c r="O191">
        <v>94103115.315315306</v>
      </c>
      <c r="P191">
        <v>111165225.22522523</v>
      </c>
      <c r="Q191">
        <v>29216619.819819819</v>
      </c>
      <c r="R191">
        <v>28904864.864864863</v>
      </c>
      <c r="S191">
        <v>4445</v>
      </c>
      <c r="T191">
        <v>4282</v>
      </c>
    </row>
    <row r="192" spans="1:20" x14ac:dyDescent="0.35">
      <c r="A192" s="7" t="s">
        <v>282</v>
      </c>
      <c r="B192" s="12" t="s">
        <v>55</v>
      </c>
      <c r="C192">
        <v>180992726.21851352</v>
      </c>
      <c r="D192">
        <v>185360596.74034581</v>
      </c>
      <c r="E192">
        <v>2606306.3063063072</v>
      </c>
      <c r="F192">
        <v>3537947.7477477519</v>
      </c>
      <c r="G192">
        <v>69</v>
      </c>
      <c r="H192">
        <v>92</v>
      </c>
      <c r="K192">
        <v>80</v>
      </c>
      <c r="L192">
        <v>103</v>
      </c>
      <c r="M192">
        <v>21262162.162162162</v>
      </c>
      <c r="N192">
        <v>53593017.117117122</v>
      </c>
      <c r="O192">
        <v>38637234.234234229</v>
      </c>
      <c r="P192">
        <v>43856259.459459454</v>
      </c>
      <c r="Q192">
        <v>20489009.009009007</v>
      </c>
      <c r="R192">
        <v>49005899.0990991</v>
      </c>
      <c r="S192">
        <v>4035</v>
      </c>
      <c r="T192">
        <v>3737</v>
      </c>
    </row>
    <row r="193" spans="1:20" x14ac:dyDescent="0.35">
      <c r="A193" s="7" t="s">
        <v>283</v>
      </c>
      <c r="B193" s="12" t="s">
        <v>284</v>
      </c>
      <c r="C193">
        <v>267972009.30766237</v>
      </c>
      <c r="D193">
        <v>293958597.49208021</v>
      </c>
      <c r="E193">
        <v>254449060.36036035</v>
      </c>
      <c r="F193">
        <v>173509467.56756759</v>
      </c>
      <c r="G193">
        <v>132</v>
      </c>
      <c r="H193">
        <v>42</v>
      </c>
      <c r="K193">
        <v>149</v>
      </c>
      <c r="L193">
        <v>57</v>
      </c>
      <c r="M193">
        <v>36199976.576576576</v>
      </c>
      <c r="N193">
        <v>30959992.792792793</v>
      </c>
      <c r="O193">
        <v>40409585.585585587</v>
      </c>
      <c r="P193">
        <v>43149675.675675683</v>
      </c>
      <c r="Q193">
        <v>11856036.036036037</v>
      </c>
      <c r="R193">
        <v>10007477.477477478</v>
      </c>
      <c r="S193">
        <v>3415</v>
      </c>
      <c r="T193">
        <v>3562</v>
      </c>
    </row>
    <row r="194" spans="1:20" x14ac:dyDescent="0.35">
      <c r="A194" s="7" t="s">
        <v>285</v>
      </c>
      <c r="B194" s="12" t="s">
        <v>284</v>
      </c>
      <c r="C194">
        <v>506557454.24914163</v>
      </c>
      <c r="D194">
        <v>513401960.84621108</v>
      </c>
      <c r="E194">
        <v>4313063.0630630646</v>
      </c>
      <c r="F194">
        <v>8042155.8558558561</v>
      </c>
      <c r="G194">
        <v>135</v>
      </c>
      <c r="H194">
        <v>237</v>
      </c>
      <c r="I194">
        <v>1</v>
      </c>
      <c r="K194">
        <v>184</v>
      </c>
      <c r="L194">
        <v>393</v>
      </c>
      <c r="M194">
        <v>59658738.738738738</v>
      </c>
      <c r="N194">
        <v>96588859.459459454</v>
      </c>
      <c r="O194">
        <v>106639396.3963964</v>
      </c>
      <c r="P194">
        <v>114871828.82882883</v>
      </c>
      <c r="Q194">
        <v>53717837.83783783</v>
      </c>
      <c r="R194">
        <v>83826666.666666672</v>
      </c>
      <c r="S194">
        <v>8351</v>
      </c>
      <c r="T194">
        <v>8433</v>
      </c>
    </row>
    <row r="195" spans="1:20" x14ac:dyDescent="0.35">
      <c r="A195" s="7" t="s">
        <v>286</v>
      </c>
      <c r="B195" s="12" t="s">
        <v>284</v>
      </c>
      <c r="C195">
        <v>268530600.76619625</v>
      </c>
      <c r="D195">
        <v>280330758.84354275</v>
      </c>
      <c r="E195">
        <v>2403513.5135135129</v>
      </c>
      <c r="F195">
        <v>4419806.3063063072</v>
      </c>
      <c r="G195">
        <v>57</v>
      </c>
      <c r="H195">
        <v>44</v>
      </c>
      <c r="K195">
        <v>99</v>
      </c>
      <c r="L195">
        <v>99</v>
      </c>
      <c r="M195">
        <v>68045945.945945948</v>
      </c>
      <c r="N195">
        <v>95768767.567567572</v>
      </c>
      <c r="O195">
        <v>82445558.558558553</v>
      </c>
      <c r="P195">
        <v>88518855.855855852</v>
      </c>
      <c r="Q195">
        <v>61314864.864864863</v>
      </c>
      <c r="R195">
        <v>86625765.765765756</v>
      </c>
      <c r="S195">
        <v>4791</v>
      </c>
      <c r="T195">
        <v>4614</v>
      </c>
    </row>
    <row r="196" spans="1:20" x14ac:dyDescent="0.35">
      <c r="A196" s="7" t="s">
        <v>287</v>
      </c>
      <c r="B196" s="12" t="s">
        <v>284</v>
      </c>
      <c r="C196">
        <v>202963610.11575785</v>
      </c>
      <c r="D196">
        <v>208248124.10344893</v>
      </c>
      <c r="E196">
        <v>772072.07207207195</v>
      </c>
      <c r="F196">
        <v>1008025.225225226</v>
      </c>
      <c r="G196">
        <v>17</v>
      </c>
      <c r="H196">
        <v>16</v>
      </c>
      <c r="K196">
        <v>19</v>
      </c>
      <c r="L196">
        <v>16</v>
      </c>
      <c r="M196">
        <v>33039819.819819819</v>
      </c>
      <c r="N196">
        <v>13717930.630630633</v>
      </c>
      <c r="O196">
        <v>37684126.126126125</v>
      </c>
      <c r="P196">
        <v>39726360.360360362</v>
      </c>
      <c r="Q196">
        <v>33132702.702702705</v>
      </c>
      <c r="R196">
        <v>13864414.414414413</v>
      </c>
      <c r="S196">
        <v>2592</v>
      </c>
      <c r="T196">
        <v>2587</v>
      </c>
    </row>
    <row r="197" spans="1:20" x14ac:dyDescent="0.35">
      <c r="A197" s="7" t="s">
        <v>288</v>
      </c>
      <c r="B197" s="12" t="s">
        <v>284</v>
      </c>
      <c r="C197">
        <v>100524103.57716651</v>
      </c>
      <c r="D197">
        <v>103486432.32490352</v>
      </c>
      <c r="E197">
        <v>555855.855855859</v>
      </c>
      <c r="F197">
        <v>1432432.4324324329</v>
      </c>
      <c r="G197">
        <v>2</v>
      </c>
      <c r="H197">
        <v>1</v>
      </c>
      <c r="K197">
        <v>3</v>
      </c>
      <c r="L197">
        <v>1</v>
      </c>
      <c r="M197">
        <v>12979279.27927928</v>
      </c>
      <c r="N197">
        <v>12832432.432432432</v>
      </c>
      <c r="O197">
        <v>17788576.576576576</v>
      </c>
      <c r="P197">
        <v>20942207.207207207</v>
      </c>
      <c r="Q197">
        <v>13801441.441441439</v>
      </c>
      <c r="R197">
        <v>12093873.873873875</v>
      </c>
      <c r="S197">
        <v>1436</v>
      </c>
      <c r="T197">
        <v>1378</v>
      </c>
    </row>
    <row r="198" spans="1:20" x14ac:dyDescent="0.35">
      <c r="A198" s="7" t="s">
        <v>289</v>
      </c>
      <c r="B198" s="12" t="s">
        <v>284</v>
      </c>
      <c r="C198">
        <v>16291726.037259951</v>
      </c>
      <c r="D198">
        <v>14991619.558442611</v>
      </c>
      <c r="E198">
        <v>393693.69369369402</v>
      </c>
      <c r="F198">
        <v>718918.91891891905</v>
      </c>
      <c r="M198">
        <v>19871171.171171173</v>
      </c>
      <c r="N198">
        <v>9154954.9549549557</v>
      </c>
      <c r="O198">
        <v>2623027.0270270272</v>
      </c>
      <c r="P198">
        <v>3251207.2072072071</v>
      </c>
      <c r="Q198">
        <v>19748648.648648649</v>
      </c>
      <c r="R198">
        <v>9497297.2972972952</v>
      </c>
      <c r="S198">
        <v>371</v>
      </c>
      <c r="T198">
        <v>269</v>
      </c>
    </row>
    <row r="199" spans="1:20" x14ac:dyDescent="0.35">
      <c r="A199" s="7" t="s">
        <v>290</v>
      </c>
      <c r="B199" s="12" t="s">
        <v>291</v>
      </c>
      <c r="C199">
        <v>198044523.11526555</v>
      </c>
      <c r="D199">
        <v>209629481.63244072</v>
      </c>
      <c r="E199">
        <v>142342.34234234301</v>
      </c>
      <c r="F199">
        <v>254405.40540540699</v>
      </c>
      <c r="G199">
        <v>47</v>
      </c>
      <c r="H199">
        <v>40</v>
      </c>
      <c r="K199">
        <v>52</v>
      </c>
      <c r="L199">
        <v>47</v>
      </c>
      <c r="M199">
        <v>1099099.0990991001</v>
      </c>
      <c r="N199">
        <v>2444418.9189189188</v>
      </c>
      <c r="O199">
        <v>18475983.783783782</v>
      </c>
      <c r="P199">
        <v>23642792.792792793</v>
      </c>
      <c r="Q199">
        <v>1442792.7927927929</v>
      </c>
      <c r="R199">
        <v>1750900.9009009011</v>
      </c>
      <c r="S199">
        <v>4770</v>
      </c>
      <c r="T199">
        <v>5314</v>
      </c>
    </row>
    <row r="200" spans="1:20" x14ac:dyDescent="0.35">
      <c r="A200" s="7" t="s">
        <v>292</v>
      </c>
      <c r="B200" s="12" t="s">
        <v>148</v>
      </c>
      <c r="C200">
        <v>480374830.79014635</v>
      </c>
      <c r="D200">
        <v>438191508.93027228</v>
      </c>
      <c r="E200">
        <v>8300180.1801801762</v>
      </c>
      <c r="F200">
        <v>9020836.0360360406</v>
      </c>
      <c r="G200">
        <v>121</v>
      </c>
      <c r="H200">
        <v>174</v>
      </c>
      <c r="I200">
        <v>1</v>
      </c>
      <c r="K200">
        <v>237</v>
      </c>
      <c r="L200">
        <v>389</v>
      </c>
      <c r="M200">
        <v>189876452.25225225</v>
      </c>
      <c r="N200">
        <v>204408854.05405405</v>
      </c>
      <c r="O200">
        <v>184446774.77477479</v>
      </c>
      <c r="P200">
        <v>174765000</v>
      </c>
      <c r="Q200">
        <v>182524054.05405405</v>
      </c>
      <c r="R200">
        <v>193739234.23423424</v>
      </c>
      <c r="S200">
        <v>9725</v>
      </c>
      <c r="T200">
        <v>7677</v>
      </c>
    </row>
    <row r="201" spans="1:20" x14ac:dyDescent="0.35">
      <c r="A201" s="7" t="s">
        <v>293</v>
      </c>
      <c r="B201" s="12" t="s">
        <v>294</v>
      </c>
      <c r="C201">
        <v>234083375.57649708</v>
      </c>
      <c r="D201">
        <v>234743145.42982996</v>
      </c>
      <c r="E201">
        <v>149437198.1981982</v>
      </c>
      <c r="F201">
        <v>156117002.7027027</v>
      </c>
      <c r="G201">
        <v>30</v>
      </c>
      <c r="H201">
        <v>13</v>
      </c>
      <c r="K201">
        <v>38</v>
      </c>
      <c r="L201">
        <v>17</v>
      </c>
      <c r="M201">
        <v>73650180.180180177</v>
      </c>
      <c r="N201">
        <v>77206486.48648648</v>
      </c>
      <c r="O201">
        <v>31727099.0990991</v>
      </c>
      <c r="P201">
        <v>33598441.441441439</v>
      </c>
      <c r="Q201">
        <v>64011171.171171166</v>
      </c>
      <c r="R201">
        <v>62176126.126126125</v>
      </c>
      <c r="S201">
        <v>8757</v>
      </c>
      <c r="T201">
        <v>3441</v>
      </c>
    </row>
    <row r="202" spans="1:20" x14ac:dyDescent="0.35">
      <c r="A202" s="7" t="s">
        <v>295</v>
      </c>
      <c r="B202" s="12" t="s">
        <v>291</v>
      </c>
      <c r="C202">
        <v>53268268.898509078</v>
      </c>
      <c r="D202">
        <v>59382756.980862968</v>
      </c>
      <c r="E202">
        <v>1112612.6126126121</v>
      </c>
      <c r="F202">
        <v>1220429.7297297311</v>
      </c>
      <c r="G202">
        <v>8</v>
      </c>
      <c r="H202">
        <v>15</v>
      </c>
      <c r="K202">
        <v>8</v>
      </c>
      <c r="L202">
        <v>15</v>
      </c>
      <c r="M202">
        <v>2960360.3603603598</v>
      </c>
      <c r="N202">
        <v>2191727.927927929</v>
      </c>
      <c r="O202">
        <v>7407655.855855857</v>
      </c>
      <c r="P202">
        <v>7295207.2072072076</v>
      </c>
      <c r="Q202">
        <v>2790360.3603603598</v>
      </c>
      <c r="R202">
        <v>2627837.8378378381</v>
      </c>
      <c r="S202">
        <v>1303</v>
      </c>
      <c r="T202">
        <v>1241</v>
      </c>
    </row>
    <row r="203" spans="1:20" x14ac:dyDescent="0.35">
      <c r="A203" s="7" t="s">
        <v>672</v>
      </c>
      <c r="B203" s="12" t="s">
        <v>480</v>
      </c>
      <c r="E203">
        <v>49279279.279279277</v>
      </c>
      <c r="F203">
        <v>66331081.081081077</v>
      </c>
      <c r="M203">
        <v>4958558.558558559</v>
      </c>
      <c r="N203">
        <v>2668468.4684684682</v>
      </c>
    </row>
    <row r="204" spans="1:20" x14ac:dyDescent="0.35">
      <c r="A204" s="7" t="s">
        <v>296</v>
      </c>
      <c r="B204" s="12" t="s">
        <v>53</v>
      </c>
      <c r="C204">
        <v>673756767.88325429</v>
      </c>
      <c r="D204">
        <v>682069133.8254199</v>
      </c>
      <c r="E204">
        <v>176787387.38738739</v>
      </c>
      <c r="F204">
        <v>349090337.83783782</v>
      </c>
      <c r="G204">
        <v>380</v>
      </c>
      <c r="H204">
        <v>272</v>
      </c>
      <c r="K204">
        <v>614</v>
      </c>
      <c r="L204">
        <v>424</v>
      </c>
      <c r="M204">
        <v>334770090.0900901</v>
      </c>
      <c r="N204">
        <v>137051108.1081081</v>
      </c>
      <c r="O204">
        <v>182332520.72072071</v>
      </c>
      <c r="P204">
        <v>189282711.7117117</v>
      </c>
      <c r="Q204">
        <v>343611171.17117119</v>
      </c>
      <c r="R204">
        <v>129749459.45945945</v>
      </c>
      <c r="S204">
        <v>16706</v>
      </c>
      <c r="T204">
        <v>11674</v>
      </c>
    </row>
    <row r="205" spans="1:20" x14ac:dyDescent="0.35">
      <c r="A205" s="7" t="s">
        <v>297</v>
      </c>
      <c r="B205" s="12" t="s">
        <v>170</v>
      </c>
      <c r="C205">
        <v>183655533.4076713</v>
      </c>
      <c r="D205">
        <v>217260301.03098151</v>
      </c>
      <c r="E205">
        <v>127027.027027028</v>
      </c>
      <c r="F205">
        <v>138288.28828828799</v>
      </c>
      <c r="G205">
        <v>24</v>
      </c>
      <c r="H205">
        <v>21</v>
      </c>
      <c r="I205">
        <v>1</v>
      </c>
      <c r="K205">
        <v>31</v>
      </c>
      <c r="L205">
        <v>24</v>
      </c>
      <c r="M205">
        <v>13244144.144144144</v>
      </c>
      <c r="N205">
        <v>7678828.8288288293</v>
      </c>
      <c r="O205">
        <v>40720657.657657653</v>
      </c>
      <c r="P205">
        <v>55898045.045045048</v>
      </c>
      <c r="Q205">
        <v>11959369.369369371</v>
      </c>
      <c r="R205">
        <v>11130180.180180181</v>
      </c>
      <c r="S205">
        <v>4740</v>
      </c>
      <c r="T205">
        <v>4508</v>
      </c>
    </row>
    <row r="206" spans="1:20" x14ac:dyDescent="0.35">
      <c r="A206" s="7" t="s">
        <v>298</v>
      </c>
      <c r="B206" s="12" t="s">
        <v>170</v>
      </c>
      <c r="C206">
        <v>245322152.63907522</v>
      </c>
      <c r="D206">
        <v>212216417.55420411</v>
      </c>
      <c r="E206">
        <v>802369.36936937005</v>
      </c>
      <c r="F206">
        <v>287315.31531531602</v>
      </c>
      <c r="G206">
        <v>45</v>
      </c>
      <c r="H206">
        <v>28</v>
      </c>
      <c r="K206">
        <v>49</v>
      </c>
      <c r="L206">
        <v>30</v>
      </c>
      <c r="M206">
        <v>1841457162.1621621</v>
      </c>
      <c r="N206">
        <v>1838146367.5675676</v>
      </c>
      <c r="O206">
        <v>86231990.990990996</v>
      </c>
      <c r="P206">
        <v>85185684.684684694</v>
      </c>
      <c r="Q206">
        <v>1832850082.8828828</v>
      </c>
      <c r="R206">
        <v>1826371787.3873873</v>
      </c>
      <c r="S206">
        <v>2835</v>
      </c>
      <c r="T206">
        <v>2690</v>
      </c>
    </row>
    <row r="207" spans="1:20" x14ac:dyDescent="0.35">
      <c r="A207" s="7" t="s">
        <v>299</v>
      </c>
      <c r="B207" s="12" t="s">
        <v>90</v>
      </c>
      <c r="C207">
        <v>792924259.9573276</v>
      </c>
      <c r="D207">
        <v>781055257.2498399</v>
      </c>
      <c r="E207">
        <v>11202568.468468472</v>
      </c>
      <c r="F207">
        <v>6922809.009009012</v>
      </c>
      <c r="G207">
        <v>214</v>
      </c>
      <c r="H207">
        <v>100</v>
      </c>
      <c r="I207">
        <v>2</v>
      </c>
      <c r="K207">
        <v>309</v>
      </c>
      <c r="L207">
        <v>118</v>
      </c>
      <c r="M207">
        <v>56155618.918918923</v>
      </c>
      <c r="N207">
        <v>649995092.7927928</v>
      </c>
      <c r="O207">
        <v>151052531.53153151</v>
      </c>
      <c r="P207">
        <v>163387261.26126125</v>
      </c>
      <c r="Q207">
        <v>58113873.873873882</v>
      </c>
      <c r="R207">
        <v>648491980.18018019</v>
      </c>
      <c r="S207">
        <v>11540</v>
      </c>
      <c r="T207">
        <v>10551</v>
      </c>
    </row>
    <row r="208" spans="1:20" x14ac:dyDescent="0.35">
      <c r="A208" s="7" t="s">
        <v>300</v>
      </c>
      <c r="B208" s="12" t="s">
        <v>135</v>
      </c>
      <c r="C208">
        <v>423393286.14747679</v>
      </c>
      <c r="D208">
        <v>457435935.99021333</v>
      </c>
      <c r="E208">
        <v>3936936.9369369368</v>
      </c>
      <c r="F208">
        <v>3426224.3243243308</v>
      </c>
      <c r="G208">
        <v>86</v>
      </c>
      <c r="H208">
        <v>89</v>
      </c>
      <c r="K208">
        <v>107</v>
      </c>
      <c r="L208">
        <v>124</v>
      </c>
      <c r="M208">
        <v>31896396.396396395</v>
      </c>
      <c r="N208">
        <v>46628837.837837838</v>
      </c>
      <c r="O208">
        <v>53468396.396396399</v>
      </c>
      <c r="P208">
        <v>64615034.234234229</v>
      </c>
      <c r="Q208">
        <v>27334414.414414413</v>
      </c>
      <c r="R208">
        <v>38921171.171171166</v>
      </c>
      <c r="S208">
        <v>7327</v>
      </c>
      <c r="T208">
        <v>6927</v>
      </c>
    </row>
    <row r="209" spans="1:20" x14ac:dyDescent="0.35">
      <c r="A209" s="7" t="s">
        <v>301</v>
      </c>
      <c r="B209" s="12" t="s">
        <v>291</v>
      </c>
      <c r="C209">
        <v>287753828.94190621</v>
      </c>
      <c r="D209">
        <v>291212604.59461349</v>
      </c>
      <c r="E209">
        <v>5037837.8378378367</v>
      </c>
      <c r="F209">
        <v>3746073.8738738769</v>
      </c>
      <c r="G209">
        <v>89</v>
      </c>
      <c r="H209">
        <v>106</v>
      </c>
      <c r="K209">
        <v>101</v>
      </c>
      <c r="L209">
        <v>127</v>
      </c>
      <c r="M209">
        <v>44640547.747747742</v>
      </c>
      <c r="N209">
        <v>31273297.297297299</v>
      </c>
      <c r="O209">
        <v>40739239.639639638</v>
      </c>
      <c r="P209">
        <v>45970549.54954955</v>
      </c>
      <c r="Q209">
        <v>43590270.270270273</v>
      </c>
      <c r="R209">
        <v>32584594.59459459</v>
      </c>
      <c r="S209">
        <v>4828</v>
      </c>
      <c r="T209">
        <v>4297</v>
      </c>
    </row>
    <row r="210" spans="1:20" x14ac:dyDescent="0.35">
      <c r="A210" s="7" t="s">
        <v>302</v>
      </c>
      <c r="B210" s="12" t="s">
        <v>81</v>
      </c>
      <c r="C210">
        <v>426874412.72221553</v>
      </c>
      <c r="D210">
        <v>419060628.76520699</v>
      </c>
      <c r="E210">
        <v>4779954.9549549557</v>
      </c>
      <c r="F210">
        <v>6948601.8018018017</v>
      </c>
      <c r="G210">
        <v>72</v>
      </c>
      <c r="H210">
        <v>49</v>
      </c>
      <c r="I210">
        <v>5</v>
      </c>
      <c r="K210">
        <v>80</v>
      </c>
      <c r="L210">
        <v>57</v>
      </c>
      <c r="M210">
        <v>61776936.936936937</v>
      </c>
      <c r="N210">
        <v>48482081.981981985</v>
      </c>
      <c r="O210">
        <v>88983583.783783779</v>
      </c>
      <c r="P210">
        <v>95803792.792792797</v>
      </c>
      <c r="Q210">
        <v>57561261.261261262</v>
      </c>
      <c r="R210">
        <v>41928108.108108111</v>
      </c>
      <c r="S210">
        <v>6656</v>
      </c>
      <c r="T210">
        <v>5377</v>
      </c>
    </row>
    <row r="211" spans="1:20" x14ac:dyDescent="0.35">
      <c r="A211" s="7" t="s">
        <v>303</v>
      </c>
      <c r="B211" s="12" t="s">
        <v>73</v>
      </c>
      <c r="C211">
        <v>633168919.27200782</v>
      </c>
      <c r="D211">
        <v>662964079.31187367</v>
      </c>
      <c r="E211">
        <v>1811711.711711714</v>
      </c>
      <c r="F211">
        <v>2917942.3423423469</v>
      </c>
      <c r="G211">
        <v>142</v>
      </c>
      <c r="H211">
        <v>78</v>
      </c>
      <c r="I211">
        <v>2</v>
      </c>
      <c r="K211">
        <v>155</v>
      </c>
      <c r="L211">
        <v>92</v>
      </c>
      <c r="M211">
        <v>36413513.513513513</v>
      </c>
      <c r="N211">
        <v>56026852.252252258</v>
      </c>
      <c r="O211">
        <v>91336225.225225225</v>
      </c>
      <c r="P211">
        <v>103828610.81081082</v>
      </c>
      <c r="Q211">
        <v>32055225.225225225</v>
      </c>
      <c r="R211">
        <v>37473603.603603601</v>
      </c>
      <c r="S211">
        <v>9391</v>
      </c>
      <c r="T211">
        <v>9251</v>
      </c>
    </row>
    <row r="212" spans="1:20" x14ac:dyDescent="0.35">
      <c r="A212" s="7" t="s">
        <v>304</v>
      </c>
      <c r="B212" s="12" t="s">
        <v>305</v>
      </c>
      <c r="C212">
        <v>2196140.7603018321</v>
      </c>
      <c r="D212">
        <v>2557461.6580883209</v>
      </c>
      <c r="O212">
        <v>725315.31531531503</v>
      </c>
      <c r="P212">
        <v>863819.81981982</v>
      </c>
      <c r="S212">
        <v>66</v>
      </c>
      <c r="T212">
        <v>61</v>
      </c>
    </row>
    <row r="213" spans="1:20" x14ac:dyDescent="0.35">
      <c r="A213" s="7" t="s">
        <v>306</v>
      </c>
      <c r="B213" s="12" t="s">
        <v>118</v>
      </c>
      <c r="C213">
        <v>84675041.21518746</v>
      </c>
      <c r="D213">
        <v>83539146.659195647</v>
      </c>
      <c r="E213">
        <v>309909.90990990802</v>
      </c>
      <c r="F213">
        <v>1098477.4774774769</v>
      </c>
      <c r="G213">
        <v>37</v>
      </c>
      <c r="H213">
        <v>26</v>
      </c>
      <c r="K213">
        <v>44</v>
      </c>
      <c r="L213">
        <v>64</v>
      </c>
      <c r="M213">
        <v>3285045.0450450461</v>
      </c>
      <c r="N213">
        <v>98675851.351351351</v>
      </c>
      <c r="O213">
        <v>35833693.693693697</v>
      </c>
      <c r="P213">
        <v>34331171.171171173</v>
      </c>
      <c r="Q213">
        <v>3583423.4234234239</v>
      </c>
      <c r="R213">
        <v>4627297.2972972961</v>
      </c>
      <c r="S213">
        <v>2048</v>
      </c>
      <c r="T213">
        <v>1733</v>
      </c>
    </row>
    <row r="214" spans="1:20" x14ac:dyDescent="0.35">
      <c r="A214" s="7" t="s">
        <v>307</v>
      </c>
      <c r="B214" s="12" t="s">
        <v>308</v>
      </c>
      <c r="C214">
        <v>105587861.06052721</v>
      </c>
      <c r="D214">
        <v>102061133.91550925</v>
      </c>
      <c r="E214">
        <v>581257657.65765762</v>
      </c>
      <c r="F214">
        <v>834102522.52252245</v>
      </c>
      <c r="G214">
        <v>55</v>
      </c>
      <c r="H214">
        <v>41</v>
      </c>
      <c r="K214">
        <v>65</v>
      </c>
      <c r="L214">
        <v>48</v>
      </c>
      <c r="M214">
        <v>2866216.2162162191</v>
      </c>
      <c r="N214">
        <v>10112252.252252253</v>
      </c>
      <c r="O214">
        <v>56797873.873873875</v>
      </c>
      <c r="P214">
        <v>54077540.540540546</v>
      </c>
      <c r="Q214">
        <v>1354414.4144144149</v>
      </c>
      <c r="R214">
        <v>3574234.2342342339</v>
      </c>
      <c r="S214">
        <v>4746</v>
      </c>
      <c r="T214">
        <v>4237</v>
      </c>
    </row>
    <row r="215" spans="1:20" x14ac:dyDescent="0.35">
      <c r="A215" s="7" t="s">
        <v>309</v>
      </c>
      <c r="B215" s="12" t="s">
        <v>141</v>
      </c>
      <c r="C215">
        <v>682576738.59922111</v>
      </c>
      <c r="D215">
        <v>714363549.49265921</v>
      </c>
      <c r="E215">
        <v>4336036.0360360416</v>
      </c>
      <c r="F215">
        <v>5858685.5855855867</v>
      </c>
      <c r="G215">
        <v>102</v>
      </c>
      <c r="H215">
        <v>78</v>
      </c>
      <c r="I215">
        <v>5</v>
      </c>
      <c r="K215">
        <v>126</v>
      </c>
      <c r="L215">
        <v>91</v>
      </c>
      <c r="M215">
        <v>121391441.44144145</v>
      </c>
      <c r="N215">
        <v>129128995.49549548</v>
      </c>
      <c r="O215">
        <v>151573909.90990993</v>
      </c>
      <c r="P215">
        <v>161945374.77477479</v>
      </c>
      <c r="Q215">
        <v>72410360.360360369</v>
      </c>
      <c r="R215">
        <v>75065405.405405402</v>
      </c>
      <c r="S215">
        <v>8447</v>
      </c>
      <c r="T215">
        <v>8128</v>
      </c>
    </row>
    <row r="216" spans="1:20" x14ac:dyDescent="0.35">
      <c r="A216" s="7" t="s">
        <v>310</v>
      </c>
      <c r="B216" s="12" t="s">
        <v>133</v>
      </c>
      <c r="C216">
        <v>684000667.36259401</v>
      </c>
      <c r="D216">
        <v>657472316.0462656</v>
      </c>
      <c r="E216">
        <v>4618918.9189189188</v>
      </c>
      <c r="F216">
        <v>3825700.0000000009</v>
      </c>
      <c r="G216">
        <v>191</v>
      </c>
      <c r="H216">
        <v>132</v>
      </c>
      <c r="K216">
        <v>208</v>
      </c>
      <c r="L216">
        <v>145</v>
      </c>
      <c r="M216">
        <v>26961261.261261266</v>
      </c>
      <c r="N216">
        <v>26865827.027027026</v>
      </c>
      <c r="O216">
        <v>182685000</v>
      </c>
      <c r="P216">
        <v>188049846.84684685</v>
      </c>
      <c r="Q216">
        <v>21923153.153153155</v>
      </c>
      <c r="R216">
        <v>19802837.837837838</v>
      </c>
      <c r="S216">
        <v>13829</v>
      </c>
      <c r="T216">
        <v>12108</v>
      </c>
    </row>
    <row r="217" spans="1:20" x14ac:dyDescent="0.35">
      <c r="A217" s="7" t="s">
        <v>311</v>
      </c>
      <c r="B217" s="12" t="s">
        <v>73</v>
      </c>
      <c r="C217">
        <v>1085440411.2353981</v>
      </c>
      <c r="D217">
        <v>1175133605.139756</v>
      </c>
      <c r="E217">
        <v>74356891.891891897</v>
      </c>
      <c r="F217">
        <v>151542427.02702704</v>
      </c>
      <c r="G217">
        <v>263</v>
      </c>
      <c r="H217">
        <v>144</v>
      </c>
      <c r="I217">
        <v>3</v>
      </c>
      <c r="K217">
        <v>304</v>
      </c>
      <c r="L217">
        <v>158</v>
      </c>
      <c r="M217">
        <v>166010360.36036035</v>
      </c>
      <c r="N217">
        <v>185460781.08108109</v>
      </c>
      <c r="O217">
        <v>273355897.2972973</v>
      </c>
      <c r="P217">
        <v>377211068.46846849</v>
      </c>
      <c r="Q217">
        <v>140694908.1081081</v>
      </c>
      <c r="R217">
        <v>158031261.26126125</v>
      </c>
      <c r="S217">
        <v>18950</v>
      </c>
      <c r="T217">
        <v>16533</v>
      </c>
    </row>
    <row r="218" spans="1:20" x14ac:dyDescent="0.35">
      <c r="A218" s="7" t="s">
        <v>312</v>
      </c>
      <c r="B218" s="12" t="s">
        <v>63</v>
      </c>
      <c r="C218">
        <v>195687647.48157564</v>
      </c>
      <c r="D218">
        <v>187762839.01997569</v>
      </c>
      <c r="E218">
        <v>831295816.21621621</v>
      </c>
      <c r="F218">
        <v>935294885.58558559</v>
      </c>
      <c r="G218">
        <v>18</v>
      </c>
      <c r="H218">
        <v>16</v>
      </c>
      <c r="K218">
        <v>20</v>
      </c>
      <c r="L218">
        <v>20</v>
      </c>
      <c r="M218">
        <v>100601706.3063063</v>
      </c>
      <c r="N218">
        <v>89842690.090090096</v>
      </c>
      <c r="O218">
        <v>52501648.648648649</v>
      </c>
      <c r="P218">
        <v>52961648.648648649</v>
      </c>
      <c r="Q218">
        <v>32798288.288288288</v>
      </c>
      <c r="R218">
        <v>37692702.702702701</v>
      </c>
      <c r="S218">
        <v>2368</v>
      </c>
      <c r="T218">
        <v>2373</v>
      </c>
    </row>
    <row r="219" spans="1:20" x14ac:dyDescent="0.35">
      <c r="A219" s="7" t="s">
        <v>313</v>
      </c>
      <c r="B219" s="12" t="s">
        <v>90</v>
      </c>
      <c r="C219">
        <v>66221676.754795961</v>
      </c>
      <c r="D219">
        <v>69687794.07422787</v>
      </c>
      <c r="E219">
        <v>1082882.8828828819</v>
      </c>
      <c r="F219">
        <v>3587837.83783784</v>
      </c>
      <c r="G219">
        <v>20</v>
      </c>
      <c r="H219">
        <v>17</v>
      </c>
      <c r="I219">
        <v>1</v>
      </c>
      <c r="K219">
        <v>26</v>
      </c>
      <c r="L219">
        <v>17</v>
      </c>
      <c r="M219">
        <v>10141981.981981982</v>
      </c>
      <c r="N219">
        <v>55572432.432432435</v>
      </c>
      <c r="O219">
        <v>22342954.954954956</v>
      </c>
      <c r="P219">
        <v>24241801.801801804</v>
      </c>
      <c r="Q219">
        <v>10476126.126126127</v>
      </c>
      <c r="R219">
        <v>55104954.954954959</v>
      </c>
      <c r="S219">
        <v>1228</v>
      </c>
      <c r="T219">
        <v>1395</v>
      </c>
    </row>
    <row r="220" spans="1:20" x14ac:dyDescent="0.35">
      <c r="A220" s="7" t="s">
        <v>314</v>
      </c>
      <c r="B220" s="12" t="s">
        <v>93</v>
      </c>
      <c r="C220">
        <v>29844527.074331712</v>
      </c>
      <c r="D220">
        <v>24240474.250100143</v>
      </c>
      <c r="E220">
        <v>220720.720720721</v>
      </c>
      <c r="F220">
        <v>144144.144144144</v>
      </c>
      <c r="G220">
        <v>4</v>
      </c>
      <c r="H220">
        <v>5</v>
      </c>
      <c r="K220">
        <v>5</v>
      </c>
      <c r="L220">
        <v>5</v>
      </c>
      <c r="M220">
        <v>1436936.936936937</v>
      </c>
      <c r="N220">
        <v>2261269.369369369</v>
      </c>
      <c r="O220">
        <v>2195720.7207207209</v>
      </c>
      <c r="P220">
        <v>2507063.0630630632</v>
      </c>
      <c r="Q220">
        <v>1361261.2612612611</v>
      </c>
      <c r="R220">
        <v>2153153.1531531531</v>
      </c>
      <c r="S220">
        <v>533</v>
      </c>
      <c r="T220">
        <v>512</v>
      </c>
    </row>
    <row r="221" spans="1:20" x14ac:dyDescent="0.35">
      <c r="A221" s="7" t="s">
        <v>315</v>
      </c>
      <c r="B221" s="12" t="s">
        <v>316</v>
      </c>
      <c r="C221">
        <v>222778382.7250663</v>
      </c>
      <c r="D221">
        <v>221577672.8863326</v>
      </c>
      <c r="E221">
        <v>879729.72972972901</v>
      </c>
      <c r="F221">
        <v>3972297.2972972989</v>
      </c>
      <c r="G221">
        <v>53</v>
      </c>
      <c r="H221">
        <v>55</v>
      </c>
      <c r="K221">
        <v>63</v>
      </c>
      <c r="L221">
        <v>66</v>
      </c>
      <c r="M221">
        <v>26596396.396396395</v>
      </c>
      <c r="N221">
        <v>46240445.945945948</v>
      </c>
      <c r="O221">
        <v>34439313.513513513</v>
      </c>
      <c r="P221">
        <v>38919288.288288288</v>
      </c>
      <c r="Q221">
        <v>25295765.765765768</v>
      </c>
      <c r="R221">
        <v>38628108.108108111</v>
      </c>
      <c r="S221">
        <v>3845</v>
      </c>
      <c r="T221">
        <v>3623</v>
      </c>
    </row>
    <row r="222" spans="1:20" x14ac:dyDescent="0.35">
      <c r="A222" s="7" t="s">
        <v>317</v>
      </c>
      <c r="B222" s="12" t="s">
        <v>63</v>
      </c>
      <c r="C222">
        <v>380157155.15495503</v>
      </c>
      <c r="D222">
        <v>407649444.22793847</v>
      </c>
      <c r="E222">
        <v>7172972.972972977</v>
      </c>
      <c r="F222">
        <v>7937417.11711712</v>
      </c>
      <c r="G222">
        <v>221</v>
      </c>
      <c r="H222">
        <v>107</v>
      </c>
      <c r="K222">
        <v>282</v>
      </c>
      <c r="L222">
        <v>213</v>
      </c>
      <c r="M222">
        <v>57262342.342342347</v>
      </c>
      <c r="N222">
        <v>71288474.774774775</v>
      </c>
      <c r="O222">
        <v>133843090.0900901</v>
      </c>
      <c r="P222">
        <v>147878818.01801801</v>
      </c>
      <c r="Q222">
        <v>55478648.648648642</v>
      </c>
      <c r="R222">
        <v>76847207.207207203</v>
      </c>
      <c r="S222">
        <v>9219</v>
      </c>
      <c r="T222">
        <v>9021</v>
      </c>
    </row>
    <row r="223" spans="1:20" x14ac:dyDescent="0.35">
      <c r="A223" s="7" t="s">
        <v>318</v>
      </c>
      <c r="B223" s="12" t="s">
        <v>63</v>
      </c>
      <c r="C223">
        <v>354948645.85348386</v>
      </c>
      <c r="D223">
        <v>383311295.1710062</v>
      </c>
      <c r="E223">
        <v>4074774.7747747791</v>
      </c>
      <c r="F223">
        <v>4950807.2072072076</v>
      </c>
      <c r="G223">
        <v>67</v>
      </c>
      <c r="H223">
        <v>18</v>
      </c>
      <c r="K223">
        <v>75</v>
      </c>
      <c r="L223">
        <v>31</v>
      </c>
      <c r="M223">
        <v>51313513.513513513</v>
      </c>
      <c r="N223">
        <v>61982537.83783783</v>
      </c>
      <c r="O223">
        <v>122584432.43243243</v>
      </c>
      <c r="P223">
        <v>134466171.17117116</v>
      </c>
      <c r="Q223">
        <v>46584414.414414413</v>
      </c>
      <c r="R223">
        <v>63920990.990990989</v>
      </c>
      <c r="S223">
        <v>5843</v>
      </c>
      <c r="T223">
        <v>5404</v>
      </c>
    </row>
    <row r="224" spans="1:20" x14ac:dyDescent="0.35">
      <c r="A224" s="7" t="s">
        <v>319</v>
      </c>
      <c r="B224" s="12" t="s">
        <v>79</v>
      </c>
      <c r="C224">
        <v>370923266.32490486</v>
      </c>
      <c r="D224">
        <v>374642050.57333422</v>
      </c>
      <c r="E224">
        <v>6591666.6666666698</v>
      </c>
      <c r="F224">
        <v>8765073.8738738764</v>
      </c>
      <c r="G224">
        <v>220</v>
      </c>
      <c r="H224">
        <v>122</v>
      </c>
      <c r="I224">
        <v>2</v>
      </c>
      <c r="K224">
        <v>272</v>
      </c>
      <c r="L224">
        <v>147</v>
      </c>
      <c r="M224">
        <v>92936486.486486495</v>
      </c>
      <c r="N224">
        <v>104519754.95495497</v>
      </c>
      <c r="O224">
        <v>160256680.18018019</v>
      </c>
      <c r="P224">
        <v>165152547.74774775</v>
      </c>
      <c r="Q224">
        <v>94915855.855855852</v>
      </c>
      <c r="R224">
        <v>99443063.063063055</v>
      </c>
      <c r="S224">
        <v>9586</v>
      </c>
      <c r="T224">
        <v>8732</v>
      </c>
    </row>
    <row r="225" spans="1:20" x14ac:dyDescent="0.35">
      <c r="A225" s="7" t="s">
        <v>320</v>
      </c>
      <c r="B225" s="12" t="s">
        <v>79</v>
      </c>
      <c r="C225">
        <v>225275108.42425087</v>
      </c>
      <c r="D225">
        <v>220637876.3363595</v>
      </c>
      <c r="E225">
        <v>4255855.855855857</v>
      </c>
      <c r="F225">
        <v>4882644.1441441467</v>
      </c>
      <c r="G225">
        <v>120</v>
      </c>
      <c r="H225">
        <v>65</v>
      </c>
      <c r="K225">
        <v>226</v>
      </c>
      <c r="L225">
        <v>141</v>
      </c>
      <c r="M225">
        <v>21499099.099099096</v>
      </c>
      <c r="N225">
        <v>24314494.594594598</v>
      </c>
      <c r="O225">
        <v>83026225.225225225</v>
      </c>
      <c r="P225">
        <v>86579882.882882878</v>
      </c>
      <c r="Q225">
        <v>19273513.513513517</v>
      </c>
      <c r="R225">
        <v>22604684.684684686</v>
      </c>
      <c r="S225">
        <v>5939</v>
      </c>
      <c r="T225">
        <v>5981</v>
      </c>
    </row>
    <row r="226" spans="1:20" x14ac:dyDescent="0.35">
      <c r="A226" s="7" t="s">
        <v>321</v>
      </c>
      <c r="B226" s="12" t="s">
        <v>122</v>
      </c>
      <c r="C226">
        <v>1751666.113486619</v>
      </c>
      <c r="D226">
        <v>1333925.3585883181</v>
      </c>
      <c r="G226">
        <v>1</v>
      </c>
      <c r="H226">
        <v>2</v>
      </c>
      <c r="K226">
        <v>1</v>
      </c>
      <c r="L226">
        <v>2</v>
      </c>
      <c r="O226">
        <v>232072.07207207201</v>
      </c>
      <c r="P226">
        <v>400855.85585585597</v>
      </c>
      <c r="S226">
        <v>90</v>
      </c>
      <c r="T226">
        <v>54</v>
      </c>
    </row>
    <row r="227" spans="1:20" x14ac:dyDescent="0.35">
      <c r="A227" s="7" t="s">
        <v>322</v>
      </c>
      <c r="B227" s="12" t="s">
        <v>225</v>
      </c>
      <c r="C227">
        <v>255957985.86727464</v>
      </c>
      <c r="D227">
        <v>252370180.09075239</v>
      </c>
      <c r="E227">
        <v>148518558.55855855</v>
      </c>
      <c r="F227">
        <v>186631531.53153151</v>
      </c>
      <c r="G227">
        <v>58</v>
      </c>
      <c r="H227">
        <v>41</v>
      </c>
      <c r="I227">
        <v>2</v>
      </c>
      <c r="K227">
        <v>63</v>
      </c>
      <c r="L227">
        <v>42</v>
      </c>
      <c r="M227">
        <v>14786441.441441443</v>
      </c>
      <c r="N227">
        <v>16409909.90990991</v>
      </c>
      <c r="O227">
        <v>102308133.33333333</v>
      </c>
      <c r="P227">
        <v>108978800</v>
      </c>
      <c r="Q227">
        <v>10667747.747747747</v>
      </c>
      <c r="R227">
        <v>11847747.747747747</v>
      </c>
      <c r="S227">
        <v>4269</v>
      </c>
      <c r="T227">
        <v>3913</v>
      </c>
    </row>
    <row r="228" spans="1:20" x14ac:dyDescent="0.35">
      <c r="A228" s="7" t="s">
        <v>323</v>
      </c>
      <c r="B228" s="12" t="s">
        <v>225</v>
      </c>
      <c r="C228">
        <v>183131945.35137954</v>
      </c>
      <c r="D228">
        <v>191033842.85245544</v>
      </c>
      <c r="E228">
        <v>91891.891891892999</v>
      </c>
      <c r="F228">
        <v>189747.747747749</v>
      </c>
      <c r="G228">
        <v>13</v>
      </c>
      <c r="H228">
        <v>43</v>
      </c>
      <c r="K228">
        <v>15</v>
      </c>
      <c r="L228">
        <v>50</v>
      </c>
      <c r="M228">
        <v>19460540.540540542</v>
      </c>
      <c r="N228">
        <v>21081209.009009007</v>
      </c>
      <c r="O228">
        <v>54867797.297297299</v>
      </c>
      <c r="P228">
        <v>59815648.648648649</v>
      </c>
      <c r="Q228">
        <v>15171711.711711712</v>
      </c>
      <c r="R228">
        <v>16382522.522522524</v>
      </c>
      <c r="S228">
        <v>2309</v>
      </c>
      <c r="T228">
        <v>2242</v>
      </c>
    </row>
    <row r="229" spans="1:20" x14ac:dyDescent="0.35">
      <c r="A229" s="7" t="s">
        <v>668</v>
      </c>
      <c r="B229" s="12" t="s">
        <v>95</v>
      </c>
      <c r="T229">
        <v>3</v>
      </c>
    </row>
    <row r="230" spans="1:20" x14ac:dyDescent="0.35">
      <c r="A230" s="7" t="s">
        <v>324</v>
      </c>
      <c r="B230" s="12" t="s">
        <v>79</v>
      </c>
      <c r="C230">
        <v>277840492.29869676</v>
      </c>
      <c r="D230">
        <v>274400109.30115896</v>
      </c>
      <c r="E230">
        <v>1554054.054054057</v>
      </c>
      <c r="F230">
        <v>2962445.945945947</v>
      </c>
      <c r="G230">
        <v>165</v>
      </c>
      <c r="H230">
        <v>141</v>
      </c>
      <c r="I230">
        <v>2</v>
      </c>
      <c r="K230">
        <v>219</v>
      </c>
      <c r="L230">
        <v>193</v>
      </c>
      <c r="M230">
        <v>28319819.819819823</v>
      </c>
      <c r="N230">
        <v>36580431.531531528</v>
      </c>
      <c r="O230">
        <v>83034234.234234244</v>
      </c>
      <c r="P230">
        <v>82676378.378378391</v>
      </c>
      <c r="Q230">
        <v>27866216.216216218</v>
      </c>
      <c r="R230">
        <v>31473423.423423424</v>
      </c>
      <c r="S230">
        <v>5107</v>
      </c>
      <c r="T230">
        <v>4550</v>
      </c>
    </row>
    <row r="231" spans="1:20" x14ac:dyDescent="0.35">
      <c r="A231" s="7" t="s">
        <v>325</v>
      </c>
      <c r="B231" s="12" t="s">
        <v>109</v>
      </c>
      <c r="C231">
        <v>1728851000.1841729</v>
      </c>
      <c r="D231">
        <v>1768156405.3921402</v>
      </c>
      <c r="E231">
        <v>1831023409.0090089</v>
      </c>
      <c r="F231">
        <v>1550222991.891892</v>
      </c>
      <c r="G231">
        <v>558</v>
      </c>
      <c r="H231">
        <v>535</v>
      </c>
      <c r="I231">
        <v>5</v>
      </c>
      <c r="K231">
        <v>1003</v>
      </c>
      <c r="L231">
        <v>929</v>
      </c>
      <c r="M231">
        <v>598007657.65765762</v>
      </c>
      <c r="N231">
        <v>293072172.97297299</v>
      </c>
      <c r="O231">
        <v>777362882.88288295</v>
      </c>
      <c r="P231">
        <v>796021300.90090084</v>
      </c>
      <c r="Q231">
        <v>146815495.4954955</v>
      </c>
      <c r="R231">
        <v>281194864.86486489</v>
      </c>
      <c r="S231">
        <v>30106</v>
      </c>
      <c r="T231">
        <v>22091</v>
      </c>
    </row>
    <row r="232" spans="1:20" x14ac:dyDescent="0.35">
      <c r="A232" s="7" t="s">
        <v>326</v>
      </c>
      <c r="B232" s="12" t="s">
        <v>225</v>
      </c>
      <c r="C232">
        <v>253718893.93576768</v>
      </c>
      <c r="D232">
        <v>276491616.20965171</v>
      </c>
      <c r="E232">
        <v>827027.02702702803</v>
      </c>
      <c r="F232">
        <v>1070315.315315316</v>
      </c>
      <c r="G232">
        <v>41</v>
      </c>
      <c r="H232">
        <v>54</v>
      </c>
      <c r="K232">
        <v>44</v>
      </c>
      <c r="L232">
        <v>65</v>
      </c>
      <c r="M232">
        <v>20298738.738738734</v>
      </c>
      <c r="N232">
        <v>23783499.0990991</v>
      </c>
      <c r="O232">
        <v>53367819.819819815</v>
      </c>
      <c r="P232">
        <v>63876747.747747742</v>
      </c>
      <c r="Q232">
        <v>20266576.576576576</v>
      </c>
      <c r="R232">
        <v>24668468.468468469</v>
      </c>
      <c r="S232">
        <v>4423</v>
      </c>
      <c r="T232">
        <v>4462</v>
      </c>
    </row>
    <row r="233" spans="1:20" x14ac:dyDescent="0.35">
      <c r="A233" s="7" t="s">
        <v>4</v>
      </c>
      <c r="B233" s="12" t="s">
        <v>159</v>
      </c>
      <c r="C233">
        <v>222515398.71580034</v>
      </c>
      <c r="D233">
        <v>212550284.01819611</v>
      </c>
      <c r="E233">
        <v>3452252.2522522518</v>
      </c>
      <c r="F233">
        <v>7038963.963963964</v>
      </c>
      <c r="G233">
        <v>19</v>
      </c>
      <c r="H233">
        <v>40</v>
      </c>
      <c r="I233">
        <v>1</v>
      </c>
      <c r="K233">
        <v>24</v>
      </c>
      <c r="L233">
        <v>46</v>
      </c>
      <c r="M233">
        <v>34649549.54954955</v>
      </c>
      <c r="N233">
        <v>88037162.162162155</v>
      </c>
      <c r="O233">
        <v>78430567.567567572</v>
      </c>
      <c r="P233">
        <v>78104819.819819823</v>
      </c>
      <c r="Q233">
        <v>42093963.963963963</v>
      </c>
      <c r="R233">
        <v>81198873.873873875</v>
      </c>
      <c r="S233">
        <v>4254</v>
      </c>
      <c r="T233">
        <v>3508</v>
      </c>
    </row>
    <row r="234" spans="1:20" x14ac:dyDescent="0.35">
      <c r="A234" s="7" t="s">
        <v>327</v>
      </c>
      <c r="B234" s="12" t="s">
        <v>109</v>
      </c>
      <c r="C234">
        <v>1046831060.9863057</v>
      </c>
      <c r="D234">
        <v>1060270764.0647506</v>
      </c>
      <c r="E234">
        <v>17918624.324324328</v>
      </c>
      <c r="F234">
        <v>85620754.954954967</v>
      </c>
      <c r="G234">
        <v>598</v>
      </c>
      <c r="H234">
        <v>414</v>
      </c>
      <c r="I234">
        <v>1</v>
      </c>
      <c r="K234">
        <v>1363</v>
      </c>
      <c r="L234">
        <v>835</v>
      </c>
      <c r="M234">
        <v>786977499.09909916</v>
      </c>
      <c r="N234">
        <v>578739112.61261261</v>
      </c>
      <c r="O234">
        <v>319958876.12612617</v>
      </c>
      <c r="P234">
        <v>326320297.2972973</v>
      </c>
      <c r="Q234">
        <v>770515765.76576579</v>
      </c>
      <c r="R234">
        <v>513559279.27927929</v>
      </c>
      <c r="S234">
        <v>24654</v>
      </c>
      <c r="T234">
        <v>19382</v>
      </c>
    </row>
    <row r="235" spans="1:20" x14ac:dyDescent="0.35">
      <c r="A235" s="7" t="s">
        <v>328</v>
      </c>
      <c r="B235" s="12" t="s">
        <v>79</v>
      </c>
      <c r="C235">
        <v>110651347.0740131</v>
      </c>
      <c r="D235">
        <v>106923928.04568523</v>
      </c>
      <c r="E235">
        <v>733333.333333335</v>
      </c>
      <c r="F235">
        <v>1149824.324324325</v>
      </c>
      <c r="G235">
        <v>35</v>
      </c>
      <c r="H235">
        <v>40</v>
      </c>
      <c r="K235">
        <v>40</v>
      </c>
      <c r="L235">
        <v>40</v>
      </c>
      <c r="M235">
        <v>8300900.9009009013</v>
      </c>
      <c r="N235">
        <v>15728027.027027028</v>
      </c>
      <c r="O235">
        <v>33984576.576576576</v>
      </c>
      <c r="P235">
        <v>35985972.972972974</v>
      </c>
      <c r="Q235">
        <v>9141171.1711711716</v>
      </c>
      <c r="R235">
        <v>15373153.153153151</v>
      </c>
      <c r="S235">
        <v>2200</v>
      </c>
      <c r="T235">
        <v>1897</v>
      </c>
    </row>
    <row r="236" spans="1:20" x14ac:dyDescent="0.35">
      <c r="A236" s="7" t="s">
        <v>329</v>
      </c>
      <c r="B236" s="12" t="s">
        <v>122</v>
      </c>
      <c r="C236">
        <v>280109615.51447904</v>
      </c>
      <c r="D236">
        <v>267767419.20902315</v>
      </c>
      <c r="E236">
        <v>2554279.2792792791</v>
      </c>
      <c r="F236">
        <v>1440492.7927927959</v>
      </c>
      <c r="G236">
        <v>85</v>
      </c>
      <c r="H236">
        <v>104</v>
      </c>
      <c r="I236">
        <v>9</v>
      </c>
      <c r="K236">
        <v>93</v>
      </c>
      <c r="L236">
        <v>116</v>
      </c>
      <c r="M236">
        <v>27562162.162162159</v>
      </c>
      <c r="N236">
        <v>22155000</v>
      </c>
      <c r="O236">
        <v>43106523.423423424</v>
      </c>
      <c r="P236">
        <v>47271153.153153151</v>
      </c>
      <c r="Q236">
        <v>18630450.450450446</v>
      </c>
      <c r="R236">
        <v>17719729.729729731</v>
      </c>
      <c r="S236">
        <v>7267</v>
      </c>
      <c r="T236">
        <v>3598</v>
      </c>
    </row>
    <row r="237" spans="1:20" x14ac:dyDescent="0.35">
      <c r="A237" s="7" t="s">
        <v>330</v>
      </c>
      <c r="B237" s="12" t="s">
        <v>331</v>
      </c>
      <c r="C237">
        <v>691881244.45773721</v>
      </c>
      <c r="D237">
        <v>653097797.33390915</v>
      </c>
      <c r="E237">
        <v>11004504.5045045</v>
      </c>
      <c r="F237">
        <v>4989387.3873873912</v>
      </c>
      <c r="G237">
        <v>270</v>
      </c>
      <c r="H237">
        <v>304</v>
      </c>
      <c r="I237">
        <v>34</v>
      </c>
      <c r="K237">
        <v>449</v>
      </c>
      <c r="L237">
        <v>372</v>
      </c>
      <c r="M237">
        <v>99394054.054054052</v>
      </c>
      <c r="N237">
        <v>116408122.52252251</v>
      </c>
      <c r="O237">
        <v>178133495.94594595</v>
      </c>
      <c r="P237">
        <v>150036061.26126125</v>
      </c>
      <c r="Q237">
        <v>92311304.504504517</v>
      </c>
      <c r="R237">
        <v>122857747.74774775</v>
      </c>
      <c r="S237">
        <v>18968</v>
      </c>
      <c r="T237">
        <v>14958</v>
      </c>
    </row>
    <row r="238" spans="1:20" x14ac:dyDescent="0.35">
      <c r="A238" s="7" t="s">
        <v>332</v>
      </c>
      <c r="B238" s="12" t="s">
        <v>291</v>
      </c>
      <c r="C238">
        <v>1022045962.4848398</v>
      </c>
      <c r="D238">
        <v>999584988.32639539</v>
      </c>
      <c r="E238">
        <v>353189439.63963962</v>
      </c>
      <c r="F238">
        <v>214906290.990991</v>
      </c>
      <c r="G238">
        <v>426</v>
      </c>
      <c r="H238">
        <v>386</v>
      </c>
      <c r="K238">
        <v>599</v>
      </c>
      <c r="L238">
        <v>448</v>
      </c>
      <c r="M238">
        <v>195068717.11711711</v>
      </c>
      <c r="N238">
        <v>129920498.1981982</v>
      </c>
      <c r="O238">
        <v>199778709.90990993</v>
      </c>
      <c r="P238">
        <v>186258232.43243244</v>
      </c>
      <c r="Q238">
        <v>154699729.72972974</v>
      </c>
      <c r="R238">
        <v>105242522.52252252</v>
      </c>
      <c r="S238">
        <v>19799</v>
      </c>
      <c r="T238">
        <v>17128</v>
      </c>
    </row>
    <row r="239" spans="1:20" x14ac:dyDescent="0.35">
      <c r="A239" s="7" t="s">
        <v>333</v>
      </c>
      <c r="B239" s="12" t="s">
        <v>291</v>
      </c>
      <c r="C239">
        <v>758871873.66696429</v>
      </c>
      <c r="D239">
        <v>778251856.98154485</v>
      </c>
      <c r="E239">
        <v>11224099.099099103</v>
      </c>
      <c r="F239">
        <v>7691845.0450450527</v>
      </c>
      <c r="G239">
        <v>236</v>
      </c>
      <c r="H239">
        <v>249</v>
      </c>
      <c r="I239">
        <v>2</v>
      </c>
      <c r="K239">
        <v>282</v>
      </c>
      <c r="L239">
        <v>406</v>
      </c>
      <c r="M239">
        <v>153609009.00900903</v>
      </c>
      <c r="N239">
        <v>112851893.6936937</v>
      </c>
      <c r="O239">
        <v>206433432.43243241</v>
      </c>
      <c r="P239">
        <v>215972196.3963964</v>
      </c>
      <c r="Q239">
        <v>149609729.72972974</v>
      </c>
      <c r="R239">
        <v>167673153.15315315</v>
      </c>
      <c r="S239">
        <v>17025</v>
      </c>
      <c r="T239">
        <v>14793</v>
      </c>
    </row>
    <row r="240" spans="1:20" x14ac:dyDescent="0.35">
      <c r="A240" s="7" t="s">
        <v>334</v>
      </c>
      <c r="B240" s="12" t="s">
        <v>61</v>
      </c>
      <c r="C240">
        <v>104945017.02289921</v>
      </c>
      <c r="D240">
        <v>105384489.41486098</v>
      </c>
      <c r="E240">
        <v>3306306.3063063072</v>
      </c>
      <c r="F240">
        <v>2362162.1621621619</v>
      </c>
      <c r="G240">
        <v>103</v>
      </c>
      <c r="H240">
        <v>65</v>
      </c>
      <c r="I240">
        <v>2</v>
      </c>
      <c r="K240">
        <v>166</v>
      </c>
      <c r="L240">
        <v>103</v>
      </c>
      <c r="M240">
        <v>41820720.720720723</v>
      </c>
      <c r="N240">
        <v>17528828.828828827</v>
      </c>
      <c r="O240">
        <v>36204351.351351351</v>
      </c>
      <c r="P240">
        <v>36329558.558558561</v>
      </c>
      <c r="Q240">
        <v>40078378.378378376</v>
      </c>
      <c r="R240">
        <v>15595945.945945945</v>
      </c>
      <c r="S240">
        <v>2402</v>
      </c>
      <c r="T240">
        <v>1780</v>
      </c>
    </row>
    <row r="241" spans="1:20" x14ac:dyDescent="0.35">
      <c r="A241" s="7" t="s">
        <v>335</v>
      </c>
      <c r="B241" s="12" t="s">
        <v>61</v>
      </c>
      <c r="C241">
        <v>20697087.137724683</v>
      </c>
      <c r="D241">
        <v>22458457.907399055</v>
      </c>
      <c r="E241">
        <v>243243.24324324299</v>
      </c>
      <c r="F241">
        <v>571171.17117117206</v>
      </c>
      <c r="G241">
        <v>8</v>
      </c>
      <c r="H241">
        <v>9</v>
      </c>
      <c r="K241">
        <v>11</v>
      </c>
      <c r="L241">
        <v>12</v>
      </c>
      <c r="M241">
        <v>902252.25225225196</v>
      </c>
      <c r="N241">
        <v>1668018.0180180189</v>
      </c>
      <c r="O241">
        <v>11529954.954954956</v>
      </c>
      <c r="P241">
        <v>11248405.405405404</v>
      </c>
      <c r="Q241">
        <v>850720.72072072094</v>
      </c>
      <c r="R241">
        <v>1688648.6486486481</v>
      </c>
      <c r="S241">
        <v>998</v>
      </c>
      <c r="T241">
        <v>849</v>
      </c>
    </row>
    <row r="242" spans="1:20" x14ac:dyDescent="0.35">
      <c r="A242" s="7" t="s">
        <v>336</v>
      </c>
      <c r="B242" s="12" t="s">
        <v>122</v>
      </c>
      <c r="C242">
        <v>2068505.576500807</v>
      </c>
      <c r="D242">
        <v>2751676.2965393658</v>
      </c>
      <c r="G242">
        <v>1</v>
      </c>
      <c r="K242">
        <v>1</v>
      </c>
      <c r="L242">
        <v>1</v>
      </c>
      <c r="O242">
        <v>97747.747747747999</v>
      </c>
      <c r="P242">
        <v>545270.27027026995</v>
      </c>
      <c r="S242">
        <v>161</v>
      </c>
      <c r="T242">
        <v>164</v>
      </c>
    </row>
    <row r="243" spans="1:20" x14ac:dyDescent="0.35">
      <c r="A243" s="7" t="s">
        <v>337</v>
      </c>
      <c r="B243" s="12" t="s">
        <v>122</v>
      </c>
      <c r="C243">
        <v>3644405.1371692792</v>
      </c>
      <c r="D243">
        <v>3883173.7683813139</v>
      </c>
      <c r="E243">
        <v>79738589.189189181</v>
      </c>
      <c r="F243">
        <v>100386267.56756757</v>
      </c>
      <c r="G243">
        <v>4</v>
      </c>
      <c r="H243">
        <v>2</v>
      </c>
      <c r="K243">
        <v>4</v>
      </c>
      <c r="L243">
        <v>2</v>
      </c>
      <c r="M243">
        <v>14220375.675675675</v>
      </c>
      <c r="N243">
        <v>935135.13513513503</v>
      </c>
      <c r="O243">
        <v>732027.02702702698</v>
      </c>
      <c r="P243">
        <v>1269054.054054054</v>
      </c>
      <c r="S243">
        <v>108</v>
      </c>
      <c r="T243">
        <v>197</v>
      </c>
    </row>
    <row r="244" spans="1:20" x14ac:dyDescent="0.35">
      <c r="A244" s="7" t="s">
        <v>338</v>
      </c>
      <c r="B244" s="12" t="s">
        <v>122</v>
      </c>
      <c r="C244">
        <v>2957446.2717079241</v>
      </c>
      <c r="D244">
        <v>3180415.8375276532</v>
      </c>
      <c r="G244">
        <v>1</v>
      </c>
      <c r="K244">
        <v>2</v>
      </c>
      <c r="O244">
        <v>56531.531531531997</v>
      </c>
      <c r="P244">
        <v>372297.29729729699</v>
      </c>
      <c r="S244">
        <v>147</v>
      </c>
      <c r="T244">
        <v>131</v>
      </c>
    </row>
    <row r="245" spans="1:20" x14ac:dyDescent="0.35">
      <c r="A245" s="7" t="s">
        <v>339</v>
      </c>
      <c r="B245" s="12" t="s">
        <v>141</v>
      </c>
      <c r="C245">
        <v>1150132471.8089747</v>
      </c>
      <c r="D245">
        <v>1161373647.1459253</v>
      </c>
      <c r="E245">
        <v>5567567.5675675739</v>
      </c>
      <c r="F245">
        <v>5786265.7657657694</v>
      </c>
      <c r="G245">
        <v>479</v>
      </c>
      <c r="H245">
        <v>165</v>
      </c>
      <c r="I245">
        <v>2</v>
      </c>
      <c r="K245">
        <v>508</v>
      </c>
      <c r="L245">
        <v>300</v>
      </c>
      <c r="M245">
        <v>111629549.54954955</v>
      </c>
      <c r="N245">
        <v>124510230.63063064</v>
      </c>
      <c r="O245">
        <v>228254214.41441441</v>
      </c>
      <c r="P245">
        <v>256949003.6036036</v>
      </c>
      <c r="Q245">
        <v>100108378.37837839</v>
      </c>
      <c r="R245">
        <v>105450990.990991</v>
      </c>
      <c r="S245">
        <v>16765</v>
      </c>
      <c r="T245">
        <v>16274</v>
      </c>
    </row>
    <row r="246" spans="1:20" x14ac:dyDescent="0.35">
      <c r="A246" s="7" t="s">
        <v>340</v>
      </c>
      <c r="B246" s="12" t="s">
        <v>122</v>
      </c>
      <c r="C246">
        <v>173240240.49330854</v>
      </c>
      <c r="D246">
        <v>171616371.63636926</v>
      </c>
      <c r="G246">
        <v>52</v>
      </c>
      <c r="H246">
        <v>70</v>
      </c>
      <c r="K246">
        <v>57</v>
      </c>
      <c r="L246">
        <v>74</v>
      </c>
      <c r="N246">
        <v>270270.27027027</v>
      </c>
      <c r="O246">
        <v>10882873.873873875</v>
      </c>
      <c r="P246">
        <v>12278160.36036036</v>
      </c>
      <c r="R246">
        <v>270270.27027027</v>
      </c>
      <c r="S246">
        <v>2607</v>
      </c>
      <c r="T246">
        <v>2411</v>
      </c>
    </row>
    <row r="247" spans="1:20" x14ac:dyDescent="0.35">
      <c r="A247" s="7" t="s">
        <v>341</v>
      </c>
      <c r="B247" s="12" t="s">
        <v>141</v>
      </c>
      <c r="C247">
        <v>605788587.43443775</v>
      </c>
      <c r="D247">
        <v>636603284.01073074</v>
      </c>
      <c r="E247">
        <v>3963963.9639639659</v>
      </c>
      <c r="F247">
        <v>4028718.9189189179</v>
      </c>
      <c r="G247">
        <v>124</v>
      </c>
      <c r="H247">
        <v>78</v>
      </c>
      <c r="I247">
        <v>4</v>
      </c>
      <c r="K247">
        <v>151</v>
      </c>
      <c r="L247">
        <v>133</v>
      </c>
      <c r="M247">
        <v>102960540.54054055</v>
      </c>
      <c r="N247">
        <v>113742005.4054054</v>
      </c>
      <c r="O247">
        <v>178544739.1891892</v>
      </c>
      <c r="P247">
        <v>191604756.75675678</v>
      </c>
      <c r="Q247">
        <v>100151531.53153154</v>
      </c>
      <c r="R247">
        <v>100841126.12612613</v>
      </c>
      <c r="S247">
        <v>9197</v>
      </c>
      <c r="T247">
        <v>8886</v>
      </c>
    </row>
    <row r="248" spans="1:20" x14ac:dyDescent="0.35">
      <c r="A248" s="7" t="s">
        <v>342</v>
      </c>
      <c r="B248" s="12" t="s">
        <v>135</v>
      </c>
      <c r="C248">
        <v>69077130.973897099</v>
      </c>
      <c r="D248">
        <v>61966345.518049069</v>
      </c>
      <c r="E248">
        <v>54054.054054054002</v>
      </c>
      <c r="F248">
        <v>71369.369369369</v>
      </c>
      <c r="G248">
        <v>13</v>
      </c>
      <c r="H248">
        <v>17</v>
      </c>
      <c r="I248">
        <v>1</v>
      </c>
      <c r="K248">
        <v>15</v>
      </c>
      <c r="L248">
        <v>18</v>
      </c>
      <c r="M248">
        <v>2666666.666666666</v>
      </c>
      <c r="N248">
        <v>2504712.6126126121</v>
      </c>
      <c r="O248">
        <v>6292936.9369369373</v>
      </c>
      <c r="P248">
        <v>7247126.1261261255</v>
      </c>
      <c r="Q248">
        <v>1537747.747747747</v>
      </c>
      <c r="R248">
        <v>1138918.9189189191</v>
      </c>
      <c r="S248">
        <v>1454</v>
      </c>
      <c r="T248">
        <v>1336</v>
      </c>
    </row>
    <row r="249" spans="1:20" x14ac:dyDescent="0.35">
      <c r="A249" s="7" t="s">
        <v>343</v>
      </c>
      <c r="B249" s="12" t="s">
        <v>122</v>
      </c>
      <c r="C249">
        <v>3093789.4304292691</v>
      </c>
      <c r="D249">
        <v>3837085.7714680582</v>
      </c>
      <c r="G249">
        <v>10</v>
      </c>
      <c r="H249">
        <v>3</v>
      </c>
      <c r="K249">
        <v>14</v>
      </c>
      <c r="L249">
        <v>6</v>
      </c>
      <c r="O249">
        <v>1128333.333333333</v>
      </c>
      <c r="P249">
        <v>2380720.7207207209</v>
      </c>
      <c r="S249">
        <v>395</v>
      </c>
      <c r="T249">
        <v>387</v>
      </c>
    </row>
    <row r="250" spans="1:20" x14ac:dyDescent="0.35">
      <c r="A250" s="7" t="s">
        <v>5</v>
      </c>
      <c r="B250" s="12" t="s">
        <v>159</v>
      </c>
      <c r="C250">
        <v>236120252.47664022</v>
      </c>
      <c r="D250">
        <v>238977287.42416561</v>
      </c>
      <c r="E250">
        <v>852410197.29729724</v>
      </c>
      <c r="F250">
        <v>907136916.21621621</v>
      </c>
      <c r="G250">
        <v>40</v>
      </c>
      <c r="H250">
        <v>25</v>
      </c>
      <c r="I250">
        <v>1</v>
      </c>
      <c r="K250">
        <v>42</v>
      </c>
      <c r="L250">
        <v>28</v>
      </c>
      <c r="M250">
        <v>88351351.351351351</v>
      </c>
      <c r="N250">
        <v>106672297.2972973</v>
      </c>
      <c r="O250">
        <v>100284225.22522523</v>
      </c>
      <c r="P250">
        <v>100928774.77477477</v>
      </c>
      <c r="Q250">
        <v>14959279.27927928</v>
      </c>
      <c r="R250">
        <v>38915450.45045045</v>
      </c>
      <c r="S250">
        <v>3212</v>
      </c>
      <c r="T250">
        <v>3022</v>
      </c>
    </row>
    <row r="251" spans="1:20" x14ac:dyDescent="0.35">
      <c r="A251" s="7" t="s">
        <v>344</v>
      </c>
      <c r="B251" s="12" t="s">
        <v>305</v>
      </c>
      <c r="C251">
        <v>22340296.793404385</v>
      </c>
      <c r="D251">
        <v>37242801.390826397</v>
      </c>
      <c r="E251">
        <v>900900.90090090095</v>
      </c>
      <c r="F251">
        <v>630630.630630631</v>
      </c>
      <c r="G251">
        <v>23</v>
      </c>
      <c r="H251">
        <v>57</v>
      </c>
      <c r="K251">
        <v>28</v>
      </c>
      <c r="L251">
        <v>67</v>
      </c>
      <c r="M251">
        <v>1351351.351351351</v>
      </c>
      <c r="N251">
        <v>630630.630630631</v>
      </c>
      <c r="O251">
        <v>3942891.8918918921</v>
      </c>
      <c r="P251">
        <v>7184277.4774774769</v>
      </c>
      <c r="Q251">
        <v>294954.95495495503</v>
      </c>
      <c r="R251">
        <v>602702.70270270295</v>
      </c>
      <c r="S251">
        <v>626</v>
      </c>
      <c r="T251">
        <v>792</v>
      </c>
    </row>
    <row r="252" spans="1:20" x14ac:dyDescent="0.35">
      <c r="A252" s="7" t="s">
        <v>345</v>
      </c>
      <c r="B252" s="12" t="s">
        <v>106</v>
      </c>
      <c r="C252">
        <v>477025827.87246776</v>
      </c>
      <c r="D252">
        <v>487060150.06742471</v>
      </c>
      <c r="E252">
        <v>3026576.5765765761</v>
      </c>
      <c r="F252">
        <v>3088436.036036036</v>
      </c>
      <c r="G252">
        <v>179</v>
      </c>
      <c r="H252">
        <v>118</v>
      </c>
      <c r="K252">
        <v>211</v>
      </c>
      <c r="L252">
        <v>130</v>
      </c>
      <c r="M252">
        <v>65575675.675675683</v>
      </c>
      <c r="N252">
        <v>131183381.08108109</v>
      </c>
      <c r="O252">
        <v>119420747.74774775</v>
      </c>
      <c r="P252">
        <v>124508045.04504503</v>
      </c>
      <c r="Q252">
        <v>62199909.909909911</v>
      </c>
      <c r="R252">
        <v>127565540.54054055</v>
      </c>
      <c r="S252">
        <v>6500</v>
      </c>
      <c r="T252">
        <v>5897</v>
      </c>
    </row>
    <row r="253" spans="1:20" x14ac:dyDescent="0.35">
      <c r="A253" s="7" t="s">
        <v>346</v>
      </c>
      <c r="B253" s="12" t="s">
        <v>88</v>
      </c>
      <c r="C253">
        <v>138542164.33979836</v>
      </c>
      <c r="D253">
        <v>140492684.2203142</v>
      </c>
      <c r="E253">
        <v>995495.49549549504</v>
      </c>
      <c r="F253">
        <v>1557116.2162162161</v>
      </c>
      <c r="G253">
        <v>65</v>
      </c>
      <c r="H253">
        <v>65</v>
      </c>
      <c r="K253">
        <v>69</v>
      </c>
      <c r="L253">
        <v>75</v>
      </c>
      <c r="M253">
        <v>37804864.864864863</v>
      </c>
      <c r="N253">
        <v>35471359.459459461</v>
      </c>
      <c r="O253">
        <v>37111370.270270273</v>
      </c>
      <c r="P253">
        <v>42702275.675675683</v>
      </c>
      <c r="Q253">
        <v>29012158.558558557</v>
      </c>
      <c r="R253">
        <v>24830763.963963963</v>
      </c>
      <c r="S253">
        <v>2393</v>
      </c>
      <c r="T253">
        <v>2352</v>
      </c>
    </row>
    <row r="254" spans="1:20" x14ac:dyDescent="0.35">
      <c r="A254" s="7" t="s">
        <v>347</v>
      </c>
      <c r="B254" s="12" t="s">
        <v>88</v>
      </c>
      <c r="C254">
        <v>404685153.37966204</v>
      </c>
      <c r="D254">
        <v>372828440.14854693</v>
      </c>
      <c r="E254">
        <v>4126351.3513513519</v>
      </c>
      <c r="F254">
        <v>3341536.0360360402</v>
      </c>
      <c r="G254">
        <v>225</v>
      </c>
      <c r="H254">
        <v>251</v>
      </c>
      <c r="I254">
        <v>4</v>
      </c>
      <c r="K254">
        <v>277</v>
      </c>
      <c r="L254">
        <v>295</v>
      </c>
      <c r="M254">
        <v>37081801.801801801</v>
      </c>
      <c r="N254">
        <v>42907733.333333336</v>
      </c>
      <c r="O254">
        <v>65187403.603603601</v>
      </c>
      <c r="P254">
        <v>74131457.657657668</v>
      </c>
      <c r="Q254">
        <v>28227837.837837838</v>
      </c>
      <c r="R254">
        <v>36024324.324324325</v>
      </c>
      <c r="S254">
        <v>7449</v>
      </c>
      <c r="T254">
        <v>6315</v>
      </c>
    </row>
    <row r="255" spans="1:20" x14ac:dyDescent="0.35">
      <c r="A255" s="7" t="s">
        <v>348</v>
      </c>
      <c r="B255" s="12" t="s">
        <v>88</v>
      </c>
      <c r="C255">
        <v>11774044.374672962</v>
      </c>
      <c r="D255">
        <v>12127308.115155043</v>
      </c>
      <c r="G255">
        <v>27</v>
      </c>
      <c r="H255">
        <v>11</v>
      </c>
      <c r="K255">
        <v>28</v>
      </c>
      <c r="L255">
        <v>14</v>
      </c>
      <c r="O255">
        <v>5265396.3963963967</v>
      </c>
      <c r="P255">
        <v>6762792.7927927934</v>
      </c>
      <c r="S255">
        <v>801</v>
      </c>
      <c r="T255">
        <v>812</v>
      </c>
    </row>
    <row r="256" spans="1:20" x14ac:dyDescent="0.35">
      <c r="A256" s="7" t="s">
        <v>349</v>
      </c>
      <c r="B256" s="12" t="s">
        <v>88</v>
      </c>
      <c r="C256">
        <v>5243743.084086854</v>
      </c>
      <c r="D256">
        <v>4582873.2743541691</v>
      </c>
      <c r="G256">
        <v>3</v>
      </c>
      <c r="K256">
        <v>3</v>
      </c>
      <c r="O256">
        <v>1706351.351351351</v>
      </c>
      <c r="P256">
        <v>1602882.8828828819</v>
      </c>
      <c r="S256">
        <v>189</v>
      </c>
      <c r="T256">
        <v>160</v>
      </c>
    </row>
    <row r="257" spans="1:20" x14ac:dyDescent="0.35">
      <c r="A257" s="7" t="s">
        <v>350</v>
      </c>
      <c r="B257" s="12" t="s">
        <v>88</v>
      </c>
      <c r="C257">
        <v>4379649.2092133109</v>
      </c>
      <c r="D257">
        <v>2223620.313804422</v>
      </c>
      <c r="G257">
        <v>8</v>
      </c>
      <c r="H257">
        <v>5</v>
      </c>
      <c r="K257">
        <v>14</v>
      </c>
      <c r="L257">
        <v>10</v>
      </c>
      <c r="O257">
        <v>2334378.3783783792</v>
      </c>
      <c r="P257">
        <v>1456981.981981982</v>
      </c>
      <c r="S257">
        <v>678</v>
      </c>
      <c r="T257">
        <v>556</v>
      </c>
    </row>
    <row r="258" spans="1:20" x14ac:dyDescent="0.35">
      <c r="A258" s="7" t="s">
        <v>351</v>
      </c>
      <c r="B258" s="12" t="s">
        <v>88</v>
      </c>
      <c r="C258">
        <v>127083287.62040645</v>
      </c>
      <c r="D258">
        <v>129691646.86234719</v>
      </c>
      <c r="E258">
        <v>188288.28828828901</v>
      </c>
      <c r="F258">
        <v>1164093.693693694</v>
      </c>
      <c r="G258">
        <v>95</v>
      </c>
      <c r="H258">
        <v>70</v>
      </c>
      <c r="I258">
        <v>1</v>
      </c>
      <c r="K258">
        <v>101</v>
      </c>
      <c r="L258">
        <v>80</v>
      </c>
      <c r="M258">
        <v>9046306.3063063081</v>
      </c>
      <c r="N258">
        <v>17613413.513513517</v>
      </c>
      <c r="O258">
        <v>24127905.405405402</v>
      </c>
      <c r="P258">
        <v>30188945.945945945</v>
      </c>
      <c r="Q258">
        <v>8317117.1171171172</v>
      </c>
      <c r="R258">
        <v>14696756.756756756</v>
      </c>
      <c r="S258">
        <v>1850</v>
      </c>
      <c r="T258">
        <v>2010</v>
      </c>
    </row>
    <row r="259" spans="1:20" x14ac:dyDescent="0.35">
      <c r="A259" s="7" t="s">
        <v>352</v>
      </c>
      <c r="B259" s="12" t="s">
        <v>51</v>
      </c>
      <c r="C259">
        <v>343505465.7792505</v>
      </c>
      <c r="D259">
        <v>326137139.45999742</v>
      </c>
      <c r="E259">
        <v>4036711.7117117131</v>
      </c>
      <c r="F259">
        <v>3118918.9189189202</v>
      </c>
      <c r="G259">
        <v>92</v>
      </c>
      <c r="H259">
        <v>124</v>
      </c>
      <c r="K259">
        <v>99</v>
      </c>
      <c r="L259">
        <v>166</v>
      </c>
      <c r="M259">
        <v>57232252.252252251</v>
      </c>
      <c r="N259">
        <v>53882837.837837838</v>
      </c>
      <c r="O259">
        <v>133249238.73873873</v>
      </c>
      <c r="P259">
        <v>134191666.66666667</v>
      </c>
      <c r="Q259">
        <v>55036576.576576576</v>
      </c>
      <c r="R259">
        <v>52465270.270270273</v>
      </c>
      <c r="S259">
        <v>4412</v>
      </c>
      <c r="T259">
        <v>5972</v>
      </c>
    </row>
    <row r="260" spans="1:20" x14ac:dyDescent="0.35">
      <c r="A260" s="7" t="s">
        <v>353</v>
      </c>
      <c r="B260" s="12" t="s">
        <v>124</v>
      </c>
      <c r="C260">
        <v>2066936.6596002451</v>
      </c>
      <c r="D260">
        <v>3314743.8601417718</v>
      </c>
      <c r="G260">
        <v>2</v>
      </c>
      <c r="H260">
        <v>1</v>
      </c>
      <c r="K260">
        <v>2</v>
      </c>
      <c r="L260">
        <v>1</v>
      </c>
      <c r="O260">
        <v>779819.81981982</v>
      </c>
      <c r="P260">
        <v>984000</v>
      </c>
      <c r="S260">
        <v>120</v>
      </c>
      <c r="T260">
        <v>127</v>
      </c>
    </row>
    <row r="261" spans="1:20" x14ac:dyDescent="0.35">
      <c r="A261" s="7" t="s">
        <v>354</v>
      </c>
      <c r="B261" s="12" t="s">
        <v>355</v>
      </c>
      <c r="C261">
        <v>593260062.43684649</v>
      </c>
      <c r="D261">
        <v>628031949.66554654</v>
      </c>
      <c r="E261">
        <v>11342342.342342343</v>
      </c>
      <c r="F261">
        <v>23951103.603603601</v>
      </c>
      <c r="G261">
        <v>489</v>
      </c>
      <c r="H261">
        <v>779</v>
      </c>
      <c r="I261">
        <v>2</v>
      </c>
      <c r="K261">
        <v>632</v>
      </c>
      <c r="L261">
        <v>863</v>
      </c>
      <c r="M261">
        <v>372984099.0990991</v>
      </c>
      <c r="N261">
        <v>371818844.14414412</v>
      </c>
      <c r="O261">
        <v>354276567.56756753</v>
      </c>
      <c r="P261">
        <v>379074702.7027027</v>
      </c>
      <c r="Q261">
        <v>388925180.18018013</v>
      </c>
      <c r="R261">
        <v>356932162.16216218</v>
      </c>
      <c r="S261">
        <v>10436</v>
      </c>
      <c r="T261">
        <v>10029</v>
      </c>
    </row>
    <row r="262" spans="1:20" x14ac:dyDescent="0.35">
      <c r="A262" s="7" t="s">
        <v>356</v>
      </c>
      <c r="B262" s="12" t="s">
        <v>49</v>
      </c>
      <c r="C262">
        <v>419317410.08532929</v>
      </c>
      <c r="D262">
        <v>450149792.15338331</v>
      </c>
      <c r="E262">
        <v>1882882.8828828849</v>
      </c>
      <c r="F262">
        <v>835706.30630630895</v>
      </c>
      <c r="G262">
        <v>47</v>
      </c>
      <c r="H262">
        <v>15</v>
      </c>
      <c r="K262">
        <v>48</v>
      </c>
      <c r="L262">
        <v>17</v>
      </c>
      <c r="M262">
        <v>8715315.3153153136</v>
      </c>
      <c r="N262">
        <v>982014.41441441595</v>
      </c>
      <c r="O262">
        <v>32044342.342342339</v>
      </c>
      <c r="P262">
        <v>36885738.738738738</v>
      </c>
      <c r="Q262">
        <v>8728198.1981981974</v>
      </c>
      <c r="R262">
        <v>1128198.1981982009</v>
      </c>
      <c r="S262">
        <v>5820</v>
      </c>
      <c r="T262">
        <v>5547</v>
      </c>
    </row>
    <row r="263" spans="1:20" x14ac:dyDescent="0.35">
      <c r="A263" s="7" t="s">
        <v>357</v>
      </c>
      <c r="B263" s="12" t="s">
        <v>124</v>
      </c>
      <c r="C263">
        <v>462423244.70447457</v>
      </c>
      <c r="D263">
        <v>449580085.01094115</v>
      </c>
      <c r="E263">
        <v>220720.72072072199</v>
      </c>
      <c r="F263">
        <v>1582970.270270271</v>
      </c>
      <c r="G263">
        <v>104</v>
      </c>
      <c r="H263">
        <v>68</v>
      </c>
      <c r="K263">
        <v>109</v>
      </c>
      <c r="L263">
        <v>74</v>
      </c>
      <c r="M263">
        <v>23579189.189189188</v>
      </c>
      <c r="N263">
        <v>18687474.774774775</v>
      </c>
      <c r="O263">
        <v>97247628.828828827</v>
      </c>
      <c r="P263">
        <v>106418684.68468469</v>
      </c>
      <c r="Q263">
        <v>22060720.72072072</v>
      </c>
      <c r="R263">
        <v>18335135.135135137</v>
      </c>
      <c r="S263">
        <v>6618</v>
      </c>
      <c r="T263">
        <v>5718</v>
      </c>
    </row>
    <row r="264" spans="1:20" x14ac:dyDescent="0.35">
      <c r="A264" s="7" t="s">
        <v>358</v>
      </c>
      <c r="B264" s="12" t="s">
        <v>63</v>
      </c>
      <c r="C264">
        <v>251129891.76354599</v>
      </c>
      <c r="D264">
        <v>253790573.71998394</v>
      </c>
      <c r="E264">
        <v>3117117.117117119</v>
      </c>
      <c r="F264">
        <v>1965822.5225225261</v>
      </c>
      <c r="G264">
        <v>54</v>
      </c>
      <c r="H264">
        <v>10</v>
      </c>
      <c r="K264">
        <v>56</v>
      </c>
      <c r="L264">
        <v>12</v>
      </c>
      <c r="M264">
        <v>39168108.108108111</v>
      </c>
      <c r="N264">
        <v>53705279.279279277</v>
      </c>
      <c r="O264">
        <v>70996144.144144148</v>
      </c>
      <c r="P264">
        <v>79537216.216216207</v>
      </c>
      <c r="Q264">
        <v>38402612.612612613</v>
      </c>
      <c r="R264">
        <v>33058828.828828827</v>
      </c>
      <c r="S264">
        <v>4345</v>
      </c>
      <c r="T264">
        <v>3679</v>
      </c>
    </row>
    <row r="265" spans="1:20" x14ac:dyDescent="0.35">
      <c r="A265" s="7" t="s">
        <v>359</v>
      </c>
      <c r="B265" s="12" t="s">
        <v>316</v>
      </c>
      <c r="C265">
        <v>5712477.1759221004</v>
      </c>
      <c r="D265">
        <v>15798421.240754273</v>
      </c>
      <c r="E265">
        <v>140797918.01801801</v>
      </c>
      <c r="F265">
        <v>177376914.41441441</v>
      </c>
      <c r="G265">
        <v>10</v>
      </c>
      <c r="H265">
        <v>16</v>
      </c>
      <c r="K265">
        <v>11</v>
      </c>
      <c r="L265">
        <v>16</v>
      </c>
      <c r="M265">
        <v>831981.98198198201</v>
      </c>
      <c r="N265">
        <v>14527927.927927928</v>
      </c>
      <c r="O265">
        <v>2316846.8468468469</v>
      </c>
      <c r="P265">
        <v>8447756.7567567565</v>
      </c>
      <c r="T265">
        <v>652</v>
      </c>
    </row>
    <row r="266" spans="1:20" x14ac:dyDescent="0.35">
      <c r="A266" s="7" t="s">
        <v>360</v>
      </c>
      <c r="B266" s="12" t="s">
        <v>316</v>
      </c>
      <c r="C266">
        <v>252673722.6408385</v>
      </c>
      <c r="D266">
        <v>199762362.3356632</v>
      </c>
      <c r="E266">
        <v>93239639.639639631</v>
      </c>
      <c r="F266">
        <v>90296691.891891882</v>
      </c>
      <c r="G266">
        <v>58</v>
      </c>
      <c r="H266">
        <v>33</v>
      </c>
      <c r="K266">
        <v>68</v>
      </c>
      <c r="L266">
        <v>39</v>
      </c>
      <c r="M266">
        <v>62468828.828828834</v>
      </c>
      <c r="N266">
        <v>78740970.270270273</v>
      </c>
      <c r="O266">
        <v>92305522.522522524</v>
      </c>
      <c r="P266">
        <v>82918171.171171173</v>
      </c>
      <c r="Q266">
        <v>56860990.990990989</v>
      </c>
      <c r="R266">
        <v>74030000</v>
      </c>
      <c r="S266">
        <v>3389</v>
      </c>
      <c r="T266">
        <v>3122</v>
      </c>
    </row>
    <row r="267" spans="1:20" x14ac:dyDescent="0.35">
      <c r="A267" s="7" t="s">
        <v>361</v>
      </c>
      <c r="B267" s="12" t="s">
        <v>93</v>
      </c>
      <c r="C267">
        <v>462656857.16686946</v>
      </c>
      <c r="D267">
        <v>459181169.87125963</v>
      </c>
      <c r="E267">
        <v>9343243.2432432417</v>
      </c>
      <c r="F267">
        <v>7058839.639639643</v>
      </c>
      <c r="G267">
        <v>232</v>
      </c>
      <c r="H267">
        <v>116</v>
      </c>
      <c r="I267">
        <v>2</v>
      </c>
      <c r="K267">
        <v>263</v>
      </c>
      <c r="L267">
        <v>154</v>
      </c>
      <c r="M267">
        <v>109346306.3063063</v>
      </c>
      <c r="N267">
        <v>89463098.198198199</v>
      </c>
      <c r="O267">
        <v>132626583.78378378</v>
      </c>
      <c r="P267">
        <v>136254738.73873875</v>
      </c>
      <c r="Q267">
        <v>104160583.78378378</v>
      </c>
      <c r="R267">
        <v>86218738.738738731</v>
      </c>
      <c r="S267">
        <v>7104</v>
      </c>
      <c r="T267">
        <v>6858</v>
      </c>
    </row>
    <row r="268" spans="1:20" x14ac:dyDescent="0.35">
      <c r="A268" s="7" t="s">
        <v>362</v>
      </c>
      <c r="B268" s="12" t="s">
        <v>59</v>
      </c>
      <c r="C268">
        <v>903598109.56373084</v>
      </c>
      <c r="D268">
        <v>922077014.43784845</v>
      </c>
      <c r="E268">
        <v>15361936.936936939</v>
      </c>
      <c r="F268">
        <v>40718839.639639638</v>
      </c>
      <c r="G268">
        <v>147</v>
      </c>
      <c r="H268">
        <v>265</v>
      </c>
      <c r="K268">
        <v>164</v>
      </c>
      <c r="L268">
        <v>293</v>
      </c>
      <c r="M268">
        <v>35369369.369369365</v>
      </c>
      <c r="N268">
        <v>83641215.315315306</v>
      </c>
      <c r="O268">
        <v>142445018.01801801</v>
      </c>
      <c r="P268">
        <v>165179198.1981982</v>
      </c>
      <c r="Q268">
        <v>34924054.054054059</v>
      </c>
      <c r="R268">
        <v>77086666.666666672</v>
      </c>
      <c r="S268">
        <v>14075</v>
      </c>
      <c r="T268">
        <v>12854</v>
      </c>
    </row>
    <row r="269" spans="1:20" x14ac:dyDescent="0.35">
      <c r="A269" s="7" t="s">
        <v>363</v>
      </c>
      <c r="B269" s="12" t="s">
        <v>49</v>
      </c>
      <c r="C269">
        <v>320168105.25068426</v>
      </c>
      <c r="D269">
        <v>326344742.14343727</v>
      </c>
      <c r="E269">
        <v>2093693.6936936961</v>
      </c>
      <c r="F269">
        <v>1513735.135135137</v>
      </c>
      <c r="G269">
        <v>25</v>
      </c>
      <c r="H269">
        <v>10</v>
      </c>
      <c r="K269">
        <v>30</v>
      </c>
      <c r="L269">
        <v>11</v>
      </c>
      <c r="M269">
        <v>57010450.45045045</v>
      </c>
      <c r="N269">
        <v>18901418.918918919</v>
      </c>
      <c r="O269">
        <v>51776558.558558561</v>
      </c>
      <c r="P269">
        <v>59494162.162162162</v>
      </c>
      <c r="Q269">
        <v>49045495.495495498</v>
      </c>
      <c r="R269">
        <v>18771621.621621624</v>
      </c>
      <c r="S269">
        <v>4108</v>
      </c>
      <c r="T269">
        <v>3742</v>
      </c>
    </row>
    <row r="270" spans="1:20" x14ac:dyDescent="0.35">
      <c r="A270" s="7" t="s">
        <v>364</v>
      </c>
      <c r="B270" s="12" t="s">
        <v>53</v>
      </c>
      <c r="C270">
        <v>135568859.81264105</v>
      </c>
      <c r="D270">
        <v>134267075.40349737</v>
      </c>
      <c r="E270">
        <v>397297.29729729798</v>
      </c>
      <c r="F270">
        <v>1137387.38738739</v>
      </c>
      <c r="G270">
        <v>73</v>
      </c>
      <c r="H270">
        <v>27</v>
      </c>
      <c r="K270">
        <v>86</v>
      </c>
      <c r="L270">
        <v>32</v>
      </c>
      <c r="M270">
        <v>2712612.612612613</v>
      </c>
      <c r="N270">
        <v>6354054.0540540544</v>
      </c>
      <c r="O270">
        <v>64435036.036036029</v>
      </c>
      <c r="P270">
        <v>63496286.486486487</v>
      </c>
      <c r="Q270">
        <v>2718198.1981981979</v>
      </c>
      <c r="R270">
        <v>6274504.5045045018</v>
      </c>
      <c r="S270">
        <v>3633</v>
      </c>
      <c r="T270">
        <v>2052</v>
      </c>
    </row>
    <row r="271" spans="1:20" x14ac:dyDescent="0.35">
      <c r="A271" s="7" t="s">
        <v>365</v>
      </c>
      <c r="B271" s="12" t="s">
        <v>53</v>
      </c>
      <c r="C271">
        <v>104466155.27644096</v>
      </c>
      <c r="D271">
        <v>104640373.28968737</v>
      </c>
      <c r="E271">
        <v>4161261.2612612639</v>
      </c>
      <c r="F271">
        <v>3662195.495495494</v>
      </c>
      <c r="G271">
        <v>115</v>
      </c>
      <c r="H271">
        <v>65</v>
      </c>
      <c r="I271">
        <v>1</v>
      </c>
      <c r="K271">
        <v>578</v>
      </c>
      <c r="L271">
        <v>167</v>
      </c>
      <c r="M271">
        <v>11513333.333333336</v>
      </c>
      <c r="N271">
        <v>21494772.072072074</v>
      </c>
      <c r="O271">
        <v>58807324.324324317</v>
      </c>
      <c r="P271">
        <v>59314666.666666664</v>
      </c>
      <c r="Q271">
        <v>15050540.540540541</v>
      </c>
      <c r="R271">
        <v>20060000</v>
      </c>
      <c r="S271">
        <v>3250</v>
      </c>
      <c r="T271">
        <v>2539</v>
      </c>
    </row>
    <row r="272" spans="1:20" x14ac:dyDescent="0.35">
      <c r="A272" s="7" t="s">
        <v>366</v>
      </c>
      <c r="B272" s="12" t="s">
        <v>53</v>
      </c>
      <c r="C272">
        <v>1178155159.0770605</v>
      </c>
      <c r="D272">
        <v>1179024210.374311</v>
      </c>
      <c r="E272">
        <v>344917016.21621621</v>
      </c>
      <c r="F272">
        <v>363321085.58558559</v>
      </c>
      <c r="G272">
        <v>409</v>
      </c>
      <c r="H272">
        <v>754</v>
      </c>
      <c r="I272">
        <v>5</v>
      </c>
      <c r="K272">
        <v>1001</v>
      </c>
      <c r="L272">
        <v>1349</v>
      </c>
      <c r="M272">
        <v>82947394.594594598</v>
      </c>
      <c r="N272">
        <v>589569118.91891897</v>
      </c>
      <c r="O272">
        <v>427848366.66666669</v>
      </c>
      <c r="P272">
        <v>444065738.73873878</v>
      </c>
      <c r="Q272">
        <v>88545045.045045033</v>
      </c>
      <c r="R272">
        <v>131248648.64864863</v>
      </c>
      <c r="S272">
        <v>35418</v>
      </c>
      <c r="T272">
        <v>20872</v>
      </c>
    </row>
    <row r="273" spans="1:20" x14ac:dyDescent="0.35">
      <c r="A273" s="7" t="s">
        <v>367</v>
      </c>
      <c r="B273" s="12" t="s">
        <v>294</v>
      </c>
      <c r="C273">
        <v>672773360.04704905</v>
      </c>
      <c r="D273">
        <v>673660412.47903395</v>
      </c>
      <c r="E273">
        <v>4617117.1171171116</v>
      </c>
      <c r="F273">
        <v>9405099.9999999981</v>
      </c>
      <c r="G273">
        <v>357</v>
      </c>
      <c r="H273">
        <v>108</v>
      </c>
      <c r="K273">
        <v>414</v>
      </c>
      <c r="L273">
        <v>317</v>
      </c>
      <c r="M273">
        <v>78683333.333333343</v>
      </c>
      <c r="N273">
        <v>119217487.38738739</v>
      </c>
      <c r="O273">
        <v>217989696.3963964</v>
      </c>
      <c r="P273">
        <v>220932563.96396396</v>
      </c>
      <c r="Q273">
        <v>82648648.648648649</v>
      </c>
      <c r="R273">
        <v>117424457.65765767</v>
      </c>
      <c r="S273">
        <v>18649</v>
      </c>
      <c r="T273">
        <v>10609</v>
      </c>
    </row>
    <row r="274" spans="1:20" x14ac:dyDescent="0.35">
      <c r="A274" s="7" t="s">
        <v>368</v>
      </c>
      <c r="B274" s="12" t="s">
        <v>369</v>
      </c>
      <c r="C274">
        <v>290405681.41216326</v>
      </c>
      <c r="D274">
        <v>272605730.30331439</v>
      </c>
      <c r="E274">
        <v>128504601.80180179</v>
      </c>
      <c r="F274">
        <v>225184776.57657659</v>
      </c>
      <c r="G274">
        <v>85</v>
      </c>
      <c r="H274">
        <v>41</v>
      </c>
      <c r="K274">
        <v>101</v>
      </c>
      <c r="L274">
        <v>46</v>
      </c>
      <c r="M274">
        <v>123590990.990991</v>
      </c>
      <c r="N274">
        <v>133862200</v>
      </c>
      <c r="O274">
        <v>124664000</v>
      </c>
      <c r="P274">
        <v>119234115.31531531</v>
      </c>
      <c r="Q274">
        <v>109661981.98198198</v>
      </c>
      <c r="R274">
        <v>122865495.49549548</v>
      </c>
      <c r="S274">
        <v>6457</v>
      </c>
      <c r="T274">
        <v>4223</v>
      </c>
    </row>
    <row r="275" spans="1:20" x14ac:dyDescent="0.35">
      <c r="A275" s="7" t="s">
        <v>370</v>
      </c>
      <c r="B275" s="12" t="s">
        <v>71</v>
      </c>
      <c r="C275">
        <v>83229633.99197045</v>
      </c>
      <c r="D275">
        <v>82736904.593139663</v>
      </c>
      <c r="E275">
        <v>2247747.7477477482</v>
      </c>
      <c r="F275">
        <v>2167938.738738738</v>
      </c>
      <c r="G275">
        <v>56</v>
      </c>
      <c r="H275">
        <v>36</v>
      </c>
      <c r="K275">
        <v>88</v>
      </c>
      <c r="L275">
        <v>52</v>
      </c>
      <c r="M275">
        <v>16481981.981981982</v>
      </c>
      <c r="N275">
        <v>17241618.918918919</v>
      </c>
      <c r="O275">
        <v>27457801.801801801</v>
      </c>
      <c r="P275">
        <v>27511567.567567568</v>
      </c>
      <c r="Q275">
        <v>15624684.684684685</v>
      </c>
      <c r="R275">
        <v>15384504.504504504</v>
      </c>
      <c r="S275">
        <v>1434</v>
      </c>
      <c r="T275">
        <v>1184</v>
      </c>
    </row>
    <row r="276" spans="1:20" x14ac:dyDescent="0.35">
      <c r="A276" s="7" t="s">
        <v>371</v>
      </c>
      <c r="B276" s="12" t="s">
        <v>51</v>
      </c>
      <c r="C276">
        <v>173429683.38006401</v>
      </c>
      <c r="D276">
        <v>153699402.74102151</v>
      </c>
      <c r="E276">
        <v>1336036.0360360369</v>
      </c>
      <c r="F276">
        <v>1792602.7027027039</v>
      </c>
      <c r="G276">
        <v>41</v>
      </c>
      <c r="H276">
        <v>26</v>
      </c>
      <c r="K276">
        <v>44</v>
      </c>
      <c r="L276">
        <v>29</v>
      </c>
      <c r="M276">
        <v>14152972.972972972</v>
      </c>
      <c r="N276">
        <v>14413773.873873875</v>
      </c>
      <c r="O276">
        <v>78241918.918918908</v>
      </c>
      <c r="P276">
        <v>70261846.846846849</v>
      </c>
      <c r="Q276">
        <v>13388828.828828828</v>
      </c>
      <c r="R276">
        <v>12894414.414414413</v>
      </c>
      <c r="S276">
        <v>3087</v>
      </c>
      <c r="T276">
        <v>3767</v>
      </c>
    </row>
    <row r="277" spans="1:20" x14ac:dyDescent="0.35">
      <c r="A277" s="7" t="s">
        <v>372</v>
      </c>
      <c r="B277" s="12" t="s">
        <v>122</v>
      </c>
      <c r="C277">
        <v>169769056.1668939</v>
      </c>
      <c r="D277">
        <v>161062317.33574694</v>
      </c>
      <c r="E277">
        <v>1026126.126126126</v>
      </c>
      <c r="F277">
        <v>1079350.450450453</v>
      </c>
      <c r="G277">
        <v>69</v>
      </c>
      <c r="H277">
        <v>95</v>
      </c>
      <c r="K277">
        <v>79</v>
      </c>
      <c r="L277">
        <v>109</v>
      </c>
      <c r="M277">
        <v>6409909.9099099096</v>
      </c>
      <c r="N277">
        <v>5948154.9549549557</v>
      </c>
      <c r="O277">
        <v>16769576.576576576</v>
      </c>
      <c r="P277">
        <v>18739387.387387387</v>
      </c>
      <c r="Q277">
        <v>5213333.3333333321</v>
      </c>
      <c r="R277">
        <v>5209819.8198198192</v>
      </c>
      <c r="S277">
        <v>2915</v>
      </c>
      <c r="T277">
        <v>2848</v>
      </c>
    </row>
    <row r="278" spans="1:20" x14ac:dyDescent="0.35">
      <c r="A278" s="7" t="s">
        <v>373</v>
      </c>
      <c r="B278" s="12" t="s">
        <v>374</v>
      </c>
      <c r="C278">
        <v>393683067.53881562</v>
      </c>
      <c r="D278">
        <v>393499977.48732418</v>
      </c>
      <c r="E278">
        <v>69911648.648648649</v>
      </c>
      <c r="F278">
        <v>119239321.62162164</v>
      </c>
      <c r="G278">
        <v>61</v>
      </c>
      <c r="H278">
        <v>37</v>
      </c>
      <c r="K278">
        <v>65</v>
      </c>
      <c r="L278">
        <v>43</v>
      </c>
      <c r="M278">
        <v>82328198.198198199</v>
      </c>
      <c r="N278">
        <v>120859725.22522521</v>
      </c>
      <c r="O278">
        <v>150531180.18018019</v>
      </c>
      <c r="P278">
        <v>157909545.04504505</v>
      </c>
      <c r="Q278">
        <v>71115405.405405402</v>
      </c>
      <c r="R278">
        <v>91232567.567567572</v>
      </c>
      <c r="S278">
        <v>10835</v>
      </c>
      <c r="T278">
        <v>10007</v>
      </c>
    </row>
    <row r="279" spans="1:20" x14ac:dyDescent="0.35">
      <c r="A279" s="7" t="s">
        <v>375</v>
      </c>
      <c r="B279" s="12" t="s">
        <v>67</v>
      </c>
      <c r="C279">
        <v>290252592.7139414</v>
      </c>
      <c r="D279">
        <v>302992328.71910185</v>
      </c>
      <c r="E279">
        <v>14779279.27927928</v>
      </c>
      <c r="F279">
        <v>18418668.468468472</v>
      </c>
      <c r="G279">
        <v>173</v>
      </c>
      <c r="H279">
        <v>62</v>
      </c>
      <c r="K279">
        <v>185</v>
      </c>
      <c r="L279">
        <v>72</v>
      </c>
      <c r="M279">
        <v>209250180.18018019</v>
      </c>
      <c r="N279">
        <v>396960915.31531531</v>
      </c>
      <c r="O279">
        <v>106073657.65765767</v>
      </c>
      <c r="P279">
        <v>116062241.44144145</v>
      </c>
      <c r="Q279">
        <v>206632792.7927928</v>
      </c>
      <c r="R279">
        <v>275781439.63963968</v>
      </c>
      <c r="S279">
        <v>12525</v>
      </c>
      <c r="T279">
        <v>7355</v>
      </c>
    </row>
    <row r="280" spans="1:20" x14ac:dyDescent="0.35">
      <c r="A280" s="7" t="s">
        <v>376</v>
      </c>
      <c r="B280" s="12" t="s">
        <v>355</v>
      </c>
      <c r="C280">
        <v>436555112.73152912</v>
      </c>
      <c r="D280">
        <v>437307588.28076124</v>
      </c>
      <c r="E280">
        <v>145291666.66666666</v>
      </c>
      <c r="F280">
        <v>174755043.24324322</v>
      </c>
      <c r="G280">
        <v>578</v>
      </c>
      <c r="H280">
        <v>581</v>
      </c>
      <c r="I280">
        <v>1</v>
      </c>
      <c r="K280">
        <v>593</v>
      </c>
      <c r="L280">
        <v>597</v>
      </c>
      <c r="M280">
        <v>115565810.81081082</v>
      </c>
      <c r="N280">
        <v>128048354.95495497</v>
      </c>
      <c r="O280">
        <v>267547450.45045045</v>
      </c>
      <c r="P280">
        <v>260317468.46846849</v>
      </c>
      <c r="Q280">
        <v>108576396.3963964</v>
      </c>
      <c r="R280">
        <v>85751216.216216221</v>
      </c>
      <c r="S280">
        <v>8240</v>
      </c>
      <c r="T280">
        <v>6768</v>
      </c>
    </row>
    <row r="281" spans="1:20" x14ac:dyDescent="0.35">
      <c r="A281" s="7" t="s">
        <v>377</v>
      </c>
      <c r="B281" s="12" t="s">
        <v>67</v>
      </c>
      <c r="C281">
        <v>166771657.09320122</v>
      </c>
      <c r="D281">
        <v>172190984.84840813</v>
      </c>
      <c r="E281">
        <v>1913513.513513515</v>
      </c>
      <c r="F281">
        <v>3329731.5315315318</v>
      </c>
      <c r="G281">
        <v>70</v>
      </c>
      <c r="H281">
        <v>33</v>
      </c>
      <c r="K281">
        <v>131</v>
      </c>
      <c r="L281">
        <v>37</v>
      </c>
      <c r="M281">
        <v>26615135.135135137</v>
      </c>
      <c r="N281">
        <v>100750938.73873873</v>
      </c>
      <c r="O281">
        <v>79215563.063063055</v>
      </c>
      <c r="P281">
        <v>78522180.180180177</v>
      </c>
      <c r="Q281">
        <v>22517387.387387387</v>
      </c>
      <c r="R281">
        <v>95775090.090090081</v>
      </c>
      <c r="S281">
        <v>7885</v>
      </c>
      <c r="T281">
        <v>5173</v>
      </c>
    </row>
    <row r="282" spans="1:20" x14ac:dyDescent="0.35">
      <c r="A282" s="7" t="s">
        <v>378</v>
      </c>
      <c r="B282" s="12" t="s">
        <v>261</v>
      </c>
      <c r="C282">
        <v>139675869.81589243</v>
      </c>
      <c r="D282">
        <v>139232816.63503179</v>
      </c>
      <c r="E282">
        <v>243243.24324324401</v>
      </c>
      <c r="F282">
        <v>684019.81981981895</v>
      </c>
      <c r="G282">
        <v>10</v>
      </c>
      <c r="H282">
        <v>29</v>
      </c>
      <c r="K282">
        <v>10</v>
      </c>
      <c r="L282">
        <v>35</v>
      </c>
      <c r="M282">
        <v>10477477.477477476</v>
      </c>
      <c r="N282">
        <v>8720542.3423423413</v>
      </c>
      <c r="O282">
        <v>22677540.540540539</v>
      </c>
      <c r="P282">
        <v>30560085.585585583</v>
      </c>
      <c r="Q282">
        <v>5894504.5045045046</v>
      </c>
      <c r="R282">
        <v>8245225.2252252251</v>
      </c>
      <c r="S282">
        <v>1734</v>
      </c>
      <c r="T282">
        <v>1620</v>
      </c>
    </row>
    <row r="283" spans="1:20" x14ac:dyDescent="0.35">
      <c r="A283" s="7" t="s">
        <v>379</v>
      </c>
      <c r="B283" s="12" t="s">
        <v>355</v>
      </c>
      <c r="C283">
        <v>363043470.00151569</v>
      </c>
      <c r="D283">
        <v>350460853.87801903</v>
      </c>
      <c r="E283">
        <v>291720276.57657659</v>
      </c>
      <c r="F283">
        <v>322463847.74774778</v>
      </c>
      <c r="G283">
        <v>72</v>
      </c>
      <c r="H283">
        <v>128</v>
      </c>
      <c r="K283">
        <v>77</v>
      </c>
      <c r="L283">
        <v>135</v>
      </c>
      <c r="M283">
        <v>118076666.66666667</v>
      </c>
      <c r="N283">
        <v>122918424.32432432</v>
      </c>
      <c r="O283">
        <v>199048609.00900903</v>
      </c>
      <c r="P283">
        <v>194631873.87387389</v>
      </c>
      <c r="Q283">
        <v>63107567.567567565</v>
      </c>
      <c r="R283">
        <v>80040630.630630627</v>
      </c>
      <c r="S283">
        <v>5076</v>
      </c>
      <c r="T283">
        <v>4729</v>
      </c>
    </row>
    <row r="284" spans="1:20" x14ac:dyDescent="0.35">
      <c r="A284" s="7" t="s">
        <v>380</v>
      </c>
      <c r="B284" s="12" t="s">
        <v>88</v>
      </c>
      <c r="C284">
        <v>9124903.7752654757</v>
      </c>
      <c r="D284">
        <v>9625109.9926507082</v>
      </c>
      <c r="G284">
        <v>2</v>
      </c>
      <c r="H284">
        <v>8</v>
      </c>
      <c r="K284">
        <v>3</v>
      </c>
      <c r="L284">
        <v>8</v>
      </c>
      <c r="M284">
        <v>1216216.2162162161</v>
      </c>
      <c r="N284">
        <v>1864864.8648648651</v>
      </c>
      <c r="O284">
        <v>578288.28828828805</v>
      </c>
      <c r="P284">
        <v>1633108.1081081079</v>
      </c>
      <c r="S284">
        <v>154</v>
      </c>
      <c r="T284">
        <v>227</v>
      </c>
    </row>
    <row r="285" spans="1:20" x14ac:dyDescent="0.35">
      <c r="A285" s="7" t="s">
        <v>381</v>
      </c>
      <c r="B285" s="12" t="s">
        <v>88</v>
      </c>
      <c r="C285">
        <v>12715548.05706545</v>
      </c>
      <c r="D285">
        <v>12128828.219023148</v>
      </c>
      <c r="G285">
        <v>27</v>
      </c>
      <c r="H285">
        <v>36</v>
      </c>
      <c r="K285">
        <v>29</v>
      </c>
      <c r="L285">
        <v>42</v>
      </c>
      <c r="O285">
        <v>1639018.018018018</v>
      </c>
      <c r="P285">
        <v>2098918.9189189188</v>
      </c>
      <c r="S285">
        <v>410</v>
      </c>
      <c r="T285">
        <v>326</v>
      </c>
    </row>
    <row r="286" spans="1:20" x14ac:dyDescent="0.35">
      <c r="A286" s="7" t="s">
        <v>382</v>
      </c>
      <c r="B286" s="12" t="s">
        <v>81</v>
      </c>
      <c r="C286">
        <v>2432284448.669117</v>
      </c>
      <c r="D286">
        <v>2449219244.574791</v>
      </c>
      <c r="E286">
        <v>1503236363.963964</v>
      </c>
      <c r="F286">
        <v>1274155745.0450449</v>
      </c>
      <c r="G286">
        <v>944</v>
      </c>
      <c r="H286">
        <v>677</v>
      </c>
      <c r="I286">
        <v>14</v>
      </c>
      <c r="K286">
        <v>1088</v>
      </c>
      <c r="L286">
        <v>965</v>
      </c>
      <c r="M286">
        <v>409095945.94594592</v>
      </c>
      <c r="N286">
        <v>812138080.18018019</v>
      </c>
      <c r="O286">
        <v>632076784.23423421</v>
      </c>
      <c r="P286">
        <v>698078154.05405402</v>
      </c>
      <c r="Q286">
        <v>365758198.1981982</v>
      </c>
      <c r="R286">
        <v>432212025.22522521</v>
      </c>
      <c r="S286">
        <v>44843</v>
      </c>
      <c r="T286">
        <v>37042</v>
      </c>
    </row>
    <row r="287" spans="1:20" x14ac:dyDescent="0.35">
      <c r="A287" s="7" t="s">
        <v>383</v>
      </c>
      <c r="B287" s="12" t="s">
        <v>81</v>
      </c>
      <c r="C287">
        <v>669529908.39999545</v>
      </c>
      <c r="D287">
        <v>644069880.0685811</v>
      </c>
      <c r="E287">
        <v>9184009.0090090111</v>
      </c>
      <c r="F287">
        <v>9154812.6126126163</v>
      </c>
      <c r="G287">
        <v>227</v>
      </c>
      <c r="H287">
        <v>233</v>
      </c>
      <c r="I287">
        <v>1</v>
      </c>
      <c r="K287">
        <v>300</v>
      </c>
      <c r="L287">
        <v>326</v>
      </c>
      <c r="M287">
        <v>135891891.8918919</v>
      </c>
      <c r="N287">
        <v>154699044.14414412</v>
      </c>
      <c r="O287">
        <v>279521240.0900901</v>
      </c>
      <c r="P287">
        <v>281102258.55855858</v>
      </c>
      <c r="Q287">
        <v>122159679.27927928</v>
      </c>
      <c r="R287">
        <v>140550176.57657659</v>
      </c>
      <c r="S287">
        <v>10798</v>
      </c>
      <c r="T287">
        <v>9559</v>
      </c>
    </row>
    <row r="288" spans="1:20" x14ac:dyDescent="0.35">
      <c r="A288" s="7" t="s">
        <v>384</v>
      </c>
      <c r="B288" s="12" t="s">
        <v>81</v>
      </c>
      <c r="C288">
        <v>845970001.696926</v>
      </c>
      <c r="D288">
        <v>861183939.19244528</v>
      </c>
      <c r="E288">
        <v>884303.60360360495</v>
      </c>
      <c r="F288">
        <v>2130131.5315315332</v>
      </c>
      <c r="G288">
        <v>127</v>
      </c>
      <c r="H288">
        <v>67</v>
      </c>
      <c r="I288">
        <v>3</v>
      </c>
      <c r="K288">
        <v>137</v>
      </c>
      <c r="L288">
        <v>81</v>
      </c>
      <c r="M288">
        <v>58894193.693693697</v>
      </c>
      <c r="N288">
        <v>56979510.810810804</v>
      </c>
      <c r="O288">
        <v>171154990.99099097</v>
      </c>
      <c r="P288">
        <v>184954295.4954955</v>
      </c>
      <c r="Q288">
        <v>63436486.486486487</v>
      </c>
      <c r="R288">
        <v>54184234.234234229</v>
      </c>
      <c r="S288">
        <v>9657</v>
      </c>
      <c r="T288">
        <v>8829</v>
      </c>
    </row>
    <row r="289" spans="1:20" x14ac:dyDescent="0.35">
      <c r="A289" s="7" t="s">
        <v>385</v>
      </c>
      <c r="B289" s="12" t="s">
        <v>69</v>
      </c>
      <c r="C289">
        <v>365210048.82275832</v>
      </c>
      <c r="D289">
        <v>347701413.84383148</v>
      </c>
      <c r="E289">
        <v>1427927.9279279299</v>
      </c>
      <c r="F289">
        <v>2511491.8918918949</v>
      </c>
      <c r="G289">
        <v>76</v>
      </c>
      <c r="H289">
        <v>49</v>
      </c>
      <c r="I289">
        <v>3</v>
      </c>
      <c r="K289">
        <v>83</v>
      </c>
      <c r="L289">
        <v>58</v>
      </c>
      <c r="M289">
        <v>14787387.387387386</v>
      </c>
      <c r="N289">
        <v>16926369.369369373</v>
      </c>
      <c r="O289">
        <v>51693621.621621624</v>
      </c>
      <c r="P289">
        <v>51980210.810810804</v>
      </c>
      <c r="Q289">
        <v>13786666.666666668</v>
      </c>
      <c r="R289">
        <v>15658918.918918921</v>
      </c>
      <c r="S289">
        <v>5512</v>
      </c>
      <c r="T289">
        <v>5168</v>
      </c>
    </row>
    <row r="290" spans="1:20" x14ac:dyDescent="0.35">
      <c r="A290" s="7" t="s">
        <v>386</v>
      </c>
      <c r="B290" s="12" t="s">
        <v>168</v>
      </c>
      <c r="C290">
        <v>122572206.05363648</v>
      </c>
      <c r="D290">
        <v>144782359.03308767</v>
      </c>
      <c r="E290">
        <v>2060360.36036036</v>
      </c>
      <c r="F290">
        <v>4595198.1981981974</v>
      </c>
      <c r="G290">
        <v>47</v>
      </c>
      <c r="H290">
        <v>26</v>
      </c>
      <c r="K290">
        <v>57</v>
      </c>
      <c r="L290">
        <v>32</v>
      </c>
      <c r="M290">
        <v>27655921.621621624</v>
      </c>
      <c r="N290">
        <v>24661090.090090092</v>
      </c>
      <c r="O290">
        <v>52762495.495495498</v>
      </c>
      <c r="P290">
        <v>66501772.972972974</v>
      </c>
      <c r="Q290">
        <v>23995225.225225225</v>
      </c>
      <c r="R290">
        <v>28751801.801801801</v>
      </c>
      <c r="S290">
        <v>2901</v>
      </c>
      <c r="T290">
        <v>2469</v>
      </c>
    </row>
    <row r="291" spans="1:20" x14ac:dyDescent="0.35">
      <c r="A291" s="7" t="s">
        <v>387</v>
      </c>
      <c r="B291" s="12" t="s">
        <v>95</v>
      </c>
      <c r="C291">
        <v>715684298.78309298</v>
      </c>
      <c r="D291">
        <v>739770848.83002269</v>
      </c>
      <c r="E291">
        <v>864864.86486486602</v>
      </c>
      <c r="F291">
        <v>3116558.558558559</v>
      </c>
      <c r="G291">
        <v>168</v>
      </c>
      <c r="H291">
        <v>160</v>
      </c>
      <c r="I291">
        <v>2</v>
      </c>
      <c r="K291">
        <v>188</v>
      </c>
      <c r="L291">
        <v>176</v>
      </c>
      <c r="M291">
        <v>24655855.855855856</v>
      </c>
      <c r="N291">
        <v>28689549.54954955</v>
      </c>
      <c r="O291">
        <v>83312293.693693697</v>
      </c>
      <c r="P291">
        <v>105991126.12612613</v>
      </c>
      <c r="Q291">
        <v>19936036.036036037</v>
      </c>
      <c r="R291">
        <v>17915045.045045044</v>
      </c>
      <c r="S291">
        <v>8435</v>
      </c>
      <c r="T291">
        <v>9218</v>
      </c>
    </row>
    <row r="292" spans="1:20" x14ac:dyDescent="0.35">
      <c r="A292" s="7" t="s">
        <v>388</v>
      </c>
      <c r="B292" s="12" t="s">
        <v>215</v>
      </c>
      <c r="C292">
        <v>129341286.72518818</v>
      </c>
      <c r="D292">
        <v>142430724.30059811</v>
      </c>
      <c r="E292">
        <v>1444144.1441441451</v>
      </c>
      <c r="F292">
        <v>1345945.945945946</v>
      </c>
      <c r="G292">
        <v>50</v>
      </c>
      <c r="H292">
        <v>11</v>
      </c>
      <c r="K292">
        <v>55</v>
      </c>
      <c r="L292">
        <v>12</v>
      </c>
      <c r="M292">
        <v>3245945.945945946</v>
      </c>
      <c r="N292">
        <v>5692342.3423423423</v>
      </c>
      <c r="O292">
        <v>61472639.639639638</v>
      </c>
      <c r="P292">
        <v>66340306.306306303</v>
      </c>
      <c r="Q292">
        <v>2896666.666666667</v>
      </c>
      <c r="R292">
        <v>5409369.369369369</v>
      </c>
      <c r="S292">
        <v>2493</v>
      </c>
      <c r="T292">
        <v>2394</v>
      </c>
    </row>
    <row r="293" spans="1:20" x14ac:dyDescent="0.35">
      <c r="A293" s="7" t="s">
        <v>389</v>
      </c>
      <c r="B293" s="12" t="s">
        <v>118</v>
      </c>
      <c r="C293">
        <v>53935905.001451582</v>
      </c>
      <c r="D293">
        <v>51997620.054006234</v>
      </c>
      <c r="E293">
        <v>826126.12612612499</v>
      </c>
      <c r="F293">
        <v>990990.99099099205</v>
      </c>
      <c r="G293">
        <v>39</v>
      </c>
      <c r="H293">
        <v>36</v>
      </c>
      <c r="K293">
        <v>46</v>
      </c>
      <c r="L293">
        <v>41</v>
      </c>
      <c r="M293">
        <v>15465881.081081079</v>
      </c>
      <c r="N293">
        <v>10072013.513513517</v>
      </c>
      <c r="O293">
        <v>25064783.783783782</v>
      </c>
      <c r="P293">
        <v>23353297.297297295</v>
      </c>
      <c r="Q293">
        <v>13662702.702702699</v>
      </c>
      <c r="R293">
        <v>10764774.774774775</v>
      </c>
      <c r="S293">
        <v>2249</v>
      </c>
      <c r="T293">
        <v>1727</v>
      </c>
    </row>
    <row r="294" spans="1:20" x14ac:dyDescent="0.35">
      <c r="A294" s="7" t="s">
        <v>390</v>
      </c>
      <c r="B294" s="12" t="s">
        <v>316</v>
      </c>
      <c r="C294">
        <v>233358119.72909078</v>
      </c>
      <c r="D294">
        <v>231033512.55509317</v>
      </c>
      <c r="E294">
        <v>1892792.7927927929</v>
      </c>
      <c r="F294">
        <v>104839.63963963999</v>
      </c>
      <c r="G294">
        <v>25</v>
      </c>
      <c r="H294">
        <v>13</v>
      </c>
      <c r="I294">
        <v>2</v>
      </c>
      <c r="K294">
        <v>25</v>
      </c>
      <c r="L294">
        <v>14</v>
      </c>
      <c r="M294">
        <v>10000900.9009009</v>
      </c>
      <c r="N294">
        <v>24792765.765765768</v>
      </c>
      <c r="O294">
        <v>47329378.378378376</v>
      </c>
      <c r="P294">
        <v>48093027.027027026</v>
      </c>
      <c r="Q294">
        <v>10163333.333333332</v>
      </c>
      <c r="R294">
        <v>24407747.747747749</v>
      </c>
      <c r="S294">
        <v>2793</v>
      </c>
      <c r="T294">
        <v>2738</v>
      </c>
    </row>
    <row r="295" spans="1:20" x14ac:dyDescent="0.35">
      <c r="A295" s="7" t="s">
        <v>673</v>
      </c>
      <c r="B295" s="12" t="s">
        <v>182</v>
      </c>
      <c r="E295">
        <v>65472972.972972974</v>
      </c>
      <c r="F295">
        <v>217972972.97297296</v>
      </c>
      <c r="M295">
        <v>4306981.9819819815</v>
      </c>
      <c r="N295">
        <v>3540540.5405405401</v>
      </c>
    </row>
    <row r="296" spans="1:20" x14ac:dyDescent="0.35">
      <c r="A296" s="7" t="s">
        <v>391</v>
      </c>
      <c r="B296" s="12" t="s">
        <v>225</v>
      </c>
      <c r="C296">
        <v>95791342.156946138</v>
      </c>
      <c r="D296">
        <v>89641530.324907556</v>
      </c>
      <c r="G296">
        <v>12</v>
      </c>
      <c r="H296">
        <v>6</v>
      </c>
      <c r="K296">
        <v>12</v>
      </c>
      <c r="L296">
        <v>6</v>
      </c>
      <c r="O296">
        <v>18272594.594594598</v>
      </c>
      <c r="P296">
        <v>17633000</v>
      </c>
      <c r="S296">
        <v>1555</v>
      </c>
      <c r="T296">
        <v>1405</v>
      </c>
    </row>
    <row r="297" spans="1:20" x14ac:dyDescent="0.35">
      <c r="A297" s="7" t="s">
        <v>6</v>
      </c>
      <c r="B297" s="12" t="s">
        <v>194</v>
      </c>
      <c r="C297">
        <v>864337204.86479962</v>
      </c>
      <c r="D297">
        <v>817546524.30394661</v>
      </c>
      <c r="E297">
        <v>10888763.06306307</v>
      </c>
      <c r="F297">
        <v>43003980.180180185</v>
      </c>
      <c r="G297">
        <v>596</v>
      </c>
      <c r="H297">
        <v>844</v>
      </c>
      <c r="K297">
        <v>988</v>
      </c>
      <c r="L297">
        <v>1432</v>
      </c>
      <c r="M297">
        <v>369436156.75675672</v>
      </c>
      <c r="N297">
        <v>569730855.85585582</v>
      </c>
      <c r="O297">
        <v>581137054.05405402</v>
      </c>
      <c r="P297">
        <v>562365135.13513505</v>
      </c>
      <c r="Q297">
        <v>330216126.12612617</v>
      </c>
      <c r="R297">
        <v>537359099.09909904</v>
      </c>
      <c r="S297">
        <v>14227</v>
      </c>
      <c r="T297">
        <v>13079</v>
      </c>
    </row>
    <row r="298" spans="1:20" x14ac:dyDescent="0.35">
      <c r="A298" s="7" t="s">
        <v>392</v>
      </c>
      <c r="B298" s="12" t="s">
        <v>122</v>
      </c>
      <c r="C298">
        <v>37135524.333147489</v>
      </c>
      <c r="D298">
        <v>36291164.848704718</v>
      </c>
      <c r="G298">
        <v>11</v>
      </c>
      <c r="H298">
        <v>27</v>
      </c>
      <c r="K298">
        <v>13</v>
      </c>
      <c r="L298">
        <v>29</v>
      </c>
      <c r="O298">
        <v>1811378.378378378</v>
      </c>
      <c r="P298">
        <v>2585315.315315315</v>
      </c>
      <c r="S298">
        <v>610</v>
      </c>
      <c r="T298">
        <v>498</v>
      </c>
    </row>
    <row r="299" spans="1:20" x14ac:dyDescent="0.35">
      <c r="A299" s="7" t="s">
        <v>393</v>
      </c>
      <c r="B299" s="12" t="s">
        <v>135</v>
      </c>
      <c r="C299">
        <v>112781196.50735934</v>
      </c>
      <c r="D299">
        <v>120154564.25444855</v>
      </c>
      <c r="E299">
        <v>67567.567567567996</v>
      </c>
      <c r="F299">
        <v>582882.88288288296</v>
      </c>
      <c r="G299">
        <v>34</v>
      </c>
      <c r="H299">
        <v>18</v>
      </c>
      <c r="K299">
        <v>42</v>
      </c>
      <c r="L299">
        <v>26</v>
      </c>
      <c r="M299">
        <v>7292792.7927927906</v>
      </c>
      <c r="N299">
        <v>11404954.954954954</v>
      </c>
      <c r="O299">
        <v>22784403.603603601</v>
      </c>
      <c r="P299">
        <v>31929081.081081081</v>
      </c>
      <c r="Q299">
        <v>2310090.0900900909</v>
      </c>
      <c r="R299">
        <v>4337297.297297298</v>
      </c>
      <c r="S299">
        <v>3978</v>
      </c>
      <c r="T299">
        <v>3579</v>
      </c>
    </row>
    <row r="300" spans="1:20" x14ac:dyDescent="0.35">
      <c r="A300" s="7" t="s">
        <v>394</v>
      </c>
      <c r="B300" s="12" t="s">
        <v>59</v>
      </c>
      <c r="C300">
        <v>559933726.64697254</v>
      </c>
      <c r="D300">
        <v>579949499.63531315</v>
      </c>
      <c r="E300">
        <v>15178828.828828832</v>
      </c>
      <c r="F300">
        <v>9157520.7207207289</v>
      </c>
      <c r="G300">
        <v>193</v>
      </c>
      <c r="H300">
        <v>152</v>
      </c>
      <c r="K300">
        <v>223</v>
      </c>
      <c r="L300">
        <v>197</v>
      </c>
      <c r="M300">
        <v>47705405.40540541</v>
      </c>
      <c r="N300">
        <v>104670553.15315315</v>
      </c>
      <c r="O300">
        <v>90208135.135135129</v>
      </c>
      <c r="P300">
        <v>102637792.7927928</v>
      </c>
      <c r="Q300">
        <v>54253693.693693697</v>
      </c>
      <c r="R300">
        <v>98743153.153153151</v>
      </c>
      <c r="S300">
        <v>9869</v>
      </c>
      <c r="T300">
        <v>9683</v>
      </c>
    </row>
    <row r="301" spans="1:20" x14ac:dyDescent="0.35">
      <c r="A301" s="7" t="s">
        <v>395</v>
      </c>
      <c r="B301" s="12" t="s">
        <v>135</v>
      </c>
      <c r="C301">
        <v>192978673.21296883</v>
      </c>
      <c r="D301">
        <v>202709087.88056937</v>
      </c>
      <c r="E301">
        <v>1116666.6666666679</v>
      </c>
      <c r="F301">
        <v>1081624.324324324</v>
      </c>
      <c r="G301">
        <v>30</v>
      </c>
      <c r="H301">
        <v>25</v>
      </c>
      <c r="K301">
        <v>34</v>
      </c>
      <c r="L301">
        <v>32</v>
      </c>
      <c r="M301">
        <v>28247747.747747749</v>
      </c>
      <c r="N301">
        <v>28394123.423423424</v>
      </c>
      <c r="O301">
        <v>35225962.162162162</v>
      </c>
      <c r="P301">
        <v>42637333.333333336</v>
      </c>
      <c r="Q301">
        <v>18469009.009009007</v>
      </c>
      <c r="R301">
        <v>16789909.909909911</v>
      </c>
      <c r="S301">
        <v>4197</v>
      </c>
      <c r="T301">
        <v>4761</v>
      </c>
    </row>
    <row r="302" spans="1:20" x14ac:dyDescent="0.35">
      <c r="A302" s="7" t="s">
        <v>396</v>
      </c>
      <c r="B302" s="12" t="s">
        <v>55</v>
      </c>
      <c r="C302">
        <v>81685607.226473257</v>
      </c>
      <c r="D302">
        <v>78047275.540782332</v>
      </c>
      <c r="E302">
        <v>56756.756756757</v>
      </c>
      <c r="F302">
        <v>1182023.4234234239</v>
      </c>
      <c r="G302">
        <v>20</v>
      </c>
      <c r="H302">
        <v>24</v>
      </c>
      <c r="K302">
        <v>23</v>
      </c>
      <c r="L302">
        <v>24</v>
      </c>
      <c r="M302">
        <v>3281981.981981982</v>
      </c>
      <c r="N302">
        <v>10828398.198198196</v>
      </c>
      <c r="O302">
        <v>12938000</v>
      </c>
      <c r="P302">
        <v>14262882.882882884</v>
      </c>
      <c r="Q302">
        <v>3818648.648648649</v>
      </c>
      <c r="R302">
        <v>9897927.927927928</v>
      </c>
      <c r="S302">
        <v>1760</v>
      </c>
      <c r="T302">
        <v>1541</v>
      </c>
    </row>
    <row r="303" spans="1:20" x14ac:dyDescent="0.35">
      <c r="A303" s="7" t="s">
        <v>397</v>
      </c>
      <c r="B303" s="12" t="s">
        <v>398</v>
      </c>
      <c r="C303">
        <v>574148896.03627658</v>
      </c>
      <c r="D303">
        <v>565289237.58973682</v>
      </c>
      <c r="E303">
        <v>6418468.4684684668</v>
      </c>
      <c r="F303">
        <v>7662289.18918919</v>
      </c>
      <c r="G303">
        <v>456</v>
      </c>
      <c r="H303">
        <v>324</v>
      </c>
      <c r="I303">
        <v>2</v>
      </c>
      <c r="K303">
        <v>618</v>
      </c>
      <c r="L303">
        <v>431</v>
      </c>
      <c r="M303">
        <v>72819144.144144148</v>
      </c>
      <c r="N303">
        <v>66206831.531531528</v>
      </c>
      <c r="O303">
        <v>115017136.93693694</v>
      </c>
      <c r="P303">
        <v>120215675.67567568</v>
      </c>
      <c r="Q303">
        <v>65565360.360360362</v>
      </c>
      <c r="R303">
        <v>55994549.54954955</v>
      </c>
      <c r="S303">
        <v>12557</v>
      </c>
      <c r="T303">
        <v>9319</v>
      </c>
    </row>
    <row r="304" spans="1:20" x14ac:dyDescent="0.35">
      <c r="A304" s="7" t="s">
        <v>399</v>
      </c>
      <c r="B304" s="12" t="s">
        <v>400</v>
      </c>
      <c r="C304">
        <v>624737157.43142378</v>
      </c>
      <c r="D304">
        <v>621127245.56530297</v>
      </c>
      <c r="E304">
        <v>204194731.53153151</v>
      </c>
      <c r="F304">
        <v>189276214.41441441</v>
      </c>
      <c r="G304">
        <v>128</v>
      </c>
      <c r="H304">
        <v>128</v>
      </c>
      <c r="K304">
        <v>144</v>
      </c>
      <c r="L304">
        <v>151</v>
      </c>
      <c r="M304">
        <v>69581081.081081077</v>
      </c>
      <c r="N304">
        <v>128377179.27927928</v>
      </c>
      <c r="O304">
        <v>115249072.07207207</v>
      </c>
      <c r="P304">
        <v>122449639.63963965</v>
      </c>
      <c r="Q304">
        <v>55210630.630630635</v>
      </c>
      <c r="R304">
        <v>63960944.144144148</v>
      </c>
      <c r="S304">
        <v>12819</v>
      </c>
      <c r="T304">
        <v>12059</v>
      </c>
    </row>
    <row r="305" spans="1:20" x14ac:dyDescent="0.35">
      <c r="A305" s="7" t="s">
        <v>401</v>
      </c>
      <c r="B305" s="12" t="s">
        <v>141</v>
      </c>
      <c r="C305">
        <v>200557823.24018753</v>
      </c>
      <c r="D305">
        <v>205488682.72186196</v>
      </c>
      <c r="E305">
        <v>2718918.9189189202</v>
      </c>
      <c r="F305">
        <v>2610154.054054054</v>
      </c>
      <c r="G305">
        <v>58</v>
      </c>
      <c r="H305">
        <v>35</v>
      </c>
      <c r="K305">
        <v>62</v>
      </c>
      <c r="L305">
        <v>40</v>
      </c>
      <c r="M305">
        <v>41137117.117117122</v>
      </c>
      <c r="N305">
        <v>51263862.162162162</v>
      </c>
      <c r="O305">
        <v>62087427.927927926</v>
      </c>
      <c r="P305">
        <v>65866900.900900893</v>
      </c>
      <c r="Q305">
        <v>38311441.441441439</v>
      </c>
      <c r="R305">
        <v>42217567.567567565</v>
      </c>
      <c r="S305">
        <v>3478</v>
      </c>
      <c r="T305">
        <v>3173</v>
      </c>
    </row>
    <row r="306" spans="1:20" x14ac:dyDescent="0.35">
      <c r="A306" s="7" t="s">
        <v>402</v>
      </c>
      <c r="B306" s="12" t="s">
        <v>122</v>
      </c>
      <c r="C306">
        <v>55679366.026823767</v>
      </c>
      <c r="D306">
        <v>48508244.092922509</v>
      </c>
      <c r="E306">
        <v>414414.41441441502</v>
      </c>
      <c r="F306">
        <v>161637.83783783799</v>
      </c>
      <c r="G306">
        <v>19</v>
      </c>
      <c r="H306">
        <v>42</v>
      </c>
      <c r="K306">
        <v>23</v>
      </c>
      <c r="L306">
        <v>53</v>
      </c>
      <c r="M306">
        <v>3117117.1171171181</v>
      </c>
      <c r="N306">
        <v>2414905.4054054059</v>
      </c>
      <c r="O306">
        <v>5767623.8738738736</v>
      </c>
      <c r="P306">
        <v>7224414.4144144142</v>
      </c>
      <c r="Q306">
        <v>1500270.2702702701</v>
      </c>
      <c r="R306">
        <v>2392342.3423423432</v>
      </c>
      <c r="S306">
        <v>1146</v>
      </c>
      <c r="T306">
        <v>1087</v>
      </c>
    </row>
    <row r="307" spans="1:20" x14ac:dyDescent="0.35">
      <c r="A307" s="7" t="s">
        <v>403</v>
      </c>
      <c r="B307" s="12" t="s">
        <v>291</v>
      </c>
      <c r="C307">
        <v>87861089.430784509</v>
      </c>
      <c r="D307">
        <v>85479461.165325001</v>
      </c>
      <c r="E307">
        <v>466216.21621621703</v>
      </c>
      <c r="F307">
        <v>241470.27027027</v>
      </c>
      <c r="G307">
        <v>19</v>
      </c>
      <c r="H307">
        <v>15</v>
      </c>
      <c r="K307">
        <v>23</v>
      </c>
      <c r="L307">
        <v>21</v>
      </c>
      <c r="M307">
        <v>3552252.2522522528</v>
      </c>
      <c r="N307">
        <v>5042704.5045045046</v>
      </c>
      <c r="O307">
        <v>11815585.585585585</v>
      </c>
      <c r="P307">
        <v>12890945.945945948</v>
      </c>
      <c r="Q307">
        <v>4203243.2432432435</v>
      </c>
      <c r="R307">
        <v>3464054.054054054</v>
      </c>
      <c r="S307">
        <v>1980</v>
      </c>
      <c r="T307">
        <v>1575</v>
      </c>
    </row>
    <row r="308" spans="1:20" x14ac:dyDescent="0.35">
      <c r="A308" s="7" t="s">
        <v>404</v>
      </c>
      <c r="B308" s="12" t="s">
        <v>122</v>
      </c>
      <c r="C308">
        <v>94957503.659978718</v>
      </c>
      <c r="D308">
        <v>89624177.614901543</v>
      </c>
      <c r="E308">
        <v>57432.432432431997</v>
      </c>
      <c r="F308">
        <v>9009.0090090100002</v>
      </c>
      <c r="G308">
        <v>16</v>
      </c>
      <c r="H308">
        <v>15</v>
      </c>
      <c r="K308">
        <v>19</v>
      </c>
      <c r="L308">
        <v>15</v>
      </c>
      <c r="M308">
        <v>60360.360360359999</v>
      </c>
      <c r="N308">
        <v>144144.14414414499</v>
      </c>
      <c r="O308">
        <v>7320306.3063063063</v>
      </c>
      <c r="P308">
        <v>9244495.4954954963</v>
      </c>
      <c r="Q308">
        <v>13513.513513514001</v>
      </c>
      <c r="R308">
        <v>162162.16216216201</v>
      </c>
      <c r="S308">
        <v>1247</v>
      </c>
      <c r="T308">
        <v>1098</v>
      </c>
    </row>
    <row r="309" spans="1:20" x14ac:dyDescent="0.35">
      <c r="A309" s="7" t="s">
        <v>405</v>
      </c>
      <c r="B309" s="12" t="s">
        <v>369</v>
      </c>
      <c r="C309">
        <v>216301626.53658083</v>
      </c>
      <c r="D309">
        <v>214905691.19774267</v>
      </c>
      <c r="E309">
        <v>2495045.0450450471</v>
      </c>
      <c r="F309">
        <v>3692792.7927927952</v>
      </c>
      <c r="G309">
        <v>140</v>
      </c>
      <c r="H309">
        <v>19</v>
      </c>
      <c r="K309">
        <v>174</v>
      </c>
      <c r="L309">
        <v>51</v>
      </c>
      <c r="M309">
        <v>70785855.855855852</v>
      </c>
      <c r="N309">
        <v>100287297.2972973</v>
      </c>
      <c r="O309">
        <v>76794662.162162155</v>
      </c>
      <c r="P309">
        <v>73711176.576576576</v>
      </c>
      <c r="Q309">
        <v>68002972.972972974</v>
      </c>
      <c r="R309">
        <v>91197477.477477476</v>
      </c>
      <c r="S309">
        <v>7628</v>
      </c>
      <c r="T309">
        <v>4266</v>
      </c>
    </row>
    <row r="310" spans="1:20" x14ac:dyDescent="0.35">
      <c r="A310" s="7" t="s">
        <v>406</v>
      </c>
      <c r="B310" s="12" t="s">
        <v>141</v>
      </c>
      <c r="C310">
        <v>105446612.15356448</v>
      </c>
      <c r="D310">
        <v>107005871.15153898</v>
      </c>
      <c r="E310">
        <v>309684.68468468398</v>
      </c>
      <c r="F310">
        <v>207222.52252252301</v>
      </c>
      <c r="G310">
        <v>22</v>
      </c>
      <c r="H310">
        <v>13</v>
      </c>
      <c r="K310">
        <v>23</v>
      </c>
      <c r="L310">
        <v>15</v>
      </c>
      <c r="M310">
        <v>12701261.26126126</v>
      </c>
      <c r="N310">
        <v>22258119.819819819</v>
      </c>
      <c r="O310">
        <v>28440754.954954956</v>
      </c>
      <c r="P310">
        <v>32386558.558558561</v>
      </c>
      <c r="Q310">
        <v>15355405.405405404</v>
      </c>
      <c r="R310">
        <v>18753963.963963963</v>
      </c>
      <c r="S310">
        <v>1512</v>
      </c>
      <c r="T310">
        <v>1408</v>
      </c>
    </row>
    <row r="311" spans="1:20" x14ac:dyDescent="0.35">
      <c r="A311" s="7" t="s">
        <v>407</v>
      </c>
      <c r="B311" s="12" t="s">
        <v>55</v>
      </c>
      <c r="C311">
        <v>145518908.9054814</v>
      </c>
      <c r="D311">
        <v>145555596.84674346</v>
      </c>
      <c r="E311">
        <v>2736936.9369369391</v>
      </c>
      <c r="F311">
        <v>6557943.2432432435</v>
      </c>
      <c r="G311">
        <v>116</v>
      </c>
      <c r="H311">
        <v>82</v>
      </c>
      <c r="I311">
        <v>1</v>
      </c>
      <c r="K311">
        <v>195</v>
      </c>
      <c r="L311">
        <v>155</v>
      </c>
      <c r="M311">
        <v>13079639.63963964</v>
      </c>
      <c r="N311">
        <v>19813163.963963963</v>
      </c>
      <c r="O311">
        <v>32680306.306306303</v>
      </c>
      <c r="P311">
        <v>35239810.810810812</v>
      </c>
      <c r="Q311">
        <v>13495405.405405404</v>
      </c>
      <c r="R311">
        <v>17367837.837837838</v>
      </c>
      <c r="S311">
        <v>2409</v>
      </c>
      <c r="T311">
        <v>2281</v>
      </c>
    </row>
    <row r="312" spans="1:20" x14ac:dyDescent="0.35">
      <c r="A312" s="7" t="s">
        <v>408</v>
      </c>
      <c r="B312" s="12" t="s">
        <v>135</v>
      </c>
      <c r="C312">
        <v>64700581.350276075</v>
      </c>
      <c r="D312">
        <v>69136385.97115989</v>
      </c>
      <c r="E312">
        <v>27027.027027027001</v>
      </c>
      <c r="F312">
        <v>340720.720720721</v>
      </c>
      <c r="G312">
        <v>7</v>
      </c>
      <c r="H312">
        <v>2</v>
      </c>
      <c r="K312">
        <v>7</v>
      </c>
      <c r="L312">
        <v>4</v>
      </c>
      <c r="M312">
        <v>2234234.2342342348</v>
      </c>
      <c r="N312">
        <v>3686249.5495495498</v>
      </c>
      <c r="O312">
        <v>5446000</v>
      </c>
      <c r="P312">
        <v>8363639.6396396393</v>
      </c>
      <c r="Q312">
        <v>1847747.747747747</v>
      </c>
      <c r="R312">
        <v>3630630.630630631</v>
      </c>
      <c r="S312">
        <v>1036</v>
      </c>
      <c r="T312">
        <v>948</v>
      </c>
    </row>
    <row r="313" spans="1:20" x14ac:dyDescent="0.35">
      <c r="A313" s="7" t="s">
        <v>409</v>
      </c>
      <c r="B313" s="12" t="s">
        <v>291</v>
      </c>
      <c r="C313">
        <v>36371002.564233102</v>
      </c>
      <c r="D313">
        <v>37300947.526084892</v>
      </c>
      <c r="E313">
        <v>19672972.972972974</v>
      </c>
      <c r="F313">
        <v>18472281.981981985</v>
      </c>
      <c r="G313">
        <v>17</v>
      </c>
      <c r="H313">
        <v>15</v>
      </c>
      <c r="K313">
        <v>18</v>
      </c>
      <c r="L313">
        <v>22</v>
      </c>
      <c r="M313">
        <v>11378378.37837838</v>
      </c>
      <c r="N313">
        <v>4744175.6756756762</v>
      </c>
      <c r="O313">
        <v>7236738.7387387389</v>
      </c>
      <c r="P313">
        <v>8123360.3603603607</v>
      </c>
      <c r="Q313">
        <v>7791891.8918918911</v>
      </c>
      <c r="R313">
        <v>2563873.873873875</v>
      </c>
      <c r="S313">
        <v>1050</v>
      </c>
      <c r="T313">
        <v>941</v>
      </c>
    </row>
    <row r="314" spans="1:20" x14ac:dyDescent="0.35">
      <c r="A314" s="7" t="s">
        <v>410</v>
      </c>
      <c r="B314" s="12" t="s">
        <v>179</v>
      </c>
      <c r="C314">
        <v>647884883.07621372</v>
      </c>
      <c r="D314">
        <v>602542848.59036505</v>
      </c>
      <c r="E314">
        <v>5089189.18918919</v>
      </c>
      <c r="F314">
        <v>5856018.9189189197</v>
      </c>
      <c r="G314">
        <v>232</v>
      </c>
      <c r="H314">
        <v>196</v>
      </c>
      <c r="K314">
        <v>392</v>
      </c>
      <c r="L314">
        <v>463</v>
      </c>
      <c r="M314">
        <v>66355756.75675676</v>
      </c>
      <c r="N314">
        <v>78903845.945945948</v>
      </c>
      <c r="O314">
        <v>222048013.51351351</v>
      </c>
      <c r="P314">
        <v>232929890.09009007</v>
      </c>
      <c r="Q314">
        <v>60454954.954954959</v>
      </c>
      <c r="R314">
        <v>75622522.522522509</v>
      </c>
      <c r="S314">
        <v>11354</v>
      </c>
      <c r="T314">
        <v>9386</v>
      </c>
    </row>
    <row r="315" spans="1:20" x14ac:dyDescent="0.35">
      <c r="A315" s="7" t="s">
        <v>664</v>
      </c>
      <c r="B315" s="12" t="s">
        <v>88</v>
      </c>
      <c r="S315">
        <v>3</v>
      </c>
    </row>
    <row r="316" spans="1:20" x14ac:dyDescent="0.35">
      <c r="A316" s="7" t="s">
        <v>411</v>
      </c>
      <c r="B316" s="12" t="s">
        <v>55</v>
      </c>
      <c r="C316">
        <v>1181367827.8262248</v>
      </c>
      <c r="D316">
        <v>1185845709.8194559</v>
      </c>
      <c r="E316">
        <v>181299184.68468469</v>
      </c>
      <c r="F316">
        <v>234073718.01801801</v>
      </c>
      <c r="G316">
        <v>428</v>
      </c>
      <c r="H316">
        <v>406</v>
      </c>
      <c r="I316">
        <v>11</v>
      </c>
      <c r="K316">
        <v>932</v>
      </c>
      <c r="L316">
        <v>900</v>
      </c>
      <c r="M316">
        <v>90398648.648648649</v>
      </c>
      <c r="N316">
        <v>199679658.55855855</v>
      </c>
      <c r="O316">
        <v>243686657.65765765</v>
      </c>
      <c r="P316">
        <v>258466763.96396396</v>
      </c>
      <c r="Q316">
        <v>82356576.576576576</v>
      </c>
      <c r="R316">
        <v>189620313.51351351</v>
      </c>
      <c r="S316">
        <v>20803</v>
      </c>
      <c r="T316">
        <v>19746</v>
      </c>
    </row>
    <row r="317" spans="1:20" x14ac:dyDescent="0.35">
      <c r="A317" s="7" t="s">
        <v>412</v>
      </c>
      <c r="B317" s="12" t="s">
        <v>225</v>
      </c>
      <c r="C317">
        <v>594772589.92831004</v>
      </c>
      <c r="D317">
        <v>674891192.63311791</v>
      </c>
      <c r="E317">
        <v>2189189.1891891928</v>
      </c>
      <c r="F317">
        <v>4876825.2252252279</v>
      </c>
      <c r="G317">
        <v>225</v>
      </c>
      <c r="H317">
        <v>175</v>
      </c>
      <c r="K317">
        <v>251</v>
      </c>
      <c r="L317">
        <v>207</v>
      </c>
      <c r="M317">
        <v>78525585.585585579</v>
      </c>
      <c r="N317">
        <v>116317999.0990991</v>
      </c>
      <c r="O317">
        <v>169661692.7927928</v>
      </c>
      <c r="P317">
        <v>209523926.12612611</v>
      </c>
      <c r="Q317">
        <v>80274277.477477476</v>
      </c>
      <c r="R317">
        <v>105159639.63963965</v>
      </c>
      <c r="S317">
        <v>14017</v>
      </c>
      <c r="T317">
        <v>13873</v>
      </c>
    </row>
    <row r="318" spans="1:20" x14ac:dyDescent="0.35">
      <c r="A318" s="7" t="s">
        <v>413</v>
      </c>
      <c r="B318" s="12" t="s">
        <v>414</v>
      </c>
      <c r="C318">
        <v>234580684.66103142</v>
      </c>
      <c r="D318">
        <v>228854400.46731728</v>
      </c>
      <c r="E318">
        <v>614864.864864868</v>
      </c>
      <c r="F318">
        <v>1326109.009009013</v>
      </c>
      <c r="G318">
        <v>23</v>
      </c>
      <c r="H318">
        <v>28</v>
      </c>
      <c r="K318">
        <v>23</v>
      </c>
      <c r="L318">
        <v>32</v>
      </c>
      <c r="M318">
        <v>3723423.4234234272</v>
      </c>
      <c r="N318">
        <v>144643699.0990991</v>
      </c>
      <c r="O318">
        <v>94141513.51351352</v>
      </c>
      <c r="P318">
        <v>101812414.41441442</v>
      </c>
      <c r="Q318">
        <v>4711531.5315315314</v>
      </c>
      <c r="R318">
        <v>5994594.594594596</v>
      </c>
      <c r="S318">
        <v>4297</v>
      </c>
      <c r="T318">
        <v>3904</v>
      </c>
    </row>
    <row r="319" spans="1:20" x14ac:dyDescent="0.35">
      <c r="A319" s="7" t="s">
        <v>415</v>
      </c>
      <c r="B319" s="12" t="s">
        <v>215</v>
      </c>
      <c r="C319">
        <v>1490107191.0095713</v>
      </c>
      <c r="D319">
        <v>1401958453.960743</v>
      </c>
      <c r="E319">
        <v>615044587.38738739</v>
      </c>
      <c r="F319">
        <v>491541427.02702701</v>
      </c>
      <c r="G319">
        <v>1321</v>
      </c>
      <c r="H319">
        <v>751</v>
      </c>
      <c r="I319">
        <v>3</v>
      </c>
      <c r="K319">
        <v>1448</v>
      </c>
      <c r="L319">
        <v>1014</v>
      </c>
      <c r="M319">
        <v>210627522.52252254</v>
      </c>
      <c r="N319">
        <v>237782426.12612611</v>
      </c>
      <c r="O319">
        <v>660728581.98198199</v>
      </c>
      <c r="P319">
        <v>636792864.86486495</v>
      </c>
      <c r="Q319">
        <v>190567567.56756756</v>
      </c>
      <c r="R319">
        <v>219682702.7027027</v>
      </c>
      <c r="S319">
        <v>25626</v>
      </c>
      <c r="T319">
        <v>23492</v>
      </c>
    </row>
    <row r="320" spans="1:20" x14ac:dyDescent="0.35">
      <c r="A320" s="7" t="s">
        <v>416</v>
      </c>
      <c r="B320" s="12" t="s">
        <v>414</v>
      </c>
      <c r="C320">
        <v>132008410.56647241</v>
      </c>
      <c r="D320">
        <v>126532289.37795861</v>
      </c>
      <c r="E320">
        <v>122901351.35135137</v>
      </c>
      <c r="F320">
        <v>94382226.126126125</v>
      </c>
      <c r="G320">
        <v>46</v>
      </c>
      <c r="H320">
        <v>27</v>
      </c>
      <c r="K320">
        <v>54</v>
      </c>
      <c r="L320">
        <v>29</v>
      </c>
      <c r="M320">
        <v>22790308.108108107</v>
      </c>
      <c r="N320">
        <v>27857745.045045048</v>
      </c>
      <c r="O320">
        <v>48360876.126126125</v>
      </c>
      <c r="P320">
        <v>50256351.351351351</v>
      </c>
      <c r="Q320">
        <v>18093603.603603605</v>
      </c>
      <c r="R320">
        <v>19929639.639639638</v>
      </c>
      <c r="S320">
        <v>3114</v>
      </c>
      <c r="T320">
        <v>2878</v>
      </c>
    </row>
    <row r="321" spans="1:20" x14ac:dyDescent="0.35">
      <c r="A321" s="7" t="s">
        <v>417</v>
      </c>
      <c r="B321" s="12" t="s">
        <v>237</v>
      </c>
      <c r="C321">
        <v>942602842.58109891</v>
      </c>
      <c r="D321">
        <v>930798641.36183286</v>
      </c>
      <c r="E321">
        <v>200568068.46846849</v>
      </c>
      <c r="F321">
        <v>267594705.4054054</v>
      </c>
      <c r="G321">
        <v>359</v>
      </c>
      <c r="H321">
        <v>258</v>
      </c>
      <c r="I321">
        <v>8</v>
      </c>
      <c r="K321">
        <v>467</v>
      </c>
      <c r="L321">
        <v>382</v>
      </c>
      <c r="M321">
        <v>211538846.84684685</v>
      </c>
      <c r="N321">
        <v>175471678.37837836</v>
      </c>
      <c r="O321">
        <v>220466126.12612611</v>
      </c>
      <c r="P321">
        <v>235205277.47747746</v>
      </c>
      <c r="Q321">
        <v>180329369.36936939</v>
      </c>
      <c r="R321">
        <v>142524909.9099099</v>
      </c>
      <c r="S321">
        <v>12101</v>
      </c>
      <c r="T321">
        <v>10700</v>
      </c>
    </row>
    <row r="322" spans="1:20" x14ac:dyDescent="0.35">
      <c r="A322" s="7" t="s">
        <v>418</v>
      </c>
      <c r="B322" s="12" t="s">
        <v>118</v>
      </c>
      <c r="C322">
        <v>913622922.26250291</v>
      </c>
      <c r="D322">
        <v>918652220.59535491</v>
      </c>
      <c r="E322">
        <v>758971273.87387395</v>
      </c>
      <c r="F322">
        <v>789895756.75675678</v>
      </c>
      <c r="G322">
        <v>794</v>
      </c>
      <c r="H322">
        <v>814</v>
      </c>
      <c r="I322">
        <v>12</v>
      </c>
      <c r="K322">
        <v>1191</v>
      </c>
      <c r="L322">
        <v>1933</v>
      </c>
      <c r="M322">
        <v>521764720.72072071</v>
      </c>
      <c r="N322">
        <v>461471935.13513511</v>
      </c>
      <c r="O322">
        <v>416478939.63963962</v>
      </c>
      <c r="P322">
        <v>461260565.76576579</v>
      </c>
      <c r="Q322">
        <v>519552162.16216218</v>
      </c>
      <c r="R322">
        <v>251394189.1891892</v>
      </c>
      <c r="S322">
        <v>21055</v>
      </c>
      <c r="T322">
        <v>17810</v>
      </c>
    </row>
    <row r="323" spans="1:20" x14ac:dyDescent="0.35">
      <c r="A323" s="7" t="s">
        <v>419</v>
      </c>
      <c r="B323" s="12" t="s">
        <v>148</v>
      </c>
      <c r="C323">
        <v>22447090.735131927</v>
      </c>
      <c r="D323">
        <v>23402538.438120656</v>
      </c>
      <c r="G323">
        <v>3</v>
      </c>
      <c r="H323">
        <v>5</v>
      </c>
      <c r="K323">
        <v>3</v>
      </c>
      <c r="L323">
        <v>5</v>
      </c>
      <c r="O323">
        <v>7443549.5495495498</v>
      </c>
      <c r="P323">
        <v>7681873.8738738736</v>
      </c>
      <c r="S323">
        <v>581</v>
      </c>
      <c r="T323">
        <v>454</v>
      </c>
    </row>
    <row r="324" spans="1:20" x14ac:dyDescent="0.35">
      <c r="A324" s="7" t="s">
        <v>420</v>
      </c>
      <c r="B324" s="12" t="s">
        <v>305</v>
      </c>
      <c r="C324">
        <v>201731717.79755339</v>
      </c>
      <c r="D324">
        <v>185941435.65232775</v>
      </c>
      <c r="E324">
        <v>4852027.0270270268</v>
      </c>
      <c r="F324">
        <v>4848513.5135135148</v>
      </c>
      <c r="G324">
        <v>146</v>
      </c>
      <c r="H324">
        <v>87</v>
      </c>
      <c r="K324">
        <v>159</v>
      </c>
      <c r="L324">
        <v>110</v>
      </c>
      <c r="M324">
        <v>35667567.567567565</v>
      </c>
      <c r="N324">
        <v>43869369.369369365</v>
      </c>
      <c r="O324">
        <v>45048651.351351351</v>
      </c>
      <c r="P324">
        <v>42239657.657657653</v>
      </c>
      <c r="Q324">
        <v>34704504.504504502</v>
      </c>
      <c r="R324">
        <v>41624234.234234229</v>
      </c>
      <c r="S324">
        <v>4891</v>
      </c>
      <c r="T324">
        <v>2252</v>
      </c>
    </row>
    <row r="325" spans="1:20" x14ac:dyDescent="0.35">
      <c r="A325" s="7" t="s">
        <v>421</v>
      </c>
      <c r="B325" s="12" t="s">
        <v>305</v>
      </c>
      <c r="C325">
        <v>225530335.79917336</v>
      </c>
      <c r="D325">
        <v>221789687.84918094</v>
      </c>
      <c r="E325">
        <v>8223198.1981981955</v>
      </c>
      <c r="F325">
        <v>7189544.1441441532</v>
      </c>
      <c r="G325">
        <v>658</v>
      </c>
      <c r="H325">
        <v>362</v>
      </c>
      <c r="K325">
        <v>938</v>
      </c>
      <c r="L325">
        <v>688</v>
      </c>
      <c r="M325">
        <v>40183783.783783786</v>
      </c>
      <c r="N325">
        <v>47696517.117117122</v>
      </c>
      <c r="O325">
        <v>65642149.54954955</v>
      </c>
      <c r="P325">
        <v>69582706.306306303</v>
      </c>
      <c r="Q325">
        <v>35385358.558558561</v>
      </c>
      <c r="R325">
        <v>41752655.855855845</v>
      </c>
      <c r="S325">
        <v>9632</v>
      </c>
      <c r="T325">
        <v>2948</v>
      </c>
    </row>
    <row r="326" spans="1:20" x14ac:dyDescent="0.35">
      <c r="A326" s="7" t="s">
        <v>422</v>
      </c>
      <c r="B326" s="12" t="s">
        <v>122</v>
      </c>
      <c r="C326">
        <v>11253299.820320228</v>
      </c>
      <c r="D326">
        <v>10374261.128369333</v>
      </c>
      <c r="E326">
        <v>123648.648648649</v>
      </c>
      <c r="F326">
        <v>67567.567567567996</v>
      </c>
      <c r="G326">
        <v>5</v>
      </c>
      <c r="H326">
        <v>6</v>
      </c>
      <c r="K326">
        <v>5</v>
      </c>
      <c r="L326">
        <v>6</v>
      </c>
      <c r="M326">
        <v>127927.927927928</v>
      </c>
      <c r="N326">
        <v>247747.74774774801</v>
      </c>
      <c r="O326">
        <v>1307198.1981981981</v>
      </c>
      <c r="P326">
        <v>1028558.558558559</v>
      </c>
      <c r="Q326">
        <v>182432.43243243199</v>
      </c>
      <c r="R326">
        <v>262612.61261261202</v>
      </c>
      <c r="S326">
        <v>420</v>
      </c>
      <c r="T326">
        <v>295</v>
      </c>
    </row>
    <row r="327" spans="1:20" x14ac:dyDescent="0.35">
      <c r="A327" s="7" t="s">
        <v>423</v>
      </c>
      <c r="B327" s="12" t="s">
        <v>61</v>
      </c>
      <c r="C327">
        <v>119360552.71792929</v>
      </c>
      <c r="D327">
        <v>113555951.95575854</v>
      </c>
      <c r="E327">
        <v>1244144.144144146</v>
      </c>
      <c r="F327">
        <v>1354920.7207207209</v>
      </c>
      <c r="G327">
        <v>49</v>
      </c>
      <c r="H327">
        <v>42</v>
      </c>
      <c r="I327">
        <v>5</v>
      </c>
      <c r="K327">
        <v>60</v>
      </c>
      <c r="L327">
        <v>71</v>
      </c>
      <c r="M327">
        <v>27876576.576576576</v>
      </c>
      <c r="N327">
        <v>22626540.540540539</v>
      </c>
      <c r="O327">
        <v>42052702.702702701</v>
      </c>
      <c r="P327">
        <v>42883963.963963971</v>
      </c>
      <c r="Q327">
        <v>25705135.135135137</v>
      </c>
      <c r="R327">
        <v>25049279.27927928</v>
      </c>
      <c r="S327">
        <v>2647</v>
      </c>
      <c r="T327">
        <v>1958</v>
      </c>
    </row>
    <row r="328" spans="1:20" x14ac:dyDescent="0.35">
      <c r="A328" s="7" t="s">
        <v>424</v>
      </c>
      <c r="B328" s="12" t="s">
        <v>182</v>
      </c>
      <c r="C328">
        <v>1158260113.7909966</v>
      </c>
      <c r="D328">
        <v>1198005170.289752</v>
      </c>
      <c r="E328">
        <v>14366216.216216216</v>
      </c>
      <c r="F328">
        <v>15404436.036036048</v>
      </c>
      <c r="G328">
        <v>466</v>
      </c>
      <c r="H328">
        <v>453</v>
      </c>
      <c r="I328">
        <v>7</v>
      </c>
      <c r="K328">
        <v>653</v>
      </c>
      <c r="L328">
        <v>573</v>
      </c>
      <c r="M328">
        <v>196869729.72972974</v>
      </c>
      <c r="N328">
        <v>264139245.04504505</v>
      </c>
      <c r="O328">
        <v>331375365.76576579</v>
      </c>
      <c r="P328">
        <v>359070936.93693697</v>
      </c>
      <c r="Q328">
        <v>190664144.14414412</v>
      </c>
      <c r="R328">
        <v>261390945.94594595</v>
      </c>
      <c r="S328">
        <v>32346</v>
      </c>
      <c r="T328">
        <v>23012</v>
      </c>
    </row>
    <row r="329" spans="1:20" x14ac:dyDescent="0.35">
      <c r="A329" s="7" t="s">
        <v>425</v>
      </c>
      <c r="B329" s="12" t="s">
        <v>77</v>
      </c>
      <c r="C329">
        <v>39665115.654153466</v>
      </c>
      <c r="D329">
        <v>33885627.558007061</v>
      </c>
      <c r="E329">
        <v>109469099.0990991</v>
      </c>
      <c r="F329">
        <v>88982601.801801801</v>
      </c>
      <c r="G329">
        <v>8</v>
      </c>
      <c r="H329">
        <v>4</v>
      </c>
      <c r="K329">
        <v>9</v>
      </c>
      <c r="L329">
        <v>5</v>
      </c>
      <c r="M329">
        <v>3180180.1801801799</v>
      </c>
      <c r="N329">
        <v>5854279.2792792786</v>
      </c>
      <c r="O329">
        <v>3476279.2792792791</v>
      </c>
      <c r="P329">
        <v>5131873.8738738736</v>
      </c>
      <c r="Q329">
        <v>2996126.1261261269</v>
      </c>
      <c r="R329">
        <v>2921801.8018018021</v>
      </c>
      <c r="S329">
        <v>1024</v>
      </c>
      <c r="T329">
        <v>878</v>
      </c>
    </row>
    <row r="330" spans="1:20" x14ac:dyDescent="0.35">
      <c r="A330" s="7" t="s">
        <v>426</v>
      </c>
      <c r="B330" s="12" t="s">
        <v>77</v>
      </c>
      <c r="C330">
        <v>133792703.48220529</v>
      </c>
      <c r="D330">
        <v>137893301.5638499</v>
      </c>
      <c r="E330">
        <v>202702.70270270301</v>
      </c>
      <c r="F330">
        <v>1207975.6756756741</v>
      </c>
      <c r="G330">
        <v>31</v>
      </c>
      <c r="H330">
        <v>29</v>
      </c>
      <c r="K330">
        <v>35</v>
      </c>
      <c r="L330">
        <v>33</v>
      </c>
      <c r="M330">
        <v>15241171.171171172</v>
      </c>
      <c r="N330">
        <v>27186147.747747749</v>
      </c>
      <c r="O330">
        <v>29378576.576576576</v>
      </c>
      <c r="P330">
        <v>31365990.990990993</v>
      </c>
      <c r="Q330">
        <v>12786756.756756756</v>
      </c>
      <c r="R330">
        <v>20713963.963963967</v>
      </c>
      <c r="S330">
        <v>1589</v>
      </c>
      <c r="T330">
        <v>2399</v>
      </c>
    </row>
    <row r="331" spans="1:20" x14ac:dyDescent="0.35">
      <c r="A331" s="7" t="s">
        <v>427</v>
      </c>
      <c r="B331" s="12" t="s">
        <v>331</v>
      </c>
      <c r="C331">
        <v>699670419.86192811</v>
      </c>
      <c r="D331">
        <v>639653075.49004781</v>
      </c>
      <c r="E331">
        <v>7180855.8558558552</v>
      </c>
      <c r="F331">
        <v>3319369.3693693732</v>
      </c>
      <c r="G331">
        <v>268</v>
      </c>
      <c r="H331">
        <v>273</v>
      </c>
      <c r="K331">
        <v>303</v>
      </c>
      <c r="L331">
        <v>322</v>
      </c>
      <c r="M331">
        <v>48690990.990990989</v>
      </c>
      <c r="N331">
        <v>123048018.01801802</v>
      </c>
      <c r="O331">
        <v>174490650.9009009</v>
      </c>
      <c r="P331">
        <v>123101827.02702703</v>
      </c>
      <c r="Q331">
        <v>42952432.432432435</v>
      </c>
      <c r="R331">
        <v>122237477.47747748</v>
      </c>
      <c r="S331">
        <v>16735</v>
      </c>
      <c r="T331">
        <v>11802</v>
      </c>
    </row>
    <row r="332" spans="1:20" x14ac:dyDescent="0.35">
      <c r="A332" s="7" t="s">
        <v>428</v>
      </c>
      <c r="B332" s="12" t="s">
        <v>242</v>
      </c>
      <c r="C332">
        <v>179013255.18634301</v>
      </c>
      <c r="D332">
        <v>169518543.41185656</v>
      </c>
      <c r="E332">
        <v>389586309.009009</v>
      </c>
      <c r="F332">
        <v>214959316.21621624</v>
      </c>
      <c r="G332">
        <v>66</v>
      </c>
      <c r="H332">
        <v>56</v>
      </c>
      <c r="K332">
        <v>76</v>
      </c>
      <c r="L332">
        <v>64</v>
      </c>
      <c r="M332">
        <v>57931891.891891897</v>
      </c>
      <c r="N332">
        <v>44379871.171171166</v>
      </c>
      <c r="O332">
        <v>68650486.486486495</v>
      </c>
      <c r="P332">
        <v>68669891.891891897</v>
      </c>
      <c r="Q332">
        <v>43370810.810810819</v>
      </c>
      <c r="R332">
        <v>30580360.360360362</v>
      </c>
      <c r="S332">
        <v>5921</v>
      </c>
      <c r="T332">
        <v>5284</v>
      </c>
    </row>
    <row r="333" spans="1:20" x14ac:dyDescent="0.35">
      <c r="A333" s="7" t="s">
        <v>429</v>
      </c>
      <c r="B333" s="12" t="s">
        <v>284</v>
      </c>
      <c r="C333">
        <v>71297557.681406826</v>
      </c>
      <c r="D333">
        <v>93752156.375255764</v>
      </c>
      <c r="E333">
        <v>733333.33333333395</v>
      </c>
      <c r="F333">
        <v>2785135.1351351361</v>
      </c>
      <c r="G333">
        <v>35</v>
      </c>
      <c r="H333">
        <v>45</v>
      </c>
      <c r="K333">
        <v>53</v>
      </c>
      <c r="L333">
        <v>126</v>
      </c>
      <c r="M333">
        <v>29630990.990990993</v>
      </c>
      <c r="N333">
        <v>23556936.936936937</v>
      </c>
      <c r="O333">
        <v>13690072.072072072</v>
      </c>
      <c r="P333">
        <v>22232342.342342343</v>
      </c>
      <c r="Q333">
        <v>31621351.351351351</v>
      </c>
      <c r="R333">
        <v>20119279.27927928</v>
      </c>
      <c r="S333">
        <v>180</v>
      </c>
      <c r="T333">
        <v>1301</v>
      </c>
    </row>
    <row r="334" spans="1:20" x14ac:dyDescent="0.35">
      <c r="A334" s="7" t="s">
        <v>430</v>
      </c>
      <c r="B334" s="12" t="s">
        <v>284</v>
      </c>
      <c r="C334">
        <v>23858261.569973793</v>
      </c>
      <c r="D334">
        <v>22725524.547769099</v>
      </c>
      <c r="E334">
        <v>255855.85585585501</v>
      </c>
      <c r="F334">
        <v>531531.53153153195</v>
      </c>
      <c r="G334">
        <v>1</v>
      </c>
      <c r="H334">
        <v>1</v>
      </c>
      <c r="K334">
        <v>1</v>
      </c>
      <c r="L334">
        <v>2</v>
      </c>
      <c r="M334">
        <v>3138738.7387387389</v>
      </c>
      <c r="N334">
        <v>5198198.1981981983</v>
      </c>
      <c r="O334">
        <v>1739225.2252252251</v>
      </c>
      <c r="P334">
        <v>2341639.6396396402</v>
      </c>
      <c r="Q334">
        <v>3806576.576576577</v>
      </c>
      <c r="R334">
        <v>4744324.3243243238</v>
      </c>
      <c r="S334">
        <v>644</v>
      </c>
      <c r="T334">
        <v>441</v>
      </c>
    </row>
    <row r="335" spans="1:20" x14ac:dyDescent="0.35">
      <c r="A335" s="7" t="s">
        <v>431</v>
      </c>
      <c r="B335" s="12" t="s">
        <v>284</v>
      </c>
      <c r="C335">
        <v>51041104.430232346</v>
      </c>
      <c r="D335">
        <v>53165623.232274309</v>
      </c>
      <c r="E335">
        <v>265765.76576576597</v>
      </c>
      <c r="F335">
        <v>617117.11711711797</v>
      </c>
      <c r="G335">
        <v>5</v>
      </c>
      <c r="H335">
        <v>4</v>
      </c>
      <c r="K335">
        <v>5</v>
      </c>
      <c r="L335">
        <v>5</v>
      </c>
      <c r="M335">
        <v>355855.85585585597</v>
      </c>
      <c r="N335">
        <v>617117.11711711797</v>
      </c>
      <c r="O335">
        <v>4409234.2342342343</v>
      </c>
      <c r="P335">
        <v>4979045.0450450452</v>
      </c>
      <c r="Q335">
        <v>173423.423423423</v>
      </c>
      <c r="R335">
        <v>340720.720720721</v>
      </c>
      <c r="S335">
        <v>857</v>
      </c>
      <c r="T335">
        <v>784</v>
      </c>
    </row>
    <row r="336" spans="1:20" x14ac:dyDescent="0.35">
      <c r="A336" s="7" t="s">
        <v>432</v>
      </c>
      <c r="B336" s="12" t="s">
        <v>79</v>
      </c>
      <c r="C336">
        <v>305685645.99162</v>
      </c>
      <c r="D336">
        <v>303368524.24606055</v>
      </c>
      <c r="E336">
        <v>5355855.8558558589</v>
      </c>
      <c r="F336">
        <v>7514208.1081081098</v>
      </c>
      <c r="G336">
        <v>368</v>
      </c>
      <c r="H336">
        <v>115</v>
      </c>
      <c r="I336">
        <v>1</v>
      </c>
      <c r="K336">
        <v>468</v>
      </c>
      <c r="L336">
        <v>247</v>
      </c>
      <c r="M336">
        <v>31752252.252252251</v>
      </c>
      <c r="N336">
        <v>86306562.162162155</v>
      </c>
      <c r="O336">
        <v>134402333.33333331</v>
      </c>
      <c r="P336">
        <v>133209378.37837839</v>
      </c>
      <c r="Q336">
        <v>29836306.306306306</v>
      </c>
      <c r="R336">
        <v>80238918.918918908</v>
      </c>
      <c r="S336">
        <v>6773</v>
      </c>
      <c r="T336">
        <v>5748</v>
      </c>
    </row>
    <row r="337" spans="1:20" x14ac:dyDescent="0.35">
      <c r="A337" s="7" t="s">
        <v>433</v>
      </c>
      <c r="B337" s="12" t="s">
        <v>106</v>
      </c>
      <c r="C337">
        <v>266793408.06241325</v>
      </c>
      <c r="D337">
        <v>249098090.59749895</v>
      </c>
      <c r="E337">
        <v>51570270.270270273</v>
      </c>
      <c r="F337">
        <v>134260381.98198199</v>
      </c>
      <c r="G337">
        <v>32</v>
      </c>
      <c r="H337">
        <v>47</v>
      </c>
      <c r="I337">
        <v>2</v>
      </c>
      <c r="K337">
        <v>39</v>
      </c>
      <c r="L337">
        <v>52</v>
      </c>
      <c r="M337">
        <v>32224009.009009007</v>
      </c>
      <c r="N337">
        <v>42549880.180180177</v>
      </c>
      <c r="O337">
        <v>63764729.729729727</v>
      </c>
      <c r="P337">
        <v>67937252.252252251</v>
      </c>
      <c r="Q337">
        <v>33335090.090090089</v>
      </c>
      <c r="R337">
        <v>42187747.747747742</v>
      </c>
      <c r="S337">
        <v>3352</v>
      </c>
      <c r="T337">
        <v>3664</v>
      </c>
    </row>
    <row r="338" spans="1:20" x14ac:dyDescent="0.35">
      <c r="A338" s="7" t="s">
        <v>434</v>
      </c>
      <c r="B338" s="12" t="s">
        <v>73</v>
      </c>
      <c r="C338">
        <v>1439856886.3735197</v>
      </c>
      <c r="D338">
        <v>1413602135.0242901</v>
      </c>
      <c r="E338">
        <v>9149099.0990991127</v>
      </c>
      <c r="F338">
        <v>10148238.738738747</v>
      </c>
      <c r="G338">
        <v>429</v>
      </c>
      <c r="H338">
        <v>348</v>
      </c>
      <c r="I338">
        <v>4</v>
      </c>
      <c r="K338">
        <v>539</v>
      </c>
      <c r="L338">
        <v>421</v>
      </c>
      <c r="M338">
        <v>206302252.25225225</v>
      </c>
      <c r="N338">
        <v>238610637.83783782</v>
      </c>
      <c r="O338">
        <v>302045795.04504508</v>
      </c>
      <c r="P338">
        <v>324103324.32432437</v>
      </c>
      <c r="Q338">
        <v>159782972.97297296</v>
      </c>
      <c r="R338">
        <v>175246306.3063063</v>
      </c>
      <c r="S338">
        <v>18915</v>
      </c>
      <c r="T338">
        <v>18569</v>
      </c>
    </row>
    <row r="339" spans="1:20" x14ac:dyDescent="0.35">
      <c r="A339" s="7" t="s">
        <v>435</v>
      </c>
      <c r="B339" s="12" t="s">
        <v>73</v>
      </c>
      <c r="C339">
        <v>985081766.38105631</v>
      </c>
      <c r="D339">
        <v>1001076128.8310223</v>
      </c>
      <c r="E339">
        <v>5946171.1711711781</v>
      </c>
      <c r="F339">
        <v>8644795.4954955038</v>
      </c>
      <c r="G339">
        <v>239</v>
      </c>
      <c r="H339">
        <v>194</v>
      </c>
      <c r="I339">
        <v>2</v>
      </c>
      <c r="K339">
        <v>270</v>
      </c>
      <c r="L339">
        <v>225</v>
      </c>
      <c r="M339">
        <v>107809009.009009</v>
      </c>
      <c r="N339">
        <v>131222683.78378379</v>
      </c>
      <c r="O339">
        <v>185580036.03603604</v>
      </c>
      <c r="P339">
        <v>210977090.09009007</v>
      </c>
      <c r="Q339">
        <v>80379279.279279277</v>
      </c>
      <c r="R339">
        <v>88048828.828828827</v>
      </c>
      <c r="S339">
        <v>14463</v>
      </c>
      <c r="T339">
        <v>15709</v>
      </c>
    </row>
    <row r="340" spans="1:20" x14ac:dyDescent="0.35">
      <c r="A340" s="7" t="s">
        <v>436</v>
      </c>
      <c r="B340" s="12" t="s">
        <v>95</v>
      </c>
      <c r="C340">
        <v>69610221.766702726</v>
      </c>
      <c r="D340">
        <v>69634742.906371385</v>
      </c>
      <c r="E340">
        <v>13513.513513514001</v>
      </c>
      <c r="F340">
        <v>7198.1981981979998</v>
      </c>
      <c r="G340">
        <v>6</v>
      </c>
      <c r="H340">
        <v>7</v>
      </c>
      <c r="K340">
        <v>6</v>
      </c>
      <c r="L340">
        <v>9</v>
      </c>
      <c r="M340">
        <v>554054.05405405397</v>
      </c>
      <c r="N340">
        <v>638207.20720720699</v>
      </c>
      <c r="O340">
        <v>17169500</v>
      </c>
      <c r="P340">
        <v>18835549.549549554</v>
      </c>
      <c r="Q340">
        <v>511261.26126126101</v>
      </c>
      <c r="R340">
        <v>344594.59459459502</v>
      </c>
      <c r="S340">
        <v>929</v>
      </c>
      <c r="T340">
        <v>857</v>
      </c>
    </row>
    <row r="341" spans="1:20" x14ac:dyDescent="0.35">
      <c r="A341" s="7" t="s">
        <v>437</v>
      </c>
      <c r="B341" s="12" t="s">
        <v>90</v>
      </c>
      <c r="C341">
        <v>367547002.26963079</v>
      </c>
      <c r="D341">
        <v>381111413.00163835</v>
      </c>
      <c r="E341">
        <v>6059459.4594594641</v>
      </c>
      <c r="F341">
        <v>10355922.522522524</v>
      </c>
      <c r="G341">
        <v>103</v>
      </c>
      <c r="H341">
        <v>66</v>
      </c>
      <c r="I341">
        <v>1</v>
      </c>
      <c r="K341">
        <v>110</v>
      </c>
      <c r="L341">
        <v>79</v>
      </c>
      <c r="M341">
        <v>76699099.0990991</v>
      </c>
      <c r="N341">
        <v>62137714.414414406</v>
      </c>
      <c r="O341">
        <v>165643552.25225225</v>
      </c>
      <c r="P341">
        <v>174882252.25225225</v>
      </c>
      <c r="Q341">
        <v>76495135.135135129</v>
      </c>
      <c r="R341">
        <v>62985495.495495498</v>
      </c>
      <c r="S341">
        <v>5984</v>
      </c>
      <c r="T341">
        <v>5413</v>
      </c>
    </row>
    <row r="342" spans="1:20" x14ac:dyDescent="0.35">
      <c r="A342" s="7" t="s">
        <v>438</v>
      </c>
      <c r="B342" s="12" t="s">
        <v>71</v>
      </c>
      <c r="C342">
        <v>11603188.455515409</v>
      </c>
      <c r="D342">
        <v>10747598.617476717</v>
      </c>
      <c r="G342">
        <v>9</v>
      </c>
      <c r="H342">
        <v>5</v>
      </c>
      <c r="K342">
        <v>10</v>
      </c>
      <c r="L342">
        <v>5</v>
      </c>
      <c r="O342">
        <v>7832018.0180180185</v>
      </c>
      <c r="P342">
        <v>7017162.1621621624</v>
      </c>
      <c r="S342">
        <v>1969</v>
      </c>
      <c r="T342">
        <v>1133</v>
      </c>
    </row>
    <row r="343" spans="1:20" x14ac:dyDescent="0.35">
      <c r="A343" s="7" t="s">
        <v>439</v>
      </c>
      <c r="B343" s="12" t="s">
        <v>196</v>
      </c>
      <c r="C343">
        <v>1734795760.6696761</v>
      </c>
      <c r="D343">
        <v>1709061886.9766617</v>
      </c>
      <c r="E343">
        <v>186687772.97297296</v>
      </c>
      <c r="F343">
        <v>291879345.94594598</v>
      </c>
      <c r="G343">
        <v>462</v>
      </c>
      <c r="H343">
        <v>306</v>
      </c>
      <c r="K343">
        <v>580</v>
      </c>
      <c r="L343">
        <v>460</v>
      </c>
      <c r="M343">
        <v>196163603.6036036</v>
      </c>
      <c r="N343">
        <v>158392204.5045045</v>
      </c>
      <c r="O343">
        <v>296010378.37837839</v>
      </c>
      <c r="P343">
        <v>301795169.36936933</v>
      </c>
      <c r="Q343">
        <v>167381891.8918919</v>
      </c>
      <c r="R343">
        <v>133669099.0990991</v>
      </c>
      <c r="S343">
        <v>21358</v>
      </c>
      <c r="T343">
        <v>20426</v>
      </c>
    </row>
    <row r="344" spans="1:20" x14ac:dyDescent="0.35">
      <c r="A344" s="7" t="s">
        <v>440</v>
      </c>
      <c r="B344" s="12" t="s">
        <v>179</v>
      </c>
      <c r="C344">
        <v>864513954.55305195</v>
      </c>
      <c r="D344">
        <v>859095831.01138818</v>
      </c>
      <c r="E344">
        <v>9181981.9819819834</v>
      </c>
      <c r="F344">
        <v>12440928.828828834</v>
      </c>
      <c r="G344">
        <v>269</v>
      </c>
      <c r="H344">
        <v>125</v>
      </c>
      <c r="I344">
        <v>1</v>
      </c>
      <c r="K344">
        <v>489</v>
      </c>
      <c r="L344">
        <v>255</v>
      </c>
      <c r="M344">
        <v>161607512.61261261</v>
      </c>
      <c r="N344">
        <v>167718450.45045042</v>
      </c>
      <c r="O344">
        <v>349255761.26126122</v>
      </c>
      <c r="P344">
        <v>361843774.77477479</v>
      </c>
      <c r="Q344">
        <v>151614099.0990991</v>
      </c>
      <c r="R344">
        <v>151271621.62162164</v>
      </c>
      <c r="S344">
        <v>16030</v>
      </c>
      <c r="T344">
        <v>14283</v>
      </c>
    </row>
    <row r="345" spans="1:20" x14ac:dyDescent="0.35">
      <c r="A345" s="7" t="s">
        <v>441</v>
      </c>
      <c r="B345" s="12" t="s">
        <v>79</v>
      </c>
      <c r="C345">
        <v>370110291.64646596</v>
      </c>
      <c r="D345">
        <v>372585070.30511457</v>
      </c>
      <c r="E345">
        <v>5251126.1261261292</v>
      </c>
      <c r="F345">
        <v>8031051.3513513487</v>
      </c>
      <c r="G345">
        <v>91</v>
      </c>
      <c r="H345">
        <v>166</v>
      </c>
      <c r="I345">
        <v>5</v>
      </c>
      <c r="K345">
        <v>248</v>
      </c>
      <c r="L345">
        <v>237</v>
      </c>
      <c r="M345">
        <v>38680180.180180177</v>
      </c>
      <c r="N345">
        <v>54665853.153153151</v>
      </c>
      <c r="O345">
        <v>76862333.333333328</v>
      </c>
      <c r="P345">
        <v>83877963.963963971</v>
      </c>
      <c r="Q345">
        <v>37775495.495495498</v>
      </c>
      <c r="R345">
        <v>49853243.24324324</v>
      </c>
      <c r="S345">
        <v>5253</v>
      </c>
      <c r="T345">
        <v>5074</v>
      </c>
    </row>
    <row r="346" spans="1:20" x14ac:dyDescent="0.35">
      <c r="A346" s="7" t="s">
        <v>442</v>
      </c>
      <c r="B346" s="12" t="s">
        <v>79</v>
      </c>
      <c r="C346">
        <v>158459210.78333211</v>
      </c>
      <c r="D346">
        <v>163877256.45483145</v>
      </c>
      <c r="E346">
        <v>2990990.9909909908</v>
      </c>
      <c r="F346">
        <v>2426206.3063063081</v>
      </c>
      <c r="G346">
        <v>51</v>
      </c>
      <c r="H346">
        <v>35</v>
      </c>
      <c r="I346">
        <v>3</v>
      </c>
      <c r="K346">
        <v>57</v>
      </c>
      <c r="L346">
        <v>37</v>
      </c>
      <c r="M346">
        <v>73768198.198198199</v>
      </c>
      <c r="N346">
        <v>28181463.963963959</v>
      </c>
      <c r="O346">
        <v>34738891.891891889</v>
      </c>
      <c r="P346">
        <v>34825333.333333328</v>
      </c>
      <c r="Q346">
        <v>70863333.333333343</v>
      </c>
      <c r="R346">
        <v>25748468.468468465</v>
      </c>
      <c r="S346">
        <v>2642</v>
      </c>
      <c r="T346">
        <v>2201</v>
      </c>
    </row>
    <row r="347" spans="1:20" x14ac:dyDescent="0.35">
      <c r="A347" s="7" t="s">
        <v>443</v>
      </c>
      <c r="B347" s="12" t="s">
        <v>124</v>
      </c>
      <c r="C347">
        <v>2106589.1000782629</v>
      </c>
      <c r="D347">
        <v>1858428.3073655451</v>
      </c>
      <c r="G347">
        <v>3</v>
      </c>
      <c r="K347">
        <v>3</v>
      </c>
      <c r="O347">
        <v>896621.62162162201</v>
      </c>
      <c r="P347">
        <v>806207.20720720699</v>
      </c>
      <c r="S347">
        <v>401</v>
      </c>
      <c r="T347">
        <v>334</v>
      </c>
    </row>
    <row r="348" spans="1:20" x14ac:dyDescent="0.35">
      <c r="A348" s="7" t="s">
        <v>444</v>
      </c>
      <c r="B348" s="12" t="s">
        <v>141</v>
      </c>
      <c r="C348">
        <v>377269994.42035699</v>
      </c>
      <c r="D348">
        <v>381476767.18151015</v>
      </c>
      <c r="E348">
        <v>4017567.5675675692</v>
      </c>
      <c r="F348">
        <v>6374713.5135135157</v>
      </c>
      <c r="G348">
        <v>62</v>
      </c>
      <c r="H348">
        <v>97</v>
      </c>
      <c r="I348">
        <v>10</v>
      </c>
      <c r="K348">
        <v>111</v>
      </c>
      <c r="L348">
        <v>125</v>
      </c>
      <c r="M348">
        <v>46456216.216216214</v>
      </c>
      <c r="N348">
        <v>49677318.018018015</v>
      </c>
      <c r="O348">
        <v>99695459.459459454</v>
      </c>
      <c r="P348">
        <v>107958971.17117117</v>
      </c>
      <c r="Q348">
        <v>40935225.225225233</v>
      </c>
      <c r="R348">
        <v>42272702.702702701</v>
      </c>
      <c r="S348">
        <v>5936</v>
      </c>
      <c r="T348">
        <v>6298</v>
      </c>
    </row>
    <row r="349" spans="1:20" x14ac:dyDescent="0.35">
      <c r="A349" s="7" t="s">
        <v>445</v>
      </c>
      <c r="B349" s="12" t="s">
        <v>77</v>
      </c>
      <c r="C349">
        <v>42676724.338343352</v>
      </c>
      <c r="D349">
        <v>40162225.515074998</v>
      </c>
      <c r="E349">
        <v>317117.11711711698</v>
      </c>
      <c r="F349">
        <v>247638.73873874001</v>
      </c>
      <c r="G349">
        <v>7</v>
      </c>
      <c r="H349">
        <v>3</v>
      </c>
      <c r="K349">
        <v>8</v>
      </c>
      <c r="L349">
        <v>3</v>
      </c>
      <c r="M349">
        <v>5456756.7567567565</v>
      </c>
      <c r="N349">
        <v>10828381.981981982</v>
      </c>
      <c r="O349">
        <v>9739612.6126126125</v>
      </c>
      <c r="P349">
        <v>9706909.9099099096</v>
      </c>
      <c r="Q349">
        <v>5903063.0630630627</v>
      </c>
      <c r="R349">
        <v>8831351.3513513505</v>
      </c>
      <c r="S349">
        <v>1986</v>
      </c>
      <c r="T349">
        <v>584</v>
      </c>
    </row>
    <row r="350" spans="1:20" x14ac:dyDescent="0.35">
      <c r="A350" s="7" t="s">
        <v>446</v>
      </c>
      <c r="B350" s="12" t="s">
        <v>90</v>
      </c>
      <c r="C350">
        <v>1170695558.6296868</v>
      </c>
      <c r="D350">
        <v>1167046073.4291584</v>
      </c>
      <c r="E350">
        <v>561514312.61261261</v>
      </c>
      <c r="F350">
        <v>1353571470.2702701</v>
      </c>
      <c r="G350">
        <v>1217</v>
      </c>
      <c r="H350">
        <v>387</v>
      </c>
      <c r="I350">
        <v>9</v>
      </c>
      <c r="K350">
        <v>2063</v>
      </c>
      <c r="L350">
        <v>953</v>
      </c>
      <c r="M350">
        <v>351001711.71171176</v>
      </c>
      <c r="N350">
        <v>203393904.5045045</v>
      </c>
      <c r="O350">
        <v>385193133.33333331</v>
      </c>
      <c r="P350">
        <v>383082306.3063063</v>
      </c>
      <c r="Q350">
        <v>251012432.43243241</v>
      </c>
      <c r="R350">
        <v>203123423.42342341</v>
      </c>
      <c r="S350">
        <v>19422</v>
      </c>
      <c r="T350">
        <v>16545</v>
      </c>
    </row>
    <row r="351" spans="1:20" x14ac:dyDescent="0.35">
      <c r="A351" s="7" t="s">
        <v>447</v>
      </c>
      <c r="B351" s="12" t="s">
        <v>49</v>
      </c>
      <c r="C351">
        <v>115394126.24261138</v>
      </c>
      <c r="D351">
        <v>112421420.84448171</v>
      </c>
      <c r="E351">
        <v>2914414.4144144161</v>
      </c>
      <c r="F351">
        <v>1388381.0810810809</v>
      </c>
      <c r="G351">
        <v>17</v>
      </c>
      <c r="H351">
        <v>4</v>
      </c>
      <c r="K351">
        <v>19</v>
      </c>
      <c r="L351">
        <v>5</v>
      </c>
      <c r="M351">
        <v>29021801.801801801</v>
      </c>
      <c r="N351">
        <v>18366811.711711712</v>
      </c>
      <c r="O351">
        <v>39206558.558558561</v>
      </c>
      <c r="P351">
        <v>41502045.045045048</v>
      </c>
      <c r="Q351">
        <v>29262432.432432432</v>
      </c>
      <c r="R351">
        <v>18817927.927927926</v>
      </c>
      <c r="S351">
        <v>1139</v>
      </c>
      <c r="T351">
        <v>2297</v>
      </c>
    </row>
    <row r="352" spans="1:20" x14ac:dyDescent="0.35">
      <c r="A352" s="7" t="s">
        <v>448</v>
      </c>
      <c r="B352" s="12" t="s">
        <v>449</v>
      </c>
      <c r="C352">
        <v>232950060.85854161</v>
      </c>
      <c r="D352">
        <v>240322592.49645886</v>
      </c>
      <c r="E352">
        <v>4823423.4234234206</v>
      </c>
      <c r="F352">
        <v>9015765.7657657675</v>
      </c>
      <c r="G352">
        <v>193</v>
      </c>
      <c r="H352">
        <v>425</v>
      </c>
      <c r="K352">
        <v>219</v>
      </c>
      <c r="L352">
        <v>452</v>
      </c>
      <c r="M352">
        <v>29569189.189189192</v>
      </c>
      <c r="N352">
        <v>129594144.14414415</v>
      </c>
      <c r="O352">
        <v>93179459.459459454</v>
      </c>
      <c r="P352">
        <v>99761009.009009004</v>
      </c>
      <c r="Q352">
        <v>29083513.513513517</v>
      </c>
      <c r="R352">
        <v>127891171.17117117</v>
      </c>
      <c r="S352">
        <v>10850</v>
      </c>
      <c r="T352">
        <v>5628</v>
      </c>
    </row>
    <row r="353" spans="1:20" x14ac:dyDescent="0.35">
      <c r="A353" s="7" t="s">
        <v>450</v>
      </c>
      <c r="B353" s="12" t="s">
        <v>77</v>
      </c>
      <c r="C353">
        <v>56462742.883147009</v>
      </c>
      <c r="D353">
        <v>59822326.994434334</v>
      </c>
      <c r="E353">
        <v>629729.72972973296</v>
      </c>
      <c r="F353">
        <v>612453.15315315395</v>
      </c>
      <c r="G353">
        <v>31</v>
      </c>
      <c r="H353">
        <v>26</v>
      </c>
      <c r="I353">
        <v>1</v>
      </c>
      <c r="K353">
        <v>33</v>
      </c>
      <c r="L353">
        <v>31</v>
      </c>
      <c r="M353">
        <v>18471441.441441443</v>
      </c>
      <c r="N353">
        <v>17610784.684684683</v>
      </c>
      <c r="O353">
        <v>20133241.441441439</v>
      </c>
      <c r="P353">
        <v>20858369.369369369</v>
      </c>
      <c r="Q353">
        <v>15933873.873873875</v>
      </c>
      <c r="R353">
        <v>14095675.675675675</v>
      </c>
      <c r="S353">
        <v>1948</v>
      </c>
      <c r="T353">
        <v>1857</v>
      </c>
    </row>
    <row r="354" spans="1:20" x14ac:dyDescent="0.35">
      <c r="A354" s="7" t="s">
        <v>451</v>
      </c>
      <c r="B354" s="12" t="s">
        <v>84</v>
      </c>
      <c r="C354">
        <v>2068020313.6953447</v>
      </c>
      <c r="D354">
        <v>2127467698.23435</v>
      </c>
      <c r="E354">
        <v>839659900.90090084</v>
      </c>
      <c r="F354">
        <v>898425632.43243241</v>
      </c>
      <c r="G354">
        <v>892</v>
      </c>
      <c r="H354">
        <v>435</v>
      </c>
      <c r="I354">
        <v>4</v>
      </c>
      <c r="K354">
        <v>1017</v>
      </c>
      <c r="L354">
        <v>747</v>
      </c>
      <c r="M354">
        <v>311733873.87387383</v>
      </c>
      <c r="N354">
        <v>338211392.7927928</v>
      </c>
      <c r="O354">
        <v>437049524.77477479</v>
      </c>
      <c r="P354">
        <v>487705025.22522521</v>
      </c>
      <c r="Q354">
        <v>294889144.14414412</v>
      </c>
      <c r="R354">
        <v>298169414.41441441</v>
      </c>
      <c r="S354">
        <v>35747</v>
      </c>
      <c r="T354">
        <v>31576</v>
      </c>
    </row>
    <row r="355" spans="1:20" x14ac:dyDescent="0.35">
      <c r="A355" s="7" t="s">
        <v>452</v>
      </c>
      <c r="B355" s="12" t="s">
        <v>71</v>
      </c>
      <c r="C355">
        <v>140845474.02282894</v>
      </c>
      <c r="D355">
        <v>130280426.33525397</v>
      </c>
      <c r="E355">
        <v>744144.14414414496</v>
      </c>
      <c r="F355">
        <v>2180524.3243243238</v>
      </c>
      <c r="G355">
        <v>32</v>
      </c>
      <c r="H355">
        <v>13</v>
      </c>
      <c r="K355">
        <v>34</v>
      </c>
      <c r="L355">
        <v>18</v>
      </c>
      <c r="M355">
        <v>4583783.7837837823</v>
      </c>
      <c r="N355">
        <v>192650006.3063063</v>
      </c>
      <c r="O355">
        <v>85824990.990990996</v>
      </c>
      <c r="P355">
        <v>75584729.729729727</v>
      </c>
      <c r="Q355">
        <v>3807927.9279279262</v>
      </c>
      <c r="R355">
        <v>190317387.38738739</v>
      </c>
      <c r="S355">
        <v>3005</v>
      </c>
      <c r="T355">
        <v>2745</v>
      </c>
    </row>
    <row r="356" spans="1:20" x14ac:dyDescent="0.35">
      <c r="A356" s="7" t="s">
        <v>453</v>
      </c>
      <c r="B356" s="12" t="s">
        <v>168</v>
      </c>
      <c r="C356">
        <v>164586605.13232014</v>
      </c>
      <c r="D356">
        <v>166205227.63393396</v>
      </c>
      <c r="E356">
        <v>3272072.072072071</v>
      </c>
      <c r="F356">
        <v>4096007.2072072071</v>
      </c>
      <c r="G356">
        <v>6</v>
      </c>
      <c r="H356">
        <v>26</v>
      </c>
      <c r="K356">
        <v>6</v>
      </c>
      <c r="L356">
        <v>30</v>
      </c>
      <c r="M356">
        <v>9168018.0180180203</v>
      </c>
      <c r="N356">
        <v>13909974.774774771</v>
      </c>
      <c r="O356">
        <v>31431765.765765764</v>
      </c>
      <c r="P356">
        <v>39739306.306306303</v>
      </c>
      <c r="Q356">
        <v>8440180.1801801808</v>
      </c>
      <c r="R356">
        <v>9382342.3423423395</v>
      </c>
      <c r="S356">
        <v>3020</v>
      </c>
      <c r="T356">
        <v>2793</v>
      </c>
    </row>
    <row r="357" spans="1:20" x14ac:dyDescent="0.35">
      <c r="A357" s="7" t="s">
        <v>454</v>
      </c>
      <c r="B357" s="12" t="s">
        <v>122</v>
      </c>
      <c r="C357">
        <v>6523606.8513578475</v>
      </c>
      <c r="D357">
        <v>7682371.1806022692</v>
      </c>
      <c r="E357">
        <v>34234.234234233998</v>
      </c>
      <c r="F357">
        <v>9009.0090090100002</v>
      </c>
      <c r="G357">
        <v>2</v>
      </c>
      <c r="K357">
        <v>2</v>
      </c>
      <c r="L357">
        <v>1</v>
      </c>
      <c r="M357">
        <v>36036.036036035999</v>
      </c>
      <c r="N357">
        <v>99099.0990991</v>
      </c>
      <c r="O357">
        <v>684369.369369369</v>
      </c>
      <c r="P357">
        <v>663324.32432432403</v>
      </c>
      <c r="R357">
        <v>90090.090090090001</v>
      </c>
      <c r="S357">
        <v>134</v>
      </c>
      <c r="T357">
        <v>197</v>
      </c>
    </row>
    <row r="358" spans="1:20" x14ac:dyDescent="0.35">
      <c r="A358" s="7" t="s">
        <v>455</v>
      </c>
      <c r="B358" s="12" t="s">
        <v>225</v>
      </c>
      <c r="C358">
        <v>55884084.9989288</v>
      </c>
      <c r="D358">
        <v>57220002.178292342</v>
      </c>
      <c r="E358">
        <v>900.900900901</v>
      </c>
      <c r="F358">
        <v>13513.513513514001</v>
      </c>
      <c r="G358">
        <v>2</v>
      </c>
      <c r="H358">
        <v>1</v>
      </c>
      <c r="K358">
        <v>3</v>
      </c>
      <c r="L358">
        <v>1</v>
      </c>
      <c r="M358">
        <v>271171.17117117101</v>
      </c>
      <c r="N358">
        <v>914414.41441441397</v>
      </c>
      <c r="O358">
        <v>10626522.522522524</v>
      </c>
      <c r="P358">
        <v>15090927.927927928</v>
      </c>
      <c r="Q358">
        <v>278198.19819819799</v>
      </c>
      <c r="R358">
        <v>258738.73873873899</v>
      </c>
      <c r="S358">
        <v>1356</v>
      </c>
      <c r="T358">
        <v>1199</v>
      </c>
    </row>
    <row r="359" spans="1:20" x14ac:dyDescent="0.35">
      <c r="A359" s="7" t="s">
        <v>456</v>
      </c>
      <c r="B359" s="12" t="s">
        <v>95</v>
      </c>
      <c r="C359">
        <v>82011135.99701941</v>
      </c>
      <c r="D359">
        <v>101702246.29193003</v>
      </c>
      <c r="E359">
        <v>720720.72072072199</v>
      </c>
      <c r="F359">
        <v>2704167.5675675669</v>
      </c>
      <c r="G359">
        <v>25</v>
      </c>
      <c r="H359">
        <v>40</v>
      </c>
      <c r="K359">
        <v>26</v>
      </c>
      <c r="L359">
        <v>44</v>
      </c>
      <c r="M359">
        <v>30984234.234234236</v>
      </c>
      <c r="N359">
        <v>22111072.97297297</v>
      </c>
      <c r="O359">
        <v>18711355.855855856</v>
      </c>
      <c r="P359">
        <v>25839022.522522524</v>
      </c>
      <c r="Q359">
        <v>30047477.47747748</v>
      </c>
      <c r="R359">
        <v>18123693.693693694</v>
      </c>
      <c r="S359">
        <v>2081</v>
      </c>
      <c r="T359">
        <v>2221</v>
      </c>
    </row>
    <row r="360" spans="1:20" x14ac:dyDescent="0.35">
      <c r="A360" s="7" t="s">
        <v>674</v>
      </c>
      <c r="B360" s="12" t="s">
        <v>190</v>
      </c>
      <c r="E360">
        <v>49216482.882882878</v>
      </c>
      <c r="F360">
        <v>56046686.486486487</v>
      </c>
      <c r="M360">
        <v>16296617.117117118</v>
      </c>
      <c r="N360">
        <v>10459459.459459459</v>
      </c>
    </row>
    <row r="361" spans="1:20" x14ac:dyDescent="0.35">
      <c r="A361" s="7" t="s">
        <v>457</v>
      </c>
      <c r="B361" s="12" t="s">
        <v>61</v>
      </c>
      <c r="C361">
        <v>12321362.305072971</v>
      </c>
      <c r="D361">
        <v>14245974.141947201</v>
      </c>
      <c r="E361">
        <v>216216.21621621601</v>
      </c>
      <c r="F361">
        <v>46846.846846847002</v>
      </c>
      <c r="G361">
        <v>8</v>
      </c>
      <c r="H361">
        <v>4</v>
      </c>
      <c r="K361">
        <v>8</v>
      </c>
      <c r="L361">
        <v>5</v>
      </c>
      <c r="M361">
        <v>1252252.2522522521</v>
      </c>
      <c r="N361">
        <v>947747.74774774804</v>
      </c>
      <c r="O361">
        <v>5778054.0540540526</v>
      </c>
      <c r="P361">
        <v>7229837.8378378367</v>
      </c>
      <c r="Q361">
        <v>753063.06306306296</v>
      </c>
      <c r="R361">
        <v>979189.189189189</v>
      </c>
      <c r="S361">
        <v>613</v>
      </c>
      <c r="T361">
        <v>607</v>
      </c>
    </row>
    <row r="362" spans="1:20" x14ac:dyDescent="0.35">
      <c r="A362" s="7" t="s">
        <v>458</v>
      </c>
      <c r="B362" s="12" t="s">
        <v>215</v>
      </c>
      <c r="C362">
        <v>225242672.23478892</v>
      </c>
      <c r="D362">
        <v>219924929.30990922</v>
      </c>
      <c r="E362">
        <v>473873.87387387402</v>
      </c>
      <c r="F362">
        <v>454954.95495495503</v>
      </c>
      <c r="G362">
        <v>45</v>
      </c>
      <c r="H362">
        <v>12</v>
      </c>
      <c r="K362">
        <v>47</v>
      </c>
      <c r="L362">
        <v>15</v>
      </c>
      <c r="M362">
        <v>1014414.414414414</v>
      </c>
      <c r="N362">
        <v>1265765.765765765</v>
      </c>
      <c r="O362">
        <v>116016900.9009009</v>
      </c>
      <c r="P362">
        <v>115845144.14414415</v>
      </c>
      <c r="Q362">
        <v>1821171.1711711709</v>
      </c>
      <c r="R362">
        <v>508738.73873873899</v>
      </c>
      <c r="S362">
        <v>3227</v>
      </c>
      <c r="T362">
        <v>2965</v>
      </c>
    </row>
    <row r="363" spans="1:20" x14ac:dyDescent="0.35">
      <c r="A363" s="7" t="s">
        <v>459</v>
      </c>
      <c r="B363" s="12" t="s">
        <v>460</v>
      </c>
      <c r="C363">
        <v>896919541.52416813</v>
      </c>
      <c r="D363">
        <v>921153211.11962759</v>
      </c>
      <c r="E363">
        <v>23216441.441441458</v>
      </c>
      <c r="F363">
        <v>31717195.495495506</v>
      </c>
      <c r="G363">
        <v>693</v>
      </c>
      <c r="H363">
        <v>434</v>
      </c>
      <c r="I363">
        <v>2</v>
      </c>
      <c r="K363">
        <v>856</v>
      </c>
      <c r="L363">
        <v>595</v>
      </c>
      <c r="M363">
        <v>287572117.11711711</v>
      </c>
      <c r="N363">
        <v>403484174.77477479</v>
      </c>
      <c r="O363">
        <v>316670380.63063067</v>
      </c>
      <c r="P363">
        <v>346904663.06306303</v>
      </c>
      <c r="Q363">
        <v>241785630.63063061</v>
      </c>
      <c r="R363">
        <v>346173783.78378379</v>
      </c>
      <c r="S363">
        <v>45243</v>
      </c>
      <c r="T363">
        <v>25832</v>
      </c>
    </row>
    <row r="364" spans="1:20" x14ac:dyDescent="0.35">
      <c r="A364" s="7" t="s">
        <v>461</v>
      </c>
      <c r="B364" s="12" t="s">
        <v>460</v>
      </c>
      <c r="C364">
        <v>3222264414.2383251</v>
      </c>
      <c r="D364">
        <v>3081457886.8506598</v>
      </c>
      <c r="E364">
        <v>20761261.261261273</v>
      </c>
      <c r="F364">
        <v>25671263.06306307</v>
      </c>
      <c r="G364">
        <v>914</v>
      </c>
      <c r="H364">
        <v>743</v>
      </c>
      <c r="I364">
        <v>6</v>
      </c>
      <c r="K364">
        <v>1069</v>
      </c>
      <c r="L364">
        <v>945</v>
      </c>
      <c r="M364">
        <v>156215675.67567569</v>
      </c>
      <c r="N364">
        <v>387327272.07207209</v>
      </c>
      <c r="O364">
        <v>2134456779.7297299</v>
      </c>
      <c r="P364">
        <v>2000127477.4774773</v>
      </c>
      <c r="Q364">
        <v>145093693.6936937</v>
      </c>
      <c r="R364">
        <v>336398783.78378373</v>
      </c>
      <c r="S364">
        <v>57840</v>
      </c>
      <c r="T364">
        <v>30672</v>
      </c>
    </row>
    <row r="365" spans="1:20" x14ac:dyDescent="0.35">
      <c r="A365" s="7" t="s">
        <v>462</v>
      </c>
      <c r="B365" s="12" t="s">
        <v>460</v>
      </c>
      <c r="C365">
        <v>1399721678.4520619</v>
      </c>
      <c r="D365">
        <v>1399033954.9966137</v>
      </c>
      <c r="E365">
        <v>31923811.711711723</v>
      </c>
      <c r="F365">
        <v>45764021.621621624</v>
      </c>
      <c r="G365">
        <v>1010</v>
      </c>
      <c r="H365">
        <v>605</v>
      </c>
      <c r="I365">
        <v>6</v>
      </c>
      <c r="K365">
        <v>1185</v>
      </c>
      <c r="L365">
        <v>802</v>
      </c>
      <c r="M365">
        <v>1547789812.6126127</v>
      </c>
      <c r="N365">
        <v>1149430082.8828828</v>
      </c>
      <c r="O365">
        <v>384891175.67567563</v>
      </c>
      <c r="P365">
        <v>419438709.9099099</v>
      </c>
      <c r="Q365">
        <v>1545416711.7117116</v>
      </c>
      <c r="R365">
        <v>1083730720.7207208</v>
      </c>
      <c r="S365">
        <v>46047</v>
      </c>
      <c r="T365">
        <v>23950</v>
      </c>
    </row>
    <row r="366" spans="1:20" x14ac:dyDescent="0.35">
      <c r="A366" s="7" t="s">
        <v>463</v>
      </c>
      <c r="B366" s="12" t="s">
        <v>460</v>
      </c>
      <c r="C366">
        <v>1023000899.299767</v>
      </c>
      <c r="D366">
        <v>929739757.59813476</v>
      </c>
      <c r="E366">
        <v>482816846.84684682</v>
      </c>
      <c r="F366">
        <v>852560328.82882881</v>
      </c>
      <c r="G366">
        <v>424</v>
      </c>
      <c r="H366">
        <v>216</v>
      </c>
      <c r="I366">
        <v>5</v>
      </c>
      <c r="K366">
        <v>484</v>
      </c>
      <c r="L366">
        <v>261</v>
      </c>
      <c r="M366">
        <v>169508018.01801801</v>
      </c>
      <c r="N366">
        <v>280933758.55855858</v>
      </c>
      <c r="O366">
        <v>230614513.51351351</v>
      </c>
      <c r="P366">
        <v>236433754.95495495</v>
      </c>
      <c r="Q366">
        <v>113014234.23423424</v>
      </c>
      <c r="R366">
        <v>206695495.4954955</v>
      </c>
      <c r="S366">
        <v>31306</v>
      </c>
      <c r="T366">
        <v>18155</v>
      </c>
    </row>
    <row r="367" spans="1:20" x14ac:dyDescent="0.35">
      <c r="A367" s="7" t="s">
        <v>464</v>
      </c>
      <c r="B367" s="12" t="s">
        <v>460</v>
      </c>
      <c r="C367">
        <v>981900370.55500877</v>
      </c>
      <c r="D367">
        <v>1018325856.4284421</v>
      </c>
      <c r="E367">
        <v>18293918.918918926</v>
      </c>
      <c r="F367">
        <v>19353870.270270273</v>
      </c>
      <c r="G367">
        <v>2099</v>
      </c>
      <c r="H367">
        <v>848</v>
      </c>
      <c r="I367">
        <v>1</v>
      </c>
      <c r="K367">
        <v>2304</v>
      </c>
      <c r="L367">
        <v>1422</v>
      </c>
      <c r="M367">
        <v>201093333.33333334</v>
      </c>
      <c r="N367">
        <v>605696112.61261261</v>
      </c>
      <c r="O367">
        <v>397306051.8018018</v>
      </c>
      <c r="P367">
        <v>416133225.22522521</v>
      </c>
      <c r="Q367">
        <v>196103513.51351351</v>
      </c>
      <c r="R367">
        <v>463851216.21621621</v>
      </c>
      <c r="S367">
        <v>42017</v>
      </c>
      <c r="T367">
        <v>26602</v>
      </c>
    </row>
    <row r="368" spans="1:20" x14ac:dyDescent="0.35">
      <c r="A368" s="7" t="s">
        <v>465</v>
      </c>
      <c r="B368" s="12" t="s">
        <v>460</v>
      </c>
      <c r="C368">
        <v>1133984286.030273</v>
      </c>
      <c r="D368">
        <v>1119946194.6506999</v>
      </c>
      <c r="E368">
        <v>2279513589.189189</v>
      </c>
      <c r="F368">
        <v>2074521709.0090089</v>
      </c>
      <c r="G368">
        <v>597</v>
      </c>
      <c r="H368">
        <v>336</v>
      </c>
      <c r="I368">
        <v>4</v>
      </c>
      <c r="K368">
        <v>661</v>
      </c>
      <c r="L368">
        <v>425</v>
      </c>
      <c r="M368">
        <v>171659530.63063061</v>
      </c>
      <c r="N368">
        <v>333358765.76576579</v>
      </c>
      <c r="O368">
        <v>490408878.82882881</v>
      </c>
      <c r="P368">
        <v>507889981.98198193</v>
      </c>
      <c r="Q368">
        <v>168450720.72072071</v>
      </c>
      <c r="R368">
        <v>335465000</v>
      </c>
      <c r="S368">
        <v>50781</v>
      </c>
      <c r="T368">
        <v>29216</v>
      </c>
    </row>
    <row r="369" spans="1:20" x14ac:dyDescent="0.35">
      <c r="A369" s="7" t="s">
        <v>466</v>
      </c>
      <c r="B369" s="12" t="s">
        <v>55</v>
      </c>
      <c r="C369">
        <v>76474524.224331498</v>
      </c>
      <c r="D369">
        <v>74779217.659325212</v>
      </c>
      <c r="E369">
        <v>973873.87387387303</v>
      </c>
      <c r="F369">
        <v>725470.27027027204</v>
      </c>
      <c r="G369">
        <v>26</v>
      </c>
      <c r="H369">
        <v>17</v>
      </c>
      <c r="K369">
        <v>36</v>
      </c>
      <c r="L369">
        <v>55</v>
      </c>
      <c r="M369">
        <v>7941261.261261262</v>
      </c>
      <c r="N369">
        <v>7922069.369369369</v>
      </c>
      <c r="O369">
        <v>15718864.864864863</v>
      </c>
      <c r="P369">
        <v>16002297.297297295</v>
      </c>
      <c r="Q369">
        <v>7341261.2612612592</v>
      </c>
      <c r="R369">
        <v>7497207.2072072066</v>
      </c>
      <c r="S369">
        <v>1392</v>
      </c>
      <c r="T369">
        <v>1231</v>
      </c>
    </row>
    <row r="370" spans="1:20" x14ac:dyDescent="0.35">
      <c r="A370" s="7" t="s">
        <v>467</v>
      </c>
      <c r="B370" s="12" t="s">
        <v>88</v>
      </c>
      <c r="C370">
        <v>2807745.0187496282</v>
      </c>
      <c r="D370">
        <v>3176681.5916110389</v>
      </c>
      <c r="H370">
        <v>1</v>
      </c>
      <c r="L370">
        <v>1</v>
      </c>
      <c r="O370">
        <v>569819.81981982</v>
      </c>
      <c r="P370">
        <v>1172072.072072072</v>
      </c>
      <c r="S370">
        <v>100</v>
      </c>
      <c r="T370">
        <v>86</v>
      </c>
    </row>
    <row r="371" spans="1:20" x14ac:dyDescent="0.35">
      <c r="A371" s="7" t="s">
        <v>468</v>
      </c>
      <c r="B371" s="12" t="s">
        <v>144</v>
      </c>
      <c r="C371">
        <v>355453374.92218292</v>
      </c>
      <c r="D371">
        <v>383241941.17798662</v>
      </c>
      <c r="E371">
        <v>317117.11711711797</v>
      </c>
      <c r="F371">
        <v>887181.081081082</v>
      </c>
      <c r="G371">
        <v>75</v>
      </c>
      <c r="H371">
        <v>21</v>
      </c>
      <c r="K371">
        <v>83</v>
      </c>
      <c r="L371">
        <v>22</v>
      </c>
      <c r="M371">
        <v>20028828.828828827</v>
      </c>
      <c r="N371">
        <v>19517800.9009009</v>
      </c>
      <c r="O371">
        <v>55196473.873873875</v>
      </c>
      <c r="P371">
        <v>69882736.93693693</v>
      </c>
      <c r="Q371">
        <v>16193513.513513513</v>
      </c>
      <c r="R371">
        <v>17695899.0990991</v>
      </c>
      <c r="S371">
        <v>5342</v>
      </c>
      <c r="T371">
        <v>5717</v>
      </c>
    </row>
    <row r="372" spans="1:20" x14ac:dyDescent="0.35">
      <c r="A372" s="7" t="s">
        <v>469</v>
      </c>
      <c r="B372" s="12" t="s">
        <v>81</v>
      </c>
      <c r="C372">
        <v>304697847.66060323</v>
      </c>
      <c r="D372">
        <v>292704250.71155101</v>
      </c>
      <c r="E372">
        <v>877027.02702703001</v>
      </c>
      <c r="F372">
        <v>1152252.2522522551</v>
      </c>
      <c r="G372">
        <v>45</v>
      </c>
      <c r="H372">
        <v>34</v>
      </c>
      <c r="K372">
        <v>50</v>
      </c>
      <c r="L372">
        <v>38</v>
      </c>
      <c r="M372">
        <v>9968018.0180180185</v>
      </c>
      <c r="N372">
        <v>10242342.342342343</v>
      </c>
      <c r="O372">
        <v>115129097.2972973</v>
      </c>
      <c r="P372">
        <v>112799181.98198198</v>
      </c>
      <c r="Q372">
        <v>8266396.3963963976</v>
      </c>
      <c r="R372">
        <v>7580360.3603603598</v>
      </c>
      <c r="S372">
        <v>5282</v>
      </c>
      <c r="T372">
        <v>5808</v>
      </c>
    </row>
    <row r="373" spans="1:20" x14ac:dyDescent="0.35">
      <c r="A373" s="7" t="s">
        <v>470</v>
      </c>
      <c r="B373" s="12" t="s">
        <v>471</v>
      </c>
      <c r="C373">
        <v>367895191.76538932</v>
      </c>
      <c r="D373">
        <v>360353528.46047264</v>
      </c>
      <c r="E373">
        <v>3722522.5225225231</v>
      </c>
      <c r="F373">
        <v>4494011.711711714</v>
      </c>
      <c r="G373">
        <v>50</v>
      </c>
      <c r="H373">
        <v>31</v>
      </c>
      <c r="K373">
        <v>51</v>
      </c>
      <c r="L373">
        <v>61</v>
      </c>
      <c r="M373">
        <v>29361711.711711712</v>
      </c>
      <c r="N373">
        <v>22677432.432432435</v>
      </c>
      <c r="O373">
        <v>117234836.03603603</v>
      </c>
      <c r="P373">
        <v>122582185.58558558</v>
      </c>
      <c r="Q373">
        <v>29860223.423423424</v>
      </c>
      <c r="R373">
        <v>38704126.126126125</v>
      </c>
      <c r="S373">
        <v>5547</v>
      </c>
      <c r="T373">
        <v>5517</v>
      </c>
    </row>
    <row r="374" spans="1:20" x14ac:dyDescent="0.35">
      <c r="A374" s="7" t="s">
        <v>472</v>
      </c>
      <c r="B374" s="12" t="s">
        <v>471</v>
      </c>
      <c r="C374">
        <v>30631598.332488667</v>
      </c>
      <c r="D374">
        <v>31829816.888997842</v>
      </c>
      <c r="E374">
        <v>220720.720720721</v>
      </c>
      <c r="F374">
        <v>181981.98198198201</v>
      </c>
      <c r="G374">
        <v>3</v>
      </c>
      <c r="H374">
        <v>1</v>
      </c>
      <c r="K374">
        <v>4</v>
      </c>
      <c r="L374">
        <v>1</v>
      </c>
      <c r="M374">
        <v>3049549.5495495489</v>
      </c>
      <c r="N374">
        <v>452252.25225225202</v>
      </c>
      <c r="O374">
        <v>2592702.702702703</v>
      </c>
      <c r="P374">
        <v>3755432.4324324322</v>
      </c>
      <c r="Q374">
        <v>3069909.9099099091</v>
      </c>
      <c r="R374">
        <v>835135.13513513503</v>
      </c>
      <c r="S374">
        <v>634</v>
      </c>
      <c r="T374">
        <v>669</v>
      </c>
    </row>
    <row r="375" spans="1:20" x14ac:dyDescent="0.35">
      <c r="A375" s="7" t="s">
        <v>473</v>
      </c>
      <c r="B375" s="12" t="s">
        <v>471</v>
      </c>
      <c r="C375">
        <v>3767701.506549472</v>
      </c>
      <c r="D375">
        <v>3853992.480005695</v>
      </c>
      <c r="E375">
        <v>254495325.22522521</v>
      </c>
      <c r="F375">
        <v>164979366.66666666</v>
      </c>
      <c r="G375">
        <v>1</v>
      </c>
      <c r="K375">
        <v>1</v>
      </c>
      <c r="M375">
        <v>26569965.765765768</v>
      </c>
      <c r="N375">
        <v>17642791.891891893</v>
      </c>
      <c r="O375">
        <v>870135.13513513503</v>
      </c>
      <c r="P375">
        <v>926081.08108108095</v>
      </c>
      <c r="Q375">
        <v>2703603.6036036038</v>
      </c>
      <c r="R375">
        <v>4444054.0540540544</v>
      </c>
      <c r="S375">
        <v>547</v>
      </c>
      <c r="T375">
        <v>425</v>
      </c>
    </row>
    <row r="376" spans="1:20" x14ac:dyDescent="0.35">
      <c r="A376" s="7" t="s">
        <v>474</v>
      </c>
      <c r="B376" s="12" t="s">
        <v>471</v>
      </c>
      <c r="C376">
        <v>129802068.44558619</v>
      </c>
      <c r="D376">
        <v>125813353.8940284</v>
      </c>
      <c r="E376">
        <v>107858558.55855855</v>
      </c>
      <c r="F376">
        <v>64902425.225225225</v>
      </c>
      <c r="G376">
        <v>17</v>
      </c>
      <c r="H376">
        <v>15</v>
      </c>
      <c r="K376">
        <v>17</v>
      </c>
      <c r="L376">
        <v>44</v>
      </c>
      <c r="M376">
        <v>76286486.48648648</v>
      </c>
      <c r="N376">
        <v>26164596.396396395</v>
      </c>
      <c r="O376">
        <v>17746286.486486487</v>
      </c>
      <c r="P376">
        <v>21644331.531531531</v>
      </c>
      <c r="Q376">
        <v>33199549.549549554</v>
      </c>
      <c r="R376">
        <v>20107207.207207207</v>
      </c>
      <c r="S376">
        <v>2534</v>
      </c>
      <c r="T376">
        <v>2276</v>
      </c>
    </row>
    <row r="377" spans="1:20" x14ac:dyDescent="0.35">
      <c r="A377" s="7" t="s">
        <v>475</v>
      </c>
      <c r="B377" s="12" t="s">
        <v>471</v>
      </c>
      <c r="C377">
        <v>182286434.02844274</v>
      </c>
      <c r="D377">
        <v>179154669.65732163</v>
      </c>
      <c r="E377">
        <v>1163963.963963964</v>
      </c>
      <c r="F377">
        <v>1825225.2252252279</v>
      </c>
      <c r="G377">
        <v>39</v>
      </c>
      <c r="H377">
        <v>18</v>
      </c>
      <c r="K377">
        <v>40</v>
      </c>
      <c r="L377">
        <v>29</v>
      </c>
      <c r="M377">
        <v>12305495.495495494</v>
      </c>
      <c r="N377">
        <v>9689549.5495495517</v>
      </c>
      <c r="O377">
        <v>39378792.79279279</v>
      </c>
      <c r="P377">
        <v>44245486.486486487</v>
      </c>
      <c r="Q377">
        <v>13326486.486486487</v>
      </c>
      <c r="R377">
        <v>18613873.873873871</v>
      </c>
      <c r="S377">
        <v>2566</v>
      </c>
      <c r="T377">
        <v>2426</v>
      </c>
    </row>
    <row r="378" spans="1:20" x14ac:dyDescent="0.35">
      <c r="A378" s="7" t="s">
        <v>476</v>
      </c>
      <c r="B378" s="12" t="s">
        <v>471</v>
      </c>
      <c r="C378">
        <v>67590794.868572399</v>
      </c>
      <c r="D378">
        <v>66912951.384584367</v>
      </c>
      <c r="E378">
        <v>413513.51351351402</v>
      </c>
      <c r="F378">
        <v>483783.78378378501</v>
      </c>
      <c r="G378">
        <v>6</v>
      </c>
      <c r="H378">
        <v>6</v>
      </c>
      <c r="K378">
        <v>6</v>
      </c>
      <c r="L378">
        <v>8</v>
      </c>
      <c r="M378">
        <v>8323423.4234234244</v>
      </c>
      <c r="N378">
        <v>3704504.5045045051</v>
      </c>
      <c r="O378">
        <v>14156592.792792792</v>
      </c>
      <c r="P378">
        <v>16844468.468468469</v>
      </c>
      <c r="Q378">
        <v>7474324.3243243238</v>
      </c>
      <c r="R378">
        <v>8505585.5855855867</v>
      </c>
      <c r="S378">
        <v>1459</v>
      </c>
      <c r="T378">
        <v>1379</v>
      </c>
    </row>
    <row r="379" spans="1:20" x14ac:dyDescent="0.35">
      <c r="A379" s="7" t="s">
        <v>477</v>
      </c>
      <c r="B379" s="12" t="s">
        <v>471</v>
      </c>
      <c r="C379">
        <v>691431602.78074419</v>
      </c>
      <c r="D379">
        <v>726490982.66854346</v>
      </c>
      <c r="E379">
        <v>12855855.85585586</v>
      </c>
      <c r="F379">
        <v>14226773.87387388</v>
      </c>
      <c r="G379">
        <v>268</v>
      </c>
      <c r="H379">
        <v>406</v>
      </c>
      <c r="I379">
        <v>1</v>
      </c>
      <c r="K379">
        <v>540</v>
      </c>
      <c r="L379">
        <v>664</v>
      </c>
      <c r="M379">
        <v>216315225.22522521</v>
      </c>
      <c r="N379">
        <v>207452848.64864865</v>
      </c>
      <c r="O379">
        <v>180517500.9009009</v>
      </c>
      <c r="P379">
        <v>204054992.7927928</v>
      </c>
      <c r="Q379">
        <v>213876036.03603604</v>
      </c>
      <c r="R379">
        <v>210768872.07207206</v>
      </c>
      <c r="S379">
        <v>19199</v>
      </c>
      <c r="T379">
        <v>15731</v>
      </c>
    </row>
    <row r="380" spans="1:20" x14ac:dyDescent="0.35">
      <c r="A380" s="7" t="s">
        <v>478</v>
      </c>
      <c r="B380" s="12" t="s">
        <v>261</v>
      </c>
      <c r="C380">
        <v>799366666.03184772</v>
      </c>
      <c r="D380">
        <v>791707129.39858365</v>
      </c>
      <c r="E380">
        <v>4333108.1081081089</v>
      </c>
      <c r="F380">
        <v>7349131.5315315351</v>
      </c>
      <c r="G380">
        <v>203</v>
      </c>
      <c r="H380">
        <v>106</v>
      </c>
      <c r="I380">
        <v>1</v>
      </c>
      <c r="K380">
        <v>216</v>
      </c>
      <c r="L380">
        <v>118</v>
      </c>
      <c r="M380">
        <v>100221621.62162161</v>
      </c>
      <c r="N380">
        <v>124868028.82882883</v>
      </c>
      <c r="O380">
        <v>214818355.85585588</v>
      </c>
      <c r="P380">
        <v>228947234.23423424</v>
      </c>
      <c r="Q380">
        <v>99948198.198198199</v>
      </c>
      <c r="R380">
        <v>118953423.42342342</v>
      </c>
      <c r="S380">
        <v>11748</v>
      </c>
      <c r="T380">
        <v>11825</v>
      </c>
    </row>
    <row r="381" spans="1:20" x14ac:dyDescent="0.35">
      <c r="A381" s="7" t="s">
        <v>479</v>
      </c>
      <c r="B381" s="12" t="s">
        <v>480</v>
      </c>
      <c r="C381">
        <v>61096285.737937793</v>
      </c>
      <c r="D381">
        <v>60245694.428814538</v>
      </c>
      <c r="E381">
        <v>829729.72972973099</v>
      </c>
      <c r="F381">
        <v>847747.74774774804</v>
      </c>
      <c r="G381">
        <v>15</v>
      </c>
      <c r="H381">
        <v>18</v>
      </c>
      <c r="K381">
        <v>15</v>
      </c>
      <c r="L381">
        <v>19</v>
      </c>
      <c r="M381">
        <v>17881081.081081081</v>
      </c>
      <c r="N381">
        <v>17773513.513513513</v>
      </c>
      <c r="O381">
        <v>14595225.225225225</v>
      </c>
      <c r="P381">
        <v>15793412.612612613</v>
      </c>
      <c r="Q381">
        <v>17729009.009009007</v>
      </c>
      <c r="R381">
        <v>17930720.72072072</v>
      </c>
      <c r="S381">
        <v>1312</v>
      </c>
      <c r="T381">
        <v>777</v>
      </c>
    </row>
    <row r="382" spans="1:20" x14ac:dyDescent="0.35">
      <c r="A382" s="7" t="s">
        <v>481</v>
      </c>
      <c r="B382" s="12" t="s">
        <v>124</v>
      </c>
      <c r="C382">
        <v>438394734.54356807</v>
      </c>
      <c r="D382">
        <v>422677149.18154269</v>
      </c>
      <c r="E382">
        <v>3826126.1261261278</v>
      </c>
      <c r="F382">
        <v>3113329.7297297288</v>
      </c>
      <c r="G382">
        <v>88</v>
      </c>
      <c r="H382">
        <v>66</v>
      </c>
      <c r="K382">
        <v>94</v>
      </c>
      <c r="L382">
        <v>69</v>
      </c>
      <c r="M382">
        <v>32509099.0990991</v>
      </c>
      <c r="N382">
        <v>39231290.990990989</v>
      </c>
      <c r="O382">
        <v>164851101.8018018</v>
      </c>
      <c r="P382">
        <v>171387681.08108109</v>
      </c>
      <c r="Q382">
        <v>31248061.261261258</v>
      </c>
      <c r="R382">
        <v>33053376.576576576</v>
      </c>
      <c r="S382">
        <v>6168</v>
      </c>
      <c r="T382">
        <v>5493</v>
      </c>
    </row>
    <row r="383" spans="1:20" x14ac:dyDescent="0.35">
      <c r="A383" s="7" t="s">
        <v>482</v>
      </c>
      <c r="B383" s="12" t="s">
        <v>471</v>
      </c>
      <c r="C383">
        <v>34767057.952817798</v>
      </c>
      <c r="D383">
        <v>34839641.555507012</v>
      </c>
      <c r="E383">
        <v>95495.495495495998</v>
      </c>
      <c r="F383">
        <v>366666.66666666599</v>
      </c>
      <c r="G383">
        <v>3</v>
      </c>
      <c r="H383">
        <v>5</v>
      </c>
      <c r="K383">
        <v>4</v>
      </c>
      <c r="L383">
        <v>5</v>
      </c>
      <c r="M383">
        <v>1897297.297297297</v>
      </c>
      <c r="N383">
        <v>830630.63063062995</v>
      </c>
      <c r="O383">
        <v>4729540.5405405406</v>
      </c>
      <c r="P383">
        <v>4543000</v>
      </c>
      <c r="Q383">
        <v>1091801.8018018019</v>
      </c>
      <c r="R383">
        <v>1436576.576576578</v>
      </c>
      <c r="S383">
        <v>653</v>
      </c>
      <c r="T383">
        <v>629</v>
      </c>
    </row>
    <row r="384" spans="1:20" x14ac:dyDescent="0.35">
      <c r="A384" s="7" t="s">
        <v>483</v>
      </c>
      <c r="B384" s="12" t="s">
        <v>168</v>
      </c>
      <c r="C384">
        <v>359988944.14929295</v>
      </c>
      <c r="D384">
        <v>376918146.78038269</v>
      </c>
      <c r="E384">
        <v>4336036.0360360341</v>
      </c>
      <c r="F384">
        <v>9381337.8378378358</v>
      </c>
      <c r="G384">
        <v>313</v>
      </c>
      <c r="H384">
        <v>125</v>
      </c>
      <c r="I384">
        <v>1</v>
      </c>
      <c r="K384">
        <v>381</v>
      </c>
      <c r="L384">
        <v>250</v>
      </c>
      <c r="M384">
        <v>37620757.657657653</v>
      </c>
      <c r="N384">
        <v>48757464.864864863</v>
      </c>
      <c r="O384">
        <v>149191972.97297296</v>
      </c>
      <c r="P384">
        <v>164601288.2882883</v>
      </c>
      <c r="Q384">
        <v>34127837.837837838</v>
      </c>
      <c r="R384">
        <v>43680855.855855852</v>
      </c>
      <c r="S384">
        <v>9892</v>
      </c>
      <c r="T384">
        <v>8726</v>
      </c>
    </row>
    <row r="385" spans="1:20" x14ac:dyDescent="0.35">
      <c r="A385" s="7" t="s">
        <v>484</v>
      </c>
      <c r="B385" s="12" t="s">
        <v>168</v>
      </c>
      <c r="C385">
        <v>406977979.64129716</v>
      </c>
      <c r="D385">
        <v>428901642.12891591</v>
      </c>
      <c r="E385">
        <v>480813976.57657659</v>
      </c>
      <c r="F385">
        <v>540905484.68468463</v>
      </c>
      <c r="G385">
        <v>883</v>
      </c>
      <c r="H385">
        <v>517</v>
      </c>
      <c r="I385">
        <v>1</v>
      </c>
      <c r="K385">
        <v>1478</v>
      </c>
      <c r="L385">
        <v>1173</v>
      </c>
      <c r="M385">
        <v>78702027.927927941</v>
      </c>
      <c r="N385">
        <v>104769128.82882883</v>
      </c>
      <c r="O385">
        <v>157083263.96396396</v>
      </c>
      <c r="P385">
        <v>190968699.0990991</v>
      </c>
      <c r="Q385">
        <v>67943556.756756753</v>
      </c>
      <c r="R385">
        <v>96477881.081081077</v>
      </c>
      <c r="S385">
        <v>10048</v>
      </c>
      <c r="T385">
        <v>9402</v>
      </c>
    </row>
    <row r="386" spans="1:20" x14ac:dyDescent="0.35">
      <c r="A386" s="7" t="s">
        <v>485</v>
      </c>
      <c r="B386" s="12" t="s">
        <v>51</v>
      </c>
      <c r="C386">
        <v>246450699.71963981</v>
      </c>
      <c r="D386">
        <v>248392194.95608717</v>
      </c>
      <c r="E386">
        <v>4247747.74774775</v>
      </c>
      <c r="F386">
        <v>3793965.7657657671</v>
      </c>
      <c r="G386">
        <v>69</v>
      </c>
      <c r="H386">
        <v>46</v>
      </c>
      <c r="K386">
        <v>73</v>
      </c>
      <c r="L386">
        <v>49</v>
      </c>
      <c r="M386">
        <v>48025495.495495498</v>
      </c>
      <c r="N386">
        <v>46228892.79279279</v>
      </c>
      <c r="O386">
        <v>107780088.2882883</v>
      </c>
      <c r="P386">
        <v>112602675.67567568</v>
      </c>
      <c r="Q386">
        <v>46197477.477477483</v>
      </c>
      <c r="R386">
        <v>40634684.684684679</v>
      </c>
      <c r="S386">
        <v>4049</v>
      </c>
      <c r="T386">
        <v>2543</v>
      </c>
    </row>
    <row r="387" spans="1:20" x14ac:dyDescent="0.35">
      <c r="A387" s="7" t="s">
        <v>486</v>
      </c>
      <c r="B387" s="12" t="s">
        <v>135</v>
      </c>
      <c r="C387">
        <v>328366407.10977131</v>
      </c>
      <c r="D387">
        <v>326284440.1543746</v>
      </c>
      <c r="E387">
        <v>371698908.1081081</v>
      </c>
      <c r="F387">
        <v>391568001.8018018</v>
      </c>
      <c r="G387">
        <v>71</v>
      </c>
      <c r="H387">
        <v>65</v>
      </c>
      <c r="K387">
        <v>73</v>
      </c>
      <c r="L387">
        <v>74</v>
      </c>
      <c r="M387">
        <v>108051351.35135137</v>
      </c>
      <c r="N387">
        <v>99171862.162162155</v>
      </c>
      <c r="O387">
        <v>64077047.747747742</v>
      </c>
      <c r="P387">
        <v>70203477.477477476</v>
      </c>
      <c r="Q387">
        <v>34532162.162162162</v>
      </c>
      <c r="R387">
        <v>38432522.522522517</v>
      </c>
      <c r="S387">
        <v>4893</v>
      </c>
      <c r="T387">
        <v>4673</v>
      </c>
    </row>
    <row r="388" spans="1:20" x14ac:dyDescent="0.35">
      <c r="A388" s="7" t="s">
        <v>487</v>
      </c>
      <c r="B388" s="12" t="s">
        <v>77</v>
      </c>
      <c r="C388">
        <v>72060834.320085377</v>
      </c>
      <c r="D388">
        <v>87731648.317774639</v>
      </c>
      <c r="E388">
        <v>1490990.9909909919</v>
      </c>
      <c r="F388">
        <v>1651768.4684684691</v>
      </c>
      <c r="G388">
        <v>19</v>
      </c>
      <c r="H388">
        <v>28</v>
      </c>
      <c r="K388">
        <v>19</v>
      </c>
      <c r="L388">
        <v>30</v>
      </c>
      <c r="M388">
        <v>17357747.747747749</v>
      </c>
      <c r="N388">
        <v>19359662.162162159</v>
      </c>
      <c r="O388">
        <v>28150854.954954956</v>
      </c>
      <c r="P388">
        <v>31345655.855855856</v>
      </c>
      <c r="Q388">
        <v>15349949.549549548</v>
      </c>
      <c r="R388">
        <v>17262745.945945945</v>
      </c>
      <c r="S388">
        <v>1613</v>
      </c>
      <c r="T388">
        <v>1652</v>
      </c>
    </row>
    <row r="389" spans="1:20" x14ac:dyDescent="0.35">
      <c r="A389" s="7" t="s">
        <v>488</v>
      </c>
      <c r="B389" s="12" t="s">
        <v>308</v>
      </c>
      <c r="C389">
        <v>558184002.97545791</v>
      </c>
      <c r="D389">
        <v>556246672.90959024</v>
      </c>
      <c r="E389">
        <v>7215315.3153153183</v>
      </c>
      <c r="F389">
        <v>7869238.7387387399</v>
      </c>
      <c r="G389">
        <v>230</v>
      </c>
      <c r="H389">
        <v>174</v>
      </c>
      <c r="K389">
        <v>250</v>
      </c>
      <c r="L389">
        <v>199</v>
      </c>
      <c r="M389">
        <v>121000090.0900901</v>
      </c>
      <c r="N389">
        <v>213046033.33333334</v>
      </c>
      <c r="O389">
        <v>235833216.21621624</v>
      </c>
      <c r="P389">
        <v>243378369.36936939</v>
      </c>
      <c r="Q389">
        <v>122055765.76576576</v>
      </c>
      <c r="R389">
        <v>208736801.8018018</v>
      </c>
      <c r="S389">
        <v>15918</v>
      </c>
      <c r="T389">
        <v>11571</v>
      </c>
    </row>
    <row r="390" spans="1:20" x14ac:dyDescent="0.35">
      <c r="A390" s="7" t="s">
        <v>489</v>
      </c>
      <c r="B390" s="12" t="s">
        <v>316</v>
      </c>
      <c r="C390">
        <v>128492965.65119435</v>
      </c>
      <c r="D390">
        <v>122568009.19538288</v>
      </c>
      <c r="E390">
        <v>1856756.7567567569</v>
      </c>
      <c r="F390">
        <v>1562863.063063063</v>
      </c>
      <c r="G390">
        <v>12</v>
      </c>
      <c r="H390">
        <v>10</v>
      </c>
      <c r="K390">
        <v>13</v>
      </c>
      <c r="L390">
        <v>10</v>
      </c>
      <c r="M390">
        <v>57552162.162162162</v>
      </c>
      <c r="N390">
        <v>78158675.675675675</v>
      </c>
      <c r="O390">
        <v>55287558.558558561</v>
      </c>
      <c r="P390">
        <v>51126450.45045045</v>
      </c>
      <c r="Q390">
        <v>54491261.261261262</v>
      </c>
      <c r="R390">
        <v>81381531.531531543</v>
      </c>
      <c r="S390">
        <v>1702</v>
      </c>
      <c r="T390">
        <v>1717</v>
      </c>
    </row>
    <row r="391" spans="1:20" x14ac:dyDescent="0.35">
      <c r="A391" s="7" t="s">
        <v>490</v>
      </c>
      <c r="B391" s="12" t="s">
        <v>182</v>
      </c>
      <c r="C391">
        <v>296492715.69391418</v>
      </c>
      <c r="D391">
        <v>302465461.93793547</v>
      </c>
      <c r="E391">
        <v>1824774.774774773</v>
      </c>
      <c r="F391">
        <v>3045045.0450450452</v>
      </c>
      <c r="G391">
        <v>156</v>
      </c>
      <c r="H391">
        <v>121</v>
      </c>
      <c r="I391">
        <v>1</v>
      </c>
      <c r="K391">
        <v>199</v>
      </c>
      <c r="L391">
        <v>144</v>
      </c>
      <c r="M391">
        <v>33478738.738738734</v>
      </c>
      <c r="N391">
        <v>37662162.162162162</v>
      </c>
      <c r="O391">
        <v>86318450.45045045</v>
      </c>
      <c r="P391">
        <v>97306700.9009009</v>
      </c>
      <c r="Q391">
        <v>33001081.081081081</v>
      </c>
      <c r="R391">
        <v>37887117.117117122</v>
      </c>
      <c r="S391">
        <v>8122</v>
      </c>
      <c r="T391">
        <v>6667</v>
      </c>
    </row>
    <row r="392" spans="1:20" x14ac:dyDescent="0.35">
      <c r="A392" s="7" t="s">
        <v>675</v>
      </c>
      <c r="B392" s="12" t="s">
        <v>67</v>
      </c>
      <c r="M392">
        <v>3297297.297297297</v>
      </c>
      <c r="N392">
        <v>450090.09009009</v>
      </c>
    </row>
    <row r="393" spans="1:20" x14ac:dyDescent="0.35">
      <c r="A393" s="7" t="s">
        <v>491</v>
      </c>
      <c r="B393" s="12" t="s">
        <v>221</v>
      </c>
      <c r="C393">
        <v>175187456.63616663</v>
      </c>
      <c r="D393">
        <v>170753642.64530742</v>
      </c>
      <c r="E393">
        <v>102702.702702703</v>
      </c>
      <c r="F393">
        <v>69819.819819819997</v>
      </c>
      <c r="G393">
        <v>62</v>
      </c>
      <c r="H393">
        <v>67</v>
      </c>
      <c r="I393">
        <v>1</v>
      </c>
      <c r="K393">
        <v>71</v>
      </c>
      <c r="L393">
        <v>99</v>
      </c>
      <c r="M393">
        <v>4973333.333333334</v>
      </c>
      <c r="N393">
        <v>1722522.522522524</v>
      </c>
      <c r="O393">
        <v>43188953.153153151</v>
      </c>
      <c r="P393">
        <v>46254700.900900893</v>
      </c>
      <c r="Q393">
        <v>3792522.5225225231</v>
      </c>
      <c r="R393">
        <v>924414.41441441595</v>
      </c>
      <c r="S393">
        <v>4317</v>
      </c>
      <c r="T393">
        <v>3989</v>
      </c>
    </row>
    <row r="394" spans="1:20" x14ac:dyDescent="0.35">
      <c r="A394" s="7" t="s">
        <v>492</v>
      </c>
      <c r="B394" s="12" t="s">
        <v>221</v>
      </c>
      <c r="C394">
        <v>56731302.856546462</v>
      </c>
      <c r="D394">
        <v>43463279.016587324</v>
      </c>
      <c r="E394">
        <v>492792.79279279301</v>
      </c>
      <c r="F394">
        <v>101198.198198199</v>
      </c>
      <c r="G394">
        <v>29</v>
      </c>
      <c r="H394">
        <v>12</v>
      </c>
      <c r="I394">
        <v>1</v>
      </c>
      <c r="K394">
        <v>32</v>
      </c>
      <c r="L394">
        <v>14</v>
      </c>
      <c r="M394">
        <v>16157207.207207208</v>
      </c>
      <c r="N394">
        <v>11444125.225225223</v>
      </c>
      <c r="O394">
        <v>16338009.009009007</v>
      </c>
      <c r="P394">
        <v>15127286.486486487</v>
      </c>
      <c r="Q394">
        <v>15955945.945945946</v>
      </c>
      <c r="R394">
        <v>13745225.225225223</v>
      </c>
      <c r="S394">
        <v>1378</v>
      </c>
      <c r="T394">
        <v>1143</v>
      </c>
    </row>
    <row r="395" spans="1:20" x14ac:dyDescent="0.35">
      <c r="A395" s="7" t="s">
        <v>493</v>
      </c>
      <c r="B395" s="12" t="s">
        <v>61</v>
      </c>
      <c r="C395">
        <v>200112494.88357624</v>
      </c>
      <c r="D395">
        <v>204438288.96430629</v>
      </c>
      <c r="E395">
        <v>3012612.6126126172</v>
      </c>
      <c r="F395">
        <v>3798682.8828828861</v>
      </c>
      <c r="G395">
        <v>60</v>
      </c>
      <c r="H395">
        <v>25</v>
      </c>
      <c r="K395">
        <v>90</v>
      </c>
      <c r="L395">
        <v>35</v>
      </c>
      <c r="M395">
        <v>40173603.603603601</v>
      </c>
      <c r="N395">
        <v>67210799.0990991</v>
      </c>
      <c r="O395">
        <v>89705450.45045045</v>
      </c>
      <c r="P395">
        <v>94759153.153153151</v>
      </c>
      <c r="Q395">
        <v>37847477.477477483</v>
      </c>
      <c r="R395">
        <v>62796936.936936937</v>
      </c>
      <c r="S395">
        <v>3846</v>
      </c>
      <c r="T395">
        <v>3701</v>
      </c>
    </row>
    <row r="396" spans="1:20" x14ac:dyDescent="0.35">
      <c r="A396" s="7" t="s">
        <v>494</v>
      </c>
      <c r="B396" s="12" t="s">
        <v>449</v>
      </c>
      <c r="C396">
        <v>239391708.22220674</v>
      </c>
      <c r="D396">
        <v>228675250.12222981</v>
      </c>
      <c r="E396">
        <v>1473873.873873875</v>
      </c>
      <c r="F396">
        <v>5355357.6576576577</v>
      </c>
      <c r="G396">
        <v>164</v>
      </c>
      <c r="H396">
        <v>170</v>
      </c>
      <c r="K396">
        <v>234</v>
      </c>
      <c r="L396">
        <v>266</v>
      </c>
      <c r="M396">
        <v>65583783.783783786</v>
      </c>
      <c r="N396">
        <v>54590454.054054059</v>
      </c>
      <c r="O396">
        <v>85992198.198198199</v>
      </c>
      <c r="P396">
        <v>89819513.51351352</v>
      </c>
      <c r="Q396">
        <v>65189639.639639638</v>
      </c>
      <c r="R396">
        <v>53199369.369369365</v>
      </c>
      <c r="S396">
        <v>5896</v>
      </c>
      <c r="T396">
        <v>5013</v>
      </c>
    </row>
    <row r="397" spans="1:20" x14ac:dyDescent="0.35">
      <c r="A397" s="7" t="s">
        <v>7</v>
      </c>
      <c r="B397" s="12" t="s">
        <v>194</v>
      </c>
      <c r="C397">
        <v>199925715.85715863</v>
      </c>
      <c r="D397">
        <v>195268532.62143072</v>
      </c>
      <c r="E397">
        <v>518918.91891892097</v>
      </c>
      <c r="F397">
        <v>814414.41441441595</v>
      </c>
      <c r="G397">
        <v>68</v>
      </c>
      <c r="H397">
        <v>56</v>
      </c>
      <c r="I397">
        <v>1</v>
      </c>
      <c r="K397">
        <v>80</v>
      </c>
      <c r="L397">
        <v>66</v>
      </c>
      <c r="M397">
        <v>38931081.081081077</v>
      </c>
      <c r="N397">
        <v>70106756.756756753</v>
      </c>
      <c r="O397">
        <v>139052702.7027027</v>
      </c>
      <c r="P397">
        <v>130984882.88288288</v>
      </c>
      <c r="Q397">
        <v>38215495.495495498</v>
      </c>
      <c r="R397">
        <v>68585675.675675675</v>
      </c>
      <c r="S397">
        <v>5537</v>
      </c>
      <c r="T397">
        <v>5230</v>
      </c>
    </row>
    <row r="398" spans="1:20" x14ac:dyDescent="0.35">
      <c r="A398" s="7" t="s">
        <v>495</v>
      </c>
      <c r="B398" s="12" t="s">
        <v>331</v>
      </c>
      <c r="C398">
        <v>232392830.37146759</v>
      </c>
      <c r="D398">
        <v>231348651.48230553</v>
      </c>
      <c r="E398">
        <v>882882.88288288296</v>
      </c>
      <c r="F398">
        <v>480297.29729729902</v>
      </c>
      <c r="G398">
        <v>112</v>
      </c>
      <c r="H398">
        <v>117</v>
      </c>
      <c r="K398">
        <v>241</v>
      </c>
      <c r="L398">
        <v>139</v>
      </c>
      <c r="M398">
        <v>21647657.657657657</v>
      </c>
      <c r="N398">
        <v>14338463.963963963</v>
      </c>
      <c r="O398">
        <v>58719117.117117122</v>
      </c>
      <c r="P398">
        <v>59088081.081081077</v>
      </c>
      <c r="Q398">
        <v>20804684.684684683</v>
      </c>
      <c r="R398">
        <v>13189819.819819819</v>
      </c>
      <c r="S398">
        <v>8678</v>
      </c>
      <c r="T398">
        <v>5974</v>
      </c>
    </row>
    <row r="399" spans="1:20" x14ac:dyDescent="0.35">
      <c r="A399" s="7" t="s">
        <v>496</v>
      </c>
      <c r="B399" s="12" t="s">
        <v>331</v>
      </c>
      <c r="C399">
        <v>394970988.55437285</v>
      </c>
      <c r="D399">
        <v>397920472.15479845</v>
      </c>
      <c r="E399">
        <v>3794144.1441441472</v>
      </c>
      <c r="F399">
        <v>818304205.4054054</v>
      </c>
      <c r="G399">
        <v>172</v>
      </c>
      <c r="H399">
        <v>155</v>
      </c>
      <c r="K399">
        <v>192</v>
      </c>
      <c r="L399">
        <v>188</v>
      </c>
      <c r="M399">
        <v>26033738.738738745</v>
      </c>
      <c r="N399">
        <v>24745709.009009007</v>
      </c>
      <c r="O399">
        <v>88909049.54954955</v>
      </c>
      <c r="P399">
        <v>96062061.261261269</v>
      </c>
      <c r="Q399">
        <v>24315495.495495494</v>
      </c>
      <c r="R399">
        <v>25416576.576576576</v>
      </c>
      <c r="S399">
        <v>9339</v>
      </c>
      <c r="T399">
        <v>7569</v>
      </c>
    </row>
    <row r="400" spans="1:20" x14ac:dyDescent="0.35">
      <c r="A400" s="7" t="s">
        <v>497</v>
      </c>
      <c r="B400" s="12" t="s">
        <v>331</v>
      </c>
      <c r="C400">
        <v>397049153.32436812</v>
      </c>
      <c r="D400">
        <v>363949072.032565</v>
      </c>
      <c r="E400">
        <v>7049099.0990990987</v>
      </c>
      <c r="F400">
        <v>3980933.333333334</v>
      </c>
      <c r="G400">
        <v>216</v>
      </c>
      <c r="H400">
        <v>199</v>
      </c>
      <c r="K400">
        <v>317</v>
      </c>
      <c r="L400">
        <v>249</v>
      </c>
      <c r="M400">
        <v>48937477.477477483</v>
      </c>
      <c r="N400">
        <v>63066407.20720721</v>
      </c>
      <c r="O400">
        <v>86991234.234234244</v>
      </c>
      <c r="P400">
        <v>87978450.45045045</v>
      </c>
      <c r="Q400">
        <v>45231801.801801801</v>
      </c>
      <c r="R400">
        <v>61502612.612612613</v>
      </c>
      <c r="S400">
        <v>12507</v>
      </c>
      <c r="T400">
        <v>8470</v>
      </c>
    </row>
    <row r="401" spans="1:20" x14ac:dyDescent="0.35">
      <c r="A401" s="7" t="s">
        <v>498</v>
      </c>
      <c r="B401" s="12" t="s">
        <v>331</v>
      </c>
      <c r="C401">
        <v>1780305544.3522248</v>
      </c>
      <c r="D401">
        <v>1433017189.8101354</v>
      </c>
      <c r="E401">
        <v>1503696578.3783784</v>
      </c>
      <c r="F401">
        <v>17904106.306306306</v>
      </c>
      <c r="G401">
        <v>1200</v>
      </c>
      <c r="H401">
        <v>722</v>
      </c>
      <c r="I401">
        <v>3</v>
      </c>
      <c r="K401">
        <v>2248</v>
      </c>
      <c r="L401">
        <v>860</v>
      </c>
      <c r="M401">
        <v>757690060.36036026</v>
      </c>
      <c r="N401">
        <v>731195340.54054058</v>
      </c>
      <c r="O401">
        <v>456462837.83783782</v>
      </c>
      <c r="P401">
        <v>310028864.86486489</v>
      </c>
      <c r="Q401">
        <v>282698738.73873878</v>
      </c>
      <c r="R401">
        <v>652145405.4054054</v>
      </c>
      <c r="S401">
        <v>36682</v>
      </c>
      <c r="T401">
        <v>26599</v>
      </c>
    </row>
    <row r="402" spans="1:20" x14ac:dyDescent="0.35">
      <c r="A402" s="7" t="s">
        <v>499</v>
      </c>
      <c r="B402" s="12" t="s">
        <v>331</v>
      </c>
      <c r="C402">
        <v>1280849850.2995424</v>
      </c>
      <c r="D402">
        <v>1173798384.3382778</v>
      </c>
      <c r="E402">
        <v>14877477.477477482</v>
      </c>
      <c r="F402">
        <v>5959359.4594594575</v>
      </c>
      <c r="G402">
        <v>498</v>
      </c>
      <c r="H402">
        <v>498</v>
      </c>
      <c r="I402">
        <v>3</v>
      </c>
      <c r="K402">
        <v>667</v>
      </c>
      <c r="L402">
        <v>588</v>
      </c>
      <c r="M402">
        <v>340770630.63063067</v>
      </c>
      <c r="N402">
        <v>165281890.09009007</v>
      </c>
      <c r="O402">
        <v>368638425.67567563</v>
      </c>
      <c r="P402">
        <v>311295425.22522521</v>
      </c>
      <c r="Q402">
        <v>331970990.990991</v>
      </c>
      <c r="R402">
        <v>166636936.93693691</v>
      </c>
      <c r="S402">
        <v>31395</v>
      </c>
      <c r="T402">
        <v>26422</v>
      </c>
    </row>
    <row r="403" spans="1:20" x14ac:dyDescent="0.35">
      <c r="A403" s="7" t="s">
        <v>500</v>
      </c>
      <c r="B403" s="12" t="s">
        <v>144</v>
      </c>
      <c r="C403">
        <v>514765815.67466527</v>
      </c>
      <c r="D403">
        <v>519887257.00721323</v>
      </c>
      <c r="E403">
        <v>2455180.1801801831</v>
      </c>
      <c r="F403">
        <v>2041534.2342342359</v>
      </c>
      <c r="G403">
        <v>269</v>
      </c>
      <c r="H403">
        <v>84</v>
      </c>
      <c r="K403">
        <v>287</v>
      </c>
      <c r="L403">
        <v>108</v>
      </c>
      <c r="M403">
        <v>46248648.648648642</v>
      </c>
      <c r="N403">
        <v>45318114.414414413</v>
      </c>
      <c r="O403">
        <v>77964790.990990996</v>
      </c>
      <c r="P403">
        <v>94108475.675675675</v>
      </c>
      <c r="Q403">
        <v>30217837.837837838</v>
      </c>
      <c r="R403">
        <v>33413693.693693686</v>
      </c>
      <c r="S403">
        <v>9007</v>
      </c>
      <c r="T403">
        <v>8820</v>
      </c>
    </row>
    <row r="404" spans="1:20" x14ac:dyDescent="0.35">
      <c r="A404" s="7" t="s">
        <v>501</v>
      </c>
      <c r="B404" s="12" t="s">
        <v>221</v>
      </c>
      <c r="C404">
        <v>603743749.52138865</v>
      </c>
      <c r="D404">
        <v>630039217.3704164</v>
      </c>
      <c r="E404">
        <v>9958783.783783786</v>
      </c>
      <c r="F404">
        <v>14986613.513513518</v>
      </c>
      <c r="G404">
        <v>279</v>
      </c>
      <c r="H404">
        <v>324</v>
      </c>
      <c r="I404">
        <v>5</v>
      </c>
      <c r="K404">
        <v>351</v>
      </c>
      <c r="L404">
        <v>455</v>
      </c>
      <c r="M404">
        <v>222847297.2972973</v>
      </c>
      <c r="N404">
        <v>347565212.61261261</v>
      </c>
      <c r="O404">
        <v>185472238.73873875</v>
      </c>
      <c r="P404">
        <v>199279738.73873875</v>
      </c>
      <c r="Q404">
        <v>215322072.07207206</v>
      </c>
      <c r="R404">
        <v>330904054.05405408</v>
      </c>
      <c r="S404">
        <v>19579</v>
      </c>
      <c r="T404">
        <v>12079</v>
      </c>
    </row>
    <row r="405" spans="1:20" x14ac:dyDescent="0.35">
      <c r="A405" s="7" t="s">
        <v>502</v>
      </c>
      <c r="B405" s="12" t="s">
        <v>398</v>
      </c>
      <c r="C405">
        <v>1713860607.2142303</v>
      </c>
      <c r="D405">
        <v>1755820966.7790198</v>
      </c>
      <c r="E405">
        <v>180923088.2882883</v>
      </c>
      <c r="F405">
        <v>280677070.27027029</v>
      </c>
      <c r="G405">
        <v>580</v>
      </c>
      <c r="H405">
        <v>503</v>
      </c>
      <c r="I405">
        <v>1</v>
      </c>
      <c r="K405">
        <v>692</v>
      </c>
      <c r="L405">
        <v>678</v>
      </c>
      <c r="M405">
        <v>191412837.83783782</v>
      </c>
      <c r="N405">
        <v>263363450.45045045</v>
      </c>
      <c r="O405">
        <v>359410609.009009</v>
      </c>
      <c r="P405">
        <v>389753976.57657659</v>
      </c>
      <c r="Q405">
        <v>177656531.53153154</v>
      </c>
      <c r="R405">
        <v>245018063.06306309</v>
      </c>
      <c r="S405">
        <v>28976</v>
      </c>
      <c r="T405">
        <v>26964</v>
      </c>
    </row>
    <row r="406" spans="1:20" x14ac:dyDescent="0.35">
      <c r="A406" s="7" t="s">
        <v>503</v>
      </c>
      <c r="B406" s="12" t="s">
        <v>71</v>
      </c>
      <c r="C406">
        <v>26737183.429193791</v>
      </c>
      <c r="D406">
        <v>27172066.577655565</v>
      </c>
      <c r="E406">
        <v>254954.954954955</v>
      </c>
      <c r="F406">
        <v>1409459.4594594589</v>
      </c>
      <c r="G406">
        <v>10</v>
      </c>
      <c r="H406">
        <v>8</v>
      </c>
      <c r="K406">
        <v>10</v>
      </c>
      <c r="L406">
        <v>9</v>
      </c>
      <c r="M406">
        <v>1114414.414414414</v>
      </c>
      <c r="N406">
        <v>4739189.18918919</v>
      </c>
      <c r="O406">
        <v>19043099.0990991</v>
      </c>
      <c r="P406">
        <v>20397477.477477476</v>
      </c>
      <c r="Q406">
        <v>928648.64864864806</v>
      </c>
      <c r="R406">
        <v>3380990.9909909908</v>
      </c>
      <c r="S406">
        <v>675</v>
      </c>
      <c r="T406">
        <v>720</v>
      </c>
    </row>
    <row r="407" spans="1:20" x14ac:dyDescent="0.35">
      <c r="A407" s="7" t="s">
        <v>504</v>
      </c>
      <c r="B407" s="12" t="s">
        <v>331</v>
      </c>
      <c r="C407">
        <v>736986877.43542135</v>
      </c>
      <c r="D407">
        <v>712140161.3378706</v>
      </c>
      <c r="E407">
        <v>7253378.3783783792</v>
      </c>
      <c r="F407">
        <v>6163769.3693693727</v>
      </c>
      <c r="G407">
        <v>302</v>
      </c>
      <c r="H407">
        <v>224</v>
      </c>
      <c r="K407">
        <v>427</v>
      </c>
      <c r="L407">
        <v>268</v>
      </c>
      <c r="M407">
        <v>116360990.990991</v>
      </c>
      <c r="N407">
        <v>187367344.14414412</v>
      </c>
      <c r="O407">
        <v>234206759.00900903</v>
      </c>
      <c r="P407">
        <v>187424376.57657659</v>
      </c>
      <c r="Q407">
        <v>113627027.02702703</v>
      </c>
      <c r="R407">
        <v>191524954.95495495</v>
      </c>
      <c r="S407">
        <v>18699</v>
      </c>
      <c r="T407">
        <v>15955</v>
      </c>
    </row>
    <row r="408" spans="1:20" x14ac:dyDescent="0.35">
      <c r="A408" s="7" t="s">
        <v>505</v>
      </c>
      <c r="B408" s="12" t="s">
        <v>284</v>
      </c>
      <c r="C408">
        <v>225226609.42988405</v>
      </c>
      <c r="D408">
        <v>223640922.48111799</v>
      </c>
      <c r="E408">
        <v>379279.279279279</v>
      </c>
      <c r="F408">
        <v>1960140.5405405411</v>
      </c>
      <c r="G408">
        <v>41</v>
      </c>
      <c r="H408">
        <v>13</v>
      </c>
      <c r="K408">
        <v>43</v>
      </c>
      <c r="L408">
        <v>22</v>
      </c>
      <c r="M408">
        <v>16433333.333333334</v>
      </c>
      <c r="N408">
        <v>17360081.081081081</v>
      </c>
      <c r="O408">
        <v>38373180.180180177</v>
      </c>
      <c r="P408">
        <v>42887738.738738738</v>
      </c>
      <c r="Q408">
        <v>15333153.153153151</v>
      </c>
      <c r="R408">
        <v>15685855.855855856</v>
      </c>
      <c r="S408">
        <v>3152</v>
      </c>
      <c r="T408">
        <v>2857</v>
      </c>
    </row>
    <row r="409" spans="1:20" x14ac:dyDescent="0.35">
      <c r="A409" s="7" t="s">
        <v>506</v>
      </c>
      <c r="B409" s="12" t="s">
        <v>261</v>
      </c>
      <c r="C409">
        <v>136091692.79421723</v>
      </c>
      <c r="D409">
        <v>140256368.18820816</v>
      </c>
      <c r="E409">
        <v>109909.90990991</v>
      </c>
      <c r="F409">
        <v>27027.027027028002</v>
      </c>
      <c r="G409">
        <v>6</v>
      </c>
      <c r="H409">
        <v>12</v>
      </c>
      <c r="K409">
        <v>8</v>
      </c>
      <c r="L409">
        <v>16</v>
      </c>
      <c r="M409">
        <v>2042342.3423423441</v>
      </c>
      <c r="N409">
        <v>2756756.7567567569</v>
      </c>
      <c r="O409">
        <v>30833495.495495494</v>
      </c>
      <c r="P409">
        <v>39628439.639639638</v>
      </c>
      <c r="Q409">
        <v>2305945.945945947</v>
      </c>
      <c r="R409">
        <v>3751351.3513513538</v>
      </c>
      <c r="S409">
        <v>2242</v>
      </c>
      <c r="T409">
        <v>2221</v>
      </c>
    </row>
    <row r="410" spans="1:20" x14ac:dyDescent="0.35">
      <c r="A410" s="7" t="s">
        <v>507</v>
      </c>
      <c r="B410" s="12" t="s">
        <v>237</v>
      </c>
      <c r="C410">
        <v>333524302.09874529</v>
      </c>
      <c r="D410">
        <v>321915181.43133593</v>
      </c>
      <c r="E410">
        <v>3535585.5855855839</v>
      </c>
      <c r="F410">
        <v>4025320.7207207251</v>
      </c>
      <c r="G410">
        <v>87</v>
      </c>
      <c r="H410">
        <v>123</v>
      </c>
      <c r="I410">
        <v>1</v>
      </c>
      <c r="K410">
        <v>233</v>
      </c>
      <c r="L410">
        <v>165</v>
      </c>
      <c r="M410">
        <v>95839504.504504517</v>
      </c>
      <c r="N410">
        <v>73759982.882882878</v>
      </c>
      <c r="O410">
        <v>74313450.45045045</v>
      </c>
      <c r="P410">
        <v>76898495.495495483</v>
      </c>
      <c r="Q410">
        <v>91806891.891891882</v>
      </c>
      <c r="R410">
        <v>69549459.459459469</v>
      </c>
      <c r="S410">
        <v>5389</v>
      </c>
      <c r="T410">
        <v>4486</v>
      </c>
    </row>
    <row r="411" spans="1:20" x14ac:dyDescent="0.35">
      <c r="A411" s="7" t="s">
        <v>508</v>
      </c>
      <c r="B411" s="12" t="s">
        <v>135</v>
      </c>
      <c r="C411">
        <v>40620409.971333466</v>
      </c>
      <c r="D411">
        <v>55817792.565118656</v>
      </c>
      <c r="G411">
        <v>2</v>
      </c>
      <c r="H411">
        <v>4</v>
      </c>
      <c r="K411">
        <v>2</v>
      </c>
      <c r="L411">
        <v>4</v>
      </c>
      <c r="O411">
        <v>7262648.6486486495</v>
      </c>
      <c r="P411">
        <v>9885891.8918918911</v>
      </c>
      <c r="S411">
        <v>1309</v>
      </c>
      <c r="T411">
        <v>1207</v>
      </c>
    </row>
    <row r="412" spans="1:20" x14ac:dyDescent="0.35">
      <c r="A412" s="7" t="s">
        <v>509</v>
      </c>
      <c r="B412" s="12" t="s">
        <v>398</v>
      </c>
      <c r="C412">
        <v>350611597.70761043</v>
      </c>
      <c r="D412">
        <v>358261911.59722126</v>
      </c>
      <c r="E412">
        <v>86339189.189189181</v>
      </c>
      <c r="F412">
        <v>107073482.88288288</v>
      </c>
      <c r="G412">
        <v>68</v>
      </c>
      <c r="H412">
        <v>71</v>
      </c>
      <c r="K412">
        <v>89</v>
      </c>
      <c r="L412">
        <v>101</v>
      </c>
      <c r="M412">
        <v>39786486.486486487</v>
      </c>
      <c r="N412">
        <v>41962508.108108111</v>
      </c>
      <c r="O412">
        <v>52400225.225225225</v>
      </c>
      <c r="P412">
        <v>55555063.063063063</v>
      </c>
      <c r="Q412">
        <v>37564234.234234229</v>
      </c>
      <c r="R412">
        <v>33744234.234234229</v>
      </c>
      <c r="S412">
        <v>4693</v>
      </c>
      <c r="T412">
        <v>4512</v>
      </c>
    </row>
    <row r="413" spans="1:20" x14ac:dyDescent="0.35">
      <c r="A413" s="7" t="s">
        <v>510</v>
      </c>
      <c r="B413" s="12" t="s">
        <v>135</v>
      </c>
      <c r="C413">
        <v>386490413.72980511</v>
      </c>
      <c r="D413">
        <v>405863367.88800985</v>
      </c>
      <c r="E413">
        <v>2853153.153153155</v>
      </c>
      <c r="F413">
        <v>3156557.6576576591</v>
      </c>
      <c r="G413">
        <v>98</v>
      </c>
      <c r="H413">
        <v>82</v>
      </c>
      <c r="K413">
        <v>115</v>
      </c>
      <c r="L413">
        <v>91</v>
      </c>
      <c r="M413">
        <v>36779279.279279277</v>
      </c>
      <c r="N413">
        <v>41332698.198198192</v>
      </c>
      <c r="O413">
        <v>62708056.306306303</v>
      </c>
      <c r="P413">
        <v>69470657.657657653</v>
      </c>
      <c r="Q413">
        <v>29493243.243243244</v>
      </c>
      <c r="R413">
        <v>32969819.819819823</v>
      </c>
      <c r="S413">
        <v>6174</v>
      </c>
      <c r="T413">
        <v>5382</v>
      </c>
    </row>
    <row r="414" spans="1:20" x14ac:dyDescent="0.35">
      <c r="A414" s="7" t="s">
        <v>511</v>
      </c>
      <c r="B414" s="12" t="s">
        <v>135</v>
      </c>
      <c r="C414">
        <v>1065679883.70985</v>
      </c>
      <c r="D414">
        <v>1093734023.0762379</v>
      </c>
      <c r="E414">
        <v>8383108.1081081145</v>
      </c>
      <c r="F414">
        <v>9401976.5765765794</v>
      </c>
      <c r="G414">
        <v>231</v>
      </c>
      <c r="H414">
        <v>260</v>
      </c>
      <c r="K414">
        <v>292</v>
      </c>
      <c r="L414">
        <v>368</v>
      </c>
      <c r="M414">
        <v>91611711.711711705</v>
      </c>
      <c r="N414">
        <v>100724343.24324325</v>
      </c>
      <c r="O414">
        <v>111330504.50450452</v>
      </c>
      <c r="P414">
        <v>124715756.75675675</v>
      </c>
      <c r="Q414">
        <v>89121441.441441447</v>
      </c>
      <c r="R414">
        <v>87312882.882882878</v>
      </c>
      <c r="S414">
        <v>19209</v>
      </c>
      <c r="T414">
        <v>16837</v>
      </c>
    </row>
    <row r="415" spans="1:20" x14ac:dyDescent="0.35">
      <c r="A415" s="7" t="s">
        <v>8</v>
      </c>
      <c r="B415" s="12" t="s">
        <v>159</v>
      </c>
      <c r="C415">
        <v>284188350.45767039</v>
      </c>
      <c r="D415">
        <v>279380885.47509527</v>
      </c>
      <c r="E415">
        <v>6268468.4684684677</v>
      </c>
      <c r="F415">
        <v>6035492.7927927952</v>
      </c>
      <c r="G415">
        <v>29</v>
      </c>
      <c r="H415">
        <v>58</v>
      </c>
      <c r="K415">
        <v>30</v>
      </c>
      <c r="L415">
        <v>63</v>
      </c>
      <c r="M415">
        <v>48911711.711711712</v>
      </c>
      <c r="N415">
        <v>50622282.882882886</v>
      </c>
      <c r="O415">
        <v>83950626.126126125</v>
      </c>
      <c r="P415">
        <v>83917090.090090096</v>
      </c>
      <c r="Q415">
        <v>43149369.369369365</v>
      </c>
      <c r="R415">
        <v>46311351.351351351</v>
      </c>
      <c r="S415">
        <v>4353</v>
      </c>
      <c r="T415">
        <v>3555</v>
      </c>
    </row>
    <row r="416" spans="1:20" x14ac:dyDescent="0.35">
      <c r="A416" s="7" t="s">
        <v>512</v>
      </c>
      <c r="B416" s="12" t="s">
        <v>135</v>
      </c>
      <c r="C416">
        <v>201347037.96909222</v>
      </c>
      <c r="D416">
        <v>229735173.9085196</v>
      </c>
      <c r="E416">
        <v>743243.24324324296</v>
      </c>
      <c r="F416">
        <v>1035164.864864866</v>
      </c>
      <c r="G416">
        <v>14</v>
      </c>
      <c r="H416">
        <v>2</v>
      </c>
      <c r="K416">
        <v>17</v>
      </c>
      <c r="L416">
        <v>4</v>
      </c>
      <c r="M416">
        <v>7049549.5495495498</v>
      </c>
      <c r="N416">
        <v>14594863.063063065</v>
      </c>
      <c r="O416">
        <v>27658351.351351351</v>
      </c>
      <c r="P416">
        <v>33622198.198198199</v>
      </c>
      <c r="Q416">
        <v>5539819.8198198201</v>
      </c>
      <c r="R416">
        <v>7260900.9009009013</v>
      </c>
      <c r="S416">
        <v>3449</v>
      </c>
      <c r="T416">
        <v>3245</v>
      </c>
    </row>
    <row r="417" spans="1:20" x14ac:dyDescent="0.35">
      <c r="A417" s="7" t="s">
        <v>513</v>
      </c>
      <c r="B417" s="12" t="s">
        <v>63</v>
      </c>
      <c r="C417">
        <v>902657875.06751025</v>
      </c>
      <c r="D417">
        <v>883857447.15153897</v>
      </c>
      <c r="E417">
        <v>6196396.3963964051</v>
      </c>
      <c r="F417">
        <v>6172521.6216216246</v>
      </c>
      <c r="G417">
        <v>274</v>
      </c>
      <c r="H417">
        <v>178</v>
      </c>
      <c r="I417">
        <v>1</v>
      </c>
      <c r="K417">
        <v>351</v>
      </c>
      <c r="L417">
        <v>273</v>
      </c>
      <c r="M417">
        <v>117615225.22522523</v>
      </c>
      <c r="N417">
        <v>62493152.252252258</v>
      </c>
      <c r="O417">
        <v>185889289.1891892</v>
      </c>
      <c r="P417">
        <v>192756396.3963964</v>
      </c>
      <c r="Q417">
        <v>116624144.14414415</v>
      </c>
      <c r="R417">
        <v>66923376.576576576</v>
      </c>
      <c r="S417">
        <v>15778</v>
      </c>
      <c r="T417">
        <v>14878</v>
      </c>
    </row>
    <row r="418" spans="1:20" x14ac:dyDescent="0.35">
      <c r="A418" s="7" t="s">
        <v>514</v>
      </c>
      <c r="B418" s="12" t="s">
        <v>118</v>
      </c>
      <c r="C418">
        <v>93478032.385032743</v>
      </c>
      <c r="D418">
        <v>80017519.884003252</v>
      </c>
      <c r="E418">
        <v>335135.13513513497</v>
      </c>
      <c r="F418">
        <v>1817117.117117119</v>
      </c>
      <c r="G418">
        <v>39</v>
      </c>
      <c r="H418">
        <v>39</v>
      </c>
      <c r="K418">
        <v>42</v>
      </c>
      <c r="L418">
        <v>42</v>
      </c>
      <c r="M418">
        <v>3954144.1441441439</v>
      </c>
      <c r="N418">
        <v>6526351.3513513533</v>
      </c>
      <c r="O418">
        <v>40484882.882882878</v>
      </c>
      <c r="P418">
        <v>36771288.288288288</v>
      </c>
      <c r="Q418">
        <v>3659369.3693693699</v>
      </c>
      <c r="R418">
        <v>5790675.6756756753</v>
      </c>
      <c r="S418">
        <v>2212</v>
      </c>
      <c r="T418">
        <v>1989</v>
      </c>
    </row>
    <row r="419" spans="1:20" x14ac:dyDescent="0.35">
      <c r="A419" s="7" t="s">
        <v>515</v>
      </c>
      <c r="B419" s="12" t="s">
        <v>305</v>
      </c>
      <c r="C419">
        <v>166211803.16273469</v>
      </c>
      <c r="D419">
        <v>159540913.06970471</v>
      </c>
      <c r="E419">
        <v>2105405.405405405</v>
      </c>
      <c r="F419">
        <v>1066663.063063063</v>
      </c>
      <c r="G419">
        <v>85</v>
      </c>
      <c r="H419">
        <v>85</v>
      </c>
      <c r="I419">
        <v>2</v>
      </c>
      <c r="K419">
        <v>86</v>
      </c>
      <c r="L419">
        <v>90</v>
      </c>
      <c r="M419">
        <v>14173423.423423424</v>
      </c>
      <c r="N419">
        <v>7459265.7657657666</v>
      </c>
      <c r="O419">
        <v>16406801.801801801</v>
      </c>
      <c r="P419">
        <v>17003900.9009009</v>
      </c>
      <c r="Q419">
        <v>14107747.747747747</v>
      </c>
      <c r="R419">
        <v>6759819.8198198201</v>
      </c>
      <c r="S419">
        <v>2155</v>
      </c>
      <c r="T419">
        <v>1447</v>
      </c>
    </row>
    <row r="420" spans="1:20" x14ac:dyDescent="0.35">
      <c r="A420" s="7" t="s">
        <v>516</v>
      </c>
      <c r="B420" s="12" t="s">
        <v>305</v>
      </c>
      <c r="C420">
        <v>46820492.720803507</v>
      </c>
      <c r="D420">
        <v>51126133.564878255</v>
      </c>
      <c r="E420">
        <v>451351.35135135101</v>
      </c>
      <c r="F420">
        <v>1015642.3423423429</v>
      </c>
      <c r="G420">
        <v>11</v>
      </c>
      <c r="H420">
        <v>11</v>
      </c>
      <c r="K420">
        <v>12</v>
      </c>
      <c r="L420">
        <v>11</v>
      </c>
      <c r="M420">
        <v>5317117.1171171172</v>
      </c>
      <c r="N420">
        <v>8308879.2792792805</v>
      </c>
      <c r="O420">
        <v>6693207.2072072066</v>
      </c>
      <c r="P420">
        <v>7929630.630630631</v>
      </c>
      <c r="Q420">
        <v>3872252.2522522509</v>
      </c>
      <c r="R420">
        <v>5936396.3963963948</v>
      </c>
      <c r="S420">
        <v>986</v>
      </c>
      <c r="T420">
        <v>333</v>
      </c>
    </row>
    <row r="421" spans="1:20" x14ac:dyDescent="0.35">
      <c r="A421" s="7" t="s">
        <v>517</v>
      </c>
      <c r="B421" s="12" t="s">
        <v>305</v>
      </c>
      <c r="C421">
        <v>96893256.689749733</v>
      </c>
      <c r="D421">
        <v>100513819.07971279</v>
      </c>
      <c r="E421">
        <v>770270.27027026704</v>
      </c>
      <c r="F421">
        <v>840701.80180180399</v>
      </c>
      <c r="G421">
        <v>43</v>
      </c>
      <c r="H421">
        <v>38</v>
      </c>
      <c r="K421">
        <v>48</v>
      </c>
      <c r="L421">
        <v>49</v>
      </c>
      <c r="M421">
        <v>5666666.666666667</v>
      </c>
      <c r="N421">
        <v>7951805.405405405</v>
      </c>
      <c r="O421">
        <v>15434963.963963963</v>
      </c>
      <c r="P421">
        <v>15604036.036036037</v>
      </c>
      <c r="Q421">
        <v>5361081.0810810803</v>
      </c>
      <c r="R421">
        <v>6961621.6216216208</v>
      </c>
      <c r="S421">
        <v>1860</v>
      </c>
      <c r="T421">
        <v>1273</v>
      </c>
    </row>
    <row r="422" spans="1:20" x14ac:dyDescent="0.35">
      <c r="A422" s="7" t="s">
        <v>518</v>
      </c>
      <c r="B422" s="12" t="s">
        <v>305</v>
      </c>
      <c r="C422">
        <v>77159189.165353596</v>
      </c>
      <c r="D422">
        <v>75888663.163038015</v>
      </c>
      <c r="E422">
        <v>102702.702702703</v>
      </c>
      <c r="F422">
        <v>345150.450450451</v>
      </c>
      <c r="G422">
        <v>26</v>
      </c>
      <c r="H422">
        <v>26</v>
      </c>
      <c r="K422">
        <v>26</v>
      </c>
      <c r="L422">
        <v>27</v>
      </c>
      <c r="M422">
        <v>2001801.8018018019</v>
      </c>
      <c r="N422">
        <v>3092572.072072071</v>
      </c>
      <c r="O422">
        <v>9726072.072072072</v>
      </c>
      <c r="P422">
        <v>11234675.675675675</v>
      </c>
      <c r="Q422">
        <v>1469279.2792792779</v>
      </c>
      <c r="R422">
        <v>1640990.9909909901</v>
      </c>
      <c r="S422">
        <v>1331</v>
      </c>
      <c r="T422">
        <v>745</v>
      </c>
    </row>
    <row r="423" spans="1:20" x14ac:dyDescent="0.35">
      <c r="A423" s="7" t="s">
        <v>519</v>
      </c>
      <c r="B423" s="12" t="s">
        <v>449</v>
      </c>
      <c r="C423">
        <v>79494757.18760784</v>
      </c>
      <c r="D423">
        <v>77441114.086395606</v>
      </c>
      <c r="E423">
        <v>516873873.87387383</v>
      </c>
      <c r="F423">
        <v>153592792.7927928</v>
      </c>
      <c r="G423">
        <v>21</v>
      </c>
      <c r="H423">
        <v>33</v>
      </c>
      <c r="K423">
        <v>27</v>
      </c>
      <c r="L423">
        <v>41</v>
      </c>
      <c r="M423">
        <v>8414639.6396396384</v>
      </c>
      <c r="N423">
        <v>72120765.765765756</v>
      </c>
      <c r="O423">
        <v>26788371.62162162</v>
      </c>
      <c r="P423">
        <v>26857846.846846849</v>
      </c>
      <c r="Q423">
        <v>5283423.4234234244</v>
      </c>
      <c r="R423">
        <v>69923873.873873875</v>
      </c>
      <c r="S423">
        <v>3378</v>
      </c>
      <c r="T423">
        <v>1747</v>
      </c>
    </row>
    <row r="424" spans="1:20" x14ac:dyDescent="0.35">
      <c r="A424" s="7" t="s">
        <v>520</v>
      </c>
      <c r="B424" s="12" t="s">
        <v>86</v>
      </c>
      <c r="C424">
        <v>244337303.19505015</v>
      </c>
      <c r="D424">
        <v>249261232.93526879</v>
      </c>
      <c r="E424">
        <v>392961991.8918919</v>
      </c>
      <c r="F424">
        <v>541936781.08108103</v>
      </c>
      <c r="G424">
        <v>46</v>
      </c>
      <c r="H424">
        <v>21</v>
      </c>
      <c r="K424">
        <v>51</v>
      </c>
      <c r="L424">
        <v>26</v>
      </c>
      <c r="M424">
        <v>93106756.756756753</v>
      </c>
      <c r="N424">
        <v>117521306.3063063</v>
      </c>
      <c r="O424">
        <v>60221809.009009011</v>
      </c>
      <c r="P424">
        <v>68001477.477477476</v>
      </c>
      <c r="Q424">
        <v>52175538.738738738</v>
      </c>
      <c r="R424">
        <v>85161621.621621609</v>
      </c>
      <c r="S424">
        <v>4350</v>
      </c>
      <c r="T424">
        <v>4034</v>
      </c>
    </row>
    <row r="425" spans="1:20" x14ac:dyDescent="0.35">
      <c r="A425" s="7" t="s">
        <v>521</v>
      </c>
      <c r="B425" s="12" t="s">
        <v>305</v>
      </c>
      <c r="C425">
        <v>122729237.41070741</v>
      </c>
      <c r="D425">
        <v>123909055.74015035</v>
      </c>
      <c r="E425">
        <v>264864.86486486503</v>
      </c>
      <c r="F425">
        <v>58983.783783783998</v>
      </c>
      <c r="G425">
        <v>16</v>
      </c>
      <c r="H425">
        <v>18</v>
      </c>
      <c r="K425">
        <v>16</v>
      </c>
      <c r="L425">
        <v>19</v>
      </c>
      <c r="M425">
        <v>8325225.225225226</v>
      </c>
      <c r="N425">
        <v>6781860.3603603607</v>
      </c>
      <c r="O425">
        <v>21626905.40540541</v>
      </c>
      <c r="P425">
        <v>23101693.693693694</v>
      </c>
      <c r="Q425">
        <v>4774234.2342342352</v>
      </c>
      <c r="R425">
        <v>5456846.8468468469</v>
      </c>
      <c r="S425">
        <v>1458</v>
      </c>
      <c r="T425">
        <v>1364</v>
      </c>
    </row>
    <row r="426" spans="1:20" x14ac:dyDescent="0.35">
      <c r="A426" s="7" t="s">
        <v>522</v>
      </c>
      <c r="B426" s="12" t="s">
        <v>400</v>
      </c>
      <c r="C426">
        <v>867785154.56740618</v>
      </c>
      <c r="D426">
        <v>869115809.03991759</v>
      </c>
      <c r="E426">
        <v>12857207.207207212</v>
      </c>
      <c r="F426">
        <v>18587334.234234236</v>
      </c>
      <c r="G426">
        <v>352</v>
      </c>
      <c r="H426">
        <v>227</v>
      </c>
      <c r="I426">
        <v>6</v>
      </c>
      <c r="K426">
        <v>665</v>
      </c>
      <c r="L426">
        <v>1014</v>
      </c>
      <c r="M426">
        <v>135411261.26126125</v>
      </c>
      <c r="N426">
        <v>180495036.03603604</v>
      </c>
      <c r="O426">
        <v>219551653.15315315</v>
      </c>
      <c r="P426">
        <v>229422792.7927928</v>
      </c>
      <c r="Q426">
        <v>129648198.19819821</v>
      </c>
      <c r="R426">
        <v>166906079.27927929</v>
      </c>
      <c r="S426">
        <v>16818</v>
      </c>
      <c r="T426">
        <v>13786</v>
      </c>
    </row>
    <row r="427" spans="1:20" x14ac:dyDescent="0.35">
      <c r="A427" s="7" t="s">
        <v>523</v>
      </c>
      <c r="B427" s="12" t="s">
        <v>144</v>
      </c>
      <c r="C427">
        <v>243916356.39771244</v>
      </c>
      <c r="D427">
        <v>253276610.39122826</v>
      </c>
      <c r="E427">
        <v>103096396.3963964</v>
      </c>
      <c r="F427">
        <v>24969327.927927926</v>
      </c>
      <c r="G427">
        <v>62</v>
      </c>
      <c r="H427">
        <v>21</v>
      </c>
      <c r="K427">
        <v>64</v>
      </c>
      <c r="L427">
        <v>22</v>
      </c>
      <c r="M427">
        <v>15422072.072072072</v>
      </c>
      <c r="N427">
        <v>14350833.333333334</v>
      </c>
      <c r="O427">
        <v>31508873.873873871</v>
      </c>
      <c r="P427">
        <v>31759609.009009007</v>
      </c>
      <c r="Q427">
        <v>13980270.270270271</v>
      </c>
      <c r="R427">
        <v>11658378.37837838</v>
      </c>
      <c r="S427">
        <v>3126</v>
      </c>
      <c r="T427">
        <v>2990</v>
      </c>
    </row>
    <row r="428" spans="1:20" x14ac:dyDescent="0.35">
      <c r="A428" s="7" t="s">
        <v>524</v>
      </c>
      <c r="B428" s="12" t="s">
        <v>67</v>
      </c>
      <c r="C428">
        <v>168922369.49375933</v>
      </c>
      <c r="D428">
        <v>157869370.32268664</v>
      </c>
      <c r="E428">
        <v>4995495.4954954963</v>
      </c>
      <c r="F428">
        <v>5141971.1711711716</v>
      </c>
      <c r="G428">
        <v>39</v>
      </c>
      <c r="H428">
        <v>45</v>
      </c>
      <c r="K428">
        <v>46</v>
      </c>
      <c r="L428">
        <v>50</v>
      </c>
      <c r="M428">
        <v>67949009.009009004</v>
      </c>
      <c r="N428">
        <v>77631674.774774775</v>
      </c>
      <c r="O428">
        <v>81224459.459459454</v>
      </c>
      <c r="P428">
        <v>78544153.153153151</v>
      </c>
      <c r="Q428">
        <v>67193873.873873875</v>
      </c>
      <c r="R428">
        <v>75612477.477477476</v>
      </c>
      <c r="S428">
        <v>5742</v>
      </c>
      <c r="T428">
        <v>3742</v>
      </c>
    </row>
    <row r="429" spans="1:20" x14ac:dyDescent="0.35">
      <c r="A429" s="7" t="s">
        <v>525</v>
      </c>
      <c r="B429" s="12" t="s">
        <v>221</v>
      </c>
      <c r="C429">
        <v>218790066.36500096</v>
      </c>
      <c r="D429">
        <v>218150174.95285147</v>
      </c>
      <c r="E429">
        <v>1305405.405405405</v>
      </c>
      <c r="F429">
        <v>518672.97297297203</v>
      </c>
      <c r="G429">
        <v>81</v>
      </c>
      <c r="H429">
        <v>64</v>
      </c>
      <c r="K429">
        <v>88</v>
      </c>
      <c r="L429">
        <v>69</v>
      </c>
      <c r="M429">
        <v>16814414.414414413</v>
      </c>
      <c r="N429">
        <v>14686808.108108109</v>
      </c>
      <c r="O429">
        <v>55220261.261261262</v>
      </c>
      <c r="P429">
        <v>58501313.513513513</v>
      </c>
      <c r="Q429">
        <v>14161891.891891891</v>
      </c>
      <c r="R429">
        <v>9762837.8378378358</v>
      </c>
      <c r="S429">
        <v>4652</v>
      </c>
      <c r="T429">
        <v>4331</v>
      </c>
    </row>
    <row r="430" spans="1:20" x14ac:dyDescent="0.35">
      <c r="A430" s="7" t="s">
        <v>526</v>
      </c>
      <c r="B430" s="12" t="s">
        <v>414</v>
      </c>
      <c r="C430">
        <v>2410326852.2857842</v>
      </c>
      <c r="D430">
        <v>2434076842.8068085</v>
      </c>
      <c r="E430">
        <v>563942989.1891892</v>
      </c>
      <c r="F430">
        <v>764149163.06306303</v>
      </c>
      <c r="G430">
        <v>810</v>
      </c>
      <c r="H430">
        <v>964</v>
      </c>
      <c r="I430">
        <v>2</v>
      </c>
      <c r="K430">
        <v>1406</v>
      </c>
      <c r="L430">
        <v>1641</v>
      </c>
      <c r="M430">
        <v>323561747.74774778</v>
      </c>
      <c r="N430">
        <v>445469114.41441441</v>
      </c>
      <c r="O430">
        <v>704958905.4054054</v>
      </c>
      <c r="P430">
        <v>782763271.17117119</v>
      </c>
      <c r="Q430">
        <v>332144054.05405408</v>
      </c>
      <c r="R430">
        <v>251109009.00900903</v>
      </c>
      <c r="S430">
        <v>35177</v>
      </c>
      <c r="T430">
        <v>32255</v>
      </c>
    </row>
    <row r="431" spans="1:20" x14ac:dyDescent="0.35">
      <c r="A431" s="7" t="s">
        <v>527</v>
      </c>
      <c r="B431" s="12" t="s">
        <v>414</v>
      </c>
      <c r="C431">
        <v>272450173.69931465</v>
      </c>
      <c r="D431">
        <v>274048634.67436647</v>
      </c>
      <c r="E431">
        <v>2777702.702702703</v>
      </c>
      <c r="F431">
        <v>216110.81081081199</v>
      </c>
      <c r="G431">
        <v>46</v>
      </c>
      <c r="H431">
        <v>34</v>
      </c>
      <c r="K431">
        <v>49</v>
      </c>
      <c r="L431">
        <v>38</v>
      </c>
      <c r="M431">
        <v>16740408.108108109</v>
      </c>
      <c r="N431">
        <v>16110941.441441443</v>
      </c>
      <c r="O431">
        <v>85680207.207207203</v>
      </c>
      <c r="P431">
        <v>89333689.189189181</v>
      </c>
      <c r="Q431">
        <v>13682072.072072072</v>
      </c>
      <c r="R431">
        <v>14117657.657657659</v>
      </c>
      <c r="S431">
        <v>4926</v>
      </c>
      <c r="T431">
        <v>4331</v>
      </c>
    </row>
    <row r="432" spans="1:20" x14ac:dyDescent="0.35">
      <c r="A432" s="7" t="s">
        <v>663</v>
      </c>
      <c r="B432" s="12" t="s">
        <v>190</v>
      </c>
      <c r="C432">
        <v>1693045.609999202</v>
      </c>
      <c r="E432">
        <v>42117117.117117122</v>
      </c>
      <c r="F432">
        <v>41576576.576576576</v>
      </c>
      <c r="G432">
        <v>4</v>
      </c>
      <c r="K432">
        <v>5</v>
      </c>
      <c r="O432">
        <v>937072.07207207195</v>
      </c>
      <c r="S432">
        <v>138</v>
      </c>
    </row>
    <row r="433" spans="1:20" x14ac:dyDescent="0.35">
      <c r="A433" s="7" t="s">
        <v>528</v>
      </c>
      <c r="B433" s="12" t="s">
        <v>148</v>
      </c>
      <c r="C433">
        <v>567020236.34792793</v>
      </c>
      <c r="D433">
        <v>537435150.9692713</v>
      </c>
      <c r="E433">
        <v>544234637.83783782</v>
      </c>
      <c r="F433">
        <v>698421327.02702713</v>
      </c>
      <c r="G433">
        <v>356</v>
      </c>
      <c r="H433">
        <v>221</v>
      </c>
      <c r="K433">
        <v>516</v>
      </c>
      <c r="L433">
        <v>272</v>
      </c>
      <c r="M433">
        <v>222145704.5045045</v>
      </c>
      <c r="N433">
        <v>226386755.85585588</v>
      </c>
      <c r="O433">
        <v>198976989.1891892</v>
      </c>
      <c r="P433">
        <v>202242538.73873875</v>
      </c>
      <c r="Q433">
        <v>172903423.42342341</v>
      </c>
      <c r="R433">
        <v>168151531.53153151</v>
      </c>
      <c r="S433">
        <v>11325</v>
      </c>
      <c r="T433">
        <v>9760</v>
      </c>
    </row>
    <row r="434" spans="1:20" x14ac:dyDescent="0.35">
      <c r="A434" s="7" t="s">
        <v>529</v>
      </c>
      <c r="B434" s="12" t="s">
        <v>122</v>
      </c>
      <c r="C434">
        <v>63247730.310711704</v>
      </c>
      <c r="D434">
        <v>55548322.532418221</v>
      </c>
      <c r="E434">
        <v>521621.62162162102</v>
      </c>
      <c r="F434">
        <v>489418.01801802003</v>
      </c>
      <c r="G434">
        <v>29</v>
      </c>
      <c r="H434">
        <v>37</v>
      </c>
      <c r="K434">
        <v>33</v>
      </c>
      <c r="L434">
        <v>39</v>
      </c>
      <c r="M434">
        <v>5787387.3873873875</v>
      </c>
      <c r="N434">
        <v>5499434.2342342352</v>
      </c>
      <c r="O434">
        <v>7953301.8018018017</v>
      </c>
      <c r="P434">
        <v>7635090.0900900904</v>
      </c>
      <c r="Q434">
        <v>5342342.3423423432</v>
      </c>
      <c r="R434">
        <v>5740270.2702702712</v>
      </c>
      <c r="S434">
        <v>1082</v>
      </c>
      <c r="T434">
        <v>1027</v>
      </c>
    </row>
    <row r="435" spans="1:20" x14ac:dyDescent="0.35">
      <c r="A435" s="7" t="s">
        <v>530</v>
      </c>
      <c r="B435" s="12" t="s">
        <v>449</v>
      </c>
      <c r="C435">
        <v>118138736.85111777</v>
      </c>
      <c r="D435">
        <v>143911022.26090035</v>
      </c>
      <c r="E435">
        <v>1126126.1261261259</v>
      </c>
      <c r="F435">
        <v>2401801.8018018021</v>
      </c>
      <c r="G435">
        <v>131</v>
      </c>
      <c r="H435">
        <v>32</v>
      </c>
      <c r="K435">
        <v>159</v>
      </c>
      <c r="L435">
        <v>32</v>
      </c>
      <c r="M435">
        <v>20738513.513513513</v>
      </c>
      <c r="N435">
        <v>19603153.153153151</v>
      </c>
      <c r="O435">
        <v>57835137.387387395</v>
      </c>
      <c r="P435">
        <v>69823297.297297299</v>
      </c>
      <c r="Q435">
        <v>22542657.657657657</v>
      </c>
      <c r="R435">
        <v>20384324.324324325</v>
      </c>
      <c r="S435">
        <v>2417</v>
      </c>
      <c r="T435">
        <v>2154</v>
      </c>
    </row>
    <row r="436" spans="1:20" x14ac:dyDescent="0.35">
      <c r="A436" s="7" t="s">
        <v>531</v>
      </c>
      <c r="B436" s="12" t="s">
        <v>449</v>
      </c>
      <c r="C436">
        <v>263467858.06484148</v>
      </c>
      <c r="D436">
        <v>265660937.67594713</v>
      </c>
      <c r="E436">
        <v>2651351.3513513501</v>
      </c>
      <c r="F436">
        <v>6787162.1621621633</v>
      </c>
      <c r="G436">
        <v>228</v>
      </c>
      <c r="H436">
        <v>333</v>
      </c>
      <c r="K436">
        <v>238</v>
      </c>
      <c r="L436">
        <v>358</v>
      </c>
      <c r="M436">
        <v>57872972.972972974</v>
      </c>
      <c r="N436">
        <v>56247972.972972974</v>
      </c>
      <c r="O436">
        <v>125062810.81081082</v>
      </c>
      <c r="P436">
        <v>128056969.36936937</v>
      </c>
      <c r="Q436">
        <v>57272792.79279279</v>
      </c>
      <c r="R436">
        <v>55242837.837837838</v>
      </c>
      <c r="S436">
        <v>7974</v>
      </c>
      <c r="T436">
        <v>5183</v>
      </c>
    </row>
    <row r="437" spans="1:20" x14ac:dyDescent="0.35">
      <c r="A437" s="7" t="s">
        <v>532</v>
      </c>
      <c r="B437" s="12" t="s">
        <v>124</v>
      </c>
      <c r="C437">
        <v>691014550.97170818</v>
      </c>
      <c r="D437">
        <v>699074366.6381768</v>
      </c>
      <c r="E437">
        <v>319486951.35135138</v>
      </c>
      <c r="F437">
        <v>552983464.86486495</v>
      </c>
      <c r="G437">
        <v>540</v>
      </c>
      <c r="H437">
        <v>421</v>
      </c>
      <c r="I437">
        <v>8</v>
      </c>
      <c r="K437">
        <v>1025</v>
      </c>
      <c r="L437">
        <v>1039</v>
      </c>
      <c r="M437">
        <v>273956486.48648649</v>
      </c>
      <c r="N437">
        <v>423346497.2972973</v>
      </c>
      <c r="O437">
        <v>243414768.46846849</v>
      </c>
      <c r="P437">
        <v>262296218.91891891</v>
      </c>
      <c r="Q437">
        <v>270523063.06306309</v>
      </c>
      <c r="R437">
        <v>423225495.4954955</v>
      </c>
      <c r="S437">
        <v>18210</v>
      </c>
      <c r="T437">
        <v>11330</v>
      </c>
    </row>
    <row r="438" spans="1:20" x14ac:dyDescent="0.35">
      <c r="A438" s="7" t="s">
        <v>533</v>
      </c>
      <c r="B438" s="12" t="s">
        <v>86</v>
      </c>
      <c r="C438">
        <v>202550633.98227143</v>
      </c>
      <c r="D438">
        <v>229789266.43721849</v>
      </c>
      <c r="E438">
        <v>2315315.315315316</v>
      </c>
      <c r="F438">
        <v>4078438.7387387408</v>
      </c>
      <c r="G438">
        <v>47</v>
      </c>
      <c r="H438">
        <v>39</v>
      </c>
      <c r="K438">
        <v>55</v>
      </c>
      <c r="L438">
        <v>47</v>
      </c>
      <c r="M438">
        <v>42316756.756756753</v>
      </c>
      <c r="N438">
        <v>87978465.765765756</v>
      </c>
      <c r="O438">
        <v>43903603.603603601</v>
      </c>
      <c r="P438">
        <v>58694288.288288288</v>
      </c>
      <c r="Q438">
        <v>35078378.378378376</v>
      </c>
      <c r="R438">
        <v>69371351.351351351</v>
      </c>
      <c r="S438">
        <v>3763</v>
      </c>
      <c r="T438">
        <v>3751</v>
      </c>
    </row>
    <row r="439" spans="1:20" x14ac:dyDescent="0.35">
      <c r="A439" s="7" t="s">
        <v>9</v>
      </c>
      <c r="B439" s="12" t="s">
        <v>159</v>
      </c>
      <c r="C439">
        <v>544528165.94134271</v>
      </c>
      <c r="D439">
        <v>515045579.80558217</v>
      </c>
      <c r="E439">
        <v>14990409.009009007</v>
      </c>
      <c r="F439">
        <v>12922036.036036037</v>
      </c>
      <c r="G439">
        <v>95</v>
      </c>
      <c r="H439">
        <v>124</v>
      </c>
      <c r="I439">
        <v>1</v>
      </c>
      <c r="K439">
        <v>102</v>
      </c>
      <c r="L439">
        <v>149</v>
      </c>
      <c r="M439">
        <v>758407158.55855858</v>
      </c>
      <c r="N439">
        <v>770541268.46846843</v>
      </c>
      <c r="O439">
        <v>195661945.94594595</v>
      </c>
      <c r="P439">
        <v>187596836.03603604</v>
      </c>
      <c r="Q439">
        <v>671643063.06306303</v>
      </c>
      <c r="R439">
        <v>715023018.01801801</v>
      </c>
      <c r="S439">
        <v>8223</v>
      </c>
      <c r="T439">
        <v>7086</v>
      </c>
    </row>
    <row r="440" spans="1:20" x14ac:dyDescent="0.35">
      <c r="A440" s="7" t="s">
        <v>534</v>
      </c>
      <c r="B440" s="12" t="s">
        <v>95</v>
      </c>
      <c r="C440">
        <v>519751705.4560895</v>
      </c>
      <c r="D440">
        <v>533305072.50421554</v>
      </c>
      <c r="E440">
        <v>1587387.3873873909</v>
      </c>
      <c r="F440">
        <v>3089580.1801801808</v>
      </c>
      <c r="G440">
        <v>109</v>
      </c>
      <c r="H440">
        <v>131</v>
      </c>
      <c r="K440">
        <v>117</v>
      </c>
      <c r="L440">
        <v>140</v>
      </c>
      <c r="M440">
        <v>48153153.153153151</v>
      </c>
      <c r="N440">
        <v>55921463.963963963</v>
      </c>
      <c r="O440">
        <v>69486837.837837845</v>
      </c>
      <c r="P440">
        <v>80795672.072072059</v>
      </c>
      <c r="Q440">
        <v>31678018.018018015</v>
      </c>
      <c r="R440">
        <v>33466126.126126129</v>
      </c>
      <c r="S440">
        <v>6714</v>
      </c>
      <c r="T440">
        <v>6515</v>
      </c>
    </row>
    <row r="441" spans="1:20" x14ac:dyDescent="0.35">
      <c r="A441" s="7" t="s">
        <v>535</v>
      </c>
      <c r="B441" s="12" t="s">
        <v>305</v>
      </c>
      <c r="C441">
        <v>14712779.774794396</v>
      </c>
      <c r="D441">
        <v>19243945.242581468</v>
      </c>
      <c r="E441">
        <v>157779084.68468466</v>
      </c>
      <c r="F441">
        <v>171949987.38738739</v>
      </c>
      <c r="G441">
        <v>7</v>
      </c>
      <c r="H441">
        <v>7</v>
      </c>
      <c r="K441">
        <v>8</v>
      </c>
      <c r="L441">
        <v>7</v>
      </c>
      <c r="M441">
        <v>44594.594594595001</v>
      </c>
      <c r="N441">
        <v>24765765.765765768</v>
      </c>
      <c r="O441">
        <v>2588468.4684684682</v>
      </c>
      <c r="P441">
        <v>2341306.3063063058</v>
      </c>
      <c r="S441">
        <v>474</v>
      </c>
      <c r="T441">
        <v>395</v>
      </c>
    </row>
    <row r="442" spans="1:20" x14ac:dyDescent="0.35">
      <c r="A442" s="7" t="s">
        <v>536</v>
      </c>
      <c r="B442" s="12" t="s">
        <v>305</v>
      </c>
      <c r="C442">
        <v>212780964.49915558</v>
      </c>
      <c r="D442">
        <v>206275362.52735901</v>
      </c>
      <c r="E442">
        <v>1221621.621621622</v>
      </c>
      <c r="F442">
        <v>1884681.0810810809</v>
      </c>
      <c r="G442">
        <v>32</v>
      </c>
      <c r="H442">
        <v>39</v>
      </c>
      <c r="K442">
        <v>38</v>
      </c>
      <c r="L442">
        <v>42</v>
      </c>
      <c r="M442">
        <v>16482882.882882882</v>
      </c>
      <c r="N442">
        <v>18977473.873873871</v>
      </c>
      <c r="O442">
        <v>19099279.27927928</v>
      </c>
      <c r="P442">
        <v>18386594.59459459</v>
      </c>
      <c r="Q442">
        <v>9269189.1891891882</v>
      </c>
      <c r="R442">
        <v>10212342.342342341</v>
      </c>
      <c r="S442">
        <v>2981</v>
      </c>
      <c r="T442">
        <v>2664</v>
      </c>
    </row>
    <row r="443" spans="1:20" x14ac:dyDescent="0.35">
      <c r="A443" s="7" t="s">
        <v>537</v>
      </c>
      <c r="B443" s="12" t="s">
        <v>86</v>
      </c>
      <c r="C443">
        <v>191237668.70188418</v>
      </c>
      <c r="D443">
        <v>197411740.39642048</v>
      </c>
      <c r="E443">
        <v>1292792.7927927941</v>
      </c>
      <c r="F443">
        <v>2545104.504504506</v>
      </c>
      <c r="G443">
        <v>94</v>
      </c>
      <c r="H443">
        <v>202</v>
      </c>
      <c r="I443">
        <v>4</v>
      </c>
      <c r="K443">
        <v>112</v>
      </c>
      <c r="L443">
        <v>230</v>
      </c>
      <c r="M443">
        <v>80480090.090090096</v>
      </c>
      <c r="N443">
        <v>104645781.08108109</v>
      </c>
      <c r="O443">
        <v>83368495.495495483</v>
      </c>
      <c r="P443">
        <v>90617549.54954955</v>
      </c>
      <c r="Q443">
        <v>63785585.585585587</v>
      </c>
      <c r="R443">
        <v>89308468.468468457</v>
      </c>
      <c r="S443">
        <v>3208</v>
      </c>
      <c r="T443">
        <v>3092</v>
      </c>
    </row>
    <row r="444" spans="1:20" x14ac:dyDescent="0.35">
      <c r="A444" s="7" t="s">
        <v>538</v>
      </c>
      <c r="B444" s="12" t="s">
        <v>449</v>
      </c>
      <c r="C444">
        <v>261483288.99810302</v>
      </c>
      <c r="D444">
        <v>248693429.27875477</v>
      </c>
      <c r="E444">
        <v>2690990.9909909922</v>
      </c>
      <c r="F444">
        <v>3559459.4594594631</v>
      </c>
      <c r="G444">
        <v>255</v>
      </c>
      <c r="H444">
        <v>86</v>
      </c>
      <c r="I444">
        <v>2</v>
      </c>
      <c r="K444">
        <v>296</v>
      </c>
      <c r="L444">
        <v>98</v>
      </c>
      <c r="M444">
        <v>27462342.342342339</v>
      </c>
      <c r="N444">
        <v>52104504.504504502</v>
      </c>
      <c r="O444">
        <v>73299106.306306303</v>
      </c>
      <c r="P444">
        <v>75257963.963963971</v>
      </c>
      <c r="Q444">
        <v>28227567.567567568</v>
      </c>
      <c r="R444">
        <v>49234774.774774775</v>
      </c>
      <c r="S444">
        <v>7132</v>
      </c>
      <c r="T444">
        <v>5182</v>
      </c>
    </row>
    <row r="445" spans="1:20" x14ac:dyDescent="0.35">
      <c r="A445" s="7" t="s">
        <v>539</v>
      </c>
      <c r="B445" s="12" t="s">
        <v>118</v>
      </c>
      <c r="C445">
        <v>589596277.70207167</v>
      </c>
      <c r="D445">
        <v>562907345.01793754</v>
      </c>
      <c r="E445">
        <v>12924549.549549554</v>
      </c>
      <c r="F445">
        <v>14426736.936936934</v>
      </c>
      <c r="G445">
        <v>199</v>
      </c>
      <c r="H445">
        <v>198</v>
      </c>
      <c r="K445">
        <v>232</v>
      </c>
      <c r="L445">
        <v>246</v>
      </c>
      <c r="M445">
        <v>134925854.95495495</v>
      </c>
      <c r="N445">
        <v>132090964.86486487</v>
      </c>
      <c r="O445">
        <v>335950292.7927928</v>
      </c>
      <c r="P445">
        <v>321064117.11711711</v>
      </c>
      <c r="Q445">
        <v>122009279.27927928</v>
      </c>
      <c r="R445">
        <v>118360585.58558558</v>
      </c>
      <c r="S445">
        <v>12448</v>
      </c>
      <c r="T445">
        <v>11174</v>
      </c>
    </row>
    <row r="446" spans="1:20" x14ac:dyDescent="0.35">
      <c r="A446" s="7" t="s">
        <v>540</v>
      </c>
      <c r="B446" s="12" t="s">
        <v>84</v>
      </c>
      <c r="C446">
        <v>1854850245.7449372</v>
      </c>
      <c r="D446">
        <v>1839908588.1450076</v>
      </c>
      <c r="E446">
        <v>9023500.9009009041</v>
      </c>
      <c r="F446">
        <v>11390871.171171172</v>
      </c>
      <c r="G446">
        <v>353</v>
      </c>
      <c r="H446">
        <v>380</v>
      </c>
      <c r="I446">
        <v>2</v>
      </c>
      <c r="K446">
        <v>394</v>
      </c>
      <c r="L446">
        <v>456</v>
      </c>
      <c r="M446">
        <v>129274405.4054054</v>
      </c>
      <c r="N446">
        <v>128620593.6936937</v>
      </c>
      <c r="O446">
        <v>199855246.3963964</v>
      </c>
      <c r="P446">
        <v>216067000</v>
      </c>
      <c r="Q446">
        <v>126103286.48648648</v>
      </c>
      <c r="R446">
        <v>108087160.36036035</v>
      </c>
      <c r="S446">
        <v>23101</v>
      </c>
      <c r="T446">
        <v>21783</v>
      </c>
    </row>
    <row r="447" spans="1:20" x14ac:dyDescent="0.35">
      <c r="A447" s="7" t="s">
        <v>541</v>
      </c>
      <c r="B447" s="12" t="s">
        <v>316</v>
      </c>
      <c r="C447">
        <v>224010200.13565582</v>
      </c>
      <c r="D447">
        <v>219862469.40651572</v>
      </c>
      <c r="E447">
        <v>3182207.2072072071</v>
      </c>
      <c r="F447">
        <v>3728382.8828828861</v>
      </c>
      <c r="G447">
        <v>49</v>
      </c>
      <c r="H447">
        <v>48</v>
      </c>
      <c r="K447">
        <v>52</v>
      </c>
      <c r="L447">
        <v>49</v>
      </c>
      <c r="M447">
        <v>15082432.432432432</v>
      </c>
      <c r="N447">
        <v>38840308.108108111</v>
      </c>
      <c r="O447">
        <v>42301756.75675676</v>
      </c>
      <c r="P447">
        <v>44598630.630630635</v>
      </c>
      <c r="Q447">
        <v>13310270.270270268</v>
      </c>
      <c r="R447">
        <v>37870630.630630635</v>
      </c>
      <c r="S447">
        <v>2733</v>
      </c>
      <c r="T447">
        <v>2585</v>
      </c>
    </row>
    <row r="448" spans="1:20" x14ac:dyDescent="0.35">
      <c r="A448" s="7" t="s">
        <v>542</v>
      </c>
      <c r="B448" s="12" t="s">
        <v>170</v>
      </c>
      <c r="C448">
        <v>1563675402.3972423</v>
      </c>
      <c r="D448">
        <v>1571760036.124722</v>
      </c>
      <c r="E448">
        <v>4654054.0540540526</v>
      </c>
      <c r="F448">
        <v>7638222.5225225231</v>
      </c>
      <c r="G448">
        <v>197</v>
      </c>
      <c r="H448">
        <v>270</v>
      </c>
      <c r="I448">
        <v>1</v>
      </c>
      <c r="K448">
        <v>240</v>
      </c>
      <c r="L448">
        <v>347</v>
      </c>
      <c r="M448">
        <v>93076103.603603616</v>
      </c>
      <c r="N448">
        <v>100856795.49549548</v>
      </c>
      <c r="O448">
        <v>576792772.52252245</v>
      </c>
      <c r="P448">
        <v>608951594.5945946</v>
      </c>
      <c r="Q448">
        <v>95759009.009009004</v>
      </c>
      <c r="R448">
        <v>98346756.756756753</v>
      </c>
      <c r="S448">
        <v>24073</v>
      </c>
      <c r="T448">
        <v>20368</v>
      </c>
    </row>
    <row r="449" spans="1:20" x14ac:dyDescent="0.35">
      <c r="A449" s="7" t="s">
        <v>543</v>
      </c>
      <c r="B449" s="12" t="s">
        <v>480</v>
      </c>
      <c r="C449">
        <v>491968705.67046791</v>
      </c>
      <c r="D449">
        <v>474658349.86599636</v>
      </c>
      <c r="E449">
        <v>1247747.74774775</v>
      </c>
      <c r="F449">
        <v>2189189.1891891891</v>
      </c>
      <c r="G449">
        <v>57</v>
      </c>
      <c r="H449">
        <v>37</v>
      </c>
      <c r="K449">
        <v>63</v>
      </c>
      <c r="L449">
        <v>44</v>
      </c>
      <c r="M449">
        <v>3518018.0180180189</v>
      </c>
      <c r="N449">
        <v>4608108.1081081163</v>
      </c>
      <c r="O449">
        <v>64330657.657657653</v>
      </c>
      <c r="P449">
        <v>82410729.729729727</v>
      </c>
      <c r="Q449">
        <v>2818198.1981981969</v>
      </c>
      <c r="R449">
        <v>3891981.981981989</v>
      </c>
      <c r="S449">
        <v>6839</v>
      </c>
      <c r="T449">
        <v>5437</v>
      </c>
    </row>
    <row r="450" spans="1:20" x14ac:dyDescent="0.35">
      <c r="A450" s="7" t="s">
        <v>544</v>
      </c>
      <c r="B450" s="12" t="s">
        <v>81</v>
      </c>
      <c r="C450">
        <v>120722312.24409805</v>
      </c>
      <c r="D450">
        <v>127204199.17553537</v>
      </c>
      <c r="E450">
        <v>1184234.234234235</v>
      </c>
      <c r="F450">
        <v>1984216.216216218</v>
      </c>
      <c r="G450">
        <v>40</v>
      </c>
      <c r="H450">
        <v>11</v>
      </c>
      <c r="K450">
        <v>42</v>
      </c>
      <c r="L450">
        <v>17</v>
      </c>
      <c r="M450">
        <v>29215765.765765764</v>
      </c>
      <c r="N450">
        <v>14367596.396396399</v>
      </c>
      <c r="O450">
        <v>44806306.306306303</v>
      </c>
      <c r="P450">
        <v>46658081.081081077</v>
      </c>
      <c r="Q450">
        <v>29086306.306306306</v>
      </c>
      <c r="R450">
        <v>13672432.432432432</v>
      </c>
      <c r="S450">
        <v>2939</v>
      </c>
      <c r="T450">
        <v>4715</v>
      </c>
    </row>
    <row r="451" spans="1:20" x14ac:dyDescent="0.35">
      <c r="A451" s="7" t="s">
        <v>545</v>
      </c>
      <c r="B451" s="12" t="s">
        <v>170</v>
      </c>
      <c r="C451">
        <v>119165316.27812153</v>
      </c>
      <c r="D451">
        <v>165321998.01370835</v>
      </c>
      <c r="E451">
        <v>277477.47747747699</v>
      </c>
      <c r="F451">
        <v>461261.26126126101</v>
      </c>
      <c r="G451">
        <v>17</v>
      </c>
      <c r="H451">
        <v>5</v>
      </c>
      <c r="K451">
        <v>19</v>
      </c>
      <c r="L451">
        <v>6</v>
      </c>
      <c r="M451">
        <v>1178378.378378378</v>
      </c>
      <c r="N451">
        <v>461261.26126126101</v>
      </c>
      <c r="O451">
        <v>49338953.153153151</v>
      </c>
      <c r="P451">
        <v>61215468.468468472</v>
      </c>
      <c r="Q451">
        <v>825765.76576576603</v>
      </c>
      <c r="R451">
        <v>1236486.4864864871</v>
      </c>
      <c r="S451">
        <v>2473</v>
      </c>
      <c r="T451">
        <v>2414</v>
      </c>
    </row>
    <row r="452" spans="1:20" x14ac:dyDescent="0.35">
      <c r="A452" s="7" t="s">
        <v>546</v>
      </c>
      <c r="B452" s="12" t="s">
        <v>225</v>
      </c>
      <c r="C452">
        <v>23641.878947639001</v>
      </c>
      <c r="D452">
        <v>42313.454668708</v>
      </c>
      <c r="O452">
        <v>16666.666666666999</v>
      </c>
      <c r="P452">
        <v>6081.0810810809999</v>
      </c>
    </row>
    <row r="453" spans="1:20" x14ac:dyDescent="0.35">
      <c r="A453" s="7" t="s">
        <v>547</v>
      </c>
      <c r="B453" s="12" t="s">
        <v>137</v>
      </c>
      <c r="C453">
        <v>306044542.4518466</v>
      </c>
      <c r="D453">
        <v>318955446.90701467</v>
      </c>
      <c r="E453">
        <v>1145945.9459459451</v>
      </c>
      <c r="F453">
        <v>3195229.729729732</v>
      </c>
      <c r="G453">
        <v>101</v>
      </c>
      <c r="H453">
        <v>63</v>
      </c>
      <c r="K453">
        <v>107</v>
      </c>
      <c r="L453">
        <v>64</v>
      </c>
      <c r="M453">
        <v>68229729.729729727</v>
      </c>
      <c r="N453">
        <v>78112000.9009009</v>
      </c>
      <c r="O453">
        <v>101222741.44144145</v>
      </c>
      <c r="P453">
        <v>121853421.62162161</v>
      </c>
      <c r="Q453">
        <v>56419819.819819823</v>
      </c>
      <c r="R453">
        <v>59757207.20720721</v>
      </c>
      <c r="S453">
        <v>4556</v>
      </c>
      <c r="T453">
        <v>4439</v>
      </c>
    </row>
    <row r="454" spans="1:20" x14ac:dyDescent="0.35">
      <c r="A454" s="7" t="s">
        <v>548</v>
      </c>
      <c r="B454" s="12" t="s">
        <v>137</v>
      </c>
      <c r="C454">
        <v>572226453.37286818</v>
      </c>
      <c r="D454">
        <v>578421753.39593208</v>
      </c>
      <c r="E454">
        <v>365814721.62162161</v>
      </c>
      <c r="F454">
        <v>458596114.41441441</v>
      </c>
      <c r="G454">
        <v>277</v>
      </c>
      <c r="H454">
        <v>284</v>
      </c>
      <c r="I454">
        <v>7</v>
      </c>
      <c r="K454">
        <v>321</v>
      </c>
      <c r="L454">
        <v>352</v>
      </c>
      <c r="M454">
        <v>143453153.15315315</v>
      </c>
      <c r="N454">
        <v>139780195.4954955</v>
      </c>
      <c r="O454">
        <v>188893092.7927928</v>
      </c>
      <c r="P454">
        <v>199505113.51351351</v>
      </c>
      <c r="Q454">
        <v>121029675.67567568</v>
      </c>
      <c r="R454">
        <v>116227027.02702704</v>
      </c>
      <c r="S454">
        <v>12937</v>
      </c>
      <c r="T454">
        <v>13322</v>
      </c>
    </row>
    <row r="455" spans="1:20" x14ac:dyDescent="0.35">
      <c r="A455" s="7" t="s">
        <v>549</v>
      </c>
      <c r="B455" s="12" t="s">
        <v>137</v>
      </c>
      <c r="C455">
        <v>645941477.13999999</v>
      </c>
      <c r="D455">
        <v>668293599.40333021</v>
      </c>
      <c r="E455">
        <v>4824324.3243243266</v>
      </c>
      <c r="F455">
        <v>2885391.8918918921</v>
      </c>
      <c r="G455">
        <v>102</v>
      </c>
      <c r="H455">
        <v>128</v>
      </c>
      <c r="I455">
        <v>6</v>
      </c>
      <c r="K455">
        <v>114</v>
      </c>
      <c r="L455">
        <v>134</v>
      </c>
      <c r="M455">
        <v>23833333.333333336</v>
      </c>
      <c r="N455">
        <v>26459587.387387387</v>
      </c>
      <c r="O455">
        <v>104669962.16216215</v>
      </c>
      <c r="P455">
        <v>113832086.48648648</v>
      </c>
      <c r="Q455">
        <v>22336306.306306303</v>
      </c>
      <c r="R455">
        <v>22950540.540540539</v>
      </c>
      <c r="S455">
        <v>8609</v>
      </c>
      <c r="T455">
        <v>8618</v>
      </c>
    </row>
    <row r="456" spans="1:20" x14ac:dyDescent="0.35">
      <c r="A456" s="7" t="s">
        <v>550</v>
      </c>
      <c r="B456" s="12" t="s">
        <v>137</v>
      </c>
      <c r="C456">
        <v>271327204.02373368</v>
      </c>
      <c r="D456">
        <v>249985936.80606994</v>
      </c>
      <c r="E456">
        <v>648648.64864864806</v>
      </c>
      <c r="F456">
        <v>1867814.414414413</v>
      </c>
      <c r="G456">
        <v>48</v>
      </c>
      <c r="H456">
        <v>66</v>
      </c>
      <c r="I456">
        <v>1</v>
      </c>
      <c r="K456">
        <v>51</v>
      </c>
      <c r="L456">
        <v>67</v>
      </c>
      <c r="M456">
        <v>19198198.198198196</v>
      </c>
      <c r="N456">
        <v>23101586.486486487</v>
      </c>
      <c r="O456">
        <v>44652090.090090089</v>
      </c>
      <c r="P456">
        <v>47829018.018018015</v>
      </c>
      <c r="Q456">
        <v>16023153.153153151</v>
      </c>
      <c r="R456">
        <v>18178108.108108107</v>
      </c>
      <c r="S456">
        <v>4065</v>
      </c>
      <c r="T456">
        <v>3725</v>
      </c>
    </row>
    <row r="457" spans="1:20" x14ac:dyDescent="0.35">
      <c r="A457" s="7" t="s">
        <v>551</v>
      </c>
      <c r="B457" s="12" t="s">
        <v>88</v>
      </c>
      <c r="C457">
        <v>114658571.21353495</v>
      </c>
      <c r="D457">
        <v>110459951.06390174</v>
      </c>
      <c r="E457">
        <v>158558.55855855899</v>
      </c>
      <c r="F457">
        <v>128336.93693693601</v>
      </c>
      <c r="G457">
        <v>60</v>
      </c>
      <c r="H457">
        <v>31</v>
      </c>
      <c r="K457">
        <v>65</v>
      </c>
      <c r="L457">
        <v>32</v>
      </c>
      <c r="M457">
        <v>6848648.6486486495</v>
      </c>
      <c r="N457">
        <v>5708823.4234234234</v>
      </c>
      <c r="O457">
        <v>18262953.153153151</v>
      </c>
      <c r="P457">
        <v>19650747.747747749</v>
      </c>
      <c r="Q457">
        <v>6460450.4504504502</v>
      </c>
      <c r="R457">
        <v>4651711.7117117122</v>
      </c>
      <c r="S457">
        <v>1533</v>
      </c>
      <c r="T457">
        <v>1360</v>
      </c>
    </row>
    <row r="458" spans="1:20" x14ac:dyDescent="0.35">
      <c r="A458" s="7" t="s">
        <v>552</v>
      </c>
      <c r="B458" s="12" t="s">
        <v>88</v>
      </c>
      <c r="C458">
        <v>170594842.00759426</v>
      </c>
      <c r="D458">
        <v>173793250.09220356</v>
      </c>
      <c r="E458">
        <v>558558.55855855905</v>
      </c>
      <c r="F458">
        <v>813824.32432432601</v>
      </c>
      <c r="G458">
        <v>102</v>
      </c>
      <c r="H458">
        <v>69</v>
      </c>
      <c r="K458">
        <v>113</v>
      </c>
      <c r="L458">
        <v>75</v>
      </c>
      <c r="M458">
        <v>11924324.324324325</v>
      </c>
      <c r="N458">
        <v>13664860.36036036</v>
      </c>
      <c r="O458">
        <v>23556790.990990993</v>
      </c>
      <c r="P458">
        <v>23759243.243243244</v>
      </c>
      <c r="Q458">
        <v>9218828.8288288284</v>
      </c>
      <c r="R458">
        <v>9735675.6756756753</v>
      </c>
      <c r="S458">
        <v>2822</v>
      </c>
      <c r="T458">
        <v>2632</v>
      </c>
    </row>
    <row r="459" spans="1:20" x14ac:dyDescent="0.35">
      <c r="A459" s="7" t="s">
        <v>553</v>
      </c>
      <c r="B459" s="12" t="s">
        <v>67</v>
      </c>
      <c r="C459">
        <v>342960811.78872877</v>
      </c>
      <c r="D459">
        <v>345880162.43512422</v>
      </c>
      <c r="E459">
        <v>13892792.792792795</v>
      </c>
      <c r="F459">
        <v>19306298.198198203</v>
      </c>
      <c r="G459">
        <v>255</v>
      </c>
      <c r="H459">
        <v>116</v>
      </c>
      <c r="I459">
        <v>1</v>
      </c>
      <c r="K459">
        <v>282</v>
      </c>
      <c r="L459">
        <v>150</v>
      </c>
      <c r="M459">
        <v>227272792.7927928</v>
      </c>
      <c r="N459">
        <v>341358229.72972971</v>
      </c>
      <c r="O459">
        <v>147357560.8108108</v>
      </c>
      <c r="P459">
        <v>146952945.94594595</v>
      </c>
      <c r="Q459">
        <v>224863063.06306309</v>
      </c>
      <c r="R459">
        <v>241959009.009009</v>
      </c>
      <c r="S459">
        <v>16270</v>
      </c>
      <c r="T459">
        <v>9080</v>
      </c>
    </row>
    <row r="460" spans="1:20" x14ac:dyDescent="0.35">
      <c r="A460" s="7" t="s">
        <v>35</v>
      </c>
      <c r="B460" s="12" t="s">
        <v>159</v>
      </c>
      <c r="E460">
        <v>376959459.45945948</v>
      </c>
      <c r="F460">
        <v>831701801.8018018</v>
      </c>
      <c r="M460">
        <v>26833558.558558561</v>
      </c>
      <c r="N460">
        <v>43948648.648648649</v>
      </c>
    </row>
    <row r="461" spans="1:20" x14ac:dyDescent="0.35">
      <c r="A461" s="7" t="s">
        <v>554</v>
      </c>
      <c r="B461" s="12" t="s">
        <v>555</v>
      </c>
      <c r="C461">
        <v>682612011.57108188</v>
      </c>
      <c r="D461">
        <v>665701649.92943561</v>
      </c>
      <c r="E461">
        <v>9696846.8468468487</v>
      </c>
      <c r="F461">
        <v>14408363.063063066</v>
      </c>
      <c r="G461">
        <v>158</v>
      </c>
      <c r="H461">
        <v>85</v>
      </c>
      <c r="I461">
        <v>5</v>
      </c>
      <c r="K461">
        <v>193</v>
      </c>
      <c r="L461">
        <v>97</v>
      </c>
      <c r="M461">
        <v>239409009.00900903</v>
      </c>
      <c r="N461">
        <v>269738532.43243247</v>
      </c>
      <c r="O461">
        <v>187228072.07207206</v>
      </c>
      <c r="P461">
        <v>205708855.85585588</v>
      </c>
      <c r="Q461">
        <v>235274727.92792794</v>
      </c>
      <c r="R461">
        <v>252987477.47747746</v>
      </c>
      <c r="S461">
        <v>9454</v>
      </c>
      <c r="T461">
        <v>12338</v>
      </c>
    </row>
    <row r="462" spans="1:20" x14ac:dyDescent="0.35">
      <c r="A462" s="7" t="s">
        <v>556</v>
      </c>
      <c r="B462" s="12" t="s">
        <v>555</v>
      </c>
      <c r="C462">
        <v>105577123.36110806</v>
      </c>
      <c r="D462">
        <v>103810787.81141049</v>
      </c>
      <c r="E462">
        <v>263658080.18018019</v>
      </c>
      <c r="F462">
        <v>240845101.8018018</v>
      </c>
      <c r="G462">
        <v>37</v>
      </c>
      <c r="H462">
        <v>34</v>
      </c>
      <c r="K462">
        <v>40</v>
      </c>
      <c r="L462">
        <v>43</v>
      </c>
      <c r="M462">
        <v>24981981.981981985</v>
      </c>
      <c r="N462">
        <v>36000936.936936937</v>
      </c>
      <c r="O462">
        <v>37888369.369369365</v>
      </c>
      <c r="P462">
        <v>41718189.189189196</v>
      </c>
      <c r="Q462">
        <v>13198558.558558561</v>
      </c>
      <c r="R462">
        <v>9357567.5675675683</v>
      </c>
      <c r="S462">
        <v>1775</v>
      </c>
      <c r="T462">
        <v>1505</v>
      </c>
    </row>
    <row r="463" spans="1:20" x14ac:dyDescent="0.35">
      <c r="A463" s="7" t="s">
        <v>557</v>
      </c>
      <c r="B463" s="12" t="s">
        <v>122</v>
      </c>
      <c r="C463">
        <v>76793340.119196326</v>
      </c>
      <c r="D463">
        <v>77569529.287920803</v>
      </c>
      <c r="E463">
        <v>450450.45045045001</v>
      </c>
      <c r="F463">
        <v>157657.65765765801</v>
      </c>
      <c r="G463">
        <v>38</v>
      </c>
      <c r="H463">
        <v>35</v>
      </c>
      <c r="K463">
        <v>42</v>
      </c>
      <c r="L463">
        <v>37</v>
      </c>
      <c r="M463">
        <v>450450.45045045001</v>
      </c>
      <c r="N463">
        <v>157657.65765765801</v>
      </c>
      <c r="O463">
        <v>6833414.4144144142</v>
      </c>
      <c r="P463">
        <v>10013873.873873875</v>
      </c>
      <c r="Q463">
        <v>243693.69369369399</v>
      </c>
      <c r="R463">
        <v>257657.65765765699</v>
      </c>
      <c r="S463">
        <v>1469</v>
      </c>
      <c r="T463">
        <v>1277</v>
      </c>
    </row>
    <row r="464" spans="1:20" x14ac:dyDescent="0.35">
      <c r="A464" s="7" t="s">
        <v>558</v>
      </c>
      <c r="B464" s="12" t="s">
        <v>71</v>
      </c>
      <c r="C464">
        <v>626899431.46192312</v>
      </c>
      <c r="D464">
        <v>621173229.70963883</v>
      </c>
      <c r="E464">
        <v>7883783.7837837934</v>
      </c>
      <c r="F464">
        <v>16745107.207207208</v>
      </c>
      <c r="G464">
        <v>150</v>
      </c>
      <c r="H464">
        <v>176</v>
      </c>
      <c r="I464">
        <v>1</v>
      </c>
      <c r="K464">
        <v>217</v>
      </c>
      <c r="L464">
        <v>199</v>
      </c>
      <c r="M464">
        <v>99657657.657657668</v>
      </c>
      <c r="N464">
        <v>207381381.98198199</v>
      </c>
      <c r="O464">
        <v>260731954.95495495</v>
      </c>
      <c r="P464">
        <v>261031405.4054054</v>
      </c>
      <c r="Q464">
        <v>85628648.648648649</v>
      </c>
      <c r="R464">
        <v>187947387.38738739</v>
      </c>
      <c r="S464">
        <v>10783</v>
      </c>
      <c r="T464">
        <v>11077</v>
      </c>
    </row>
    <row r="465" spans="1:20" x14ac:dyDescent="0.35">
      <c r="A465" s="7" t="s">
        <v>559</v>
      </c>
      <c r="B465" s="12" t="s">
        <v>63</v>
      </c>
      <c r="C465">
        <v>1135780358.6242411</v>
      </c>
      <c r="D465">
        <v>1137608836.0035424</v>
      </c>
      <c r="E465">
        <v>18859459.459459465</v>
      </c>
      <c r="F465">
        <v>26325220.720720727</v>
      </c>
      <c r="G465">
        <v>671</v>
      </c>
      <c r="H465">
        <v>570</v>
      </c>
      <c r="I465">
        <v>14</v>
      </c>
      <c r="K465">
        <v>918</v>
      </c>
      <c r="L465">
        <v>910</v>
      </c>
      <c r="M465">
        <v>155944144.14414412</v>
      </c>
      <c r="N465">
        <v>285617310.8108108</v>
      </c>
      <c r="O465">
        <v>270159265.76576579</v>
      </c>
      <c r="P465">
        <v>298869171.17117119</v>
      </c>
      <c r="Q465">
        <v>152329009.009009</v>
      </c>
      <c r="R465">
        <v>294047070.27027029</v>
      </c>
      <c r="S465">
        <v>19701</v>
      </c>
      <c r="T465">
        <v>18370</v>
      </c>
    </row>
    <row r="466" spans="1:20" x14ac:dyDescent="0.35">
      <c r="A466" s="7" t="s">
        <v>560</v>
      </c>
      <c r="B466" s="12" t="s">
        <v>480</v>
      </c>
      <c r="C466">
        <v>549767625.09319043</v>
      </c>
      <c r="D466">
        <v>535855230.14034539</v>
      </c>
      <c r="E466">
        <v>6684684.6846846826</v>
      </c>
      <c r="F466">
        <v>4182934.2342342339</v>
      </c>
      <c r="G466">
        <v>314</v>
      </c>
      <c r="H466">
        <v>121</v>
      </c>
      <c r="I466">
        <v>2</v>
      </c>
      <c r="K466">
        <v>342</v>
      </c>
      <c r="L466">
        <v>138</v>
      </c>
      <c r="M466">
        <v>79122612.612612605</v>
      </c>
      <c r="N466">
        <v>86650754.054054067</v>
      </c>
      <c r="O466">
        <v>173009867.56756756</v>
      </c>
      <c r="P466">
        <v>164325414.41441441</v>
      </c>
      <c r="Q466">
        <v>71358018.018018022</v>
      </c>
      <c r="R466">
        <v>84249774.77477479</v>
      </c>
      <c r="S466">
        <v>10042</v>
      </c>
      <c r="T466">
        <v>7726</v>
      </c>
    </row>
    <row r="467" spans="1:20" x14ac:dyDescent="0.35">
      <c r="A467" s="7" t="s">
        <v>561</v>
      </c>
      <c r="B467" s="12" t="s">
        <v>237</v>
      </c>
      <c r="C467">
        <v>91958031.522106692</v>
      </c>
      <c r="D467">
        <v>92224859.891529173</v>
      </c>
      <c r="E467">
        <v>1463963.963963964</v>
      </c>
      <c r="F467">
        <v>1100839.639639637</v>
      </c>
      <c r="G467">
        <v>39</v>
      </c>
      <c r="H467">
        <v>26</v>
      </c>
      <c r="K467">
        <v>60</v>
      </c>
      <c r="L467">
        <v>30</v>
      </c>
      <c r="M467">
        <v>7078108.1081081079</v>
      </c>
      <c r="N467">
        <v>7947358.5585585572</v>
      </c>
      <c r="O467">
        <v>32981403.603603605</v>
      </c>
      <c r="P467">
        <v>37238819.819819823</v>
      </c>
      <c r="Q467">
        <v>7113963.9639639622</v>
      </c>
      <c r="R467">
        <v>6593828.8288288293</v>
      </c>
      <c r="S467">
        <v>2518</v>
      </c>
      <c r="T467">
        <v>2082</v>
      </c>
    </row>
    <row r="468" spans="1:20" x14ac:dyDescent="0.35">
      <c r="A468" s="7" t="s">
        <v>562</v>
      </c>
      <c r="B468" s="12" t="s">
        <v>61</v>
      </c>
      <c r="C468">
        <v>87860871.453113407</v>
      </c>
      <c r="D468">
        <v>83731222.101456106</v>
      </c>
      <c r="E468">
        <v>3507207.2072072062</v>
      </c>
      <c r="F468">
        <v>2740930.6306306301</v>
      </c>
      <c r="G468">
        <v>29</v>
      </c>
      <c r="H468">
        <v>59</v>
      </c>
      <c r="K468">
        <v>85</v>
      </c>
      <c r="L468">
        <v>127</v>
      </c>
      <c r="M468">
        <v>23551351.351351351</v>
      </c>
      <c r="N468">
        <v>23241781.081081081</v>
      </c>
      <c r="O468">
        <v>31114729.729729727</v>
      </c>
      <c r="P468">
        <v>29780000</v>
      </c>
      <c r="Q468">
        <v>23100180.180180181</v>
      </c>
      <c r="R468">
        <v>22842972.972972974</v>
      </c>
      <c r="S468">
        <v>1994</v>
      </c>
      <c r="T468">
        <v>1113</v>
      </c>
    </row>
    <row r="469" spans="1:20" x14ac:dyDescent="0.35">
      <c r="A469" s="7" t="s">
        <v>563</v>
      </c>
      <c r="B469" s="12" t="s">
        <v>564</v>
      </c>
      <c r="C469">
        <v>488471547.78728855</v>
      </c>
      <c r="D469">
        <v>502948639.26555771</v>
      </c>
      <c r="E469">
        <v>1152216590.09009</v>
      </c>
      <c r="F469">
        <v>998851343.24324322</v>
      </c>
      <c r="G469">
        <v>816</v>
      </c>
      <c r="H469">
        <v>647</v>
      </c>
      <c r="I469">
        <v>3</v>
      </c>
      <c r="K469">
        <v>1244</v>
      </c>
      <c r="L469">
        <v>939</v>
      </c>
      <c r="M469">
        <v>765368214.41441441</v>
      </c>
      <c r="N469">
        <v>672241772.07207203</v>
      </c>
      <c r="O469">
        <v>207590270.27027026</v>
      </c>
      <c r="P469">
        <v>231712522.52252254</v>
      </c>
      <c r="Q469">
        <v>590811165.76576579</v>
      </c>
      <c r="R469">
        <v>875935063.06306303</v>
      </c>
      <c r="S469">
        <v>21325</v>
      </c>
      <c r="T469">
        <v>8344</v>
      </c>
    </row>
    <row r="470" spans="1:20" x14ac:dyDescent="0.35">
      <c r="A470" s="7" t="s">
        <v>565</v>
      </c>
      <c r="B470" s="12" t="s">
        <v>564</v>
      </c>
      <c r="C470">
        <v>669672839.35029256</v>
      </c>
      <c r="D470">
        <v>649832425.61767042</v>
      </c>
      <c r="E470">
        <v>10947747.747747749</v>
      </c>
      <c r="F470">
        <v>16306873.873873875</v>
      </c>
      <c r="G470">
        <v>231</v>
      </c>
      <c r="H470">
        <v>226</v>
      </c>
      <c r="K470">
        <v>267</v>
      </c>
      <c r="L470">
        <v>340</v>
      </c>
      <c r="M470">
        <v>82075767.567567572</v>
      </c>
      <c r="N470">
        <v>116111355.85585585</v>
      </c>
      <c r="O470">
        <v>275155270.27027029</v>
      </c>
      <c r="P470">
        <v>281716009.009009</v>
      </c>
      <c r="Q470">
        <v>95112837.837837845</v>
      </c>
      <c r="R470">
        <v>115642072.07207207</v>
      </c>
      <c r="S470">
        <v>22509</v>
      </c>
      <c r="T470">
        <v>11900</v>
      </c>
    </row>
    <row r="471" spans="1:20" x14ac:dyDescent="0.35">
      <c r="A471" s="7" t="s">
        <v>566</v>
      </c>
      <c r="B471" s="12" t="s">
        <v>564</v>
      </c>
      <c r="C471">
        <v>479699385.45112824</v>
      </c>
      <c r="D471">
        <v>512101474.73412824</v>
      </c>
      <c r="E471">
        <v>9281493.6936936956</v>
      </c>
      <c r="F471">
        <v>13718027.027027028</v>
      </c>
      <c r="G471">
        <v>372</v>
      </c>
      <c r="H471">
        <v>294</v>
      </c>
      <c r="K471">
        <v>632</v>
      </c>
      <c r="L471">
        <v>461</v>
      </c>
      <c r="M471">
        <v>66193289.189189196</v>
      </c>
      <c r="N471">
        <v>131930266.66666667</v>
      </c>
      <c r="O471">
        <v>214003558.55855855</v>
      </c>
      <c r="P471">
        <v>229654351.35135135</v>
      </c>
      <c r="Q471">
        <v>62090180.180180177</v>
      </c>
      <c r="R471">
        <v>125758423.42342342</v>
      </c>
      <c r="S471">
        <v>26405</v>
      </c>
      <c r="T471">
        <v>12018</v>
      </c>
    </row>
    <row r="472" spans="1:20" x14ac:dyDescent="0.35">
      <c r="A472" s="7" t="s">
        <v>567</v>
      </c>
      <c r="B472" s="12" t="s">
        <v>564</v>
      </c>
      <c r="C472">
        <v>318788507.48425901</v>
      </c>
      <c r="D472">
        <v>335480629.42571771</v>
      </c>
      <c r="E472">
        <v>5773873.8738738764</v>
      </c>
      <c r="F472">
        <v>11832657.657657659</v>
      </c>
      <c r="G472">
        <v>38</v>
      </c>
      <c r="H472">
        <v>103</v>
      </c>
      <c r="K472">
        <v>47</v>
      </c>
      <c r="L472">
        <v>107</v>
      </c>
      <c r="M472">
        <v>64623484.684684679</v>
      </c>
      <c r="N472">
        <v>90315540.540540546</v>
      </c>
      <c r="O472">
        <v>189815144.14414412</v>
      </c>
      <c r="P472">
        <v>190388990.99099097</v>
      </c>
      <c r="Q472">
        <v>64045315.315315314</v>
      </c>
      <c r="R472">
        <v>91387972.972972974</v>
      </c>
      <c r="S472">
        <v>8906</v>
      </c>
      <c r="T472">
        <v>7004</v>
      </c>
    </row>
    <row r="473" spans="1:20" x14ac:dyDescent="0.35">
      <c r="A473" s="7" t="s">
        <v>568</v>
      </c>
      <c r="B473" s="12" t="s">
        <v>564</v>
      </c>
      <c r="C473">
        <v>184898261.76238775</v>
      </c>
      <c r="D473">
        <v>187570547.3035827</v>
      </c>
      <c r="E473">
        <v>6692792.7927927906</v>
      </c>
      <c r="F473">
        <v>9893873.8738738745</v>
      </c>
      <c r="G473">
        <v>55</v>
      </c>
      <c r="H473">
        <v>51</v>
      </c>
      <c r="I473">
        <v>3</v>
      </c>
      <c r="K473">
        <v>67</v>
      </c>
      <c r="L473">
        <v>117</v>
      </c>
      <c r="M473">
        <v>201878190.99099097</v>
      </c>
      <c r="N473">
        <v>78166085.585585579</v>
      </c>
      <c r="O473">
        <v>75229899.0990991</v>
      </c>
      <c r="P473">
        <v>82040594.594594598</v>
      </c>
      <c r="Q473">
        <v>198539144.14414412</v>
      </c>
      <c r="R473">
        <v>76482027.027027026</v>
      </c>
      <c r="S473">
        <v>10163</v>
      </c>
      <c r="T473">
        <v>4905</v>
      </c>
    </row>
    <row r="474" spans="1:20" x14ac:dyDescent="0.35">
      <c r="A474" s="7" t="s">
        <v>569</v>
      </c>
      <c r="B474" s="12" t="s">
        <v>49</v>
      </c>
      <c r="C474">
        <v>417590312.66702396</v>
      </c>
      <c r="D474">
        <v>404593391.04120392</v>
      </c>
      <c r="E474">
        <v>105900000</v>
      </c>
      <c r="F474">
        <v>57760183.783783786</v>
      </c>
      <c r="G474">
        <v>58</v>
      </c>
      <c r="H474">
        <v>21</v>
      </c>
      <c r="K474">
        <v>63</v>
      </c>
      <c r="L474">
        <v>23</v>
      </c>
      <c r="M474">
        <v>21040090.090090092</v>
      </c>
      <c r="N474">
        <v>29520463.963963963</v>
      </c>
      <c r="O474">
        <v>51557715.315315314</v>
      </c>
      <c r="P474">
        <v>55940214.414414413</v>
      </c>
      <c r="Q474">
        <v>20901531.531531531</v>
      </c>
      <c r="R474">
        <v>17177070.270270273</v>
      </c>
      <c r="S474">
        <v>6420</v>
      </c>
      <c r="T474">
        <v>5884</v>
      </c>
    </row>
    <row r="475" spans="1:20" x14ac:dyDescent="0.35">
      <c r="A475" s="7" t="s">
        <v>570</v>
      </c>
      <c r="B475" s="12" t="s">
        <v>170</v>
      </c>
      <c r="C475">
        <v>5455526950.9849119</v>
      </c>
      <c r="D475">
        <v>5303710394.8279533</v>
      </c>
      <c r="E475">
        <v>4320578658.5585585</v>
      </c>
      <c r="F475">
        <v>7439924820.7207212</v>
      </c>
      <c r="G475">
        <v>2079</v>
      </c>
      <c r="H475">
        <v>2043</v>
      </c>
      <c r="I475">
        <v>13</v>
      </c>
      <c r="K475">
        <v>2509</v>
      </c>
      <c r="L475">
        <v>3570</v>
      </c>
      <c r="M475">
        <v>854951990.990991</v>
      </c>
      <c r="N475">
        <v>1029493897.2972972</v>
      </c>
      <c r="O475">
        <v>3200979906.3063059</v>
      </c>
      <c r="P475">
        <v>5603146945.9459457</v>
      </c>
      <c r="Q475">
        <v>826191300.90090084</v>
      </c>
      <c r="R475">
        <v>926432336.93693697</v>
      </c>
      <c r="S475">
        <v>59417</v>
      </c>
      <c r="T475">
        <v>59231</v>
      </c>
    </row>
    <row r="476" spans="1:20" x14ac:dyDescent="0.35">
      <c r="A476" s="7" t="s">
        <v>571</v>
      </c>
      <c r="B476" s="12" t="s">
        <v>221</v>
      </c>
      <c r="C476">
        <v>363615591.12370628</v>
      </c>
      <c r="D476">
        <v>369912898.51787245</v>
      </c>
      <c r="E476">
        <v>3014414.414414417</v>
      </c>
      <c r="F476">
        <v>3054590.090090089</v>
      </c>
      <c r="G476">
        <v>35</v>
      </c>
      <c r="H476">
        <v>47</v>
      </c>
      <c r="K476">
        <v>38</v>
      </c>
      <c r="L476">
        <v>50</v>
      </c>
      <c r="M476">
        <v>21415945.945945945</v>
      </c>
      <c r="N476">
        <v>24667236.036036037</v>
      </c>
      <c r="O476">
        <v>60069531.531531528</v>
      </c>
      <c r="P476">
        <v>67485962.162162155</v>
      </c>
      <c r="Q476">
        <v>19934684.684684683</v>
      </c>
      <c r="R476">
        <v>24405765.765765768</v>
      </c>
      <c r="S476">
        <v>4721</v>
      </c>
      <c r="T476">
        <v>5104</v>
      </c>
    </row>
    <row r="477" spans="1:20" x14ac:dyDescent="0.35">
      <c r="A477" s="7" t="s">
        <v>572</v>
      </c>
      <c r="B477" s="12" t="s">
        <v>86</v>
      </c>
      <c r="C477">
        <v>449957762.90156472</v>
      </c>
      <c r="D477">
        <v>488528794.95853406</v>
      </c>
      <c r="E477">
        <v>137041441.44144145</v>
      </c>
      <c r="F477">
        <v>304563738.73873878</v>
      </c>
      <c r="G477">
        <v>56</v>
      </c>
      <c r="H477">
        <v>26</v>
      </c>
      <c r="K477">
        <v>61</v>
      </c>
      <c r="L477">
        <v>30</v>
      </c>
      <c r="M477">
        <v>60462240.540540546</v>
      </c>
      <c r="N477">
        <v>114347567.56756757</v>
      </c>
      <c r="O477">
        <v>102263032.43243243</v>
      </c>
      <c r="P477">
        <v>120966358.55855855</v>
      </c>
      <c r="Q477">
        <v>47306486.486486487</v>
      </c>
      <c r="R477">
        <v>87131351.351351351</v>
      </c>
      <c r="S477">
        <v>5357</v>
      </c>
      <c r="T477">
        <v>5023</v>
      </c>
    </row>
    <row r="478" spans="1:20" x14ac:dyDescent="0.35">
      <c r="A478" s="7" t="s">
        <v>573</v>
      </c>
      <c r="B478" s="12" t="s">
        <v>480</v>
      </c>
      <c r="C478">
        <v>241487374.3471548</v>
      </c>
      <c r="D478">
        <v>210770020.05408627</v>
      </c>
      <c r="E478">
        <v>179109332.43243241</v>
      </c>
      <c r="F478">
        <v>198679421.62162164</v>
      </c>
      <c r="G478">
        <v>201</v>
      </c>
      <c r="H478">
        <v>108</v>
      </c>
      <c r="K478">
        <v>221</v>
      </c>
      <c r="L478">
        <v>153</v>
      </c>
      <c r="M478">
        <v>48499836.936936937</v>
      </c>
      <c r="N478">
        <v>64612554.054054059</v>
      </c>
      <c r="O478">
        <v>103969219.81981982</v>
      </c>
      <c r="P478">
        <v>93470972.972972974</v>
      </c>
      <c r="Q478">
        <v>42402522.522522531</v>
      </c>
      <c r="R478">
        <v>59172792.79279279</v>
      </c>
      <c r="S478">
        <v>11416</v>
      </c>
      <c r="T478">
        <v>5285</v>
      </c>
    </row>
    <row r="479" spans="1:20" x14ac:dyDescent="0.35">
      <c r="A479" s="7" t="s">
        <v>574</v>
      </c>
      <c r="B479" s="12" t="s">
        <v>95</v>
      </c>
      <c r="C479">
        <v>602250019.25291967</v>
      </c>
      <c r="D479">
        <v>627650674.3574357</v>
      </c>
      <c r="E479">
        <v>3577477.4774774788</v>
      </c>
      <c r="F479">
        <v>6682076.5765765756</v>
      </c>
      <c r="G479">
        <v>129</v>
      </c>
      <c r="H479">
        <v>222</v>
      </c>
      <c r="I479">
        <v>2</v>
      </c>
      <c r="K479">
        <v>158</v>
      </c>
      <c r="L479">
        <v>368</v>
      </c>
      <c r="M479">
        <v>864659234.23423421</v>
      </c>
      <c r="N479">
        <v>53437036.036036029</v>
      </c>
      <c r="O479">
        <v>128217315.76576576</v>
      </c>
      <c r="P479">
        <v>141678890.0900901</v>
      </c>
      <c r="Q479">
        <v>47902027.027027026</v>
      </c>
      <c r="R479">
        <v>49222252.252252251</v>
      </c>
      <c r="S479">
        <v>10085</v>
      </c>
      <c r="T479">
        <v>9578</v>
      </c>
    </row>
    <row r="480" spans="1:20" x14ac:dyDescent="0.35">
      <c r="A480" s="7" t="s">
        <v>575</v>
      </c>
      <c r="B480" s="12" t="s">
        <v>308</v>
      </c>
      <c r="C480">
        <v>1406667285.7394919</v>
      </c>
      <c r="D480">
        <v>1424793558.0186415</v>
      </c>
      <c r="E480">
        <v>30187117.117117129</v>
      </c>
      <c r="F480">
        <v>33191998.198198199</v>
      </c>
      <c r="G480">
        <v>836</v>
      </c>
      <c r="H480">
        <v>577</v>
      </c>
      <c r="I480">
        <v>5</v>
      </c>
      <c r="K480">
        <v>978</v>
      </c>
      <c r="L480">
        <v>677</v>
      </c>
      <c r="M480">
        <v>1905119369.3693693</v>
      </c>
      <c r="N480">
        <v>659549442.34234238</v>
      </c>
      <c r="O480">
        <v>576722422.07207203</v>
      </c>
      <c r="P480">
        <v>598382495.49549556</v>
      </c>
      <c r="Q480">
        <v>321848468.46846849</v>
      </c>
      <c r="R480">
        <v>426925495.4954955</v>
      </c>
      <c r="S480">
        <v>44123</v>
      </c>
      <c r="T480">
        <v>32835</v>
      </c>
    </row>
    <row r="481" spans="1:20" x14ac:dyDescent="0.35">
      <c r="A481" s="7" t="s">
        <v>10</v>
      </c>
      <c r="B481" s="12" t="s">
        <v>194</v>
      </c>
      <c r="C481">
        <v>229081733.18282193</v>
      </c>
      <c r="D481">
        <v>223144516.50619581</v>
      </c>
      <c r="F481">
        <v>20268.468468469</v>
      </c>
      <c r="G481">
        <v>33</v>
      </c>
      <c r="H481">
        <v>23</v>
      </c>
      <c r="K481">
        <v>35</v>
      </c>
      <c r="L481">
        <v>29</v>
      </c>
      <c r="N481">
        <v>21335.135135134999</v>
      </c>
      <c r="O481">
        <v>137249250.45045045</v>
      </c>
      <c r="P481">
        <v>133183387.38738739</v>
      </c>
      <c r="Q481">
        <v>19639.639639640001</v>
      </c>
      <c r="R481">
        <v>606216.21621621598</v>
      </c>
      <c r="S481">
        <v>4684</v>
      </c>
      <c r="T481">
        <v>3528</v>
      </c>
    </row>
    <row r="482" spans="1:20" x14ac:dyDescent="0.35">
      <c r="A482" s="7" t="s">
        <v>576</v>
      </c>
      <c r="B482" s="12" t="s">
        <v>88</v>
      </c>
      <c r="C482">
        <v>4918886.2123539206</v>
      </c>
      <c r="D482">
        <v>5693922.7571385447</v>
      </c>
      <c r="G482">
        <v>27</v>
      </c>
      <c r="H482">
        <v>16</v>
      </c>
      <c r="K482">
        <v>28</v>
      </c>
      <c r="L482">
        <v>20</v>
      </c>
      <c r="O482">
        <v>1754565.7657657659</v>
      </c>
      <c r="P482">
        <v>2232252.2522522528</v>
      </c>
      <c r="S482">
        <v>268</v>
      </c>
      <c r="T482">
        <v>203</v>
      </c>
    </row>
    <row r="483" spans="1:20" x14ac:dyDescent="0.35">
      <c r="A483" s="7" t="s">
        <v>577</v>
      </c>
      <c r="B483" s="12" t="s">
        <v>284</v>
      </c>
      <c r="C483">
        <v>321935161.87081784</v>
      </c>
      <c r="D483">
        <v>330700629.07541835</v>
      </c>
      <c r="E483">
        <v>135268468.46846846</v>
      </c>
      <c r="F483">
        <v>57443243.24324324</v>
      </c>
      <c r="G483">
        <v>63</v>
      </c>
      <c r="H483">
        <v>10</v>
      </c>
      <c r="I483">
        <v>1</v>
      </c>
      <c r="K483">
        <v>64</v>
      </c>
      <c r="L483">
        <v>15</v>
      </c>
      <c r="M483">
        <v>25148198.198198199</v>
      </c>
      <c r="N483">
        <v>20615135.135135137</v>
      </c>
      <c r="O483">
        <v>50667270.270270273</v>
      </c>
      <c r="P483">
        <v>49556387.387387387</v>
      </c>
      <c r="Q483">
        <v>21810540.540540539</v>
      </c>
      <c r="R483">
        <v>20860900.9009009</v>
      </c>
      <c r="S483">
        <v>3769</v>
      </c>
      <c r="T483">
        <v>3516</v>
      </c>
    </row>
    <row r="484" spans="1:20" x14ac:dyDescent="0.35">
      <c r="A484" s="7" t="s">
        <v>578</v>
      </c>
      <c r="B484" s="12" t="s">
        <v>308</v>
      </c>
      <c r="C484">
        <v>1386335168.2055407</v>
      </c>
      <c r="D484">
        <v>1387593872.6565604</v>
      </c>
      <c r="E484">
        <v>18801351.351351365</v>
      </c>
      <c r="F484">
        <v>28344295.495495498</v>
      </c>
      <c r="G484">
        <v>683</v>
      </c>
      <c r="H484">
        <v>541</v>
      </c>
      <c r="K484">
        <v>766</v>
      </c>
      <c r="L484">
        <v>643</v>
      </c>
      <c r="M484">
        <v>169549549.54954958</v>
      </c>
      <c r="N484">
        <v>626506288.28828824</v>
      </c>
      <c r="O484">
        <v>577826369.36936939</v>
      </c>
      <c r="P484">
        <v>590366466.66666663</v>
      </c>
      <c r="Q484">
        <v>158849279.27927929</v>
      </c>
      <c r="R484">
        <v>396947567.56756753</v>
      </c>
      <c r="S484">
        <v>62667</v>
      </c>
      <c r="T484">
        <v>38108</v>
      </c>
    </row>
    <row r="485" spans="1:20" x14ac:dyDescent="0.35">
      <c r="A485" s="7" t="s">
        <v>579</v>
      </c>
      <c r="B485" s="12" t="s">
        <v>331</v>
      </c>
      <c r="C485">
        <v>1276709956.8915384</v>
      </c>
      <c r="D485">
        <v>1267249209.0909319</v>
      </c>
      <c r="E485">
        <v>14076576.576576572</v>
      </c>
      <c r="F485">
        <v>10085968.468468472</v>
      </c>
      <c r="G485">
        <v>496</v>
      </c>
      <c r="H485">
        <v>497</v>
      </c>
      <c r="I485">
        <v>21</v>
      </c>
      <c r="K485">
        <v>732</v>
      </c>
      <c r="L485">
        <v>604</v>
      </c>
      <c r="M485">
        <v>292893873.87387383</v>
      </c>
      <c r="N485">
        <v>337972845.04504508</v>
      </c>
      <c r="O485">
        <v>274109899.0990991</v>
      </c>
      <c r="P485">
        <v>286932863.06306309</v>
      </c>
      <c r="Q485">
        <v>288661351.35135138</v>
      </c>
      <c r="R485">
        <v>334605945.94594592</v>
      </c>
      <c r="S485">
        <v>37294</v>
      </c>
      <c r="T485">
        <v>27485</v>
      </c>
    </row>
    <row r="486" spans="1:20" x14ac:dyDescent="0.35">
      <c r="A486" s="7" t="s">
        <v>580</v>
      </c>
      <c r="B486" s="12" t="s">
        <v>67</v>
      </c>
      <c r="C486">
        <v>198159532.17534736</v>
      </c>
      <c r="D486">
        <v>191774474.88551456</v>
      </c>
      <c r="E486">
        <v>449099.099099099</v>
      </c>
      <c r="F486">
        <v>90090.090090091006</v>
      </c>
      <c r="G486">
        <v>33</v>
      </c>
      <c r="H486">
        <v>26</v>
      </c>
      <c r="K486">
        <v>35</v>
      </c>
      <c r="L486">
        <v>29</v>
      </c>
      <c r="M486">
        <v>5427477.4774774807</v>
      </c>
      <c r="N486">
        <v>4010360.360360357</v>
      </c>
      <c r="O486">
        <v>52987743.24324324</v>
      </c>
      <c r="P486">
        <v>49098936.936936937</v>
      </c>
      <c r="Q486">
        <v>5163873.8738738773</v>
      </c>
      <c r="R486">
        <v>4909729.7297297269</v>
      </c>
      <c r="S486">
        <v>5230</v>
      </c>
      <c r="T486">
        <v>3338</v>
      </c>
    </row>
    <row r="487" spans="1:20" x14ac:dyDescent="0.35">
      <c r="A487" s="7" t="s">
        <v>581</v>
      </c>
      <c r="B487" s="12" t="s">
        <v>237</v>
      </c>
      <c r="C487">
        <v>12051.991542125999</v>
      </c>
      <c r="D487">
        <v>43687.049534122001</v>
      </c>
      <c r="P487">
        <v>34234.234234233998</v>
      </c>
    </row>
    <row r="488" spans="1:20" x14ac:dyDescent="0.35">
      <c r="A488" s="7" t="s">
        <v>582</v>
      </c>
      <c r="B488" s="12" t="s">
        <v>63</v>
      </c>
      <c r="C488">
        <v>510124272.45682007</v>
      </c>
      <c r="D488">
        <v>507503495.790636</v>
      </c>
      <c r="E488">
        <v>4909009.0090090185</v>
      </c>
      <c r="F488">
        <v>4593492.7927927999</v>
      </c>
      <c r="G488">
        <v>290</v>
      </c>
      <c r="H488">
        <v>85</v>
      </c>
      <c r="K488">
        <v>293</v>
      </c>
      <c r="L488">
        <v>211</v>
      </c>
      <c r="M488">
        <v>47475855.855855852</v>
      </c>
      <c r="N488">
        <v>55669194.59459459</v>
      </c>
      <c r="O488">
        <v>116256918.91891891</v>
      </c>
      <c r="P488">
        <v>128052207.2072072</v>
      </c>
      <c r="Q488">
        <v>48378828.828828827</v>
      </c>
      <c r="R488">
        <v>49620900.900900893</v>
      </c>
      <c r="S488">
        <v>7068</v>
      </c>
      <c r="T488">
        <v>6713</v>
      </c>
    </row>
    <row r="489" spans="1:20" x14ac:dyDescent="0.35">
      <c r="A489" s="7" t="s">
        <v>583</v>
      </c>
      <c r="B489" s="12" t="s">
        <v>49</v>
      </c>
      <c r="C489">
        <v>458023620.62450737</v>
      </c>
      <c r="D489">
        <v>436482384.86349672</v>
      </c>
      <c r="E489">
        <v>3791486.4864864908</v>
      </c>
      <c r="F489">
        <v>4983529.7297297316</v>
      </c>
      <c r="G489">
        <v>58</v>
      </c>
      <c r="H489">
        <v>20</v>
      </c>
      <c r="K489">
        <v>61</v>
      </c>
      <c r="L489">
        <v>25</v>
      </c>
      <c r="M489">
        <v>139658828.82882884</v>
      </c>
      <c r="N489">
        <v>42620572.072072074</v>
      </c>
      <c r="O489">
        <v>67562427.927927926</v>
      </c>
      <c r="P489">
        <v>73219567.567567572</v>
      </c>
      <c r="Q489">
        <v>135695045.04504505</v>
      </c>
      <c r="R489">
        <v>71248378.378378376</v>
      </c>
      <c r="S489">
        <v>5846</v>
      </c>
      <c r="T489">
        <v>5558</v>
      </c>
    </row>
    <row r="490" spans="1:20" x14ac:dyDescent="0.35">
      <c r="A490" s="7" t="s">
        <v>584</v>
      </c>
      <c r="B490" s="12" t="s">
        <v>55</v>
      </c>
      <c r="C490">
        <v>90625615.759062842</v>
      </c>
      <c r="D490">
        <v>90455722.589613348</v>
      </c>
      <c r="E490">
        <v>2036936.936936938</v>
      </c>
      <c r="F490">
        <v>5166327.927927928</v>
      </c>
      <c r="G490">
        <v>30</v>
      </c>
      <c r="H490">
        <v>82</v>
      </c>
      <c r="K490">
        <v>82</v>
      </c>
      <c r="L490">
        <v>224</v>
      </c>
      <c r="M490">
        <v>14882522.522522522</v>
      </c>
      <c r="N490">
        <v>35912037.837837838</v>
      </c>
      <c r="O490">
        <v>23030822.072072074</v>
      </c>
      <c r="P490">
        <v>26609954.954954952</v>
      </c>
      <c r="Q490">
        <v>12760900.9009009</v>
      </c>
      <c r="R490">
        <v>33360540.540540539</v>
      </c>
      <c r="S490">
        <v>3164</v>
      </c>
      <c r="T490">
        <v>2633</v>
      </c>
    </row>
    <row r="491" spans="1:20" x14ac:dyDescent="0.35">
      <c r="A491" s="7" t="s">
        <v>585</v>
      </c>
      <c r="B491" s="12" t="s">
        <v>71</v>
      </c>
      <c r="C491">
        <v>233634168.37151125</v>
      </c>
      <c r="D491">
        <v>228859273.68369684</v>
      </c>
      <c r="E491">
        <v>154054.054054054</v>
      </c>
      <c r="F491">
        <v>876126.12612612697</v>
      </c>
      <c r="G491">
        <v>62</v>
      </c>
      <c r="H491">
        <v>55</v>
      </c>
      <c r="I491">
        <v>4</v>
      </c>
      <c r="K491">
        <v>63</v>
      </c>
      <c r="L491">
        <v>66</v>
      </c>
      <c r="M491">
        <v>2227927.9279279299</v>
      </c>
      <c r="N491">
        <v>4204054.0540540544</v>
      </c>
      <c r="O491">
        <v>106972801.8018018</v>
      </c>
      <c r="P491">
        <v>104531574.77477477</v>
      </c>
      <c r="Q491">
        <v>2306306.3063063081</v>
      </c>
      <c r="R491">
        <v>3445495.4954954949</v>
      </c>
      <c r="S491">
        <v>3850</v>
      </c>
      <c r="T491">
        <v>3606</v>
      </c>
    </row>
    <row r="492" spans="1:20" x14ac:dyDescent="0.35">
      <c r="A492" s="7" t="s">
        <v>586</v>
      </c>
      <c r="B492" s="12" t="s">
        <v>331</v>
      </c>
      <c r="C492">
        <v>879871225.86358452</v>
      </c>
      <c r="D492">
        <v>827051018.10739005</v>
      </c>
      <c r="E492">
        <v>10636711.711711712</v>
      </c>
      <c r="F492">
        <v>5296620.7207207242</v>
      </c>
      <c r="G492">
        <v>390</v>
      </c>
      <c r="H492">
        <v>405</v>
      </c>
      <c r="K492">
        <v>453</v>
      </c>
      <c r="L492">
        <v>465</v>
      </c>
      <c r="M492">
        <v>108737657.65765767</v>
      </c>
      <c r="N492">
        <v>180897004.5045045</v>
      </c>
      <c r="O492">
        <v>253184625.22522521</v>
      </c>
      <c r="P492">
        <v>218400212.61261261</v>
      </c>
      <c r="Q492">
        <v>100085855.85585585</v>
      </c>
      <c r="R492">
        <v>183290945.94594595</v>
      </c>
      <c r="S492">
        <v>25946</v>
      </c>
      <c r="T492">
        <v>19726</v>
      </c>
    </row>
    <row r="493" spans="1:20" x14ac:dyDescent="0.35">
      <c r="A493" s="7" t="s">
        <v>587</v>
      </c>
      <c r="B493" s="12" t="s">
        <v>67</v>
      </c>
      <c r="C493">
        <v>422868493.89608312</v>
      </c>
      <c r="D493">
        <v>442327007.02241313</v>
      </c>
      <c r="E493">
        <v>716575893.69369364</v>
      </c>
      <c r="F493">
        <v>1121790278.3783784</v>
      </c>
      <c r="G493">
        <v>351</v>
      </c>
      <c r="H493">
        <v>185</v>
      </c>
      <c r="K493">
        <v>674</v>
      </c>
      <c r="L493">
        <v>225</v>
      </c>
      <c r="M493">
        <v>93913648.648648635</v>
      </c>
      <c r="N493">
        <v>259691136.93693691</v>
      </c>
      <c r="O493">
        <v>209417592.7927928</v>
      </c>
      <c r="P493">
        <v>228533711.7117117</v>
      </c>
      <c r="Q493">
        <v>93014502.702702701</v>
      </c>
      <c r="R493">
        <v>144524594.5945946</v>
      </c>
      <c r="S493">
        <v>17934</v>
      </c>
      <c r="T493">
        <v>10562</v>
      </c>
    </row>
    <row r="494" spans="1:20" x14ac:dyDescent="0.35">
      <c r="A494" s="7" t="s">
        <v>11</v>
      </c>
      <c r="B494" s="12" t="s">
        <v>194</v>
      </c>
      <c r="C494">
        <v>200110135.42586464</v>
      </c>
      <c r="D494">
        <v>184052969.14359424</v>
      </c>
      <c r="E494">
        <v>314926772.97297299</v>
      </c>
      <c r="F494">
        <v>351170092.7927928</v>
      </c>
      <c r="G494">
        <v>43</v>
      </c>
      <c r="H494">
        <v>41</v>
      </c>
      <c r="K494">
        <v>49</v>
      </c>
      <c r="L494">
        <v>48</v>
      </c>
      <c r="M494">
        <v>59051351.351351351</v>
      </c>
      <c r="N494">
        <v>73527027.027027026</v>
      </c>
      <c r="O494">
        <v>67616290.540540546</v>
      </c>
      <c r="P494">
        <v>70041126.126126125</v>
      </c>
      <c r="Q494">
        <v>15857387.387387387</v>
      </c>
      <c r="R494">
        <v>31856576.576576576</v>
      </c>
      <c r="S494">
        <v>6408</v>
      </c>
      <c r="T494">
        <v>3796</v>
      </c>
    </row>
    <row r="495" spans="1:20" x14ac:dyDescent="0.35">
      <c r="A495" s="7" t="s">
        <v>12</v>
      </c>
      <c r="B495" s="12" t="s">
        <v>194</v>
      </c>
      <c r="C495">
        <v>135984947.76866326</v>
      </c>
      <c r="D495">
        <v>119739845.40381643</v>
      </c>
      <c r="E495">
        <v>96188288.288288295</v>
      </c>
      <c r="F495">
        <v>102658108.10810812</v>
      </c>
      <c r="G495">
        <v>22</v>
      </c>
      <c r="H495">
        <v>19</v>
      </c>
      <c r="K495">
        <v>23</v>
      </c>
      <c r="L495">
        <v>25</v>
      </c>
      <c r="M495">
        <v>24166441.441441439</v>
      </c>
      <c r="N495">
        <v>21064414.414414417</v>
      </c>
      <c r="O495">
        <v>52972945.945945941</v>
      </c>
      <c r="P495">
        <v>51227342.342342347</v>
      </c>
      <c r="Q495">
        <v>26688018.018018015</v>
      </c>
      <c r="R495">
        <v>20676486.486486487</v>
      </c>
      <c r="S495">
        <v>5954</v>
      </c>
      <c r="T495">
        <v>2719</v>
      </c>
    </row>
    <row r="496" spans="1:20" x14ac:dyDescent="0.35">
      <c r="A496" s="7" t="s">
        <v>588</v>
      </c>
      <c r="B496" s="12" t="s">
        <v>61</v>
      </c>
      <c r="C496">
        <v>106375549.38428433</v>
      </c>
      <c r="D496">
        <v>109630150.37598726</v>
      </c>
      <c r="E496">
        <v>1761261.261261262</v>
      </c>
      <c r="F496">
        <v>3252702.702702702</v>
      </c>
      <c r="G496">
        <v>54</v>
      </c>
      <c r="H496">
        <v>51</v>
      </c>
      <c r="I496">
        <v>3</v>
      </c>
      <c r="K496">
        <v>83</v>
      </c>
      <c r="L496">
        <v>81</v>
      </c>
      <c r="M496">
        <v>18265765.765765768</v>
      </c>
      <c r="N496">
        <v>24566936.936936937</v>
      </c>
      <c r="O496">
        <v>38918281.531531535</v>
      </c>
      <c r="P496">
        <v>42431313.513513513</v>
      </c>
      <c r="Q496">
        <v>16025405.405405406</v>
      </c>
      <c r="R496">
        <v>23459682.882882886</v>
      </c>
      <c r="S496">
        <v>2292</v>
      </c>
      <c r="T496">
        <v>1664</v>
      </c>
    </row>
    <row r="497" spans="1:20" x14ac:dyDescent="0.35">
      <c r="A497" s="7" t="s">
        <v>589</v>
      </c>
      <c r="B497" s="12" t="s">
        <v>308</v>
      </c>
      <c r="C497">
        <v>3005180482.398807</v>
      </c>
      <c r="D497">
        <v>2931798081.9989843</v>
      </c>
      <c r="E497">
        <v>2507631764.8648648</v>
      </c>
      <c r="F497">
        <v>2499539359.4594598</v>
      </c>
      <c r="G497">
        <v>1950</v>
      </c>
      <c r="H497">
        <v>952</v>
      </c>
      <c r="I497">
        <v>5</v>
      </c>
      <c r="K497">
        <v>2266</v>
      </c>
      <c r="L497">
        <v>1147</v>
      </c>
      <c r="M497">
        <v>637491699.09909916</v>
      </c>
      <c r="N497">
        <v>1183650069.3693693</v>
      </c>
      <c r="O497">
        <v>961720662.16216218</v>
      </c>
      <c r="P497">
        <v>982507855.85585582</v>
      </c>
      <c r="Q497">
        <v>616347387.38738739</v>
      </c>
      <c r="R497">
        <v>915421441.44144142</v>
      </c>
      <c r="S497">
        <v>101379</v>
      </c>
      <c r="T497">
        <v>65311</v>
      </c>
    </row>
    <row r="498" spans="1:20" x14ac:dyDescent="0.35">
      <c r="A498" s="7" t="s">
        <v>590</v>
      </c>
      <c r="B498" s="12" t="s">
        <v>53</v>
      </c>
      <c r="C498">
        <v>730169550.99110162</v>
      </c>
      <c r="D498">
        <v>745798845.82387328</v>
      </c>
      <c r="E498">
        <v>12475973.873873876</v>
      </c>
      <c r="F498">
        <v>19214472.072072074</v>
      </c>
      <c r="G498">
        <v>230</v>
      </c>
      <c r="H498">
        <v>493</v>
      </c>
      <c r="I498">
        <v>1</v>
      </c>
      <c r="K498">
        <v>575</v>
      </c>
      <c r="L498">
        <v>984</v>
      </c>
      <c r="M498">
        <v>190923009.00900903</v>
      </c>
      <c r="N498">
        <v>296259520.72072071</v>
      </c>
      <c r="O498">
        <v>289771315.31531531</v>
      </c>
      <c r="P498">
        <v>314457691.8918919</v>
      </c>
      <c r="Q498">
        <v>216184639.63963965</v>
      </c>
      <c r="R498">
        <v>285994144.14414412</v>
      </c>
      <c r="S498">
        <v>18810</v>
      </c>
      <c r="T498">
        <v>14597</v>
      </c>
    </row>
    <row r="499" spans="1:20" x14ac:dyDescent="0.35">
      <c r="A499" s="7" t="s">
        <v>591</v>
      </c>
      <c r="B499" s="12" t="s">
        <v>55</v>
      </c>
      <c r="C499">
        <v>61512458.98122336</v>
      </c>
      <c r="D499">
        <v>58830655.136193261</v>
      </c>
      <c r="E499">
        <v>1236936.936936937</v>
      </c>
      <c r="F499">
        <v>2434557.6576576582</v>
      </c>
      <c r="G499">
        <v>22</v>
      </c>
      <c r="H499">
        <v>39</v>
      </c>
      <c r="K499">
        <v>29</v>
      </c>
      <c r="L499">
        <v>45</v>
      </c>
      <c r="M499">
        <v>15435585.585585587</v>
      </c>
      <c r="N499">
        <v>11723199.0990991</v>
      </c>
      <c r="O499">
        <v>19101274.774774775</v>
      </c>
      <c r="P499">
        <v>20374617.117117114</v>
      </c>
      <c r="Q499">
        <v>13893153.153153151</v>
      </c>
      <c r="R499">
        <v>13440000</v>
      </c>
      <c r="S499">
        <v>1820</v>
      </c>
      <c r="T499">
        <v>1493</v>
      </c>
    </row>
    <row r="500" spans="1:20" x14ac:dyDescent="0.35">
      <c r="A500" s="7" t="s">
        <v>592</v>
      </c>
      <c r="B500" s="12" t="s">
        <v>170</v>
      </c>
      <c r="C500">
        <v>1751303195.8498933</v>
      </c>
      <c r="D500">
        <v>1701381133.8945208</v>
      </c>
      <c r="E500">
        <v>11165540.540540544</v>
      </c>
      <c r="F500">
        <v>26223470.270270273</v>
      </c>
      <c r="G500">
        <v>202</v>
      </c>
      <c r="H500">
        <v>174</v>
      </c>
      <c r="I500">
        <v>3</v>
      </c>
      <c r="K500">
        <v>256</v>
      </c>
      <c r="L500">
        <v>210</v>
      </c>
      <c r="M500">
        <v>324879097.2972973</v>
      </c>
      <c r="N500">
        <v>492329440.54054052</v>
      </c>
      <c r="O500">
        <v>590784860.36036026</v>
      </c>
      <c r="P500">
        <v>612258333.33333337</v>
      </c>
      <c r="Q500">
        <v>296058558.55855858</v>
      </c>
      <c r="R500">
        <v>439045315.31531531</v>
      </c>
      <c r="S500">
        <v>24305</v>
      </c>
      <c r="T500">
        <v>22889</v>
      </c>
    </row>
    <row r="501" spans="1:20" x14ac:dyDescent="0.35">
      <c r="A501" s="7" t="s">
        <v>593</v>
      </c>
      <c r="B501" s="12" t="s">
        <v>88</v>
      </c>
      <c r="C501">
        <v>8737952.1982444003</v>
      </c>
      <c r="D501">
        <v>7795944.4893610273</v>
      </c>
      <c r="G501">
        <v>2</v>
      </c>
      <c r="K501">
        <v>2</v>
      </c>
      <c r="O501">
        <v>2056396.3963963951</v>
      </c>
      <c r="P501">
        <v>3459144.1441441439</v>
      </c>
      <c r="S501">
        <v>367</v>
      </c>
      <c r="T501">
        <v>302</v>
      </c>
    </row>
    <row r="502" spans="1:20" x14ac:dyDescent="0.35">
      <c r="A502" s="7" t="s">
        <v>594</v>
      </c>
      <c r="B502" s="12" t="s">
        <v>144</v>
      </c>
      <c r="C502">
        <v>122182595.57130961</v>
      </c>
      <c r="D502">
        <v>122595571.26043533</v>
      </c>
      <c r="E502">
        <v>365540.54054054199</v>
      </c>
      <c r="F502">
        <v>229283.78378378399</v>
      </c>
      <c r="G502">
        <v>32</v>
      </c>
      <c r="H502">
        <v>4</v>
      </c>
      <c r="K502">
        <v>33</v>
      </c>
      <c r="L502">
        <v>4</v>
      </c>
      <c r="M502">
        <v>10943243.243243244</v>
      </c>
      <c r="N502">
        <v>10952114.414414413</v>
      </c>
      <c r="O502">
        <v>12633864.864864863</v>
      </c>
      <c r="P502">
        <v>12492621.62162162</v>
      </c>
      <c r="Q502">
        <v>6549819.8198198192</v>
      </c>
      <c r="R502">
        <v>7105405.405405404</v>
      </c>
      <c r="S502">
        <v>1663</v>
      </c>
      <c r="T502">
        <v>1609</v>
      </c>
    </row>
    <row r="503" spans="1:20" x14ac:dyDescent="0.35">
      <c r="A503" s="7" t="s">
        <v>595</v>
      </c>
      <c r="B503" s="12" t="s">
        <v>291</v>
      </c>
      <c r="C503">
        <v>32695302.850812405</v>
      </c>
      <c r="D503">
        <v>31490010.167099327</v>
      </c>
      <c r="G503">
        <v>1</v>
      </c>
      <c r="H503">
        <v>14</v>
      </c>
      <c r="K503">
        <v>2</v>
      </c>
      <c r="L503">
        <v>16</v>
      </c>
      <c r="O503">
        <v>1817342.342342342</v>
      </c>
      <c r="P503">
        <v>2122612.612612613</v>
      </c>
      <c r="S503">
        <v>723</v>
      </c>
      <c r="T503">
        <v>815</v>
      </c>
    </row>
    <row r="504" spans="1:20" x14ac:dyDescent="0.35">
      <c r="A504" s="7" t="s">
        <v>596</v>
      </c>
      <c r="B504" s="12" t="s">
        <v>93</v>
      </c>
      <c r="C504">
        <v>45999607.197209872</v>
      </c>
      <c r="D504">
        <v>41532560.839536048</v>
      </c>
      <c r="E504">
        <v>220951554.05405405</v>
      </c>
      <c r="F504">
        <v>145310697.2972973</v>
      </c>
      <c r="G504">
        <v>30</v>
      </c>
      <c r="H504">
        <v>10</v>
      </c>
      <c r="K504">
        <v>30</v>
      </c>
      <c r="L504">
        <v>11</v>
      </c>
      <c r="M504">
        <v>19127837.837837841</v>
      </c>
      <c r="N504">
        <v>18056308.108108107</v>
      </c>
      <c r="O504">
        <v>7762918.9189189188</v>
      </c>
      <c r="P504">
        <v>7439720.7207207195</v>
      </c>
      <c r="Q504">
        <v>4370360.3603603607</v>
      </c>
      <c r="R504">
        <v>6577927.927927928</v>
      </c>
      <c r="S504">
        <v>838</v>
      </c>
      <c r="T504">
        <v>1174</v>
      </c>
    </row>
    <row r="505" spans="1:20" x14ac:dyDescent="0.35">
      <c r="A505" s="7" t="s">
        <v>597</v>
      </c>
      <c r="B505" s="12" t="s">
        <v>51</v>
      </c>
      <c r="C505">
        <v>151192044.25497428</v>
      </c>
      <c r="D505">
        <v>148193718.3522819</v>
      </c>
      <c r="E505">
        <v>4790765.7657657629</v>
      </c>
      <c r="F505">
        <v>1972053.1531531529</v>
      </c>
      <c r="G505">
        <v>12</v>
      </c>
      <c r="H505">
        <v>12</v>
      </c>
      <c r="K505">
        <v>14</v>
      </c>
      <c r="L505">
        <v>14</v>
      </c>
      <c r="M505">
        <v>47483873.873873875</v>
      </c>
      <c r="N505">
        <v>22873303.603603605</v>
      </c>
      <c r="O505">
        <v>32461843.243243244</v>
      </c>
      <c r="P505">
        <v>34438484.684684686</v>
      </c>
      <c r="Q505">
        <v>45340540.540540546</v>
      </c>
      <c r="R505">
        <v>27395585.585585583</v>
      </c>
      <c r="S505">
        <v>1689</v>
      </c>
      <c r="T505">
        <v>1270</v>
      </c>
    </row>
    <row r="506" spans="1:20" x14ac:dyDescent="0.35">
      <c r="A506" s="7" t="s">
        <v>598</v>
      </c>
      <c r="B506" s="12" t="s">
        <v>90</v>
      </c>
      <c r="C506">
        <v>229814796.69432551</v>
      </c>
      <c r="D506">
        <v>232535176.77454618</v>
      </c>
      <c r="E506">
        <v>2821621.621621626</v>
      </c>
      <c r="F506">
        <v>7022314.4144144189</v>
      </c>
      <c r="G506">
        <v>89</v>
      </c>
      <c r="H506">
        <v>71</v>
      </c>
      <c r="I506">
        <v>6</v>
      </c>
      <c r="K506">
        <v>378</v>
      </c>
      <c r="L506">
        <v>182</v>
      </c>
      <c r="M506">
        <v>17249009.009009007</v>
      </c>
      <c r="N506">
        <v>70428031.531531528</v>
      </c>
      <c r="O506">
        <v>56945337.837837838</v>
      </c>
      <c r="P506">
        <v>63965576.576576576</v>
      </c>
      <c r="Q506">
        <v>16824864.86486486</v>
      </c>
      <c r="R506">
        <v>67933873.873873875</v>
      </c>
      <c r="S506">
        <v>3877</v>
      </c>
      <c r="T506">
        <v>3382</v>
      </c>
    </row>
    <row r="507" spans="1:20" x14ac:dyDescent="0.35">
      <c r="A507" s="7" t="s">
        <v>599</v>
      </c>
      <c r="B507" s="12" t="s">
        <v>144</v>
      </c>
      <c r="C507">
        <v>85828243.313781098</v>
      </c>
      <c r="D507">
        <v>83661107.589983866</v>
      </c>
      <c r="E507">
        <v>1429954.954954955</v>
      </c>
      <c r="F507">
        <v>367239.63963963999</v>
      </c>
      <c r="G507">
        <v>12</v>
      </c>
      <c r="H507">
        <v>2</v>
      </c>
      <c r="K507">
        <v>12</v>
      </c>
      <c r="L507">
        <v>3</v>
      </c>
      <c r="M507">
        <v>7406306.3063063063</v>
      </c>
      <c r="N507">
        <v>5233651.3513513524</v>
      </c>
      <c r="O507">
        <v>8480279.2792792786</v>
      </c>
      <c r="P507">
        <v>7342522.5225225231</v>
      </c>
      <c r="Q507">
        <v>6224504.5045045046</v>
      </c>
      <c r="R507">
        <v>5047567.5675675673</v>
      </c>
      <c r="S507">
        <v>1169</v>
      </c>
      <c r="T507">
        <v>1179</v>
      </c>
    </row>
    <row r="508" spans="1:20" x14ac:dyDescent="0.35">
      <c r="A508" s="7" t="s">
        <v>600</v>
      </c>
      <c r="B508" s="12" t="s">
        <v>126</v>
      </c>
      <c r="C508">
        <v>227558839.17740309</v>
      </c>
      <c r="D508">
        <v>224717592.23245022</v>
      </c>
      <c r="E508">
        <v>376576.57657657599</v>
      </c>
      <c r="F508">
        <v>511209.00900901097</v>
      </c>
      <c r="G508">
        <v>26</v>
      </c>
      <c r="H508">
        <v>26</v>
      </c>
      <c r="K508">
        <v>29</v>
      </c>
      <c r="L508">
        <v>29</v>
      </c>
      <c r="M508">
        <v>20121981.981981985</v>
      </c>
      <c r="N508">
        <v>15998887.387387387</v>
      </c>
      <c r="O508">
        <v>88161160.360360354</v>
      </c>
      <c r="P508">
        <v>88332648.648648635</v>
      </c>
      <c r="Q508">
        <v>19765045.045045048</v>
      </c>
      <c r="R508">
        <v>16473153.153153151</v>
      </c>
      <c r="S508">
        <v>3737</v>
      </c>
      <c r="T508">
        <v>3038</v>
      </c>
    </row>
    <row r="509" spans="1:20" x14ac:dyDescent="0.35">
      <c r="A509" s="7" t="s">
        <v>601</v>
      </c>
      <c r="B509" s="12" t="s">
        <v>51</v>
      </c>
      <c r="C509">
        <v>554867055.55387914</v>
      </c>
      <c r="D509">
        <v>571084590.45011389</v>
      </c>
      <c r="E509">
        <v>7316216.2162162159</v>
      </c>
      <c r="F509">
        <v>5271103.6036036061</v>
      </c>
      <c r="G509">
        <v>53</v>
      </c>
      <c r="H509">
        <v>66</v>
      </c>
      <c r="I509">
        <v>1</v>
      </c>
      <c r="K509">
        <v>65</v>
      </c>
      <c r="L509">
        <v>75</v>
      </c>
      <c r="M509">
        <v>96159459.459459454</v>
      </c>
      <c r="N509">
        <v>68247158.558558553</v>
      </c>
      <c r="O509">
        <v>231395927.92792794</v>
      </c>
      <c r="P509">
        <v>246958963.96396396</v>
      </c>
      <c r="Q509">
        <v>97253963.963963971</v>
      </c>
      <c r="R509">
        <v>69689819.819819823</v>
      </c>
      <c r="S509">
        <v>8067</v>
      </c>
      <c r="T509">
        <v>6151</v>
      </c>
    </row>
    <row r="510" spans="1:20" x14ac:dyDescent="0.35">
      <c r="A510" s="7" t="s">
        <v>602</v>
      </c>
      <c r="B510" s="12" t="s">
        <v>90</v>
      </c>
      <c r="C510">
        <v>162242700.64280975</v>
      </c>
      <c r="D510">
        <v>162950043.11552548</v>
      </c>
      <c r="E510">
        <v>1710810.810810816</v>
      </c>
      <c r="F510">
        <v>3972231.5315315332</v>
      </c>
      <c r="G510">
        <v>15</v>
      </c>
      <c r="H510">
        <v>15</v>
      </c>
      <c r="K510">
        <v>17</v>
      </c>
      <c r="L510">
        <v>18</v>
      </c>
      <c r="M510">
        <v>52000180.180180185</v>
      </c>
      <c r="N510">
        <v>72609534.234234244</v>
      </c>
      <c r="O510">
        <v>49459162.162162162</v>
      </c>
      <c r="P510">
        <v>52934576.576576576</v>
      </c>
      <c r="Q510">
        <v>50964864.864864863</v>
      </c>
      <c r="R510">
        <v>70814774.774774775</v>
      </c>
      <c r="S510">
        <v>2611</v>
      </c>
      <c r="T510">
        <v>2704</v>
      </c>
    </row>
    <row r="511" spans="1:20" x14ac:dyDescent="0.35">
      <c r="A511" s="7" t="s">
        <v>603</v>
      </c>
      <c r="B511" s="12" t="s">
        <v>88</v>
      </c>
      <c r="C511">
        <v>142863186.33413345</v>
      </c>
      <c r="D511">
        <v>144161284.95893979</v>
      </c>
      <c r="E511">
        <v>1157657.657657658</v>
      </c>
      <c r="F511">
        <v>906269.36936937005</v>
      </c>
      <c r="G511">
        <v>16</v>
      </c>
      <c r="H511">
        <v>11</v>
      </c>
      <c r="K511">
        <v>17</v>
      </c>
      <c r="L511">
        <v>14</v>
      </c>
      <c r="M511">
        <v>2202702.702702702</v>
      </c>
      <c r="N511">
        <v>2627509.9099099101</v>
      </c>
      <c r="O511">
        <v>11284756.756756756</v>
      </c>
      <c r="P511">
        <v>15207855.855855856</v>
      </c>
      <c r="Q511">
        <v>1959369.369369369</v>
      </c>
      <c r="R511">
        <v>2663783.7837837841</v>
      </c>
      <c r="S511">
        <v>1309</v>
      </c>
      <c r="T511">
        <v>1234</v>
      </c>
    </row>
    <row r="512" spans="1:20" x14ac:dyDescent="0.35">
      <c r="A512" s="7" t="s">
        <v>604</v>
      </c>
      <c r="B512" s="12" t="s">
        <v>141</v>
      </c>
      <c r="C512">
        <v>1152538085.4792418</v>
      </c>
      <c r="D512">
        <v>1205660618.0932786</v>
      </c>
      <c r="E512">
        <v>860781543.24324322</v>
      </c>
      <c r="F512">
        <v>828307621.62162161</v>
      </c>
      <c r="G512">
        <v>930</v>
      </c>
      <c r="H512">
        <v>532</v>
      </c>
      <c r="I512">
        <v>11</v>
      </c>
      <c r="K512">
        <v>1290</v>
      </c>
      <c r="L512">
        <v>967</v>
      </c>
      <c r="M512">
        <v>229230900.9009009</v>
      </c>
      <c r="N512">
        <v>287322001.8018018</v>
      </c>
      <c r="O512">
        <v>285844984.68468469</v>
      </c>
      <c r="P512">
        <v>305430218.01801807</v>
      </c>
      <c r="Q512">
        <v>227115045.04504502</v>
      </c>
      <c r="R512">
        <v>229943509.90990993</v>
      </c>
      <c r="S512">
        <v>20197</v>
      </c>
      <c r="T512">
        <v>18767</v>
      </c>
    </row>
    <row r="513" spans="1:20" x14ac:dyDescent="0.35">
      <c r="A513" s="7" t="s">
        <v>605</v>
      </c>
      <c r="B513" s="12" t="s">
        <v>225</v>
      </c>
      <c r="C513">
        <v>190365133.3122097</v>
      </c>
      <c r="D513">
        <v>217160516.99012193</v>
      </c>
      <c r="E513">
        <v>116216.21621621599</v>
      </c>
      <c r="F513">
        <v>2101801.8018018021</v>
      </c>
      <c r="G513">
        <v>31</v>
      </c>
      <c r="H513">
        <v>33</v>
      </c>
      <c r="K513">
        <v>39</v>
      </c>
      <c r="L513">
        <v>36</v>
      </c>
      <c r="M513">
        <v>6692792.7927927924</v>
      </c>
      <c r="N513">
        <v>10471171.171171172</v>
      </c>
      <c r="O513">
        <v>62890369.369369365</v>
      </c>
      <c r="P513">
        <v>78923360.360360354</v>
      </c>
      <c r="Q513">
        <v>7047927.927927928</v>
      </c>
      <c r="R513">
        <v>9078468.4684684686</v>
      </c>
      <c r="S513">
        <v>3625</v>
      </c>
      <c r="T513">
        <v>3712</v>
      </c>
    </row>
    <row r="514" spans="1:20" x14ac:dyDescent="0.35">
      <c r="A514" s="7" t="s">
        <v>606</v>
      </c>
      <c r="B514" s="12" t="s">
        <v>225</v>
      </c>
      <c r="C514">
        <v>124770492.90281379</v>
      </c>
      <c r="D514">
        <v>137870392.48906326</v>
      </c>
      <c r="E514">
        <v>86486.486486485999</v>
      </c>
      <c r="F514">
        <v>224496.39639639601</v>
      </c>
      <c r="G514">
        <v>47</v>
      </c>
      <c r="H514">
        <v>33</v>
      </c>
      <c r="K514">
        <v>48</v>
      </c>
      <c r="L514">
        <v>35</v>
      </c>
      <c r="M514">
        <v>6392792.7927927934</v>
      </c>
      <c r="N514">
        <v>11602632.432432432</v>
      </c>
      <c r="O514">
        <v>37718369.369369365</v>
      </c>
      <c r="P514">
        <v>46958684.684684686</v>
      </c>
      <c r="Q514">
        <v>7412162.1621621624</v>
      </c>
      <c r="R514">
        <v>11124954.954954956</v>
      </c>
      <c r="S514">
        <v>3209</v>
      </c>
      <c r="T514">
        <v>3625</v>
      </c>
    </row>
    <row r="515" spans="1:20" x14ac:dyDescent="0.35">
      <c r="A515" s="7" t="s">
        <v>607</v>
      </c>
      <c r="B515" s="12" t="s">
        <v>242</v>
      </c>
      <c r="C515">
        <v>111707334.03966627</v>
      </c>
      <c r="D515">
        <v>112536923.5803445</v>
      </c>
      <c r="E515">
        <v>900900.90090090095</v>
      </c>
      <c r="F515">
        <v>148648.64864865001</v>
      </c>
      <c r="G515">
        <v>61</v>
      </c>
      <c r="H515">
        <v>48</v>
      </c>
      <c r="K515">
        <v>70</v>
      </c>
      <c r="L515">
        <v>58</v>
      </c>
      <c r="M515">
        <v>12993693.693693692</v>
      </c>
      <c r="N515">
        <v>5367567.5675675701</v>
      </c>
      <c r="O515">
        <v>33766180.180180177</v>
      </c>
      <c r="P515">
        <v>36120945.945945941</v>
      </c>
      <c r="Q515">
        <v>12300450.450450448</v>
      </c>
      <c r="R515">
        <v>5505585.5855855849</v>
      </c>
      <c r="S515">
        <v>3784</v>
      </c>
      <c r="T515">
        <v>2319</v>
      </c>
    </row>
    <row r="516" spans="1:20" x14ac:dyDescent="0.35">
      <c r="A516" s="7" t="s">
        <v>608</v>
      </c>
      <c r="B516" s="12" t="s">
        <v>141</v>
      </c>
      <c r="C516">
        <v>33136381.957280893</v>
      </c>
      <c r="D516">
        <v>32359766.948243078</v>
      </c>
      <c r="E516">
        <v>2702.7027027029999</v>
      </c>
      <c r="F516">
        <v>45945.945945945998</v>
      </c>
      <c r="G516">
        <v>4</v>
      </c>
      <c r="H516">
        <v>12</v>
      </c>
      <c r="I516">
        <v>3</v>
      </c>
      <c r="K516">
        <v>4</v>
      </c>
      <c r="L516">
        <v>13</v>
      </c>
      <c r="M516">
        <v>1128828.8288288279</v>
      </c>
      <c r="N516">
        <v>761261.26126126095</v>
      </c>
      <c r="O516">
        <v>3607288.2882882878</v>
      </c>
      <c r="P516">
        <v>5401756.7567567574</v>
      </c>
      <c r="Q516">
        <v>726306.30630630697</v>
      </c>
      <c r="R516">
        <v>991531.53153153195</v>
      </c>
      <c r="S516">
        <v>341</v>
      </c>
      <c r="T516">
        <v>350</v>
      </c>
    </row>
    <row r="517" spans="1:20" x14ac:dyDescent="0.35">
      <c r="A517" s="7" t="s">
        <v>609</v>
      </c>
      <c r="B517" s="12" t="s">
        <v>190</v>
      </c>
      <c r="C517">
        <v>120307099.47641289</v>
      </c>
      <c r="D517">
        <v>110226804.96884778</v>
      </c>
      <c r="E517">
        <v>2200000</v>
      </c>
      <c r="F517">
        <v>1178081.0810810809</v>
      </c>
      <c r="G517">
        <v>64</v>
      </c>
      <c r="H517">
        <v>31</v>
      </c>
      <c r="K517">
        <v>68</v>
      </c>
      <c r="L517">
        <v>35</v>
      </c>
      <c r="M517">
        <v>15821621.62162162</v>
      </c>
      <c r="N517">
        <v>18485983.783783782</v>
      </c>
      <c r="O517">
        <v>29611815.315315317</v>
      </c>
      <c r="P517">
        <v>29009855.855855856</v>
      </c>
      <c r="Q517">
        <v>11327567.567567568</v>
      </c>
      <c r="R517">
        <v>12405225.225225225</v>
      </c>
      <c r="S517">
        <v>1787</v>
      </c>
      <c r="T517">
        <v>1504</v>
      </c>
    </row>
    <row r="518" spans="1:20" x14ac:dyDescent="0.35">
      <c r="A518" s="7" t="s">
        <v>610</v>
      </c>
      <c r="B518" s="12" t="s">
        <v>190</v>
      </c>
      <c r="C518">
        <v>362842065.8963331</v>
      </c>
      <c r="D518">
        <v>350683961.91619349</v>
      </c>
      <c r="E518">
        <v>459459.45945946098</v>
      </c>
      <c r="F518">
        <v>731918.01801801799</v>
      </c>
      <c r="G518">
        <v>119</v>
      </c>
      <c r="H518">
        <v>101</v>
      </c>
      <c r="K518">
        <v>125</v>
      </c>
      <c r="L518">
        <v>110</v>
      </c>
      <c r="M518">
        <v>20666666.666666664</v>
      </c>
      <c r="N518">
        <v>23432070.270270273</v>
      </c>
      <c r="O518">
        <v>63330063.063063063</v>
      </c>
      <c r="P518">
        <v>62063450.45045045</v>
      </c>
      <c r="Q518">
        <v>12470360.36036036</v>
      </c>
      <c r="R518">
        <v>15670090.090090089</v>
      </c>
      <c r="S518">
        <v>6093</v>
      </c>
      <c r="T518">
        <v>6993</v>
      </c>
    </row>
    <row r="519" spans="1:20" x14ac:dyDescent="0.35">
      <c r="A519" s="7" t="s">
        <v>611</v>
      </c>
      <c r="B519" s="12" t="s">
        <v>190</v>
      </c>
      <c r="C519">
        <v>136610356.75877389</v>
      </c>
      <c r="D519">
        <v>152995531.78639045</v>
      </c>
      <c r="E519">
        <v>1068918.91891892</v>
      </c>
      <c r="F519">
        <v>566786.48648648697</v>
      </c>
      <c r="G519">
        <v>22</v>
      </c>
      <c r="H519">
        <v>27</v>
      </c>
      <c r="K519">
        <v>24</v>
      </c>
      <c r="L519">
        <v>32</v>
      </c>
      <c r="M519">
        <v>8475855.8558558542</v>
      </c>
      <c r="N519">
        <v>7092824.3243243247</v>
      </c>
      <c r="O519">
        <v>17144180.180180181</v>
      </c>
      <c r="P519">
        <v>22095675.675675675</v>
      </c>
      <c r="Q519">
        <v>7309549.5495495489</v>
      </c>
      <c r="R519">
        <v>5397567.5675675673</v>
      </c>
      <c r="S519">
        <v>1924</v>
      </c>
      <c r="T519">
        <v>1695</v>
      </c>
    </row>
    <row r="520" spans="1:20" x14ac:dyDescent="0.35">
      <c r="A520" s="7" t="s">
        <v>612</v>
      </c>
      <c r="B520" s="12" t="s">
        <v>190</v>
      </c>
      <c r="C520">
        <v>51023717.132415988</v>
      </c>
      <c r="D520">
        <v>58418026.337311417</v>
      </c>
      <c r="E520">
        <v>211261.261261262</v>
      </c>
      <c r="F520">
        <v>145410.810810811</v>
      </c>
      <c r="G520">
        <v>24</v>
      </c>
      <c r="H520">
        <v>48</v>
      </c>
      <c r="K520">
        <v>27</v>
      </c>
      <c r="L520">
        <v>60</v>
      </c>
      <c r="M520">
        <v>8356036.036036036</v>
      </c>
      <c r="N520">
        <v>6804226.1261261264</v>
      </c>
      <c r="O520">
        <v>9393576.5765765756</v>
      </c>
      <c r="P520">
        <v>12075639.63963964</v>
      </c>
      <c r="Q520">
        <v>7565675.6756756753</v>
      </c>
      <c r="R520">
        <v>4015765.7657657661</v>
      </c>
      <c r="S520">
        <v>918</v>
      </c>
      <c r="T520">
        <v>1056</v>
      </c>
    </row>
    <row r="521" spans="1:20" x14ac:dyDescent="0.35">
      <c r="A521" s="7" t="s">
        <v>613</v>
      </c>
      <c r="B521" s="12" t="s">
        <v>144</v>
      </c>
      <c r="C521">
        <v>432080873.62267309</v>
      </c>
      <c r="D521">
        <v>414913048.98178846</v>
      </c>
      <c r="E521">
        <v>4151432.4324324331</v>
      </c>
      <c r="F521">
        <v>1826872.9729729751</v>
      </c>
      <c r="G521">
        <v>522</v>
      </c>
      <c r="H521">
        <v>182</v>
      </c>
      <c r="I521">
        <v>22</v>
      </c>
      <c r="K521">
        <v>553</v>
      </c>
      <c r="L521">
        <v>282</v>
      </c>
      <c r="M521">
        <v>35359459.459459461</v>
      </c>
      <c r="N521">
        <v>38895874.774774775</v>
      </c>
      <c r="O521">
        <v>52197085.585585587</v>
      </c>
      <c r="P521">
        <v>60902655.855855852</v>
      </c>
      <c r="Q521">
        <v>38919863.063063063</v>
      </c>
      <c r="R521">
        <v>42093326.126126118</v>
      </c>
      <c r="S521">
        <v>7327</v>
      </c>
      <c r="T521">
        <v>6377</v>
      </c>
    </row>
    <row r="522" spans="1:20" x14ac:dyDescent="0.35">
      <c r="A522" s="7" t="s">
        <v>614</v>
      </c>
      <c r="B522" s="12" t="s">
        <v>190</v>
      </c>
      <c r="C522">
        <v>462066078.84972388</v>
      </c>
      <c r="D522">
        <v>486730911.01014119</v>
      </c>
      <c r="E522">
        <v>2281981.981981982</v>
      </c>
      <c r="F522">
        <v>3292867.5675675692</v>
      </c>
      <c r="G522">
        <v>185</v>
      </c>
      <c r="H522">
        <v>228</v>
      </c>
      <c r="I522">
        <v>3</v>
      </c>
      <c r="K522">
        <v>221</v>
      </c>
      <c r="L522">
        <v>290</v>
      </c>
      <c r="M522">
        <v>18710450.450450446</v>
      </c>
      <c r="N522">
        <v>18434132.432432432</v>
      </c>
      <c r="O522">
        <v>45645068.468468465</v>
      </c>
      <c r="P522">
        <v>55109023.423423424</v>
      </c>
      <c r="Q522">
        <v>17267160.360360362</v>
      </c>
      <c r="R522">
        <v>15017837.837837838</v>
      </c>
      <c r="S522">
        <v>8980</v>
      </c>
      <c r="T522">
        <v>7443</v>
      </c>
    </row>
    <row r="523" spans="1:20" x14ac:dyDescent="0.35">
      <c r="A523" s="7" t="s">
        <v>615</v>
      </c>
      <c r="B523" s="12" t="s">
        <v>55</v>
      </c>
      <c r="C523">
        <v>331073433.583426</v>
      </c>
      <c r="D523">
        <v>332292750.49627626</v>
      </c>
      <c r="E523">
        <v>6463063.0630630674</v>
      </c>
      <c r="F523">
        <v>9708264.8648648672</v>
      </c>
      <c r="G523">
        <v>121</v>
      </c>
      <c r="H523">
        <v>114</v>
      </c>
      <c r="I523">
        <v>2</v>
      </c>
      <c r="K523">
        <v>223</v>
      </c>
      <c r="L523">
        <v>147</v>
      </c>
      <c r="M523">
        <v>54397297.297297299</v>
      </c>
      <c r="N523">
        <v>95767353.153153151</v>
      </c>
      <c r="O523">
        <v>104581180.18018018</v>
      </c>
      <c r="P523">
        <v>107075594.5945946</v>
      </c>
      <c r="Q523">
        <v>51375135.135135137</v>
      </c>
      <c r="R523">
        <v>92631621.621621609</v>
      </c>
      <c r="S523">
        <v>9974</v>
      </c>
      <c r="T523">
        <v>6279</v>
      </c>
    </row>
    <row r="524" spans="1:20" x14ac:dyDescent="0.35">
      <c r="A524" s="7" t="s">
        <v>616</v>
      </c>
      <c r="B524" s="12" t="s">
        <v>55</v>
      </c>
      <c r="C524">
        <v>178774066.77041379</v>
      </c>
      <c r="D524">
        <v>182884168.56710351</v>
      </c>
      <c r="E524">
        <v>816216.21621621703</v>
      </c>
      <c r="F524">
        <v>1627885.585585587</v>
      </c>
      <c r="G524">
        <v>20</v>
      </c>
      <c r="H524">
        <v>21</v>
      </c>
      <c r="I524">
        <v>1</v>
      </c>
      <c r="K524">
        <v>25</v>
      </c>
      <c r="L524">
        <v>32</v>
      </c>
      <c r="M524">
        <v>8228828.8288288293</v>
      </c>
      <c r="N524">
        <v>43862554.054054059</v>
      </c>
      <c r="O524">
        <v>29813711.711711712</v>
      </c>
      <c r="P524">
        <v>31916072.072072074</v>
      </c>
      <c r="Q524">
        <v>7599099.0990990996</v>
      </c>
      <c r="R524">
        <v>43016756.756756753</v>
      </c>
      <c r="S524">
        <v>3118</v>
      </c>
      <c r="T524">
        <v>2808</v>
      </c>
    </row>
    <row r="525" spans="1:20" x14ac:dyDescent="0.35">
      <c r="A525" s="7" t="s">
        <v>617</v>
      </c>
      <c r="B525" s="12" t="s">
        <v>61</v>
      </c>
      <c r="C525">
        <v>264866104.3954874</v>
      </c>
      <c r="D525">
        <v>287213268.6655184</v>
      </c>
      <c r="E525">
        <v>4644594.5945945941</v>
      </c>
      <c r="F525">
        <v>2953561.2612612629</v>
      </c>
      <c r="G525">
        <v>112</v>
      </c>
      <c r="H525">
        <v>44</v>
      </c>
      <c r="K525">
        <v>142</v>
      </c>
      <c r="L525">
        <v>61</v>
      </c>
      <c r="M525">
        <v>41542792.79279279</v>
      </c>
      <c r="N525">
        <v>141895536.03603604</v>
      </c>
      <c r="O525">
        <v>86155801.801801801</v>
      </c>
      <c r="P525">
        <v>94552576.576576576</v>
      </c>
      <c r="Q525">
        <v>39707027.027027026</v>
      </c>
      <c r="R525">
        <v>138337927.92792791</v>
      </c>
      <c r="S525">
        <v>4483</v>
      </c>
      <c r="T525">
        <v>4300</v>
      </c>
    </row>
    <row r="526" spans="1:20" x14ac:dyDescent="0.35">
      <c r="A526" s="7" t="s">
        <v>618</v>
      </c>
      <c r="B526" s="12" t="s">
        <v>61</v>
      </c>
      <c r="C526">
        <v>297315353.47754073</v>
      </c>
      <c r="D526">
        <v>292080300.90598959</v>
      </c>
      <c r="E526">
        <v>3167567.5675675711</v>
      </c>
      <c r="F526">
        <v>3778254.9549549571</v>
      </c>
      <c r="G526">
        <v>73</v>
      </c>
      <c r="H526">
        <v>58</v>
      </c>
      <c r="K526">
        <v>82</v>
      </c>
      <c r="L526">
        <v>76</v>
      </c>
      <c r="M526">
        <v>38288288.288288288</v>
      </c>
      <c r="N526">
        <v>128678982.88288288</v>
      </c>
      <c r="O526">
        <v>153093427.92792794</v>
      </c>
      <c r="P526">
        <v>153598063.06306309</v>
      </c>
      <c r="Q526">
        <v>37262882.882882878</v>
      </c>
      <c r="R526">
        <v>122042072.07207207</v>
      </c>
      <c r="S526">
        <v>6613</v>
      </c>
      <c r="T526">
        <v>5643</v>
      </c>
    </row>
    <row r="527" spans="1:20" x14ac:dyDescent="0.35">
      <c r="A527" s="7" t="s">
        <v>619</v>
      </c>
      <c r="B527" s="12" t="s">
        <v>61</v>
      </c>
      <c r="C527">
        <v>375542093.85339659</v>
      </c>
      <c r="D527">
        <v>382079225.11636865</v>
      </c>
      <c r="E527">
        <v>7109684.6846846864</v>
      </c>
      <c r="F527">
        <v>10084900.900900904</v>
      </c>
      <c r="G527">
        <v>60</v>
      </c>
      <c r="H527">
        <v>40</v>
      </c>
      <c r="I527">
        <v>1</v>
      </c>
      <c r="K527">
        <v>74</v>
      </c>
      <c r="L527">
        <v>53</v>
      </c>
      <c r="M527">
        <v>53590090.090090096</v>
      </c>
      <c r="N527">
        <v>135889085.58558559</v>
      </c>
      <c r="O527">
        <v>122607473.42342342</v>
      </c>
      <c r="P527">
        <v>128055980.18018018</v>
      </c>
      <c r="Q527">
        <v>50633333.333333336</v>
      </c>
      <c r="R527">
        <v>129579549.54954955</v>
      </c>
      <c r="S527">
        <v>6841</v>
      </c>
      <c r="T527">
        <v>5868</v>
      </c>
    </row>
    <row r="528" spans="1:20" x14ac:dyDescent="0.35">
      <c r="A528" s="7" t="s">
        <v>620</v>
      </c>
      <c r="B528" s="12" t="s">
        <v>621</v>
      </c>
      <c r="C528">
        <v>441645057.78501362</v>
      </c>
      <c r="D528">
        <v>439201515.70443499</v>
      </c>
      <c r="E528">
        <v>7519369.3693693699</v>
      </c>
      <c r="F528">
        <v>8386536.9369369373</v>
      </c>
      <c r="G528">
        <v>281</v>
      </c>
      <c r="H528">
        <v>178</v>
      </c>
      <c r="I528">
        <v>2</v>
      </c>
      <c r="K528">
        <v>456</v>
      </c>
      <c r="L528">
        <v>294</v>
      </c>
      <c r="M528">
        <v>27596396.396396395</v>
      </c>
      <c r="N528">
        <v>36699659.459459461</v>
      </c>
      <c r="O528">
        <v>52841864.864864863</v>
      </c>
      <c r="P528">
        <v>64650864.864864863</v>
      </c>
      <c r="Q528">
        <v>32173603.603603605</v>
      </c>
      <c r="R528">
        <v>33563693.693693697</v>
      </c>
      <c r="S528">
        <v>11777</v>
      </c>
      <c r="T528">
        <v>7609</v>
      </c>
    </row>
    <row r="529" spans="1:20" x14ac:dyDescent="0.35">
      <c r="A529" s="7" t="s">
        <v>622</v>
      </c>
      <c r="B529" s="12" t="s">
        <v>621</v>
      </c>
      <c r="C529">
        <v>322288153.93784678</v>
      </c>
      <c r="D529">
        <v>323652564.96887994</v>
      </c>
      <c r="E529">
        <v>4756306.3063063081</v>
      </c>
      <c r="F529">
        <v>6489027.0270270268</v>
      </c>
      <c r="G529">
        <v>116</v>
      </c>
      <c r="H529">
        <v>166</v>
      </c>
      <c r="I529">
        <v>1</v>
      </c>
      <c r="K529">
        <v>140</v>
      </c>
      <c r="L529">
        <v>202</v>
      </c>
      <c r="M529">
        <v>27383783.783783782</v>
      </c>
      <c r="N529">
        <v>33741118.918918923</v>
      </c>
      <c r="O529">
        <v>52062104.504504502</v>
      </c>
      <c r="P529">
        <v>57375006.306306303</v>
      </c>
      <c r="Q529">
        <v>25458018.018018015</v>
      </c>
      <c r="R529">
        <v>34600360.360360362</v>
      </c>
      <c r="S529">
        <v>9507</v>
      </c>
      <c r="T529">
        <v>5856</v>
      </c>
    </row>
    <row r="530" spans="1:20" x14ac:dyDescent="0.35">
      <c r="A530" s="7" t="s">
        <v>623</v>
      </c>
      <c r="B530" s="12" t="s">
        <v>621</v>
      </c>
      <c r="C530">
        <v>337686019.95226276</v>
      </c>
      <c r="D530">
        <v>329810484.78099793</v>
      </c>
      <c r="E530">
        <v>1748198.1981981981</v>
      </c>
      <c r="F530">
        <v>2859687.3873873898</v>
      </c>
      <c r="G530">
        <v>140</v>
      </c>
      <c r="H530">
        <v>134</v>
      </c>
      <c r="I530">
        <v>1</v>
      </c>
      <c r="K530">
        <v>170</v>
      </c>
      <c r="L530">
        <v>170</v>
      </c>
      <c r="M530">
        <v>23980630.630630627</v>
      </c>
      <c r="N530">
        <v>29233563.963963963</v>
      </c>
      <c r="O530">
        <v>51313065.765765756</v>
      </c>
      <c r="P530">
        <v>55847897.297297299</v>
      </c>
      <c r="Q530">
        <v>19255585.585585583</v>
      </c>
      <c r="R530">
        <v>25238061.261261258</v>
      </c>
      <c r="S530">
        <v>9889</v>
      </c>
      <c r="T530">
        <v>5375</v>
      </c>
    </row>
    <row r="531" spans="1:20" x14ac:dyDescent="0.35">
      <c r="A531" s="7" t="s">
        <v>624</v>
      </c>
      <c r="B531" s="12" t="s">
        <v>621</v>
      </c>
      <c r="C531">
        <v>248322783.09610561</v>
      </c>
      <c r="D531">
        <v>247302664.14906374</v>
      </c>
      <c r="E531">
        <v>75686722.522522524</v>
      </c>
      <c r="F531">
        <v>123795520.72072072</v>
      </c>
      <c r="G531">
        <v>73</v>
      </c>
      <c r="H531">
        <v>160</v>
      </c>
      <c r="I531">
        <v>4</v>
      </c>
      <c r="K531">
        <v>86</v>
      </c>
      <c r="L531">
        <v>179</v>
      </c>
      <c r="M531">
        <v>38285512.612612613</v>
      </c>
      <c r="N531">
        <v>39316335.135135137</v>
      </c>
      <c r="O531">
        <v>31938166.666666668</v>
      </c>
      <c r="P531">
        <v>36017115.315315314</v>
      </c>
      <c r="Q531">
        <v>20161351.351351351</v>
      </c>
      <c r="R531">
        <v>23926036.036036037</v>
      </c>
      <c r="S531">
        <v>5139</v>
      </c>
      <c r="T531">
        <v>3611</v>
      </c>
    </row>
    <row r="532" spans="1:20" x14ac:dyDescent="0.35">
      <c r="A532" s="7" t="s">
        <v>625</v>
      </c>
      <c r="B532" s="12" t="s">
        <v>261</v>
      </c>
      <c r="C532">
        <v>130898078.119912</v>
      </c>
      <c r="D532">
        <v>134438576.92924142</v>
      </c>
      <c r="E532">
        <v>857657.65765765798</v>
      </c>
      <c r="F532">
        <v>419369.369369369</v>
      </c>
      <c r="G532">
        <v>20</v>
      </c>
      <c r="H532">
        <v>4</v>
      </c>
      <c r="K532">
        <v>20</v>
      </c>
      <c r="L532">
        <v>4</v>
      </c>
      <c r="M532">
        <v>14706306.306306304</v>
      </c>
      <c r="N532">
        <v>11071891.891891891</v>
      </c>
      <c r="O532">
        <v>43351846.846846849</v>
      </c>
      <c r="P532">
        <v>45919171.171171166</v>
      </c>
      <c r="Q532">
        <v>17849909.909909911</v>
      </c>
      <c r="R532">
        <v>14805315.315315315</v>
      </c>
      <c r="S532">
        <v>2599</v>
      </c>
      <c r="T532">
        <v>2051</v>
      </c>
    </row>
    <row r="533" spans="1:20" x14ac:dyDescent="0.35">
      <c r="A533" s="7" t="s">
        <v>626</v>
      </c>
      <c r="B533" s="12" t="s">
        <v>53</v>
      </c>
      <c r="C533">
        <v>204348996.86405763</v>
      </c>
      <c r="D533">
        <v>209396187.41637307</v>
      </c>
      <c r="E533">
        <v>882882.88288288401</v>
      </c>
      <c r="F533">
        <v>1120720.720720723</v>
      </c>
      <c r="G533">
        <v>89</v>
      </c>
      <c r="H533">
        <v>108</v>
      </c>
      <c r="I533">
        <v>1</v>
      </c>
      <c r="K533">
        <v>161</v>
      </c>
      <c r="L533">
        <v>212</v>
      </c>
      <c r="M533">
        <v>6612612.6126126144</v>
      </c>
      <c r="N533">
        <v>5791891.891891893</v>
      </c>
      <c r="O533">
        <v>72779144.144144148</v>
      </c>
      <c r="P533">
        <v>76771899.0990991</v>
      </c>
      <c r="Q533">
        <v>4825765.7657657666</v>
      </c>
      <c r="R533">
        <v>5678468.4684684668</v>
      </c>
      <c r="S533">
        <v>6011</v>
      </c>
      <c r="T533">
        <v>4322</v>
      </c>
    </row>
    <row r="534" spans="1:20" x14ac:dyDescent="0.35">
      <c r="A534" s="7" t="s">
        <v>627</v>
      </c>
      <c r="B534" s="12" t="s">
        <v>97</v>
      </c>
      <c r="C534">
        <v>516213954.61616206</v>
      </c>
      <c r="D534">
        <v>477371967.69878703</v>
      </c>
      <c r="E534">
        <v>8388288.2882882897</v>
      </c>
      <c r="F534">
        <v>7746093.6936936956</v>
      </c>
      <c r="G534">
        <v>240</v>
      </c>
      <c r="H534">
        <v>637</v>
      </c>
      <c r="I534">
        <v>1</v>
      </c>
      <c r="K534">
        <v>281</v>
      </c>
      <c r="L534">
        <v>709</v>
      </c>
      <c r="M534">
        <v>106940540.54054055</v>
      </c>
      <c r="N534">
        <v>114072345.94594595</v>
      </c>
      <c r="O534">
        <v>167513833.78378376</v>
      </c>
      <c r="P534">
        <v>169843196.3963964</v>
      </c>
      <c r="Q534">
        <v>91218738.738738731</v>
      </c>
      <c r="R534">
        <v>114325628.82882883</v>
      </c>
      <c r="S534">
        <v>13201</v>
      </c>
      <c r="T534">
        <v>10894</v>
      </c>
    </row>
    <row r="535" spans="1:20" x14ac:dyDescent="0.35">
      <c r="A535" s="7" t="s">
        <v>628</v>
      </c>
      <c r="B535" s="12" t="s">
        <v>97</v>
      </c>
      <c r="C535">
        <v>858758497.54107797</v>
      </c>
      <c r="D535">
        <v>822763592.52654552</v>
      </c>
      <c r="E535">
        <v>6450675.6756756771</v>
      </c>
      <c r="F535">
        <v>11529361.261261264</v>
      </c>
      <c r="G535">
        <v>253</v>
      </c>
      <c r="H535">
        <v>268</v>
      </c>
      <c r="I535">
        <v>3</v>
      </c>
      <c r="K535">
        <v>332</v>
      </c>
      <c r="L535">
        <v>331</v>
      </c>
      <c r="M535">
        <v>242459009.00900903</v>
      </c>
      <c r="N535">
        <v>190287615.31531531</v>
      </c>
      <c r="O535">
        <v>348887799.54954958</v>
      </c>
      <c r="P535">
        <v>337780513.51351357</v>
      </c>
      <c r="Q535">
        <v>213470630.63063061</v>
      </c>
      <c r="R535">
        <v>188556756.75675678</v>
      </c>
      <c r="S535">
        <v>16726</v>
      </c>
      <c r="T535">
        <v>13446</v>
      </c>
    </row>
    <row r="536" spans="1:20" x14ac:dyDescent="0.35">
      <c r="A536" s="7" t="s">
        <v>629</v>
      </c>
      <c r="B536" s="12" t="s">
        <v>449</v>
      </c>
      <c r="C536">
        <v>627188633.79523551</v>
      </c>
      <c r="D536">
        <v>597425044.32461178</v>
      </c>
      <c r="E536">
        <v>171112419.81981981</v>
      </c>
      <c r="F536">
        <v>423136584.68468469</v>
      </c>
      <c r="G536">
        <v>236</v>
      </c>
      <c r="H536">
        <v>303</v>
      </c>
      <c r="I536">
        <v>2</v>
      </c>
      <c r="K536">
        <v>289</v>
      </c>
      <c r="L536">
        <v>452</v>
      </c>
      <c r="M536">
        <v>335795135.13513511</v>
      </c>
      <c r="N536">
        <v>306057041.44144148</v>
      </c>
      <c r="O536">
        <v>185907430.63063061</v>
      </c>
      <c r="P536">
        <v>193016783.78378376</v>
      </c>
      <c r="Q536">
        <v>339028018.01801807</v>
      </c>
      <c r="R536">
        <v>262326306.3063063</v>
      </c>
      <c r="S536">
        <v>14073</v>
      </c>
      <c r="T536">
        <v>11115</v>
      </c>
    </row>
    <row r="537" spans="1:20" x14ac:dyDescent="0.35">
      <c r="A537" s="7" t="s">
        <v>630</v>
      </c>
      <c r="B537" s="12" t="s">
        <v>79</v>
      </c>
      <c r="C537">
        <v>28483637.299552754</v>
      </c>
      <c r="D537">
        <v>28419021.303372249</v>
      </c>
      <c r="E537">
        <v>529729.72972972901</v>
      </c>
      <c r="F537">
        <v>320720.720720721</v>
      </c>
      <c r="G537">
        <v>3</v>
      </c>
      <c r="H537">
        <v>3</v>
      </c>
      <c r="K537">
        <v>5</v>
      </c>
      <c r="L537">
        <v>3</v>
      </c>
      <c r="M537">
        <v>2754954.9549549539</v>
      </c>
      <c r="N537">
        <v>2441441.4414414419</v>
      </c>
      <c r="O537">
        <v>7761648.6486486495</v>
      </c>
      <c r="P537">
        <v>9141720.7207207195</v>
      </c>
      <c r="Q537">
        <v>2367747.7477477482</v>
      </c>
      <c r="R537">
        <v>1989549.5495495501</v>
      </c>
      <c r="S537">
        <v>444</v>
      </c>
      <c r="T537">
        <v>350</v>
      </c>
    </row>
    <row r="538" spans="1:20" x14ac:dyDescent="0.35">
      <c r="A538" s="7" t="s">
        <v>631</v>
      </c>
      <c r="B538" s="12" t="s">
        <v>242</v>
      </c>
      <c r="C538">
        <v>164890013.02914602</v>
      </c>
      <c r="D538">
        <v>152479516.44288284</v>
      </c>
      <c r="E538">
        <v>1445720.7207207209</v>
      </c>
      <c r="F538">
        <v>3497297.297297297</v>
      </c>
      <c r="G538">
        <v>71</v>
      </c>
      <c r="H538">
        <v>48</v>
      </c>
      <c r="I538">
        <v>1</v>
      </c>
      <c r="K538">
        <v>78</v>
      </c>
      <c r="L538">
        <v>99</v>
      </c>
      <c r="M538">
        <v>32148468.468468469</v>
      </c>
      <c r="N538">
        <v>45678288.288288288</v>
      </c>
      <c r="O538">
        <v>38366989.189189196</v>
      </c>
      <c r="P538">
        <v>38206648.648648649</v>
      </c>
      <c r="Q538">
        <v>32312342.342342343</v>
      </c>
      <c r="R538">
        <v>44138918.918918923</v>
      </c>
      <c r="S538">
        <v>2903</v>
      </c>
      <c r="T538">
        <v>2597</v>
      </c>
    </row>
    <row r="539" spans="1:20" x14ac:dyDescent="0.35">
      <c r="A539" s="7" t="s">
        <v>632</v>
      </c>
      <c r="B539" s="12" t="s">
        <v>69</v>
      </c>
      <c r="C539">
        <v>710838724.20620942</v>
      </c>
      <c r="D539">
        <v>728268326.32014012</v>
      </c>
      <c r="E539">
        <v>150744877.47747746</v>
      </c>
      <c r="F539">
        <v>160908912.61261261</v>
      </c>
      <c r="G539">
        <v>471</v>
      </c>
      <c r="H539">
        <v>128</v>
      </c>
      <c r="I539">
        <v>1</v>
      </c>
      <c r="K539">
        <v>512</v>
      </c>
      <c r="L539">
        <v>229</v>
      </c>
      <c r="M539">
        <v>93322522.522522524</v>
      </c>
      <c r="N539">
        <v>110279936.03603603</v>
      </c>
      <c r="O539">
        <v>122071715.31531531</v>
      </c>
      <c r="P539">
        <v>139203140.54054055</v>
      </c>
      <c r="Q539">
        <v>54052072.072072074</v>
      </c>
      <c r="R539">
        <v>61602072.072072074</v>
      </c>
      <c r="S539">
        <v>9672</v>
      </c>
      <c r="T539">
        <v>9093</v>
      </c>
    </row>
    <row r="540" spans="1:20" x14ac:dyDescent="0.35">
      <c r="A540" s="7" t="s">
        <v>633</v>
      </c>
      <c r="B540" s="12" t="s">
        <v>71</v>
      </c>
      <c r="C540">
        <v>5230529.3957280694</v>
      </c>
      <c r="D540">
        <v>5374027.1633510878</v>
      </c>
      <c r="E540">
        <v>54054.054054054002</v>
      </c>
      <c r="F540">
        <v>262612.61261261301</v>
      </c>
      <c r="G540">
        <v>2</v>
      </c>
      <c r="K540">
        <v>2</v>
      </c>
      <c r="M540">
        <v>54054.054054054002</v>
      </c>
      <c r="N540">
        <v>316666.66666666698</v>
      </c>
      <c r="O540">
        <v>3017927.927927928</v>
      </c>
      <c r="P540">
        <v>3192882.8828828828</v>
      </c>
      <c r="Q540">
        <v>164864.864864865</v>
      </c>
      <c r="S540">
        <v>330</v>
      </c>
      <c r="T540">
        <v>191</v>
      </c>
    </row>
    <row r="541" spans="1:20" x14ac:dyDescent="0.35">
      <c r="A541" s="7" t="s">
        <v>634</v>
      </c>
      <c r="B541" s="12" t="s">
        <v>61</v>
      </c>
      <c r="C541">
        <v>55254212.518896349</v>
      </c>
      <c r="D541">
        <v>55802855.3046818</v>
      </c>
      <c r="E541">
        <v>151351.351351352</v>
      </c>
      <c r="F541">
        <v>379054.05405405501</v>
      </c>
      <c r="G541">
        <v>17</v>
      </c>
      <c r="H541">
        <v>9</v>
      </c>
      <c r="I541">
        <v>1</v>
      </c>
      <c r="K541">
        <v>17</v>
      </c>
      <c r="L541">
        <v>10</v>
      </c>
      <c r="M541">
        <v>1953153.1531531529</v>
      </c>
      <c r="N541">
        <v>7480180.1801801799</v>
      </c>
      <c r="O541">
        <v>23225594.594594598</v>
      </c>
      <c r="P541">
        <v>22180936.936936937</v>
      </c>
      <c r="Q541">
        <v>888738.73873873905</v>
      </c>
      <c r="R541">
        <v>5785135.1351351347</v>
      </c>
      <c r="S541">
        <v>1158</v>
      </c>
      <c r="T541">
        <v>1097</v>
      </c>
    </row>
    <row r="542" spans="1:20" x14ac:dyDescent="0.35">
      <c r="A542" s="7" t="s">
        <v>635</v>
      </c>
      <c r="B542" s="12" t="s">
        <v>81</v>
      </c>
      <c r="C542">
        <v>556215740.90978861</v>
      </c>
      <c r="D542">
        <v>563960837.9169929</v>
      </c>
      <c r="E542">
        <v>6572522.522522524</v>
      </c>
      <c r="F542">
        <v>5048851.3513513533</v>
      </c>
      <c r="G542">
        <v>83</v>
      </c>
      <c r="H542">
        <v>65</v>
      </c>
      <c r="I542">
        <v>1</v>
      </c>
      <c r="K542">
        <v>92</v>
      </c>
      <c r="L542">
        <v>84</v>
      </c>
      <c r="M542">
        <v>64688738.738738738</v>
      </c>
      <c r="N542">
        <v>75060478.378378391</v>
      </c>
      <c r="O542">
        <v>110241554.05405405</v>
      </c>
      <c r="P542">
        <v>114143045.04504503</v>
      </c>
      <c r="Q542">
        <v>57447207.20720721</v>
      </c>
      <c r="R542">
        <v>68577837.837837845</v>
      </c>
      <c r="S542">
        <v>6971</v>
      </c>
      <c r="T542">
        <v>6712</v>
      </c>
    </row>
    <row r="543" spans="1:20" x14ac:dyDescent="0.35">
      <c r="A543" s="7" t="s">
        <v>636</v>
      </c>
      <c r="B543" s="12" t="s">
        <v>135</v>
      </c>
      <c r="C543">
        <v>100916469.84048736</v>
      </c>
      <c r="D543">
        <v>106088192.86371264</v>
      </c>
      <c r="E543">
        <v>874774.77477477503</v>
      </c>
      <c r="G543">
        <v>19</v>
      </c>
      <c r="H543">
        <v>18</v>
      </c>
      <c r="K543">
        <v>19</v>
      </c>
      <c r="L543">
        <v>20</v>
      </c>
      <c r="M543">
        <v>10933333.333333332</v>
      </c>
      <c r="N543">
        <v>1432432.432432432</v>
      </c>
      <c r="O543">
        <v>5654360.3603603607</v>
      </c>
      <c r="P543">
        <v>7761396.3963963958</v>
      </c>
      <c r="Q543">
        <v>10222252.252252253</v>
      </c>
      <c r="R543">
        <v>1330720.72072072</v>
      </c>
      <c r="S543">
        <v>1535</v>
      </c>
      <c r="T543">
        <v>1523</v>
      </c>
    </row>
    <row r="544" spans="1:20" x14ac:dyDescent="0.35">
      <c r="A544" s="7" t="s">
        <v>637</v>
      </c>
      <c r="B544" s="12" t="s">
        <v>480</v>
      </c>
      <c r="C544">
        <v>314713610.33628386</v>
      </c>
      <c r="D544">
        <v>294950061.84892505</v>
      </c>
      <c r="E544">
        <v>2984684.6846846892</v>
      </c>
      <c r="F544">
        <v>2214923.4234234248</v>
      </c>
      <c r="G544">
        <v>102</v>
      </c>
      <c r="H544">
        <v>65</v>
      </c>
      <c r="K544">
        <v>110</v>
      </c>
      <c r="L544">
        <v>69</v>
      </c>
      <c r="M544">
        <v>78731017.117117122</v>
      </c>
      <c r="N544">
        <v>83329522.522522524</v>
      </c>
      <c r="O544">
        <v>116484270.27027027</v>
      </c>
      <c r="P544">
        <v>111819990.990991</v>
      </c>
      <c r="Q544">
        <v>76047522.522522524</v>
      </c>
      <c r="R544">
        <v>91579684.684684694</v>
      </c>
      <c r="S544">
        <v>7739</v>
      </c>
      <c r="T544">
        <v>5817</v>
      </c>
    </row>
    <row r="545" spans="1:20" x14ac:dyDescent="0.35">
      <c r="A545" s="7" t="s">
        <v>638</v>
      </c>
      <c r="B545" s="12" t="s">
        <v>144</v>
      </c>
      <c r="C545">
        <v>518238269.81352717</v>
      </c>
      <c r="D545">
        <v>530752460.83856207</v>
      </c>
      <c r="E545">
        <v>4209909.9099099077</v>
      </c>
      <c r="F545">
        <v>4477945.0450450499</v>
      </c>
      <c r="G545">
        <v>132</v>
      </c>
      <c r="H545">
        <v>53</v>
      </c>
      <c r="K545">
        <v>160</v>
      </c>
      <c r="L545">
        <v>60</v>
      </c>
      <c r="M545">
        <v>33268018.018018015</v>
      </c>
      <c r="N545">
        <v>38572090.090090089</v>
      </c>
      <c r="O545">
        <v>65003475.225225225</v>
      </c>
      <c r="P545">
        <v>66000954.954954959</v>
      </c>
      <c r="Q545">
        <v>26939549.54954955</v>
      </c>
      <c r="R545">
        <v>30632972.972972974</v>
      </c>
      <c r="S545">
        <v>10512</v>
      </c>
      <c r="T545">
        <v>9496</v>
      </c>
    </row>
    <row r="546" spans="1:20" x14ac:dyDescent="0.35">
      <c r="A546" s="7" t="s">
        <v>639</v>
      </c>
      <c r="B546" s="12" t="s">
        <v>242</v>
      </c>
      <c r="C546">
        <v>566863400.12555206</v>
      </c>
      <c r="D546">
        <v>553810790.04929948</v>
      </c>
      <c r="E546">
        <v>2599099.0990991001</v>
      </c>
      <c r="F546">
        <v>5463854.0540540544</v>
      </c>
      <c r="G546">
        <v>289</v>
      </c>
      <c r="H546">
        <v>253</v>
      </c>
      <c r="K546">
        <v>343</v>
      </c>
      <c r="L546">
        <v>382</v>
      </c>
      <c r="M546">
        <v>55654594.59459459</v>
      </c>
      <c r="N546">
        <v>61302067.567567565</v>
      </c>
      <c r="O546">
        <v>182986113.51351351</v>
      </c>
      <c r="P546">
        <v>194374405.4054054</v>
      </c>
      <c r="Q546">
        <v>52611531.531531528</v>
      </c>
      <c r="R546">
        <v>59927792.79279279</v>
      </c>
      <c r="S546">
        <v>17291</v>
      </c>
      <c r="T546">
        <v>12569</v>
      </c>
    </row>
    <row r="547" spans="1:20" x14ac:dyDescent="0.35">
      <c r="A547" s="7" t="s">
        <v>640</v>
      </c>
      <c r="B547" s="12" t="s">
        <v>133</v>
      </c>
      <c r="C547">
        <v>219349397.00454512</v>
      </c>
      <c r="D547">
        <v>225485072.80961105</v>
      </c>
      <c r="E547">
        <v>315315.31531531602</v>
      </c>
      <c r="F547">
        <v>133333.33333333401</v>
      </c>
      <c r="G547">
        <v>90</v>
      </c>
      <c r="H547">
        <v>76</v>
      </c>
      <c r="I547">
        <v>3</v>
      </c>
      <c r="K547">
        <v>103</v>
      </c>
      <c r="L547">
        <v>87</v>
      </c>
      <c r="M547">
        <v>5754954.9549549557</v>
      </c>
      <c r="N547">
        <v>9688513.5135135129</v>
      </c>
      <c r="O547">
        <v>78450054.054054052</v>
      </c>
      <c r="P547">
        <v>80213313.51351352</v>
      </c>
      <c r="Q547">
        <v>5273513.5135135138</v>
      </c>
      <c r="R547">
        <v>6486171.1711711707</v>
      </c>
      <c r="S547">
        <v>6776</v>
      </c>
      <c r="T547">
        <v>5576</v>
      </c>
    </row>
    <row r="548" spans="1:20" x14ac:dyDescent="0.35">
      <c r="A548" s="7" t="s">
        <v>641</v>
      </c>
      <c r="B548" s="12" t="s">
        <v>135</v>
      </c>
      <c r="C548">
        <v>656249440.52880716</v>
      </c>
      <c r="D548">
        <v>694213342.20258558</v>
      </c>
      <c r="E548">
        <v>2066666.6666666679</v>
      </c>
      <c r="F548">
        <v>4710834.234234238</v>
      </c>
      <c r="G548">
        <v>108</v>
      </c>
      <c r="H548">
        <v>107</v>
      </c>
      <c r="I548">
        <v>1</v>
      </c>
      <c r="K548">
        <v>115</v>
      </c>
      <c r="L548">
        <v>122</v>
      </c>
      <c r="M548">
        <v>53685405.40540541</v>
      </c>
      <c r="N548">
        <v>66366995.495495498</v>
      </c>
      <c r="O548">
        <v>85732449.54954955</v>
      </c>
      <c r="P548">
        <v>100219675.67567568</v>
      </c>
      <c r="Q548">
        <v>43148691.891891889</v>
      </c>
      <c r="R548">
        <v>53622522.522522531</v>
      </c>
      <c r="S548">
        <v>8643</v>
      </c>
      <c r="T548">
        <v>7465</v>
      </c>
    </row>
    <row r="549" spans="1:20" x14ac:dyDescent="0.35">
      <c r="A549" s="7" t="s">
        <v>642</v>
      </c>
      <c r="B549" s="12" t="s">
        <v>81</v>
      </c>
      <c r="C549">
        <v>342101200.81657892</v>
      </c>
      <c r="D549">
        <v>342780616.02473223</v>
      </c>
      <c r="E549">
        <v>1261261.2612612599</v>
      </c>
      <c r="F549">
        <v>2091546.846846849</v>
      </c>
      <c r="G549">
        <v>60</v>
      </c>
      <c r="H549">
        <v>39</v>
      </c>
      <c r="K549">
        <v>75</v>
      </c>
      <c r="L549">
        <v>77</v>
      </c>
      <c r="M549">
        <v>36300900.900900893</v>
      </c>
      <c r="N549">
        <v>44480859.459459454</v>
      </c>
      <c r="O549">
        <v>123481254.95495497</v>
      </c>
      <c r="P549">
        <v>125107637.83783785</v>
      </c>
      <c r="Q549">
        <v>35856846.846846849</v>
      </c>
      <c r="R549">
        <v>39717387.387387387</v>
      </c>
      <c r="S549">
        <v>5138</v>
      </c>
      <c r="T549">
        <v>4846</v>
      </c>
    </row>
    <row r="550" spans="1:20" x14ac:dyDescent="0.35">
      <c r="A550" s="7" t="s">
        <v>643</v>
      </c>
      <c r="B550" s="12" t="s">
        <v>170</v>
      </c>
      <c r="C550">
        <v>573814026.47748435</v>
      </c>
      <c r="D550">
        <v>594495507.44685853</v>
      </c>
      <c r="E550">
        <v>2266666.666666667</v>
      </c>
      <c r="F550">
        <v>3653095.4954954959</v>
      </c>
      <c r="G550">
        <v>60</v>
      </c>
      <c r="H550">
        <v>68</v>
      </c>
      <c r="I550">
        <v>2</v>
      </c>
      <c r="K550">
        <v>67</v>
      </c>
      <c r="L550">
        <v>74</v>
      </c>
      <c r="M550">
        <v>49424519.819819823</v>
      </c>
      <c r="N550">
        <v>53717720.720720723</v>
      </c>
      <c r="O550">
        <v>202610342.34234235</v>
      </c>
      <c r="P550">
        <v>227954765.76576576</v>
      </c>
      <c r="Q550">
        <v>46351171.171171166</v>
      </c>
      <c r="R550">
        <v>49500900.900900893</v>
      </c>
      <c r="S550">
        <v>9207</v>
      </c>
      <c r="T550">
        <v>8988</v>
      </c>
    </row>
    <row r="551" spans="1:20" x14ac:dyDescent="0.35">
      <c r="A551" s="7" t="s">
        <v>644</v>
      </c>
      <c r="B551" s="12" t="s">
        <v>59</v>
      </c>
      <c r="C551">
        <v>982106349.55672741</v>
      </c>
      <c r="D551">
        <v>978480500.73408699</v>
      </c>
      <c r="E551">
        <v>12451576.576576574</v>
      </c>
      <c r="F551">
        <v>12123408.108108114</v>
      </c>
      <c r="G551">
        <v>300</v>
      </c>
      <c r="H551">
        <v>227</v>
      </c>
      <c r="K551">
        <v>334</v>
      </c>
      <c r="L551">
        <v>266</v>
      </c>
      <c r="M551">
        <v>118208558.55855855</v>
      </c>
      <c r="N551">
        <v>166204985.58558559</v>
      </c>
      <c r="O551">
        <v>202234040.54054055</v>
      </c>
      <c r="P551">
        <v>208749800</v>
      </c>
      <c r="Q551">
        <v>67134324.324324325</v>
      </c>
      <c r="R551">
        <v>173133693.6936937</v>
      </c>
      <c r="S551">
        <v>20177</v>
      </c>
      <c r="T551">
        <v>17193</v>
      </c>
    </row>
    <row r="552" spans="1:20" x14ac:dyDescent="0.35">
      <c r="A552" s="7" t="s">
        <v>645</v>
      </c>
      <c r="B552" s="12" t="s">
        <v>59</v>
      </c>
      <c r="C552">
        <v>1224223633.4636631</v>
      </c>
      <c r="D552">
        <v>1253473374.6736479</v>
      </c>
      <c r="E552">
        <v>363443916.21621621</v>
      </c>
      <c r="F552">
        <v>614218817.11711705</v>
      </c>
      <c r="G552">
        <v>1285</v>
      </c>
      <c r="H552">
        <v>543</v>
      </c>
      <c r="I552">
        <v>1</v>
      </c>
      <c r="K552">
        <v>1484</v>
      </c>
      <c r="L552">
        <v>873</v>
      </c>
      <c r="M552">
        <v>209707207.2072072</v>
      </c>
      <c r="N552">
        <v>324299491.8918919</v>
      </c>
      <c r="O552">
        <v>365991842.34234232</v>
      </c>
      <c r="P552">
        <v>363978589.1891892</v>
      </c>
      <c r="Q552">
        <v>180216036.03603604</v>
      </c>
      <c r="R552">
        <v>316911481.08108109</v>
      </c>
      <c r="S552">
        <v>34373</v>
      </c>
      <c r="T552">
        <v>22251</v>
      </c>
    </row>
    <row r="553" spans="1:20" x14ac:dyDescent="0.35">
      <c r="A553" s="7" t="s">
        <v>646</v>
      </c>
      <c r="B553" s="12" t="s">
        <v>308</v>
      </c>
      <c r="C553">
        <v>399800387.29447788</v>
      </c>
      <c r="D553">
        <v>382478212.21869349</v>
      </c>
      <c r="E553">
        <v>1890090.0900900899</v>
      </c>
      <c r="F553">
        <v>2220720.7207207209</v>
      </c>
      <c r="G553">
        <v>65</v>
      </c>
      <c r="H553">
        <v>36</v>
      </c>
      <c r="K553">
        <v>68</v>
      </c>
      <c r="L553">
        <v>47</v>
      </c>
      <c r="M553">
        <v>7348288.2882882887</v>
      </c>
      <c r="N553">
        <v>7356936.9369369363</v>
      </c>
      <c r="O553">
        <v>65827300</v>
      </c>
      <c r="P553">
        <v>70228427.927927926</v>
      </c>
      <c r="Q553">
        <v>6956306.3063063072</v>
      </c>
      <c r="R553">
        <v>7486936.9369369363</v>
      </c>
      <c r="S553">
        <v>5581</v>
      </c>
      <c r="T553">
        <v>5118</v>
      </c>
    </row>
    <row r="554" spans="1:20" x14ac:dyDescent="0.35">
      <c r="A554" s="7" t="s">
        <v>13</v>
      </c>
      <c r="B554" s="12" t="s">
        <v>159</v>
      </c>
      <c r="C554">
        <v>458265030.74112225</v>
      </c>
      <c r="D554">
        <v>431354069.42828333</v>
      </c>
      <c r="E554">
        <v>6257657.6576576652</v>
      </c>
      <c r="F554">
        <v>6988577.4774774816</v>
      </c>
      <c r="G554">
        <v>218</v>
      </c>
      <c r="H554">
        <v>170</v>
      </c>
      <c r="I554">
        <v>2</v>
      </c>
      <c r="K554">
        <v>834</v>
      </c>
      <c r="L554">
        <v>980</v>
      </c>
      <c r="M554">
        <v>159750675.67567569</v>
      </c>
      <c r="N554">
        <v>172155440.54054055</v>
      </c>
      <c r="O554">
        <v>276937567.56756753</v>
      </c>
      <c r="P554">
        <v>269939315.31531531</v>
      </c>
      <c r="Q554">
        <v>157423421.62162164</v>
      </c>
      <c r="R554">
        <v>197253423.42342341</v>
      </c>
      <c r="S554">
        <v>10768</v>
      </c>
      <c r="T554">
        <v>9268</v>
      </c>
    </row>
    <row r="555" spans="1:20" x14ac:dyDescent="0.35">
      <c r="A555" s="7" t="s">
        <v>647</v>
      </c>
      <c r="B555" s="12" t="s">
        <v>122</v>
      </c>
      <c r="C555">
        <v>307575436.14986134</v>
      </c>
      <c r="D555">
        <v>318327145.20045358</v>
      </c>
      <c r="E555">
        <v>181081.08108108101</v>
      </c>
      <c r="F555">
        <v>126609.00900901</v>
      </c>
      <c r="G555">
        <v>71</v>
      </c>
      <c r="H555">
        <v>102</v>
      </c>
      <c r="K555">
        <v>76</v>
      </c>
      <c r="L555">
        <v>108</v>
      </c>
      <c r="M555">
        <v>2256756.7567567569</v>
      </c>
      <c r="N555">
        <v>1478459.459459461</v>
      </c>
      <c r="O555">
        <v>26729231.981981985</v>
      </c>
      <c r="P555">
        <v>30593663.063063063</v>
      </c>
      <c r="Q555">
        <v>1206576.576576577</v>
      </c>
      <c r="R555">
        <v>1079729.7297297299</v>
      </c>
      <c r="S555">
        <v>3326</v>
      </c>
      <c r="T555">
        <v>3698</v>
      </c>
    </row>
    <row r="556" spans="1:20" x14ac:dyDescent="0.35">
      <c r="A556" s="7" t="s">
        <v>648</v>
      </c>
      <c r="B556" s="12" t="s">
        <v>316</v>
      </c>
      <c r="C556">
        <v>110947382.61254165</v>
      </c>
      <c r="D556">
        <v>100355799.13331753</v>
      </c>
      <c r="E556">
        <v>1737837.8378378381</v>
      </c>
      <c r="F556">
        <v>2391981.081081083</v>
      </c>
      <c r="G556">
        <v>43</v>
      </c>
      <c r="H556">
        <v>12</v>
      </c>
      <c r="K556">
        <v>47</v>
      </c>
      <c r="L556">
        <v>13</v>
      </c>
      <c r="M556">
        <v>19519819.819819819</v>
      </c>
      <c r="N556">
        <v>41120554.054054059</v>
      </c>
      <c r="O556">
        <v>27948117.117117122</v>
      </c>
      <c r="P556">
        <v>26638783.783783782</v>
      </c>
      <c r="Q556">
        <v>20685585.585585583</v>
      </c>
      <c r="R556">
        <v>37447027.027027026</v>
      </c>
      <c r="S556">
        <v>1567</v>
      </c>
      <c r="T556">
        <v>1289</v>
      </c>
    </row>
    <row r="557" spans="1:20" x14ac:dyDescent="0.35">
      <c r="A557" s="7" t="s">
        <v>649</v>
      </c>
      <c r="B557" s="12" t="s">
        <v>261</v>
      </c>
      <c r="C557">
        <v>283702012.95543492</v>
      </c>
      <c r="D557">
        <v>297491894.88596171</v>
      </c>
      <c r="E557">
        <v>465284981.08108109</v>
      </c>
      <c r="F557">
        <v>532356741.44144148</v>
      </c>
      <c r="G557">
        <v>94</v>
      </c>
      <c r="H557">
        <v>73</v>
      </c>
      <c r="K557">
        <v>101</v>
      </c>
      <c r="L557">
        <v>78</v>
      </c>
      <c r="M557">
        <v>116317117.11711712</v>
      </c>
      <c r="N557">
        <v>107713513.51351352</v>
      </c>
      <c r="O557">
        <v>93734045.045045033</v>
      </c>
      <c r="P557">
        <v>104489225.22522523</v>
      </c>
      <c r="Q557">
        <v>52465495.495495498</v>
      </c>
      <c r="R557">
        <v>55659459.459459454</v>
      </c>
      <c r="S557">
        <v>4795</v>
      </c>
      <c r="T557">
        <v>4324</v>
      </c>
    </row>
    <row r="558" spans="1:20" x14ac:dyDescent="0.35">
      <c r="A558" s="7" t="s">
        <v>650</v>
      </c>
      <c r="B558" s="12" t="s">
        <v>225</v>
      </c>
      <c r="C558">
        <v>277733648.85863882</v>
      </c>
      <c r="D558">
        <v>317744014.08228737</v>
      </c>
      <c r="E558">
        <v>5297072.0720720729</v>
      </c>
      <c r="F558">
        <v>3991875.6756756771</v>
      </c>
      <c r="G558">
        <v>79</v>
      </c>
      <c r="H558">
        <v>104</v>
      </c>
      <c r="K558">
        <v>88</v>
      </c>
      <c r="L558">
        <v>127</v>
      </c>
      <c r="M558">
        <v>84740540.540540546</v>
      </c>
      <c r="N558">
        <v>41890642.342342347</v>
      </c>
      <c r="O558">
        <v>63124493.693693697</v>
      </c>
      <c r="P558">
        <v>78567403.603603601</v>
      </c>
      <c r="Q558">
        <v>79703333.333333343</v>
      </c>
      <c r="R558">
        <v>38888018.018018015</v>
      </c>
      <c r="S558">
        <v>5845</v>
      </c>
      <c r="T558">
        <v>5527</v>
      </c>
    </row>
    <row r="559" spans="1:20" x14ac:dyDescent="0.35">
      <c r="A559" s="7" t="s">
        <v>651</v>
      </c>
      <c r="B559" s="12" t="s">
        <v>225</v>
      </c>
      <c r="C559">
        <v>223827873.5969137</v>
      </c>
      <c r="D559">
        <v>251370348.3782832</v>
      </c>
      <c r="E559">
        <v>65765.765765767006</v>
      </c>
      <c r="F559">
        <v>139501.80180180201</v>
      </c>
      <c r="G559">
        <v>43</v>
      </c>
      <c r="H559">
        <v>51</v>
      </c>
      <c r="K559">
        <v>46</v>
      </c>
      <c r="L559">
        <v>54</v>
      </c>
      <c r="M559">
        <v>10276216.216216216</v>
      </c>
      <c r="N559">
        <v>15232618.918918921</v>
      </c>
      <c r="O559">
        <v>30964810.810810812</v>
      </c>
      <c r="P559">
        <v>40811000</v>
      </c>
      <c r="Q559">
        <v>9570180.1801801808</v>
      </c>
      <c r="R559">
        <v>13144504.504504504</v>
      </c>
      <c r="S559">
        <v>3224</v>
      </c>
      <c r="T559">
        <v>3100</v>
      </c>
    </row>
    <row r="560" spans="1:20" x14ac:dyDescent="0.35">
      <c r="A560" s="7" t="s">
        <v>652</v>
      </c>
      <c r="B560" s="12" t="s">
        <v>225</v>
      </c>
      <c r="C560">
        <v>863624731.01100671</v>
      </c>
      <c r="D560">
        <v>969685712.1835506</v>
      </c>
      <c r="E560">
        <v>382040876.57657659</v>
      </c>
      <c r="F560">
        <v>385599869.36936933</v>
      </c>
      <c r="G560">
        <v>319</v>
      </c>
      <c r="H560">
        <v>383</v>
      </c>
      <c r="K560">
        <v>480</v>
      </c>
      <c r="L560">
        <v>485</v>
      </c>
      <c r="M560">
        <v>252135675.67567569</v>
      </c>
      <c r="N560">
        <v>205241462.16216218</v>
      </c>
      <c r="O560">
        <v>212695346.84684685</v>
      </c>
      <c r="P560">
        <v>253417772.97297296</v>
      </c>
      <c r="Q560">
        <v>236407387.38738739</v>
      </c>
      <c r="R560">
        <v>181534144.14414415</v>
      </c>
      <c r="S560">
        <v>19503</v>
      </c>
      <c r="T560">
        <v>20143</v>
      </c>
    </row>
    <row r="561" spans="1:20" x14ac:dyDescent="0.35">
      <c r="A561" s="7" t="s">
        <v>653</v>
      </c>
      <c r="B561" s="12" t="s">
        <v>225</v>
      </c>
      <c r="C561">
        <v>103982636.42174266</v>
      </c>
      <c r="D561">
        <v>123611623.10203257</v>
      </c>
      <c r="E561">
        <v>207207.207207208</v>
      </c>
      <c r="F561">
        <v>410810.810810811</v>
      </c>
      <c r="G561">
        <v>25</v>
      </c>
      <c r="H561">
        <v>34</v>
      </c>
      <c r="K561">
        <v>31</v>
      </c>
      <c r="L561">
        <v>35</v>
      </c>
      <c r="M561">
        <v>1648648.6486486481</v>
      </c>
      <c r="N561">
        <v>4495495.4954954954</v>
      </c>
      <c r="O561">
        <v>16473774.774774777</v>
      </c>
      <c r="P561">
        <v>22300088.288288288</v>
      </c>
      <c r="Q561">
        <v>1626306.306306306</v>
      </c>
      <c r="R561">
        <v>2532612.612612613</v>
      </c>
      <c r="S561">
        <v>1782</v>
      </c>
      <c r="T561">
        <v>1794</v>
      </c>
    </row>
    <row r="562" spans="1:20" x14ac:dyDescent="0.35">
      <c r="A562" s="7" t="s">
        <v>654</v>
      </c>
      <c r="B562" s="12" t="s">
        <v>97</v>
      </c>
      <c r="C562">
        <v>545278379.95532131</v>
      </c>
      <c r="D562">
        <v>522026352.59889984</v>
      </c>
      <c r="E562">
        <v>447202594.5945946</v>
      </c>
      <c r="F562">
        <v>512448020.72072071</v>
      </c>
      <c r="G562">
        <v>239</v>
      </c>
      <c r="H562">
        <v>196</v>
      </c>
      <c r="K562">
        <v>252</v>
      </c>
      <c r="L562">
        <v>210</v>
      </c>
      <c r="M562">
        <v>105122603.6036036</v>
      </c>
      <c r="N562">
        <v>64126995.495495498</v>
      </c>
      <c r="O562">
        <v>73805126.126126125</v>
      </c>
      <c r="P562">
        <v>70350981.981981978</v>
      </c>
      <c r="Q562">
        <v>10924504.504504504</v>
      </c>
      <c r="R562">
        <v>21919729.729729731</v>
      </c>
      <c r="S562">
        <v>10234</v>
      </c>
      <c r="T562">
        <v>8729</v>
      </c>
    </row>
    <row r="563" spans="1:20" x14ac:dyDescent="0.35">
      <c r="A563" s="7" t="s">
        <v>655</v>
      </c>
      <c r="B563" s="12" t="s">
        <v>67</v>
      </c>
      <c r="C563">
        <v>337617561.44688606</v>
      </c>
      <c r="D563">
        <v>312653221.60414159</v>
      </c>
      <c r="E563">
        <v>7926126.1261261282</v>
      </c>
      <c r="F563">
        <v>7373453.1531531541</v>
      </c>
      <c r="G563">
        <v>120</v>
      </c>
      <c r="H563">
        <v>88</v>
      </c>
      <c r="K563">
        <v>129</v>
      </c>
      <c r="L563">
        <v>91</v>
      </c>
      <c r="M563">
        <v>96621621.621621609</v>
      </c>
      <c r="N563">
        <v>119825720.72072072</v>
      </c>
      <c r="O563">
        <v>220723846.84684685</v>
      </c>
      <c r="P563">
        <v>206799936.93693691</v>
      </c>
      <c r="Q563">
        <v>100486936.93693694</v>
      </c>
      <c r="R563">
        <v>115830225.22522523</v>
      </c>
      <c r="S563">
        <v>6577</v>
      </c>
      <c r="T563">
        <v>5199</v>
      </c>
    </row>
    <row r="564" spans="1:20" x14ac:dyDescent="0.35">
      <c r="A564" s="7" t="s">
        <v>656</v>
      </c>
      <c r="B564" s="12" t="s">
        <v>69</v>
      </c>
      <c r="C564">
        <v>537413853.46459103</v>
      </c>
      <c r="D564">
        <v>544495210.46714044</v>
      </c>
      <c r="E564">
        <v>1240990.990990991</v>
      </c>
      <c r="F564">
        <v>1092936.0360360369</v>
      </c>
      <c r="G564">
        <v>91</v>
      </c>
      <c r="H564">
        <v>64</v>
      </c>
      <c r="I564">
        <v>2</v>
      </c>
      <c r="K564">
        <v>102</v>
      </c>
      <c r="L564">
        <v>70</v>
      </c>
      <c r="M564">
        <v>21913599.0990991</v>
      </c>
      <c r="N564">
        <v>34600612.612612613</v>
      </c>
      <c r="O564">
        <v>71209477.477477476</v>
      </c>
      <c r="P564">
        <v>79803144.144144148</v>
      </c>
      <c r="Q564">
        <v>18022882.882882886</v>
      </c>
      <c r="R564">
        <v>22625000</v>
      </c>
      <c r="S564">
        <v>7168</v>
      </c>
      <c r="T564">
        <v>6080</v>
      </c>
    </row>
    <row r="565" spans="1:20" x14ac:dyDescent="0.35">
      <c r="A565" s="7" t="s">
        <v>14</v>
      </c>
      <c r="B565" s="12" t="s">
        <v>159</v>
      </c>
      <c r="C565">
        <v>232345101.47274095</v>
      </c>
      <c r="D565">
        <v>232091501.89753687</v>
      </c>
      <c r="E565">
        <v>1668468.468468467</v>
      </c>
      <c r="F565">
        <v>1224992.7927927929</v>
      </c>
      <c r="G565">
        <v>38</v>
      </c>
      <c r="H565">
        <v>35</v>
      </c>
      <c r="K565">
        <v>40</v>
      </c>
      <c r="L565">
        <v>38</v>
      </c>
      <c r="M565">
        <v>50521621.621621624</v>
      </c>
      <c r="N565">
        <v>40484083.783783786</v>
      </c>
      <c r="O565">
        <v>77586441.441441447</v>
      </c>
      <c r="P565">
        <v>80924747.747747749</v>
      </c>
      <c r="Q565">
        <v>48674144.144144148</v>
      </c>
      <c r="R565">
        <v>34382612.612612613</v>
      </c>
      <c r="S565">
        <v>4169</v>
      </c>
      <c r="T565">
        <v>3949</v>
      </c>
    </row>
    <row r="566" spans="1:20" x14ac:dyDescent="0.35">
      <c r="A566" s="7" t="s">
        <v>657</v>
      </c>
      <c r="B566" s="12" t="s">
        <v>305</v>
      </c>
      <c r="C566">
        <v>248568377.97383082</v>
      </c>
      <c r="D566">
        <v>250947163.72796935</v>
      </c>
      <c r="E566">
        <v>975675.67567567504</v>
      </c>
      <c r="F566">
        <v>1708435.1351351361</v>
      </c>
      <c r="G566">
        <v>302</v>
      </c>
      <c r="H566">
        <v>53</v>
      </c>
      <c r="K566">
        <v>317</v>
      </c>
      <c r="L566">
        <v>59</v>
      </c>
      <c r="M566">
        <v>40246846.846846849</v>
      </c>
      <c r="N566">
        <v>45648896.396396399</v>
      </c>
      <c r="O566">
        <v>75716608.108108118</v>
      </c>
      <c r="P566">
        <v>75277594.594594598</v>
      </c>
      <c r="Q566">
        <v>40485405.40540541</v>
      </c>
      <c r="R566">
        <v>37879189.189189181</v>
      </c>
      <c r="S566">
        <v>3517</v>
      </c>
      <c r="T566">
        <v>3070</v>
      </c>
    </row>
    <row r="567" spans="1:20" x14ac:dyDescent="0.35">
      <c r="A567" s="7" t="s">
        <v>658</v>
      </c>
      <c r="B567" s="12" t="s">
        <v>49</v>
      </c>
      <c r="C567">
        <v>310800364.19125581</v>
      </c>
      <c r="D567">
        <v>298247831.06950617</v>
      </c>
      <c r="E567">
        <v>2309009.009009012</v>
      </c>
      <c r="F567">
        <v>3756836.0360360369</v>
      </c>
      <c r="G567">
        <v>99</v>
      </c>
      <c r="H567">
        <v>17</v>
      </c>
      <c r="K567">
        <v>151</v>
      </c>
      <c r="L567">
        <v>20</v>
      </c>
      <c r="M567">
        <v>62931171.171171166</v>
      </c>
      <c r="N567">
        <v>22323033.333333332</v>
      </c>
      <c r="O567">
        <v>99053351.351351351</v>
      </c>
      <c r="P567">
        <v>93757187.387387395</v>
      </c>
      <c r="Q567">
        <v>62737387.387387395</v>
      </c>
      <c r="R567">
        <v>21879009.009009007</v>
      </c>
      <c r="S567">
        <v>3711</v>
      </c>
      <c r="T567">
        <v>3043</v>
      </c>
    </row>
    <row r="568" spans="1:20" x14ac:dyDescent="0.35">
      <c r="A568" s="7" t="s">
        <v>659</v>
      </c>
      <c r="B568" s="12" t="s">
        <v>55</v>
      </c>
      <c r="C568">
        <v>101969792.02105136</v>
      </c>
      <c r="D568">
        <v>104563168.63010637</v>
      </c>
      <c r="E568">
        <v>1124324.324324324</v>
      </c>
      <c r="F568">
        <v>3110433.333333333</v>
      </c>
      <c r="G568">
        <v>2</v>
      </c>
      <c r="H568">
        <v>19</v>
      </c>
      <c r="K568">
        <v>2</v>
      </c>
      <c r="L568">
        <v>25</v>
      </c>
      <c r="M568">
        <v>8258558.558558559</v>
      </c>
      <c r="N568">
        <v>12760702.702702705</v>
      </c>
      <c r="O568">
        <v>23642612.612612613</v>
      </c>
      <c r="P568">
        <v>25280198.198198199</v>
      </c>
      <c r="Q568">
        <v>7699189.18918919</v>
      </c>
      <c r="R568">
        <v>10642972.972972972</v>
      </c>
      <c r="S568">
        <v>1699</v>
      </c>
      <c r="T568">
        <v>1559</v>
      </c>
    </row>
    <row r="569" spans="1:20" x14ac:dyDescent="0.35">
      <c r="A569" s="7" t="s">
        <v>660</v>
      </c>
      <c r="B569" s="12" t="s">
        <v>51</v>
      </c>
      <c r="C569">
        <v>453557212.78569221</v>
      </c>
      <c r="D569">
        <v>461193320.72278047</v>
      </c>
      <c r="E569">
        <v>576524087.38738739</v>
      </c>
      <c r="F569">
        <v>357519579.27927929</v>
      </c>
      <c r="G569">
        <v>85</v>
      </c>
      <c r="H569">
        <v>23</v>
      </c>
      <c r="K569">
        <v>96</v>
      </c>
      <c r="L569">
        <v>26</v>
      </c>
      <c r="M569">
        <v>204356036.03603604</v>
      </c>
      <c r="N569">
        <v>188357383.78378376</v>
      </c>
      <c r="O569">
        <v>226263900.9009009</v>
      </c>
      <c r="P569">
        <v>233465063.06306309</v>
      </c>
      <c r="Q569">
        <v>105601441.44144145</v>
      </c>
      <c r="R569">
        <v>86328288.288288295</v>
      </c>
      <c r="S569">
        <v>8264</v>
      </c>
      <c r="T569">
        <v>5802</v>
      </c>
    </row>
    <row r="570" spans="1:20" x14ac:dyDescent="0.35">
      <c r="A570" s="7" t="s">
        <v>661</v>
      </c>
      <c r="B570" s="12" t="s">
        <v>84</v>
      </c>
      <c r="C570">
        <v>548493681.74059439</v>
      </c>
      <c r="D570">
        <v>540111347.04330409</v>
      </c>
      <c r="E570">
        <v>4033125.2252252251</v>
      </c>
      <c r="F570">
        <v>4963953.1531531531</v>
      </c>
      <c r="G570">
        <v>151</v>
      </c>
      <c r="H570">
        <v>150</v>
      </c>
      <c r="K570">
        <v>168</v>
      </c>
      <c r="L570">
        <v>182</v>
      </c>
      <c r="M570">
        <v>71865227.027027026</v>
      </c>
      <c r="N570">
        <v>127686961.26126127</v>
      </c>
      <c r="O570">
        <v>140749531.53153154</v>
      </c>
      <c r="P570">
        <v>145156255.85585585</v>
      </c>
      <c r="Q570">
        <v>46393378.378378376</v>
      </c>
      <c r="R570">
        <v>54681259.459459454</v>
      </c>
      <c r="S570">
        <v>9296</v>
      </c>
      <c r="T570">
        <v>8926</v>
      </c>
    </row>
    <row r="571" spans="1:20" x14ac:dyDescent="0.35">
      <c r="A571" s="16" t="s">
        <v>662</v>
      </c>
      <c r="B571" s="14"/>
      <c r="C571" s="17">
        <v>226308447393.36023</v>
      </c>
      <c r="D571" s="17">
        <v>225924188420.94946</v>
      </c>
      <c r="E571" s="17">
        <v>50102417490.990974</v>
      </c>
      <c r="F571" s="17">
        <v>60523496371.171135</v>
      </c>
      <c r="G571" s="17">
        <v>88828</v>
      </c>
      <c r="H571" s="17">
        <v>70548</v>
      </c>
      <c r="I571" s="17">
        <v>734</v>
      </c>
      <c r="J571" s="17"/>
      <c r="K571" s="17">
        <v>122593</v>
      </c>
      <c r="L571" s="17">
        <v>103738</v>
      </c>
      <c r="M571" s="17">
        <v>49177952274.774811</v>
      </c>
      <c r="N571" s="17">
        <v>56383212326.126129</v>
      </c>
      <c r="O571" s="17">
        <v>67419654181.982033</v>
      </c>
      <c r="P571" s="17">
        <v>72340934763.063034</v>
      </c>
      <c r="Q571" s="17">
        <v>39085720924.324318</v>
      </c>
      <c r="R571" s="17">
        <v>46884049798.198219</v>
      </c>
      <c r="S571" s="17">
        <v>4651006</v>
      </c>
      <c r="T571" s="17">
        <v>3732606</v>
      </c>
    </row>
    <row r="572" spans="1:20" x14ac:dyDescent="0.35">
      <c r="A572" s="7" t="s">
        <v>660</v>
      </c>
      <c r="B572" s="12" t="s">
        <v>51</v>
      </c>
      <c r="C572">
        <v>340468703.79018021</v>
      </c>
      <c r="D572">
        <v>355953726.81693196</v>
      </c>
      <c r="E572">
        <v>1679279.279279283</v>
      </c>
      <c r="F572">
        <v>1536036.0360360381</v>
      </c>
      <c r="G572">
        <v>64</v>
      </c>
      <c r="H572">
        <v>17</v>
      </c>
      <c r="K572">
        <v>86</v>
      </c>
      <c r="L572">
        <v>20</v>
      </c>
      <c r="M572">
        <v>86525855.855855852</v>
      </c>
      <c r="N572">
        <v>63458468.468468465</v>
      </c>
      <c r="O572">
        <v>171285351.35135135</v>
      </c>
      <c r="P572">
        <v>182156576.57657659</v>
      </c>
      <c r="Q572">
        <v>80741261.261261269</v>
      </c>
      <c r="R572">
        <v>67669009.009009004</v>
      </c>
      <c r="S572">
        <v>5911</v>
      </c>
      <c r="T572">
        <v>5762</v>
      </c>
    </row>
    <row r="573" spans="1:20" x14ac:dyDescent="0.35">
      <c r="A573" s="7" t="s">
        <v>661</v>
      </c>
      <c r="B573" s="12" t="s">
        <v>84</v>
      </c>
      <c r="C573">
        <v>414608827.86823946</v>
      </c>
      <c r="D573">
        <v>406253058.65274423</v>
      </c>
      <c r="E573">
        <v>3228620.72072072</v>
      </c>
      <c r="F573">
        <v>3938738.7387387399</v>
      </c>
      <c r="G573">
        <v>113</v>
      </c>
      <c r="H573">
        <v>122</v>
      </c>
      <c r="K573">
        <v>131</v>
      </c>
      <c r="L573">
        <v>144</v>
      </c>
      <c r="M573">
        <v>59738200</v>
      </c>
      <c r="N573">
        <v>70005180.180180177</v>
      </c>
      <c r="O573">
        <v>107160720.72072072</v>
      </c>
      <c r="P573">
        <v>113603814.41441442</v>
      </c>
      <c r="Q573">
        <v>36407792.79279279</v>
      </c>
      <c r="R573">
        <v>42553781.981981985</v>
      </c>
      <c r="S573">
        <v>9030</v>
      </c>
      <c r="T573">
        <v>8956</v>
      </c>
    </row>
    <row r="574" spans="1:20" x14ac:dyDescent="0.35">
      <c r="A574" s="7" t="s">
        <v>661</v>
      </c>
      <c r="B574" s="12" t="s">
        <v>84</v>
      </c>
      <c r="C574">
        <v>397677261.4063766</v>
      </c>
      <c r="D574">
        <v>389701792.50839347</v>
      </c>
      <c r="E574">
        <v>3051143.2432432421</v>
      </c>
      <c r="F574">
        <v>3830630.630630631</v>
      </c>
      <c r="G574">
        <v>112</v>
      </c>
      <c r="H574">
        <v>115</v>
      </c>
      <c r="K574">
        <v>130</v>
      </c>
      <c r="L574">
        <v>136</v>
      </c>
      <c r="M574">
        <v>59551713.513513513</v>
      </c>
      <c r="N574">
        <v>45068243.24324324</v>
      </c>
      <c r="O574">
        <v>102419054.05405405</v>
      </c>
      <c r="P574">
        <v>108633958.55855855</v>
      </c>
      <c r="Q574">
        <v>35224639.639639638</v>
      </c>
      <c r="R574">
        <v>40915854.054054059</v>
      </c>
      <c r="S574">
        <v>8688</v>
      </c>
      <c r="T574">
        <v>9044</v>
      </c>
    </row>
    <row r="575" spans="1:20" x14ac:dyDescent="0.35">
      <c r="A575" s="16" t="s">
        <v>662</v>
      </c>
      <c r="B575" s="14"/>
      <c r="C575" s="17">
        <v>165077903080.78256</v>
      </c>
      <c r="D575" s="17">
        <v>166787947532.75107</v>
      </c>
      <c r="E575" s="17">
        <v>38380562584.6847</v>
      </c>
      <c r="F575" s="17">
        <v>42457018647.747734</v>
      </c>
      <c r="G575" s="17">
        <v>59093</v>
      </c>
      <c r="H575" s="17">
        <v>45288</v>
      </c>
      <c r="I575" s="17">
        <v>513</v>
      </c>
      <c r="J575" s="17"/>
      <c r="K575" s="17">
        <v>83686</v>
      </c>
      <c r="L575" s="17">
        <v>66905</v>
      </c>
      <c r="M575" s="17">
        <v>35788876009.00901</v>
      </c>
      <c r="N575" s="17">
        <v>37481004610.810814</v>
      </c>
      <c r="O575" s="17">
        <v>49667870019.819824</v>
      </c>
      <c r="P575" s="17">
        <v>53806458061.261261</v>
      </c>
      <c r="Q575" s="17">
        <v>26357094664.864845</v>
      </c>
      <c r="R575" s="17">
        <v>29162222445.04504</v>
      </c>
      <c r="S575" s="17">
        <v>3651263</v>
      </c>
      <c r="T575" s="17">
        <v>3748831</v>
      </c>
    </row>
    <row r="576" spans="1:20" x14ac:dyDescent="0.35">
      <c r="A576" s="13" t="s">
        <v>662</v>
      </c>
      <c r="B576" s="14"/>
      <c r="C576" s="15">
        <v>128271665346.12497</v>
      </c>
      <c r="D576" s="15">
        <v>132158564620.26212</v>
      </c>
      <c r="E576" s="15">
        <v>27114972049.549534</v>
      </c>
      <c r="F576" s="15">
        <v>30432270579.279301</v>
      </c>
      <c r="G576" s="15">
        <v>40621</v>
      </c>
      <c r="H576" s="15">
        <v>31716</v>
      </c>
      <c r="I576" s="15">
        <v>416</v>
      </c>
      <c r="J576" s="15"/>
      <c r="K576" s="15">
        <v>57338</v>
      </c>
      <c r="L576" s="15">
        <v>49355</v>
      </c>
      <c r="M576" s="15">
        <v>26584693067.56757</v>
      </c>
      <c r="N576" s="15">
        <v>28771765740.540546</v>
      </c>
      <c r="O576" s="15">
        <v>38177585445.045029</v>
      </c>
      <c r="P576" s="15">
        <v>42169923271.171188</v>
      </c>
      <c r="Q576" s="15">
        <v>18703835405.405399</v>
      </c>
      <c r="R576" s="15">
        <v>21162554133.333317</v>
      </c>
      <c r="S576" s="15">
        <v>3721019</v>
      </c>
      <c r="T576" s="15">
        <v>3745925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2026-09-01T08:09:58Z</dcterms:modified>
</cp:coreProperties>
</file>