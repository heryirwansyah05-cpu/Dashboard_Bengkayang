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" l="1"/>
  <c r="K17" i="2"/>
  <c r="I17" i="2" l="1"/>
  <c r="H17" i="2"/>
  <c r="G17" i="2"/>
  <c r="F17" i="2"/>
  <c r="E17" i="2"/>
  <c r="D17" i="2"/>
  <c r="C17" i="2"/>
  <c r="B17" i="2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L6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</calcChain>
</file>

<file path=xl/sharedStrings.xml><?xml version="1.0" encoding="utf-8"?>
<sst xmlns="http://schemas.openxmlformats.org/spreadsheetml/2006/main" count="66" uniqueCount="40">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</sst>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L19"/>
  <sheetViews>
    <sheetView topLeftCell="A5" zoomScale="44" workbookViewId="0">
      <selection activeCell="A16" sqref="A1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2" width="28.6328125" style="6" customWidth="1"/>
    <col min="13" max="16384" width="11.7265625" style="2"/>
  </cols>
  <sheetData>
    <row r="4" spans="1:12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19</v>
      </c>
      <c r="F5" s="3" t="s">
        <v>24</v>
      </c>
      <c r="G5" s="3" t="s">
        <v>20</v>
      </c>
      <c r="H5" s="3" t="s">
        <v>25</v>
      </c>
      <c r="I5" s="3" t="s">
        <v>21</v>
      </c>
      <c r="J5" s="3" t="s">
        <v>26</v>
      </c>
      <c r="K5" s="3" t="s">
        <v>22</v>
      </c>
      <c r="L5" s="3" t="s">
        <v>27</v>
      </c>
    </row>
    <row r="6" spans="1:12" ht="64.5" customHeight="1" x14ac:dyDescent="0.35">
      <c r="A6" s="4" t="s">
        <v>2</v>
      </c>
      <c r="B6" s="1" t="s">
        <v>17</v>
      </c>
      <c r="C6" s="5">
        <f>VLOOKUP(A:A,MASTER!A:J,10,0)</f>
        <v>9987199.9195197597</v>
      </c>
      <c r="D6" s="5">
        <f>VLOOKUP(A:A,MASTER!A:K,11,0)</f>
        <v>7512189.1632019328</v>
      </c>
      <c r="E6" s="5">
        <f>VLOOKUP(A:A,MASTER!A:H,8,0)</f>
        <v>3378378.3783783782</v>
      </c>
      <c r="F6" s="5">
        <f>VLOOKUP(A:A,MASTER!A:I,9,0)</f>
        <v>51171171.171171166</v>
      </c>
      <c r="G6" s="5">
        <f>VLOOKUP(A:A,MASTER!A:F,6,0)</f>
        <v>647522.52252252295</v>
      </c>
      <c r="H6" s="5">
        <f>VLOOKUP(A:A,MASTER!A:G,7,0)</f>
        <v>248648.648648648</v>
      </c>
      <c r="I6" s="5">
        <f>VLOOKUP(A:A,MASTER!A:D,4,0)</f>
        <v>5641351.3513513505</v>
      </c>
      <c r="J6" s="5">
        <f>VLOOKUP(A:A,MASTER!A:E,5,0)</f>
        <v>4088639.6396396402</v>
      </c>
      <c r="K6" s="5">
        <f>VLOOKUP(A:A,MASTER!A:B,2,0)</f>
        <v>157657.65765765801</v>
      </c>
      <c r="L6" s="5">
        <f>VLOOKUP(A:A,MASTER!A:C,3,0)</f>
        <v>203603.60360360399</v>
      </c>
    </row>
    <row r="7" spans="1:12" ht="64.5" customHeight="1" x14ac:dyDescent="0.35">
      <c r="A7" s="4" t="s">
        <v>6</v>
      </c>
      <c r="B7" s="1" t="s">
        <v>17</v>
      </c>
      <c r="C7" s="5">
        <f>VLOOKUP(A:A,MASTER!A:J,10,0)</f>
        <v>250965168.44339868</v>
      </c>
      <c r="D7" s="5">
        <f>VLOOKUP(A:A,MASTER!A:K,11,0)</f>
        <v>257398940.21128601</v>
      </c>
      <c r="E7" s="5">
        <f>VLOOKUP(A:A,MASTER!A:H,8,0)</f>
        <v>235798781.98198199</v>
      </c>
      <c r="F7" s="5">
        <f>VLOOKUP(A:A,MASTER!A:I,9,0)</f>
        <v>151377498.1981982</v>
      </c>
      <c r="G7" s="5">
        <f>VLOOKUP(A:A,MASTER!A:F,6,0)</f>
        <v>112554954.95495497</v>
      </c>
      <c r="H7" s="5">
        <f>VLOOKUP(A:A,MASTER!A:G,7,0)</f>
        <v>170276306.3063063</v>
      </c>
      <c r="I7" s="5">
        <f>VLOOKUP(A:A,MASTER!A:D,4,0)</f>
        <v>174425135.13513514</v>
      </c>
      <c r="J7" s="5">
        <f>VLOOKUP(A:A,MASTER!A:E,5,0)</f>
        <v>167789855.85585588</v>
      </c>
      <c r="K7" s="5">
        <f>VLOOKUP(A:A,MASTER!A:B,2,0)</f>
        <v>107143243.24324325</v>
      </c>
      <c r="L7" s="5">
        <f>VLOOKUP(A:A,MASTER!A:C,3,0)</f>
        <v>153548468.46846846</v>
      </c>
    </row>
    <row r="8" spans="1:12" ht="64.5" customHeight="1" x14ac:dyDescent="0.35">
      <c r="A8" s="4" t="s">
        <v>7</v>
      </c>
      <c r="B8" s="1" t="s">
        <v>17</v>
      </c>
      <c r="C8" s="5">
        <f>VLOOKUP(A:A,MASTER!A:J,10,0)</f>
        <v>62714447.095244333</v>
      </c>
      <c r="D8" s="5">
        <f>VLOOKUP(A:A,MASTER!A:K,11,0)</f>
        <v>61120914.303842261</v>
      </c>
      <c r="E8" s="5">
        <f>VLOOKUP(A:A,MASTER!A:H,8,0)</f>
        <v>152252.25225225301</v>
      </c>
      <c r="F8" s="5">
        <f>VLOOKUP(A:A,MASTER!A:I,9,0)</f>
        <v>37837.837837838</v>
      </c>
      <c r="G8" s="5">
        <f>VLOOKUP(A:A,MASTER!A:F,6,0)</f>
        <v>7012612.6126126107</v>
      </c>
      <c r="H8" s="5">
        <f>VLOOKUP(A:A,MASTER!A:G,7,0)</f>
        <v>19690990.990990993</v>
      </c>
      <c r="I8" s="5">
        <f>VLOOKUP(A:A,MASTER!A:D,4,0)</f>
        <v>44273927.927927926</v>
      </c>
      <c r="J8" s="5">
        <f>VLOOKUP(A:A,MASTER!A:E,5,0)</f>
        <v>40218369.369369365</v>
      </c>
      <c r="K8" s="5">
        <f>VLOOKUP(A:A,MASTER!A:B,2,0)</f>
        <v>8814774.774774773</v>
      </c>
      <c r="L8" s="5">
        <f>VLOOKUP(A:A,MASTER!A:C,3,0)</f>
        <v>20500810.810810808</v>
      </c>
    </row>
    <row r="9" spans="1:12" ht="64.5" customHeight="1" x14ac:dyDescent="0.35">
      <c r="A9" s="4" t="s">
        <v>10</v>
      </c>
      <c r="B9" s="1" t="s">
        <v>17</v>
      </c>
      <c r="C9" s="5">
        <f>VLOOKUP(A:A,MASTER!A:J,10,0)</f>
        <v>67720075.572822079</v>
      </c>
      <c r="D9" s="5">
        <f>VLOOKUP(A:A,MASTER!A:K,11,0)</f>
        <v>72300740.44801721</v>
      </c>
      <c r="E9" s="5">
        <f>VLOOKUP(A:A,MASTER!A:H,8,0)</f>
        <v>0</v>
      </c>
      <c r="F9" s="5">
        <f>VLOOKUP(A:A,MASTER!A:I,9,0)</f>
        <v>0</v>
      </c>
      <c r="G9" s="5">
        <f>VLOOKUP(A:A,MASTER!A:F,6,0)</f>
        <v>0</v>
      </c>
      <c r="H9" s="5">
        <f>VLOOKUP(A:A,MASTER!A:G,7,0)</f>
        <v>0</v>
      </c>
      <c r="I9" s="5">
        <f>VLOOKUP(A:A,MASTER!A:D,4,0)</f>
        <v>40885747.747747742</v>
      </c>
      <c r="J9" s="5">
        <f>VLOOKUP(A:A,MASTER!A:E,5,0)</f>
        <v>44202873.873873875</v>
      </c>
      <c r="K9" s="5">
        <f>VLOOKUP(A:A,MASTER!A:B,2,0)</f>
        <v>11081.081081081</v>
      </c>
      <c r="L9" s="5">
        <f>VLOOKUP(A:A,MASTER!A:C,3,0)</f>
        <v>250720.72072072001</v>
      </c>
    </row>
    <row r="10" spans="1:12" ht="64.5" customHeight="1" x14ac:dyDescent="0.35">
      <c r="A10" s="4" t="s">
        <v>11</v>
      </c>
      <c r="B10" s="1" t="s">
        <v>17</v>
      </c>
      <c r="C10" s="5">
        <f>VLOOKUP(A:A,MASTER!A:J,10,0)</f>
        <v>58717243.269229785</v>
      </c>
      <c r="D10" s="5">
        <f>VLOOKUP(A:A,MASTER!A:K,11,0)</f>
        <v>57049699.601031773</v>
      </c>
      <c r="E10" s="5">
        <f>VLOOKUP(A:A,MASTER!A:H,8,0)</f>
        <v>18018.018018018</v>
      </c>
      <c r="F10" s="5">
        <f>VLOOKUP(A:A,MASTER!A:I,9,0)</f>
        <v>18018.018018018</v>
      </c>
      <c r="G10" s="5">
        <f>VLOOKUP(A:A,MASTER!A:F,6,0)</f>
        <v>1819819.8198198189</v>
      </c>
      <c r="H10" s="5">
        <f>VLOOKUP(A:A,MASTER!A:G,7,0)</f>
        <v>2450450.4504504511</v>
      </c>
      <c r="I10" s="5">
        <f>VLOOKUP(A:A,MASTER!A:D,4,0)</f>
        <v>20201414.414414417</v>
      </c>
      <c r="J10" s="5">
        <f>VLOOKUP(A:A,MASTER!A:E,5,0)</f>
        <v>23949729.729729727</v>
      </c>
      <c r="K10" s="5">
        <f>VLOOKUP(A:A,MASTER!A:B,2,0)</f>
        <v>1365315.315315316</v>
      </c>
      <c r="L10" s="5">
        <f>VLOOKUP(A:A,MASTER!A:C,3,0)</f>
        <v>909189.189189189</v>
      </c>
    </row>
    <row r="11" spans="1:12" ht="64.5" customHeight="1" x14ac:dyDescent="0.35">
      <c r="A11" s="4" t="s">
        <v>12</v>
      </c>
      <c r="B11" s="1" t="s">
        <v>17</v>
      </c>
      <c r="C11" s="5">
        <f>VLOOKUP(A:A,MASTER!A:J,10,0)</f>
        <v>38037294.012150496</v>
      </c>
      <c r="D11" s="5">
        <f>VLOOKUP(A:A,MASTER!A:K,11,0)</f>
        <v>39399917.081062913</v>
      </c>
      <c r="E11" s="5">
        <f>VLOOKUP(A:A,MASTER!A:H,8,0)</f>
        <v>289189.18918918999</v>
      </c>
      <c r="F11" s="5">
        <f>VLOOKUP(A:A,MASTER!A:I,9,0)</f>
        <v>100900.900900901</v>
      </c>
      <c r="G11" s="5">
        <f>VLOOKUP(A:A,MASTER!A:F,6,0)</f>
        <v>3442342.3423423418</v>
      </c>
      <c r="H11" s="5">
        <f>VLOOKUP(A:A,MASTER!A:G,7,0)</f>
        <v>551351.35135135101</v>
      </c>
      <c r="I11" s="5">
        <f>VLOOKUP(A:A,MASTER!A:D,4,0)</f>
        <v>15974360.36036036</v>
      </c>
      <c r="J11" s="5">
        <f>VLOOKUP(A:A,MASTER!A:E,5,0)</f>
        <v>17574081.081081081</v>
      </c>
      <c r="K11" s="5">
        <f>VLOOKUP(A:A,MASTER!A:B,2,0)</f>
        <v>4922792.7927927934</v>
      </c>
      <c r="L11" s="5">
        <f>VLOOKUP(A:A,MASTER!A:C,3,0)</f>
        <v>1938738.738738738</v>
      </c>
    </row>
    <row r="12" spans="1:12" ht="64.5" customHeight="1" x14ac:dyDescent="0.35">
      <c r="A12" s="4" t="s">
        <v>1</v>
      </c>
      <c r="B12" s="1" t="s">
        <v>16</v>
      </c>
      <c r="C12" s="5">
        <f>VLOOKUP(A:A,MASTER!A:J,10,0)</f>
        <v>150167027.1591804</v>
      </c>
      <c r="D12" s="5">
        <f>VLOOKUP(A:A,MASTER!A:K,11,0)</f>
        <v>158833895.18746045</v>
      </c>
      <c r="E12" s="5">
        <f>VLOOKUP(A:A,MASTER!A:H,8,0)</f>
        <v>1062162.1621621649</v>
      </c>
      <c r="F12" s="5">
        <f>VLOOKUP(A:A,MASTER!A:I,9,0)</f>
        <v>803603.60360360495</v>
      </c>
      <c r="G12" s="5">
        <f>VLOOKUP(A:A,MASTER!A:F,6,0)</f>
        <v>21616486.486486487</v>
      </c>
      <c r="H12" s="5">
        <f>VLOOKUP(A:A,MASTER!A:G,7,0)</f>
        <v>22493918.918918919</v>
      </c>
      <c r="I12" s="5">
        <f>VLOOKUP(A:A,MASTER!A:D,4,0)</f>
        <v>73013324.324324325</v>
      </c>
      <c r="J12" s="5">
        <f>VLOOKUP(A:A,MASTER!A:E,5,0)</f>
        <v>73107450.45045045</v>
      </c>
      <c r="K12" s="5">
        <f>VLOOKUP(A:A,MASTER!A:B,2,0)</f>
        <v>18313333.333333332</v>
      </c>
      <c r="L12" s="5">
        <f>VLOOKUP(A:A,MASTER!A:C,3,0)</f>
        <v>21375450.450450446</v>
      </c>
    </row>
    <row r="13" spans="1:12" ht="64.5" customHeight="1" x14ac:dyDescent="0.35">
      <c r="A13" s="4" t="s">
        <v>3</v>
      </c>
      <c r="B13" s="1" t="s">
        <v>16</v>
      </c>
      <c r="C13" s="5">
        <f>VLOOKUP(A:A,MASTER!A:J,10,0)</f>
        <v>112187053.30400717</v>
      </c>
      <c r="D13" s="5">
        <f>VLOOKUP(A:A,MASTER!A:K,11,0)</f>
        <v>99340915.538647428</v>
      </c>
      <c r="E13" s="5">
        <f>VLOOKUP(A:A,MASTER!A:H,8,0)</f>
        <v>319496879.27927929</v>
      </c>
      <c r="F13" s="5">
        <f>VLOOKUP(A:A,MASTER!A:I,9,0)</f>
        <v>306618054.05405408</v>
      </c>
      <c r="G13" s="5">
        <f>VLOOKUP(A:A,MASTER!A:F,6,0)</f>
        <v>40307207.20720721</v>
      </c>
      <c r="H13" s="5">
        <f>VLOOKUP(A:A,MASTER!A:G,7,0)</f>
        <v>93015315.315315306</v>
      </c>
      <c r="I13" s="5">
        <f>VLOOKUP(A:A,MASTER!A:D,4,0)</f>
        <v>31708351.351351351</v>
      </c>
      <c r="J13" s="5">
        <f>VLOOKUP(A:A,MASTER!A:E,5,0)</f>
        <v>28277099.0990991</v>
      </c>
      <c r="K13" s="5">
        <f>VLOOKUP(A:A,MASTER!A:B,2,0)</f>
        <v>17722882.882882882</v>
      </c>
      <c r="L13" s="5">
        <f>VLOOKUP(A:A,MASTER!A:C,3,0)</f>
        <v>50179819.819819823</v>
      </c>
    </row>
    <row r="14" spans="1:12" ht="64.5" customHeight="1" x14ac:dyDescent="0.35">
      <c r="A14" s="4" t="s">
        <v>4</v>
      </c>
      <c r="B14" s="1" t="s">
        <v>16</v>
      </c>
      <c r="C14" s="5">
        <f>VLOOKUP(A:A,MASTER!A:J,10,0)</f>
        <v>70187104.712153107</v>
      </c>
      <c r="D14" s="5">
        <f>VLOOKUP(A:A,MASTER!A:K,11,0)</f>
        <v>66272045.910958104</v>
      </c>
      <c r="E14" s="5">
        <f>VLOOKUP(A:A,MASTER!A:H,8,0)</f>
        <v>851351.35135135299</v>
      </c>
      <c r="F14" s="5">
        <f>VLOOKUP(A:A,MASTER!A:I,9,0)</f>
        <v>690090.09009008994</v>
      </c>
      <c r="G14" s="5">
        <f>VLOOKUP(A:A,MASTER!A:F,6,0)</f>
        <v>18601801.801801804</v>
      </c>
      <c r="H14" s="5">
        <f>VLOOKUP(A:A,MASTER!A:G,7,0)</f>
        <v>27226126.126126129</v>
      </c>
      <c r="I14" s="5">
        <f>VLOOKUP(A:A,MASTER!A:D,4,0)</f>
        <v>24060162.162162159</v>
      </c>
      <c r="J14" s="5">
        <f>VLOOKUP(A:A,MASTER!A:E,5,0)</f>
        <v>25455198.198198196</v>
      </c>
      <c r="K14" s="5">
        <f>VLOOKUP(A:A,MASTER!A:B,2,0)</f>
        <v>19848018.018018015</v>
      </c>
      <c r="L14" s="5">
        <f>VLOOKUP(A:A,MASTER!A:C,3,0)</f>
        <v>18954774.774774775</v>
      </c>
    </row>
    <row r="15" spans="1:12" ht="64.5" customHeight="1" x14ac:dyDescent="0.35">
      <c r="A15" s="4" t="s">
        <v>5</v>
      </c>
      <c r="B15" s="1" t="s">
        <v>16</v>
      </c>
      <c r="C15" s="5">
        <f>VLOOKUP(A:A,MASTER!A:J,10,0)</f>
        <v>75348708.800628439</v>
      </c>
      <c r="D15" s="5">
        <f>VLOOKUP(A:A,MASTER!A:K,11,0)</f>
        <v>74886227.59351182</v>
      </c>
      <c r="E15" s="5">
        <f>VLOOKUP(A:A,MASTER!A:H,8,0)</f>
        <v>147747.74774774801</v>
      </c>
      <c r="F15" s="5">
        <f>VLOOKUP(A:A,MASTER!A:I,9,0)</f>
        <v>13513.513513514001</v>
      </c>
      <c r="G15" s="5">
        <f>VLOOKUP(A:A,MASTER!A:F,6,0)</f>
        <v>5893693.6936936928</v>
      </c>
      <c r="H15" s="5">
        <f>VLOOKUP(A:A,MASTER!A:G,7,0)</f>
        <v>10725225.225225225</v>
      </c>
      <c r="I15" s="5">
        <f>VLOOKUP(A:A,MASTER!A:D,4,0)</f>
        <v>30558927.927927926</v>
      </c>
      <c r="J15" s="5">
        <f>VLOOKUP(A:A,MASTER!A:E,5,0)</f>
        <v>30988135.135135137</v>
      </c>
      <c r="K15" s="5">
        <f>VLOOKUP(A:A,MASTER!A:B,2,0)</f>
        <v>5518378.3783783782</v>
      </c>
      <c r="L15" s="5">
        <f>VLOOKUP(A:A,MASTER!A:C,3,0)</f>
        <v>9525675.6756756753</v>
      </c>
    </row>
    <row r="16" spans="1:12" ht="64.5" customHeight="1" x14ac:dyDescent="0.35">
      <c r="A16" s="4" t="s">
        <v>8</v>
      </c>
      <c r="B16" s="1" t="s">
        <v>16</v>
      </c>
      <c r="C16" s="5">
        <f>VLOOKUP(A:A,MASTER!A:J,10,0)</f>
        <v>83854093.49572067</v>
      </c>
      <c r="D16" s="5">
        <f>VLOOKUP(A:A,MASTER!A:K,11,0)</f>
        <v>90960999.439689696</v>
      </c>
      <c r="E16" s="5">
        <f>VLOOKUP(A:A,MASTER!A:H,8,0)</f>
        <v>1211711.711711714</v>
      </c>
      <c r="F16" s="5">
        <f>VLOOKUP(A:A,MASTER!A:I,9,0)</f>
        <v>1065765.765765765</v>
      </c>
      <c r="G16" s="5">
        <f>VLOOKUP(A:A,MASTER!A:F,6,0)</f>
        <v>12828828.82882883</v>
      </c>
      <c r="H16" s="5">
        <f>VLOOKUP(A:A,MASTER!A:G,7,0)</f>
        <v>15034684.684684686</v>
      </c>
      <c r="I16" s="5">
        <f>VLOOKUP(A:A,MASTER!A:D,4,0)</f>
        <v>24929153.153153151</v>
      </c>
      <c r="J16" s="5">
        <f>VLOOKUP(A:A,MASTER!A:E,5,0)</f>
        <v>27055720.72072072</v>
      </c>
      <c r="K16" s="5">
        <f>VLOOKUP(A:A,MASTER!A:B,2,0)</f>
        <v>11406396.396396397</v>
      </c>
      <c r="L16" s="5">
        <f>VLOOKUP(A:A,MASTER!A:C,3,0)</f>
        <v>14261441.441441443</v>
      </c>
    </row>
    <row r="17" spans="1:12" ht="64.5" customHeight="1" x14ac:dyDescent="0.35">
      <c r="A17" s="4" t="s">
        <v>9</v>
      </c>
      <c r="B17" s="1" t="s">
        <v>16</v>
      </c>
      <c r="C17" s="5">
        <f>VLOOKUP(A:A,MASTER!A:J,10,0)</f>
        <v>165977897.33642882</v>
      </c>
      <c r="D17" s="5">
        <f>VLOOKUP(A:A,MASTER!A:K,11,0)</f>
        <v>162771216.34899825</v>
      </c>
      <c r="E17" s="5">
        <f>VLOOKUP(A:A,MASTER!A:H,8,0)</f>
        <v>1371171.171171176</v>
      </c>
      <c r="F17" s="5">
        <f>VLOOKUP(A:A,MASTER!A:I,9,0)</f>
        <v>851801.80180180096</v>
      </c>
      <c r="G17" s="5">
        <f>VLOOKUP(A:A,MASTER!A:F,6,0)</f>
        <v>183202702.7027027</v>
      </c>
      <c r="H17" s="5">
        <f>VLOOKUP(A:A,MASTER!A:G,7,0)</f>
        <v>261253513.51351351</v>
      </c>
      <c r="I17" s="5">
        <f>VLOOKUP(A:A,MASTER!A:D,4,0)</f>
        <v>61103225.225225225</v>
      </c>
      <c r="J17" s="5">
        <f>VLOOKUP(A:A,MASTER!A:E,5,0)</f>
        <v>57755018.018018015</v>
      </c>
      <c r="K17" s="5">
        <f>VLOOKUP(A:A,MASTER!A:B,2,0)</f>
        <v>156418018.01801801</v>
      </c>
      <c r="L17" s="5">
        <f>VLOOKUP(A:A,MASTER!A:C,3,0)</f>
        <v>222087837.83783782</v>
      </c>
    </row>
    <row r="18" spans="1:12" ht="64.5" customHeight="1" x14ac:dyDescent="0.35">
      <c r="A18" s="4" t="s">
        <v>13</v>
      </c>
      <c r="B18" s="1" t="s">
        <v>16</v>
      </c>
      <c r="C18" s="5">
        <f>VLOOKUP(A:A,MASTER!A:J,10,0)</f>
        <v>135883629.59817576</v>
      </c>
      <c r="D18" s="5">
        <f>VLOOKUP(A:A,MASTER!A:K,11,0)</f>
        <v>132967322.54034512</v>
      </c>
      <c r="E18" s="5">
        <f>VLOOKUP(A:A,MASTER!A:H,8,0)</f>
        <v>823423.42342342495</v>
      </c>
      <c r="F18" s="5">
        <f>VLOOKUP(A:A,MASTER!A:I,9,0)</f>
        <v>162612.612612614</v>
      </c>
      <c r="G18" s="5">
        <f>VLOOKUP(A:A,MASTER!A:F,6,0)</f>
        <v>27392702.702702705</v>
      </c>
      <c r="H18" s="5">
        <f>VLOOKUP(A:A,MASTER!A:G,7,0)</f>
        <v>31242792.792792797</v>
      </c>
      <c r="I18" s="5">
        <f>VLOOKUP(A:A,MASTER!A:D,4,0)</f>
        <v>79070351.351351365</v>
      </c>
      <c r="J18" s="5">
        <f>VLOOKUP(A:A,MASTER!A:E,5,0)</f>
        <v>74886153.153153151</v>
      </c>
      <c r="K18" s="5">
        <f>VLOOKUP(A:A,MASTER!A:B,2,0)</f>
        <v>31047567.567567568</v>
      </c>
      <c r="L18" s="5">
        <f>VLOOKUP(A:A,MASTER!A:C,3,0)</f>
        <v>31092882.882882889</v>
      </c>
    </row>
    <row r="19" spans="1:12" ht="64.5" customHeight="1" x14ac:dyDescent="0.35">
      <c r="A19" s="4" t="s">
        <v>14</v>
      </c>
      <c r="B19" s="1" t="s">
        <v>16</v>
      </c>
      <c r="C19" s="5">
        <f>VLOOKUP(A:A,MASTER!A:J,10,0)</f>
        <v>71109559.115343332</v>
      </c>
      <c r="D19" s="5">
        <f>VLOOKUP(A:A,MASTER!A:K,11,0)</f>
        <v>77209357.783545718</v>
      </c>
      <c r="E19" s="5">
        <f>VLOOKUP(A:A,MASTER!A:H,8,0)</f>
        <v>669369.36936937098</v>
      </c>
      <c r="F19" s="5">
        <f>VLOOKUP(A:A,MASTER!A:I,9,0)</f>
        <v>110810.810810811</v>
      </c>
      <c r="G19" s="5">
        <f>VLOOKUP(A:A,MASTER!A:F,6,0)</f>
        <v>22243243.243243244</v>
      </c>
      <c r="H19" s="5">
        <f>VLOOKUP(A:A,MASTER!A:G,7,0)</f>
        <v>16703153.153153151</v>
      </c>
      <c r="I19" s="5">
        <f>VLOOKUP(A:A,MASTER!A:D,4,0)</f>
        <v>24665792.792792793</v>
      </c>
      <c r="J19" s="5">
        <f>VLOOKUP(A:A,MASTER!A:E,5,0)</f>
        <v>26786909.909909911</v>
      </c>
      <c r="K19" s="5">
        <f>VLOOKUP(A:A,MASTER!A:B,2,0)</f>
        <v>26924864.864864863</v>
      </c>
      <c r="L19" s="5">
        <f>VLOOKUP(A:A,MASTER!A:C,3,0)</f>
        <v>14761261.26126126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7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C1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2" spans="1:11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</row>
    <row r="3" spans="1:11" x14ac:dyDescent="0.35">
      <c r="A3" s="9" t="s">
        <v>1</v>
      </c>
      <c r="B3">
        <v>18313333.333333332</v>
      </c>
      <c r="C3">
        <v>21375450.450450446</v>
      </c>
      <c r="D3">
        <v>73013324.324324325</v>
      </c>
      <c r="E3">
        <v>73107450.45045045</v>
      </c>
      <c r="F3">
        <v>21616486.486486487</v>
      </c>
      <c r="G3">
        <v>22493918.918918919</v>
      </c>
      <c r="H3">
        <v>1062162.1621621649</v>
      </c>
      <c r="I3">
        <v>803603.60360360495</v>
      </c>
      <c r="J3">
        <v>150167027.1591804</v>
      </c>
      <c r="K3">
        <v>158833895.18746045</v>
      </c>
    </row>
    <row r="4" spans="1:11" x14ac:dyDescent="0.35">
      <c r="A4" s="9" t="s">
        <v>2</v>
      </c>
      <c r="B4">
        <v>157657.65765765801</v>
      </c>
      <c r="C4">
        <v>203603.60360360399</v>
      </c>
      <c r="D4">
        <v>5641351.3513513505</v>
      </c>
      <c r="E4">
        <v>4088639.6396396402</v>
      </c>
      <c r="F4">
        <v>647522.52252252295</v>
      </c>
      <c r="G4">
        <v>248648.648648648</v>
      </c>
      <c r="H4">
        <v>3378378.3783783782</v>
      </c>
      <c r="I4">
        <v>51171171.171171166</v>
      </c>
      <c r="J4">
        <v>9987199.9195197597</v>
      </c>
      <c r="K4">
        <v>7512189.1632019328</v>
      </c>
    </row>
    <row r="5" spans="1:11" x14ac:dyDescent="0.35">
      <c r="A5" s="9" t="s">
        <v>3</v>
      </c>
      <c r="B5">
        <v>17722882.882882882</v>
      </c>
      <c r="C5">
        <v>50179819.819819823</v>
      </c>
      <c r="D5">
        <v>31708351.351351351</v>
      </c>
      <c r="E5">
        <v>28277099.0990991</v>
      </c>
      <c r="F5">
        <v>40307207.20720721</v>
      </c>
      <c r="G5">
        <v>93015315.315315306</v>
      </c>
      <c r="H5">
        <v>319496879.27927929</v>
      </c>
      <c r="I5">
        <v>306618054.05405408</v>
      </c>
      <c r="J5">
        <v>112187053.30400717</v>
      </c>
      <c r="K5">
        <v>99340915.538647428</v>
      </c>
    </row>
    <row r="6" spans="1:11" x14ac:dyDescent="0.35">
      <c r="A6" s="9" t="s">
        <v>4</v>
      </c>
      <c r="B6">
        <v>19848018.018018015</v>
      </c>
      <c r="C6">
        <v>18954774.774774775</v>
      </c>
      <c r="D6">
        <v>24060162.162162159</v>
      </c>
      <c r="E6">
        <v>25455198.198198196</v>
      </c>
      <c r="F6">
        <v>18601801.801801804</v>
      </c>
      <c r="G6">
        <v>27226126.126126129</v>
      </c>
      <c r="H6">
        <v>851351.35135135299</v>
      </c>
      <c r="I6">
        <v>690090.09009008994</v>
      </c>
      <c r="J6">
        <v>70187104.712153107</v>
      </c>
      <c r="K6">
        <v>66272045.910958104</v>
      </c>
    </row>
    <row r="7" spans="1:11" x14ac:dyDescent="0.35">
      <c r="A7" s="9" t="s">
        <v>5</v>
      </c>
      <c r="B7">
        <v>5518378.3783783782</v>
      </c>
      <c r="C7">
        <v>9525675.6756756753</v>
      </c>
      <c r="D7">
        <v>30558927.927927926</v>
      </c>
      <c r="E7">
        <v>30988135.135135137</v>
      </c>
      <c r="F7">
        <v>5893693.6936936928</v>
      </c>
      <c r="G7">
        <v>10725225.225225225</v>
      </c>
      <c r="H7">
        <v>147747.74774774801</v>
      </c>
      <c r="I7">
        <v>13513.513513514001</v>
      </c>
      <c r="J7">
        <v>75348708.800628439</v>
      </c>
      <c r="K7">
        <v>74886227.59351182</v>
      </c>
    </row>
    <row r="8" spans="1:11" x14ac:dyDescent="0.35">
      <c r="A8" s="9" t="s">
        <v>6</v>
      </c>
      <c r="B8">
        <v>107143243.24324325</v>
      </c>
      <c r="C8">
        <v>153548468.46846846</v>
      </c>
      <c r="D8">
        <v>174425135.13513514</v>
      </c>
      <c r="E8">
        <v>167789855.85585588</v>
      </c>
      <c r="F8">
        <v>112554954.95495497</v>
      </c>
      <c r="G8">
        <v>170276306.3063063</v>
      </c>
      <c r="H8">
        <v>235798781.98198199</v>
      </c>
      <c r="I8">
        <v>151377498.1981982</v>
      </c>
      <c r="J8">
        <v>250965168.44339868</v>
      </c>
      <c r="K8">
        <v>257398940.21128601</v>
      </c>
    </row>
    <row r="9" spans="1:11" x14ac:dyDescent="0.35">
      <c r="A9" s="9" t="s">
        <v>7</v>
      </c>
      <c r="B9">
        <v>8814774.774774773</v>
      </c>
      <c r="C9">
        <v>20500810.810810808</v>
      </c>
      <c r="D9">
        <v>44273927.927927926</v>
      </c>
      <c r="E9">
        <v>40218369.369369365</v>
      </c>
      <c r="F9">
        <v>7012612.6126126107</v>
      </c>
      <c r="G9">
        <v>19690990.990990993</v>
      </c>
      <c r="H9">
        <v>152252.25225225301</v>
      </c>
      <c r="I9">
        <v>37837.837837838</v>
      </c>
      <c r="J9">
        <v>62714447.095244333</v>
      </c>
      <c r="K9">
        <v>61120914.303842261</v>
      </c>
    </row>
    <row r="10" spans="1:11" x14ac:dyDescent="0.35">
      <c r="A10" s="9" t="s">
        <v>8</v>
      </c>
      <c r="B10">
        <v>11406396.396396397</v>
      </c>
      <c r="C10">
        <v>14261441.441441443</v>
      </c>
      <c r="D10">
        <v>24929153.153153151</v>
      </c>
      <c r="E10">
        <v>27055720.72072072</v>
      </c>
      <c r="F10">
        <v>12828828.82882883</v>
      </c>
      <c r="G10">
        <v>15034684.684684686</v>
      </c>
      <c r="H10">
        <v>1211711.711711714</v>
      </c>
      <c r="I10">
        <v>1065765.765765765</v>
      </c>
      <c r="J10">
        <v>83854093.49572067</v>
      </c>
      <c r="K10">
        <v>90960999.439689696</v>
      </c>
    </row>
    <row r="11" spans="1:11" x14ac:dyDescent="0.35">
      <c r="A11" s="9" t="s">
        <v>9</v>
      </c>
      <c r="B11">
        <v>156418018.01801801</v>
      </c>
      <c r="C11">
        <v>222087837.83783782</v>
      </c>
      <c r="D11">
        <v>61103225.225225225</v>
      </c>
      <c r="E11">
        <v>57755018.018018015</v>
      </c>
      <c r="F11">
        <v>183202702.7027027</v>
      </c>
      <c r="G11">
        <v>261253513.51351351</v>
      </c>
      <c r="H11">
        <v>1371171.171171176</v>
      </c>
      <c r="I11">
        <v>851801.80180180096</v>
      </c>
      <c r="J11">
        <v>165977897.33642882</v>
      </c>
      <c r="K11">
        <v>162771216.34899825</v>
      </c>
    </row>
    <row r="12" spans="1:11" x14ac:dyDescent="0.35">
      <c r="A12" s="9" t="s">
        <v>10</v>
      </c>
      <c r="B12">
        <v>11081.081081081</v>
      </c>
      <c r="C12">
        <v>250720.72072072001</v>
      </c>
      <c r="D12">
        <v>40885747.747747742</v>
      </c>
      <c r="E12">
        <v>44202873.873873875</v>
      </c>
      <c r="J12">
        <v>67720075.572822079</v>
      </c>
      <c r="K12">
        <v>72300740.44801721</v>
      </c>
    </row>
    <row r="13" spans="1:11" x14ac:dyDescent="0.35">
      <c r="A13" s="9" t="s">
        <v>11</v>
      </c>
      <c r="B13">
        <v>1365315.315315316</v>
      </c>
      <c r="C13">
        <v>909189.189189189</v>
      </c>
      <c r="D13">
        <v>20201414.414414417</v>
      </c>
      <c r="E13">
        <v>23949729.729729727</v>
      </c>
      <c r="F13">
        <v>1819819.8198198189</v>
      </c>
      <c r="G13">
        <v>2450450.4504504511</v>
      </c>
      <c r="H13">
        <v>18018.018018018</v>
      </c>
      <c r="I13">
        <v>18018.018018018</v>
      </c>
      <c r="J13">
        <v>58717243.269229785</v>
      </c>
      <c r="K13">
        <v>57049699.601031773</v>
      </c>
    </row>
    <row r="14" spans="1:11" x14ac:dyDescent="0.35">
      <c r="A14" s="9" t="s">
        <v>12</v>
      </c>
      <c r="B14">
        <v>4922792.7927927934</v>
      </c>
      <c r="C14">
        <v>1938738.738738738</v>
      </c>
      <c r="D14">
        <v>15974360.36036036</v>
      </c>
      <c r="E14">
        <v>17574081.081081081</v>
      </c>
      <c r="F14">
        <v>3442342.3423423418</v>
      </c>
      <c r="G14">
        <v>551351.35135135101</v>
      </c>
      <c r="H14">
        <v>289189.18918918999</v>
      </c>
      <c r="I14">
        <v>100900.900900901</v>
      </c>
      <c r="J14">
        <v>38037294.012150496</v>
      </c>
      <c r="K14">
        <v>39399917.081062913</v>
      </c>
    </row>
    <row r="15" spans="1:11" x14ac:dyDescent="0.35">
      <c r="A15" s="9" t="s">
        <v>13</v>
      </c>
      <c r="B15">
        <v>31047567.567567568</v>
      </c>
      <c r="C15">
        <v>31092882.882882889</v>
      </c>
      <c r="D15">
        <v>79070351.351351365</v>
      </c>
      <c r="E15">
        <v>74886153.153153151</v>
      </c>
      <c r="F15">
        <v>27392702.702702705</v>
      </c>
      <c r="G15">
        <v>31242792.792792797</v>
      </c>
      <c r="H15">
        <v>823423.42342342495</v>
      </c>
      <c r="I15">
        <v>162612.612612614</v>
      </c>
      <c r="J15">
        <v>135883629.59817576</v>
      </c>
      <c r="K15">
        <v>132967322.54034512</v>
      </c>
    </row>
    <row r="16" spans="1:11" x14ac:dyDescent="0.35">
      <c r="A16" s="9" t="s">
        <v>14</v>
      </c>
      <c r="B16">
        <v>26924864.864864863</v>
      </c>
      <c r="C16">
        <v>14761261.26126126</v>
      </c>
      <c r="D16">
        <v>24665792.792792793</v>
      </c>
      <c r="E16">
        <v>26786909.909909911</v>
      </c>
      <c r="F16">
        <v>22243243.243243244</v>
      </c>
      <c r="G16">
        <v>16703153.153153151</v>
      </c>
      <c r="H16">
        <v>669369.36936937098</v>
      </c>
      <c r="I16">
        <v>110810.810810811</v>
      </c>
      <c r="J16">
        <v>71109559.115343332</v>
      </c>
      <c r="K16">
        <v>77209357.783545718</v>
      </c>
    </row>
    <row r="17" spans="1:11" x14ac:dyDescent="0.35">
      <c r="A17" s="10" t="s">
        <v>34</v>
      </c>
      <c r="B17" s="11">
        <f>SUM(B3:B16)</f>
        <v>409614324.32432431</v>
      </c>
      <c r="C17" s="11">
        <f t="shared" ref="C17:K17" si="0">SUM(C3:C16)</f>
        <v>559590675.67567551</v>
      </c>
      <c r="D17" s="11">
        <f t="shared" si="0"/>
        <v>650511225.22522509</v>
      </c>
      <c r="E17" s="11">
        <f t="shared" si="0"/>
        <v>642135234.23423433</v>
      </c>
      <c r="F17" s="11">
        <f t="shared" si="0"/>
        <v>457563918.91891885</v>
      </c>
      <c r="G17" s="11">
        <f t="shared" si="0"/>
        <v>670912477.47747743</v>
      </c>
      <c r="H17" s="11">
        <f t="shared" si="0"/>
        <v>565270436.03603601</v>
      </c>
      <c r="I17" s="11">
        <f t="shared" si="0"/>
        <v>513021678.37837839</v>
      </c>
      <c r="J17" s="11">
        <f t="shared" si="0"/>
        <v>1352856501.834003</v>
      </c>
      <c r="K17" s="11">
        <f t="shared" si="0"/>
        <v>1358024381.1515987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2026-08-11T10:40:16Z</dcterms:modified>
</cp:coreProperties>
</file>