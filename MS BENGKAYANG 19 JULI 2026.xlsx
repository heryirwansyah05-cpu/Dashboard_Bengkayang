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13" i="1" l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<sst xmlns="http://schemas.openxmlformats.org/spreadsheetml/2006/main" count="1226" uniqueCount="673">
  <si>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</si>
  <si>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</si>
  <si>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</si>
  <si>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</si>
  <si>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</si>
  <si>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</si>
  <si>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</si>
  <si>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</si>
  <si>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</si>
  <si>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</si>
  <si>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</si>
  <si>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</si>
  <si>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</si>
  <si>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</si>
  <si>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</si>
  <si>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</si>
  <si>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</si>
  <si>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</si>
  <si>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</si>
  <si>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</si>
  <si>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</si>
  <si>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</si>
  <si>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</si>
  <si>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</si>
  <si>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</si>
  <si>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</si>
  <si>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</si>
  <si>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</si>
  <si>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</si>
  <si>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</si>
  <si>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</si>
  <si>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</si>
  <si>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</si>
  <si>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</si>
  <si>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</si>
  <si>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</si>
  <si>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</si>
  <si>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</si>
  <si>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</si>
  <si>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</si>
  <si>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</si>
  <si>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</si>
  <si>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</si>
  <si>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</si>
  <si>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</si>
  <si>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</si>
  <si>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</si>
  <si>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</si>
  <si>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</si>
  <si>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</si>
  <si>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</si>
  <si>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</si>
  <si>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</si>
  <si>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</si>
  <si>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</si>
  <si>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</si>
  <si>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</si>
  <si>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</si>
  <si>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</si>
  <si>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</si>
  <si>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</si>
  <si>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</si>
  <si>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</si>
  <si>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</si>
  <si>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</si>
  <si>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</si>
  <si>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</si>
  <si>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</si>
  <si>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</si>
  <si>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</si>
  <si>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</si>
  <si>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</si>
  <si>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</si>
  <si>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</si>
  <si>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</si>
  <si>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</si>
  <si>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</si>
  <si>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</si>
  <si>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</si>
  <si>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</si>
  <si>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</si>
  <si>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</si>
  <si>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</si>
  <si>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</si>
  <si>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</si>
  <si>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</si>
  <si>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</si>
  <si>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</si>
  <si>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</si>
  <si>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</si>
  <si>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</si>
  <si>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</si>
  <si>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</si>
  <si>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</si>
  <si>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</si>
  <si>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</si>
  <si>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</si>
  <si>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</si>
  <si>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</si>
  <si>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</si>
  <si>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</si>
  <si>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</si>
  <si>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</si>
  <si>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</si>
  <si>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</si>
  <si>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</si>
  <si>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</si>
  <si>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</si>
  <si>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</si>
  <si>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</si>
  <si>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</si>
  <si>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</si>
  <si>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</si>
  <si>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</si>
  <si>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</si>
  <si>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</si>
  <si>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</si>
  <si>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</si>
  <si>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</si>
  <si>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</si>
  <si>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</si>
  <si>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</si>
  <si>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</si>
  <si>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</si>
  <si>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</si>
  <si>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</si>
  <si>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</si>
  <si>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</si>
  <si>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</si>
  <si>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</si>
  <si>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</si>
  <si>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</si>
  <si>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</si>
  <si>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</si>
  <si>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</si>
  <si>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</si>
  <si>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</si>
  <si>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</si>
  <si>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</si>
  <si>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</si>
  <si>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</si>
  <si>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</si>
  <si>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</si>
  <si>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</si>
  <si>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</si>
  <si>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</si>
  <si>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</si>
  <si>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</si>
  <si>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</si>
  <si>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</si>
  <si>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</si>
  <si>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</si>
  <si>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</si>
  <si>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</si>
  <si>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</si>
  <si>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</si>
  <si>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</si>
  <si>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</si>
  <si>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</si>
  <si>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</si>
  <si>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</si>
  <si>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</si>
  <si>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</si>
  <si>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</si>
  <si>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</si>
  <si>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</si>
  <si>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</si>
  <si>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</si>
  <si>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</si>
  <si>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</si>
  <si>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</si>
  <si>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</si>
  <si>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</si>
  <si>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</si>
  <si>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</si>
  <si>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</si>
  <si>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</si>
  <si>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</si>
  <si>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</si>
  <si>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</si>
  <si>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</si>
  <si>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</si>
  <si>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</si>
  <si>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</si>
  <si>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</si>
  <si>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</si>
  <si>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</si>
  <si>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</si>
  <si>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</si>
  <si>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</si>
  <si>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</si>
  <si>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</si>
  <si>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</si>
  <si>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</si>
  <si>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</si>
  <si>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</si>
  <si>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</si>
  <si>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</si>
  <si>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</si>
  <si>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</si>
  <si>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</si>
  <si>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</si>
  <si>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</si>
  <si>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</si>
  <si>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</si>
  <si>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</si>
  <si>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</si>
  <si>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</si>
  <si>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</si>
  <si>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</si>
  <si>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</si>
  <si>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</si>
  <si>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</si>
  <si>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</si>
  <si>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</si>
  <si>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</si>
  <si>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</si>
  <si>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</si>
  <si>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</si>
  <si>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</si>
  <si>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</si>
  <si>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</si>
  <si>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</si>
  <si>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</si>
  <si>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</si>
  <si>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</si>
  <si>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</si>
  <si>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</si>
  <si>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</si>
  <si>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</si>
  <si>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</si>
  <si>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</si>
  <si>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</si>
  <si>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</si>
  <si>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</si>
  <si>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</si>
  <si>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</si>
  <si>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</si>
  <si>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</si>
  <si>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</si>
  <si>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</si>
  <si>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</si>
  <si>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</si>
  <si>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</si>
  <si>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</si>
  <si>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</si>
  <si>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</si>
  <si>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</si>
  <si>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</si>
  <si>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</si>
  <si>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</si>
  <si>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</si>
  <si>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</si>
  <si>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</si>
  <si>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</si>
  <si>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</si>
  <si>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</si>
  <si>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</si>
  <si>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</si>
  <si>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</si>
  <si>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</si>
  <si>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</si>
  <si>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</si>
  <si>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</si>
  <si>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</si>
  <si>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</si>
  <si>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</si>
  <si>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</si>
  <si>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</si>
  <si>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</si>
  <si>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</si>
  <si>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</si>
  <si>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</si>
  <si>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</si>
  <si>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</si>
  <si>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</si>
  <si>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</si>
  <si>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</si>
  <si>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</si>
  <si>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</si>
  <si>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</si>
  <si>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</si>
  <si>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</si>
  <si>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</si>
  <si>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</si>
  <si>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</si>
  <si>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</si>
  <si>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</si>
  <si>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</si>
  <si>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</si>
  <si>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</si>
  <si>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</si>
  <si>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</si>
  <si>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</si>
  <si>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</si>
  <si>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</si>
  <si>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</si>
  <si>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</si>
  <si>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</si>
  <si>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</si>
  <si>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</si>
  <si>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</si>
  <si>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</si>
  <si>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</si>
  <si>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</si>
  <si>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</si>
  <si>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</si>
  <si>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</si>
  <si>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</si>
  <si>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</si>
  <si>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</si>
  <si>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</si>
  <si>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</si>
  <si>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</si>
  <si>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</si>
  <si>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</si>
  <si>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</si>
  <si>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</si>
  <si>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</si>
  <si>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</si>
  <si>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</si>
  <si>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</si>
  <si>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</si>
  <si>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</si>
  <si>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</si>
  <si>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</si>
  <si>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</si>
  <si>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</si>
  <si>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</si>
  <si>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</si>
  <si>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</si>
  <si>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</si>
  <si>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</si>
  <si>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</si>
  <si>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</si>
  <si>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</si>
  <si>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</si>
  <si>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</si>
  <si>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</si>
  <si>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</si>
  <si>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</si>
  <si>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</si>
  <si>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</si>
  <si>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</si>
  <si>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</si>
  <si>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</si>
  <si>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</si>
  <si>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</si>
  <si>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</si>
  <si>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</si>
  <si>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</si>
  <si>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</si>
  <si>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</si>
  <si>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</si>
  <si>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</si>
  <si>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</si>
  <si>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</si>
  <si>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</si>
  <si>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</si>
  <si>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</si>
  <si>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</si>
  <si>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</si>
  <si>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</si>
  <si>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</si>
  <si>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</si>
  <si>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</si>
  <si>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</si>
  <si>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</si>
  <si>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</si>
  <si>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</si>
  <si>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</si>
  <si>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</si>
  <si>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</si>
  <si>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</si>
  <si>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</si>
  <si>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</si>
  <si>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</si>
  <si>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</si>
  <si>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</si>
  <si>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</si>
  <si>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</si>
  <si>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</si>
  <si>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</si>
  <si>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</si>
  <si>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</si>
  <si>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</si>
  <si>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</si>
  <si>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</si>
  <si>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</si>
  <si>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</si>
  <si>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</si>
  <si>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</si>
  <si>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</si>
  <si>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</si>
  <si>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</si>
  <si>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</si>
  <si>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</si>
  <si>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</si>
  <si>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</si>
  <si>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</si>
  <si>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</si>
  <si>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</si>
  <si>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</si>
  <si>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</si>
  <si>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</si>
  <si>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</si>
  <si>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</si>
  <si>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</si>
  <si>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</si>
  <si>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</si>
  <si>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</si>
  <si>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</si>
  <si>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</si>
  <si>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</si>
  <si>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</si>
  <si>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</si>
  <si>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</si>
  <si>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</si>
  <si>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</si>
  <si>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</si>
  <si>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</si>
  <si>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</si>
  <si>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</si>
  <si>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</si>
  <si>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</si>
  <si>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</si>
  <si>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</si>
  <si>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</si>
  <si>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</si>
  <si>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</si>
  <si>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</si>
  <si>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</si>
  <si>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</si>
  <si>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</si>
  <si>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</si>
  <si>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</si>
  <si>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</si>
  <si>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</si>
  <si>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</si>
  <si>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</si>
  <si>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</si>
  <si>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</si>
  <si>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</si>
  <si>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</si>
  <si>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</si>
  <si>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</si>
  <si>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</si>
  <si>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</si>
  <si>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</si>
  <si>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</si>
  <si>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</si>
  <si>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</si>
  <si>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</si>
  <si>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</si>
  <si>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</si>
  <si>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</si>
  <si>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</si>
  <si>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</si>
  <si>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</si>
  <si>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</si>
  <si>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</si>
  <si>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</si>
  <si>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</si>
  <si>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</si>
  <si>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</si>
  <si>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</si>
  <si>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</si>
  <si>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</si>
  <si>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</si>
  <si>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</si>
  <si>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</si>
  <si>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</si>
  <si>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</si>
  <si>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</si>
  <si>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</si>
  <si>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</si>
  <si>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</si>
  <si>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</si>
  <si>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</si>
  <si>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</si>
  <si>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</si>
  <si>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</si>
  <si>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</si>
  <si>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</si>
  <si>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</si>
  <si>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</si>
  <si>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</si>
  <si>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</si>
  <si>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</si>
  <si>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</si>
  <si>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</si>
  <si>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</si>
  <si>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</si>
  <si>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</si>
  <si>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</si>
  <si>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</si>
  <si>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</si>
  <si>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</si>
  <si>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</si>
  <si>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</si>
  <si>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</si>
  <si>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</si>
  <si>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</si>
  <si>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</si>
  <si>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</si>
  <si>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</si>
  <si>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</si>
  <si>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</si>
  <si>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</si>
  <si>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</si>
  <si>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</si>
  <si>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</si>
  <si>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</si>
  <si>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</si>
  <si>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</si>
  <si>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</si>
  <si>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</si>
  <si>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</si>
  <si>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</si>
  <si>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</si>
  <si>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</si>
  <si>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</si>
  <si>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</si>
  <si>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</si>
  <si>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</si>
  <si>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</si>
  <si>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</si>
  <si>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</si>
  <si>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</si>
  <si>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</si>
  <si>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</si>
  <si>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</si>
  <si>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</si>
  <si>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</si>
  <si>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</si>
  <si>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</si>
  <si>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</si>
  <si>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</si>
  <si>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</si>
  <si>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</si>
  <si>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</si>
  <si>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</si>
  <si>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</si>
  <si>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</si>
  <si>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</si>
  <si>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</si>
  <si>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</si>
  <si>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</si>
  <si>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</si>
  <si>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</si>
  <si>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</si>
  <si>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</si>
  <si>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</si>
  <si>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</si>
  <si>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</si>
  <si>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</si>
  <si>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</si>
  <si>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</si>
  <si>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</si>
  <si>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</si>
  <si>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</si>
  <si>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</si>
  <si>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</si>
  <si>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</si>
  <si>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</si>
  <si>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</si>
  <si>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</si>
  <si>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</si>
  <si>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</si>
  <si>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</si>
  <si>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</si>
  <si>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</si>
  <si>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</si>
  <si>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</si>
  <si>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</si>
  <si>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</si>
  <si>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</si>
  <si>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</si>
  <si>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</si>
  <si>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</si>
  <si>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</si>
  <si>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</si>
  <si>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</si>
  <si>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</si>
  <si>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</si>
  <si>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</si>
  <si>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</si>
  <si>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</si>
  <si>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</si>
  <si>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</si>
  <si>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</si>
  <si>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</si>
  <si>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</si>
  <si>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</si>
  <si>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</si>
  <si>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</si>
  <si>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</si>
  <si>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</si>
  <si>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</si>
  <si>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</si>
  <si>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</si>
  <si>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</si>
  <si>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</si>
  <si>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</si>
  <si>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</si>
  <si>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</si>
  <si>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</si>
  <si>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</si>
  <si>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</si>
  <si>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</si>
  <si>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</si>
  <si>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</si>
  <si>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</si>
  <si>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</si>
  <si>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</si>
  <si>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</si>
  <si>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</si>
  <si>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</si>
  <si>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</si>
  <si>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</si>
  <si>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</si>
  <si>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</si>
  <si>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</si>
  <si>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</si>
  <si>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</si>
  <si>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</si>
  <si>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</si>
  <si>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</si>
  <si>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</si>
  <si>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</si>
  <si>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</si>
  <si>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</si>
  <si>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</si>
  <si>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</si>
  <si>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</si>
  <si>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</si>
  <si>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</si>
  <si>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</si>
  <si>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</si>
  <si>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</si>
  <si>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</si>
  <si>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</si>
  <si>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</si>
  <si>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</si>
  <si>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</si>
  <si>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</si>
  <si>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</si>
  <si>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</si>
  <si>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</si>
  <si>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</si>
  <si>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</si>
  <si>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</si>
  <si>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</si>
  <si>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</si>
  <si>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</si>
  <si>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</si>
  <si>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</si>
  <si>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</si>
  <si>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</si>
  <si>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</si>
  <si>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</si>
  <si>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</si>
  <si>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</si>
  <si>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</si>
  <si>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</si>
  <si>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KEPULAUAN KARIMATA|KAYONG UTARA</t>
  </si>
  <si>
    <t>SOKAN|MELAWI</t>
  </si>
  <si>
    <t>BUKIT SANTUAI|KOTAWARINGIN TIMUR</t>
  </si>
  <si>
    <t>KAYAN HILIR|MALINAU</t>
  </si>
  <si>
    <t>KRAYAN TENGAH|NUNUKAN</t>
  </si>
  <si>
    <t>PAMINGGIR|HULU SUNGAI UTARA</t>
  </si>
  <si>
    <t>RUNGAN HULU|GUNUNG MAS</t>
  </si>
  <si>
    <t>SOMPAK|LANDAK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</si>
</sst>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4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tabSelected="1" zoomScale="44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C1" sqref="C1:W1048576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16384" width="11.7265625" style="2"/>
  </cols>
  <sheetData>
    <row r="4" spans="1:23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</row>
    <row r="6" spans="1:23" ht="64.5" customHeight="1" x14ac:dyDescent="0.35">
      <c r="A6" s="10" t="s">
        <v>1</v>
      </c>
      <c r="B6" s="1" t="s">
        <v>16</v>
      </c>
      <c r="C6" s="4">
        <f>IFERROR(VLOOKUP($A:$A,MASTER!$A:$T,3,0),0)</f>
        <v>53690571.15817067</v>
      </c>
      <c r="D6" s="4">
        <f>IFERROR(VLOOKUP($A:$A,MASTER!$A:$T,4,0),0)</f>
        <v>51174562.515735909</v>
      </c>
      <c r="E6" s="9">
        <f>IFERROR(C6/D6-1,0)</f>
        <v>4.9165220350659622E-2</v>
      </c>
      <c r="F6" s="4">
        <f>IFERROR(VLOOKUP(A:A,MASTER!A:E,5,0),0)</f>
        <v>190540.540540541</v>
      </c>
      <c r="G6" s="4">
        <f>IFERROR(VLOOKUP(A:A,MASTER!A:F,6,0),0)</f>
        <v>54054.054054054002</v>
      </c>
      <c r="H6" s="9">
        <f>IFERROR(F6/G6-1,0)</f>
        <v>2.5250000000000119</v>
      </c>
      <c r="I6" s="4">
        <f>IFERROR(VLOOKUP(A:A,MASTER!A:M,13,0),0)</f>
        <v>8838108.1081081089</v>
      </c>
      <c r="J6" s="4">
        <f>IFERROR(VLOOKUP($A:$A,MASTER!$A:$T,14,0),0)</f>
        <v>10180990.990990993</v>
      </c>
      <c r="K6" s="9">
        <f>IFERROR(I6/J6-1,0)</f>
        <v>-0.13190099903547514</v>
      </c>
      <c r="L6" s="4">
        <f>IFERROR(VLOOKUP($A:$A,MASTER!$A:$T,15,0),0)</f>
        <v>22881891.891891893</v>
      </c>
      <c r="M6" s="4">
        <f>IFERROR(VLOOKUP($A:$A,MASTER!$A:$T,16,0),0)</f>
        <v>25329261.261261266</v>
      </c>
      <c r="N6" s="9">
        <f>IFERROR(L6/M6-1,0)</f>
        <v>-9.6622216657869742E-2</v>
      </c>
      <c r="O6" s="4">
        <f>IFERROR(VLOOKUP($A:$A,MASTER!$A:$T,17,0),0)</f>
        <v>7023333.3333333321</v>
      </c>
      <c r="P6" s="4">
        <f>IFERROR(VLOOKUP($A:$A,MASTER!$A:$T,18,0),0)</f>
        <v>4837027.0270270277</v>
      </c>
      <c r="Q6" s="9">
        <f>IFERROR(O6/P6-1,0)</f>
        <v>0.45199381646830905</v>
      </c>
      <c r="R6" s="4">
        <f>IFERROR(VLOOKUP($A:$A,MASTER!$A:$T,19,0),0)</f>
        <v>8471</v>
      </c>
      <c r="S6" s="4">
        <f>IFERROR(VLOOKUP($A:$A,MASTER!$A:$T,20,0),0)</f>
        <v>8000</v>
      </c>
      <c r="T6" s="9">
        <f>IFERROR(R6/S6-1,0)</f>
        <v>5.8875000000000011E-2</v>
      </c>
      <c r="U6" s="13">
        <f>IFERROR(VLOOKUP(A:A,MASTER!A:K,11,0),0)</f>
        <v>6</v>
      </c>
      <c r="V6" s="13">
        <f>IFERROR(VLOOKUP(A:A,MASTER!A:L,12,0),0)</f>
        <v>3</v>
      </c>
      <c r="W6" s="9">
        <f>IFERROR(U6/V6-1,0)</f>
        <v>1</v>
      </c>
    </row>
    <row r="7" spans="1:23" ht="64.5" customHeight="1" x14ac:dyDescent="0.35">
      <c r="A7" s="10" t="s">
        <v>2</v>
      </c>
      <c r="B7" s="1" t="s">
        <v>17</v>
      </c>
      <c r="C7" s="4">
        <f>IFERROR(VLOOKUP($A:$A,MASTER!$A:$T,3,0),0)</f>
        <v>6639666.8742684638</v>
      </c>
      <c r="D7" s="4">
        <f>IFERROR(VLOOKUP($A:$A,MASTER!$A:$T,4,0),0)</f>
        <v>5811392.2170581203</v>
      </c>
      <c r="E7" s="9">
        <f t="shared" ref="E7:E22" si="0">IFERROR(C7/D7-1,0)</f>
        <v>0.14252602926698321</v>
      </c>
      <c r="F7" s="4">
        <f>IFERROR(VLOOKUP(A:A,MASTER!A:E,5,0),0)</f>
        <v>0</v>
      </c>
      <c r="G7" s="4">
        <f>IFERROR(VLOOKUP(A:A,MASTER!A:F,6,0),0)</f>
        <v>0</v>
      </c>
      <c r="H7" s="9">
        <f t="shared" ref="H7:H22" si="1">IFERROR(F7/G7-1,0)</f>
        <v>0</v>
      </c>
      <c r="I7" s="4">
        <f>IFERROR(VLOOKUP(A:A,MASTER!A:M,13,0),0)</f>
        <v>0</v>
      </c>
      <c r="J7" s="4">
        <f>IFERROR(VLOOKUP($A:$A,MASTER!$A:$T,14,0),0)</f>
        <v>0</v>
      </c>
      <c r="K7" s="9">
        <f t="shared" ref="K7:K22" si="2">IFERROR(I7/J7-1,0)</f>
        <v>0</v>
      </c>
      <c r="L7" s="4">
        <f>IFERROR(VLOOKUP($A:$A,MASTER!$A:$T,15,0),0)</f>
        <v>3156621.6216216218</v>
      </c>
      <c r="M7" s="4">
        <f>IFERROR(VLOOKUP($A:$A,MASTER!$A:$T,16,0),0)</f>
        <v>2978342.3423423418</v>
      </c>
      <c r="N7" s="9">
        <f t="shared" ref="N7:N22" si="3">IFERROR(L7/M7-1,0)</f>
        <v>5.985855848225663E-2</v>
      </c>
      <c r="O7" s="4">
        <f>IFERROR(VLOOKUP($A:$A,MASTER!$A:$T,17,0),0)</f>
        <v>0</v>
      </c>
      <c r="P7" s="4">
        <f>IFERROR(VLOOKUP($A:$A,MASTER!$A:$T,18,0),0)</f>
        <v>157657.65765765801</v>
      </c>
      <c r="Q7" s="9">
        <f t="shared" ref="Q7:Q22" si="4">IFERROR(O7/P7-1,0)</f>
        <v>-1</v>
      </c>
      <c r="R7" s="4">
        <f>IFERROR(VLOOKUP($A:$A,MASTER!$A:$T,19,0),0)</f>
        <v>1216</v>
      </c>
      <c r="S7" s="4">
        <f>IFERROR(VLOOKUP($A:$A,MASTER!$A:$T,20,0),0)</f>
        <v>686</v>
      </c>
      <c r="T7" s="9">
        <f t="shared" ref="T7:T22" si="5">IFERROR(R7/S7-1,0)</f>
        <v>0.77259475218658902</v>
      </c>
      <c r="U7" s="13">
        <f>IFERROR(VLOOKUP(A:A,MASTER!A:K,11,0),0)</f>
        <v>1</v>
      </c>
      <c r="V7" s="13">
        <f>IFERROR(VLOOKUP(A:A,MASTER!A:L,12,0),0)</f>
        <v>2</v>
      </c>
      <c r="W7" s="9">
        <f t="shared" ref="W7:W22" si="6">IFERROR(U7/V7-1,0)</f>
        <v>-0.5</v>
      </c>
    </row>
    <row r="8" spans="1:23" ht="64.5" customHeight="1" x14ac:dyDescent="0.35">
      <c r="A8" s="10" t="s">
        <v>3</v>
      </c>
      <c r="B8" s="1" t="s">
        <v>16</v>
      </c>
      <c r="C8" s="4">
        <f>IFERROR(VLOOKUP($A:$A,MASTER!$A:$T,3,0),0)</f>
        <v>39517340.103657953</v>
      </c>
      <c r="D8" s="4">
        <f>IFERROR(VLOOKUP($A:$A,MASTER!$A:$T,4,0),0)</f>
        <v>37061190.530450329</v>
      </c>
      <c r="E8" s="9">
        <f t="shared" si="0"/>
        <v>6.6272819033959429E-2</v>
      </c>
      <c r="F8" s="4">
        <f>IFERROR(VLOOKUP(A:A,MASTER!A:E,5,0),0)</f>
        <v>476126.12612612802</v>
      </c>
      <c r="G8" s="4">
        <f>IFERROR(VLOOKUP(A:A,MASTER!A:F,6,0),0)</f>
        <v>536036.03603603703</v>
      </c>
      <c r="H8" s="9">
        <f t="shared" si="1"/>
        <v>-0.1117647058823511</v>
      </c>
      <c r="I8" s="4">
        <f>IFERROR(VLOOKUP(A:A,MASTER!A:M,13,0),0)</f>
        <v>13115765.765765769</v>
      </c>
      <c r="J8" s="4">
        <f>IFERROR(VLOOKUP($A:$A,MASTER!$A:$T,14,0),0)</f>
        <v>2382882.8828828838</v>
      </c>
      <c r="K8" s="9">
        <f t="shared" si="2"/>
        <v>4.5041587901701314</v>
      </c>
      <c r="L8" s="4">
        <f>IFERROR(VLOOKUP($A:$A,MASTER!$A:$T,15,0),0)</f>
        <v>9362747.7477477472</v>
      </c>
      <c r="M8" s="4">
        <f>IFERROR(VLOOKUP($A:$A,MASTER!$A:$T,16,0),0)</f>
        <v>10584027.027027026</v>
      </c>
      <c r="N8" s="9">
        <f t="shared" si="3"/>
        <v>-0.11538890406842872</v>
      </c>
      <c r="O8" s="4">
        <f>IFERROR(VLOOKUP($A:$A,MASTER!$A:$T,17,0),0)</f>
        <v>9847927.9279279318</v>
      </c>
      <c r="P8" s="4">
        <f>IFERROR(VLOOKUP($A:$A,MASTER!$A:$T,18,0),0)</f>
        <v>2172162.1621621619</v>
      </c>
      <c r="Q8" s="9">
        <f t="shared" si="4"/>
        <v>3.5336983119737901</v>
      </c>
      <c r="R8" s="4">
        <f>IFERROR(VLOOKUP($A:$A,MASTER!$A:$T,19,0),0)</f>
        <v>3753</v>
      </c>
      <c r="S8" s="4">
        <f>IFERROR(VLOOKUP($A:$A,MASTER!$A:$T,20,0),0)</f>
        <v>3657</v>
      </c>
      <c r="T8" s="9">
        <f t="shared" si="5"/>
        <v>2.6251025430680919E-2</v>
      </c>
      <c r="U8" s="13">
        <f>IFERROR(VLOOKUP(A:A,MASTER!A:K,11,0),0)</f>
        <v>5</v>
      </c>
      <c r="V8" s="13">
        <f>IFERROR(VLOOKUP(A:A,MASTER!A:L,12,0),0)</f>
        <v>3</v>
      </c>
      <c r="W8" s="9">
        <f t="shared" si="6"/>
        <v>0.66666666666666674</v>
      </c>
    </row>
    <row r="9" spans="1:23" ht="64.5" customHeight="1" x14ac:dyDescent="0.35">
      <c r="A9" s="10" t="s">
        <v>4</v>
      </c>
      <c r="B9" s="1" t="s">
        <v>16</v>
      </c>
      <c r="C9" s="4">
        <f>IFERROR(VLOOKUP($A:$A,MASTER!$A:$T,3,0),0)</f>
        <v>23844926.228707802</v>
      </c>
      <c r="D9" s="4">
        <f>IFERROR(VLOOKUP($A:$A,MASTER!$A:$T,4,0),0)</f>
        <v>23837023.379898455</v>
      </c>
      <c r="E9" s="9">
        <f t="shared" si="0"/>
        <v>3.3153673105057457E-4</v>
      </c>
      <c r="F9" s="4">
        <f>IFERROR(VLOOKUP(A:A,MASTER!A:E,5,0),0)</f>
        <v>32432.432432432</v>
      </c>
      <c r="G9" s="4">
        <f>IFERROR(VLOOKUP(A:A,MASTER!A:F,6,0),0)</f>
        <v>13513.513513514001</v>
      </c>
      <c r="H9" s="9">
        <f t="shared" si="1"/>
        <v>1.3999999999998813</v>
      </c>
      <c r="I9" s="4">
        <f>IFERROR(VLOOKUP(A:A,MASTER!A:M,13,0),0)</f>
        <v>1628828.8288288279</v>
      </c>
      <c r="J9" s="4">
        <f>IFERROR(VLOOKUP($A:$A,MASTER!$A:$T,14,0),0)</f>
        <v>1815315.315315315</v>
      </c>
      <c r="K9" s="9">
        <f t="shared" si="2"/>
        <v>-0.1027295285359805</v>
      </c>
      <c r="L9" s="4">
        <f>IFERROR(VLOOKUP($A:$A,MASTER!$A:$T,15,0),0)</f>
        <v>8195900.9009009004</v>
      </c>
      <c r="M9" s="4">
        <f>IFERROR(VLOOKUP($A:$A,MASTER!$A:$T,16,0),0)</f>
        <v>7941072.0720720729</v>
      </c>
      <c r="N9" s="9">
        <f t="shared" si="3"/>
        <v>3.2089978093138516E-2</v>
      </c>
      <c r="O9" s="4">
        <f>IFERROR(VLOOKUP($A:$A,MASTER!$A:$T,17,0),0)</f>
        <v>3813513.5135135129</v>
      </c>
      <c r="P9" s="4">
        <f>IFERROR(VLOOKUP($A:$A,MASTER!$A:$T,18,0),0)</f>
        <v>2146666.666666666</v>
      </c>
      <c r="Q9" s="9">
        <f t="shared" si="4"/>
        <v>0.77648145039449412</v>
      </c>
      <c r="R9" s="4">
        <f>IFERROR(VLOOKUP($A:$A,MASTER!$A:$T,19,0),0)</f>
        <v>3682</v>
      </c>
      <c r="S9" s="4">
        <f>IFERROR(VLOOKUP($A:$A,MASTER!$A:$T,20,0),0)</f>
        <v>3581</v>
      </c>
      <c r="T9" s="9">
        <f t="shared" si="5"/>
        <v>2.8204412175369953E-2</v>
      </c>
      <c r="U9" s="13">
        <f>IFERROR(VLOOKUP(A:A,MASTER!A:K,11,0),0)</f>
        <v>2</v>
      </c>
      <c r="V9" s="13">
        <f>IFERROR(VLOOKUP(A:A,MASTER!A:L,12,0),0)</f>
        <v>1</v>
      </c>
      <c r="W9" s="9">
        <f t="shared" si="6"/>
        <v>1</v>
      </c>
    </row>
    <row r="10" spans="1:23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0</v>
      </c>
      <c r="G10" s="4">
        <f>IFERROR(VLOOKUP(A:A,MASTER!A:F,6,0),0)</f>
        <v>0</v>
      </c>
      <c r="H10" s="9">
        <f t="shared" si="1"/>
        <v>0</v>
      </c>
      <c r="I10" s="4">
        <f>IFERROR(VLOOKUP(A:A,MASTER!A:M,13,0),0)</f>
        <v>0</v>
      </c>
      <c r="J10" s="4">
        <f>IFERROR(VLOOKUP($A:$A,MASTER!$A:$T,14,0),0)</f>
        <v>0</v>
      </c>
      <c r="K10" s="9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  <c r="U10" s="13">
        <f>IFERROR(VLOOKUP(A:A,MASTER!A:K,11,0),0)</f>
        <v>0</v>
      </c>
      <c r="V10" s="13">
        <f>IFERROR(VLOOKUP(A:A,MASTER!A:L,12,0),0)</f>
        <v>0</v>
      </c>
      <c r="W10" s="9">
        <f t="shared" si="6"/>
        <v>0</v>
      </c>
    </row>
    <row r="11" spans="1:23" ht="64.5" customHeight="1" x14ac:dyDescent="0.35">
      <c r="A11" s="10" t="s">
        <v>5</v>
      </c>
      <c r="B11" s="1" t="s">
        <v>16</v>
      </c>
      <c r="C11" s="4">
        <f>IFERROR(VLOOKUP($A:$A,MASTER!$A:$T,3,0),0)</f>
        <v>19771362.383183934</v>
      </c>
      <c r="D11" s="4">
        <f>IFERROR(VLOOKUP($A:$A,MASTER!$A:$T,4,0),0)</f>
        <v>25733615.673092291</v>
      </c>
      <c r="E11" s="9">
        <f t="shared" si="0"/>
        <v>-0.23169123863704222</v>
      </c>
      <c r="F11" s="4">
        <f>IFERROR(VLOOKUP(A:A,MASTER!A:E,5,0),0)</f>
        <v>3153.1531531529999</v>
      </c>
      <c r="G11" s="4">
        <f>IFERROR(VLOOKUP(A:A,MASTER!A:F,6,0),0)</f>
        <v>40540.540540540998</v>
      </c>
      <c r="H11" s="9">
        <f t="shared" si="1"/>
        <v>-0.92222222222222694</v>
      </c>
      <c r="I11" s="4">
        <f>IFERROR(VLOOKUP(A:A,MASTER!A:M,13,0),0)</f>
        <v>1633783.783783782</v>
      </c>
      <c r="J11" s="4">
        <f>IFERROR(VLOOKUP($A:$A,MASTER!$A:$T,14,0),0)</f>
        <v>3058558.558558559</v>
      </c>
      <c r="K11" s="9">
        <f t="shared" si="2"/>
        <v>-0.46583210603829228</v>
      </c>
      <c r="L11" s="4">
        <f>IFERROR(VLOOKUP($A:$A,MASTER!$A:$T,15,0),0)</f>
        <v>8900495.4954954945</v>
      </c>
      <c r="M11" s="4">
        <f>IFERROR(VLOOKUP($A:$A,MASTER!$A:$T,16,0),0)</f>
        <v>11073873.873873875</v>
      </c>
      <c r="N11" s="9">
        <f t="shared" si="3"/>
        <v>-0.19626179629027019</v>
      </c>
      <c r="O11" s="4">
        <f>IFERROR(VLOOKUP($A:$A,MASTER!$A:$T,17,0),0)</f>
        <v>872252.25225225196</v>
      </c>
      <c r="P11" s="4">
        <f>IFERROR(VLOOKUP($A:$A,MASTER!$A:$T,18,0),0)</f>
        <v>1310090.0900900899</v>
      </c>
      <c r="Q11" s="9">
        <f t="shared" si="4"/>
        <v>-0.33420437353871557</v>
      </c>
      <c r="R11" s="4">
        <f>IFERROR(VLOOKUP($A:$A,MASTER!$A:$T,19,0),0)</f>
        <v>2843</v>
      </c>
      <c r="S11" s="4">
        <f>IFERROR(VLOOKUP($A:$A,MASTER!$A:$T,20,0),0)</f>
        <v>3015</v>
      </c>
      <c r="T11" s="9">
        <f t="shared" si="5"/>
        <v>-5.7048092868988376E-2</v>
      </c>
      <c r="U11" s="13">
        <f>IFERROR(VLOOKUP(A:A,MASTER!A:K,11,0),0)</f>
        <v>6</v>
      </c>
      <c r="V11" s="13">
        <f>IFERROR(VLOOKUP(A:A,MASTER!A:L,12,0),0)</f>
        <v>3</v>
      </c>
      <c r="W11" s="9">
        <f t="shared" si="6"/>
        <v>1</v>
      </c>
    </row>
    <row r="12" spans="1:23" ht="64.5" customHeight="1" x14ac:dyDescent="0.35">
      <c r="A12" s="10" t="s">
        <v>6</v>
      </c>
      <c r="B12" s="1" t="s">
        <v>17</v>
      </c>
      <c r="C12" s="4">
        <f>IFERROR(VLOOKUP($A:$A,MASTER!$A:$T,3,0),0)</f>
        <v>96224122.57994394</v>
      </c>
      <c r="D12" s="4">
        <f>IFERROR(VLOOKUP($A:$A,MASTER!$A:$T,4,0),0)</f>
        <v>92250036.683043778</v>
      </c>
      <c r="E12" s="9">
        <f t="shared" si="0"/>
        <v>4.3079504787130629E-2</v>
      </c>
      <c r="F12" s="4">
        <f>IFERROR(VLOOKUP(A:A,MASTER!A:E,5,0),0)</f>
        <v>6094144.1441441383</v>
      </c>
      <c r="G12" s="4">
        <f>IFERROR(VLOOKUP(A:A,MASTER!A:F,6,0),0)</f>
        <v>108108.108108111</v>
      </c>
      <c r="H12" s="9">
        <f t="shared" si="1"/>
        <v>55.370833333331767</v>
      </c>
      <c r="I12" s="4">
        <f>IFERROR(VLOOKUP(A:A,MASTER!A:M,13,0),0)</f>
        <v>111662162.16216215</v>
      </c>
      <c r="J12" s="4">
        <f>IFERROR(VLOOKUP($A:$A,MASTER!$A:$T,14,0),0)</f>
        <v>39222972.972972974</v>
      </c>
      <c r="K12" s="9">
        <f t="shared" si="2"/>
        <v>1.8468561584840653</v>
      </c>
      <c r="L12" s="4">
        <f>IFERROR(VLOOKUP($A:$A,MASTER!$A:$T,15,0),0)</f>
        <v>59127207.20720721</v>
      </c>
      <c r="M12" s="4">
        <f>IFERROR(VLOOKUP($A:$A,MASTER!$A:$T,16,0),0)</f>
        <v>59503801.801801801</v>
      </c>
      <c r="N12" s="9">
        <f t="shared" si="3"/>
        <v>-6.3289165261904978E-3</v>
      </c>
      <c r="O12" s="4">
        <f>IFERROR(VLOOKUP($A:$A,MASTER!$A:$T,17,0),0)</f>
        <v>100971261.26126127</v>
      </c>
      <c r="P12" s="4">
        <f>IFERROR(VLOOKUP($A:$A,MASTER!$A:$T,18,0),0)</f>
        <v>24981891.891891897</v>
      </c>
      <c r="Q12" s="9">
        <f t="shared" si="4"/>
        <v>3.0417780085755801</v>
      </c>
      <c r="R12" s="4">
        <f>IFERROR(VLOOKUP($A:$A,MASTER!$A:$T,19,0),0)</f>
        <v>13577</v>
      </c>
      <c r="S12" s="4">
        <f>IFERROR(VLOOKUP($A:$A,MASTER!$A:$T,20,0),0)</f>
        <v>13234</v>
      </c>
      <c r="T12" s="9">
        <f t="shared" si="5"/>
        <v>2.5918089768777408E-2</v>
      </c>
      <c r="U12" s="13">
        <f>IFERROR(VLOOKUP(A:A,MASTER!A:K,11,0),0)</f>
        <v>161</v>
      </c>
      <c r="V12" s="13">
        <f>IFERROR(VLOOKUP(A:A,MASTER!A:L,12,0),0)</f>
        <v>15</v>
      </c>
      <c r="W12" s="9">
        <f t="shared" si="6"/>
        <v>9.7333333333333325</v>
      </c>
    </row>
    <row r="13" spans="1:23" ht="64.5" customHeight="1" x14ac:dyDescent="0.35">
      <c r="A13" s="10" t="s">
        <v>7</v>
      </c>
      <c r="B13" s="1" t="s">
        <v>17</v>
      </c>
      <c r="C13" s="4">
        <f>IFERROR(VLOOKUP($A:$A,MASTER!$A:$T,3,0),0)</f>
        <v>21551551.564971305</v>
      </c>
      <c r="D13" s="4">
        <f>IFERROR(VLOOKUP($A:$A,MASTER!$A:$T,4,0),0)</f>
        <v>21841023.700743508</v>
      </c>
      <c r="E13" s="9">
        <f t="shared" si="0"/>
        <v>-1.3253597438399711E-2</v>
      </c>
      <c r="F13" s="4">
        <f>IFERROR(VLOOKUP(A:A,MASTER!A:E,5,0),0)</f>
        <v>7657.6576576580001</v>
      </c>
      <c r="G13" s="4">
        <f>IFERROR(VLOOKUP(A:A,MASTER!A:F,6,0),0)</f>
        <v>54054.054054054999</v>
      </c>
      <c r="H13" s="9">
        <f t="shared" si="1"/>
        <v>-0.85833333333332951</v>
      </c>
      <c r="I13" s="4">
        <f>IFERROR(VLOOKUP(A:A,MASTER!A:M,13,0),0)</f>
        <v>9258108.1081081089</v>
      </c>
      <c r="J13" s="4">
        <f>IFERROR(VLOOKUP($A:$A,MASTER!$A:$T,14,0),0)</f>
        <v>54054.054054054999</v>
      </c>
      <c r="K13" s="9">
        <f t="shared" si="2"/>
        <v>170.27499999999702</v>
      </c>
      <c r="L13" s="4">
        <f>IFERROR(VLOOKUP($A:$A,MASTER!$A:$T,15,0),0)</f>
        <v>13555810.810810812</v>
      </c>
      <c r="M13" s="4">
        <f>IFERROR(VLOOKUP($A:$A,MASTER!$A:$T,16,0),0)</f>
        <v>15619810.810810812</v>
      </c>
      <c r="N13" s="9">
        <f t="shared" si="3"/>
        <v>-0.13213988472712235</v>
      </c>
      <c r="O13" s="4">
        <f>IFERROR(VLOOKUP($A:$A,MASTER!$A:$T,17,0),0)</f>
        <v>9461171.1711711716</v>
      </c>
      <c r="P13" s="4">
        <f>IFERROR(VLOOKUP($A:$A,MASTER!$A:$T,18,0),0)</f>
        <v>747657.65765765705</v>
      </c>
      <c r="Q13" s="9">
        <f t="shared" si="4"/>
        <v>11.654416194722266</v>
      </c>
      <c r="R13" s="4">
        <f>IFERROR(VLOOKUP($A:$A,MASTER!$A:$T,19,0),0)</f>
        <v>4910</v>
      </c>
      <c r="S13" s="4">
        <f>IFERROR(VLOOKUP($A:$A,MASTER!$A:$T,20,0),0)</f>
        <v>4648</v>
      </c>
      <c r="T13" s="9">
        <f t="shared" si="5"/>
        <v>5.636833046471601E-2</v>
      </c>
      <c r="U13" s="13">
        <f>IFERROR(VLOOKUP(A:A,MASTER!A:K,11,0),0)</f>
        <v>9</v>
      </c>
      <c r="V13" s="13">
        <f>IFERROR(VLOOKUP(A:A,MASTER!A:L,12,0),0)</f>
        <v>13</v>
      </c>
      <c r="W13" s="9">
        <f t="shared" si="6"/>
        <v>-0.30769230769230771</v>
      </c>
    </row>
    <row r="14" spans="1:23" ht="64.5" customHeight="1" x14ac:dyDescent="0.35">
      <c r="A14" s="10" t="s">
        <v>8</v>
      </c>
      <c r="B14" s="1" t="s">
        <v>16</v>
      </c>
      <c r="C14" s="4">
        <f>IFERROR(VLOOKUP($A:$A,MASTER!$A:$T,3,0),0)</f>
        <v>32133399.642432489</v>
      </c>
      <c r="D14" s="4">
        <f>IFERROR(VLOOKUP($A:$A,MASTER!$A:$T,4,0),0)</f>
        <v>27886114.700461078</v>
      </c>
      <c r="E14" s="9">
        <f t="shared" si="0"/>
        <v>0.15230823610939193</v>
      </c>
      <c r="F14" s="4">
        <f>IFERROR(VLOOKUP(A:A,MASTER!A:E,5,0),0)</f>
        <v>527027.02702702698</v>
      </c>
      <c r="G14" s="4">
        <f>IFERROR(VLOOKUP(A:A,MASTER!A:F,6,0),0)</f>
        <v>355855.85585585597</v>
      </c>
      <c r="H14" s="9">
        <f t="shared" si="1"/>
        <v>0.48101265822784756</v>
      </c>
      <c r="I14" s="4">
        <f>IFERROR(VLOOKUP(A:A,MASTER!A:M,13,0),0)</f>
        <v>3198198.1981981979</v>
      </c>
      <c r="J14" s="4">
        <f>IFERROR(VLOOKUP($A:$A,MASTER!$A:$T,14,0),0)</f>
        <v>4709009.0090090111</v>
      </c>
      <c r="K14" s="9">
        <f t="shared" si="2"/>
        <v>-0.3208341304763731</v>
      </c>
      <c r="L14" s="4">
        <f>IFERROR(VLOOKUP($A:$A,MASTER!$A:$T,15,0),0)</f>
        <v>9224144.1441441439</v>
      </c>
      <c r="M14" s="4">
        <f>IFERROR(VLOOKUP($A:$A,MASTER!$A:$T,16,0),0)</f>
        <v>7352027.0270270268</v>
      </c>
      <c r="N14" s="9">
        <f t="shared" si="3"/>
        <v>0.25463958582238155</v>
      </c>
      <c r="O14" s="4">
        <f>IFERROR(VLOOKUP($A:$A,MASTER!$A:$T,17,0),0)</f>
        <v>4651351.3513513505</v>
      </c>
      <c r="P14" s="4">
        <f>IFERROR(VLOOKUP($A:$A,MASTER!$A:$T,18,0),0)</f>
        <v>2501081.0810810812</v>
      </c>
      <c r="Q14" s="9">
        <f t="shared" si="4"/>
        <v>0.85973633023557339</v>
      </c>
      <c r="R14" s="4">
        <f>IFERROR(VLOOKUP($A:$A,MASTER!$A:$T,19,0),0)</f>
        <v>3697</v>
      </c>
      <c r="S14" s="4">
        <f>IFERROR(VLOOKUP($A:$A,MASTER!$A:$T,20,0),0)</f>
        <v>3628</v>
      </c>
      <c r="T14" s="9">
        <f t="shared" si="5"/>
        <v>1.9018743109151082E-2</v>
      </c>
      <c r="U14" s="13">
        <f>IFERROR(VLOOKUP(A:A,MASTER!A:K,11,0),0)</f>
        <v>3</v>
      </c>
      <c r="V14" s="13">
        <f>IFERROR(VLOOKUP(A:A,MASTER!A:L,12,0),0)</f>
        <v>0</v>
      </c>
      <c r="W14" s="9">
        <f t="shared" si="6"/>
        <v>0</v>
      </c>
    </row>
    <row r="15" spans="1:23" ht="64.5" customHeight="1" x14ac:dyDescent="0.35">
      <c r="A15" s="10" t="s">
        <v>9</v>
      </c>
      <c r="B15" s="1" t="s">
        <v>16</v>
      </c>
      <c r="C15" s="4">
        <f>IFERROR(VLOOKUP($A:$A,MASTER!$A:$T,3,0),0)</f>
        <v>60760333.623744026</v>
      </c>
      <c r="D15" s="4">
        <f>IFERROR(VLOOKUP($A:$A,MASTER!$A:$T,4,0),0)</f>
        <v>55816893.515088305</v>
      </c>
      <c r="E15" s="9">
        <f t="shared" si="0"/>
        <v>8.8565303393665529E-2</v>
      </c>
      <c r="F15" s="4">
        <f>IFERROR(VLOOKUP(A:A,MASTER!A:E,5,0),0)</f>
        <v>817477.47747747798</v>
      </c>
      <c r="G15" s="4">
        <f>IFERROR(VLOOKUP(A:A,MASTER!A:F,6,0),0)</f>
        <v>157657.65765765801</v>
      </c>
      <c r="H15" s="9">
        <f t="shared" si="1"/>
        <v>4.1851428571428491</v>
      </c>
      <c r="I15" s="4">
        <f>IFERROR(VLOOKUP(A:A,MASTER!A:M,13,0),0)</f>
        <v>119394054.05405405</v>
      </c>
      <c r="J15" s="4">
        <f>IFERROR(VLOOKUP($A:$A,MASTER!$A:$T,14,0),0)</f>
        <v>37935135.135135137</v>
      </c>
      <c r="K15" s="9">
        <f t="shared" si="2"/>
        <v>2.147321174123682</v>
      </c>
      <c r="L15" s="4">
        <f>IFERROR(VLOOKUP($A:$A,MASTER!$A:$T,15,0),0)</f>
        <v>19106666.666666668</v>
      </c>
      <c r="M15" s="4">
        <f>IFERROR(VLOOKUP($A:$A,MASTER!$A:$T,16,0),0)</f>
        <v>20205441.441441443</v>
      </c>
      <c r="N15" s="9">
        <f t="shared" si="3"/>
        <v>-5.4380142000816867E-2</v>
      </c>
      <c r="O15" s="4">
        <f>IFERROR(VLOOKUP($A:$A,MASTER!$A:$T,17,0),0)</f>
        <v>86426396.396396399</v>
      </c>
      <c r="P15" s="4">
        <f>IFERROR(VLOOKUP($A:$A,MASTER!$A:$T,18,0),0)</f>
        <v>49453333.333333328</v>
      </c>
      <c r="Q15" s="9">
        <f t="shared" si="4"/>
        <v>0.74763540839302522</v>
      </c>
      <c r="R15" s="4">
        <f>IFERROR(VLOOKUP($A:$A,MASTER!$A:$T,19,0),0)</f>
        <v>7341</v>
      </c>
      <c r="S15" s="4">
        <f>IFERROR(VLOOKUP($A:$A,MASTER!$A:$T,20,0),0)</f>
        <v>7042</v>
      </c>
      <c r="T15" s="9">
        <f t="shared" si="5"/>
        <v>4.2459528543027591E-2</v>
      </c>
      <c r="U15" s="13">
        <f>IFERROR(VLOOKUP(A:A,MASTER!A:K,11,0),0)</f>
        <v>13</v>
      </c>
      <c r="V15" s="13">
        <f>IFERROR(VLOOKUP(A:A,MASTER!A:L,12,0),0)</f>
        <v>11</v>
      </c>
      <c r="W15" s="9">
        <f t="shared" si="6"/>
        <v>0.18181818181818188</v>
      </c>
    </row>
    <row r="16" spans="1:23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IFERROR(VLOOKUP(A:A,MASTER!A:M,13,0),0)</f>
        <v>3547747.7477477482</v>
      </c>
      <c r="J16" s="4">
        <f>IFERROR(VLOOKUP($A:$A,MASTER!$A:$T,14,0),0)</f>
        <v>2848873.8738738741</v>
      </c>
      <c r="K16" s="9">
        <f t="shared" si="2"/>
        <v>0.24531583524389289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  <c r="U16" s="13">
        <f>IFERROR(VLOOKUP(A:A,MASTER!A:K,11,0),0)</f>
        <v>0</v>
      </c>
      <c r="V16" s="13">
        <f>IFERROR(VLOOKUP(A:A,MASTER!A:L,12,0),0)</f>
        <v>0</v>
      </c>
      <c r="W16" s="9">
        <f t="shared" si="6"/>
        <v>0</v>
      </c>
    </row>
    <row r="17" spans="1:23" ht="64.5" customHeight="1" x14ac:dyDescent="0.35">
      <c r="A17" s="10" t="s">
        <v>10</v>
      </c>
      <c r="B17" s="1" t="s">
        <v>17</v>
      </c>
      <c r="C17" s="4">
        <f>IFERROR(VLOOKUP($A:$A,MASTER!$A:$T,3,0),0)</f>
        <v>24563993.273955133</v>
      </c>
      <c r="D17" s="4">
        <f>IFERROR(VLOOKUP($A:$A,MASTER!$A:$T,4,0),0)</f>
        <v>22603530.587260168</v>
      </c>
      <c r="E17" s="9">
        <f t="shared" si="0"/>
        <v>8.6732587156093333E-2</v>
      </c>
      <c r="F17" s="4">
        <f>IFERROR(VLOOKUP(A:A,MASTER!A:E,5,0),0)</f>
        <v>48711599.0990991</v>
      </c>
      <c r="G17" s="4">
        <f>IFERROR(VLOOKUP(A:A,MASTER!A:F,6,0),0)</f>
        <v>48760753.153153151</v>
      </c>
      <c r="H17" s="9">
        <f t="shared" si="1"/>
        <v>-1.0080659316246132E-3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14163918.918918921</v>
      </c>
      <c r="M17" s="4">
        <f>IFERROR(VLOOKUP($A:$A,MASTER!$A:$T,16,0),0)</f>
        <v>13939099.0990991</v>
      </c>
      <c r="N17" s="9">
        <f t="shared" si="3"/>
        <v>1.6128719526382618E-2</v>
      </c>
      <c r="O17" s="4">
        <f>IFERROR(VLOOKUP($A:$A,MASTER!$A:$T,17,0),0)</f>
        <v>0</v>
      </c>
      <c r="P17" s="4">
        <f>IFERROR(VLOOKUP($A:$A,MASTER!$A:$T,18,0),0)</f>
        <v>11081.081081081</v>
      </c>
      <c r="Q17" s="9">
        <f t="shared" si="4"/>
        <v>-1</v>
      </c>
      <c r="R17" s="4">
        <f>IFERROR(VLOOKUP($A:$A,MASTER!$A:$T,19,0),0)</f>
        <v>3747</v>
      </c>
      <c r="S17" s="4">
        <f>IFERROR(VLOOKUP($A:$A,MASTER!$A:$T,20,0),0)</f>
        <v>3607</v>
      </c>
      <c r="T17" s="9">
        <f t="shared" si="5"/>
        <v>3.8813418353202067E-2</v>
      </c>
      <c r="U17" s="13">
        <f>IFERROR(VLOOKUP(A:A,MASTER!A:K,11,0),0)</f>
        <v>3</v>
      </c>
      <c r="V17" s="13">
        <f>IFERROR(VLOOKUP(A:A,MASTER!A:L,12,0),0)</f>
        <v>3</v>
      </c>
      <c r="W17" s="9">
        <f t="shared" si="6"/>
        <v>0</v>
      </c>
    </row>
    <row r="18" spans="1:23" ht="64.5" customHeight="1" x14ac:dyDescent="0.35">
      <c r="A18" s="10" t="s">
        <v>11</v>
      </c>
      <c r="B18" s="1" t="s">
        <v>17</v>
      </c>
      <c r="C18" s="4">
        <f>IFERROR(VLOOKUP($A:$A,MASTER!$A:$T,3,0),0)</f>
        <v>19564139.005048025</v>
      </c>
      <c r="D18" s="4">
        <f>IFERROR(VLOOKUP($A:$A,MASTER!$A:$T,4,0),0)</f>
        <v>20824673.250879291</v>
      </c>
      <c r="E18" s="9">
        <f t="shared" si="0"/>
        <v>-6.053080548469314E-2</v>
      </c>
      <c r="F18" s="4">
        <f>IFERROR(VLOOKUP(A:A,MASTER!A:E,5,0),0)</f>
        <v>6891891.8918918921</v>
      </c>
      <c r="G18" s="4">
        <f>IFERROR(VLOOKUP(A:A,MASTER!A:F,6,0),0)</f>
        <v>0</v>
      </c>
      <c r="H18" s="9">
        <f t="shared" si="1"/>
        <v>0</v>
      </c>
      <c r="I18" s="4">
        <f>IFERROR(VLOOKUP(A:A,MASTER!A:M,13,0),0)</f>
        <v>200000</v>
      </c>
      <c r="J18" s="4">
        <f>IFERROR(VLOOKUP($A:$A,MASTER!$A:$T,14,0),0)</f>
        <v>116216.21621621599</v>
      </c>
      <c r="K18" s="9">
        <f t="shared" si="2"/>
        <v>0.72093023255814281</v>
      </c>
      <c r="L18" s="4">
        <f>IFERROR(VLOOKUP($A:$A,MASTER!$A:$T,15,0),0)</f>
        <v>5555540.5405405387</v>
      </c>
      <c r="M18" s="4">
        <f>IFERROR(VLOOKUP($A:$A,MASTER!$A:$T,16,0),0)</f>
        <v>7359486.486486488</v>
      </c>
      <c r="N18" s="9">
        <f t="shared" si="3"/>
        <v>-0.24511845347611694</v>
      </c>
      <c r="O18" s="4">
        <f>IFERROR(VLOOKUP($A:$A,MASTER!$A:$T,17,0),0)</f>
        <v>709009.00900901004</v>
      </c>
      <c r="P18" s="4">
        <f>IFERROR(VLOOKUP($A:$A,MASTER!$A:$T,18,0),0)</f>
        <v>738738.73873873905</v>
      </c>
      <c r="Q18" s="9">
        <f t="shared" si="4"/>
        <v>-4.0243902439023427E-2</v>
      </c>
      <c r="R18" s="4">
        <f>IFERROR(VLOOKUP($A:$A,MASTER!$A:$T,19,0),0)</f>
        <v>3779</v>
      </c>
      <c r="S18" s="4">
        <f>IFERROR(VLOOKUP($A:$A,MASTER!$A:$T,20,0),0)</f>
        <v>4021</v>
      </c>
      <c r="T18" s="9">
        <f t="shared" si="5"/>
        <v>-6.0184033822432204E-2</v>
      </c>
      <c r="U18" s="13">
        <f>IFERROR(VLOOKUP(A:A,MASTER!A:K,11,0),0)</f>
        <v>5</v>
      </c>
      <c r="V18" s="13">
        <f>IFERROR(VLOOKUP(A:A,MASTER!A:L,12,0),0)</f>
        <v>5</v>
      </c>
      <c r="W18" s="9">
        <f t="shared" si="6"/>
        <v>0</v>
      </c>
    </row>
    <row r="19" spans="1:23" ht="64.5" customHeight="1" x14ac:dyDescent="0.35">
      <c r="A19" s="10" t="s">
        <v>12</v>
      </c>
      <c r="B19" s="1" t="s">
        <v>17</v>
      </c>
      <c r="C19" s="4">
        <f>IFERROR(VLOOKUP($A:$A,MASTER!$A:$T,3,0),0)</f>
        <v>14492122.699609192</v>
      </c>
      <c r="D19" s="4">
        <f>IFERROR(VLOOKUP($A:$A,MASTER!$A:$T,4,0),0)</f>
        <v>12494405.396087447</v>
      </c>
      <c r="E19" s="9">
        <f t="shared" si="0"/>
        <v>0.15988894550734845</v>
      </c>
      <c r="F19" s="4">
        <f>IFERROR(VLOOKUP(A:A,MASTER!A:E,5,0),0)</f>
        <v>6306.3063063070003</v>
      </c>
      <c r="G19" s="4">
        <f>IFERROR(VLOOKUP(A:A,MASTER!A:F,6,0),0)</f>
        <v>27027.027027028002</v>
      </c>
      <c r="H19" s="9">
        <f t="shared" si="1"/>
        <v>-0.7666666666666494</v>
      </c>
      <c r="I19" s="4">
        <f>IFERROR(VLOOKUP(A:A,MASTER!A:M,13,0),0)</f>
        <v>2709009.0090090092</v>
      </c>
      <c r="J19" s="4">
        <f>IFERROR(VLOOKUP($A:$A,MASTER!$A:$T,14,0),0)</f>
        <v>27027.027027028002</v>
      </c>
      <c r="K19" s="9">
        <f t="shared" si="2"/>
        <v>99.233333333329725</v>
      </c>
      <c r="L19" s="4">
        <f>IFERROR(VLOOKUP($A:$A,MASTER!$A:$T,15,0),0)</f>
        <v>4960675.6756756743</v>
      </c>
      <c r="M19" s="4">
        <f>IFERROR(VLOOKUP($A:$A,MASTER!$A:$T,16,0),0)</f>
        <v>5755306.3063063072</v>
      </c>
      <c r="N19" s="9">
        <f t="shared" si="3"/>
        <v>-0.13806921618749046</v>
      </c>
      <c r="O19" s="4">
        <f>IFERROR(VLOOKUP($A:$A,MASTER!$A:$T,17,0),0)</f>
        <v>309459.459459459</v>
      </c>
      <c r="P19" s="4">
        <f>IFERROR(VLOOKUP($A:$A,MASTER!$A:$T,18,0),0)</f>
        <v>1117387.3873873879</v>
      </c>
      <c r="Q19" s="9">
        <f t="shared" si="4"/>
        <v>-0.72305087478835817</v>
      </c>
      <c r="R19" s="4">
        <f>IFERROR(VLOOKUP($A:$A,MASTER!$A:$T,19,0),0)</f>
        <v>2830</v>
      </c>
      <c r="S19" s="4">
        <f>IFERROR(VLOOKUP($A:$A,MASTER!$A:$T,20,0),0)</f>
        <v>3034</v>
      </c>
      <c r="T19" s="9">
        <f t="shared" si="5"/>
        <v>-6.7237969676994025E-2</v>
      </c>
      <c r="U19" s="13">
        <f>IFERROR(VLOOKUP(A:A,MASTER!A:K,11,0),0)</f>
        <v>4</v>
      </c>
      <c r="V19" s="13">
        <f>IFERROR(VLOOKUP(A:A,MASTER!A:L,12,0),0)</f>
        <v>1</v>
      </c>
      <c r="W19" s="9">
        <f t="shared" si="6"/>
        <v>3</v>
      </c>
    </row>
    <row r="20" spans="1:23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9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  <c r="U20" s="13">
        <f>IFERROR(VLOOKUP(A:A,MASTER!A:K,11,0),0)</f>
        <v>0</v>
      </c>
      <c r="V20" s="13">
        <f>IFERROR(VLOOKUP(A:A,MASTER!A:L,12,0),0)</f>
        <v>0</v>
      </c>
      <c r="W20" s="9">
        <f t="shared" si="6"/>
        <v>0</v>
      </c>
    </row>
    <row r="21" spans="1:23" ht="64.5" customHeight="1" x14ac:dyDescent="0.35">
      <c r="A21" s="10" t="s">
        <v>13</v>
      </c>
      <c r="B21" s="1" t="s">
        <v>16</v>
      </c>
      <c r="C21" s="4">
        <f>IFERROR(VLOOKUP($A:$A,MASTER!$A:$T,3,0),0)</f>
        <v>49448207.073301613</v>
      </c>
      <c r="D21" s="4">
        <f>IFERROR(VLOOKUP($A:$A,MASTER!$A:$T,4,0),0)</f>
        <v>47743748.730861425</v>
      </c>
      <c r="E21" s="9">
        <f t="shared" si="0"/>
        <v>3.5700136410495853E-2</v>
      </c>
      <c r="F21" s="4">
        <f>IFERROR(VLOOKUP(A:A,MASTER!A:E,5,0),0)</f>
        <v>150190962.16216218</v>
      </c>
      <c r="G21" s="4">
        <f>IFERROR(VLOOKUP(A:A,MASTER!A:F,6,0),0)</f>
        <v>60134341.441441439</v>
      </c>
      <c r="H21" s="9">
        <f t="shared" si="1"/>
        <v>1.4975905374870946</v>
      </c>
      <c r="I21" s="4">
        <f>IFERROR(VLOOKUP(A:A,MASTER!A:M,13,0),0)</f>
        <v>12877387.387387382</v>
      </c>
      <c r="J21" s="4">
        <f>IFERROR(VLOOKUP($A:$A,MASTER!$A:$T,14,0),0)</f>
        <v>11959189.189189192</v>
      </c>
      <c r="K21" s="9">
        <f t="shared" si="2"/>
        <v>7.6777629626280763E-2</v>
      </c>
      <c r="L21" s="4">
        <f>IFERROR(VLOOKUP($A:$A,MASTER!$A:$T,15,0),0)</f>
        <v>25399617.117117114</v>
      </c>
      <c r="M21" s="4">
        <f>IFERROR(VLOOKUP($A:$A,MASTER!$A:$T,16,0),0)</f>
        <v>27662090.090090089</v>
      </c>
      <c r="N21" s="9">
        <f t="shared" si="3"/>
        <v>-8.1789661070603703E-2</v>
      </c>
      <c r="O21" s="4">
        <f>IFERROR(VLOOKUP($A:$A,MASTER!$A:$T,17,0),0)</f>
        <v>9444144.1441441439</v>
      </c>
      <c r="P21" s="4">
        <f>IFERROR(VLOOKUP($A:$A,MASTER!$A:$T,18,0),0)</f>
        <v>6289639.6396396412</v>
      </c>
      <c r="Q21" s="9">
        <f t="shared" si="4"/>
        <v>0.50153978371410113</v>
      </c>
      <c r="R21" s="4">
        <f>IFERROR(VLOOKUP($A:$A,MASTER!$A:$T,19,0),0)</f>
        <v>7293</v>
      </c>
      <c r="S21" s="4">
        <f>IFERROR(VLOOKUP($A:$A,MASTER!$A:$T,20,0),0)</f>
        <v>7171</v>
      </c>
      <c r="T21" s="9">
        <f t="shared" si="5"/>
        <v>1.7012968902524017E-2</v>
      </c>
      <c r="U21" s="13">
        <f>IFERROR(VLOOKUP(A:A,MASTER!A:K,11,0),0)</f>
        <v>3</v>
      </c>
      <c r="V21" s="13">
        <f>IFERROR(VLOOKUP(A:A,MASTER!A:L,12,0),0)</f>
        <v>6</v>
      </c>
      <c r="W21" s="9">
        <f t="shared" si="6"/>
        <v>-0.5</v>
      </c>
    </row>
    <row r="22" spans="1:23" ht="64.5" customHeight="1" x14ac:dyDescent="0.35">
      <c r="A22" s="10" t="s">
        <v>14</v>
      </c>
      <c r="B22" s="1" t="s">
        <v>16</v>
      </c>
      <c r="C22" s="4">
        <f>IFERROR(VLOOKUP($A:$A,MASTER!$A:$T,3,0),0)</f>
        <v>26277830.819265898</v>
      </c>
      <c r="D22" s="4">
        <f>IFERROR(VLOOKUP($A:$A,MASTER!$A:$T,4,0),0)</f>
        <v>23369103.725689866</v>
      </c>
      <c r="E22" s="9">
        <f t="shared" si="0"/>
        <v>0.12446891963504969</v>
      </c>
      <c r="F22" s="4">
        <f>IFERROR(VLOOKUP(A:A,MASTER!A:E,5,0),0)</f>
        <v>1801.801801802</v>
      </c>
      <c r="G22" s="4">
        <f>IFERROR(VLOOKUP(A:A,MASTER!A:F,6,0),0)</f>
        <v>0</v>
      </c>
      <c r="H22" s="9">
        <f t="shared" si="1"/>
        <v>0</v>
      </c>
      <c r="I22" s="4">
        <f>IFERROR(VLOOKUP(A:A,MASTER!A:M,13,0),0)</f>
        <v>542342.34234234295</v>
      </c>
      <c r="J22" s="4">
        <f>IFERROR(VLOOKUP($A:$A,MASTER!$A:$T,14,0),0)</f>
        <v>5209909.9099099096</v>
      </c>
      <c r="K22" s="9">
        <f t="shared" si="2"/>
        <v>-0.89590178108248297</v>
      </c>
      <c r="L22" s="4">
        <f>IFERROR(VLOOKUP($A:$A,MASTER!$A:$T,15,0),0)</f>
        <v>8676081.0810810812</v>
      </c>
      <c r="M22" s="4">
        <f>IFERROR(VLOOKUP($A:$A,MASTER!$A:$T,16,0),0)</f>
        <v>7808288.2882882887</v>
      </c>
      <c r="N22" s="9">
        <f t="shared" si="3"/>
        <v>0.11113739154513569</v>
      </c>
      <c r="O22" s="4">
        <f>IFERROR(VLOOKUP($A:$A,MASTER!$A:$T,17,0),0)</f>
        <v>1653963.963963964</v>
      </c>
      <c r="P22" s="4">
        <f>IFERROR(VLOOKUP($A:$A,MASTER!$A:$T,18,0),0)</f>
        <v>7068918.9189189197</v>
      </c>
      <c r="Q22" s="9">
        <f t="shared" si="4"/>
        <v>-0.76602306760976235</v>
      </c>
      <c r="R22" s="4">
        <f>IFERROR(VLOOKUP($A:$A,MASTER!$A:$T,19,0),0)</f>
        <v>4019</v>
      </c>
      <c r="S22" s="4">
        <f>IFERROR(VLOOKUP($A:$A,MASTER!$A:$T,20,0),0)</f>
        <v>3947</v>
      </c>
      <c r="T22" s="9">
        <f t="shared" si="5"/>
        <v>1.8241702558905448E-2</v>
      </c>
      <c r="U22" s="13">
        <f>IFERROR(VLOOKUP(A:A,MASTER!A:K,11,0),0)</f>
        <v>3</v>
      </c>
      <c r="V22" s="13">
        <f>IFERROR(VLOOKUP(A:A,MASTER!A:L,12,0),0)</f>
        <v>3</v>
      </c>
      <c r="W22" s="9">
        <f t="shared" si="6"/>
        <v>0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68"/>
  <sheetViews>
    <sheetView workbookViewId="0">
      <pane xSplit="1" ySplit="2" topLeftCell="B560" activePane="bottomRight" state="frozen"/>
      <selection pane="topRight" activeCell="B1" sqref="B1"/>
      <selection pane="bottomLeft" activeCell="A3" sqref="A3"/>
      <selection pane="bottomRight" activeCell="A577" sqref="A577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664</v>
      </c>
      <c r="J2" s="7" t="s">
        <v>664</v>
      </c>
      <c r="K2" s="7" t="s">
        <v>41</v>
      </c>
      <c r="L2" s="7" t="s">
        <v>41</v>
      </c>
      <c r="M2" s="7" t="s">
        <v>42</v>
      </c>
      <c r="N2" s="7" t="s">
        <v>42</v>
      </c>
      <c r="O2" s="7" t="s">
        <v>43</v>
      </c>
      <c r="P2" s="7" t="s">
        <v>43</v>
      </c>
      <c r="Q2" s="7" t="s">
        <v>44</v>
      </c>
      <c r="R2" s="7" t="s">
        <v>44</v>
      </c>
      <c r="S2" s="7" t="s">
        <v>30</v>
      </c>
      <c r="T2" s="7" t="s">
        <v>30</v>
      </c>
    </row>
    <row r="3" spans="1:20" x14ac:dyDescent="0.35">
      <c r="A3" s="8" t="s">
        <v>45</v>
      </c>
      <c r="B3" s="8" t="s">
        <v>46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47</v>
      </c>
      <c r="B4" s="12" t="s">
        <v>48</v>
      </c>
      <c r="C4">
        <v>71790738.94778356</v>
      </c>
      <c r="D4">
        <v>79177782.330103502</v>
      </c>
      <c r="E4">
        <v>153153.15315315401</v>
      </c>
      <c r="F4">
        <v>220720.720720721</v>
      </c>
      <c r="G4">
        <v>4</v>
      </c>
      <c r="H4">
        <v>3</v>
      </c>
      <c r="K4">
        <v>7</v>
      </c>
      <c r="L4">
        <v>4</v>
      </c>
      <c r="M4">
        <v>1553963.9639639631</v>
      </c>
      <c r="N4">
        <v>347747.74774774798</v>
      </c>
      <c r="O4">
        <v>8809234.2342342343</v>
      </c>
      <c r="P4">
        <v>9455027.0270270277</v>
      </c>
      <c r="Q4">
        <v>1906126.126126125</v>
      </c>
      <c r="R4">
        <v>888828.82882882899</v>
      </c>
      <c r="S4">
        <v>7981</v>
      </c>
      <c r="T4">
        <v>8253</v>
      </c>
    </row>
    <row r="5" spans="1:20" x14ac:dyDescent="0.35">
      <c r="A5" s="7" t="s">
        <v>49</v>
      </c>
      <c r="B5" s="12" t="s">
        <v>50</v>
      </c>
      <c r="C5">
        <v>125241823.11879389</v>
      </c>
      <c r="D5">
        <v>124631381.93599056</v>
      </c>
      <c r="E5">
        <v>214594.594594597</v>
      </c>
      <c r="F5">
        <v>788288.28828829306</v>
      </c>
      <c r="G5">
        <v>24</v>
      </c>
      <c r="H5">
        <v>29</v>
      </c>
      <c r="I5">
        <v>1</v>
      </c>
      <c r="K5">
        <v>34</v>
      </c>
      <c r="L5">
        <v>60</v>
      </c>
      <c r="M5">
        <v>44745450.450450458</v>
      </c>
      <c r="N5">
        <v>22869729.729729731</v>
      </c>
      <c r="O5">
        <v>34674932.432432435</v>
      </c>
      <c r="P5">
        <v>38476369.369369365</v>
      </c>
      <c r="Q5">
        <v>41324504.504504509</v>
      </c>
      <c r="R5">
        <v>22872792.792792797</v>
      </c>
      <c r="S5">
        <v>20988</v>
      </c>
      <c r="T5">
        <v>20357</v>
      </c>
    </row>
    <row r="6" spans="1:20" x14ac:dyDescent="0.35">
      <c r="A6" s="7" t="s">
        <v>51</v>
      </c>
      <c r="B6" s="12" t="s">
        <v>52</v>
      </c>
      <c r="C6">
        <v>29617777.837112471</v>
      </c>
      <c r="D6">
        <v>29812308.986869849</v>
      </c>
      <c r="E6">
        <v>39639.639639640001</v>
      </c>
      <c r="F6">
        <v>225225.22522522599</v>
      </c>
      <c r="G6">
        <v>5</v>
      </c>
      <c r="H6">
        <v>12</v>
      </c>
      <c r="K6">
        <v>6</v>
      </c>
      <c r="L6">
        <v>13</v>
      </c>
      <c r="M6">
        <v>1841441.4414414419</v>
      </c>
      <c r="N6">
        <v>1378378.3783783801</v>
      </c>
      <c r="O6">
        <v>8801351.3513513524</v>
      </c>
      <c r="P6">
        <v>9696054.0540540554</v>
      </c>
      <c r="Q6">
        <v>3781981.9819819839</v>
      </c>
      <c r="R6">
        <v>1290090.090090092</v>
      </c>
      <c r="S6">
        <v>4486</v>
      </c>
      <c r="T6">
        <v>5533</v>
      </c>
    </row>
    <row r="7" spans="1:20" x14ac:dyDescent="0.35">
      <c r="A7" s="7" t="s">
        <v>53</v>
      </c>
      <c r="B7" s="12" t="s">
        <v>54</v>
      </c>
      <c r="C7">
        <v>16194103.455709469</v>
      </c>
      <c r="D7">
        <v>17199767.768250052</v>
      </c>
      <c r="E7">
        <v>39189.189189190998</v>
      </c>
      <c r="F7">
        <v>67567.567567567996</v>
      </c>
      <c r="G7">
        <v>1</v>
      </c>
      <c r="H7">
        <v>3</v>
      </c>
      <c r="K7">
        <v>2</v>
      </c>
      <c r="L7">
        <v>3</v>
      </c>
      <c r="M7">
        <v>1525675.675675676</v>
      </c>
      <c r="N7">
        <v>655675.67567567597</v>
      </c>
      <c r="O7">
        <v>5621279.2792792786</v>
      </c>
      <c r="P7">
        <v>5145801.8018018017</v>
      </c>
      <c r="Q7">
        <v>1988378.3783783801</v>
      </c>
      <c r="R7">
        <v>1777567.567567568</v>
      </c>
      <c r="S7">
        <v>3661</v>
      </c>
      <c r="T7">
        <v>2744</v>
      </c>
    </row>
    <row r="8" spans="1:20" x14ac:dyDescent="0.35">
      <c r="A8" s="7" t="s">
        <v>55</v>
      </c>
      <c r="B8" s="12" t="s">
        <v>54</v>
      </c>
      <c r="C8">
        <v>27695818.613418274</v>
      </c>
      <c r="D8">
        <v>27256286.953855392</v>
      </c>
      <c r="E8">
        <v>152702.70270270301</v>
      </c>
      <c r="F8">
        <v>148648.64864865199</v>
      </c>
      <c r="G8">
        <v>6</v>
      </c>
      <c r="H8">
        <v>6</v>
      </c>
      <c r="K8">
        <v>22</v>
      </c>
      <c r="L8">
        <v>9</v>
      </c>
      <c r="M8">
        <v>3513063.0630630609</v>
      </c>
      <c r="N8">
        <v>4084144.1441441472</v>
      </c>
      <c r="O8">
        <v>6725792.7927927906</v>
      </c>
      <c r="P8">
        <v>8045720.7207207214</v>
      </c>
      <c r="Q8">
        <v>5968018.0180180194</v>
      </c>
      <c r="R8">
        <v>7495765.7657657657</v>
      </c>
      <c r="S8">
        <v>4473</v>
      </c>
      <c r="T8">
        <v>5143</v>
      </c>
    </row>
    <row r="9" spans="1:20" x14ac:dyDescent="0.35">
      <c r="A9" s="7" t="s">
        <v>56</v>
      </c>
      <c r="B9" s="12" t="s">
        <v>54</v>
      </c>
      <c r="C9">
        <v>13723883.937728247</v>
      </c>
      <c r="D9">
        <v>13511094.246155173</v>
      </c>
      <c r="E9">
        <v>138918.91891891899</v>
      </c>
      <c r="F9">
        <v>94594.594594595997</v>
      </c>
      <c r="H9">
        <v>3</v>
      </c>
      <c r="K9">
        <v>1</v>
      </c>
      <c r="L9">
        <v>5</v>
      </c>
      <c r="M9">
        <v>878558.558558558</v>
      </c>
      <c r="N9">
        <v>1835855.855855857</v>
      </c>
      <c r="O9">
        <v>3958603.6036036038</v>
      </c>
      <c r="P9">
        <v>3866801.8018018021</v>
      </c>
      <c r="Q9">
        <v>841891.89189189195</v>
      </c>
      <c r="R9">
        <v>775855.85585585702</v>
      </c>
      <c r="S9">
        <v>2092</v>
      </c>
      <c r="T9">
        <v>2111</v>
      </c>
    </row>
    <row r="10" spans="1:20" x14ac:dyDescent="0.35">
      <c r="A10" s="7" t="s">
        <v>57</v>
      </c>
      <c r="B10" s="12" t="s">
        <v>58</v>
      </c>
      <c r="C10">
        <v>34656515.477053165</v>
      </c>
      <c r="D10">
        <v>36078421.155794375</v>
      </c>
      <c r="E10">
        <v>902702.70270270295</v>
      </c>
      <c r="F10">
        <v>13513.513513514001</v>
      </c>
      <c r="G10">
        <v>5</v>
      </c>
      <c r="H10">
        <v>10</v>
      </c>
      <c r="K10">
        <v>7</v>
      </c>
      <c r="L10">
        <v>13</v>
      </c>
      <c r="M10">
        <v>2254054.054054054</v>
      </c>
      <c r="N10">
        <v>1364864.8648648651</v>
      </c>
      <c r="O10">
        <v>5680450.4504504502</v>
      </c>
      <c r="P10">
        <v>6674612.6126126125</v>
      </c>
      <c r="Q10">
        <v>1032612.612612613</v>
      </c>
      <c r="R10">
        <v>1023243.243243244</v>
      </c>
      <c r="S10">
        <v>5568</v>
      </c>
      <c r="T10">
        <v>5588</v>
      </c>
    </row>
    <row r="11" spans="1:20" x14ac:dyDescent="0.35">
      <c r="A11" s="7" t="s">
        <v>59</v>
      </c>
      <c r="B11" s="12" t="s">
        <v>60</v>
      </c>
      <c r="C11">
        <v>15844457.670486549</v>
      </c>
      <c r="D11">
        <v>15061678.023159975</v>
      </c>
      <c r="E11">
        <v>7747.7477477479997</v>
      </c>
      <c r="F11">
        <v>67567.567567569</v>
      </c>
      <c r="H11">
        <v>5</v>
      </c>
      <c r="K11">
        <v>1</v>
      </c>
      <c r="L11">
        <v>14</v>
      </c>
      <c r="M11">
        <v>1269009.0090090081</v>
      </c>
      <c r="N11">
        <v>1220720.7207207209</v>
      </c>
      <c r="O11">
        <v>7384090.0900900885</v>
      </c>
      <c r="P11">
        <v>7021108.1081081079</v>
      </c>
      <c r="Q11">
        <v>1143873.873873872</v>
      </c>
      <c r="R11">
        <v>1236846.8468468471</v>
      </c>
      <c r="S11">
        <v>3005</v>
      </c>
      <c r="T11">
        <v>3055</v>
      </c>
    </row>
    <row r="12" spans="1:20" x14ac:dyDescent="0.35">
      <c r="A12" s="7" t="s">
        <v>61</v>
      </c>
      <c r="B12" s="12" t="s">
        <v>62</v>
      </c>
      <c r="C12">
        <v>71707084.729834571</v>
      </c>
      <c r="D12">
        <v>68302205.278056413</v>
      </c>
      <c r="E12">
        <v>4504.5045045050001</v>
      </c>
      <c r="F12">
        <v>148648.64864865199</v>
      </c>
      <c r="G12">
        <v>10</v>
      </c>
      <c r="H12">
        <v>6</v>
      </c>
      <c r="K12">
        <v>12</v>
      </c>
      <c r="L12">
        <v>7</v>
      </c>
      <c r="M12">
        <v>436576.57657658</v>
      </c>
      <c r="N12">
        <v>899999.99999999895</v>
      </c>
      <c r="O12">
        <v>7285900.9009009004</v>
      </c>
      <c r="P12">
        <v>7020072.072072071</v>
      </c>
      <c r="Q12">
        <v>1170810.8108108139</v>
      </c>
      <c r="R12">
        <v>2659819.8198198178</v>
      </c>
      <c r="S12">
        <v>8831</v>
      </c>
      <c r="T12">
        <v>8722</v>
      </c>
    </row>
    <row r="13" spans="1:20" x14ac:dyDescent="0.35">
      <c r="A13" s="7" t="s">
        <v>63</v>
      </c>
      <c r="B13" s="12" t="s">
        <v>50</v>
      </c>
      <c r="C13">
        <v>38102566.899809219</v>
      </c>
      <c r="D13">
        <v>37759916.536150858</v>
      </c>
      <c r="E13">
        <v>188288.28828828901</v>
      </c>
      <c r="F13">
        <v>319819.81981982198</v>
      </c>
      <c r="G13">
        <v>1</v>
      </c>
      <c r="H13">
        <v>4</v>
      </c>
      <c r="K13">
        <v>1</v>
      </c>
      <c r="L13">
        <v>9</v>
      </c>
      <c r="M13">
        <v>10974234.234234234</v>
      </c>
      <c r="N13">
        <v>8049189.1891891919</v>
      </c>
      <c r="O13">
        <v>13065765.765765766</v>
      </c>
      <c r="P13">
        <v>12876378.378378378</v>
      </c>
      <c r="Q13">
        <v>11893603.603603603</v>
      </c>
      <c r="R13">
        <v>8175585.5855855849</v>
      </c>
      <c r="S13">
        <v>5507</v>
      </c>
      <c r="T13">
        <v>5654</v>
      </c>
    </row>
    <row r="14" spans="1:20" x14ac:dyDescent="0.35">
      <c r="A14" s="7" t="s">
        <v>64</v>
      </c>
      <c r="B14" s="12" t="s">
        <v>50</v>
      </c>
      <c r="C14">
        <v>37839529.591747455</v>
      </c>
      <c r="D14">
        <v>38789876.424763069</v>
      </c>
      <c r="E14">
        <v>542792.79279279301</v>
      </c>
      <c r="F14">
        <v>698198.19819820195</v>
      </c>
      <c r="G14">
        <v>5</v>
      </c>
      <c r="H14">
        <v>6</v>
      </c>
      <c r="K14">
        <v>6</v>
      </c>
      <c r="L14">
        <v>23</v>
      </c>
      <c r="M14">
        <v>5914684.6846846836</v>
      </c>
      <c r="N14">
        <v>4403423.4234234253</v>
      </c>
      <c r="O14">
        <v>13967819.819819819</v>
      </c>
      <c r="P14">
        <v>13014468.468468469</v>
      </c>
      <c r="Q14">
        <v>5436846.8468468478</v>
      </c>
      <c r="R14">
        <v>3558648.6486486481</v>
      </c>
      <c r="S14">
        <v>5386</v>
      </c>
      <c r="T14">
        <v>5520</v>
      </c>
    </row>
    <row r="15" spans="1:20" x14ac:dyDescent="0.35">
      <c r="A15" s="7" t="s">
        <v>65</v>
      </c>
      <c r="B15" s="12" t="s">
        <v>66</v>
      </c>
      <c r="C15">
        <v>37292316.245387651</v>
      </c>
      <c r="D15">
        <v>36984936.587790571</v>
      </c>
      <c r="E15">
        <v>403693.69369369501</v>
      </c>
      <c r="F15">
        <v>202702.702702707</v>
      </c>
      <c r="G15">
        <v>7</v>
      </c>
      <c r="H15">
        <v>7</v>
      </c>
      <c r="K15">
        <v>10</v>
      </c>
      <c r="L15">
        <v>11</v>
      </c>
      <c r="M15">
        <v>6574504.5045045102</v>
      </c>
      <c r="N15">
        <v>3350450.4504504479</v>
      </c>
      <c r="O15">
        <v>18355135.135135137</v>
      </c>
      <c r="P15">
        <v>19300135.135135137</v>
      </c>
      <c r="Q15">
        <v>8290810.8108108155</v>
      </c>
      <c r="R15">
        <v>3029099.0990991001</v>
      </c>
      <c r="S15">
        <v>6350</v>
      </c>
      <c r="T15">
        <v>6409</v>
      </c>
    </row>
    <row r="16" spans="1:20" x14ac:dyDescent="0.35">
      <c r="A16" s="7" t="s">
        <v>67</v>
      </c>
      <c r="B16" s="12" t="s">
        <v>68</v>
      </c>
      <c r="C16">
        <v>18171225.331211623</v>
      </c>
      <c r="D16">
        <v>21324918.623843376</v>
      </c>
      <c r="E16">
        <v>7657.6576576580001</v>
      </c>
      <c r="F16">
        <v>540540.54054054106</v>
      </c>
      <c r="G16">
        <v>2</v>
      </c>
      <c r="H16">
        <v>2</v>
      </c>
      <c r="K16">
        <v>3</v>
      </c>
      <c r="L16">
        <v>3</v>
      </c>
      <c r="M16">
        <v>3486576.5765765761</v>
      </c>
      <c r="N16">
        <v>6117117.1171171162</v>
      </c>
      <c r="O16">
        <v>5161891.8918918921</v>
      </c>
      <c r="P16">
        <v>6383738.738738738</v>
      </c>
      <c r="Q16">
        <v>2906216.2162162168</v>
      </c>
      <c r="R16">
        <v>3065045.0450450461</v>
      </c>
      <c r="S16">
        <v>2979</v>
      </c>
      <c r="T16">
        <v>3206</v>
      </c>
    </row>
    <row r="17" spans="1:20" x14ac:dyDescent="0.35">
      <c r="A17" s="7" t="s">
        <v>69</v>
      </c>
      <c r="B17" s="12" t="s">
        <v>70</v>
      </c>
      <c r="C17">
        <v>1582910.1537352591</v>
      </c>
      <c r="D17">
        <v>1816387.322239137</v>
      </c>
      <c r="O17">
        <v>211576.576576577</v>
      </c>
      <c r="P17">
        <v>692747.74774774804</v>
      </c>
      <c r="R17">
        <v>124324.324324324</v>
      </c>
      <c r="S17">
        <v>352</v>
      </c>
      <c r="T17">
        <v>302</v>
      </c>
    </row>
    <row r="18" spans="1:20" x14ac:dyDescent="0.35">
      <c r="A18" s="7" t="s">
        <v>71</v>
      </c>
      <c r="B18" s="12" t="s">
        <v>72</v>
      </c>
      <c r="C18">
        <v>300031847.15594172</v>
      </c>
      <c r="D18">
        <v>289337453.30943513</v>
      </c>
      <c r="E18">
        <v>260142622.52252254</v>
      </c>
      <c r="F18">
        <v>104746500.00000001</v>
      </c>
      <c r="G18">
        <v>63</v>
      </c>
      <c r="H18">
        <v>48</v>
      </c>
      <c r="I18">
        <v>3</v>
      </c>
      <c r="K18">
        <v>93</v>
      </c>
      <c r="L18">
        <v>103</v>
      </c>
      <c r="M18">
        <v>35817387.38738738</v>
      </c>
      <c r="N18">
        <v>28443250.450450458</v>
      </c>
      <c r="O18">
        <v>60589882.882882878</v>
      </c>
      <c r="P18">
        <v>58277646.846846849</v>
      </c>
      <c r="Q18">
        <v>32560090.090090089</v>
      </c>
      <c r="R18">
        <v>29901531.531531554</v>
      </c>
      <c r="S18">
        <v>45271</v>
      </c>
      <c r="T18">
        <v>45655</v>
      </c>
    </row>
    <row r="19" spans="1:20" x14ac:dyDescent="0.35">
      <c r="A19" s="7" t="s">
        <v>73</v>
      </c>
      <c r="B19" s="12" t="s">
        <v>72</v>
      </c>
      <c r="C19">
        <v>29747717.756940648</v>
      </c>
      <c r="D19">
        <v>29762200.662052568</v>
      </c>
      <c r="G19">
        <v>3</v>
      </c>
      <c r="H19">
        <v>2</v>
      </c>
      <c r="K19">
        <v>4</v>
      </c>
      <c r="L19">
        <v>3</v>
      </c>
      <c r="N19">
        <v>2387387.3873873861</v>
      </c>
      <c r="O19">
        <v>4227972.9729729732</v>
      </c>
      <c r="P19">
        <v>4051153.1531531531</v>
      </c>
      <c r="Q19">
        <v>371171.17117117101</v>
      </c>
      <c r="R19">
        <v>1018918.9189189191</v>
      </c>
      <c r="S19">
        <v>3653</v>
      </c>
      <c r="T19">
        <v>3677</v>
      </c>
    </row>
    <row r="20" spans="1:20" x14ac:dyDescent="0.35">
      <c r="A20" s="7" t="s">
        <v>74</v>
      </c>
      <c r="B20" s="12" t="s">
        <v>70</v>
      </c>
      <c r="C20">
        <v>30022055.933045495</v>
      </c>
      <c r="D20">
        <v>31219463.863359738</v>
      </c>
      <c r="E20">
        <v>118558.558558559</v>
      </c>
      <c r="F20">
        <v>878378.37837838405</v>
      </c>
      <c r="G20">
        <v>4</v>
      </c>
      <c r="H20">
        <v>7</v>
      </c>
      <c r="K20">
        <v>5</v>
      </c>
      <c r="L20">
        <v>8</v>
      </c>
      <c r="M20">
        <v>7430270.270270274</v>
      </c>
      <c r="N20">
        <v>3127027.0270270319</v>
      </c>
      <c r="O20">
        <v>10393288.288288288</v>
      </c>
      <c r="P20">
        <v>11116738.73873874</v>
      </c>
      <c r="Q20">
        <v>7039189.189189191</v>
      </c>
      <c r="R20">
        <v>3497477.4774774811</v>
      </c>
      <c r="S20">
        <v>4299</v>
      </c>
      <c r="T20">
        <v>4358</v>
      </c>
    </row>
    <row r="21" spans="1:20" x14ac:dyDescent="0.35">
      <c r="A21" s="7" t="s">
        <v>75</v>
      </c>
      <c r="B21" s="12" t="s">
        <v>76</v>
      </c>
      <c r="C21">
        <v>9826656.3886953406</v>
      </c>
      <c r="D21">
        <v>8308521.2834288971</v>
      </c>
      <c r="E21">
        <v>2702.7027027029999</v>
      </c>
      <c r="F21">
        <v>13513.513513514001</v>
      </c>
      <c r="G21">
        <v>3</v>
      </c>
      <c r="K21">
        <v>3</v>
      </c>
      <c r="M21">
        <v>1173873.8738738729</v>
      </c>
      <c r="N21">
        <v>13513.513513514001</v>
      </c>
      <c r="O21">
        <v>2656801.8018018021</v>
      </c>
      <c r="P21">
        <v>1881225.225225226</v>
      </c>
      <c r="Q21">
        <v>1144864.8648648651</v>
      </c>
      <c r="R21">
        <v>359099.099099099</v>
      </c>
      <c r="S21">
        <v>1493</v>
      </c>
      <c r="T21">
        <v>1424</v>
      </c>
    </row>
    <row r="22" spans="1:20" x14ac:dyDescent="0.35">
      <c r="A22" s="7" t="s">
        <v>77</v>
      </c>
      <c r="B22" s="12" t="s">
        <v>78</v>
      </c>
      <c r="C22">
        <v>20162132.600891825</v>
      </c>
      <c r="D22">
        <v>19034938.807224412</v>
      </c>
      <c r="E22">
        <v>71261.261261262</v>
      </c>
      <c r="F22">
        <v>148648.64864865001</v>
      </c>
      <c r="G22">
        <v>4</v>
      </c>
      <c r="H22">
        <v>4</v>
      </c>
      <c r="K22">
        <v>7</v>
      </c>
      <c r="L22">
        <v>5</v>
      </c>
      <c r="M22">
        <v>2656846.8468468459</v>
      </c>
      <c r="N22">
        <v>1364864.864864866</v>
      </c>
      <c r="O22">
        <v>5755225.225225226</v>
      </c>
      <c r="P22">
        <v>6073945.9459459456</v>
      </c>
      <c r="Q22">
        <v>2113243.243243244</v>
      </c>
      <c r="R22">
        <v>2054144.144144143</v>
      </c>
      <c r="S22">
        <v>2500</v>
      </c>
      <c r="T22">
        <v>2412</v>
      </c>
    </row>
    <row r="23" spans="1:20" x14ac:dyDescent="0.35">
      <c r="A23" s="7" t="s">
        <v>79</v>
      </c>
      <c r="B23" s="12" t="s">
        <v>80</v>
      </c>
      <c r="C23">
        <v>173013938.40631625</v>
      </c>
      <c r="D23">
        <v>169200999.24773017</v>
      </c>
      <c r="E23">
        <v>351801.80180180498</v>
      </c>
      <c r="F23">
        <v>972972.97297298105</v>
      </c>
      <c r="G23">
        <v>40</v>
      </c>
      <c r="H23">
        <v>36</v>
      </c>
      <c r="I23">
        <v>2</v>
      </c>
      <c r="K23">
        <v>64</v>
      </c>
      <c r="L23">
        <v>54</v>
      </c>
      <c r="M23">
        <v>156398468.46846846</v>
      </c>
      <c r="N23">
        <v>14647747.747747749</v>
      </c>
      <c r="O23">
        <v>44036626.126126125</v>
      </c>
      <c r="P23">
        <v>42935774.774774775</v>
      </c>
      <c r="Q23">
        <v>16261711.711711712</v>
      </c>
      <c r="R23">
        <v>13728648.648648651</v>
      </c>
      <c r="S23">
        <v>26356</v>
      </c>
      <c r="T23">
        <v>26765</v>
      </c>
    </row>
    <row r="24" spans="1:20" x14ac:dyDescent="0.35">
      <c r="A24" s="7" t="s">
        <v>81</v>
      </c>
      <c r="B24" s="12" t="s">
        <v>54</v>
      </c>
      <c r="C24">
        <v>5200976.3853427768</v>
      </c>
      <c r="D24">
        <v>5429280.6388975959</v>
      </c>
      <c r="E24">
        <v>3603.603603604</v>
      </c>
      <c r="F24">
        <v>49549.54954955</v>
      </c>
      <c r="G24">
        <v>1</v>
      </c>
      <c r="H24">
        <v>1</v>
      </c>
      <c r="K24">
        <v>3</v>
      </c>
      <c r="L24">
        <v>1</v>
      </c>
      <c r="M24">
        <v>580630.63063062995</v>
      </c>
      <c r="N24">
        <v>49549.54954955</v>
      </c>
      <c r="O24">
        <v>1069369.3693693699</v>
      </c>
      <c r="P24">
        <v>1392738.7387387389</v>
      </c>
      <c r="Q24">
        <v>327747.74774774798</v>
      </c>
      <c r="R24">
        <v>337027.02702702698</v>
      </c>
      <c r="S24">
        <v>1321</v>
      </c>
      <c r="T24">
        <v>1573</v>
      </c>
    </row>
    <row r="25" spans="1:20" x14ac:dyDescent="0.35">
      <c r="A25" s="7" t="s">
        <v>82</v>
      </c>
      <c r="B25" s="12" t="s">
        <v>83</v>
      </c>
      <c r="C25">
        <v>130680638.3431257</v>
      </c>
      <c r="D25">
        <v>130575577.11188807</v>
      </c>
      <c r="E25">
        <v>806396.39639639703</v>
      </c>
      <c r="F25">
        <v>968468.46846847399</v>
      </c>
      <c r="G25">
        <v>21</v>
      </c>
      <c r="H25">
        <v>22</v>
      </c>
      <c r="K25">
        <v>25</v>
      </c>
      <c r="L25">
        <v>26</v>
      </c>
      <c r="M25">
        <v>21372162.162162159</v>
      </c>
      <c r="N25">
        <v>52199099.099099107</v>
      </c>
      <c r="O25">
        <v>34413288.288288288</v>
      </c>
      <c r="P25">
        <v>33300234.234234236</v>
      </c>
      <c r="Q25">
        <v>15903963.963963963</v>
      </c>
      <c r="R25">
        <v>13257117.117117116</v>
      </c>
      <c r="S25">
        <v>15104</v>
      </c>
      <c r="T25">
        <v>15100</v>
      </c>
    </row>
    <row r="26" spans="1:20" x14ac:dyDescent="0.35">
      <c r="A26" s="7" t="s">
        <v>84</v>
      </c>
      <c r="B26" s="12" t="s">
        <v>85</v>
      </c>
      <c r="C26">
        <v>11993627.106854863</v>
      </c>
      <c r="D26">
        <v>12954022.913349472</v>
      </c>
      <c r="E26">
        <v>60874872.072072074</v>
      </c>
      <c r="F26">
        <v>29976990.990990993</v>
      </c>
      <c r="G26">
        <v>4</v>
      </c>
      <c r="H26">
        <v>3</v>
      </c>
      <c r="K26">
        <v>7</v>
      </c>
      <c r="L26">
        <v>4</v>
      </c>
      <c r="M26">
        <v>16922072.072072074</v>
      </c>
      <c r="N26">
        <v>707207.20720721001</v>
      </c>
      <c r="O26">
        <v>3706441.4414414419</v>
      </c>
      <c r="P26">
        <v>3857522.5225225221</v>
      </c>
      <c r="Q26">
        <v>9901171.1711711716</v>
      </c>
      <c r="R26">
        <v>1550990.990990991</v>
      </c>
      <c r="S26">
        <v>2274</v>
      </c>
      <c r="T26">
        <v>2199</v>
      </c>
    </row>
    <row r="27" spans="1:20" x14ac:dyDescent="0.35">
      <c r="A27" s="7" t="s">
        <v>86</v>
      </c>
      <c r="B27" s="12" t="s">
        <v>87</v>
      </c>
      <c r="C27">
        <v>507020.716587061</v>
      </c>
      <c r="D27">
        <v>415443.91940560198</v>
      </c>
      <c r="G27">
        <v>1</v>
      </c>
      <c r="K27">
        <v>2</v>
      </c>
      <c r="O27">
        <v>217027.02702702701</v>
      </c>
      <c r="P27">
        <v>343828.82882882899</v>
      </c>
      <c r="S27">
        <v>174</v>
      </c>
      <c r="T27">
        <v>163</v>
      </c>
    </row>
    <row r="28" spans="1:20" x14ac:dyDescent="0.35">
      <c r="A28" s="7" t="s">
        <v>88</v>
      </c>
      <c r="B28" s="12" t="s">
        <v>89</v>
      </c>
      <c r="C28">
        <v>26268702.273734912</v>
      </c>
      <c r="D28">
        <v>26066300.455598075</v>
      </c>
      <c r="E28">
        <v>900.900900901</v>
      </c>
      <c r="F28">
        <v>27027.027027028002</v>
      </c>
      <c r="G28">
        <v>4</v>
      </c>
      <c r="H28">
        <v>3</v>
      </c>
      <c r="K28">
        <v>5</v>
      </c>
      <c r="L28">
        <v>6</v>
      </c>
      <c r="M28">
        <v>3790810.81081081</v>
      </c>
      <c r="N28">
        <v>778738.738738738</v>
      </c>
      <c r="O28">
        <v>8808963.9639639631</v>
      </c>
      <c r="P28">
        <v>8642684.6846846845</v>
      </c>
      <c r="Q28">
        <v>1378648.6486486499</v>
      </c>
      <c r="R28">
        <v>2019279.279279277</v>
      </c>
      <c r="S28">
        <v>3380</v>
      </c>
      <c r="T28">
        <v>3433</v>
      </c>
    </row>
    <row r="29" spans="1:20" x14ac:dyDescent="0.35">
      <c r="A29" s="7" t="s">
        <v>90</v>
      </c>
      <c r="B29" s="12" t="s">
        <v>60</v>
      </c>
      <c r="C29">
        <v>8369753.1766534876</v>
      </c>
      <c r="D29">
        <v>9381270.9483536705</v>
      </c>
      <c r="G29">
        <v>2</v>
      </c>
      <c r="H29">
        <v>1</v>
      </c>
      <c r="K29">
        <v>4</v>
      </c>
      <c r="L29">
        <v>35</v>
      </c>
      <c r="M29">
        <v>630630.63063062995</v>
      </c>
      <c r="N29">
        <v>864864.86486486404</v>
      </c>
      <c r="O29">
        <v>4681306.3063063063</v>
      </c>
      <c r="P29">
        <v>5314198.1981981983</v>
      </c>
      <c r="Q29">
        <v>387387.38738738798</v>
      </c>
      <c r="R29">
        <v>473423.42342342302</v>
      </c>
      <c r="S29">
        <v>1586</v>
      </c>
      <c r="T29">
        <v>1825</v>
      </c>
    </row>
    <row r="30" spans="1:20" x14ac:dyDescent="0.35">
      <c r="A30" s="7" t="s">
        <v>91</v>
      </c>
      <c r="B30" s="12" t="s">
        <v>92</v>
      </c>
      <c r="C30">
        <v>7484155.6634267112</v>
      </c>
      <c r="D30">
        <v>7638857.2585674431</v>
      </c>
      <c r="F30">
        <v>256756.756756758</v>
      </c>
      <c r="H30">
        <v>2</v>
      </c>
      <c r="K30">
        <v>1</v>
      </c>
      <c r="L30">
        <v>2</v>
      </c>
      <c r="N30">
        <v>310810.81081081199</v>
      </c>
      <c r="O30">
        <v>2185315.315315315</v>
      </c>
      <c r="P30">
        <v>2405243.2432432431</v>
      </c>
      <c r="R30">
        <v>873873.87387387303</v>
      </c>
      <c r="S30">
        <v>1054</v>
      </c>
      <c r="T30">
        <v>1076</v>
      </c>
    </row>
    <row r="31" spans="1:20" x14ac:dyDescent="0.35">
      <c r="A31" s="7" t="s">
        <v>93</v>
      </c>
      <c r="B31" s="12" t="s">
        <v>94</v>
      </c>
      <c r="C31">
        <v>33587794.486822888</v>
      </c>
      <c r="D31">
        <v>31950205.399586603</v>
      </c>
      <c r="E31">
        <v>1801.801801802</v>
      </c>
      <c r="F31">
        <v>13513.513513514001</v>
      </c>
      <c r="G31">
        <v>2</v>
      </c>
      <c r="H31">
        <v>2</v>
      </c>
      <c r="K31">
        <v>2</v>
      </c>
      <c r="L31">
        <v>3</v>
      </c>
      <c r="M31">
        <v>1353153.1531531529</v>
      </c>
      <c r="N31">
        <v>5468468.4684684677</v>
      </c>
      <c r="O31">
        <v>4980045.0450450452</v>
      </c>
      <c r="P31">
        <v>5145639.6396396402</v>
      </c>
      <c r="Q31">
        <v>3046666.666666666</v>
      </c>
      <c r="R31">
        <v>4049729.7297297311</v>
      </c>
      <c r="S31">
        <v>4475</v>
      </c>
      <c r="T31">
        <v>4424</v>
      </c>
    </row>
    <row r="32" spans="1:20" x14ac:dyDescent="0.35">
      <c r="A32" s="7" t="s">
        <v>95</v>
      </c>
      <c r="B32" s="12" t="s">
        <v>96</v>
      </c>
      <c r="C32">
        <v>33076831.557445068</v>
      </c>
      <c r="D32">
        <v>33301618.13210737</v>
      </c>
      <c r="E32">
        <v>19099412.612612616</v>
      </c>
      <c r="F32">
        <v>21165636.936936937</v>
      </c>
      <c r="G32">
        <v>9</v>
      </c>
      <c r="H32">
        <v>9</v>
      </c>
      <c r="K32">
        <v>9</v>
      </c>
      <c r="L32">
        <v>9</v>
      </c>
      <c r="M32">
        <v>3322297.297297298</v>
      </c>
      <c r="N32">
        <v>9346396.3963963948</v>
      </c>
      <c r="O32">
        <v>14291387.387387387</v>
      </c>
      <c r="P32">
        <v>15782891.891891891</v>
      </c>
      <c r="Q32">
        <v>4075135.1351351361</v>
      </c>
      <c r="R32">
        <v>4377567.5675675673</v>
      </c>
      <c r="S32">
        <v>5893</v>
      </c>
      <c r="T32">
        <v>6006</v>
      </c>
    </row>
    <row r="33" spans="1:20" x14ac:dyDescent="0.35">
      <c r="A33" s="7" t="s">
        <v>97</v>
      </c>
      <c r="B33" s="12" t="s">
        <v>98</v>
      </c>
      <c r="C33">
        <v>126166648.35987723</v>
      </c>
      <c r="D33">
        <v>128082611.07795461</v>
      </c>
      <c r="E33">
        <v>728918.91891892103</v>
      </c>
      <c r="F33">
        <v>504504.50450450799</v>
      </c>
      <c r="G33">
        <v>54</v>
      </c>
      <c r="H33">
        <v>36</v>
      </c>
      <c r="K33">
        <v>68</v>
      </c>
      <c r="L33">
        <v>50</v>
      </c>
      <c r="M33">
        <v>13221171.171171168</v>
      </c>
      <c r="N33">
        <v>15788558.558558557</v>
      </c>
      <c r="O33">
        <v>30600720.72072072</v>
      </c>
      <c r="P33">
        <v>31374423.423423424</v>
      </c>
      <c r="Q33">
        <v>12070540.540540541</v>
      </c>
      <c r="R33">
        <v>14853243.243243244</v>
      </c>
      <c r="S33">
        <v>22528</v>
      </c>
      <c r="T33">
        <v>22416</v>
      </c>
    </row>
    <row r="34" spans="1:20" x14ac:dyDescent="0.35">
      <c r="A34" s="7" t="s">
        <v>99</v>
      </c>
      <c r="B34" s="12" t="s">
        <v>98</v>
      </c>
      <c r="C34">
        <v>208047520.95923147</v>
      </c>
      <c r="D34">
        <v>206769216.38194934</v>
      </c>
      <c r="E34">
        <v>105174.77477477799</v>
      </c>
      <c r="F34">
        <v>737356.75675675902</v>
      </c>
      <c r="G34">
        <v>53</v>
      </c>
      <c r="H34">
        <v>49</v>
      </c>
      <c r="K34">
        <v>74</v>
      </c>
      <c r="L34">
        <v>77</v>
      </c>
      <c r="M34">
        <v>9556306.3063063044</v>
      </c>
      <c r="N34">
        <v>9090090.0900900904</v>
      </c>
      <c r="O34">
        <v>38133662.162162162</v>
      </c>
      <c r="P34">
        <v>40230360.360360362</v>
      </c>
      <c r="Q34">
        <v>9768648.6486486476</v>
      </c>
      <c r="R34">
        <v>7845045.0450450433</v>
      </c>
      <c r="S34">
        <v>28241</v>
      </c>
      <c r="T34">
        <v>27907</v>
      </c>
    </row>
    <row r="35" spans="1:20" x14ac:dyDescent="0.35">
      <c r="A35" s="7" t="s">
        <v>100</v>
      </c>
      <c r="B35" s="12" t="s">
        <v>98</v>
      </c>
      <c r="C35">
        <v>199504903.25235009</v>
      </c>
      <c r="D35">
        <v>201911336.41265073</v>
      </c>
      <c r="E35">
        <v>89189.189189191005</v>
      </c>
      <c r="F35">
        <v>2643243.2432432501</v>
      </c>
      <c r="G35">
        <v>36</v>
      </c>
      <c r="H35">
        <v>39</v>
      </c>
      <c r="K35">
        <v>125</v>
      </c>
      <c r="L35">
        <v>65</v>
      </c>
      <c r="M35">
        <v>12475090.090090087</v>
      </c>
      <c r="N35">
        <v>21993243.243243244</v>
      </c>
      <c r="O35">
        <v>37433574.774774775</v>
      </c>
      <c r="P35">
        <v>42456054.054054059</v>
      </c>
      <c r="Q35">
        <v>11626754.954954952</v>
      </c>
      <c r="R35">
        <v>19800000.000000004</v>
      </c>
      <c r="S35">
        <v>33306</v>
      </c>
      <c r="T35">
        <v>32828</v>
      </c>
    </row>
    <row r="36" spans="1:20" x14ac:dyDescent="0.35">
      <c r="A36" s="7" t="s">
        <v>101</v>
      </c>
      <c r="B36" s="12" t="s">
        <v>98</v>
      </c>
      <c r="C36">
        <v>117915541.71496372</v>
      </c>
      <c r="D36">
        <v>119658062.15906109</v>
      </c>
      <c r="E36">
        <v>49549.54954955</v>
      </c>
      <c r="F36">
        <v>364864.86486486602</v>
      </c>
      <c r="G36">
        <v>31</v>
      </c>
      <c r="H36">
        <v>32</v>
      </c>
      <c r="K36">
        <v>40</v>
      </c>
      <c r="L36">
        <v>46</v>
      </c>
      <c r="M36">
        <v>9327612.6126126125</v>
      </c>
      <c r="N36">
        <v>8015990.9909909908</v>
      </c>
      <c r="O36">
        <v>23406927.927927926</v>
      </c>
      <c r="P36">
        <v>27526792.792792797</v>
      </c>
      <c r="Q36">
        <v>7544864.8648648644</v>
      </c>
      <c r="R36">
        <v>7567207.2072072094</v>
      </c>
      <c r="S36">
        <v>21386</v>
      </c>
      <c r="T36">
        <v>21732</v>
      </c>
    </row>
    <row r="37" spans="1:20" x14ac:dyDescent="0.35">
      <c r="A37" s="7" t="s">
        <v>102</v>
      </c>
      <c r="B37" s="12" t="s">
        <v>98</v>
      </c>
      <c r="C37">
        <v>130844205.88698535</v>
      </c>
      <c r="D37">
        <v>134842253.69690752</v>
      </c>
      <c r="E37">
        <v>610000.00000000105</v>
      </c>
      <c r="F37">
        <v>1689189.189189194</v>
      </c>
      <c r="G37">
        <v>15</v>
      </c>
      <c r="H37">
        <v>22</v>
      </c>
      <c r="K37">
        <v>21</v>
      </c>
      <c r="L37">
        <v>35</v>
      </c>
      <c r="M37">
        <v>36506756.756756753</v>
      </c>
      <c r="N37">
        <v>12265765.765765768</v>
      </c>
      <c r="O37">
        <v>35207504.504504502</v>
      </c>
      <c r="P37">
        <v>39109585.585585587</v>
      </c>
      <c r="Q37">
        <v>10020720.720720716</v>
      </c>
      <c r="R37">
        <v>12580990.990990991</v>
      </c>
      <c r="S37">
        <v>24976</v>
      </c>
      <c r="T37">
        <v>25156</v>
      </c>
    </row>
    <row r="38" spans="1:20" x14ac:dyDescent="0.35">
      <c r="A38" s="7" t="s">
        <v>103</v>
      </c>
      <c r="B38" s="12" t="s">
        <v>98</v>
      </c>
      <c r="C38">
        <v>343929844.96926391</v>
      </c>
      <c r="D38">
        <v>348172174.26883942</v>
      </c>
      <c r="E38">
        <v>443521258.55855858</v>
      </c>
      <c r="F38">
        <v>180274545.94594595</v>
      </c>
      <c r="G38">
        <v>83</v>
      </c>
      <c r="H38">
        <v>78</v>
      </c>
      <c r="I38">
        <v>1</v>
      </c>
      <c r="K38">
        <v>114</v>
      </c>
      <c r="L38">
        <v>123</v>
      </c>
      <c r="M38">
        <v>24785045.045045041</v>
      </c>
      <c r="N38">
        <v>26199099.0990991</v>
      </c>
      <c r="O38">
        <v>68569711.711711705</v>
      </c>
      <c r="P38">
        <v>73962945.945945948</v>
      </c>
      <c r="Q38">
        <v>22575945.945945945</v>
      </c>
      <c r="R38">
        <v>32740360.360360365</v>
      </c>
      <c r="S38">
        <v>55311</v>
      </c>
      <c r="T38">
        <v>56640</v>
      </c>
    </row>
    <row r="39" spans="1:20" x14ac:dyDescent="0.35">
      <c r="A39" s="7" t="s">
        <v>104</v>
      </c>
      <c r="B39" s="12" t="s">
        <v>105</v>
      </c>
      <c r="C39">
        <v>25712755.706181087</v>
      </c>
      <c r="D39">
        <v>22934224.881236237</v>
      </c>
      <c r="E39">
        <v>51351.351351350997</v>
      </c>
      <c r="F39">
        <v>337837.83783783799</v>
      </c>
      <c r="G39">
        <v>5</v>
      </c>
      <c r="H39">
        <v>6</v>
      </c>
      <c r="K39">
        <v>5</v>
      </c>
      <c r="L39">
        <v>7</v>
      </c>
      <c r="M39">
        <v>893693.69369369303</v>
      </c>
      <c r="N39">
        <v>337837.83783783799</v>
      </c>
      <c r="O39">
        <v>4446621.6216216218</v>
      </c>
      <c r="P39">
        <v>4622342.3423423423</v>
      </c>
      <c r="Q39">
        <v>722432.43243243301</v>
      </c>
      <c r="R39">
        <v>65315.315315316002</v>
      </c>
      <c r="S39">
        <v>2511</v>
      </c>
      <c r="T39">
        <v>2480</v>
      </c>
    </row>
    <row r="40" spans="1:20" x14ac:dyDescent="0.35">
      <c r="A40" s="7" t="s">
        <v>106</v>
      </c>
      <c r="B40" s="12" t="s">
        <v>54</v>
      </c>
      <c r="C40">
        <v>7807343.16674022</v>
      </c>
      <c r="D40">
        <v>7811363.9677213654</v>
      </c>
      <c r="E40">
        <v>2702.7027027029999</v>
      </c>
      <c r="G40">
        <v>1</v>
      </c>
      <c r="K40">
        <v>2</v>
      </c>
      <c r="M40">
        <v>408108.10810810799</v>
      </c>
      <c r="O40">
        <v>1837657.657657658</v>
      </c>
      <c r="P40">
        <v>2009765.7657657659</v>
      </c>
      <c r="Q40">
        <v>640450.450450451</v>
      </c>
      <c r="R40">
        <v>159459.45945945999</v>
      </c>
      <c r="S40">
        <v>1379</v>
      </c>
      <c r="T40">
        <v>1359</v>
      </c>
    </row>
    <row r="41" spans="1:20" x14ac:dyDescent="0.35">
      <c r="A41" s="7" t="s">
        <v>107</v>
      </c>
      <c r="B41" s="12" t="s">
        <v>108</v>
      </c>
      <c r="C41">
        <v>65781770.868975736</v>
      </c>
      <c r="D41">
        <v>67068523.154172137</v>
      </c>
      <c r="E41">
        <v>53333.333333335999</v>
      </c>
      <c r="F41">
        <v>463963.96396396402</v>
      </c>
      <c r="G41">
        <v>12</v>
      </c>
      <c r="H41">
        <v>15</v>
      </c>
      <c r="K41">
        <v>25</v>
      </c>
      <c r="L41">
        <v>23</v>
      </c>
      <c r="M41">
        <v>7485765.7657657666</v>
      </c>
      <c r="N41">
        <v>7220720.7207207214</v>
      </c>
      <c r="O41">
        <v>14084369.369369367</v>
      </c>
      <c r="P41">
        <v>15332396.396396397</v>
      </c>
      <c r="Q41">
        <v>5333693.6936936956</v>
      </c>
      <c r="R41">
        <v>6525495.4954954954</v>
      </c>
      <c r="S41">
        <v>9849</v>
      </c>
      <c r="T41">
        <v>9005</v>
      </c>
    </row>
    <row r="42" spans="1:20" x14ac:dyDescent="0.35">
      <c r="A42" s="7" t="s">
        <v>109</v>
      </c>
      <c r="B42" s="12" t="s">
        <v>108</v>
      </c>
      <c r="C42">
        <v>89077252.342680573</v>
      </c>
      <c r="D42">
        <v>95574050.682307556</v>
      </c>
      <c r="E42">
        <v>447297.29729729798</v>
      </c>
      <c r="F42">
        <v>400900.900900907</v>
      </c>
      <c r="G42">
        <v>14</v>
      </c>
      <c r="H42">
        <v>23</v>
      </c>
      <c r="K42">
        <v>26</v>
      </c>
      <c r="L42">
        <v>46</v>
      </c>
      <c r="M42">
        <v>5627477.4774774741</v>
      </c>
      <c r="N42">
        <v>5202702.7027027048</v>
      </c>
      <c r="O42">
        <v>22732725.225225229</v>
      </c>
      <c r="P42">
        <v>27200855.855855856</v>
      </c>
      <c r="Q42">
        <v>5681621.6216216227</v>
      </c>
      <c r="R42">
        <v>10257837.837837839</v>
      </c>
      <c r="S42">
        <v>13424</v>
      </c>
      <c r="T42">
        <v>14306</v>
      </c>
    </row>
    <row r="43" spans="1:20" x14ac:dyDescent="0.35">
      <c r="A43" s="7" t="s">
        <v>110</v>
      </c>
      <c r="B43" s="12" t="s">
        <v>111</v>
      </c>
      <c r="C43">
        <v>110426709.24647652</v>
      </c>
      <c r="D43">
        <v>104588230.89342797</v>
      </c>
      <c r="E43">
        <v>831621.62162162305</v>
      </c>
      <c r="F43">
        <v>1139639.6396396409</v>
      </c>
      <c r="G43">
        <v>15</v>
      </c>
      <c r="H43">
        <v>25</v>
      </c>
      <c r="K43">
        <v>22</v>
      </c>
      <c r="L43">
        <v>53</v>
      </c>
      <c r="M43">
        <v>9176666.6666666642</v>
      </c>
      <c r="N43">
        <v>8925069.3693693671</v>
      </c>
      <c r="O43">
        <v>34965306.30630631</v>
      </c>
      <c r="P43">
        <v>35163351.351351351</v>
      </c>
      <c r="Q43">
        <v>10582432.432432432</v>
      </c>
      <c r="R43">
        <v>8997927.9279279243</v>
      </c>
      <c r="S43">
        <v>19720</v>
      </c>
      <c r="T43">
        <v>19433</v>
      </c>
    </row>
    <row r="44" spans="1:20" x14ac:dyDescent="0.35">
      <c r="A44" s="7" t="s">
        <v>112</v>
      </c>
      <c r="B44" s="12" t="s">
        <v>111</v>
      </c>
      <c r="C44">
        <v>134000507.54610199</v>
      </c>
      <c r="D44">
        <v>138230988.10237363</v>
      </c>
      <c r="E44">
        <v>1936396.396396399</v>
      </c>
      <c r="F44">
        <v>2968468.468468477</v>
      </c>
      <c r="G44">
        <v>22</v>
      </c>
      <c r="H44">
        <v>63</v>
      </c>
      <c r="K44">
        <v>37</v>
      </c>
      <c r="L44">
        <v>88</v>
      </c>
      <c r="M44">
        <v>12641351.351351349</v>
      </c>
      <c r="N44">
        <v>17826318.918918923</v>
      </c>
      <c r="O44">
        <v>43029666.666666672</v>
      </c>
      <c r="P44">
        <v>50995297.297297299</v>
      </c>
      <c r="Q44">
        <v>9844864.8648648635</v>
      </c>
      <c r="R44">
        <v>16988198.198198199</v>
      </c>
      <c r="S44">
        <v>27172</v>
      </c>
      <c r="T44">
        <v>27427</v>
      </c>
    </row>
    <row r="45" spans="1:20" x14ac:dyDescent="0.35">
      <c r="A45" s="7" t="s">
        <v>113</v>
      </c>
      <c r="B45" s="12" t="s">
        <v>111</v>
      </c>
      <c r="C45">
        <v>94920691.303278625</v>
      </c>
      <c r="D45">
        <v>93966257.58130157</v>
      </c>
      <c r="E45">
        <v>256756.75675675899</v>
      </c>
      <c r="F45">
        <v>545045.04504505103</v>
      </c>
      <c r="G45">
        <v>26</v>
      </c>
      <c r="H45">
        <v>20</v>
      </c>
      <c r="I45">
        <v>1</v>
      </c>
      <c r="K45">
        <v>37</v>
      </c>
      <c r="L45">
        <v>43</v>
      </c>
      <c r="M45">
        <v>6569909.9099099133</v>
      </c>
      <c r="N45">
        <v>10829476.576576579</v>
      </c>
      <c r="O45">
        <v>29035666.666666668</v>
      </c>
      <c r="P45">
        <v>30816520.72072072</v>
      </c>
      <c r="Q45">
        <v>4772792.7927927943</v>
      </c>
      <c r="R45">
        <v>12755855.855855856</v>
      </c>
      <c r="S45">
        <v>14135</v>
      </c>
      <c r="T45">
        <v>14497</v>
      </c>
    </row>
    <row r="46" spans="1:20" x14ac:dyDescent="0.35">
      <c r="A46" s="7" t="s">
        <v>114</v>
      </c>
      <c r="B46" s="12" t="s">
        <v>111</v>
      </c>
      <c r="C46">
        <v>108618251.7253647</v>
      </c>
      <c r="D46">
        <v>109176158.88129251</v>
      </c>
      <c r="E46">
        <v>339189.18918918999</v>
      </c>
      <c r="F46">
        <v>1405405.405405415</v>
      </c>
      <c r="G46">
        <v>19</v>
      </c>
      <c r="H46">
        <v>28</v>
      </c>
      <c r="I46">
        <v>1</v>
      </c>
      <c r="K46">
        <v>39</v>
      </c>
      <c r="L46">
        <v>53</v>
      </c>
      <c r="M46">
        <v>10603153.153153149</v>
      </c>
      <c r="N46">
        <v>7848648.6486486522</v>
      </c>
      <c r="O46">
        <v>28767990.990990993</v>
      </c>
      <c r="P46">
        <v>30263342.342342339</v>
      </c>
      <c r="Q46">
        <v>7986756.7567567574</v>
      </c>
      <c r="R46">
        <v>6215585.5855855839</v>
      </c>
      <c r="S46">
        <v>20805</v>
      </c>
      <c r="T46">
        <v>20065</v>
      </c>
    </row>
    <row r="47" spans="1:20" x14ac:dyDescent="0.35">
      <c r="A47" s="7" t="s">
        <v>115</v>
      </c>
      <c r="B47" s="12" t="s">
        <v>111</v>
      </c>
      <c r="C47">
        <v>139366649.71866405</v>
      </c>
      <c r="D47">
        <v>129407989.65427525</v>
      </c>
      <c r="E47">
        <v>1421005.405405405</v>
      </c>
      <c r="F47">
        <v>5077307.207207215</v>
      </c>
      <c r="G47">
        <v>59</v>
      </c>
      <c r="H47">
        <v>44</v>
      </c>
      <c r="K47">
        <v>80</v>
      </c>
      <c r="L47">
        <v>107</v>
      </c>
      <c r="M47">
        <v>12188828.828828812</v>
      </c>
      <c r="N47">
        <v>23209159.459459465</v>
      </c>
      <c r="O47">
        <v>32164954.954954959</v>
      </c>
      <c r="P47">
        <v>36789477.477477483</v>
      </c>
      <c r="Q47">
        <v>20007837.837837823</v>
      </c>
      <c r="R47">
        <v>33254234.234234236</v>
      </c>
      <c r="S47">
        <v>24080</v>
      </c>
      <c r="T47">
        <v>25794</v>
      </c>
    </row>
    <row r="48" spans="1:20" x14ac:dyDescent="0.35">
      <c r="A48" s="7" t="s">
        <v>116</v>
      </c>
      <c r="B48" s="12" t="s">
        <v>54</v>
      </c>
      <c r="C48">
        <v>7625655.283403568</v>
      </c>
      <c r="D48">
        <v>7105698.2433266621</v>
      </c>
      <c r="E48">
        <v>18918.918918920001</v>
      </c>
      <c r="F48">
        <v>103603.603603604</v>
      </c>
      <c r="M48">
        <v>829729.72972973005</v>
      </c>
      <c r="N48">
        <v>373873.87387387402</v>
      </c>
      <c r="O48">
        <v>1557027.027027027</v>
      </c>
      <c r="P48">
        <v>1532234.2342342341</v>
      </c>
      <c r="Q48">
        <v>708828.82882882899</v>
      </c>
      <c r="R48">
        <v>470180.18018018099</v>
      </c>
      <c r="S48">
        <v>1011</v>
      </c>
      <c r="T48">
        <v>979</v>
      </c>
    </row>
    <row r="49" spans="1:20" x14ac:dyDescent="0.35">
      <c r="A49" s="7" t="s">
        <v>118</v>
      </c>
      <c r="B49" s="12" t="s">
        <v>78</v>
      </c>
      <c r="C49">
        <v>64998548.412946947</v>
      </c>
      <c r="D49">
        <v>62707641.090692416</v>
      </c>
      <c r="E49">
        <v>28179543.243243247</v>
      </c>
      <c r="F49">
        <v>91276710.810810819</v>
      </c>
      <c r="G49">
        <v>13</v>
      </c>
      <c r="H49">
        <v>14</v>
      </c>
      <c r="K49">
        <v>23</v>
      </c>
      <c r="L49">
        <v>25</v>
      </c>
      <c r="M49">
        <v>9700630.6306306329</v>
      </c>
      <c r="N49">
        <v>25231981.981981985</v>
      </c>
      <c r="O49">
        <v>22544810.810810808</v>
      </c>
      <c r="P49">
        <v>25143153.153153151</v>
      </c>
      <c r="Q49">
        <v>9640270.2702702675</v>
      </c>
      <c r="R49">
        <v>23287117.117117122</v>
      </c>
      <c r="S49">
        <v>11955</v>
      </c>
      <c r="T49">
        <v>12459</v>
      </c>
    </row>
    <row r="50" spans="1:20" x14ac:dyDescent="0.35">
      <c r="A50" s="7" t="s">
        <v>119</v>
      </c>
      <c r="B50" s="12" t="s">
        <v>50</v>
      </c>
      <c r="C50">
        <v>20330933.280174728</v>
      </c>
      <c r="D50">
        <v>20105403.329069901</v>
      </c>
      <c r="E50">
        <v>1801.801801802</v>
      </c>
      <c r="F50">
        <v>279279.27927927999</v>
      </c>
      <c r="G50">
        <v>5</v>
      </c>
      <c r="H50">
        <v>4</v>
      </c>
      <c r="K50">
        <v>5</v>
      </c>
      <c r="L50">
        <v>5</v>
      </c>
      <c r="M50">
        <v>7381891.8918918949</v>
      </c>
      <c r="N50">
        <v>1900900.9009009011</v>
      </c>
      <c r="O50">
        <v>6518873.8738738736</v>
      </c>
      <c r="P50">
        <v>7298585.5855855858</v>
      </c>
      <c r="Q50">
        <v>6954684.6846846873</v>
      </c>
      <c r="R50">
        <v>2780000</v>
      </c>
      <c r="S50">
        <v>2461</v>
      </c>
      <c r="T50">
        <v>2458</v>
      </c>
    </row>
    <row r="51" spans="1:20" x14ac:dyDescent="0.35">
      <c r="A51" s="7" t="s">
        <v>120</v>
      </c>
      <c r="B51" s="12" t="s">
        <v>121</v>
      </c>
      <c r="C51">
        <v>76324057.300832912</v>
      </c>
      <c r="D51">
        <v>62122937.902389258</v>
      </c>
      <c r="E51">
        <v>157657.657657659</v>
      </c>
      <c r="F51">
        <v>463963.96396396798</v>
      </c>
      <c r="G51">
        <v>26</v>
      </c>
      <c r="H51">
        <v>18</v>
      </c>
      <c r="K51">
        <v>32</v>
      </c>
      <c r="L51">
        <v>31</v>
      </c>
      <c r="M51">
        <v>2022522.522522524</v>
      </c>
      <c r="N51">
        <v>1788288.2882882911</v>
      </c>
      <c r="O51">
        <v>5301018.0180180185</v>
      </c>
      <c r="P51">
        <v>5066720.7207207223</v>
      </c>
      <c r="Q51">
        <v>2288738.7387387389</v>
      </c>
      <c r="R51">
        <v>2116396.3963963971</v>
      </c>
      <c r="S51">
        <v>8081</v>
      </c>
      <c r="T51">
        <v>8071</v>
      </c>
    </row>
    <row r="52" spans="1:20" x14ac:dyDescent="0.35">
      <c r="A52" s="7" t="s">
        <v>122</v>
      </c>
      <c r="B52" s="12" t="s">
        <v>123</v>
      </c>
      <c r="C52">
        <v>31291876.615360308</v>
      </c>
      <c r="D52">
        <v>32956603.747668296</v>
      </c>
      <c r="E52">
        <v>173423.423423423</v>
      </c>
      <c r="F52">
        <v>54054.054054054999</v>
      </c>
      <c r="G52">
        <v>1</v>
      </c>
      <c r="H52">
        <v>3</v>
      </c>
      <c r="K52">
        <v>3</v>
      </c>
      <c r="L52">
        <v>3</v>
      </c>
      <c r="M52">
        <v>8103873.8738738736</v>
      </c>
      <c r="N52">
        <v>3500000.0000000009</v>
      </c>
      <c r="O52">
        <v>14223513.513513513</v>
      </c>
      <c r="P52">
        <v>13518603.603603603</v>
      </c>
      <c r="Q52">
        <v>6485855.8558558561</v>
      </c>
      <c r="R52">
        <v>4156576.5765765752</v>
      </c>
      <c r="S52">
        <v>4504</v>
      </c>
      <c r="T52">
        <v>4529</v>
      </c>
    </row>
    <row r="53" spans="1:20" x14ac:dyDescent="0.35">
      <c r="A53" s="7" t="s">
        <v>124</v>
      </c>
      <c r="B53" s="12" t="s">
        <v>125</v>
      </c>
      <c r="C53">
        <v>46133097.447389483</v>
      </c>
      <c r="D53">
        <v>43316087.207941115</v>
      </c>
      <c r="E53">
        <v>42882.882882883001</v>
      </c>
      <c r="F53">
        <v>441441.44144144299</v>
      </c>
      <c r="G53">
        <v>6</v>
      </c>
      <c r="H53">
        <v>11</v>
      </c>
      <c r="K53">
        <v>6</v>
      </c>
      <c r="L53">
        <v>13</v>
      </c>
      <c r="M53">
        <v>28514054.054054055</v>
      </c>
      <c r="N53">
        <v>5419819.819819822</v>
      </c>
      <c r="O53">
        <v>13052387.387387387</v>
      </c>
      <c r="P53">
        <v>12724630.630630629</v>
      </c>
      <c r="Q53">
        <v>27196036.036036041</v>
      </c>
      <c r="R53">
        <v>5687700.9009009022</v>
      </c>
      <c r="S53">
        <v>6550</v>
      </c>
      <c r="T53">
        <v>6001</v>
      </c>
    </row>
    <row r="54" spans="1:20" x14ac:dyDescent="0.35">
      <c r="A54" s="7" t="s">
        <v>126</v>
      </c>
      <c r="B54" s="12" t="s">
        <v>78</v>
      </c>
      <c r="C54">
        <v>30945949.960898168</v>
      </c>
      <c r="D54">
        <v>29083036.837359861</v>
      </c>
      <c r="E54">
        <v>21351.351351352001</v>
      </c>
      <c r="F54">
        <v>324324.32432432502</v>
      </c>
      <c r="G54">
        <v>2</v>
      </c>
      <c r="H54">
        <v>6</v>
      </c>
      <c r="K54">
        <v>5</v>
      </c>
      <c r="L54">
        <v>6</v>
      </c>
      <c r="M54">
        <v>6651981.9819819797</v>
      </c>
      <c r="N54">
        <v>4468468.4684684686</v>
      </c>
      <c r="O54">
        <v>11147846.846846849</v>
      </c>
      <c r="P54">
        <v>11245072.072072072</v>
      </c>
      <c r="Q54">
        <v>4852072.0720720729</v>
      </c>
      <c r="R54">
        <v>4022882.882882881</v>
      </c>
      <c r="S54">
        <v>4987</v>
      </c>
      <c r="T54">
        <v>4899</v>
      </c>
    </row>
    <row r="55" spans="1:20" x14ac:dyDescent="0.35">
      <c r="A55" s="7" t="s">
        <v>127</v>
      </c>
      <c r="B55" s="12" t="s">
        <v>78</v>
      </c>
      <c r="C55">
        <v>5420757.4194871439</v>
      </c>
      <c r="D55">
        <v>4903215.3801499559</v>
      </c>
      <c r="E55">
        <v>7657.6576576580001</v>
      </c>
      <c r="F55">
        <v>27027.027027028002</v>
      </c>
      <c r="G55">
        <v>2</v>
      </c>
      <c r="K55">
        <v>2</v>
      </c>
      <c r="L55">
        <v>1</v>
      </c>
      <c r="M55">
        <v>1899549.549549548</v>
      </c>
      <c r="N55">
        <v>27027.027027028002</v>
      </c>
      <c r="O55">
        <v>2740630.630630631</v>
      </c>
      <c r="P55">
        <v>2528243.243243244</v>
      </c>
      <c r="Q55">
        <v>598198.19819819799</v>
      </c>
      <c r="R55">
        <v>920540.54054054001</v>
      </c>
      <c r="S55">
        <v>1261</v>
      </c>
      <c r="T55">
        <v>1121</v>
      </c>
    </row>
    <row r="56" spans="1:20" x14ac:dyDescent="0.35">
      <c r="A56" s="7" t="s">
        <v>128</v>
      </c>
      <c r="B56" s="12" t="s">
        <v>78</v>
      </c>
      <c r="C56">
        <v>29118250.768604584</v>
      </c>
      <c r="D56">
        <v>28540403.55400971</v>
      </c>
      <c r="E56">
        <v>199099.099099099</v>
      </c>
      <c r="F56">
        <v>234234.23423423601</v>
      </c>
      <c r="G56">
        <v>9</v>
      </c>
      <c r="H56">
        <v>8</v>
      </c>
      <c r="I56">
        <v>1</v>
      </c>
      <c r="K56">
        <v>12</v>
      </c>
      <c r="L56">
        <v>14</v>
      </c>
      <c r="M56">
        <v>4640540.5405405387</v>
      </c>
      <c r="N56">
        <v>1909909.909909911</v>
      </c>
      <c r="O56">
        <v>9822486.4864864871</v>
      </c>
      <c r="P56">
        <v>11841108.108108109</v>
      </c>
      <c r="Q56">
        <v>2939099.099099101</v>
      </c>
      <c r="R56">
        <v>3397207.2072072048</v>
      </c>
      <c r="S56">
        <v>5799</v>
      </c>
      <c r="T56">
        <v>5834</v>
      </c>
    </row>
    <row r="57" spans="1:20" x14ac:dyDescent="0.35">
      <c r="A57" s="7" t="s">
        <v>129</v>
      </c>
      <c r="B57" s="12" t="s">
        <v>85</v>
      </c>
      <c r="C57">
        <v>9226198.6618097518</v>
      </c>
      <c r="D57">
        <v>9324720.6426578294</v>
      </c>
      <c r="E57">
        <v>2702.7027027029999</v>
      </c>
      <c r="F57">
        <v>27027.027027027001</v>
      </c>
      <c r="G57">
        <v>1</v>
      </c>
      <c r="H57">
        <v>1</v>
      </c>
      <c r="K57">
        <v>1</v>
      </c>
      <c r="L57">
        <v>2</v>
      </c>
      <c r="M57">
        <v>633333.33333333302</v>
      </c>
      <c r="N57">
        <v>9036036.0360360369</v>
      </c>
      <c r="O57">
        <v>3637927.927927928</v>
      </c>
      <c r="P57">
        <v>4082387.387387387</v>
      </c>
      <c r="Q57">
        <v>524144.14414414403</v>
      </c>
      <c r="R57">
        <v>1641081.08108108</v>
      </c>
      <c r="S57">
        <v>1327</v>
      </c>
      <c r="T57">
        <v>1210</v>
      </c>
    </row>
    <row r="58" spans="1:20" x14ac:dyDescent="0.35">
      <c r="A58" s="7" t="s">
        <v>130</v>
      </c>
      <c r="B58" s="12" t="s">
        <v>89</v>
      </c>
      <c r="C58">
        <v>82577791.838074058</v>
      </c>
      <c r="D58">
        <v>77744126.187178239</v>
      </c>
      <c r="E58">
        <v>64864.864864864998</v>
      </c>
      <c r="F58">
        <v>315315.31531531899</v>
      </c>
      <c r="G58">
        <v>6</v>
      </c>
      <c r="H58">
        <v>9</v>
      </c>
      <c r="K58">
        <v>10</v>
      </c>
      <c r="L58">
        <v>12</v>
      </c>
      <c r="M58">
        <v>5591891.8918918911</v>
      </c>
      <c r="N58">
        <v>1819369.3693693711</v>
      </c>
      <c r="O58">
        <v>22947702.702702705</v>
      </c>
      <c r="P58">
        <v>23550747.747747745</v>
      </c>
      <c r="Q58">
        <v>4945405.4054054059</v>
      </c>
      <c r="R58">
        <v>3243603.6036036038</v>
      </c>
      <c r="S58">
        <v>10759</v>
      </c>
      <c r="T58">
        <v>10319</v>
      </c>
    </row>
    <row r="59" spans="1:20" x14ac:dyDescent="0.35">
      <c r="A59" s="7" t="s">
        <v>131</v>
      </c>
      <c r="B59" s="12" t="s">
        <v>132</v>
      </c>
      <c r="C59">
        <v>43070016.772889249</v>
      </c>
      <c r="D59">
        <v>39117287.17383115</v>
      </c>
      <c r="E59">
        <v>20807257.657657661</v>
      </c>
      <c r="F59">
        <v>674011.711711713</v>
      </c>
      <c r="G59">
        <v>11</v>
      </c>
      <c r="H59">
        <v>11</v>
      </c>
      <c r="K59">
        <v>16</v>
      </c>
      <c r="L59">
        <v>14</v>
      </c>
      <c r="M59">
        <v>5568243.2432432435</v>
      </c>
      <c r="N59">
        <v>1629954.954954956</v>
      </c>
      <c r="O59">
        <v>13257513.513513513</v>
      </c>
      <c r="P59">
        <v>11487738.73873874</v>
      </c>
      <c r="Q59">
        <v>2720000</v>
      </c>
      <c r="R59">
        <v>2023873.873873875</v>
      </c>
      <c r="S59">
        <v>6258</v>
      </c>
      <c r="T59">
        <v>7264</v>
      </c>
    </row>
    <row r="60" spans="1:20" x14ac:dyDescent="0.35">
      <c r="A60" s="7" t="s">
        <v>133</v>
      </c>
      <c r="B60" s="12" t="s">
        <v>134</v>
      </c>
      <c r="C60">
        <v>6483901.506716514</v>
      </c>
      <c r="D60">
        <v>2627910.5119984481</v>
      </c>
      <c r="O60">
        <v>867702.70270270202</v>
      </c>
      <c r="P60">
        <v>429459.45945945999</v>
      </c>
      <c r="S60">
        <v>2222</v>
      </c>
      <c r="T60">
        <v>2132</v>
      </c>
    </row>
    <row r="61" spans="1:20" x14ac:dyDescent="0.35">
      <c r="A61" s="7" t="s">
        <v>135</v>
      </c>
      <c r="B61" s="12" t="s">
        <v>136</v>
      </c>
      <c r="C61">
        <v>34458117.326185115</v>
      </c>
      <c r="D61">
        <v>34648314.907746956</v>
      </c>
      <c r="E61">
        <v>2702.7027027029999</v>
      </c>
      <c r="F61">
        <v>40540.540540540998</v>
      </c>
      <c r="G61">
        <v>7</v>
      </c>
      <c r="H61">
        <v>17</v>
      </c>
      <c r="K61">
        <v>7</v>
      </c>
      <c r="L61">
        <v>20</v>
      </c>
      <c r="M61">
        <v>1128828.8288288279</v>
      </c>
      <c r="N61">
        <v>941441.441441442</v>
      </c>
      <c r="O61">
        <v>5727252.2522522509</v>
      </c>
      <c r="P61">
        <v>4937918.9189189188</v>
      </c>
      <c r="Q61">
        <v>2646216.2162162168</v>
      </c>
      <c r="R61">
        <v>1973873.8738738729</v>
      </c>
      <c r="S61">
        <v>3464</v>
      </c>
      <c r="T61">
        <v>3536</v>
      </c>
    </row>
    <row r="62" spans="1:20" x14ac:dyDescent="0.35">
      <c r="A62" s="7" t="s">
        <v>137</v>
      </c>
      <c r="B62" s="12" t="s">
        <v>89</v>
      </c>
      <c r="C62">
        <v>41504049.479505934</v>
      </c>
      <c r="D62">
        <v>38819004.238523975</v>
      </c>
      <c r="E62">
        <v>25675.675675676001</v>
      </c>
      <c r="F62">
        <v>283783.78378378402</v>
      </c>
      <c r="G62">
        <v>6</v>
      </c>
      <c r="H62">
        <v>10</v>
      </c>
      <c r="I62">
        <v>1</v>
      </c>
      <c r="K62">
        <v>7</v>
      </c>
      <c r="L62">
        <v>17</v>
      </c>
      <c r="M62">
        <v>4614684.6846846826</v>
      </c>
      <c r="N62">
        <v>2769189.1891891919</v>
      </c>
      <c r="O62">
        <v>12679009.009009009</v>
      </c>
      <c r="P62">
        <v>13110549.54954955</v>
      </c>
      <c r="Q62">
        <v>3544684.684684684</v>
      </c>
      <c r="R62">
        <v>3551531.5315315342</v>
      </c>
      <c r="S62">
        <v>4815</v>
      </c>
      <c r="T62">
        <v>4673</v>
      </c>
    </row>
    <row r="63" spans="1:20" x14ac:dyDescent="0.35">
      <c r="A63" s="7" t="s">
        <v>138</v>
      </c>
      <c r="B63" s="12" t="s">
        <v>78</v>
      </c>
      <c r="C63">
        <v>27422268.722007576</v>
      </c>
      <c r="D63">
        <v>28315664.683494017</v>
      </c>
      <c r="E63">
        <v>19549.54954955</v>
      </c>
      <c r="F63">
        <v>1117117.1171171209</v>
      </c>
      <c r="G63">
        <v>8</v>
      </c>
      <c r="H63">
        <v>11</v>
      </c>
      <c r="I63">
        <v>1</v>
      </c>
      <c r="K63">
        <v>10</v>
      </c>
      <c r="L63">
        <v>16</v>
      </c>
      <c r="M63">
        <v>3686216.216216214</v>
      </c>
      <c r="N63">
        <v>1297297.297297301</v>
      </c>
      <c r="O63">
        <v>10078423.423423424</v>
      </c>
      <c r="P63">
        <v>11576234.234234234</v>
      </c>
      <c r="Q63">
        <v>3335585.5855855849</v>
      </c>
      <c r="R63">
        <v>2931981.981981982</v>
      </c>
      <c r="S63">
        <v>5261</v>
      </c>
      <c r="T63">
        <v>5106</v>
      </c>
    </row>
    <row r="64" spans="1:20" x14ac:dyDescent="0.35">
      <c r="A64" s="7" t="s">
        <v>139</v>
      </c>
      <c r="B64" s="12" t="s">
        <v>140</v>
      </c>
      <c r="C64">
        <v>40132772.384438738</v>
      </c>
      <c r="D64">
        <v>43070566.227509849</v>
      </c>
      <c r="E64">
        <v>317117.11711711698</v>
      </c>
      <c r="F64">
        <v>274774.77477477503</v>
      </c>
      <c r="G64">
        <v>3</v>
      </c>
      <c r="H64">
        <v>2</v>
      </c>
      <c r="K64">
        <v>4</v>
      </c>
      <c r="L64">
        <v>2</v>
      </c>
      <c r="M64">
        <v>1668468.4684684679</v>
      </c>
      <c r="N64">
        <v>5229729.7297297288</v>
      </c>
      <c r="O64">
        <v>5827162.1621621633</v>
      </c>
      <c r="P64">
        <v>7051567.5675675683</v>
      </c>
      <c r="Q64">
        <v>2513783.7837837841</v>
      </c>
      <c r="R64">
        <v>3190540.5405405411</v>
      </c>
      <c r="S64">
        <v>4523</v>
      </c>
      <c r="T64">
        <v>4777</v>
      </c>
    </row>
    <row r="65" spans="1:20" x14ac:dyDescent="0.35">
      <c r="A65" s="7" t="s">
        <v>141</v>
      </c>
      <c r="B65" s="12" t="s">
        <v>62</v>
      </c>
      <c r="C65">
        <v>26012322.421881199</v>
      </c>
      <c r="D65">
        <v>26029950.575733975</v>
      </c>
      <c r="E65">
        <v>269702.70270270301</v>
      </c>
      <c r="F65">
        <v>138004.50450450601</v>
      </c>
      <c r="G65">
        <v>8</v>
      </c>
      <c r="H65">
        <v>6</v>
      </c>
      <c r="K65">
        <v>13</v>
      </c>
      <c r="L65">
        <v>7</v>
      </c>
      <c r="M65">
        <v>18906036.036036037</v>
      </c>
      <c r="N65">
        <v>27252972.97297297</v>
      </c>
      <c r="O65">
        <v>5692657.6576576577</v>
      </c>
      <c r="P65">
        <v>5092972.9729729732</v>
      </c>
      <c r="Q65">
        <v>18189639.639639635</v>
      </c>
      <c r="R65">
        <v>27457927.927927926</v>
      </c>
      <c r="S65">
        <v>3866</v>
      </c>
      <c r="T65">
        <v>3795</v>
      </c>
    </row>
    <row r="66" spans="1:20" x14ac:dyDescent="0.35">
      <c r="A66" s="7" t="s">
        <v>142</v>
      </c>
      <c r="B66" s="12" t="s">
        <v>143</v>
      </c>
      <c r="C66">
        <v>458734.94626557501</v>
      </c>
      <c r="D66">
        <v>268885.45985077799</v>
      </c>
      <c r="H66">
        <v>1</v>
      </c>
      <c r="L66">
        <v>1</v>
      </c>
      <c r="P66">
        <v>4504.5045045050001</v>
      </c>
      <c r="S66">
        <v>147</v>
      </c>
      <c r="T66">
        <v>129</v>
      </c>
    </row>
    <row r="67" spans="1:20" x14ac:dyDescent="0.35">
      <c r="A67" s="7" t="s">
        <v>144</v>
      </c>
      <c r="B67" s="12" t="s">
        <v>140</v>
      </c>
      <c r="C67">
        <v>56207556.247868747</v>
      </c>
      <c r="D67">
        <v>57859892.701281317</v>
      </c>
      <c r="E67">
        <v>52072.072072073002</v>
      </c>
      <c r="F67">
        <v>166666.666666668</v>
      </c>
      <c r="G67">
        <v>11</v>
      </c>
      <c r="H67">
        <v>8</v>
      </c>
      <c r="K67">
        <v>13</v>
      </c>
      <c r="L67">
        <v>9</v>
      </c>
      <c r="M67">
        <v>5942612.6126126116</v>
      </c>
      <c r="N67">
        <v>7377117.1171171144</v>
      </c>
      <c r="O67">
        <v>8304189.18918919</v>
      </c>
      <c r="P67">
        <v>10735756.756756756</v>
      </c>
      <c r="Q67">
        <v>4189729.7297297302</v>
      </c>
      <c r="R67">
        <v>5272702.702702703</v>
      </c>
      <c r="S67">
        <v>7653</v>
      </c>
      <c r="T67">
        <v>7672</v>
      </c>
    </row>
    <row r="68" spans="1:20" x14ac:dyDescent="0.35">
      <c r="A68" s="7" t="s">
        <v>145</v>
      </c>
      <c r="B68" s="12" t="s">
        <v>78</v>
      </c>
      <c r="C68">
        <v>38731609.241191372</v>
      </c>
      <c r="D68">
        <v>38805300.516791821</v>
      </c>
      <c r="E68">
        <v>363783.78378378402</v>
      </c>
      <c r="F68">
        <v>918918.91891891998</v>
      </c>
      <c r="G68">
        <v>5</v>
      </c>
      <c r="H68">
        <v>14</v>
      </c>
      <c r="K68">
        <v>10</v>
      </c>
      <c r="L68">
        <v>18</v>
      </c>
      <c r="M68">
        <v>7926846.846846845</v>
      </c>
      <c r="N68">
        <v>3540540.5405405401</v>
      </c>
      <c r="O68">
        <v>9593549.5495495498</v>
      </c>
      <c r="P68">
        <v>10035360.36036036</v>
      </c>
      <c r="Q68">
        <v>9520000</v>
      </c>
      <c r="R68">
        <v>2679549.5495495498</v>
      </c>
      <c r="S68">
        <v>6377</v>
      </c>
      <c r="T68">
        <v>6467</v>
      </c>
    </row>
    <row r="69" spans="1:20" x14ac:dyDescent="0.35">
      <c r="A69" s="7" t="s">
        <v>146</v>
      </c>
      <c r="B69" s="12" t="s">
        <v>147</v>
      </c>
      <c r="C69">
        <v>25590617.271839201</v>
      </c>
      <c r="D69">
        <v>24289884.037447937</v>
      </c>
      <c r="E69">
        <v>29142110.810810812</v>
      </c>
      <c r="F69">
        <v>2728688.2882882892</v>
      </c>
      <c r="G69">
        <v>5</v>
      </c>
      <c r="H69">
        <v>4</v>
      </c>
      <c r="K69">
        <v>5</v>
      </c>
      <c r="L69">
        <v>4</v>
      </c>
      <c r="M69">
        <v>4263018.0180180185</v>
      </c>
      <c r="N69">
        <v>3137837.8378378381</v>
      </c>
      <c r="O69">
        <v>6918873.8738738736</v>
      </c>
      <c r="P69">
        <v>6680171.1711711707</v>
      </c>
      <c r="Q69">
        <v>2844324.3243243252</v>
      </c>
      <c r="R69">
        <v>1878558.5585585569</v>
      </c>
      <c r="S69">
        <v>3732</v>
      </c>
      <c r="T69">
        <v>3684</v>
      </c>
    </row>
    <row r="70" spans="1:20" x14ac:dyDescent="0.35">
      <c r="A70" s="7" t="s">
        <v>148</v>
      </c>
      <c r="B70" s="12" t="s">
        <v>94</v>
      </c>
      <c r="D70">
        <v>4.760367477</v>
      </c>
    </row>
    <row r="71" spans="1:20" x14ac:dyDescent="0.35">
      <c r="A71" s="7" t="s">
        <v>149</v>
      </c>
      <c r="B71" s="12" t="s">
        <v>50</v>
      </c>
      <c r="C71">
        <v>22192285.767937168</v>
      </c>
      <c r="D71">
        <v>24301606.079124816</v>
      </c>
      <c r="E71">
        <v>31531.531531532</v>
      </c>
      <c r="H71">
        <v>4</v>
      </c>
      <c r="K71">
        <v>1</v>
      </c>
      <c r="L71">
        <v>4</v>
      </c>
      <c r="M71">
        <v>4067117.11711712</v>
      </c>
      <c r="N71">
        <v>405405.40540540498</v>
      </c>
      <c r="O71">
        <v>8964549.5495495498</v>
      </c>
      <c r="P71">
        <v>10134882.882882884</v>
      </c>
      <c r="Q71">
        <v>4488108.1081081089</v>
      </c>
      <c r="R71">
        <v>440990.99099099101</v>
      </c>
      <c r="S71">
        <v>3484</v>
      </c>
      <c r="T71">
        <v>3665</v>
      </c>
    </row>
    <row r="72" spans="1:20" x14ac:dyDescent="0.35">
      <c r="A72" s="7" t="s">
        <v>150</v>
      </c>
      <c r="B72" s="12" t="s">
        <v>151</v>
      </c>
      <c r="C72">
        <v>6952331.2785488227</v>
      </c>
      <c r="D72">
        <v>7425668.2188919736</v>
      </c>
      <c r="F72">
        <v>216216.216216217</v>
      </c>
      <c r="G72">
        <v>1</v>
      </c>
      <c r="H72">
        <v>2</v>
      </c>
      <c r="K72">
        <v>1</v>
      </c>
      <c r="L72">
        <v>3</v>
      </c>
      <c r="M72">
        <v>6756756.7567567565</v>
      </c>
      <c r="N72">
        <v>216216.216216217</v>
      </c>
      <c r="O72">
        <v>1746261.261261262</v>
      </c>
      <c r="P72">
        <v>2163549.5495495489</v>
      </c>
      <c r="R72">
        <v>4162072.072072072</v>
      </c>
      <c r="S72">
        <v>710</v>
      </c>
      <c r="T72">
        <v>681</v>
      </c>
    </row>
    <row r="73" spans="1:20" x14ac:dyDescent="0.35">
      <c r="A73" s="7" t="s">
        <v>152</v>
      </c>
      <c r="B73" s="12" t="s">
        <v>151</v>
      </c>
      <c r="C73">
        <v>66990958.445256531</v>
      </c>
      <c r="D73">
        <v>65036769.850326978</v>
      </c>
      <c r="E73">
        <v>28881768.468468469</v>
      </c>
      <c r="F73">
        <v>3835880.1801801822</v>
      </c>
      <c r="G73">
        <v>16</v>
      </c>
      <c r="H73">
        <v>54</v>
      </c>
      <c r="K73">
        <v>22</v>
      </c>
      <c r="L73">
        <v>70</v>
      </c>
      <c r="M73">
        <v>82768018.018018022</v>
      </c>
      <c r="N73">
        <v>41096396.396396399</v>
      </c>
      <c r="O73">
        <v>21904493.693693694</v>
      </c>
      <c r="P73">
        <v>23120603.603603605</v>
      </c>
      <c r="Q73">
        <v>52762969.369369365</v>
      </c>
      <c r="R73">
        <v>13870270.270270268</v>
      </c>
      <c r="S73">
        <v>8274</v>
      </c>
      <c r="T73">
        <v>8022</v>
      </c>
    </row>
    <row r="74" spans="1:20" x14ac:dyDescent="0.35">
      <c r="A74" s="7" t="s">
        <v>153</v>
      </c>
      <c r="B74" s="12" t="s">
        <v>154</v>
      </c>
      <c r="C74">
        <v>56628834.914837345</v>
      </c>
      <c r="D74">
        <v>57659373.20242133</v>
      </c>
      <c r="E74">
        <v>926126.12612612604</v>
      </c>
      <c r="F74">
        <v>202702.70270270301</v>
      </c>
      <c r="G74">
        <v>2</v>
      </c>
      <c r="H74">
        <v>6</v>
      </c>
      <c r="K74">
        <v>2</v>
      </c>
      <c r="L74">
        <v>8</v>
      </c>
      <c r="M74">
        <v>8133333.333333334</v>
      </c>
      <c r="N74">
        <v>11391891.891891891</v>
      </c>
      <c r="O74">
        <v>24868198.198198196</v>
      </c>
      <c r="P74">
        <v>22696990.990990993</v>
      </c>
      <c r="Q74">
        <v>7954324.3243243238</v>
      </c>
      <c r="R74">
        <v>8065495.4954954972</v>
      </c>
      <c r="S74">
        <v>7192</v>
      </c>
      <c r="T74">
        <v>7130</v>
      </c>
    </row>
    <row r="75" spans="1:20" x14ac:dyDescent="0.35">
      <c r="A75" s="7" t="s">
        <v>155</v>
      </c>
      <c r="B75" s="12" t="s">
        <v>154</v>
      </c>
      <c r="C75">
        <v>6737722.6873347247</v>
      </c>
      <c r="D75">
        <v>8054585.8352435818</v>
      </c>
      <c r="E75">
        <v>900.900900901</v>
      </c>
      <c r="G75">
        <v>2</v>
      </c>
      <c r="K75">
        <v>2</v>
      </c>
      <c r="L75">
        <v>1</v>
      </c>
      <c r="M75">
        <v>91441.441441442003</v>
      </c>
      <c r="O75">
        <v>1852747.7477477479</v>
      </c>
      <c r="P75">
        <v>1846531.5315315321</v>
      </c>
      <c r="Q75">
        <v>29729.729729729999</v>
      </c>
      <c r="R75">
        <v>50450.45045045</v>
      </c>
      <c r="S75">
        <v>2048</v>
      </c>
      <c r="T75">
        <v>2020</v>
      </c>
    </row>
    <row r="76" spans="1:20" x14ac:dyDescent="0.35">
      <c r="A76" s="7" t="s">
        <v>156</v>
      </c>
      <c r="B76" s="12" t="s">
        <v>154</v>
      </c>
      <c r="C76">
        <v>70705355.245070636</v>
      </c>
      <c r="D76">
        <v>62669623.818887413</v>
      </c>
      <c r="E76">
        <v>30573569.369369369</v>
      </c>
      <c r="F76">
        <v>2575145.0450450452</v>
      </c>
      <c r="G76">
        <v>4</v>
      </c>
      <c r="H76">
        <v>4</v>
      </c>
      <c r="K76">
        <v>7</v>
      </c>
      <c r="L76">
        <v>4</v>
      </c>
      <c r="M76">
        <v>29344144.144144148</v>
      </c>
      <c r="N76">
        <v>5945945.9459459446</v>
      </c>
      <c r="O76">
        <v>26688423.423423424</v>
      </c>
      <c r="P76">
        <v>23725864.864864863</v>
      </c>
      <c r="Q76">
        <v>20910720.72072072</v>
      </c>
      <c r="R76">
        <v>8821081.0810810793</v>
      </c>
      <c r="S76">
        <v>8011</v>
      </c>
      <c r="T76">
        <v>7870</v>
      </c>
    </row>
    <row r="77" spans="1:20" x14ac:dyDescent="0.35">
      <c r="A77" s="7" t="s">
        <v>157</v>
      </c>
      <c r="B77" s="12" t="s">
        <v>134</v>
      </c>
      <c r="C77">
        <v>30686626.129318569</v>
      </c>
      <c r="D77">
        <v>28557937.244478304</v>
      </c>
      <c r="E77">
        <v>1801.801801802</v>
      </c>
      <c r="F77">
        <v>54054.054054054999</v>
      </c>
      <c r="G77">
        <v>6</v>
      </c>
      <c r="H77">
        <v>4</v>
      </c>
      <c r="K77">
        <v>8</v>
      </c>
      <c r="L77">
        <v>7</v>
      </c>
      <c r="M77">
        <v>5992792.7927927924</v>
      </c>
      <c r="N77">
        <v>504504.50450450502</v>
      </c>
      <c r="O77">
        <v>2412522.5225225212</v>
      </c>
      <c r="P77">
        <v>3648792.7927927938</v>
      </c>
      <c r="Q77">
        <v>1094234.2342342341</v>
      </c>
      <c r="R77">
        <v>890270.27027027204</v>
      </c>
      <c r="S77">
        <v>4441</v>
      </c>
      <c r="T77">
        <v>4482</v>
      </c>
    </row>
    <row r="78" spans="1:20" x14ac:dyDescent="0.35">
      <c r="A78" s="7" t="s">
        <v>1</v>
      </c>
      <c r="B78" s="12" t="s">
        <v>158</v>
      </c>
      <c r="C78">
        <v>53690571.15817067</v>
      </c>
      <c r="D78">
        <v>51174562.515735909</v>
      </c>
      <c r="E78">
        <v>190540.540540541</v>
      </c>
      <c r="F78">
        <v>54054.054054054002</v>
      </c>
      <c r="G78">
        <v>5</v>
      </c>
      <c r="H78">
        <v>3</v>
      </c>
      <c r="I78">
        <v>1</v>
      </c>
      <c r="K78">
        <v>6</v>
      </c>
      <c r="L78">
        <v>3</v>
      </c>
      <c r="M78">
        <v>8838108.1081081089</v>
      </c>
      <c r="N78">
        <v>10180990.990990993</v>
      </c>
      <c r="O78">
        <v>22881891.891891893</v>
      </c>
      <c r="P78">
        <v>25329261.261261266</v>
      </c>
      <c r="Q78">
        <v>7023333.3333333321</v>
      </c>
      <c r="R78">
        <v>4837027.0270270277</v>
      </c>
      <c r="S78">
        <v>8471</v>
      </c>
      <c r="T78">
        <v>8000</v>
      </c>
    </row>
    <row r="79" spans="1:20" x14ac:dyDescent="0.35">
      <c r="A79" s="7" t="s">
        <v>159</v>
      </c>
      <c r="B79" s="12" t="s">
        <v>121</v>
      </c>
      <c r="C79">
        <v>2081097.996502118</v>
      </c>
      <c r="D79">
        <v>2078858.5752041759</v>
      </c>
      <c r="E79">
        <v>296277.47747747699</v>
      </c>
      <c r="F79">
        <v>18181453.153153151</v>
      </c>
      <c r="L79">
        <v>1</v>
      </c>
      <c r="M79">
        <v>900900.90090090095</v>
      </c>
      <c r="N79">
        <v>652437.83783783799</v>
      </c>
      <c r="O79">
        <v>323513.51351351402</v>
      </c>
      <c r="P79">
        <v>181756.75675675701</v>
      </c>
      <c r="Q79">
        <v>133603.60360360399</v>
      </c>
      <c r="S79">
        <v>526</v>
      </c>
      <c r="T79">
        <v>490</v>
      </c>
    </row>
    <row r="80" spans="1:20" x14ac:dyDescent="0.35">
      <c r="A80" s="7" t="s">
        <v>160</v>
      </c>
      <c r="B80" s="12" t="s">
        <v>161</v>
      </c>
      <c r="C80">
        <v>25515764.818357889</v>
      </c>
      <c r="D80">
        <v>29620312.072111014</v>
      </c>
      <c r="E80">
        <v>19354236.936936937</v>
      </c>
      <c r="F80">
        <v>1642677.47747748</v>
      </c>
      <c r="G80">
        <v>6</v>
      </c>
      <c r="H80">
        <v>5</v>
      </c>
      <c r="K80">
        <v>9</v>
      </c>
      <c r="L80">
        <v>7</v>
      </c>
      <c r="M80">
        <v>9368918.9189189225</v>
      </c>
      <c r="N80">
        <v>8056027.0270270277</v>
      </c>
      <c r="O80">
        <v>11091117.117117116</v>
      </c>
      <c r="P80">
        <v>11335567.567567566</v>
      </c>
      <c r="Q80">
        <v>16448018.01801802</v>
      </c>
      <c r="R80">
        <v>2734954.9549549562</v>
      </c>
      <c r="S80">
        <v>5919</v>
      </c>
      <c r="T80">
        <v>5982</v>
      </c>
    </row>
    <row r="81" spans="1:20" x14ac:dyDescent="0.35">
      <c r="A81" s="7" t="s">
        <v>162</v>
      </c>
      <c r="B81" s="12" t="s">
        <v>76</v>
      </c>
      <c r="C81">
        <v>12840862.403255856</v>
      </c>
      <c r="D81">
        <v>13262264.126777416</v>
      </c>
      <c r="E81">
        <v>900.900900901</v>
      </c>
      <c r="F81">
        <v>180180.18018018</v>
      </c>
      <c r="G81">
        <v>2</v>
      </c>
      <c r="H81">
        <v>4</v>
      </c>
      <c r="K81">
        <v>4</v>
      </c>
      <c r="L81">
        <v>4</v>
      </c>
      <c r="M81">
        <v>271171.17117117101</v>
      </c>
      <c r="N81">
        <v>180180.18018018</v>
      </c>
      <c r="O81">
        <v>889189.189189189</v>
      </c>
      <c r="P81">
        <v>752117.11711711704</v>
      </c>
      <c r="Q81">
        <v>164774.774774775</v>
      </c>
      <c r="R81">
        <v>133693.69369369399</v>
      </c>
      <c r="S81">
        <v>984</v>
      </c>
      <c r="T81">
        <v>914</v>
      </c>
    </row>
    <row r="82" spans="1:20" x14ac:dyDescent="0.35">
      <c r="A82" s="7" t="s">
        <v>163</v>
      </c>
      <c r="B82" s="12" t="s">
        <v>52</v>
      </c>
      <c r="C82">
        <v>10430966.9058335</v>
      </c>
      <c r="D82">
        <v>10080253.096731752</v>
      </c>
      <c r="E82">
        <v>137837.83783783799</v>
      </c>
      <c r="F82">
        <v>180180.18018018</v>
      </c>
      <c r="H82">
        <v>6</v>
      </c>
      <c r="K82">
        <v>1</v>
      </c>
      <c r="L82">
        <v>6</v>
      </c>
      <c r="M82">
        <v>182882.88288288299</v>
      </c>
      <c r="N82">
        <v>418918.91891891899</v>
      </c>
      <c r="O82">
        <v>4287702.702702703</v>
      </c>
      <c r="P82">
        <v>5281270.2702702712</v>
      </c>
      <c r="Q82">
        <v>234954.954954955</v>
      </c>
      <c r="R82">
        <v>274234.23423423502</v>
      </c>
      <c r="S82">
        <v>1540</v>
      </c>
      <c r="T82">
        <v>1440</v>
      </c>
    </row>
    <row r="83" spans="1:20" x14ac:dyDescent="0.35">
      <c r="A83" s="7" t="s">
        <v>164</v>
      </c>
      <c r="B83" s="12" t="s">
        <v>87</v>
      </c>
      <c r="C83">
        <v>9104476.9650001489</v>
      </c>
      <c r="D83">
        <v>6906188.4737813342</v>
      </c>
      <c r="E83">
        <v>14414.414414413999</v>
      </c>
      <c r="G83">
        <v>1</v>
      </c>
      <c r="H83">
        <v>2</v>
      </c>
      <c r="K83">
        <v>1</v>
      </c>
      <c r="L83">
        <v>2</v>
      </c>
      <c r="M83">
        <v>149549.549549549</v>
      </c>
      <c r="O83">
        <v>1121396.396396396</v>
      </c>
      <c r="P83">
        <v>562252.25225225196</v>
      </c>
      <c r="Q83">
        <v>180180.18018018</v>
      </c>
      <c r="S83">
        <v>1180</v>
      </c>
      <c r="T83">
        <v>1214</v>
      </c>
    </row>
    <row r="84" spans="1:20" x14ac:dyDescent="0.35">
      <c r="A84" s="7" t="s">
        <v>165</v>
      </c>
      <c r="B84" s="12" t="s">
        <v>143</v>
      </c>
      <c r="C84">
        <v>1787076.1375620239</v>
      </c>
      <c r="D84">
        <v>1825746.979569488</v>
      </c>
      <c r="E84">
        <v>46928085.585585587</v>
      </c>
      <c r="F84">
        <v>2072487.387387387</v>
      </c>
      <c r="G84">
        <v>1</v>
      </c>
      <c r="H84">
        <v>1</v>
      </c>
      <c r="K84">
        <v>2</v>
      </c>
      <c r="L84">
        <v>1</v>
      </c>
      <c r="M84">
        <v>5269819.819819821</v>
      </c>
      <c r="O84">
        <v>265360.36036036001</v>
      </c>
      <c r="P84">
        <v>154144.144144144</v>
      </c>
      <c r="Q84">
        <v>463963.96396396402</v>
      </c>
      <c r="S84">
        <v>337</v>
      </c>
      <c r="T84">
        <v>400</v>
      </c>
    </row>
    <row r="85" spans="1:20" x14ac:dyDescent="0.35">
      <c r="A85" s="7" t="s">
        <v>166</v>
      </c>
      <c r="B85" s="12" t="s">
        <v>167</v>
      </c>
      <c r="C85">
        <v>6180841.9509204011</v>
      </c>
      <c r="D85">
        <v>8327316.0559858251</v>
      </c>
      <c r="E85">
        <v>900.900900901</v>
      </c>
      <c r="F85">
        <v>202702.70270270301</v>
      </c>
      <c r="G85">
        <v>2</v>
      </c>
      <c r="H85">
        <v>2</v>
      </c>
      <c r="K85">
        <v>3</v>
      </c>
      <c r="L85">
        <v>2</v>
      </c>
      <c r="M85">
        <v>938918.91891892196</v>
      </c>
      <c r="N85">
        <v>326126.12612612598</v>
      </c>
      <c r="O85">
        <v>3216756.7567567569</v>
      </c>
      <c r="P85">
        <v>3945998.1981981979</v>
      </c>
      <c r="Q85">
        <v>1436666.6666666691</v>
      </c>
      <c r="R85">
        <v>769099.09909909905</v>
      </c>
      <c r="S85">
        <v>1318</v>
      </c>
      <c r="T85">
        <v>1387</v>
      </c>
    </row>
    <row r="86" spans="1:20" x14ac:dyDescent="0.35">
      <c r="A86" s="7" t="s">
        <v>168</v>
      </c>
      <c r="B86" s="12" t="s">
        <v>169</v>
      </c>
      <c r="C86">
        <v>28430881.383254413</v>
      </c>
      <c r="D86">
        <v>28219844.122358158</v>
      </c>
      <c r="E86">
        <v>295945.94594594598</v>
      </c>
      <c r="F86">
        <v>373873.87387387402</v>
      </c>
      <c r="G86">
        <v>1</v>
      </c>
      <c r="H86">
        <v>5</v>
      </c>
      <c r="I86">
        <v>1</v>
      </c>
      <c r="K86">
        <v>2</v>
      </c>
      <c r="L86">
        <v>15</v>
      </c>
      <c r="M86">
        <v>6692342.3423423413</v>
      </c>
      <c r="N86">
        <v>1734234.2342342341</v>
      </c>
      <c r="O86">
        <v>7791801.8018018007</v>
      </c>
      <c r="P86">
        <v>8662144.1441441439</v>
      </c>
      <c r="Q86">
        <v>5891261.2612612601</v>
      </c>
      <c r="R86">
        <v>2996036.0360360388</v>
      </c>
      <c r="S86">
        <v>6377</v>
      </c>
      <c r="T86">
        <v>6352</v>
      </c>
    </row>
    <row r="87" spans="1:20" x14ac:dyDescent="0.35">
      <c r="A87" s="7" t="s">
        <v>170</v>
      </c>
      <c r="B87" s="12" t="s">
        <v>54</v>
      </c>
      <c r="C87">
        <v>4597822.5786465574</v>
      </c>
      <c r="D87">
        <v>5237081.0637721866</v>
      </c>
      <c r="K87">
        <v>1</v>
      </c>
      <c r="M87">
        <v>1531531.5315315321</v>
      </c>
      <c r="O87">
        <v>693873.87387387396</v>
      </c>
      <c r="P87">
        <v>858018.01801801904</v>
      </c>
      <c r="Q87">
        <v>423423.42342342302</v>
      </c>
      <c r="R87">
        <v>218018.01801801799</v>
      </c>
      <c r="S87">
        <v>713</v>
      </c>
      <c r="T87">
        <v>695</v>
      </c>
    </row>
    <row r="88" spans="1:20" x14ac:dyDescent="0.35">
      <c r="A88" s="7" t="s">
        <v>171</v>
      </c>
      <c r="B88" s="12" t="s">
        <v>60</v>
      </c>
      <c r="C88">
        <v>106515653.10196386</v>
      </c>
      <c r="D88">
        <v>100807868.57288197</v>
      </c>
      <c r="E88">
        <v>931531.53153153195</v>
      </c>
      <c r="F88">
        <v>1671171.1711711721</v>
      </c>
      <c r="G88">
        <v>18</v>
      </c>
      <c r="H88">
        <v>13</v>
      </c>
      <c r="K88">
        <v>23</v>
      </c>
      <c r="L88">
        <v>20</v>
      </c>
      <c r="M88">
        <v>5604504.5045045037</v>
      </c>
      <c r="N88">
        <v>3874774.7747747749</v>
      </c>
      <c r="O88">
        <v>32590337.837837838</v>
      </c>
      <c r="P88">
        <v>35555477.477477483</v>
      </c>
      <c r="Q88">
        <v>4173153.1531531508</v>
      </c>
      <c r="R88">
        <v>5505855.8558558552</v>
      </c>
      <c r="S88">
        <v>12166</v>
      </c>
      <c r="T88">
        <v>12026</v>
      </c>
    </row>
    <row r="89" spans="1:20" x14ac:dyDescent="0.35">
      <c r="A89" s="7" t="s">
        <v>172</v>
      </c>
      <c r="B89" s="12" t="s">
        <v>121</v>
      </c>
      <c r="C89">
        <v>47610967.023168109</v>
      </c>
      <c r="D89">
        <v>44832090.795008413</v>
      </c>
      <c r="E89">
        <v>906306.30630630697</v>
      </c>
      <c r="F89">
        <v>225225.22522522599</v>
      </c>
      <c r="G89">
        <v>8</v>
      </c>
      <c r="H89">
        <v>14</v>
      </c>
      <c r="K89">
        <v>18</v>
      </c>
      <c r="L89">
        <v>16</v>
      </c>
      <c r="M89">
        <v>2437837.8378378372</v>
      </c>
      <c r="N89">
        <v>2522522.5225225231</v>
      </c>
      <c r="O89">
        <v>5437342.3423423423</v>
      </c>
      <c r="P89">
        <v>4334747.7477477472</v>
      </c>
      <c r="Q89">
        <v>1506666.6666666679</v>
      </c>
      <c r="R89">
        <v>968288.288288287</v>
      </c>
      <c r="S89">
        <v>5837</v>
      </c>
      <c r="T89">
        <v>5763</v>
      </c>
    </row>
    <row r="90" spans="1:20" x14ac:dyDescent="0.35">
      <c r="A90" s="7" t="s">
        <v>173</v>
      </c>
      <c r="B90" s="12" t="s">
        <v>174</v>
      </c>
      <c r="C90">
        <v>33003130.238935389</v>
      </c>
      <c r="D90">
        <v>30163659.630929668</v>
      </c>
      <c r="E90">
        <v>1490961.261261262</v>
      </c>
      <c r="F90">
        <v>19487563.963963963</v>
      </c>
      <c r="G90">
        <v>3</v>
      </c>
      <c r="H90">
        <v>3</v>
      </c>
      <c r="K90">
        <v>7</v>
      </c>
      <c r="L90">
        <v>6</v>
      </c>
      <c r="M90">
        <v>5777027.0270270277</v>
      </c>
      <c r="N90">
        <v>6728828.8288288284</v>
      </c>
      <c r="O90">
        <v>3511126.1261261259</v>
      </c>
      <c r="P90">
        <v>3122900.9009008999</v>
      </c>
      <c r="Q90">
        <v>3156666.6666666698</v>
      </c>
      <c r="R90">
        <v>2143423.423423422</v>
      </c>
      <c r="S90">
        <v>4553</v>
      </c>
      <c r="T90">
        <v>4720</v>
      </c>
    </row>
    <row r="91" spans="1:20" x14ac:dyDescent="0.35">
      <c r="A91" s="7" t="s">
        <v>175</v>
      </c>
      <c r="B91" s="12" t="s">
        <v>174</v>
      </c>
      <c r="C91">
        <v>47868180.366077945</v>
      </c>
      <c r="D91">
        <v>48081959.162541002</v>
      </c>
      <c r="E91">
        <v>337837.83783783799</v>
      </c>
      <c r="F91">
        <v>153153.15315315599</v>
      </c>
      <c r="G91">
        <v>18</v>
      </c>
      <c r="H91">
        <v>10</v>
      </c>
      <c r="K91">
        <v>25</v>
      </c>
      <c r="L91">
        <v>29</v>
      </c>
      <c r="M91">
        <v>4831081.0810810803</v>
      </c>
      <c r="N91">
        <v>4976576.5765765766</v>
      </c>
      <c r="O91">
        <v>8449594.5945945922</v>
      </c>
      <c r="P91">
        <v>8475495.4954954945</v>
      </c>
      <c r="Q91">
        <v>4532342.342342345</v>
      </c>
      <c r="R91">
        <v>3051981.9819819829</v>
      </c>
      <c r="S91">
        <v>8474</v>
      </c>
      <c r="T91">
        <v>8473</v>
      </c>
    </row>
    <row r="92" spans="1:20" x14ac:dyDescent="0.35">
      <c r="A92" s="7" t="s">
        <v>176</v>
      </c>
      <c r="B92" s="12" t="s">
        <v>174</v>
      </c>
      <c r="C92">
        <v>65061666.607821368</v>
      </c>
      <c r="D92">
        <v>65546694.179329425</v>
      </c>
      <c r="E92">
        <v>24324.324324325</v>
      </c>
      <c r="F92">
        <v>225225.22522522701</v>
      </c>
      <c r="G92">
        <v>16</v>
      </c>
      <c r="H92">
        <v>8</v>
      </c>
      <c r="K92">
        <v>23</v>
      </c>
      <c r="L92">
        <v>17</v>
      </c>
      <c r="M92">
        <v>8681981.9819819797</v>
      </c>
      <c r="N92">
        <v>6324774.774774774</v>
      </c>
      <c r="O92">
        <v>10275608.108108109</v>
      </c>
      <c r="P92">
        <v>10008009.009009007</v>
      </c>
      <c r="Q92">
        <v>4449459.4594594622</v>
      </c>
      <c r="R92">
        <v>4760720.7207207214</v>
      </c>
      <c r="S92">
        <v>11665</v>
      </c>
      <c r="T92">
        <v>13719</v>
      </c>
    </row>
    <row r="93" spans="1:20" x14ac:dyDescent="0.35">
      <c r="A93" s="7" t="s">
        <v>177</v>
      </c>
      <c r="B93" s="12" t="s">
        <v>178</v>
      </c>
      <c r="C93">
        <v>20582474.708542872</v>
      </c>
      <c r="D93">
        <v>20331242.77933624</v>
      </c>
      <c r="E93">
        <v>135135.135135135</v>
      </c>
      <c r="G93">
        <v>2</v>
      </c>
      <c r="H93">
        <v>2</v>
      </c>
      <c r="K93">
        <v>2</v>
      </c>
      <c r="L93">
        <v>2</v>
      </c>
      <c r="M93">
        <v>1445765.7657657671</v>
      </c>
      <c r="N93">
        <v>305405.40540540603</v>
      </c>
      <c r="O93">
        <v>6589504.5045045046</v>
      </c>
      <c r="P93">
        <v>7961187.3873873875</v>
      </c>
      <c r="Q93">
        <v>550090.09009009099</v>
      </c>
      <c r="R93">
        <v>467567.56756756798</v>
      </c>
      <c r="S93">
        <v>3670</v>
      </c>
      <c r="T93">
        <v>3462</v>
      </c>
    </row>
    <row r="94" spans="1:20" x14ac:dyDescent="0.35">
      <c r="A94" s="7" t="s">
        <v>179</v>
      </c>
      <c r="B94" s="12" t="s">
        <v>167</v>
      </c>
      <c r="C94">
        <v>27609510.940724563</v>
      </c>
      <c r="D94">
        <v>22468089.670798197</v>
      </c>
      <c r="E94">
        <v>25225.225225226</v>
      </c>
      <c r="F94">
        <v>540540.54054054106</v>
      </c>
      <c r="G94">
        <v>12</v>
      </c>
      <c r="H94">
        <v>1</v>
      </c>
      <c r="K94">
        <v>15</v>
      </c>
      <c r="L94">
        <v>2</v>
      </c>
      <c r="M94">
        <v>310630.63063063403</v>
      </c>
      <c r="N94">
        <v>585585.58558558603</v>
      </c>
      <c r="O94">
        <v>6559144.1441441439</v>
      </c>
      <c r="P94">
        <v>6440540.5405405397</v>
      </c>
      <c r="Q94">
        <v>2048018.0180180201</v>
      </c>
      <c r="R94">
        <v>346396.39639639598</v>
      </c>
      <c r="S94">
        <v>4654</v>
      </c>
      <c r="T94">
        <v>4452</v>
      </c>
    </row>
    <row r="95" spans="1:20" x14ac:dyDescent="0.35">
      <c r="A95" s="7" t="s">
        <v>180</v>
      </c>
      <c r="B95" s="12" t="s">
        <v>181</v>
      </c>
      <c r="C95">
        <v>20604396.895880401</v>
      </c>
      <c r="D95">
        <v>19449522.154100657</v>
      </c>
      <c r="E95">
        <v>900.900900901</v>
      </c>
      <c r="F95">
        <v>13513.513513514001</v>
      </c>
      <c r="G95">
        <v>3</v>
      </c>
      <c r="H95">
        <v>5</v>
      </c>
      <c r="K95">
        <v>3</v>
      </c>
      <c r="L95">
        <v>6</v>
      </c>
      <c r="M95">
        <v>3186486.4864864829</v>
      </c>
      <c r="N95">
        <v>13513.513513514001</v>
      </c>
      <c r="O95">
        <v>4856711.7117117113</v>
      </c>
      <c r="P95">
        <v>5121558.5585585581</v>
      </c>
      <c r="Q95">
        <v>2770270.2702702689</v>
      </c>
      <c r="R95">
        <v>461531.531531532</v>
      </c>
      <c r="S95">
        <v>2991</v>
      </c>
      <c r="T95">
        <v>3260</v>
      </c>
    </row>
    <row r="96" spans="1:20" x14ac:dyDescent="0.35">
      <c r="A96" s="7" t="s">
        <v>667</v>
      </c>
      <c r="B96" s="12" t="s">
        <v>68</v>
      </c>
      <c r="T96">
        <v>139</v>
      </c>
    </row>
    <row r="97" spans="1:20" x14ac:dyDescent="0.35">
      <c r="A97" s="7" t="s">
        <v>182</v>
      </c>
      <c r="B97" s="12" t="s">
        <v>94</v>
      </c>
      <c r="C97">
        <v>16175930.9949001</v>
      </c>
      <c r="D97">
        <v>22699688.089742225</v>
      </c>
      <c r="E97">
        <v>135135.135135135</v>
      </c>
      <c r="G97">
        <v>1</v>
      </c>
      <c r="H97">
        <v>2</v>
      </c>
      <c r="K97">
        <v>2</v>
      </c>
      <c r="L97">
        <v>3</v>
      </c>
      <c r="M97">
        <v>135135.135135135</v>
      </c>
      <c r="O97">
        <v>1212207.2072072071</v>
      </c>
      <c r="P97">
        <v>2454774.7747747749</v>
      </c>
      <c r="Q97">
        <v>191261.26126126101</v>
      </c>
      <c r="R97">
        <v>149549.54954954999</v>
      </c>
      <c r="S97">
        <v>3670</v>
      </c>
      <c r="T97">
        <v>3515</v>
      </c>
    </row>
    <row r="98" spans="1:20" x14ac:dyDescent="0.35">
      <c r="A98" s="7" t="s">
        <v>183</v>
      </c>
      <c r="B98" s="12" t="s">
        <v>94</v>
      </c>
      <c r="C98">
        <v>124008033.05087113</v>
      </c>
      <c r="D98">
        <v>111321716.09016922</v>
      </c>
      <c r="E98">
        <v>157089789.1891892</v>
      </c>
      <c r="F98">
        <v>3294278.3783783838</v>
      </c>
      <c r="G98">
        <v>20</v>
      </c>
      <c r="H98">
        <v>20</v>
      </c>
      <c r="K98">
        <v>32</v>
      </c>
      <c r="L98">
        <v>37</v>
      </c>
      <c r="M98">
        <v>6477027.0270270268</v>
      </c>
      <c r="N98">
        <v>11835135.13513514</v>
      </c>
      <c r="O98">
        <v>14099369.369369367</v>
      </c>
      <c r="P98">
        <v>15299981.981981983</v>
      </c>
      <c r="Q98">
        <v>6038468.4684684696</v>
      </c>
      <c r="R98">
        <v>13366576.576576576</v>
      </c>
      <c r="S98">
        <v>16489</v>
      </c>
      <c r="T98">
        <v>18843</v>
      </c>
    </row>
    <row r="99" spans="1:20" x14ac:dyDescent="0.35">
      <c r="A99" s="7" t="s">
        <v>184</v>
      </c>
      <c r="B99" s="12" t="s">
        <v>89</v>
      </c>
      <c r="C99">
        <v>11824281.921155067</v>
      </c>
      <c r="D99">
        <v>11127965.401125832</v>
      </c>
      <c r="E99">
        <v>2252.2522522519998</v>
      </c>
      <c r="F99">
        <v>148648.64864864899</v>
      </c>
      <c r="G99">
        <v>1</v>
      </c>
      <c r="H99">
        <v>3</v>
      </c>
      <c r="K99">
        <v>1</v>
      </c>
      <c r="L99">
        <v>4</v>
      </c>
      <c r="M99">
        <v>182432.43243243199</v>
      </c>
      <c r="N99">
        <v>148648.64864864899</v>
      </c>
      <c r="O99">
        <v>3196666.666666666</v>
      </c>
      <c r="P99">
        <v>3736576.5765765761</v>
      </c>
      <c r="Q99">
        <v>180900.90090090199</v>
      </c>
      <c r="R99">
        <v>180270.27027027099</v>
      </c>
      <c r="S99">
        <v>1659</v>
      </c>
      <c r="T99">
        <v>1456</v>
      </c>
    </row>
    <row r="100" spans="1:20" x14ac:dyDescent="0.35">
      <c r="A100" s="7" t="s">
        <v>185</v>
      </c>
      <c r="B100" s="12" t="s">
        <v>60</v>
      </c>
      <c r="C100">
        <v>7304698.516077023</v>
      </c>
      <c r="D100">
        <v>6817172.8909553634</v>
      </c>
      <c r="E100">
        <v>270270.27027027</v>
      </c>
      <c r="F100">
        <v>202702.702702704</v>
      </c>
      <c r="H100">
        <v>3</v>
      </c>
      <c r="L100">
        <v>3</v>
      </c>
      <c r="M100">
        <v>630630.63063062995</v>
      </c>
      <c r="N100">
        <v>202702.702702704</v>
      </c>
      <c r="O100">
        <v>2257882.8828828828</v>
      </c>
      <c r="P100">
        <v>2226090.0900900899</v>
      </c>
      <c r="Q100">
        <v>63963.963963964001</v>
      </c>
      <c r="R100">
        <v>195855.855855856</v>
      </c>
      <c r="S100">
        <v>815</v>
      </c>
      <c r="T100">
        <v>779</v>
      </c>
    </row>
    <row r="101" spans="1:20" x14ac:dyDescent="0.35">
      <c r="A101" s="7" t="s">
        <v>186</v>
      </c>
      <c r="B101" s="12" t="s">
        <v>167</v>
      </c>
      <c r="C101">
        <v>12881868.460065356</v>
      </c>
      <c r="D101">
        <v>15594996.144808916</v>
      </c>
      <c r="F101">
        <v>27027.027027027001</v>
      </c>
      <c r="G101">
        <v>1</v>
      </c>
      <c r="H101">
        <v>1</v>
      </c>
      <c r="K101">
        <v>2</v>
      </c>
      <c r="L101">
        <v>1</v>
      </c>
      <c r="N101">
        <v>27027.027027027001</v>
      </c>
      <c r="O101">
        <v>2617162.1621621619</v>
      </c>
      <c r="P101">
        <v>4115063.0630630641</v>
      </c>
      <c r="S101">
        <v>2804</v>
      </c>
      <c r="T101">
        <v>2937</v>
      </c>
    </row>
    <row r="102" spans="1:20" x14ac:dyDescent="0.35">
      <c r="A102" s="7" t="s">
        <v>187</v>
      </c>
      <c r="B102" s="12" t="s">
        <v>167</v>
      </c>
      <c r="C102">
        <v>44404300.431631647</v>
      </c>
      <c r="D102">
        <v>46453152.776294559</v>
      </c>
      <c r="G102">
        <v>1</v>
      </c>
      <c r="H102">
        <v>3</v>
      </c>
      <c r="K102">
        <v>2</v>
      </c>
      <c r="L102">
        <v>3</v>
      </c>
      <c r="M102">
        <v>900900.90090090095</v>
      </c>
      <c r="N102">
        <v>1801801.8018018019</v>
      </c>
      <c r="O102">
        <v>7852027.0270270268</v>
      </c>
      <c r="P102">
        <v>8748423.4234234244</v>
      </c>
      <c r="Q102">
        <v>753333.33333333395</v>
      </c>
      <c r="R102">
        <v>676216.21621621598</v>
      </c>
      <c r="S102">
        <v>5833</v>
      </c>
      <c r="T102">
        <v>6004</v>
      </c>
    </row>
    <row r="103" spans="1:20" x14ac:dyDescent="0.35">
      <c r="A103" s="7" t="s">
        <v>188</v>
      </c>
      <c r="B103" s="12" t="s">
        <v>189</v>
      </c>
      <c r="C103">
        <v>21768501.857781593</v>
      </c>
      <c r="D103">
        <v>19932105.364795484</v>
      </c>
      <c r="E103">
        <v>28130400.9009009</v>
      </c>
      <c r="F103">
        <v>27166091.891891893</v>
      </c>
      <c r="G103">
        <v>2</v>
      </c>
      <c r="H103">
        <v>4</v>
      </c>
      <c r="K103">
        <v>3</v>
      </c>
      <c r="L103">
        <v>6</v>
      </c>
      <c r="M103">
        <v>720720.72072072094</v>
      </c>
      <c r="N103">
        <v>666666.66666666605</v>
      </c>
      <c r="O103">
        <v>2376036.036036035</v>
      </c>
      <c r="P103">
        <v>1442882.8828828831</v>
      </c>
      <c r="Q103">
        <v>786936.93693693704</v>
      </c>
      <c r="R103">
        <v>261711.71171171201</v>
      </c>
      <c r="S103">
        <v>1661</v>
      </c>
      <c r="T103">
        <v>1700</v>
      </c>
    </row>
    <row r="104" spans="1:20" x14ac:dyDescent="0.35">
      <c r="A104" s="7" t="s">
        <v>190</v>
      </c>
      <c r="B104" s="12" t="s">
        <v>134</v>
      </c>
      <c r="C104">
        <v>4205535.7253226601</v>
      </c>
      <c r="D104">
        <v>4603947.0543588754</v>
      </c>
      <c r="G104">
        <v>1</v>
      </c>
      <c r="H104">
        <v>2</v>
      </c>
      <c r="K104">
        <v>1</v>
      </c>
      <c r="L104">
        <v>2</v>
      </c>
      <c r="O104">
        <v>180630.630630631</v>
      </c>
      <c r="P104">
        <v>538423.42342342297</v>
      </c>
      <c r="S104">
        <v>1042</v>
      </c>
      <c r="T104">
        <v>1045</v>
      </c>
    </row>
    <row r="105" spans="1:20" x14ac:dyDescent="0.35">
      <c r="A105" s="7" t="s">
        <v>191</v>
      </c>
      <c r="B105" s="12" t="s">
        <v>60</v>
      </c>
      <c r="C105">
        <v>28354130.442738384</v>
      </c>
      <c r="D105">
        <v>29316390.103601146</v>
      </c>
      <c r="E105">
        <v>399999.99999999901</v>
      </c>
      <c r="F105">
        <v>220720.72072072199</v>
      </c>
      <c r="H105">
        <v>1</v>
      </c>
      <c r="K105">
        <v>3</v>
      </c>
      <c r="L105">
        <v>1</v>
      </c>
      <c r="M105">
        <v>2643243.2432432421</v>
      </c>
      <c r="N105">
        <v>1617117.1171171169</v>
      </c>
      <c r="O105">
        <v>8226936.9369369373</v>
      </c>
      <c r="P105">
        <v>8251603.6036036042</v>
      </c>
      <c r="Q105">
        <v>3361801.8018018021</v>
      </c>
      <c r="R105">
        <v>1748108.1081081079</v>
      </c>
      <c r="S105">
        <v>3993</v>
      </c>
      <c r="T105">
        <v>4009</v>
      </c>
    </row>
    <row r="106" spans="1:20" x14ac:dyDescent="0.35">
      <c r="A106" s="7" t="s">
        <v>192</v>
      </c>
      <c r="B106" s="12" t="s">
        <v>60</v>
      </c>
      <c r="C106">
        <v>50227107.739039026</v>
      </c>
      <c r="D106">
        <v>48696368.355512641</v>
      </c>
      <c r="E106">
        <v>151351.35135135101</v>
      </c>
      <c r="F106">
        <v>238738.73873873899</v>
      </c>
      <c r="G106">
        <v>2</v>
      </c>
      <c r="H106">
        <v>1</v>
      </c>
      <c r="K106">
        <v>2</v>
      </c>
      <c r="L106">
        <v>2</v>
      </c>
      <c r="M106">
        <v>2403603.6036036038</v>
      </c>
      <c r="N106">
        <v>689189.189189189</v>
      </c>
      <c r="O106">
        <v>10471396.396396397</v>
      </c>
      <c r="P106">
        <v>11754063.063063065</v>
      </c>
      <c r="Q106">
        <v>2083063.063063063</v>
      </c>
      <c r="R106">
        <v>1812612.612612613</v>
      </c>
      <c r="S106">
        <v>6517</v>
      </c>
      <c r="T106">
        <v>7097</v>
      </c>
    </row>
    <row r="107" spans="1:20" x14ac:dyDescent="0.35">
      <c r="A107" s="7" t="s">
        <v>2</v>
      </c>
      <c r="B107" s="12" t="s">
        <v>193</v>
      </c>
      <c r="C107">
        <v>6639666.8742684638</v>
      </c>
      <c r="D107">
        <v>5811392.2170581203</v>
      </c>
      <c r="G107">
        <v>1</v>
      </c>
      <c r="H107">
        <v>2</v>
      </c>
      <c r="K107">
        <v>1</v>
      </c>
      <c r="L107">
        <v>2</v>
      </c>
      <c r="O107">
        <v>3156621.6216216218</v>
      </c>
      <c r="P107">
        <v>2978342.3423423418</v>
      </c>
      <c r="R107">
        <v>157657.65765765801</v>
      </c>
      <c r="S107">
        <v>1216</v>
      </c>
      <c r="T107">
        <v>686</v>
      </c>
    </row>
    <row r="108" spans="1:20" x14ac:dyDescent="0.35">
      <c r="A108" s="7" t="s">
        <v>194</v>
      </c>
      <c r="B108" s="12" t="s">
        <v>195</v>
      </c>
      <c r="C108">
        <v>163761164.73793125</v>
      </c>
      <c r="D108">
        <v>165227001.93234187</v>
      </c>
      <c r="E108">
        <v>566216.21621621703</v>
      </c>
      <c r="F108">
        <v>558558.55855855905</v>
      </c>
      <c r="G108">
        <v>16</v>
      </c>
      <c r="H108">
        <v>25</v>
      </c>
      <c r="K108">
        <v>24</v>
      </c>
      <c r="L108">
        <v>29</v>
      </c>
      <c r="M108">
        <v>5151801.8018018017</v>
      </c>
      <c r="N108">
        <v>1909909.9099099089</v>
      </c>
      <c r="O108">
        <v>31638729.729729727</v>
      </c>
      <c r="P108">
        <v>33160378.378378376</v>
      </c>
      <c r="Q108">
        <v>4832252.2522522509</v>
      </c>
      <c r="R108">
        <v>5022342.3423423441</v>
      </c>
      <c r="S108">
        <v>18270</v>
      </c>
      <c r="T108">
        <v>18899</v>
      </c>
    </row>
    <row r="109" spans="1:20" x14ac:dyDescent="0.35">
      <c r="A109" s="7" t="s">
        <v>196</v>
      </c>
      <c r="B109" s="12" t="s">
        <v>80</v>
      </c>
      <c r="C109">
        <v>51464480.233467214</v>
      </c>
      <c r="D109">
        <v>51531936.844860047</v>
      </c>
      <c r="E109">
        <v>33333.333333333998</v>
      </c>
      <c r="F109">
        <v>94594.594594597002</v>
      </c>
      <c r="G109">
        <v>6</v>
      </c>
      <c r="H109">
        <v>8</v>
      </c>
      <c r="K109">
        <v>8</v>
      </c>
      <c r="L109">
        <v>10</v>
      </c>
      <c r="M109">
        <v>7970270.2702702656</v>
      </c>
      <c r="N109">
        <v>4202702.7027027039</v>
      </c>
      <c r="O109">
        <v>12868504.504504504</v>
      </c>
      <c r="P109">
        <v>14106360.36036036</v>
      </c>
      <c r="Q109">
        <v>6528468.4684684677</v>
      </c>
      <c r="R109">
        <v>5518468.4684684677</v>
      </c>
      <c r="S109">
        <v>6721</v>
      </c>
      <c r="T109">
        <v>6594</v>
      </c>
    </row>
    <row r="110" spans="1:20" x14ac:dyDescent="0.35">
      <c r="A110" s="7" t="s">
        <v>197</v>
      </c>
      <c r="B110" s="12" t="s">
        <v>108</v>
      </c>
      <c r="C110">
        <v>40393026.240142003</v>
      </c>
      <c r="D110">
        <v>44743741.701478489</v>
      </c>
      <c r="E110">
        <v>28648.64864865</v>
      </c>
      <c r="F110">
        <v>180180.18018018099</v>
      </c>
      <c r="G110">
        <v>7</v>
      </c>
      <c r="H110">
        <v>6</v>
      </c>
      <c r="K110">
        <v>7</v>
      </c>
      <c r="L110">
        <v>10</v>
      </c>
      <c r="M110">
        <v>1590810.8108108109</v>
      </c>
      <c r="N110">
        <v>2406306.3063063058</v>
      </c>
      <c r="O110">
        <v>10267702.702702705</v>
      </c>
      <c r="P110">
        <v>12997495.495495496</v>
      </c>
      <c r="Q110">
        <v>1798018.0180180171</v>
      </c>
      <c r="R110">
        <v>1972612.612612613</v>
      </c>
      <c r="S110">
        <v>6983</v>
      </c>
      <c r="T110">
        <v>8751</v>
      </c>
    </row>
    <row r="111" spans="1:20" x14ac:dyDescent="0.35">
      <c r="A111" s="7" t="s">
        <v>198</v>
      </c>
      <c r="B111" s="12" t="s">
        <v>92</v>
      </c>
      <c r="C111">
        <v>23170078.21946732</v>
      </c>
      <c r="D111">
        <v>23090760.306468502</v>
      </c>
      <c r="E111">
        <v>10451531.531531531</v>
      </c>
      <c r="F111">
        <v>247747.747747749</v>
      </c>
      <c r="G111">
        <v>5</v>
      </c>
      <c r="H111">
        <v>12</v>
      </c>
      <c r="K111">
        <v>5</v>
      </c>
      <c r="L111">
        <v>54</v>
      </c>
      <c r="M111">
        <v>13935090.09009009</v>
      </c>
      <c r="N111">
        <v>355855.85585585702</v>
      </c>
      <c r="O111">
        <v>5395315.3153153164</v>
      </c>
      <c r="P111">
        <v>5298639.6396396393</v>
      </c>
      <c r="Q111">
        <v>11424324.324324325</v>
      </c>
      <c r="R111">
        <v>1011711.7117117119</v>
      </c>
      <c r="S111">
        <v>2858</v>
      </c>
      <c r="T111">
        <v>2900</v>
      </c>
    </row>
    <row r="112" spans="1:20" x14ac:dyDescent="0.35">
      <c r="A112" s="7" t="s">
        <v>199</v>
      </c>
      <c r="B112" s="12" t="s">
        <v>123</v>
      </c>
      <c r="C112">
        <v>25704552.129502118</v>
      </c>
      <c r="D112">
        <v>18916127.630137168</v>
      </c>
      <c r="E112">
        <v>481981.98198198201</v>
      </c>
      <c r="G112">
        <v>11</v>
      </c>
      <c r="H112">
        <v>2</v>
      </c>
      <c r="K112">
        <v>14</v>
      </c>
      <c r="L112">
        <v>2</v>
      </c>
      <c r="M112">
        <v>3905405.405405405</v>
      </c>
      <c r="O112">
        <v>5243513.5135135138</v>
      </c>
      <c r="P112">
        <v>2713531.5315315318</v>
      </c>
      <c r="Q112">
        <v>930450.450450451</v>
      </c>
      <c r="R112">
        <v>1026036.036036036</v>
      </c>
      <c r="S112">
        <v>2563</v>
      </c>
      <c r="T112">
        <v>2419</v>
      </c>
    </row>
    <row r="113" spans="1:20" x14ac:dyDescent="0.35">
      <c r="A113" s="7" t="s">
        <v>200</v>
      </c>
      <c r="B113" s="12" t="s">
        <v>60</v>
      </c>
      <c r="C113">
        <v>14742777.364983451</v>
      </c>
      <c r="D113">
        <v>14661943.206727477</v>
      </c>
      <c r="E113">
        <v>6306.3063063070003</v>
      </c>
      <c r="F113">
        <v>54054.054054054999</v>
      </c>
      <c r="G113">
        <v>5</v>
      </c>
      <c r="H113">
        <v>1</v>
      </c>
      <c r="K113">
        <v>6</v>
      </c>
      <c r="L113">
        <v>2</v>
      </c>
      <c r="M113">
        <v>1600900.9009009011</v>
      </c>
      <c r="N113">
        <v>1333333.333333333</v>
      </c>
      <c r="O113">
        <v>1938693.693693694</v>
      </c>
      <c r="P113">
        <v>2213594.594594595</v>
      </c>
      <c r="Q113">
        <v>715225.22522522497</v>
      </c>
      <c r="R113">
        <v>1128378.3783783789</v>
      </c>
      <c r="S113">
        <v>3489</v>
      </c>
      <c r="T113">
        <v>2796</v>
      </c>
    </row>
    <row r="114" spans="1:20" x14ac:dyDescent="0.35">
      <c r="A114" s="7" t="s">
        <v>201</v>
      </c>
      <c r="B114" s="12" t="s">
        <v>60</v>
      </c>
      <c r="C114">
        <v>5118836.1452333434</v>
      </c>
      <c r="D114">
        <v>5086939.6926691439</v>
      </c>
      <c r="E114">
        <v>22702.702702703002</v>
      </c>
      <c r="G114">
        <v>2</v>
      </c>
      <c r="H114">
        <v>3</v>
      </c>
      <c r="K114">
        <v>3</v>
      </c>
      <c r="L114">
        <v>3</v>
      </c>
      <c r="M114">
        <v>67747.747747747999</v>
      </c>
      <c r="N114">
        <v>828828.82882882899</v>
      </c>
      <c r="O114">
        <v>1529144.1441441439</v>
      </c>
      <c r="P114">
        <v>861243.24324324401</v>
      </c>
      <c r="Q114">
        <v>293243.24324324302</v>
      </c>
      <c r="R114">
        <v>63063.063063062997</v>
      </c>
      <c r="S114">
        <v>1135</v>
      </c>
      <c r="T114">
        <v>1434</v>
      </c>
    </row>
    <row r="115" spans="1:20" x14ac:dyDescent="0.35">
      <c r="A115" s="7" t="s">
        <v>202</v>
      </c>
      <c r="B115" s="12" t="s">
        <v>121</v>
      </c>
      <c r="C115">
        <v>11578777.603074459</v>
      </c>
      <c r="D115">
        <v>9100824.4714994282</v>
      </c>
      <c r="E115">
        <v>4504.5045045050001</v>
      </c>
      <c r="F115">
        <v>13513.513513514001</v>
      </c>
      <c r="G115">
        <v>7</v>
      </c>
      <c r="H115">
        <v>5</v>
      </c>
      <c r="K115">
        <v>10</v>
      </c>
      <c r="L115">
        <v>7</v>
      </c>
      <c r="M115">
        <v>4504.5045045050001</v>
      </c>
      <c r="N115">
        <v>13513.513513514001</v>
      </c>
      <c r="O115">
        <v>808063.06306306296</v>
      </c>
      <c r="P115">
        <v>1172153.1531531529</v>
      </c>
      <c r="S115">
        <v>1543</v>
      </c>
      <c r="T115">
        <v>1368</v>
      </c>
    </row>
    <row r="116" spans="1:20" x14ac:dyDescent="0.35">
      <c r="A116" s="7" t="s">
        <v>203</v>
      </c>
      <c r="B116" s="12" t="s">
        <v>54</v>
      </c>
      <c r="C116">
        <v>15547204.319971008</v>
      </c>
      <c r="D116">
        <v>15450278.372658849</v>
      </c>
      <c r="E116">
        <v>900.900900901</v>
      </c>
      <c r="G116">
        <v>3</v>
      </c>
      <c r="H116">
        <v>2</v>
      </c>
      <c r="K116">
        <v>4</v>
      </c>
      <c r="L116">
        <v>2</v>
      </c>
      <c r="M116">
        <v>1217117.117117116</v>
      </c>
      <c r="O116">
        <v>3356936.9369369368</v>
      </c>
      <c r="P116">
        <v>4099738.7387387389</v>
      </c>
      <c r="Q116">
        <v>645135.13513513503</v>
      </c>
      <c r="R116">
        <v>541351.35135135194</v>
      </c>
      <c r="S116">
        <v>3866</v>
      </c>
      <c r="T116">
        <v>3607</v>
      </c>
    </row>
    <row r="117" spans="1:20" x14ac:dyDescent="0.35">
      <c r="A117" s="7" t="s">
        <v>204</v>
      </c>
      <c r="B117" s="12" t="s">
        <v>136</v>
      </c>
      <c r="C117">
        <v>59301815.06283462</v>
      </c>
      <c r="D117">
        <v>51406672.024581872</v>
      </c>
      <c r="E117">
        <v>216666.66666666599</v>
      </c>
      <c r="F117">
        <v>81081.081081081997</v>
      </c>
      <c r="G117">
        <v>16</v>
      </c>
      <c r="H117">
        <v>5</v>
      </c>
      <c r="K117">
        <v>19</v>
      </c>
      <c r="L117">
        <v>6</v>
      </c>
      <c r="M117">
        <v>3459909.9099099091</v>
      </c>
      <c r="N117">
        <v>1432432.432432432</v>
      </c>
      <c r="O117">
        <v>9607072.072072072</v>
      </c>
      <c r="P117">
        <v>9726090.0900900885</v>
      </c>
      <c r="Q117">
        <v>3697657.6576576559</v>
      </c>
      <c r="R117">
        <v>3656846.8468468469</v>
      </c>
      <c r="S117">
        <v>5891</v>
      </c>
      <c r="T117">
        <v>5623</v>
      </c>
    </row>
    <row r="118" spans="1:20" x14ac:dyDescent="0.35">
      <c r="A118" s="7" t="s">
        <v>205</v>
      </c>
      <c r="B118" s="12" t="s">
        <v>136</v>
      </c>
      <c r="C118">
        <v>27626882.868050821</v>
      </c>
      <c r="D118">
        <v>26715195.842714015</v>
      </c>
      <c r="E118">
        <v>900.900900901</v>
      </c>
      <c r="F118">
        <v>27027.027027027001</v>
      </c>
      <c r="G118">
        <v>4</v>
      </c>
      <c r="H118">
        <v>4</v>
      </c>
      <c r="K118">
        <v>6</v>
      </c>
      <c r="L118">
        <v>6</v>
      </c>
      <c r="M118">
        <v>451351.35135135101</v>
      </c>
      <c r="N118">
        <v>1045045.045045044</v>
      </c>
      <c r="O118">
        <v>4640720.7207207195</v>
      </c>
      <c r="P118">
        <v>5500585.5855855849</v>
      </c>
      <c r="Q118">
        <v>167117.11711711701</v>
      </c>
      <c r="R118">
        <v>616666.66666666605</v>
      </c>
      <c r="S118">
        <v>3210</v>
      </c>
      <c r="T118">
        <v>3137</v>
      </c>
    </row>
    <row r="119" spans="1:20" x14ac:dyDescent="0.35">
      <c r="A119" s="7" t="s">
        <v>206</v>
      </c>
      <c r="B119" s="12" t="s">
        <v>169</v>
      </c>
      <c r="C119">
        <v>56729414.736812502</v>
      </c>
      <c r="D119">
        <v>62146423.596694984</v>
      </c>
      <c r="E119">
        <v>308108.10810810799</v>
      </c>
      <c r="F119">
        <v>40540.540540540998</v>
      </c>
      <c r="G119">
        <v>2</v>
      </c>
      <c r="H119">
        <v>2</v>
      </c>
      <c r="K119">
        <v>2</v>
      </c>
      <c r="L119">
        <v>3</v>
      </c>
      <c r="M119">
        <v>363380180.18018013</v>
      </c>
      <c r="N119">
        <v>40540.540540540998</v>
      </c>
      <c r="O119">
        <v>26726666.666666668</v>
      </c>
      <c r="P119">
        <v>28180954.954954956</v>
      </c>
      <c r="Q119">
        <v>262858072.07207206</v>
      </c>
      <c r="R119">
        <v>357927.927927927</v>
      </c>
      <c r="S119">
        <v>7566</v>
      </c>
      <c r="T119">
        <v>13064</v>
      </c>
    </row>
    <row r="120" spans="1:20" x14ac:dyDescent="0.35">
      <c r="A120" s="7" t="s">
        <v>207</v>
      </c>
      <c r="B120" s="12" t="s">
        <v>161</v>
      </c>
      <c r="C120">
        <v>66622164.443605959</v>
      </c>
      <c r="D120">
        <v>75545021.232380822</v>
      </c>
      <c r="E120">
        <v>295135.13513513398</v>
      </c>
      <c r="F120">
        <v>40540.540540542002</v>
      </c>
      <c r="G120">
        <v>11</v>
      </c>
      <c r="H120">
        <v>14</v>
      </c>
      <c r="K120">
        <v>17</v>
      </c>
      <c r="L120">
        <v>40</v>
      </c>
      <c r="M120">
        <v>7081441.4414414372</v>
      </c>
      <c r="N120">
        <v>5955855.855855857</v>
      </c>
      <c r="O120">
        <v>18050261.261261266</v>
      </c>
      <c r="P120">
        <v>21237711.711711712</v>
      </c>
      <c r="Q120">
        <v>9184504.5045045</v>
      </c>
      <c r="R120">
        <v>4330720.7207207214</v>
      </c>
      <c r="S120">
        <v>12021</v>
      </c>
      <c r="T120">
        <v>12775</v>
      </c>
    </row>
    <row r="121" spans="1:20" x14ac:dyDescent="0.35">
      <c r="A121" s="7" t="s">
        <v>208</v>
      </c>
      <c r="B121" s="12" t="s">
        <v>76</v>
      </c>
      <c r="C121">
        <v>2601848.0840836531</v>
      </c>
      <c r="D121">
        <v>2429066.1748935049</v>
      </c>
      <c r="E121">
        <v>21621621.621621624</v>
      </c>
      <c r="N121">
        <v>27027.027027027001</v>
      </c>
      <c r="O121">
        <v>131081.08108108101</v>
      </c>
      <c r="P121">
        <v>183828.82882882899</v>
      </c>
      <c r="S121">
        <v>517</v>
      </c>
      <c r="T121">
        <v>525</v>
      </c>
    </row>
    <row r="122" spans="1:20" x14ac:dyDescent="0.35">
      <c r="A122" s="7" t="s">
        <v>209</v>
      </c>
      <c r="B122" s="12" t="s">
        <v>76</v>
      </c>
      <c r="C122">
        <v>33681212.125102535</v>
      </c>
      <c r="D122">
        <v>30091633.691937797</v>
      </c>
      <c r="E122">
        <v>457391.89189189201</v>
      </c>
      <c r="F122">
        <v>558984.68468468694</v>
      </c>
      <c r="G122">
        <v>10</v>
      </c>
      <c r="H122">
        <v>10</v>
      </c>
      <c r="K122">
        <v>14</v>
      </c>
      <c r="L122">
        <v>16</v>
      </c>
      <c r="M122">
        <v>3245495.4954955</v>
      </c>
      <c r="N122">
        <v>3480810.8108108141</v>
      </c>
      <c r="O122">
        <v>4426846.8468468487</v>
      </c>
      <c r="P122">
        <v>4283873.8738738745</v>
      </c>
      <c r="Q122">
        <v>3300540.5405405471</v>
      </c>
      <c r="R122">
        <v>3098108.1081081089</v>
      </c>
      <c r="S122">
        <v>4562</v>
      </c>
      <c r="T122">
        <v>4436</v>
      </c>
    </row>
    <row r="123" spans="1:20" x14ac:dyDescent="0.35">
      <c r="A123" s="7" t="s">
        <v>210</v>
      </c>
      <c r="B123" s="12" t="s">
        <v>76</v>
      </c>
      <c r="C123">
        <v>43314793.957990631</v>
      </c>
      <c r="D123">
        <v>38326596.280082837</v>
      </c>
      <c r="E123">
        <v>172972.972972975</v>
      </c>
      <c r="F123">
        <v>527027.02702702896</v>
      </c>
      <c r="G123">
        <v>21</v>
      </c>
      <c r="H123">
        <v>21</v>
      </c>
      <c r="K123">
        <v>26</v>
      </c>
      <c r="L123">
        <v>26</v>
      </c>
      <c r="M123">
        <v>9452252.2522522509</v>
      </c>
      <c r="N123">
        <v>15800000.000000002</v>
      </c>
      <c r="O123">
        <v>11682117.117117116</v>
      </c>
      <c r="P123">
        <v>12684504.504504504</v>
      </c>
      <c r="Q123">
        <v>8741441.4414414428</v>
      </c>
      <c r="R123">
        <v>13929459.459459463</v>
      </c>
      <c r="S123">
        <v>6957</v>
      </c>
      <c r="T123">
        <v>7595</v>
      </c>
    </row>
    <row r="124" spans="1:20" x14ac:dyDescent="0.35">
      <c r="A124" s="7" t="s">
        <v>211</v>
      </c>
      <c r="B124" s="12" t="s">
        <v>76</v>
      </c>
      <c r="C124">
        <v>28668561.020445276</v>
      </c>
      <c r="D124">
        <v>28167335.164874289</v>
      </c>
      <c r="E124">
        <v>22972.972972973999</v>
      </c>
      <c r="F124">
        <v>279279.279279284</v>
      </c>
      <c r="G124">
        <v>12</v>
      </c>
      <c r="H124">
        <v>8</v>
      </c>
      <c r="K124">
        <v>16</v>
      </c>
      <c r="L124">
        <v>10</v>
      </c>
      <c r="M124">
        <v>1788738.738738738</v>
      </c>
      <c r="N124">
        <v>549549.54954955401</v>
      </c>
      <c r="O124">
        <v>4294549.549549548</v>
      </c>
      <c r="P124">
        <v>3446522.5225225231</v>
      </c>
      <c r="Q124">
        <v>2838558.5585585572</v>
      </c>
      <c r="R124">
        <v>1694054.054054054</v>
      </c>
      <c r="S124">
        <v>4007</v>
      </c>
      <c r="T124">
        <v>4060</v>
      </c>
    </row>
    <row r="125" spans="1:20" x14ac:dyDescent="0.35">
      <c r="A125" s="7" t="s">
        <v>212</v>
      </c>
      <c r="B125" s="12" t="s">
        <v>76</v>
      </c>
      <c r="C125">
        <v>10971830.354350828</v>
      </c>
      <c r="D125">
        <v>10577662.74057194</v>
      </c>
      <c r="E125">
        <v>2252.2522522519998</v>
      </c>
      <c r="G125">
        <v>3</v>
      </c>
      <c r="K125">
        <v>3</v>
      </c>
      <c r="M125">
        <v>272522.52252252301</v>
      </c>
      <c r="O125">
        <v>1587567.567567568</v>
      </c>
      <c r="P125">
        <v>1565927.927927928</v>
      </c>
      <c r="Q125">
        <v>87837.837837838</v>
      </c>
      <c r="R125">
        <v>95945.945945946005</v>
      </c>
      <c r="S125">
        <v>1812</v>
      </c>
      <c r="T125">
        <v>2209</v>
      </c>
    </row>
    <row r="126" spans="1:20" x14ac:dyDescent="0.35">
      <c r="A126" s="7" t="s">
        <v>213</v>
      </c>
      <c r="B126" s="12" t="s">
        <v>214</v>
      </c>
      <c r="C126">
        <v>12375840.609236391</v>
      </c>
      <c r="D126">
        <v>15471849.084951077</v>
      </c>
      <c r="E126">
        <v>72522.522522522995</v>
      </c>
      <c r="F126">
        <v>126126.126126128</v>
      </c>
      <c r="G126">
        <v>4</v>
      </c>
      <c r="H126">
        <v>10</v>
      </c>
      <c r="K126">
        <v>4</v>
      </c>
      <c r="L126">
        <v>14</v>
      </c>
      <c r="M126">
        <v>4612342.3423423441</v>
      </c>
      <c r="N126">
        <v>126126.126126128</v>
      </c>
      <c r="O126">
        <v>6182567.5675675673</v>
      </c>
      <c r="P126">
        <v>7656855.8558558561</v>
      </c>
      <c r="Q126">
        <v>2591081.0810810821</v>
      </c>
      <c r="R126">
        <v>826306.30630630604</v>
      </c>
      <c r="S126">
        <v>2457</v>
      </c>
      <c r="T126">
        <v>2340</v>
      </c>
    </row>
    <row r="127" spans="1:20" x14ac:dyDescent="0.35">
      <c r="A127" s="7" t="s">
        <v>215</v>
      </c>
      <c r="B127" s="12" t="s">
        <v>167</v>
      </c>
      <c r="C127">
        <v>10574781.12290331</v>
      </c>
      <c r="D127">
        <v>16216518.738809656</v>
      </c>
      <c r="E127">
        <v>900.900900901</v>
      </c>
      <c r="G127">
        <v>1</v>
      </c>
      <c r="K127">
        <v>1</v>
      </c>
      <c r="L127">
        <v>1</v>
      </c>
      <c r="M127">
        <v>900.900900901</v>
      </c>
      <c r="O127">
        <v>2154369.3693693699</v>
      </c>
      <c r="P127">
        <v>2956927.927927928</v>
      </c>
      <c r="S127">
        <v>1809</v>
      </c>
      <c r="T127">
        <v>1796</v>
      </c>
    </row>
    <row r="128" spans="1:20" x14ac:dyDescent="0.35">
      <c r="A128" s="7" t="s">
        <v>216</v>
      </c>
      <c r="B128" s="12" t="s">
        <v>85</v>
      </c>
      <c r="C128">
        <v>2784029.5387507561</v>
      </c>
      <c r="D128">
        <v>3907367.6612529238</v>
      </c>
      <c r="E128">
        <v>6306.3063063070003</v>
      </c>
      <c r="H128">
        <v>4</v>
      </c>
      <c r="L128">
        <v>4</v>
      </c>
      <c r="M128">
        <v>5772072.0720720738</v>
      </c>
      <c r="N128">
        <v>360360.36036036001</v>
      </c>
      <c r="O128">
        <v>835036.03603603598</v>
      </c>
      <c r="P128">
        <v>1127801.801801801</v>
      </c>
      <c r="Q128">
        <v>745315.31531531597</v>
      </c>
      <c r="R128">
        <v>766756.75675675704</v>
      </c>
      <c r="S128">
        <v>639</v>
      </c>
      <c r="T128">
        <v>639</v>
      </c>
    </row>
    <row r="129" spans="1:20" x14ac:dyDescent="0.35">
      <c r="A129" s="7" t="s">
        <v>217</v>
      </c>
      <c r="B129" s="12" t="s">
        <v>85</v>
      </c>
      <c r="C129">
        <v>16073065.43728856</v>
      </c>
      <c r="D129">
        <v>14460902.785649382</v>
      </c>
      <c r="E129">
        <v>3603.603603604</v>
      </c>
      <c r="G129">
        <v>8</v>
      </c>
      <c r="H129">
        <v>5</v>
      </c>
      <c r="K129">
        <v>11</v>
      </c>
      <c r="L129">
        <v>6</v>
      </c>
      <c r="M129">
        <v>1670270.2702702701</v>
      </c>
      <c r="N129">
        <v>297297.29729729699</v>
      </c>
      <c r="O129">
        <v>2412792.7927927929</v>
      </c>
      <c r="P129">
        <v>2852423.423423423</v>
      </c>
      <c r="Q129">
        <v>1356396.396396396</v>
      </c>
      <c r="R129">
        <v>489189.189189189</v>
      </c>
      <c r="S129">
        <v>2532</v>
      </c>
      <c r="T129">
        <v>2432</v>
      </c>
    </row>
    <row r="130" spans="1:20" x14ac:dyDescent="0.35">
      <c r="A130" s="7" t="s">
        <v>218</v>
      </c>
      <c r="B130" s="12" t="s">
        <v>147</v>
      </c>
      <c r="C130">
        <v>14462276.122291436</v>
      </c>
      <c r="D130">
        <v>13399034.810287613</v>
      </c>
      <c r="E130">
        <v>900.900900901</v>
      </c>
      <c r="F130">
        <v>554054.05405405501</v>
      </c>
      <c r="G130">
        <v>4</v>
      </c>
      <c r="H130">
        <v>5</v>
      </c>
      <c r="K130">
        <v>6</v>
      </c>
      <c r="L130">
        <v>63</v>
      </c>
      <c r="M130">
        <v>451351.35135135101</v>
      </c>
      <c r="N130">
        <v>6160360.360360357</v>
      </c>
      <c r="O130">
        <v>3609351.3513513501</v>
      </c>
      <c r="P130">
        <v>5875864.8648648644</v>
      </c>
      <c r="Q130">
        <v>692702.70270270295</v>
      </c>
      <c r="R130">
        <v>5891531.5315315286</v>
      </c>
      <c r="S130">
        <v>2492</v>
      </c>
      <c r="T130">
        <v>2532</v>
      </c>
    </row>
    <row r="131" spans="1:20" x14ac:dyDescent="0.35">
      <c r="A131" s="7" t="s">
        <v>219</v>
      </c>
      <c r="B131" s="12" t="s">
        <v>220</v>
      </c>
      <c r="C131">
        <v>28642900.590436447</v>
      </c>
      <c r="D131">
        <v>27323885.132313266</v>
      </c>
      <c r="E131">
        <v>6873153.1531531531</v>
      </c>
      <c r="F131">
        <v>94594.594594594993</v>
      </c>
      <c r="G131">
        <v>3</v>
      </c>
      <c r="H131">
        <v>5</v>
      </c>
      <c r="K131">
        <v>4</v>
      </c>
      <c r="L131">
        <v>5</v>
      </c>
      <c r="M131">
        <v>28660765.76576576</v>
      </c>
      <c r="N131">
        <v>4721711.711711715</v>
      </c>
      <c r="O131">
        <v>6843729.7297297288</v>
      </c>
      <c r="P131">
        <v>6686477.4774774788</v>
      </c>
      <c r="Q131">
        <v>45279099.0990991</v>
      </c>
      <c r="R131">
        <v>6473783.7837837851</v>
      </c>
      <c r="S131">
        <v>6462</v>
      </c>
      <c r="T131">
        <v>6459</v>
      </c>
    </row>
    <row r="132" spans="1:20" x14ac:dyDescent="0.35">
      <c r="A132" s="7" t="s">
        <v>221</v>
      </c>
      <c r="B132" s="12" t="s">
        <v>52</v>
      </c>
      <c r="C132">
        <v>70120528.793987826</v>
      </c>
      <c r="D132">
        <v>69624423.776036009</v>
      </c>
      <c r="E132">
        <v>150450.450450451</v>
      </c>
      <c r="F132">
        <v>382882.88288288598</v>
      </c>
      <c r="G132">
        <v>15</v>
      </c>
      <c r="H132">
        <v>17</v>
      </c>
      <c r="K132">
        <v>17</v>
      </c>
      <c r="L132">
        <v>26</v>
      </c>
      <c r="M132">
        <v>1530270.270270268</v>
      </c>
      <c r="N132">
        <v>1072072.0720720759</v>
      </c>
      <c r="O132">
        <v>21616981.981981985</v>
      </c>
      <c r="P132">
        <v>21867900.9009009</v>
      </c>
      <c r="Q132">
        <v>2360540.5405405392</v>
      </c>
      <c r="R132">
        <v>8462432.4324324336</v>
      </c>
      <c r="S132">
        <v>10829</v>
      </c>
      <c r="T132">
        <v>10258</v>
      </c>
    </row>
    <row r="133" spans="1:20" x14ac:dyDescent="0.35">
      <c r="A133" s="7" t="s">
        <v>222</v>
      </c>
      <c r="B133" s="12" t="s">
        <v>76</v>
      </c>
      <c r="C133">
        <v>53429296.259780183</v>
      </c>
      <c r="D133">
        <v>49999312.893363535</v>
      </c>
      <c r="E133">
        <v>39279.279279278999</v>
      </c>
      <c r="F133">
        <v>121621.621621623</v>
      </c>
      <c r="G133">
        <v>14</v>
      </c>
      <c r="H133">
        <v>11</v>
      </c>
      <c r="K133">
        <v>16</v>
      </c>
      <c r="L133">
        <v>14</v>
      </c>
      <c r="M133">
        <v>4503243.2432432454</v>
      </c>
      <c r="N133">
        <v>5178378.3783783773</v>
      </c>
      <c r="O133">
        <v>8976702.702702703</v>
      </c>
      <c r="P133">
        <v>9812360.3603603598</v>
      </c>
      <c r="Q133">
        <v>3149009.0090090078</v>
      </c>
      <c r="R133">
        <v>3737387.3873873861</v>
      </c>
      <c r="S133">
        <v>7091</v>
      </c>
      <c r="T133">
        <v>7094</v>
      </c>
    </row>
    <row r="134" spans="1:20" x14ac:dyDescent="0.35">
      <c r="A134" s="7" t="s">
        <v>223</v>
      </c>
      <c r="B134" s="12" t="s">
        <v>224</v>
      </c>
      <c r="C134">
        <v>4342963.3545194054</v>
      </c>
      <c r="D134">
        <v>4301205.2730108649</v>
      </c>
      <c r="G134">
        <v>1</v>
      </c>
      <c r="K134">
        <v>1</v>
      </c>
      <c r="O134">
        <v>887072.07207207195</v>
      </c>
      <c r="P134">
        <v>731756.75675675704</v>
      </c>
      <c r="Q134">
        <v>64414.414414414001</v>
      </c>
      <c r="R134">
        <v>83153.153153153005</v>
      </c>
      <c r="S134">
        <v>834</v>
      </c>
      <c r="T134">
        <v>802</v>
      </c>
    </row>
    <row r="135" spans="1:20" x14ac:dyDescent="0.35">
      <c r="A135" s="7" t="s">
        <v>225</v>
      </c>
      <c r="B135" s="12" t="s">
        <v>143</v>
      </c>
      <c r="C135">
        <v>49387524.109425023</v>
      </c>
      <c r="D135">
        <v>42710057.288240835</v>
      </c>
      <c r="E135">
        <v>1801.801801802</v>
      </c>
      <c r="F135">
        <v>135135.13513513701</v>
      </c>
      <c r="G135">
        <v>6</v>
      </c>
      <c r="H135">
        <v>7</v>
      </c>
      <c r="K135">
        <v>10</v>
      </c>
      <c r="L135">
        <v>11</v>
      </c>
      <c r="M135">
        <v>2461261.2612612611</v>
      </c>
      <c r="N135">
        <v>1153153.1531531541</v>
      </c>
      <c r="O135">
        <v>5163054.0540540526</v>
      </c>
      <c r="P135">
        <v>4768702.702702703</v>
      </c>
      <c r="Q135">
        <v>1651531.5315315309</v>
      </c>
      <c r="R135">
        <v>1418468.4684684691</v>
      </c>
      <c r="S135">
        <v>6199</v>
      </c>
      <c r="T135">
        <v>6095</v>
      </c>
    </row>
    <row r="136" spans="1:20" x14ac:dyDescent="0.35">
      <c r="A136" s="7" t="s">
        <v>226</v>
      </c>
      <c r="B136" s="12" t="s">
        <v>224</v>
      </c>
      <c r="C136">
        <v>5125539.0442193896</v>
      </c>
      <c r="D136">
        <v>4901329.1963790953</v>
      </c>
      <c r="F136">
        <v>27027.027027028002</v>
      </c>
      <c r="G136">
        <v>1</v>
      </c>
      <c r="H136">
        <v>2</v>
      </c>
      <c r="K136">
        <v>1</v>
      </c>
      <c r="L136">
        <v>2</v>
      </c>
      <c r="M136">
        <v>889009.00900900795</v>
      </c>
      <c r="N136">
        <v>27027.027027028002</v>
      </c>
      <c r="O136">
        <v>1025045.045045045</v>
      </c>
      <c r="P136">
        <v>1065261.2612612611</v>
      </c>
      <c r="Q136">
        <v>611081.08108108095</v>
      </c>
      <c r="R136">
        <v>231981.98198198201</v>
      </c>
      <c r="S136">
        <v>755</v>
      </c>
      <c r="T136">
        <v>690</v>
      </c>
    </row>
    <row r="137" spans="1:20" x14ac:dyDescent="0.35">
      <c r="A137" s="7" t="s">
        <v>227</v>
      </c>
      <c r="B137" s="12" t="s">
        <v>78</v>
      </c>
      <c r="C137">
        <v>41880742.301806368</v>
      </c>
      <c r="D137">
        <v>43123340.535205103</v>
      </c>
      <c r="E137">
        <v>49549.549549550997</v>
      </c>
      <c r="F137">
        <v>67567.567567569</v>
      </c>
      <c r="G137">
        <v>9</v>
      </c>
      <c r="H137">
        <v>4</v>
      </c>
      <c r="K137">
        <v>11</v>
      </c>
      <c r="L137">
        <v>4</v>
      </c>
      <c r="M137">
        <v>3770270.2702702698</v>
      </c>
      <c r="N137">
        <v>833333.33333333395</v>
      </c>
      <c r="O137">
        <v>14818018.018018018</v>
      </c>
      <c r="P137">
        <v>14118738.73873874</v>
      </c>
      <c r="Q137">
        <v>2599819.8198198192</v>
      </c>
      <c r="R137">
        <v>2822342.3423423418</v>
      </c>
      <c r="S137">
        <v>4900</v>
      </c>
      <c r="T137">
        <v>4828</v>
      </c>
    </row>
    <row r="138" spans="1:20" x14ac:dyDescent="0.35">
      <c r="A138" s="7" t="s">
        <v>228</v>
      </c>
      <c r="B138" s="12" t="s">
        <v>136</v>
      </c>
      <c r="C138">
        <v>56950787.489620887</v>
      </c>
      <c r="D138">
        <v>51960873.217833363</v>
      </c>
      <c r="E138">
        <v>372522.52252252301</v>
      </c>
      <c r="F138">
        <v>54054.054054056003</v>
      </c>
      <c r="G138">
        <v>9</v>
      </c>
      <c r="H138">
        <v>6</v>
      </c>
      <c r="K138">
        <v>13</v>
      </c>
      <c r="L138">
        <v>9</v>
      </c>
      <c r="M138">
        <v>10084234.234234232</v>
      </c>
      <c r="N138">
        <v>9252252.2522522472</v>
      </c>
      <c r="O138">
        <v>10857432.432432432</v>
      </c>
      <c r="P138">
        <v>10974333.333333332</v>
      </c>
      <c r="Q138">
        <v>6177837.8378378367</v>
      </c>
      <c r="R138">
        <v>4380990.9909909898</v>
      </c>
      <c r="S138">
        <v>7624</v>
      </c>
      <c r="T138">
        <v>7588</v>
      </c>
    </row>
    <row r="139" spans="1:20" x14ac:dyDescent="0.35">
      <c r="A139" s="7" t="s">
        <v>229</v>
      </c>
      <c r="B139" s="12" t="s">
        <v>78</v>
      </c>
      <c r="C139">
        <v>14863621.455947576</v>
      </c>
      <c r="D139">
        <v>16102947.562251972</v>
      </c>
      <c r="E139">
        <v>304054.05405405402</v>
      </c>
      <c r="F139">
        <v>171171.171171172</v>
      </c>
      <c r="G139">
        <v>2</v>
      </c>
      <c r="H139">
        <v>3</v>
      </c>
      <c r="K139">
        <v>2</v>
      </c>
      <c r="L139">
        <v>5</v>
      </c>
      <c r="M139">
        <v>5619369.369369369</v>
      </c>
      <c r="N139">
        <v>621621.62162162201</v>
      </c>
      <c r="O139">
        <v>6467792.7927927924</v>
      </c>
      <c r="P139">
        <v>6944360.3603603598</v>
      </c>
      <c r="Q139">
        <v>2594504.5045045041</v>
      </c>
      <c r="R139">
        <v>1750000.0000000021</v>
      </c>
      <c r="S139">
        <v>2576</v>
      </c>
      <c r="T139">
        <v>2628</v>
      </c>
    </row>
    <row r="140" spans="1:20" x14ac:dyDescent="0.35">
      <c r="A140" s="7" t="s">
        <v>230</v>
      </c>
      <c r="B140" s="12" t="s">
        <v>54</v>
      </c>
      <c r="C140">
        <v>45485445.69324667</v>
      </c>
      <c r="D140">
        <v>44760716.708166808</v>
      </c>
      <c r="F140">
        <v>54054.054054054999</v>
      </c>
      <c r="G140">
        <v>2</v>
      </c>
      <c r="H140">
        <v>5</v>
      </c>
      <c r="K140">
        <v>3</v>
      </c>
      <c r="L140">
        <v>5</v>
      </c>
      <c r="M140">
        <v>891891.89189189102</v>
      </c>
      <c r="N140">
        <v>11833333.333333334</v>
      </c>
      <c r="O140">
        <v>10292432.432432432</v>
      </c>
      <c r="P140">
        <v>11543567.567567568</v>
      </c>
      <c r="Q140">
        <v>1328648.648648649</v>
      </c>
      <c r="R140">
        <v>16101441.441441445</v>
      </c>
      <c r="S140">
        <v>6829</v>
      </c>
      <c r="T140">
        <v>6837</v>
      </c>
    </row>
    <row r="141" spans="1:20" x14ac:dyDescent="0.35">
      <c r="A141" s="7" t="s">
        <v>231</v>
      </c>
      <c r="B141" s="12" t="s">
        <v>78</v>
      </c>
      <c r="C141">
        <v>17311289.02412286</v>
      </c>
      <c r="D141">
        <v>16451362.082505044</v>
      </c>
      <c r="E141">
        <v>73873.873873874007</v>
      </c>
      <c r="F141">
        <v>360360.36036036297</v>
      </c>
      <c r="G141">
        <v>5</v>
      </c>
      <c r="H141">
        <v>5</v>
      </c>
      <c r="K141">
        <v>8</v>
      </c>
      <c r="L141">
        <v>7</v>
      </c>
      <c r="M141">
        <v>4848648.6486486467</v>
      </c>
      <c r="N141">
        <v>3027027.0270270281</v>
      </c>
      <c r="O141">
        <v>7222702.702702702</v>
      </c>
      <c r="P141">
        <v>7414648.6486486504</v>
      </c>
      <c r="Q141">
        <v>5212072.072072071</v>
      </c>
      <c r="R141">
        <v>3602702.702702702</v>
      </c>
      <c r="S141">
        <v>3976</v>
      </c>
      <c r="T141">
        <v>4046</v>
      </c>
    </row>
    <row r="142" spans="1:20" x14ac:dyDescent="0.35">
      <c r="A142" s="7" t="s">
        <v>232</v>
      </c>
      <c r="B142" s="12" t="s">
        <v>60</v>
      </c>
      <c r="C142">
        <v>15292385.251654664</v>
      </c>
      <c r="D142">
        <v>16026972.206344979</v>
      </c>
      <c r="G142">
        <v>3</v>
      </c>
      <c r="H142">
        <v>3</v>
      </c>
      <c r="K142">
        <v>4</v>
      </c>
      <c r="L142">
        <v>3</v>
      </c>
      <c r="M142">
        <v>82882.882882883001</v>
      </c>
      <c r="N142">
        <v>27027.027027027001</v>
      </c>
      <c r="O142">
        <v>6003648.6486486495</v>
      </c>
      <c r="P142">
        <v>6186675.6756756753</v>
      </c>
      <c r="S142">
        <v>1944</v>
      </c>
      <c r="T142">
        <v>2016</v>
      </c>
    </row>
    <row r="143" spans="1:20" x14ac:dyDescent="0.35">
      <c r="A143" s="7" t="s">
        <v>233</v>
      </c>
      <c r="B143" s="12" t="s">
        <v>54</v>
      </c>
      <c r="C143">
        <v>7248698.6065442897</v>
      </c>
      <c r="D143">
        <v>7168848.8012531009</v>
      </c>
      <c r="E143">
        <v>9909.9099099100004</v>
      </c>
      <c r="F143">
        <v>13513.513513514001</v>
      </c>
      <c r="H143">
        <v>1</v>
      </c>
      <c r="K143">
        <v>14</v>
      </c>
      <c r="L143">
        <v>1</v>
      </c>
      <c r="M143">
        <v>145045.045045045</v>
      </c>
      <c r="N143">
        <v>13513.513513514001</v>
      </c>
      <c r="O143">
        <v>1583918.9189189191</v>
      </c>
      <c r="P143">
        <v>1550279.2792792791</v>
      </c>
      <c r="Q143">
        <v>252882.88288288299</v>
      </c>
      <c r="R143">
        <v>234414.414414414</v>
      </c>
      <c r="S143">
        <v>1115</v>
      </c>
      <c r="T143">
        <v>1118</v>
      </c>
    </row>
    <row r="144" spans="1:20" x14ac:dyDescent="0.35">
      <c r="A144" s="7" t="s">
        <v>234</v>
      </c>
      <c r="B144" s="12" t="s">
        <v>167</v>
      </c>
      <c r="C144">
        <v>31361157.68161853</v>
      </c>
      <c r="D144">
        <v>33096854.370558213</v>
      </c>
      <c r="E144">
        <v>1801.801801802</v>
      </c>
      <c r="G144">
        <v>2</v>
      </c>
      <c r="H144">
        <v>1</v>
      </c>
      <c r="K144">
        <v>2</v>
      </c>
      <c r="L144">
        <v>2</v>
      </c>
      <c r="M144">
        <v>4524684.6846846873</v>
      </c>
      <c r="N144">
        <v>1855855.855855858</v>
      </c>
      <c r="O144">
        <v>8838810.8108108118</v>
      </c>
      <c r="P144">
        <v>8316162.1621621614</v>
      </c>
      <c r="Q144">
        <v>1690270.2702702731</v>
      </c>
      <c r="R144">
        <v>1079549.5495495489</v>
      </c>
      <c r="S144">
        <v>4855</v>
      </c>
      <c r="T144">
        <v>5104</v>
      </c>
    </row>
    <row r="145" spans="1:20" x14ac:dyDescent="0.35">
      <c r="A145" s="7" t="s">
        <v>235</v>
      </c>
      <c r="B145" s="12" t="s">
        <v>236</v>
      </c>
      <c r="C145">
        <v>5984.8024721499996</v>
      </c>
      <c r="D145">
        <v>22.460741204000001</v>
      </c>
      <c r="S145">
        <v>43</v>
      </c>
      <c r="T145">
        <v>2</v>
      </c>
    </row>
    <row r="146" spans="1:20" x14ac:dyDescent="0.35">
      <c r="A146" s="7" t="s">
        <v>237</v>
      </c>
      <c r="B146" s="12" t="s">
        <v>105</v>
      </c>
      <c r="C146">
        <v>18900357.280007623</v>
      </c>
      <c r="D146">
        <v>18677907.25546068</v>
      </c>
      <c r="E146">
        <v>94504.504504505006</v>
      </c>
      <c r="F146">
        <v>27027.027027027001</v>
      </c>
      <c r="G146">
        <v>1</v>
      </c>
      <c r="H146">
        <v>2</v>
      </c>
      <c r="K146">
        <v>1</v>
      </c>
      <c r="L146">
        <v>3</v>
      </c>
      <c r="M146">
        <v>2617747.7477477472</v>
      </c>
      <c r="N146">
        <v>927927.927927927</v>
      </c>
      <c r="O146">
        <v>4806936.9369369382</v>
      </c>
      <c r="P146">
        <v>4855063.0630630627</v>
      </c>
      <c r="Q146">
        <v>1975045.0450450459</v>
      </c>
      <c r="R146">
        <v>1170900.9009009011</v>
      </c>
      <c r="S146">
        <v>1992</v>
      </c>
      <c r="T146">
        <v>1845</v>
      </c>
    </row>
    <row r="147" spans="1:20" x14ac:dyDescent="0.35">
      <c r="A147" s="7" t="s">
        <v>3</v>
      </c>
      <c r="B147" s="12" t="s">
        <v>158</v>
      </c>
      <c r="C147">
        <v>39517340.103657953</v>
      </c>
      <c r="D147">
        <v>37061190.530450329</v>
      </c>
      <c r="E147">
        <v>476126.12612612802</v>
      </c>
      <c r="F147">
        <v>536036.03603603703</v>
      </c>
      <c r="G147">
        <v>4</v>
      </c>
      <c r="H147">
        <v>1</v>
      </c>
      <c r="K147">
        <v>5</v>
      </c>
      <c r="L147">
        <v>3</v>
      </c>
      <c r="M147">
        <v>13115765.765765769</v>
      </c>
      <c r="N147">
        <v>2382882.8828828838</v>
      </c>
      <c r="O147">
        <v>9362747.7477477472</v>
      </c>
      <c r="P147">
        <v>10584027.027027026</v>
      </c>
      <c r="Q147">
        <v>9847927.9279279318</v>
      </c>
      <c r="R147">
        <v>2172162.1621621619</v>
      </c>
      <c r="S147">
        <v>3753</v>
      </c>
      <c r="T147">
        <v>3657</v>
      </c>
    </row>
    <row r="148" spans="1:20" x14ac:dyDescent="0.35">
      <c r="A148" s="7" t="s">
        <v>238</v>
      </c>
      <c r="B148" s="12" t="s">
        <v>178</v>
      </c>
      <c r="C148">
        <v>32627778.115525745</v>
      </c>
      <c r="D148">
        <v>31782634.343243968</v>
      </c>
      <c r="E148">
        <v>5405.4054054059998</v>
      </c>
      <c r="F148">
        <v>166666.666666668</v>
      </c>
      <c r="G148">
        <v>7</v>
      </c>
      <c r="H148">
        <v>10</v>
      </c>
      <c r="K148">
        <v>10</v>
      </c>
      <c r="L148">
        <v>13</v>
      </c>
      <c r="M148">
        <v>3609009.0090090102</v>
      </c>
      <c r="N148">
        <v>1833333.333333334</v>
      </c>
      <c r="O148">
        <v>11640045.045045046</v>
      </c>
      <c r="P148">
        <v>9924585.5855855849</v>
      </c>
      <c r="Q148">
        <v>3159099.0990990992</v>
      </c>
      <c r="R148">
        <v>3163873.8738738741</v>
      </c>
      <c r="S148">
        <v>5416</v>
      </c>
      <c r="T148">
        <v>5016</v>
      </c>
    </row>
    <row r="149" spans="1:20" x14ac:dyDescent="0.35">
      <c r="A149" s="7" t="s">
        <v>239</v>
      </c>
      <c r="B149" s="12" t="s">
        <v>54</v>
      </c>
      <c r="C149">
        <v>23221099.977996167</v>
      </c>
      <c r="D149">
        <v>22609223.089972075</v>
      </c>
      <c r="E149">
        <v>71711.711711712007</v>
      </c>
      <c r="F149">
        <v>927927.92792793002</v>
      </c>
      <c r="G149">
        <v>3</v>
      </c>
      <c r="H149">
        <v>3</v>
      </c>
      <c r="K149">
        <v>6</v>
      </c>
      <c r="L149">
        <v>4</v>
      </c>
      <c r="M149">
        <v>2369909.9099099101</v>
      </c>
      <c r="N149">
        <v>2144504.5045045069</v>
      </c>
      <c r="O149">
        <v>5706981.9819819834</v>
      </c>
      <c r="P149">
        <v>5387594.5945945941</v>
      </c>
      <c r="Q149">
        <v>2458738.7387387389</v>
      </c>
      <c r="R149">
        <v>2155045.0450450452</v>
      </c>
      <c r="S149">
        <v>3537</v>
      </c>
      <c r="T149">
        <v>3337</v>
      </c>
    </row>
    <row r="150" spans="1:20" x14ac:dyDescent="0.35">
      <c r="A150" s="7" t="s">
        <v>240</v>
      </c>
      <c r="B150" s="12" t="s">
        <v>241</v>
      </c>
      <c r="C150">
        <v>20054992.397818234</v>
      </c>
      <c r="D150">
        <v>18390828.474219296</v>
      </c>
      <c r="E150">
        <v>46846.846846847999</v>
      </c>
      <c r="F150">
        <v>67567.567567567996</v>
      </c>
      <c r="G150">
        <v>11</v>
      </c>
      <c r="H150">
        <v>2</v>
      </c>
      <c r="K150">
        <v>16</v>
      </c>
      <c r="L150">
        <v>4</v>
      </c>
      <c r="M150">
        <v>522522.522522524</v>
      </c>
      <c r="N150">
        <v>2770270.2702702712</v>
      </c>
      <c r="O150">
        <v>4994594.5945945941</v>
      </c>
      <c r="P150">
        <v>3950088.2882882878</v>
      </c>
      <c r="Q150">
        <v>8741891.8918918911</v>
      </c>
      <c r="R150">
        <v>911801.80180180096</v>
      </c>
      <c r="S150">
        <v>2804</v>
      </c>
      <c r="T150">
        <v>2913</v>
      </c>
    </row>
    <row r="151" spans="1:20" x14ac:dyDescent="0.35">
      <c r="A151" s="7" t="s">
        <v>242</v>
      </c>
      <c r="B151" s="12" t="s">
        <v>241</v>
      </c>
      <c r="C151">
        <v>49809336.998470962</v>
      </c>
      <c r="D151">
        <v>48282289.474734426</v>
      </c>
      <c r="E151">
        <v>56756.756756757997</v>
      </c>
      <c r="F151">
        <v>355855.85585585801</v>
      </c>
      <c r="G151">
        <v>12</v>
      </c>
      <c r="H151">
        <v>19</v>
      </c>
      <c r="K151">
        <v>20</v>
      </c>
      <c r="L151">
        <v>22</v>
      </c>
      <c r="M151">
        <v>10729189.189189188</v>
      </c>
      <c r="N151">
        <v>6941891.8918918939</v>
      </c>
      <c r="O151">
        <v>15230261.26126126</v>
      </c>
      <c r="P151">
        <v>14894234.234234232</v>
      </c>
      <c r="Q151">
        <v>6152882.882882881</v>
      </c>
      <c r="R151">
        <v>6809639.6396396402</v>
      </c>
      <c r="S151">
        <v>6897</v>
      </c>
      <c r="T151">
        <v>6890</v>
      </c>
    </row>
    <row r="152" spans="1:20" x14ac:dyDescent="0.35">
      <c r="A152" s="7" t="s">
        <v>243</v>
      </c>
      <c r="B152" s="12" t="s">
        <v>50</v>
      </c>
      <c r="C152">
        <v>9968666.3180832192</v>
      </c>
      <c r="D152">
        <v>8908555.9494377188</v>
      </c>
      <c r="E152">
        <v>967117.11711711797</v>
      </c>
      <c r="F152">
        <v>162162.16216216201</v>
      </c>
      <c r="K152">
        <v>1</v>
      </c>
      <c r="M152">
        <v>1800450.4504504499</v>
      </c>
      <c r="N152">
        <v>162162.16216216201</v>
      </c>
      <c r="O152">
        <v>2949279.2792792791</v>
      </c>
      <c r="P152">
        <v>2448819.8198198201</v>
      </c>
      <c r="Q152">
        <v>970180.18018018105</v>
      </c>
      <c r="R152">
        <v>258288.28828828799</v>
      </c>
      <c r="S152">
        <v>1207</v>
      </c>
      <c r="T152">
        <v>1116</v>
      </c>
    </row>
    <row r="153" spans="1:20" x14ac:dyDescent="0.35">
      <c r="A153" s="7" t="s">
        <v>244</v>
      </c>
      <c r="B153" s="12" t="s">
        <v>181</v>
      </c>
      <c r="C153">
        <v>283858045.31309348</v>
      </c>
      <c r="D153">
        <v>250313883.38305178</v>
      </c>
      <c r="E153">
        <v>1328040.540540545</v>
      </c>
      <c r="F153">
        <v>2430436.9369369498</v>
      </c>
      <c r="G153">
        <v>88</v>
      </c>
      <c r="H153">
        <v>56</v>
      </c>
      <c r="I153">
        <v>2</v>
      </c>
      <c r="K153">
        <v>130</v>
      </c>
      <c r="L153">
        <v>106</v>
      </c>
      <c r="M153">
        <v>28992072.072072059</v>
      </c>
      <c r="N153">
        <v>24517117.117117122</v>
      </c>
      <c r="O153">
        <v>54340126.126126125</v>
      </c>
      <c r="P153">
        <v>57603234.234234229</v>
      </c>
      <c r="Q153">
        <v>26709459.459459454</v>
      </c>
      <c r="R153">
        <v>26947207.20720721</v>
      </c>
      <c r="S153">
        <v>43259</v>
      </c>
      <c r="T153">
        <v>41108</v>
      </c>
    </row>
    <row r="154" spans="1:20" x14ac:dyDescent="0.35">
      <c r="A154" s="7" t="s">
        <v>245</v>
      </c>
      <c r="B154" s="12" t="s">
        <v>48</v>
      </c>
      <c r="C154">
        <v>12903367.067551374</v>
      </c>
      <c r="D154">
        <v>12152144.832847452</v>
      </c>
      <c r="G154">
        <v>3</v>
      </c>
      <c r="K154">
        <v>3</v>
      </c>
      <c r="M154">
        <v>1793873.8738738759</v>
      </c>
      <c r="O154">
        <v>3289549.5495495489</v>
      </c>
      <c r="P154">
        <v>2965180.1801801799</v>
      </c>
      <c r="Q154">
        <v>1970900.900900902</v>
      </c>
      <c r="R154">
        <v>615495.49549549597</v>
      </c>
      <c r="S154">
        <v>1834</v>
      </c>
      <c r="T154">
        <v>3076</v>
      </c>
    </row>
    <row r="155" spans="1:20" x14ac:dyDescent="0.35">
      <c r="A155" s="7" t="s">
        <v>246</v>
      </c>
      <c r="B155" s="12" t="s">
        <v>94</v>
      </c>
      <c r="C155">
        <v>4946116.6792646656</v>
      </c>
      <c r="D155">
        <v>3061627.2749949722</v>
      </c>
      <c r="G155">
        <v>1</v>
      </c>
      <c r="K155">
        <v>1</v>
      </c>
      <c r="O155">
        <v>779486.48648648604</v>
      </c>
      <c r="P155">
        <v>530891.89189189195</v>
      </c>
      <c r="S155">
        <v>701</v>
      </c>
      <c r="T155">
        <v>677</v>
      </c>
    </row>
    <row r="156" spans="1:20" x14ac:dyDescent="0.35">
      <c r="A156" s="7" t="s">
        <v>247</v>
      </c>
      <c r="B156" s="12" t="s">
        <v>117</v>
      </c>
      <c r="C156">
        <v>10645735.882817017</v>
      </c>
      <c r="D156">
        <v>10048449.648793492</v>
      </c>
      <c r="E156">
        <v>184524.32432432499</v>
      </c>
      <c r="F156">
        <v>97422.522522522006</v>
      </c>
      <c r="G156">
        <v>1</v>
      </c>
      <c r="H156">
        <v>2</v>
      </c>
      <c r="K156">
        <v>1</v>
      </c>
      <c r="L156">
        <v>3</v>
      </c>
      <c r="M156">
        <v>1735315.315315315</v>
      </c>
      <c r="N156">
        <v>90090.090090090001</v>
      </c>
      <c r="O156">
        <v>4546711.7117117122</v>
      </c>
      <c r="P156">
        <v>5123369.3693693681</v>
      </c>
      <c r="Q156">
        <v>1443693.6936936909</v>
      </c>
      <c r="R156">
        <v>1213783.7837837839</v>
      </c>
      <c r="S156">
        <v>1616</v>
      </c>
      <c r="T156">
        <v>1785</v>
      </c>
    </row>
    <row r="157" spans="1:20" x14ac:dyDescent="0.35">
      <c r="A157" s="7" t="s">
        <v>248</v>
      </c>
      <c r="B157" s="12" t="s">
        <v>121</v>
      </c>
      <c r="C157">
        <v>19283329.028649829</v>
      </c>
      <c r="D157">
        <v>18968918.748084556</v>
      </c>
      <c r="E157">
        <v>900.900900901</v>
      </c>
      <c r="F157">
        <v>117117.117117118</v>
      </c>
      <c r="G157">
        <v>7</v>
      </c>
      <c r="H157">
        <v>9</v>
      </c>
      <c r="K157">
        <v>10</v>
      </c>
      <c r="L157">
        <v>16</v>
      </c>
      <c r="M157">
        <v>900.900900901</v>
      </c>
      <c r="N157">
        <v>1027027.027027027</v>
      </c>
      <c r="O157">
        <v>1885081.08108108</v>
      </c>
      <c r="P157">
        <v>2101252.2522522518</v>
      </c>
      <c r="Q157">
        <v>622252.25225225196</v>
      </c>
      <c r="R157">
        <v>472162.16216216201</v>
      </c>
      <c r="S157">
        <v>2373</v>
      </c>
      <c r="T157">
        <v>2306</v>
      </c>
    </row>
    <row r="158" spans="1:20" x14ac:dyDescent="0.35">
      <c r="A158" s="7" t="s">
        <v>249</v>
      </c>
      <c r="B158" s="12" t="s">
        <v>76</v>
      </c>
      <c r="C158">
        <v>8385853.2023563916</v>
      </c>
      <c r="D158">
        <v>7930431.077276865</v>
      </c>
      <c r="H158">
        <v>1</v>
      </c>
      <c r="L158">
        <v>2</v>
      </c>
      <c r="O158">
        <v>902954.95495495503</v>
      </c>
      <c r="P158">
        <v>838873.87387387396</v>
      </c>
      <c r="S158">
        <v>1668</v>
      </c>
      <c r="T158">
        <v>1736</v>
      </c>
    </row>
    <row r="159" spans="1:20" x14ac:dyDescent="0.35">
      <c r="A159" s="7" t="s">
        <v>250</v>
      </c>
      <c r="B159" s="12" t="s">
        <v>167</v>
      </c>
      <c r="C159">
        <v>24820107.86073133</v>
      </c>
      <c r="D159">
        <v>24432383.468368616</v>
      </c>
      <c r="G159">
        <v>1</v>
      </c>
      <c r="H159">
        <v>4</v>
      </c>
      <c r="K159">
        <v>1</v>
      </c>
      <c r="L159">
        <v>5</v>
      </c>
      <c r="M159">
        <v>715315.31531531701</v>
      </c>
      <c r="N159">
        <v>54054.054054054999</v>
      </c>
      <c r="O159">
        <v>3908603.6036036029</v>
      </c>
      <c r="P159">
        <v>4004864.8648648649</v>
      </c>
      <c r="Q159">
        <v>317837.83783784002</v>
      </c>
      <c r="R159">
        <v>167567.56756756801</v>
      </c>
      <c r="S159">
        <v>3732</v>
      </c>
      <c r="T159">
        <v>3658</v>
      </c>
    </row>
    <row r="160" spans="1:20" x14ac:dyDescent="0.35">
      <c r="A160" s="7" t="s">
        <v>251</v>
      </c>
      <c r="B160" s="12" t="s">
        <v>89</v>
      </c>
      <c r="C160">
        <v>78194629.027931273</v>
      </c>
      <c r="D160">
        <v>79974339.542947382</v>
      </c>
      <c r="E160">
        <v>1374684.684684685</v>
      </c>
      <c r="F160">
        <v>261261.261261262</v>
      </c>
      <c r="G160">
        <v>10</v>
      </c>
      <c r="H160">
        <v>7</v>
      </c>
      <c r="K160">
        <v>13</v>
      </c>
      <c r="L160">
        <v>13</v>
      </c>
      <c r="M160">
        <v>7720090.0900900876</v>
      </c>
      <c r="N160">
        <v>5436396.3963963958</v>
      </c>
      <c r="O160">
        <v>17006347.747747749</v>
      </c>
      <c r="P160">
        <v>19472531.531531528</v>
      </c>
      <c r="Q160">
        <v>7337117.1171171153</v>
      </c>
      <c r="R160">
        <v>4471981.9819819815</v>
      </c>
      <c r="S160">
        <v>10589</v>
      </c>
      <c r="T160">
        <v>11051</v>
      </c>
    </row>
    <row r="161" spans="1:20" x14ac:dyDescent="0.35">
      <c r="A161" s="7" t="s">
        <v>252</v>
      </c>
      <c r="B161" s="12" t="s">
        <v>78</v>
      </c>
      <c r="C161">
        <v>22869608.520059135</v>
      </c>
      <c r="D161">
        <v>22530939.362819601</v>
      </c>
      <c r="E161">
        <v>249549.549549549</v>
      </c>
      <c r="F161">
        <v>13513.513513514001</v>
      </c>
      <c r="G161">
        <v>3</v>
      </c>
      <c r="H161">
        <v>2</v>
      </c>
      <c r="K161">
        <v>3</v>
      </c>
      <c r="L161">
        <v>3</v>
      </c>
      <c r="M161">
        <v>5754054.0540540526</v>
      </c>
      <c r="N161">
        <v>2761261.2612612611</v>
      </c>
      <c r="O161">
        <v>6368243.2432432435</v>
      </c>
      <c r="P161">
        <v>5990666.666666667</v>
      </c>
      <c r="Q161">
        <v>4897477.4774774788</v>
      </c>
      <c r="R161">
        <v>1237297.2972972989</v>
      </c>
      <c r="S161">
        <v>2925</v>
      </c>
      <c r="T161">
        <v>2835</v>
      </c>
    </row>
    <row r="162" spans="1:20" x14ac:dyDescent="0.35">
      <c r="A162" s="7" t="s">
        <v>253</v>
      </c>
      <c r="B162" s="12" t="s">
        <v>105</v>
      </c>
      <c r="C162">
        <v>41348231.863585532</v>
      </c>
      <c r="D162">
        <v>42470833.987084053</v>
      </c>
      <c r="E162">
        <v>271955.85585585801</v>
      </c>
      <c r="F162">
        <v>577357.65765765996</v>
      </c>
      <c r="G162">
        <v>12</v>
      </c>
      <c r="H162">
        <v>12</v>
      </c>
      <c r="K162">
        <v>13</v>
      </c>
      <c r="L162">
        <v>13</v>
      </c>
      <c r="M162">
        <v>6651171.1711711669</v>
      </c>
      <c r="N162">
        <v>5798918.9189189188</v>
      </c>
      <c r="O162">
        <v>13248333.333333332</v>
      </c>
      <c r="P162">
        <v>11813909.90990991</v>
      </c>
      <c r="Q162">
        <v>5894504.5045045009</v>
      </c>
      <c r="R162">
        <v>6229999.9999999981</v>
      </c>
      <c r="S162">
        <v>5443</v>
      </c>
      <c r="T162">
        <v>5669</v>
      </c>
    </row>
    <row r="163" spans="1:20" x14ac:dyDescent="0.35">
      <c r="A163" s="7" t="s">
        <v>254</v>
      </c>
      <c r="B163" s="12" t="s">
        <v>105</v>
      </c>
      <c r="C163">
        <v>25321267.376098614</v>
      </c>
      <c r="D163">
        <v>25314260.70321108</v>
      </c>
      <c r="E163">
        <v>336936.93693693698</v>
      </c>
      <c r="F163">
        <v>193693.69369369399</v>
      </c>
      <c r="G163">
        <v>3</v>
      </c>
      <c r="H163">
        <v>4</v>
      </c>
      <c r="K163">
        <v>4</v>
      </c>
      <c r="L163">
        <v>6</v>
      </c>
      <c r="M163">
        <v>3242342.3423423409</v>
      </c>
      <c r="N163">
        <v>193693.69369369399</v>
      </c>
      <c r="O163">
        <v>8030360.3603603607</v>
      </c>
      <c r="P163">
        <v>7647846.8468468469</v>
      </c>
      <c r="Q163">
        <v>2207207.207207208</v>
      </c>
      <c r="R163">
        <v>1170990.990990991</v>
      </c>
      <c r="S163">
        <v>3588</v>
      </c>
      <c r="T163">
        <v>3904</v>
      </c>
    </row>
    <row r="164" spans="1:20" x14ac:dyDescent="0.35">
      <c r="A164" s="7" t="s">
        <v>255</v>
      </c>
      <c r="B164" s="12" t="s">
        <v>105</v>
      </c>
      <c r="C164">
        <v>23244405.61552836</v>
      </c>
      <c r="D164">
        <v>23385343.453842331</v>
      </c>
      <c r="E164">
        <v>56756.756756757</v>
      </c>
      <c r="G164">
        <v>2</v>
      </c>
      <c r="H164">
        <v>3</v>
      </c>
      <c r="K164">
        <v>2</v>
      </c>
      <c r="L164">
        <v>4</v>
      </c>
      <c r="M164">
        <v>56756.756756757</v>
      </c>
      <c r="O164">
        <v>4613693.6936936937</v>
      </c>
      <c r="P164">
        <v>5531936.9369369373</v>
      </c>
      <c r="Q164">
        <v>742162.16216216201</v>
      </c>
      <c r="R164">
        <v>26216.216216215998</v>
      </c>
      <c r="S164">
        <v>2170</v>
      </c>
      <c r="T164">
        <v>2138</v>
      </c>
    </row>
    <row r="165" spans="1:20" x14ac:dyDescent="0.35">
      <c r="A165" s="7" t="s">
        <v>256</v>
      </c>
      <c r="B165" s="12" t="s">
        <v>134</v>
      </c>
      <c r="C165">
        <v>40995261.649164014</v>
      </c>
      <c r="D165">
        <v>37022537.678523347</v>
      </c>
      <c r="E165">
        <v>39482367.567567565</v>
      </c>
      <c r="F165">
        <v>26885830.630630631</v>
      </c>
      <c r="G165">
        <v>8</v>
      </c>
      <c r="H165">
        <v>3</v>
      </c>
      <c r="K165">
        <v>9</v>
      </c>
      <c r="L165">
        <v>6</v>
      </c>
      <c r="M165">
        <v>2432432.4324324322</v>
      </c>
      <c r="N165">
        <v>4261261.2612612611</v>
      </c>
      <c r="O165">
        <v>2717819.8198198192</v>
      </c>
      <c r="P165">
        <v>2689234.2342342339</v>
      </c>
      <c r="Q165">
        <v>16216.216216216</v>
      </c>
      <c r="R165">
        <v>172072.07207207201</v>
      </c>
      <c r="S165">
        <v>4195</v>
      </c>
      <c r="T165">
        <v>4173</v>
      </c>
    </row>
    <row r="166" spans="1:20" x14ac:dyDescent="0.35">
      <c r="A166" s="7" t="s">
        <v>257</v>
      </c>
      <c r="B166" s="12" t="s">
        <v>167</v>
      </c>
      <c r="C166">
        <v>14098378.51304172</v>
      </c>
      <c r="D166">
        <v>11294142.96726395</v>
      </c>
      <c r="G166">
        <v>1</v>
      </c>
      <c r="H166">
        <v>1</v>
      </c>
      <c r="K166">
        <v>2</v>
      </c>
      <c r="L166">
        <v>1</v>
      </c>
      <c r="M166">
        <v>1376576.5765765789</v>
      </c>
      <c r="N166">
        <v>900900.90090090095</v>
      </c>
      <c r="O166">
        <v>4646531.5315315314</v>
      </c>
      <c r="P166">
        <v>3991036.036036036</v>
      </c>
      <c r="Q166">
        <v>1200990.9909909931</v>
      </c>
      <c r="R166">
        <v>507207.20720720699</v>
      </c>
      <c r="S166">
        <v>2465</v>
      </c>
      <c r="T166">
        <v>2395</v>
      </c>
    </row>
    <row r="167" spans="1:20" x14ac:dyDescent="0.35">
      <c r="A167" s="7" t="s">
        <v>258</v>
      </c>
      <c r="B167" s="12" t="s">
        <v>60</v>
      </c>
      <c r="C167">
        <v>5759865.7144869426</v>
      </c>
      <c r="D167">
        <v>5136090.3412532862</v>
      </c>
      <c r="E167">
        <v>4954.9549549550002</v>
      </c>
      <c r="H167">
        <v>2</v>
      </c>
      <c r="L167">
        <v>2</v>
      </c>
      <c r="M167">
        <v>2392342.3423423409</v>
      </c>
      <c r="O167">
        <v>2257432.4324324322</v>
      </c>
      <c r="P167">
        <v>1746981.981981982</v>
      </c>
      <c r="Q167">
        <v>724234.23423423397</v>
      </c>
      <c r="R167">
        <v>654774.77477477503</v>
      </c>
      <c r="S167">
        <v>659</v>
      </c>
      <c r="T167">
        <v>630</v>
      </c>
    </row>
    <row r="168" spans="1:20" x14ac:dyDescent="0.35">
      <c r="A168" s="7" t="s">
        <v>259</v>
      </c>
      <c r="B168" s="12" t="s">
        <v>260</v>
      </c>
      <c r="C168">
        <v>2000236.9977706021</v>
      </c>
      <c r="D168">
        <v>3106978.7830133638</v>
      </c>
      <c r="E168">
        <v>1801801.8018018019</v>
      </c>
      <c r="G168">
        <v>1</v>
      </c>
      <c r="K168">
        <v>1</v>
      </c>
      <c r="M168">
        <v>1801801.8018018019</v>
      </c>
      <c r="O168">
        <v>360810.810810811</v>
      </c>
      <c r="P168">
        <v>392738.73873873899</v>
      </c>
      <c r="Q168">
        <v>1601441.441441441</v>
      </c>
      <c r="R168">
        <v>157297.29729729699</v>
      </c>
      <c r="S168">
        <v>580</v>
      </c>
      <c r="T168">
        <v>544</v>
      </c>
    </row>
    <row r="169" spans="1:20" x14ac:dyDescent="0.35">
      <c r="A169" s="7" t="s">
        <v>261</v>
      </c>
      <c r="B169" s="12" t="s">
        <v>60</v>
      </c>
      <c r="C169">
        <v>48956756.160886906</v>
      </c>
      <c r="D169">
        <v>49306310.680620685</v>
      </c>
      <c r="E169">
        <v>61925936.036036029</v>
      </c>
      <c r="F169">
        <v>77691979.279279292</v>
      </c>
      <c r="G169">
        <v>10</v>
      </c>
      <c r="H169">
        <v>24</v>
      </c>
      <c r="I169">
        <v>1</v>
      </c>
      <c r="K169">
        <v>21</v>
      </c>
      <c r="L169">
        <v>61</v>
      </c>
      <c r="M169">
        <v>10487027.027027024</v>
      </c>
      <c r="N169">
        <v>12690090.090090096</v>
      </c>
      <c r="O169">
        <v>16273540.540540541</v>
      </c>
      <c r="P169">
        <v>17521729.729729731</v>
      </c>
      <c r="Q169">
        <v>7619279.2792792814</v>
      </c>
      <c r="R169">
        <v>20466036.036036033</v>
      </c>
      <c r="S169">
        <v>6306</v>
      </c>
      <c r="T169">
        <v>7006</v>
      </c>
    </row>
    <row r="170" spans="1:20" x14ac:dyDescent="0.35">
      <c r="A170" s="7" t="s">
        <v>262</v>
      </c>
      <c r="B170" s="12" t="s">
        <v>123</v>
      </c>
      <c r="C170">
        <v>37775974.778589398</v>
      </c>
      <c r="D170">
        <v>36183067.520935245</v>
      </c>
      <c r="E170">
        <v>21887837.837837841</v>
      </c>
      <c r="F170">
        <v>54054.054054054999</v>
      </c>
      <c r="G170">
        <v>4</v>
      </c>
      <c r="H170">
        <v>6</v>
      </c>
      <c r="K170">
        <v>5</v>
      </c>
      <c r="L170">
        <v>7</v>
      </c>
      <c r="M170">
        <v>2287837.8378378372</v>
      </c>
      <c r="N170">
        <v>2354954.9549549548</v>
      </c>
      <c r="O170">
        <v>13732198.198198197</v>
      </c>
      <c r="P170">
        <v>14225756.756756756</v>
      </c>
      <c r="Q170">
        <v>3236306.3063063072</v>
      </c>
      <c r="R170">
        <v>1527477.477477479</v>
      </c>
      <c r="S170">
        <v>5532</v>
      </c>
      <c r="T170">
        <v>5508</v>
      </c>
    </row>
    <row r="171" spans="1:20" x14ac:dyDescent="0.35">
      <c r="A171" s="7" t="s">
        <v>263</v>
      </c>
      <c r="B171" s="12" t="s">
        <v>123</v>
      </c>
      <c r="C171">
        <v>15929107.290589953</v>
      </c>
      <c r="D171">
        <v>15730157.790664189</v>
      </c>
      <c r="E171">
        <v>137837.83783783799</v>
      </c>
      <c r="F171">
        <v>27027.027027028002</v>
      </c>
      <c r="G171">
        <v>2</v>
      </c>
      <c r="H171">
        <v>5</v>
      </c>
      <c r="K171">
        <v>5</v>
      </c>
      <c r="L171">
        <v>7</v>
      </c>
      <c r="M171">
        <v>2628198.1981981979</v>
      </c>
      <c r="N171">
        <v>4810180.1801801808</v>
      </c>
      <c r="O171">
        <v>6364720.7207207214</v>
      </c>
      <c r="P171">
        <v>6448819.8198198192</v>
      </c>
      <c r="Q171">
        <v>3548918.9189189179</v>
      </c>
      <c r="R171">
        <v>5947837.8378378404</v>
      </c>
      <c r="S171">
        <v>2377</v>
      </c>
      <c r="T171">
        <v>2303</v>
      </c>
    </row>
    <row r="172" spans="1:20" x14ac:dyDescent="0.35">
      <c r="A172" s="7" t="s">
        <v>264</v>
      </c>
      <c r="B172" s="12" t="s">
        <v>125</v>
      </c>
      <c r="C172">
        <v>39401430.461281545</v>
      </c>
      <c r="D172">
        <v>37050430.779531389</v>
      </c>
      <c r="E172">
        <v>349881.98198198201</v>
      </c>
      <c r="F172">
        <v>19201237.837837841</v>
      </c>
      <c r="G172">
        <v>2</v>
      </c>
      <c r="H172">
        <v>5</v>
      </c>
      <c r="K172">
        <v>2</v>
      </c>
      <c r="L172">
        <v>8</v>
      </c>
      <c r="M172">
        <v>13319369.369369373</v>
      </c>
      <c r="N172">
        <v>868468.46846846899</v>
      </c>
      <c r="O172">
        <v>12238513.513513513</v>
      </c>
      <c r="P172">
        <v>11252926.126126127</v>
      </c>
      <c r="Q172">
        <v>8973603.6036036033</v>
      </c>
      <c r="R172">
        <v>3205945.945945946</v>
      </c>
      <c r="S172">
        <v>4453</v>
      </c>
      <c r="T172">
        <v>4237</v>
      </c>
    </row>
    <row r="173" spans="1:20" x14ac:dyDescent="0.35">
      <c r="A173" s="7" t="s">
        <v>265</v>
      </c>
      <c r="B173" s="12" t="s">
        <v>123</v>
      </c>
      <c r="C173">
        <v>39142399.975410014</v>
      </c>
      <c r="D173">
        <v>37479860.082100853</v>
      </c>
      <c r="E173">
        <v>14414.414414415</v>
      </c>
      <c r="F173">
        <v>225225.225225225</v>
      </c>
      <c r="G173">
        <v>6</v>
      </c>
      <c r="H173">
        <v>2</v>
      </c>
      <c r="K173">
        <v>8</v>
      </c>
      <c r="L173">
        <v>3</v>
      </c>
      <c r="M173">
        <v>5196216.2162162149</v>
      </c>
      <c r="N173">
        <v>3115315.315315315</v>
      </c>
      <c r="O173">
        <v>13737657.657657661</v>
      </c>
      <c r="P173">
        <v>12275315.315315315</v>
      </c>
      <c r="Q173">
        <v>2420630.6306306291</v>
      </c>
      <c r="R173">
        <v>2232342.3423423418</v>
      </c>
      <c r="S173">
        <v>4797</v>
      </c>
      <c r="T173">
        <v>4828</v>
      </c>
    </row>
    <row r="174" spans="1:20" x14ac:dyDescent="0.35">
      <c r="A174" s="7" t="s">
        <v>266</v>
      </c>
      <c r="B174" s="12" t="s">
        <v>123</v>
      </c>
      <c r="C174">
        <v>36811447.435312197</v>
      </c>
      <c r="D174">
        <v>38855663.729617842</v>
      </c>
      <c r="E174">
        <v>426126.12612612598</v>
      </c>
      <c r="F174">
        <v>666666.66666666896</v>
      </c>
      <c r="G174">
        <v>1</v>
      </c>
      <c r="H174">
        <v>6</v>
      </c>
      <c r="K174">
        <v>3</v>
      </c>
      <c r="L174">
        <v>7</v>
      </c>
      <c r="M174">
        <v>6198198.1981981946</v>
      </c>
      <c r="N174">
        <v>3627387.3873873921</v>
      </c>
      <c r="O174">
        <v>14848378.37837838</v>
      </c>
      <c r="P174">
        <v>16188189.189189188</v>
      </c>
      <c r="Q174">
        <v>4452702.702702703</v>
      </c>
      <c r="R174">
        <v>4323333.333333334</v>
      </c>
      <c r="S174">
        <v>5478</v>
      </c>
      <c r="T174">
        <v>5397</v>
      </c>
    </row>
    <row r="175" spans="1:20" x14ac:dyDescent="0.35">
      <c r="A175" s="7" t="s">
        <v>267</v>
      </c>
      <c r="B175" s="12" t="s">
        <v>178</v>
      </c>
      <c r="C175">
        <v>197960473.84326342</v>
      </c>
      <c r="D175">
        <v>192548258.74552697</v>
      </c>
      <c r="E175">
        <v>28114729.729729734</v>
      </c>
      <c r="F175">
        <v>1459490.990990995</v>
      </c>
      <c r="G175">
        <v>46</v>
      </c>
      <c r="H175">
        <v>43</v>
      </c>
      <c r="K175">
        <v>86</v>
      </c>
      <c r="L175">
        <v>62</v>
      </c>
      <c r="M175">
        <v>29506846.846846856</v>
      </c>
      <c r="N175">
        <v>19107207.207207207</v>
      </c>
      <c r="O175">
        <v>56899027.027027033</v>
      </c>
      <c r="P175">
        <v>55696405.40540541</v>
      </c>
      <c r="Q175">
        <v>29410540.540540546</v>
      </c>
      <c r="R175">
        <v>21539909.909909911</v>
      </c>
      <c r="S175">
        <v>32252</v>
      </c>
      <c r="T175">
        <v>32455</v>
      </c>
    </row>
    <row r="176" spans="1:20" x14ac:dyDescent="0.35">
      <c r="A176" s="7" t="s">
        <v>268</v>
      </c>
      <c r="B176" s="12" t="s">
        <v>62</v>
      </c>
      <c r="C176">
        <v>30375292.622549504</v>
      </c>
      <c r="D176">
        <v>34442498.871064961</v>
      </c>
      <c r="E176">
        <v>45394325.225225225</v>
      </c>
      <c r="F176">
        <v>45672580.180180185</v>
      </c>
      <c r="G176">
        <v>3</v>
      </c>
      <c r="H176">
        <v>3</v>
      </c>
      <c r="K176">
        <v>4</v>
      </c>
      <c r="L176">
        <v>6</v>
      </c>
      <c r="M176">
        <v>15580842.342342339</v>
      </c>
      <c r="N176">
        <v>14483716.216216218</v>
      </c>
      <c r="O176">
        <v>9264639.6396396402</v>
      </c>
      <c r="P176">
        <v>10425495.495495496</v>
      </c>
      <c r="Q176">
        <v>2474594.5945945941</v>
      </c>
      <c r="R176">
        <v>5519279.2792792777</v>
      </c>
      <c r="S176">
        <v>4849</v>
      </c>
      <c r="T176">
        <v>4729</v>
      </c>
    </row>
    <row r="177" spans="1:20" x14ac:dyDescent="0.35">
      <c r="A177" s="7" t="s">
        <v>269</v>
      </c>
      <c r="B177" s="12" t="s">
        <v>70</v>
      </c>
      <c r="C177">
        <v>43111490.798975103</v>
      </c>
      <c r="D177">
        <v>44060800.661468849</v>
      </c>
      <c r="E177">
        <v>9956756.7567567565</v>
      </c>
      <c r="F177">
        <v>225225.22522522701</v>
      </c>
      <c r="G177">
        <v>8</v>
      </c>
      <c r="H177">
        <v>14</v>
      </c>
      <c r="K177">
        <v>10</v>
      </c>
      <c r="L177">
        <v>19</v>
      </c>
      <c r="M177">
        <v>6820495.4954954917</v>
      </c>
      <c r="N177">
        <v>7206981.9819819815</v>
      </c>
      <c r="O177">
        <v>18213558.558558561</v>
      </c>
      <c r="P177">
        <v>18526315.315315317</v>
      </c>
      <c r="Q177">
        <v>2504144.1441441411</v>
      </c>
      <c r="R177">
        <v>3009099.0990991001</v>
      </c>
      <c r="S177">
        <v>6898</v>
      </c>
      <c r="T177">
        <v>6741</v>
      </c>
    </row>
    <row r="178" spans="1:20" x14ac:dyDescent="0.35">
      <c r="A178" s="7" t="s">
        <v>270</v>
      </c>
      <c r="B178" s="12" t="s">
        <v>134</v>
      </c>
      <c r="C178">
        <v>387097.521134265</v>
      </c>
      <c r="D178">
        <v>255242.48570212899</v>
      </c>
      <c r="O178">
        <v>14414.414414413999</v>
      </c>
      <c r="P178">
        <v>13603.603603604</v>
      </c>
      <c r="S178">
        <v>205</v>
      </c>
      <c r="T178">
        <v>222</v>
      </c>
    </row>
    <row r="179" spans="1:20" x14ac:dyDescent="0.35">
      <c r="A179" s="7" t="s">
        <v>271</v>
      </c>
      <c r="B179" s="12" t="s">
        <v>76</v>
      </c>
      <c r="C179">
        <v>19955516.692451049</v>
      </c>
      <c r="D179">
        <v>20330518.635503452</v>
      </c>
      <c r="G179">
        <v>3</v>
      </c>
      <c r="H179">
        <v>4</v>
      </c>
      <c r="K179">
        <v>7</v>
      </c>
      <c r="L179">
        <v>6</v>
      </c>
      <c r="O179">
        <v>1315495.4954954961</v>
      </c>
      <c r="P179">
        <v>1490684.684684684</v>
      </c>
      <c r="Q179">
        <v>54054.054054054002</v>
      </c>
      <c r="R179">
        <v>81531.531531532004</v>
      </c>
      <c r="S179">
        <v>2378</v>
      </c>
      <c r="T179">
        <v>2469</v>
      </c>
    </row>
    <row r="180" spans="1:20" x14ac:dyDescent="0.35">
      <c r="A180" s="7" t="s">
        <v>272</v>
      </c>
      <c r="B180" s="12" t="s">
        <v>76</v>
      </c>
      <c r="C180">
        <v>7355283.5935188495</v>
      </c>
      <c r="D180">
        <v>6792243.0082955798</v>
      </c>
      <c r="E180">
        <v>48198.198198197999</v>
      </c>
      <c r="G180">
        <v>2</v>
      </c>
      <c r="K180">
        <v>5</v>
      </c>
      <c r="M180">
        <v>3106756.7567567569</v>
      </c>
      <c r="O180">
        <v>2376351.351351351</v>
      </c>
      <c r="P180">
        <v>1965135.1351351349</v>
      </c>
      <c r="Q180">
        <v>1790990.990990991</v>
      </c>
      <c r="R180">
        <v>708378.37837837997</v>
      </c>
      <c r="S180">
        <v>815</v>
      </c>
      <c r="T180">
        <v>786</v>
      </c>
    </row>
    <row r="181" spans="1:20" x14ac:dyDescent="0.35">
      <c r="A181" s="7" t="s">
        <v>273</v>
      </c>
      <c r="B181" s="12" t="s">
        <v>260</v>
      </c>
      <c r="C181">
        <v>145938077.05645356</v>
      </c>
      <c r="D181">
        <v>134063605.12988465</v>
      </c>
      <c r="E181">
        <v>1597747.7477477491</v>
      </c>
      <c r="F181">
        <v>1950450.4504504551</v>
      </c>
      <c r="G181">
        <v>15</v>
      </c>
      <c r="H181">
        <v>40</v>
      </c>
      <c r="K181">
        <v>27</v>
      </c>
      <c r="L181">
        <v>55</v>
      </c>
      <c r="M181">
        <v>34904054.054054059</v>
      </c>
      <c r="N181">
        <v>27667567.567567568</v>
      </c>
      <c r="O181">
        <v>38940342.342342347</v>
      </c>
      <c r="P181">
        <v>40765594.59459459</v>
      </c>
      <c r="Q181">
        <v>34081711.711711712</v>
      </c>
      <c r="R181">
        <v>17153873.873873875</v>
      </c>
      <c r="S181">
        <v>18982</v>
      </c>
      <c r="T181">
        <v>18990</v>
      </c>
    </row>
    <row r="182" spans="1:20" x14ac:dyDescent="0.35">
      <c r="A182" s="7" t="s">
        <v>274</v>
      </c>
      <c r="B182" s="12" t="s">
        <v>260</v>
      </c>
      <c r="C182">
        <v>33352100.343659129</v>
      </c>
      <c r="D182">
        <v>29615045.190735135</v>
      </c>
      <c r="E182">
        <v>221621.62162162201</v>
      </c>
      <c r="G182">
        <v>2</v>
      </c>
      <c r="H182">
        <v>2</v>
      </c>
      <c r="K182">
        <v>2</v>
      </c>
      <c r="L182">
        <v>2</v>
      </c>
      <c r="M182">
        <v>2023423.423423423</v>
      </c>
      <c r="N182">
        <v>1711711.7117117119</v>
      </c>
      <c r="O182">
        <v>6172603.6036036042</v>
      </c>
      <c r="P182">
        <v>6333972.9729729732</v>
      </c>
      <c r="Q182">
        <v>2232612.6126126121</v>
      </c>
      <c r="R182">
        <v>1891081.0810810821</v>
      </c>
      <c r="S182">
        <v>3991</v>
      </c>
      <c r="T182">
        <v>3789</v>
      </c>
    </row>
    <row r="183" spans="1:20" x14ac:dyDescent="0.35">
      <c r="A183" s="7" t="s">
        <v>275</v>
      </c>
      <c r="B183" s="12" t="s">
        <v>260</v>
      </c>
      <c r="C183">
        <v>37881585.004384562</v>
      </c>
      <c r="D183">
        <v>32704576.834214646</v>
      </c>
      <c r="E183">
        <v>276576.57657657698</v>
      </c>
      <c r="F183">
        <v>81081.081081081997</v>
      </c>
      <c r="G183">
        <v>4</v>
      </c>
      <c r="H183">
        <v>3</v>
      </c>
      <c r="K183">
        <v>6</v>
      </c>
      <c r="L183">
        <v>3</v>
      </c>
      <c r="M183">
        <v>2581081.0810810812</v>
      </c>
      <c r="N183">
        <v>5294594.594594595</v>
      </c>
      <c r="O183">
        <v>8033693.6936936937</v>
      </c>
      <c r="P183">
        <v>7138855.8558558552</v>
      </c>
      <c r="Q183">
        <v>3230450.4504504511</v>
      </c>
      <c r="R183">
        <v>5686666.666666667</v>
      </c>
      <c r="S183">
        <v>5956</v>
      </c>
      <c r="T183">
        <v>5743</v>
      </c>
    </row>
    <row r="184" spans="1:20" x14ac:dyDescent="0.35">
      <c r="A184" s="7" t="s">
        <v>276</v>
      </c>
      <c r="B184" s="12" t="s">
        <v>134</v>
      </c>
      <c r="C184">
        <v>45127518.408950724</v>
      </c>
      <c r="D184">
        <v>45246375.075524166</v>
      </c>
      <c r="E184">
        <v>3603.603603604</v>
      </c>
      <c r="F184">
        <v>67567.567567567996</v>
      </c>
      <c r="G184">
        <v>9</v>
      </c>
      <c r="H184">
        <v>9</v>
      </c>
      <c r="K184">
        <v>10</v>
      </c>
      <c r="L184">
        <v>10</v>
      </c>
      <c r="M184">
        <v>3603.603603604</v>
      </c>
      <c r="N184">
        <v>3220720.7207207209</v>
      </c>
      <c r="O184">
        <v>3401486.486486488</v>
      </c>
      <c r="P184">
        <v>3120657.6576576582</v>
      </c>
      <c r="Q184">
        <v>1011351.351351351</v>
      </c>
      <c r="R184">
        <v>808918.918918918</v>
      </c>
      <c r="S184">
        <v>6199</v>
      </c>
      <c r="T184">
        <v>6096</v>
      </c>
    </row>
    <row r="185" spans="1:20" x14ac:dyDescent="0.35">
      <c r="A185" s="7" t="s">
        <v>668</v>
      </c>
      <c r="B185" s="12" t="s">
        <v>87</v>
      </c>
      <c r="M185">
        <v>56756.756756757</v>
      </c>
      <c r="N185">
        <v>189189.189189189</v>
      </c>
    </row>
    <row r="186" spans="1:20" x14ac:dyDescent="0.35">
      <c r="A186" s="7" t="s">
        <v>277</v>
      </c>
      <c r="B186" s="12" t="s">
        <v>169</v>
      </c>
      <c r="C186">
        <v>31089237.944193318</v>
      </c>
      <c r="D186">
        <v>24668277.128924571</v>
      </c>
      <c r="E186">
        <v>35135.135135135002</v>
      </c>
      <c r="F186">
        <v>27027.027027027001</v>
      </c>
      <c r="G186">
        <v>5</v>
      </c>
      <c r="H186">
        <v>2</v>
      </c>
      <c r="K186">
        <v>6</v>
      </c>
      <c r="L186">
        <v>2</v>
      </c>
      <c r="M186">
        <v>3638738.7387387389</v>
      </c>
      <c r="N186">
        <v>1837837.8378378381</v>
      </c>
      <c r="O186">
        <v>12200432.432432432</v>
      </c>
      <c r="P186">
        <v>11747657.657657657</v>
      </c>
      <c r="Q186">
        <v>2204594.594594595</v>
      </c>
      <c r="R186">
        <v>932522.52252252295</v>
      </c>
      <c r="S186">
        <v>3250</v>
      </c>
      <c r="T186">
        <v>3169</v>
      </c>
    </row>
    <row r="187" spans="1:20" x14ac:dyDescent="0.35">
      <c r="A187" s="7" t="s">
        <v>278</v>
      </c>
      <c r="B187" s="12" t="s">
        <v>169</v>
      </c>
      <c r="C187">
        <v>16574198.701999165</v>
      </c>
      <c r="D187">
        <v>13509005.831931826</v>
      </c>
      <c r="E187">
        <v>900.900900901</v>
      </c>
      <c r="G187">
        <v>1</v>
      </c>
      <c r="H187">
        <v>4</v>
      </c>
      <c r="K187">
        <v>1</v>
      </c>
      <c r="L187">
        <v>4</v>
      </c>
      <c r="M187">
        <v>900.900900901</v>
      </c>
      <c r="N187">
        <v>900900.90090090095</v>
      </c>
      <c r="O187">
        <v>5688459.4594594603</v>
      </c>
      <c r="P187">
        <v>6687891.8918918921</v>
      </c>
      <c r="Q187">
        <v>593693.69369369396</v>
      </c>
      <c r="R187">
        <v>712162.16216216295</v>
      </c>
      <c r="S187">
        <v>1994</v>
      </c>
      <c r="T187">
        <v>1980</v>
      </c>
    </row>
    <row r="188" spans="1:20" x14ac:dyDescent="0.35">
      <c r="A188" s="7" t="s">
        <v>279</v>
      </c>
      <c r="B188" s="12" t="s">
        <v>87</v>
      </c>
      <c r="C188">
        <v>416398.885315552</v>
      </c>
      <c r="D188">
        <v>382471.94284325402</v>
      </c>
      <c r="O188">
        <v>177612.61261261301</v>
      </c>
      <c r="P188">
        <v>105927.927927928</v>
      </c>
      <c r="S188">
        <v>201</v>
      </c>
      <c r="T188">
        <v>162</v>
      </c>
    </row>
    <row r="189" spans="1:20" x14ac:dyDescent="0.35">
      <c r="A189" s="7" t="s">
        <v>280</v>
      </c>
      <c r="B189" s="12" t="s">
        <v>169</v>
      </c>
      <c r="C189">
        <v>24046991.03405736</v>
      </c>
      <c r="D189">
        <v>24268440.732775208</v>
      </c>
      <c r="E189">
        <v>668018.01801801799</v>
      </c>
      <c r="F189">
        <v>27027.027027027001</v>
      </c>
      <c r="G189">
        <v>1</v>
      </c>
      <c r="K189">
        <v>1</v>
      </c>
      <c r="L189">
        <v>2</v>
      </c>
      <c r="M189">
        <v>1611261.261261262</v>
      </c>
      <c r="N189">
        <v>927927.92792792805</v>
      </c>
      <c r="O189">
        <v>9001351.3513513505</v>
      </c>
      <c r="P189">
        <v>10122396.396396397</v>
      </c>
      <c r="Q189">
        <v>2009279.2792792779</v>
      </c>
      <c r="R189">
        <v>1232252.2522522521</v>
      </c>
      <c r="S189">
        <v>4100</v>
      </c>
      <c r="T189">
        <v>4374</v>
      </c>
    </row>
    <row r="190" spans="1:20" x14ac:dyDescent="0.35">
      <c r="A190" s="7" t="s">
        <v>281</v>
      </c>
      <c r="B190" s="12" t="s">
        <v>54</v>
      </c>
      <c r="C190">
        <v>19977187.220663611</v>
      </c>
      <c r="D190">
        <v>19848545.651573401</v>
      </c>
      <c r="E190">
        <v>12162.162162163</v>
      </c>
      <c r="F190">
        <v>54054.054054056003</v>
      </c>
      <c r="G190">
        <v>2</v>
      </c>
      <c r="H190">
        <v>7</v>
      </c>
      <c r="K190">
        <v>5</v>
      </c>
      <c r="L190">
        <v>9</v>
      </c>
      <c r="M190">
        <v>1904954.9549549541</v>
      </c>
      <c r="N190">
        <v>2155855.8558558561</v>
      </c>
      <c r="O190">
        <v>4266252.2522522528</v>
      </c>
      <c r="P190">
        <v>3905891.8918918921</v>
      </c>
      <c r="Q190">
        <v>1370630.6306306319</v>
      </c>
      <c r="R190">
        <v>2156576.576576578</v>
      </c>
      <c r="S190">
        <v>3703</v>
      </c>
      <c r="T190">
        <v>3692</v>
      </c>
    </row>
    <row r="191" spans="1:20" x14ac:dyDescent="0.35">
      <c r="A191" s="7" t="s">
        <v>282</v>
      </c>
      <c r="B191" s="12" t="s">
        <v>283</v>
      </c>
      <c r="C191">
        <v>30919731.520428035</v>
      </c>
      <c r="D191">
        <v>30228324.509019319</v>
      </c>
      <c r="E191">
        <v>2252.2522522519998</v>
      </c>
      <c r="G191">
        <v>14</v>
      </c>
      <c r="H191">
        <v>1</v>
      </c>
      <c r="K191">
        <v>14</v>
      </c>
      <c r="L191">
        <v>1</v>
      </c>
      <c r="M191">
        <v>768018.01801801799</v>
      </c>
      <c r="O191">
        <v>2996351.351351351</v>
      </c>
      <c r="P191">
        <v>4412054.0540540554</v>
      </c>
      <c r="Q191">
        <v>392342.34234234301</v>
      </c>
      <c r="R191">
        <v>613603.60360360402</v>
      </c>
      <c r="S191">
        <v>3289</v>
      </c>
      <c r="T191">
        <v>3030</v>
      </c>
    </row>
    <row r="192" spans="1:20" x14ac:dyDescent="0.35">
      <c r="A192" s="7" t="s">
        <v>284</v>
      </c>
      <c r="B192" s="12" t="s">
        <v>283</v>
      </c>
      <c r="C192">
        <v>53815761.77427043</v>
      </c>
      <c r="D192">
        <v>55752885.365989834</v>
      </c>
      <c r="E192">
        <v>194144.144144144</v>
      </c>
      <c r="F192">
        <v>310810.81081081199</v>
      </c>
      <c r="G192">
        <v>4</v>
      </c>
      <c r="H192">
        <v>5</v>
      </c>
      <c r="K192">
        <v>6</v>
      </c>
      <c r="L192">
        <v>6</v>
      </c>
      <c r="M192">
        <v>7311261.2612612592</v>
      </c>
      <c r="N192">
        <v>3238738.7387387399</v>
      </c>
      <c r="O192">
        <v>11054342.342342341</v>
      </c>
      <c r="P192">
        <v>10882072.072072072</v>
      </c>
      <c r="Q192">
        <v>4718828.8288288303</v>
      </c>
      <c r="R192">
        <v>4664684.6846846826</v>
      </c>
      <c r="S192">
        <v>8104</v>
      </c>
      <c r="T192">
        <v>8315</v>
      </c>
    </row>
    <row r="193" spans="1:20" x14ac:dyDescent="0.35">
      <c r="A193" s="7" t="s">
        <v>285</v>
      </c>
      <c r="B193" s="12" t="s">
        <v>283</v>
      </c>
      <c r="C193">
        <v>28256578.687683247</v>
      </c>
      <c r="D193">
        <v>29100023.985406958</v>
      </c>
      <c r="E193">
        <v>360360.36036036198</v>
      </c>
      <c r="F193">
        <v>54054.054054054999</v>
      </c>
      <c r="G193">
        <v>9</v>
      </c>
      <c r="H193">
        <v>2</v>
      </c>
      <c r="K193">
        <v>10</v>
      </c>
      <c r="L193">
        <v>2</v>
      </c>
      <c r="M193">
        <v>6774774.774774774</v>
      </c>
      <c r="N193">
        <v>8009009.0090090083</v>
      </c>
      <c r="O193">
        <v>8220477.4774774779</v>
      </c>
      <c r="P193">
        <v>8982288.2882882878</v>
      </c>
      <c r="Q193">
        <v>5114144.1441441439</v>
      </c>
      <c r="R193">
        <v>7102432.4324324327</v>
      </c>
      <c r="S193">
        <v>4753</v>
      </c>
      <c r="T193">
        <v>4695</v>
      </c>
    </row>
    <row r="194" spans="1:20" x14ac:dyDescent="0.35">
      <c r="A194" s="7" t="s">
        <v>286</v>
      </c>
      <c r="B194" s="12" t="s">
        <v>283</v>
      </c>
      <c r="C194">
        <v>22148604.678235058</v>
      </c>
      <c r="D194">
        <v>22162092.468776654</v>
      </c>
      <c r="E194">
        <v>6306.3063063070003</v>
      </c>
      <c r="F194">
        <v>13513.513513514001</v>
      </c>
      <c r="H194">
        <v>1</v>
      </c>
      <c r="L194">
        <v>1</v>
      </c>
      <c r="M194">
        <v>6306.3063063070003</v>
      </c>
      <c r="N194">
        <v>13513.513513514001</v>
      </c>
      <c r="O194">
        <v>3141351.3513513519</v>
      </c>
      <c r="P194">
        <v>4355657.6576576568</v>
      </c>
      <c r="Q194">
        <v>490810.810810811</v>
      </c>
      <c r="R194">
        <v>647297.29729729705</v>
      </c>
      <c r="S194">
        <v>2522</v>
      </c>
      <c r="T194">
        <v>2532</v>
      </c>
    </row>
    <row r="195" spans="1:20" x14ac:dyDescent="0.35">
      <c r="A195" s="7" t="s">
        <v>287</v>
      </c>
      <c r="B195" s="12" t="s">
        <v>283</v>
      </c>
      <c r="C195">
        <v>9718685.2731120754</v>
      </c>
      <c r="D195">
        <v>11211200.69441588</v>
      </c>
      <c r="E195">
        <v>900.900900901</v>
      </c>
      <c r="F195">
        <v>40540.540540542002</v>
      </c>
      <c r="G195">
        <v>1</v>
      </c>
      <c r="K195">
        <v>1</v>
      </c>
      <c r="M195">
        <v>900.900900901</v>
      </c>
      <c r="N195">
        <v>463963.963963966</v>
      </c>
      <c r="O195">
        <v>2041441.4414414419</v>
      </c>
      <c r="P195">
        <v>2012072.072072072</v>
      </c>
      <c r="R195">
        <v>517117.11711711797</v>
      </c>
      <c r="S195">
        <v>1380</v>
      </c>
      <c r="T195">
        <v>1416</v>
      </c>
    </row>
    <row r="196" spans="1:20" x14ac:dyDescent="0.35">
      <c r="A196" s="7" t="s">
        <v>288</v>
      </c>
      <c r="B196" s="12" t="s">
        <v>283</v>
      </c>
      <c r="C196">
        <v>1581030.3931882009</v>
      </c>
      <c r="D196">
        <v>1836960.2984870949</v>
      </c>
      <c r="G196">
        <v>1</v>
      </c>
      <c r="K196">
        <v>1</v>
      </c>
      <c r="O196">
        <v>293243.24324324302</v>
      </c>
      <c r="P196">
        <v>396495.49549549498</v>
      </c>
      <c r="S196">
        <v>281</v>
      </c>
      <c r="T196">
        <v>289</v>
      </c>
    </row>
    <row r="197" spans="1:20" x14ac:dyDescent="0.35">
      <c r="A197" s="7" t="s">
        <v>289</v>
      </c>
      <c r="B197" s="12" t="s">
        <v>290</v>
      </c>
      <c r="C197">
        <v>23976796.875279672</v>
      </c>
      <c r="D197">
        <v>23767542.301237449</v>
      </c>
      <c r="E197">
        <v>5405.4054054050002</v>
      </c>
      <c r="F197">
        <v>27027.027027028002</v>
      </c>
      <c r="G197">
        <v>12</v>
      </c>
      <c r="H197">
        <v>2</v>
      </c>
      <c r="K197">
        <v>16</v>
      </c>
      <c r="L197">
        <v>2</v>
      </c>
      <c r="M197">
        <v>906306.30630630604</v>
      </c>
      <c r="N197">
        <v>63063.063063064001</v>
      </c>
      <c r="O197">
        <v>2475945.945945946</v>
      </c>
      <c r="P197">
        <v>1748540.5405405411</v>
      </c>
      <c r="Q197">
        <v>284684.68468468502</v>
      </c>
      <c r="R197">
        <v>51801.801801802001</v>
      </c>
      <c r="S197">
        <v>4242</v>
      </c>
      <c r="T197">
        <v>4286</v>
      </c>
    </row>
    <row r="198" spans="1:20" x14ac:dyDescent="0.35">
      <c r="A198" s="7" t="s">
        <v>291</v>
      </c>
      <c r="B198" s="12" t="s">
        <v>147</v>
      </c>
      <c r="C198">
        <v>49973862.821880594</v>
      </c>
      <c r="D198">
        <v>48999485.115755819</v>
      </c>
      <c r="E198">
        <v>287387.38738738798</v>
      </c>
      <c r="F198">
        <v>157657.657657659</v>
      </c>
      <c r="G198">
        <v>7</v>
      </c>
      <c r="H198">
        <v>8</v>
      </c>
      <c r="K198">
        <v>7</v>
      </c>
      <c r="L198">
        <v>12</v>
      </c>
      <c r="M198">
        <v>10657837.837837836</v>
      </c>
      <c r="N198">
        <v>5761261.2612612611</v>
      </c>
      <c r="O198">
        <v>15938468.468468469</v>
      </c>
      <c r="P198">
        <v>16894666.666666664</v>
      </c>
      <c r="Q198">
        <v>6699459.4594594575</v>
      </c>
      <c r="R198">
        <v>7826216.216216214</v>
      </c>
      <c r="S198">
        <v>7554</v>
      </c>
      <c r="T198">
        <v>7626</v>
      </c>
    </row>
    <row r="199" spans="1:20" x14ac:dyDescent="0.35">
      <c r="A199" s="7" t="s">
        <v>292</v>
      </c>
      <c r="B199" s="12" t="s">
        <v>293</v>
      </c>
      <c r="C199">
        <v>26024622.896033764</v>
      </c>
      <c r="D199">
        <v>24908942.853391975</v>
      </c>
      <c r="F199">
        <v>121621.621621623</v>
      </c>
      <c r="G199">
        <v>1</v>
      </c>
      <c r="H199">
        <v>1</v>
      </c>
      <c r="K199">
        <v>2</v>
      </c>
      <c r="L199">
        <v>1</v>
      </c>
      <c r="M199">
        <v>6640540.5405405452</v>
      </c>
      <c r="N199">
        <v>1842162.1621621591</v>
      </c>
      <c r="O199">
        <v>2453198.1981981988</v>
      </c>
      <c r="P199">
        <v>3379909.9099099091</v>
      </c>
      <c r="Q199">
        <v>7024774.7747747786</v>
      </c>
      <c r="R199">
        <v>2129909.9099099059</v>
      </c>
      <c r="S199">
        <v>3539</v>
      </c>
      <c r="T199">
        <v>3418</v>
      </c>
    </row>
    <row r="200" spans="1:20" x14ac:dyDescent="0.35">
      <c r="A200" s="7" t="s">
        <v>294</v>
      </c>
      <c r="B200" s="12" t="s">
        <v>290</v>
      </c>
      <c r="C200">
        <v>7527904.550486126</v>
      </c>
      <c r="D200">
        <v>6363083.8208398344</v>
      </c>
      <c r="E200">
        <v>136036.03603603601</v>
      </c>
      <c r="F200">
        <v>139639.63963963999</v>
      </c>
      <c r="H200">
        <v>1</v>
      </c>
      <c r="K200">
        <v>1</v>
      </c>
      <c r="L200">
        <v>1</v>
      </c>
      <c r="M200">
        <v>136036.03603603601</v>
      </c>
      <c r="N200">
        <v>139639.63963963999</v>
      </c>
      <c r="O200">
        <v>1234369.369369369</v>
      </c>
      <c r="P200">
        <v>967927.92792792805</v>
      </c>
      <c r="Q200">
        <v>498378.37837837799</v>
      </c>
      <c r="R200">
        <v>251801.80180180201</v>
      </c>
      <c r="S200">
        <v>1243</v>
      </c>
      <c r="T200">
        <v>1175</v>
      </c>
    </row>
    <row r="201" spans="1:20" x14ac:dyDescent="0.35">
      <c r="A201" s="7" t="s">
        <v>665</v>
      </c>
      <c r="B201" s="12" t="s">
        <v>479</v>
      </c>
      <c r="E201">
        <v>38663936.036036029</v>
      </c>
      <c r="F201">
        <v>866099.09909909905</v>
      </c>
    </row>
    <row r="202" spans="1:20" x14ac:dyDescent="0.35">
      <c r="A202" s="7" t="s">
        <v>295</v>
      </c>
      <c r="B202" s="12" t="s">
        <v>52</v>
      </c>
      <c r="C202">
        <v>73530729.132289097</v>
      </c>
      <c r="D202">
        <v>75740038.18442829</v>
      </c>
      <c r="E202">
        <v>785585.58558558603</v>
      </c>
      <c r="F202">
        <v>653153.15315315395</v>
      </c>
      <c r="G202">
        <v>12</v>
      </c>
      <c r="H202">
        <v>17</v>
      </c>
      <c r="K202">
        <v>22</v>
      </c>
      <c r="L202">
        <v>25</v>
      </c>
      <c r="M202">
        <v>2839639.6396396388</v>
      </c>
      <c r="N202">
        <v>1914414.4144144149</v>
      </c>
      <c r="O202">
        <v>17913099.0990991</v>
      </c>
      <c r="P202">
        <v>19584990.990990993</v>
      </c>
      <c r="Q202">
        <v>6439369.369369369</v>
      </c>
      <c r="R202">
        <v>7634234.2342342352</v>
      </c>
      <c r="S202">
        <v>11697</v>
      </c>
      <c r="T202">
        <v>12620</v>
      </c>
    </row>
    <row r="203" spans="1:20" x14ac:dyDescent="0.35">
      <c r="A203" s="7" t="s">
        <v>296</v>
      </c>
      <c r="B203" s="12" t="s">
        <v>169</v>
      </c>
      <c r="C203">
        <v>24995591.195501521</v>
      </c>
      <c r="D203">
        <v>25589879.855350334</v>
      </c>
      <c r="E203">
        <v>900.900900901</v>
      </c>
      <c r="G203">
        <v>4</v>
      </c>
      <c r="H203">
        <v>3</v>
      </c>
      <c r="K203">
        <v>4</v>
      </c>
      <c r="L203">
        <v>6</v>
      </c>
      <c r="M203">
        <v>1802702.702702703</v>
      </c>
      <c r="N203">
        <v>900900.90090090095</v>
      </c>
      <c r="O203">
        <v>5351666.666666667</v>
      </c>
      <c r="P203">
        <v>5084000</v>
      </c>
      <c r="Q203">
        <v>171621.62162162201</v>
      </c>
      <c r="R203">
        <v>1392522.5225225231</v>
      </c>
      <c r="S203">
        <v>4898</v>
      </c>
      <c r="T203">
        <v>4587</v>
      </c>
    </row>
    <row r="204" spans="1:20" x14ac:dyDescent="0.35">
      <c r="A204" s="7" t="s">
        <v>297</v>
      </c>
      <c r="B204" s="12" t="s">
        <v>169</v>
      </c>
      <c r="C204">
        <v>11970517.370227721</v>
      </c>
      <c r="D204">
        <v>26687520.789774712</v>
      </c>
      <c r="E204">
        <v>900.900900901</v>
      </c>
      <c r="G204">
        <v>1</v>
      </c>
      <c r="H204">
        <v>3</v>
      </c>
      <c r="K204">
        <v>1</v>
      </c>
      <c r="L204">
        <v>3</v>
      </c>
      <c r="M204">
        <v>360882882.88288289</v>
      </c>
      <c r="N204">
        <v>366155855.85585588</v>
      </c>
      <c r="O204">
        <v>4445720.7207207214</v>
      </c>
      <c r="P204">
        <v>10094189.189189188</v>
      </c>
      <c r="Q204">
        <v>252349884.68468466</v>
      </c>
      <c r="R204">
        <v>352143473.87387383</v>
      </c>
      <c r="S204">
        <v>2508</v>
      </c>
      <c r="T204">
        <v>2736</v>
      </c>
    </row>
    <row r="205" spans="1:20" x14ac:dyDescent="0.35">
      <c r="A205" s="7" t="s">
        <v>298</v>
      </c>
      <c r="B205" s="12" t="s">
        <v>89</v>
      </c>
      <c r="C205">
        <v>88770798.83382763</v>
      </c>
      <c r="D205">
        <v>82271430.494669273</v>
      </c>
      <c r="E205">
        <v>31171.171171172002</v>
      </c>
      <c r="F205">
        <v>135135.135135138</v>
      </c>
      <c r="G205">
        <v>12</v>
      </c>
      <c r="H205">
        <v>12</v>
      </c>
      <c r="K205">
        <v>14</v>
      </c>
      <c r="L205">
        <v>17</v>
      </c>
      <c r="M205">
        <v>6830630.6306306273</v>
      </c>
      <c r="N205">
        <v>2048288.2882882881</v>
      </c>
      <c r="O205">
        <v>15029729.729729731</v>
      </c>
      <c r="P205">
        <v>15644720.72072072</v>
      </c>
      <c r="Q205">
        <v>5679999.9999999972</v>
      </c>
      <c r="R205">
        <v>9779189.1891891919</v>
      </c>
      <c r="S205">
        <v>10652</v>
      </c>
      <c r="T205">
        <v>10454</v>
      </c>
    </row>
    <row r="206" spans="1:20" x14ac:dyDescent="0.35">
      <c r="A206" s="7" t="s">
        <v>299</v>
      </c>
      <c r="B206" s="12" t="s">
        <v>134</v>
      </c>
      <c r="C206">
        <v>39879700.690585323</v>
      </c>
      <c r="D206">
        <v>44953704.821839847</v>
      </c>
      <c r="E206">
        <v>409909.90990991</v>
      </c>
      <c r="F206">
        <v>135135.13513513701</v>
      </c>
      <c r="G206">
        <v>7</v>
      </c>
      <c r="H206">
        <v>7</v>
      </c>
      <c r="K206">
        <v>7</v>
      </c>
      <c r="L206">
        <v>12</v>
      </c>
      <c r="M206">
        <v>3464864.864864863</v>
      </c>
      <c r="N206">
        <v>3154954.9549549548</v>
      </c>
      <c r="O206">
        <v>4489142.3423423423</v>
      </c>
      <c r="P206">
        <v>5594171.1711711716</v>
      </c>
      <c r="Q206">
        <v>3109772.9729729728</v>
      </c>
      <c r="R206">
        <v>2409549.5495495498</v>
      </c>
      <c r="S206">
        <v>6847</v>
      </c>
      <c r="T206">
        <v>7130</v>
      </c>
    </row>
    <row r="207" spans="1:20" x14ac:dyDescent="0.35">
      <c r="A207" s="7" t="s">
        <v>300</v>
      </c>
      <c r="B207" s="12" t="s">
        <v>290</v>
      </c>
      <c r="C207">
        <v>35189240.624387942</v>
      </c>
      <c r="D207">
        <v>32939573.423319209</v>
      </c>
      <c r="E207">
        <v>21171.171171172999</v>
      </c>
      <c r="F207">
        <v>531531.53153153497</v>
      </c>
      <c r="G207">
        <v>22</v>
      </c>
      <c r="H207">
        <v>14</v>
      </c>
      <c r="K207">
        <v>31</v>
      </c>
      <c r="L207">
        <v>19</v>
      </c>
      <c r="M207">
        <v>5021171.1711711735</v>
      </c>
      <c r="N207">
        <v>2126126.1261261292</v>
      </c>
      <c r="O207">
        <v>5172522.5225225221</v>
      </c>
      <c r="P207">
        <v>4738261.2612612611</v>
      </c>
      <c r="Q207">
        <v>2678018.0180180189</v>
      </c>
      <c r="R207">
        <v>2144234.234234232</v>
      </c>
      <c r="S207">
        <v>4393</v>
      </c>
      <c r="T207">
        <v>4297</v>
      </c>
    </row>
    <row r="208" spans="1:20" x14ac:dyDescent="0.35">
      <c r="A208" s="7" t="s">
        <v>301</v>
      </c>
      <c r="B208" s="12" t="s">
        <v>80</v>
      </c>
      <c r="C208">
        <v>43497990.602824219</v>
      </c>
      <c r="D208">
        <v>42773900.944988176</v>
      </c>
      <c r="E208">
        <v>255405.405405406</v>
      </c>
      <c r="F208">
        <v>261261.261261262</v>
      </c>
      <c r="G208">
        <v>4</v>
      </c>
      <c r="H208">
        <v>5</v>
      </c>
      <c r="K208">
        <v>5</v>
      </c>
      <c r="L208">
        <v>6</v>
      </c>
      <c r="M208">
        <v>6503153.1531531522</v>
      </c>
      <c r="N208">
        <v>2789189.1891891882</v>
      </c>
      <c r="O208">
        <v>10089765.765765768</v>
      </c>
      <c r="P208">
        <v>9106054.0540540535</v>
      </c>
      <c r="Q208">
        <v>5061441.44144144</v>
      </c>
      <c r="R208">
        <v>3141981.981981982</v>
      </c>
      <c r="S208">
        <v>5635</v>
      </c>
      <c r="T208">
        <v>5896</v>
      </c>
    </row>
    <row r="209" spans="1:20" x14ac:dyDescent="0.35">
      <c r="A209" s="7" t="s">
        <v>302</v>
      </c>
      <c r="B209" s="12" t="s">
        <v>72</v>
      </c>
      <c r="C209">
        <v>70553532.87763463</v>
      </c>
      <c r="D209">
        <v>68378946.163922638</v>
      </c>
      <c r="E209">
        <v>9009.0090090100002</v>
      </c>
      <c r="F209">
        <v>189189.18918919199</v>
      </c>
      <c r="G209">
        <v>12</v>
      </c>
      <c r="H209">
        <v>10</v>
      </c>
      <c r="K209">
        <v>13</v>
      </c>
      <c r="L209">
        <v>12</v>
      </c>
      <c r="M209">
        <v>10855855.855855852</v>
      </c>
      <c r="N209">
        <v>202702.70270270601</v>
      </c>
      <c r="O209">
        <v>10266567.567567568</v>
      </c>
      <c r="P209">
        <v>10029414.414414411</v>
      </c>
      <c r="Q209">
        <v>4787927.927927928</v>
      </c>
      <c r="R209">
        <v>3594144.1441441448</v>
      </c>
      <c r="S209">
        <v>9123</v>
      </c>
      <c r="T209">
        <v>9224</v>
      </c>
    </row>
    <row r="210" spans="1:20" x14ac:dyDescent="0.35">
      <c r="A210" s="7" t="s">
        <v>303</v>
      </c>
      <c r="B210" s="12" t="s">
        <v>304</v>
      </c>
      <c r="C210">
        <v>241896.04880033201</v>
      </c>
      <c r="D210">
        <v>240869.21187570499</v>
      </c>
      <c r="O210">
        <v>6081.0810810809999</v>
      </c>
      <c r="P210">
        <v>161351.35135135101</v>
      </c>
      <c r="S210">
        <v>65</v>
      </c>
      <c r="T210">
        <v>70</v>
      </c>
    </row>
    <row r="211" spans="1:20" x14ac:dyDescent="0.35">
      <c r="A211" s="7" t="s">
        <v>669</v>
      </c>
      <c r="B211" s="12" t="s">
        <v>304</v>
      </c>
      <c r="E211">
        <v>1511493.693693694</v>
      </c>
      <c r="F211">
        <v>19694844.144144144</v>
      </c>
      <c r="M211">
        <v>31485585.585585583</v>
      </c>
    </row>
    <row r="212" spans="1:20" x14ac:dyDescent="0.35">
      <c r="A212" s="7" t="s">
        <v>305</v>
      </c>
      <c r="B212" s="12" t="s">
        <v>117</v>
      </c>
      <c r="C212">
        <v>9890313.8318270035</v>
      </c>
      <c r="D212">
        <v>8992764.6518241521</v>
      </c>
      <c r="E212">
        <v>16216.216216217999</v>
      </c>
      <c r="G212">
        <v>1</v>
      </c>
      <c r="K212">
        <v>1</v>
      </c>
      <c r="M212">
        <v>917117.11711711902</v>
      </c>
      <c r="O212">
        <v>3621396.3963963971</v>
      </c>
      <c r="P212">
        <v>4655585.5855855858</v>
      </c>
      <c r="Q212">
        <v>450450.45045045001</v>
      </c>
      <c r="R212">
        <v>607657.65765765705</v>
      </c>
      <c r="S212">
        <v>1845</v>
      </c>
      <c r="T212">
        <v>1767</v>
      </c>
    </row>
    <row r="213" spans="1:20" x14ac:dyDescent="0.35">
      <c r="A213" s="7" t="s">
        <v>306</v>
      </c>
      <c r="B213" s="12" t="s">
        <v>307</v>
      </c>
      <c r="C213">
        <v>11341294.469828973</v>
      </c>
      <c r="D213">
        <v>10991673.863752939</v>
      </c>
      <c r="G213">
        <v>3</v>
      </c>
      <c r="H213">
        <v>2</v>
      </c>
      <c r="K213">
        <v>4</v>
      </c>
      <c r="L213">
        <v>6</v>
      </c>
      <c r="O213">
        <v>5504504.5045045046</v>
      </c>
      <c r="P213">
        <v>5872738.7387387389</v>
      </c>
      <c r="Q213">
        <v>36936.936936937003</v>
      </c>
      <c r="R213">
        <v>26846.846846846998</v>
      </c>
      <c r="S213">
        <v>4390</v>
      </c>
      <c r="T213">
        <v>4262</v>
      </c>
    </row>
    <row r="214" spans="1:20" x14ac:dyDescent="0.35">
      <c r="A214" s="7" t="s">
        <v>308</v>
      </c>
      <c r="B214" s="12" t="s">
        <v>140</v>
      </c>
      <c r="C214">
        <v>76763288.488665417</v>
      </c>
      <c r="D214">
        <v>80539906.536468878</v>
      </c>
      <c r="E214">
        <v>21621.621621621001</v>
      </c>
      <c r="F214">
        <v>202702.70270270499</v>
      </c>
      <c r="G214">
        <v>6</v>
      </c>
      <c r="H214">
        <v>10</v>
      </c>
      <c r="K214">
        <v>10</v>
      </c>
      <c r="L214">
        <v>13</v>
      </c>
      <c r="M214">
        <v>14679279.279279277</v>
      </c>
      <c r="N214">
        <v>12337162.162162164</v>
      </c>
      <c r="O214">
        <v>13969232.432432432</v>
      </c>
      <c r="P214">
        <v>17475720.720720723</v>
      </c>
      <c r="Q214">
        <v>5858828.8288288284</v>
      </c>
      <c r="R214">
        <v>7007387.3873873875</v>
      </c>
      <c r="S214">
        <v>8219</v>
      </c>
      <c r="T214">
        <v>8300</v>
      </c>
    </row>
    <row r="215" spans="1:20" x14ac:dyDescent="0.35">
      <c r="A215" s="7" t="s">
        <v>309</v>
      </c>
      <c r="B215" s="12" t="s">
        <v>132</v>
      </c>
      <c r="C215">
        <v>83625613.811817855</v>
      </c>
      <c r="D215">
        <v>69283089.525503129</v>
      </c>
      <c r="E215">
        <v>855855.85585585504</v>
      </c>
      <c r="F215">
        <v>1049549.5495495489</v>
      </c>
      <c r="G215">
        <v>10</v>
      </c>
      <c r="H215">
        <v>18</v>
      </c>
      <c r="K215">
        <v>18</v>
      </c>
      <c r="L215">
        <v>21</v>
      </c>
      <c r="M215">
        <v>5090090.0900900904</v>
      </c>
      <c r="N215">
        <v>1680180.1801801799</v>
      </c>
      <c r="O215">
        <v>21281243.243243244</v>
      </c>
      <c r="P215">
        <v>17891351.351351351</v>
      </c>
      <c r="Q215">
        <v>2492882.8828828838</v>
      </c>
      <c r="R215">
        <v>2516126.126126125</v>
      </c>
      <c r="S215">
        <v>12148</v>
      </c>
      <c r="T215">
        <v>11897</v>
      </c>
    </row>
    <row r="216" spans="1:20" x14ac:dyDescent="0.35">
      <c r="A216" s="7" t="s">
        <v>310</v>
      </c>
      <c r="B216" s="12" t="s">
        <v>72</v>
      </c>
      <c r="C216">
        <v>124822181.39341667</v>
      </c>
      <c r="D216">
        <v>114344345.21260743</v>
      </c>
      <c r="E216">
        <v>407747.74774774897</v>
      </c>
      <c r="F216">
        <v>346846.84684685001</v>
      </c>
      <c r="G216">
        <v>18</v>
      </c>
      <c r="H216">
        <v>19</v>
      </c>
      <c r="K216">
        <v>35</v>
      </c>
      <c r="L216">
        <v>29</v>
      </c>
      <c r="M216">
        <v>17461801.801801797</v>
      </c>
      <c r="N216">
        <v>10391891.891891891</v>
      </c>
      <c r="O216">
        <v>29478693.693693694</v>
      </c>
      <c r="P216">
        <v>29040135.135135133</v>
      </c>
      <c r="Q216">
        <v>15087117.117117116</v>
      </c>
      <c r="R216">
        <v>13952432.432432435</v>
      </c>
      <c r="S216">
        <v>16686</v>
      </c>
      <c r="T216">
        <v>15843</v>
      </c>
    </row>
    <row r="217" spans="1:20" x14ac:dyDescent="0.35">
      <c r="A217" s="7" t="s">
        <v>311</v>
      </c>
      <c r="B217" s="12" t="s">
        <v>62</v>
      </c>
      <c r="C217">
        <v>21557455.119624536</v>
      </c>
      <c r="D217">
        <v>21151573.359963499</v>
      </c>
      <c r="E217">
        <v>3603.603603604</v>
      </c>
      <c r="F217">
        <v>40540.540540540998</v>
      </c>
      <c r="G217">
        <v>1</v>
      </c>
      <c r="K217">
        <v>1</v>
      </c>
      <c r="L217">
        <v>1</v>
      </c>
      <c r="M217">
        <v>1805405.4054054059</v>
      </c>
      <c r="N217">
        <v>3509009.0090090092</v>
      </c>
      <c r="O217">
        <v>4891531.5315315323</v>
      </c>
      <c r="P217">
        <v>5338738.738738738</v>
      </c>
      <c r="Q217">
        <v>2839459.4594594599</v>
      </c>
      <c r="R217">
        <v>3577387.387387387</v>
      </c>
      <c r="S217">
        <v>2304</v>
      </c>
      <c r="T217">
        <v>2247</v>
      </c>
    </row>
    <row r="218" spans="1:20" x14ac:dyDescent="0.35">
      <c r="A218" s="7" t="s">
        <v>312</v>
      </c>
      <c r="B218" s="12" t="s">
        <v>89</v>
      </c>
      <c r="C218">
        <v>7322374.6835173033</v>
      </c>
      <c r="D218">
        <v>7441653.3548200289</v>
      </c>
      <c r="G218">
        <v>2</v>
      </c>
      <c r="H218">
        <v>3</v>
      </c>
      <c r="K218">
        <v>2</v>
      </c>
      <c r="L218">
        <v>3</v>
      </c>
      <c r="M218">
        <v>675675.67567567504</v>
      </c>
      <c r="O218">
        <v>1871171.1711711721</v>
      </c>
      <c r="P218">
        <v>2091342.342342342</v>
      </c>
      <c r="Q218">
        <v>247297.29729729699</v>
      </c>
      <c r="R218">
        <v>224684.68468468499</v>
      </c>
      <c r="S218">
        <v>1223</v>
      </c>
      <c r="T218">
        <v>1247</v>
      </c>
    </row>
    <row r="219" spans="1:20" x14ac:dyDescent="0.35">
      <c r="A219" s="7" t="s">
        <v>313</v>
      </c>
      <c r="B219" s="12" t="s">
        <v>92</v>
      </c>
      <c r="C219">
        <v>3400593.7927964302</v>
      </c>
      <c r="D219">
        <v>2940898.3240591339</v>
      </c>
      <c r="F219">
        <v>54054.054054054002</v>
      </c>
      <c r="N219">
        <v>54054.054054054002</v>
      </c>
      <c r="O219">
        <v>240315.31531531501</v>
      </c>
      <c r="P219">
        <v>210675.675675676</v>
      </c>
      <c r="R219">
        <v>145045.045045045</v>
      </c>
      <c r="S219">
        <v>497</v>
      </c>
      <c r="T219">
        <v>706</v>
      </c>
    </row>
    <row r="220" spans="1:20" x14ac:dyDescent="0.35">
      <c r="A220" s="7" t="s">
        <v>314</v>
      </c>
      <c r="B220" s="12" t="s">
        <v>315</v>
      </c>
      <c r="C220">
        <v>24985839.524659678</v>
      </c>
      <c r="D220">
        <v>24107038.623548239</v>
      </c>
      <c r="E220">
        <v>1666070.2702702701</v>
      </c>
      <c r="F220">
        <v>1496279.27927928</v>
      </c>
      <c r="G220">
        <v>7</v>
      </c>
      <c r="H220">
        <v>5</v>
      </c>
      <c r="K220">
        <v>8</v>
      </c>
      <c r="L220">
        <v>8</v>
      </c>
      <c r="M220">
        <v>27095945.945945945</v>
      </c>
      <c r="N220">
        <v>3810810.8108108081</v>
      </c>
      <c r="O220">
        <v>4204504.5045045046</v>
      </c>
      <c r="P220">
        <v>3539162.1621621628</v>
      </c>
      <c r="Q220">
        <v>1668198.1981981981</v>
      </c>
      <c r="R220">
        <v>579459.45945945499</v>
      </c>
      <c r="S220">
        <v>3435</v>
      </c>
      <c r="T220">
        <v>3601</v>
      </c>
    </row>
    <row r="221" spans="1:20" x14ac:dyDescent="0.35">
      <c r="A221" s="7" t="s">
        <v>316</v>
      </c>
      <c r="B221" s="12" t="s">
        <v>62</v>
      </c>
      <c r="C221">
        <v>39610186.877810597</v>
      </c>
      <c r="D221">
        <v>43939020.169667624</v>
      </c>
      <c r="E221">
        <v>209459.459459462</v>
      </c>
      <c r="F221">
        <v>995495.49549549795</v>
      </c>
      <c r="G221">
        <v>6</v>
      </c>
      <c r="H221">
        <v>8</v>
      </c>
      <c r="K221">
        <v>13</v>
      </c>
      <c r="L221">
        <v>12</v>
      </c>
      <c r="M221">
        <v>1783423.4234234239</v>
      </c>
      <c r="N221">
        <v>3683423.4234234239</v>
      </c>
      <c r="O221">
        <v>13355045.045045044</v>
      </c>
      <c r="P221">
        <v>14416306.306306306</v>
      </c>
      <c r="Q221">
        <v>1836666.666666664</v>
      </c>
      <c r="R221">
        <v>3343603.6036036029</v>
      </c>
      <c r="S221">
        <v>8820</v>
      </c>
      <c r="T221">
        <v>9546</v>
      </c>
    </row>
    <row r="222" spans="1:20" x14ac:dyDescent="0.35">
      <c r="A222" s="7" t="s">
        <v>317</v>
      </c>
      <c r="B222" s="12" t="s">
        <v>62</v>
      </c>
      <c r="C222">
        <v>40000301.38426166</v>
      </c>
      <c r="D222">
        <v>38717688.16127611</v>
      </c>
      <c r="E222">
        <v>18018.018018019</v>
      </c>
      <c r="F222">
        <v>81081.081081081997</v>
      </c>
      <c r="G222">
        <v>16</v>
      </c>
      <c r="H222">
        <v>2</v>
      </c>
      <c r="K222">
        <v>19</v>
      </c>
      <c r="L222">
        <v>2</v>
      </c>
      <c r="M222">
        <v>2842162.1621621619</v>
      </c>
      <c r="N222">
        <v>1343783.783783783</v>
      </c>
      <c r="O222">
        <v>12843243.243243244</v>
      </c>
      <c r="P222">
        <v>12388369.369369367</v>
      </c>
      <c r="Q222">
        <v>3984864.8648648649</v>
      </c>
      <c r="R222">
        <v>2263063.0630630618</v>
      </c>
      <c r="S222">
        <v>5566</v>
      </c>
      <c r="T222">
        <v>5532</v>
      </c>
    </row>
    <row r="223" spans="1:20" x14ac:dyDescent="0.35">
      <c r="A223" s="7" t="s">
        <v>318</v>
      </c>
      <c r="B223" s="12" t="s">
        <v>78</v>
      </c>
      <c r="C223">
        <v>41795230.943560958</v>
      </c>
      <c r="D223">
        <v>41573181.39356178</v>
      </c>
      <c r="E223">
        <v>636576.57657657901</v>
      </c>
      <c r="F223">
        <v>184684.68468468799</v>
      </c>
      <c r="G223">
        <v>6</v>
      </c>
      <c r="H223">
        <v>13</v>
      </c>
      <c r="K223">
        <v>8</v>
      </c>
      <c r="L223">
        <v>18</v>
      </c>
      <c r="M223">
        <v>9465405.405405404</v>
      </c>
      <c r="N223">
        <v>6990990.9909909917</v>
      </c>
      <c r="O223">
        <v>16715333.333333332</v>
      </c>
      <c r="P223">
        <v>16756315.315315315</v>
      </c>
      <c r="Q223">
        <v>8420450.450450452</v>
      </c>
      <c r="R223">
        <v>8802882.8828828838</v>
      </c>
      <c r="S223">
        <v>8617</v>
      </c>
      <c r="T223">
        <v>8929</v>
      </c>
    </row>
    <row r="224" spans="1:20" x14ac:dyDescent="0.35">
      <c r="A224" s="7" t="s">
        <v>319</v>
      </c>
      <c r="B224" s="12" t="s">
        <v>78</v>
      </c>
      <c r="C224">
        <v>25432380.272896346</v>
      </c>
      <c r="D224">
        <v>24805593.622552611</v>
      </c>
      <c r="E224">
        <v>140720.720720721</v>
      </c>
      <c r="F224">
        <v>396396.39639639697</v>
      </c>
      <c r="G224">
        <v>7</v>
      </c>
      <c r="H224">
        <v>4</v>
      </c>
      <c r="K224">
        <v>12</v>
      </c>
      <c r="L224">
        <v>9</v>
      </c>
      <c r="M224">
        <v>3834414.4144144119</v>
      </c>
      <c r="N224">
        <v>1117117.1171171169</v>
      </c>
      <c r="O224">
        <v>8113576.5765765766</v>
      </c>
      <c r="P224">
        <v>8063162.1621621624</v>
      </c>
      <c r="Q224">
        <v>2283333.333333333</v>
      </c>
      <c r="R224">
        <v>1172072.072072075</v>
      </c>
      <c r="S224">
        <v>5725</v>
      </c>
      <c r="T224">
        <v>4786</v>
      </c>
    </row>
    <row r="225" spans="1:20" x14ac:dyDescent="0.35">
      <c r="A225" s="7" t="s">
        <v>320</v>
      </c>
      <c r="B225" s="12" t="s">
        <v>121</v>
      </c>
      <c r="C225">
        <v>235256.35630274401</v>
      </c>
      <c r="D225">
        <v>165201.823398029</v>
      </c>
      <c r="K225">
        <v>2</v>
      </c>
      <c r="O225">
        <v>66216.216216215995</v>
      </c>
      <c r="P225">
        <v>13603.603603604</v>
      </c>
      <c r="S225">
        <v>88</v>
      </c>
      <c r="T225">
        <v>57</v>
      </c>
    </row>
    <row r="226" spans="1:20" x14ac:dyDescent="0.35">
      <c r="A226" s="7" t="s">
        <v>321</v>
      </c>
      <c r="B226" s="12" t="s">
        <v>224</v>
      </c>
      <c r="C226">
        <v>30969574.508719541</v>
      </c>
      <c r="D226">
        <v>26180986.12797315</v>
      </c>
      <c r="G226">
        <v>9</v>
      </c>
      <c r="H226">
        <v>8</v>
      </c>
      <c r="K226">
        <v>10</v>
      </c>
      <c r="L226">
        <v>9</v>
      </c>
      <c r="M226">
        <v>868468.46846846899</v>
      </c>
      <c r="O226">
        <v>11423333.333333332</v>
      </c>
      <c r="P226">
        <v>10763342.342342343</v>
      </c>
      <c r="Q226">
        <v>550450.45045045204</v>
      </c>
      <c r="R226">
        <v>50090.090090090001</v>
      </c>
      <c r="S226">
        <v>3982</v>
      </c>
      <c r="T226">
        <v>3909</v>
      </c>
    </row>
    <row r="227" spans="1:20" x14ac:dyDescent="0.35">
      <c r="A227" s="7" t="s">
        <v>322</v>
      </c>
      <c r="B227" s="12" t="s">
        <v>224</v>
      </c>
      <c r="C227">
        <v>22370810.150591113</v>
      </c>
      <c r="D227">
        <v>18379520.746513478</v>
      </c>
      <c r="E227">
        <v>15315.315315316</v>
      </c>
      <c r="G227">
        <v>1</v>
      </c>
      <c r="K227">
        <v>1</v>
      </c>
      <c r="M227">
        <v>1727027.0270270261</v>
      </c>
      <c r="N227">
        <v>2522522.5225225212</v>
      </c>
      <c r="O227">
        <v>5439009.0090090092</v>
      </c>
      <c r="P227">
        <v>5340486.4864864862</v>
      </c>
      <c r="Q227">
        <v>1598018.0180180189</v>
      </c>
      <c r="R227">
        <v>1048468.468468469</v>
      </c>
      <c r="S227">
        <v>2234</v>
      </c>
      <c r="T227">
        <v>2187</v>
      </c>
    </row>
    <row r="228" spans="1:20" x14ac:dyDescent="0.35">
      <c r="A228" s="7" t="s">
        <v>323</v>
      </c>
      <c r="B228" s="12" t="s">
        <v>78</v>
      </c>
      <c r="C228">
        <v>30318280.73720799</v>
      </c>
      <c r="D228">
        <v>32119578.949896149</v>
      </c>
      <c r="E228">
        <v>104054.054054054</v>
      </c>
      <c r="F228">
        <v>121621.621621623</v>
      </c>
      <c r="G228">
        <v>4</v>
      </c>
      <c r="H228">
        <v>8</v>
      </c>
      <c r="K228">
        <v>6</v>
      </c>
      <c r="L228">
        <v>51</v>
      </c>
      <c r="M228">
        <v>6680630.630630631</v>
      </c>
      <c r="N228">
        <v>5031531.5315315332</v>
      </c>
      <c r="O228">
        <v>8949054.0540540535</v>
      </c>
      <c r="P228">
        <v>10013711.711711712</v>
      </c>
      <c r="Q228">
        <v>3832702.702702702</v>
      </c>
      <c r="R228">
        <v>4351441.441441441</v>
      </c>
      <c r="S228">
        <v>4570</v>
      </c>
      <c r="T228">
        <v>4600</v>
      </c>
    </row>
    <row r="229" spans="1:20" x14ac:dyDescent="0.35">
      <c r="A229" s="7" t="s">
        <v>324</v>
      </c>
      <c r="B229" s="12" t="s">
        <v>108</v>
      </c>
      <c r="C229">
        <v>140732256.60695764</v>
      </c>
      <c r="D229">
        <v>144850677.85355133</v>
      </c>
      <c r="E229">
        <v>63518597.297297299</v>
      </c>
      <c r="F229">
        <v>765270.27027027402</v>
      </c>
      <c r="G229">
        <v>31</v>
      </c>
      <c r="H229">
        <v>16</v>
      </c>
      <c r="K229">
        <v>58</v>
      </c>
      <c r="L229">
        <v>25</v>
      </c>
      <c r="M229">
        <v>11949639.639639637</v>
      </c>
      <c r="N229">
        <v>6342162.1621621586</v>
      </c>
      <c r="O229">
        <v>32759932.432432432</v>
      </c>
      <c r="P229">
        <v>36145909.909909911</v>
      </c>
      <c r="Q229">
        <v>11790990.990990989</v>
      </c>
      <c r="R229">
        <v>11341531.531531528</v>
      </c>
      <c r="S229">
        <v>21862</v>
      </c>
      <c r="T229">
        <v>21939</v>
      </c>
    </row>
    <row r="230" spans="1:20" x14ac:dyDescent="0.35">
      <c r="A230" s="7" t="s">
        <v>325</v>
      </c>
      <c r="B230" s="12" t="s">
        <v>224</v>
      </c>
      <c r="C230">
        <v>34579792.379757643</v>
      </c>
      <c r="D230">
        <v>27655803.550175834</v>
      </c>
      <c r="E230">
        <v>310450.450450451</v>
      </c>
      <c r="F230">
        <v>67567.567567567996</v>
      </c>
      <c r="G230">
        <v>11</v>
      </c>
      <c r="K230">
        <v>13</v>
      </c>
      <c r="M230">
        <v>3914054.054054054</v>
      </c>
      <c r="N230">
        <v>1869369.369369369</v>
      </c>
      <c r="O230">
        <v>6370855.8558558561</v>
      </c>
      <c r="P230">
        <v>5428009.0090090092</v>
      </c>
      <c r="Q230">
        <v>3057117.1171171162</v>
      </c>
      <c r="R230">
        <v>2463963.963963965</v>
      </c>
      <c r="S230">
        <v>4332</v>
      </c>
      <c r="T230">
        <v>4430</v>
      </c>
    </row>
    <row r="231" spans="1:20" x14ac:dyDescent="0.35">
      <c r="A231" s="7" t="s">
        <v>4</v>
      </c>
      <c r="B231" s="12" t="s">
        <v>158</v>
      </c>
      <c r="C231">
        <v>23844926.228707802</v>
      </c>
      <c r="D231">
        <v>23837023.379898455</v>
      </c>
      <c r="E231">
        <v>32432.432432432</v>
      </c>
      <c r="F231">
        <v>13513.513513514001</v>
      </c>
      <c r="G231">
        <v>2</v>
      </c>
      <c r="K231">
        <v>2</v>
      </c>
      <c r="L231">
        <v>1</v>
      </c>
      <c r="M231">
        <v>1628828.8288288279</v>
      </c>
      <c r="N231">
        <v>1815315.315315315</v>
      </c>
      <c r="O231">
        <v>8195900.9009009004</v>
      </c>
      <c r="P231">
        <v>7941072.0720720729</v>
      </c>
      <c r="Q231">
        <v>3813513.5135135129</v>
      </c>
      <c r="R231">
        <v>2146666.666666666</v>
      </c>
      <c r="S231">
        <v>3682</v>
      </c>
      <c r="T231">
        <v>3581</v>
      </c>
    </row>
    <row r="232" spans="1:20" x14ac:dyDescent="0.35">
      <c r="A232" s="7" t="s">
        <v>326</v>
      </c>
      <c r="B232" s="12" t="s">
        <v>108</v>
      </c>
      <c r="C232">
        <v>113697092.52489221</v>
      </c>
      <c r="D232">
        <v>117323625.42676196</v>
      </c>
      <c r="E232">
        <v>438918.91891892097</v>
      </c>
      <c r="F232">
        <v>734234.23423424095</v>
      </c>
      <c r="G232">
        <v>21</v>
      </c>
      <c r="H232">
        <v>27</v>
      </c>
      <c r="K232">
        <v>47</v>
      </c>
      <c r="L232">
        <v>39</v>
      </c>
      <c r="M232">
        <v>13110990.990990983</v>
      </c>
      <c r="N232">
        <v>9697657.6576576605</v>
      </c>
      <c r="O232">
        <v>30461621.621621624</v>
      </c>
      <c r="P232">
        <v>35367693.693693697</v>
      </c>
      <c r="Q232">
        <v>15289009.009009007</v>
      </c>
      <c r="R232">
        <v>12829819.819819819</v>
      </c>
      <c r="S232">
        <v>20025</v>
      </c>
      <c r="T232">
        <v>20009</v>
      </c>
    </row>
    <row r="233" spans="1:20" x14ac:dyDescent="0.35">
      <c r="A233" s="7" t="s">
        <v>327</v>
      </c>
      <c r="B233" s="12" t="s">
        <v>78</v>
      </c>
      <c r="C233">
        <v>11778001.181002308</v>
      </c>
      <c r="D233">
        <v>11844747.841999434</v>
      </c>
      <c r="E233">
        <v>3603.603603604</v>
      </c>
      <c r="F233">
        <v>40540.540540540998</v>
      </c>
      <c r="G233">
        <v>4</v>
      </c>
      <c r="H233">
        <v>5</v>
      </c>
      <c r="K233">
        <v>5</v>
      </c>
      <c r="L233">
        <v>6</v>
      </c>
      <c r="M233">
        <v>93693.693693694004</v>
      </c>
      <c r="N233">
        <v>1797297.2972972961</v>
      </c>
      <c r="O233">
        <v>3093243.2432432431</v>
      </c>
      <c r="P233">
        <v>3666189.1891891891</v>
      </c>
      <c r="Q233">
        <v>608918.91891891905</v>
      </c>
      <c r="R233">
        <v>1041351.3513513519</v>
      </c>
      <c r="S233">
        <v>2049</v>
      </c>
      <c r="T233">
        <v>1800</v>
      </c>
    </row>
    <row r="234" spans="1:20" x14ac:dyDescent="0.35">
      <c r="A234" s="7" t="s">
        <v>328</v>
      </c>
      <c r="B234" s="12" t="s">
        <v>121</v>
      </c>
      <c r="C234">
        <v>34386614.067670979</v>
      </c>
      <c r="D234">
        <v>29314242.677526403</v>
      </c>
      <c r="E234">
        <v>13513.513513514001</v>
      </c>
      <c r="F234">
        <v>81081.081081081997</v>
      </c>
      <c r="G234">
        <v>8</v>
      </c>
      <c r="H234">
        <v>9</v>
      </c>
      <c r="K234">
        <v>12</v>
      </c>
      <c r="L234">
        <v>10</v>
      </c>
      <c r="M234">
        <v>1364864.8648648651</v>
      </c>
      <c r="N234">
        <v>2846846.8468468459</v>
      </c>
      <c r="O234">
        <v>4686162.1621621624</v>
      </c>
      <c r="P234">
        <v>3599054.054054054</v>
      </c>
      <c r="Q234">
        <v>1389099.099099098</v>
      </c>
      <c r="R234">
        <v>1565225.225225226</v>
      </c>
      <c r="S234">
        <v>4068</v>
      </c>
      <c r="T234">
        <v>3545</v>
      </c>
    </row>
    <row r="235" spans="1:20" x14ac:dyDescent="0.35">
      <c r="A235" s="7" t="s">
        <v>329</v>
      </c>
      <c r="B235" s="12" t="s">
        <v>330</v>
      </c>
      <c r="C235">
        <v>79598279.219944611</v>
      </c>
      <c r="D235">
        <v>72628406.436432764</v>
      </c>
      <c r="E235">
        <v>306756.75675675803</v>
      </c>
      <c r="F235">
        <v>828828.82882883097</v>
      </c>
      <c r="G235">
        <v>23</v>
      </c>
      <c r="H235">
        <v>25</v>
      </c>
      <c r="K235">
        <v>26</v>
      </c>
      <c r="L235">
        <v>33</v>
      </c>
      <c r="M235">
        <v>4641891.8918918902</v>
      </c>
      <c r="N235">
        <v>3621621.6216216232</v>
      </c>
      <c r="O235">
        <v>14311198.198198197</v>
      </c>
      <c r="P235">
        <v>15207702.702702705</v>
      </c>
      <c r="Q235">
        <v>3952612.6126126102</v>
      </c>
      <c r="R235">
        <v>3822522.5225225231</v>
      </c>
      <c r="S235">
        <v>14463</v>
      </c>
      <c r="T235">
        <v>14096</v>
      </c>
    </row>
    <row r="236" spans="1:20" x14ac:dyDescent="0.35">
      <c r="A236" s="7" t="s">
        <v>331</v>
      </c>
      <c r="B236" s="12" t="s">
        <v>290</v>
      </c>
      <c r="C236">
        <v>113166900.57671274</v>
      </c>
      <c r="D236">
        <v>111536340.30453853</v>
      </c>
      <c r="E236">
        <v>171171.17117116999</v>
      </c>
      <c r="F236">
        <v>256756.75675676001</v>
      </c>
      <c r="G236">
        <v>22</v>
      </c>
      <c r="H236">
        <v>25</v>
      </c>
      <c r="K236">
        <v>33</v>
      </c>
      <c r="L236">
        <v>37</v>
      </c>
      <c r="M236">
        <v>10837837.837837836</v>
      </c>
      <c r="N236">
        <v>5157657.6576576587</v>
      </c>
      <c r="O236">
        <v>17330495.495495494</v>
      </c>
      <c r="P236">
        <v>18495864.864864863</v>
      </c>
      <c r="Q236">
        <v>10321441.441441445</v>
      </c>
      <c r="R236">
        <v>6803603.6036036061</v>
      </c>
      <c r="S236">
        <v>17007</v>
      </c>
      <c r="T236">
        <v>17749</v>
      </c>
    </row>
    <row r="237" spans="1:20" x14ac:dyDescent="0.35">
      <c r="A237" s="7" t="s">
        <v>332</v>
      </c>
      <c r="B237" s="12" t="s">
        <v>290</v>
      </c>
      <c r="C237">
        <v>85028961.02248019</v>
      </c>
      <c r="D237">
        <v>84348139.752445951</v>
      </c>
      <c r="E237">
        <v>260810.81081081001</v>
      </c>
      <c r="F237">
        <v>626126.12612612895</v>
      </c>
      <c r="G237">
        <v>10</v>
      </c>
      <c r="H237">
        <v>9</v>
      </c>
      <c r="I237">
        <v>1</v>
      </c>
      <c r="K237">
        <v>16</v>
      </c>
      <c r="L237">
        <v>16</v>
      </c>
      <c r="M237">
        <v>6792342.3423423413</v>
      </c>
      <c r="N237">
        <v>8833333.333333334</v>
      </c>
      <c r="O237">
        <v>18360531.531531528</v>
      </c>
      <c r="P237">
        <v>21114990.990990993</v>
      </c>
      <c r="Q237">
        <v>9042162.1621621642</v>
      </c>
      <c r="R237">
        <v>11910720.720720723</v>
      </c>
      <c r="S237">
        <v>14661</v>
      </c>
      <c r="T237">
        <v>14830</v>
      </c>
    </row>
    <row r="238" spans="1:20" x14ac:dyDescent="0.35">
      <c r="A238" s="7" t="s">
        <v>333</v>
      </c>
      <c r="B238" s="12" t="s">
        <v>60</v>
      </c>
      <c r="C238">
        <v>11349530.590436997</v>
      </c>
      <c r="D238">
        <v>11675274.083549475</v>
      </c>
      <c r="E238">
        <v>298198.19819819799</v>
      </c>
      <c r="F238">
        <v>427927.92792792898</v>
      </c>
      <c r="G238">
        <v>2</v>
      </c>
      <c r="H238">
        <v>16</v>
      </c>
      <c r="K238">
        <v>6</v>
      </c>
      <c r="L238">
        <v>24</v>
      </c>
      <c r="M238">
        <v>3361261.261261262</v>
      </c>
      <c r="N238">
        <v>1951891.8918918921</v>
      </c>
      <c r="O238">
        <v>3984054.054054054</v>
      </c>
      <c r="P238">
        <v>4136702.702702703</v>
      </c>
      <c r="Q238">
        <v>2034684.684684685</v>
      </c>
      <c r="R238">
        <v>1619369.3693693699</v>
      </c>
      <c r="S238">
        <v>2002</v>
      </c>
      <c r="T238">
        <v>2000</v>
      </c>
    </row>
    <row r="239" spans="1:20" x14ac:dyDescent="0.35">
      <c r="A239" s="7" t="s">
        <v>334</v>
      </c>
      <c r="B239" s="12" t="s">
        <v>60</v>
      </c>
      <c r="C239">
        <v>1741458.640426205</v>
      </c>
      <c r="D239">
        <v>2097142.9866925301</v>
      </c>
      <c r="E239">
        <v>2702.7027027029999</v>
      </c>
      <c r="F239">
        <v>27027.027027028002</v>
      </c>
      <c r="H239">
        <v>1</v>
      </c>
      <c r="L239">
        <v>2</v>
      </c>
      <c r="M239">
        <v>48648.648648649003</v>
      </c>
      <c r="N239">
        <v>27027.027027028002</v>
      </c>
      <c r="O239">
        <v>833378.37837837799</v>
      </c>
      <c r="P239">
        <v>1078693.693693694</v>
      </c>
      <c r="Q239">
        <v>43243.243243243</v>
      </c>
      <c r="S239">
        <v>954</v>
      </c>
      <c r="T239">
        <v>772</v>
      </c>
    </row>
    <row r="240" spans="1:20" x14ac:dyDescent="0.35">
      <c r="A240" s="7" t="s">
        <v>335</v>
      </c>
      <c r="B240" s="12" t="s">
        <v>121</v>
      </c>
      <c r="C240">
        <v>22979.440465963002</v>
      </c>
      <c r="D240">
        <v>263717.71898445999</v>
      </c>
      <c r="S240">
        <v>3</v>
      </c>
      <c r="T240">
        <v>159</v>
      </c>
    </row>
    <row r="241" spans="1:20" x14ac:dyDescent="0.35">
      <c r="A241" s="7" t="s">
        <v>336</v>
      </c>
      <c r="B241" s="12" t="s">
        <v>121</v>
      </c>
      <c r="C241">
        <v>456079.33209335298</v>
      </c>
      <c r="D241">
        <v>423096.085136718</v>
      </c>
      <c r="O241">
        <v>99819.819819819997</v>
      </c>
      <c r="P241">
        <v>172972.97297297299</v>
      </c>
      <c r="S241">
        <v>108</v>
      </c>
      <c r="T241">
        <v>199</v>
      </c>
    </row>
    <row r="242" spans="1:20" x14ac:dyDescent="0.35">
      <c r="A242" s="7" t="s">
        <v>337</v>
      </c>
      <c r="B242" s="12" t="s">
        <v>121</v>
      </c>
      <c r="C242">
        <v>358988.249463466</v>
      </c>
      <c r="D242">
        <v>271581.27054012299</v>
      </c>
      <c r="P242">
        <v>14414.414414413999</v>
      </c>
      <c r="S242">
        <v>135</v>
      </c>
      <c r="T242">
        <v>129</v>
      </c>
    </row>
    <row r="243" spans="1:20" x14ac:dyDescent="0.35">
      <c r="A243" s="7" t="s">
        <v>338</v>
      </c>
      <c r="B243" s="12" t="s">
        <v>140</v>
      </c>
      <c r="C243">
        <v>129895322.61517842</v>
      </c>
      <c r="D243">
        <v>130657699.73851587</v>
      </c>
      <c r="E243">
        <v>186396.39639639901</v>
      </c>
      <c r="F243">
        <v>198198.1981982</v>
      </c>
      <c r="G243">
        <v>49</v>
      </c>
      <c r="H243">
        <v>13</v>
      </c>
      <c r="K243">
        <v>58</v>
      </c>
      <c r="L243">
        <v>24</v>
      </c>
      <c r="M243">
        <v>14519737.837837836</v>
      </c>
      <c r="N243">
        <v>8774054.0540540516</v>
      </c>
      <c r="O243">
        <v>24600765.765765768</v>
      </c>
      <c r="P243">
        <v>24192126.126126129</v>
      </c>
      <c r="Q243">
        <v>11390810.810810812</v>
      </c>
      <c r="R243">
        <v>10622342.342342339</v>
      </c>
      <c r="S243">
        <v>15858</v>
      </c>
      <c r="T243">
        <v>15916</v>
      </c>
    </row>
    <row r="244" spans="1:20" x14ac:dyDescent="0.35">
      <c r="A244" s="7" t="s">
        <v>339</v>
      </c>
      <c r="B244" s="12" t="s">
        <v>121</v>
      </c>
      <c r="C244">
        <v>21529374.111055799</v>
      </c>
      <c r="D244">
        <v>18563942.208570663</v>
      </c>
      <c r="G244">
        <v>7</v>
      </c>
      <c r="H244">
        <v>4</v>
      </c>
      <c r="K244">
        <v>10</v>
      </c>
      <c r="L244">
        <v>4</v>
      </c>
      <c r="O244">
        <v>1562063.0630630639</v>
      </c>
      <c r="P244">
        <v>745810.810810811</v>
      </c>
      <c r="S244">
        <v>2405</v>
      </c>
      <c r="T244">
        <v>2429</v>
      </c>
    </row>
    <row r="245" spans="1:20" x14ac:dyDescent="0.35">
      <c r="A245" s="7" t="s">
        <v>340</v>
      </c>
      <c r="B245" s="12" t="s">
        <v>140</v>
      </c>
      <c r="C245">
        <v>64796548.262361087</v>
      </c>
      <c r="D245">
        <v>71122153.618390754</v>
      </c>
      <c r="E245">
        <v>122072.07207207099</v>
      </c>
      <c r="F245">
        <v>94594.594594598006</v>
      </c>
      <c r="G245">
        <v>6</v>
      </c>
      <c r="H245">
        <v>5</v>
      </c>
      <c r="K245">
        <v>6</v>
      </c>
      <c r="L245">
        <v>10</v>
      </c>
      <c r="M245">
        <v>11942792.792792792</v>
      </c>
      <c r="N245">
        <v>4646306.3063063063</v>
      </c>
      <c r="O245">
        <v>16149054.054054054</v>
      </c>
      <c r="P245">
        <v>19247430.630630631</v>
      </c>
      <c r="Q245">
        <v>10751531.53153153</v>
      </c>
      <c r="R245">
        <v>7933243.2432432417</v>
      </c>
      <c r="S245">
        <v>8767</v>
      </c>
      <c r="T245">
        <v>8774</v>
      </c>
    </row>
    <row r="246" spans="1:20" x14ac:dyDescent="0.35">
      <c r="A246" s="7" t="s">
        <v>341</v>
      </c>
      <c r="B246" s="12" t="s">
        <v>134</v>
      </c>
      <c r="C246">
        <v>7629186.2314271424</v>
      </c>
      <c r="D246">
        <v>6610306.6848812327</v>
      </c>
      <c r="F246">
        <v>27027.027027027001</v>
      </c>
      <c r="H246">
        <v>2</v>
      </c>
      <c r="L246">
        <v>2</v>
      </c>
      <c r="N246">
        <v>27027.027027027001</v>
      </c>
      <c r="O246">
        <v>579684.68468468497</v>
      </c>
      <c r="P246">
        <v>625495.49549549504</v>
      </c>
      <c r="Q246">
        <v>268198.19819819799</v>
      </c>
      <c r="R246">
        <v>164864.864864865</v>
      </c>
      <c r="S246">
        <v>1339</v>
      </c>
      <c r="T246">
        <v>1297</v>
      </c>
    </row>
    <row r="247" spans="1:20" x14ac:dyDescent="0.35">
      <c r="A247" s="7" t="s">
        <v>342</v>
      </c>
      <c r="B247" s="12" t="s">
        <v>121</v>
      </c>
      <c r="C247">
        <v>449078.22301564302</v>
      </c>
      <c r="D247">
        <v>170374.45964411</v>
      </c>
      <c r="G247">
        <v>2</v>
      </c>
      <c r="K247">
        <v>2</v>
      </c>
      <c r="O247">
        <v>275225.22522522497</v>
      </c>
      <c r="P247">
        <v>19819.819819820001</v>
      </c>
      <c r="S247">
        <v>409</v>
      </c>
      <c r="T247">
        <v>312</v>
      </c>
    </row>
    <row r="248" spans="1:20" x14ac:dyDescent="0.35">
      <c r="A248" s="7" t="s">
        <v>5</v>
      </c>
      <c r="B248" s="12" t="s">
        <v>158</v>
      </c>
      <c r="C248">
        <v>19771362.383183934</v>
      </c>
      <c r="D248">
        <v>25733615.673092291</v>
      </c>
      <c r="E248">
        <v>3153.1531531529999</v>
      </c>
      <c r="F248">
        <v>40540.540540540998</v>
      </c>
      <c r="G248">
        <v>4</v>
      </c>
      <c r="H248">
        <v>3</v>
      </c>
      <c r="K248">
        <v>6</v>
      </c>
      <c r="L248">
        <v>3</v>
      </c>
      <c r="M248">
        <v>1633783.783783782</v>
      </c>
      <c r="N248">
        <v>3058558.558558559</v>
      </c>
      <c r="O248">
        <v>8900495.4954954945</v>
      </c>
      <c r="P248">
        <v>11073873.873873875</v>
      </c>
      <c r="Q248">
        <v>872252.25225225196</v>
      </c>
      <c r="R248">
        <v>1310090.0900900899</v>
      </c>
      <c r="S248">
        <v>2843</v>
      </c>
      <c r="T248">
        <v>3015</v>
      </c>
    </row>
    <row r="249" spans="1:20" x14ac:dyDescent="0.35">
      <c r="A249" s="7" t="s">
        <v>343</v>
      </c>
      <c r="B249" s="12" t="s">
        <v>304</v>
      </c>
      <c r="C249">
        <v>2807829.5098433248</v>
      </c>
      <c r="D249">
        <v>4292606.2541560195</v>
      </c>
      <c r="G249">
        <v>4</v>
      </c>
      <c r="H249">
        <v>2</v>
      </c>
      <c r="K249">
        <v>7</v>
      </c>
      <c r="L249">
        <v>5</v>
      </c>
      <c r="O249">
        <v>849864.86486486497</v>
      </c>
      <c r="P249">
        <v>901342.34234234202</v>
      </c>
      <c r="Q249">
        <v>75225.225225225004</v>
      </c>
      <c r="R249">
        <v>32432.432432433001</v>
      </c>
      <c r="S249">
        <v>571</v>
      </c>
      <c r="T249">
        <v>548</v>
      </c>
    </row>
    <row r="250" spans="1:20" x14ac:dyDescent="0.35">
      <c r="A250" s="7" t="s">
        <v>344</v>
      </c>
      <c r="B250" s="12" t="s">
        <v>105</v>
      </c>
      <c r="C250">
        <v>46104674.903408229</v>
      </c>
      <c r="D250">
        <v>50816714.641778879</v>
      </c>
      <c r="E250">
        <v>5424324.3243243229</v>
      </c>
      <c r="F250">
        <v>500000.00000000198</v>
      </c>
      <c r="G250">
        <v>4</v>
      </c>
      <c r="H250">
        <v>6</v>
      </c>
      <c r="K250">
        <v>8</v>
      </c>
      <c r="L250">
        <v>7</v>
      </c>
      <c r="M250">
        <v>2835585.5855855839</v>
      </c>
      <c r="N250">
        <v>9414414.4144144151</v>
      </c>
      <c r="O250">
        <v>11499504.504504504</v>
      </c>
      <c r="P250">
        <v>10931387.387387387</v>
      </c>
      <c r="Q250">
        <v>4066126.1261261269</v>
      </c>
      <c r="R250">
        <v>6683333.333333334</v>
      </c>
      <c r="S250">
        <v>5881</v>
      </c>
      <c r="T250">
        <v>5854</v>
      </c>
    </row>
    <row r="251" spans="1:20" x14ac:dyDescent="0.35">
      <c r="A251" s="7" t="s">
        <v>345</v>
      </c>
      <c r="B251" s="12" t="s">
        <v>87</v>
      </c>
      <c r="C251">
        <v>17759225.532680307</v>
      </c>
      <c r="D251">
        <v>16634002.274858132</v>
      </c>
      <c r="E251">
        <v>281981.981981983</v>
      </c>
      <c r="F251">
        <v>27027.027027027001</v>
      </c>
      <c r="G251">
        <v>9</v>
      </c>
      <c r="H251">
        <v>6</v>
      </c>
      <c r="K251">
        <v>13</v>
      </c>
      <c r="L251">
        <v>9</v>
      </c>
      <c r="M251">
        <v>5281981.9819819806</v>
      </c>
      <c r="N251">
        <v>3180180.180180179</v>
      </c>
      <c r="O251">
        <v>3225202.702702703</v>
      </c>
      <c r="P251">
        <v>4188234.2342342348</v>
      </c>
      <c r="Q251">
        <v>2126216.2162162168</v>
      </c>
      <c r="R251">
        <v>1964324.324324325</v>
      </c>
      <c r="S251">
        <v>2171</v>
      </c>
      <c r="T251">
        <v>2360</v>
      </c>
    </row>
    <row r="252" spans="1:20" x14ac:dyDescent="0.35">
      <c r="A252" s="7" t="s">
        <v>346</v>
      </c>
      <c r="B252" s="12" t="s">
        <v>87</v>
      </c>
      <c r="C252">
        <v>53845054.371962398</v>
      </c>
      <c r="D252">
        <v>44615704.781120688</v>
      </c>
      <c r="E252">
        <v>34234.234234235999</v>
      </c>
      <c r="F252">
        <v>270270.27027027501</v>
      </c>
      <c r="G252">
        <v>28</v>
      </c>
      <c r="H252">
        <v>27</v>
      </c>
      <c r="I252">
        <v>1</v>
      </c>
      <c r="K252">
        <v>36</v>
      </c>
      <c r="L252">
        <v>45</v>
      </c>
      <c r="M252">
        <v>4951351.3513513533</v>
      </c>
      <c r="N252">
        <v>4324324.3243243266</v>
      </c>
      <c r="O252">
        <v>8116355.8558558561</v>
      </c>
      <c r="P252">
        <v>7229999.9999999991</v>
      </c>
      <c r="Q252">
        <v>3609819.8198198201</v>
      </c>
      <c r="R252">
        <v>2533153.1531531541</v>
      </c>
      <c r="S252">
        <v>6648</v>
      </c>
      <c r="T252">
        <v>6409</v>
      </c>
    </row>
    <row r="253" spans="1:20" x14ac:dyDescent="0.35">
      <c r="A253" s="7" t="s">
        <v>347</v>
      </c>
      <c r="B253" s="12" t="s">
        <v>87</v>
      </c>
      <c r="C253">
        <v>1228063.209540973</v>
      </c>
      <c r="D253">
        <v>1466963.4217952711</v>
      </c>
      <c r="H253">
        <v>1</v>
      </c>
      <c r="L253">
        <v>2</v>
      </c>
      <c r="O253">
        <v>758108.10810810805</v>
      </c>
      <c r="P253">
        <v>535585.58558558498</v>
      </c>
      <c r="S253">
        <v>812</v>
      </c>
      <c r="T253">
        <v>884</v>
      </c>
    </row>
    <row r="254" spans="1:20" x14ac:dyDescent="0.35">
      <c r="A254" s="7" t="s">
        <v>348</v>
      </c>
      <c r="B254" s="12" t="s">
        <v>87</v>
      </c>
      <c r="C254">
        <v>434198.71670909802</v>
      </c>
      <c r="D254">
        <v>649036.09489479801</v>
      </c>
      <c r="O254">
        <v>58558.558558559002</v>
      </c>
      <c r="P254">
        <v>267432.43243243202</v>
      </c>
      <c r="S254">
        <v>192</v>
      </c>
      <c r="T254">
        <v>177</v>
      </c>
    </row>
    <row r="255" spans="1:20" x14ac:dyDescent="0.35">
      <c r="A255" s="7" t="s">
        <v>349</v>
      </c>
      <c r="B255" s="12" t="s">
        <v>87</v>
      </c>
      <c r="C255">
        <v>549729.26908323204</v>
      </c>
      <c r="D255">
        <v>509405.68912559998</v>
      </c>
      <c r="K255">
        <v>1</v>
      </c>
      <c r="O255">
        <v>196621.62162162201</v>
      </c>
      <c r="P255">
        <v>219369.36936936999</v>
      </c>
      <c r="S255">
        <v>612</v>
      </c>
      <c r="T255">
        <v>602</v>
      </c>
    </row>
    <row r="256" spans="1:20" x14ac:dyDescent="0.35">
      <c r="A256" s="7" t="s">
        <v>350</v>
      </c>
      <c r="B256" s="12" t="s">
        <v>87</v>
      </c>
      <c r="C256">
        <v>16179861.416920096</v>
      </c>
      <c r="D256">
        <v>12729234.315597419</v>
      </c>
      <c r="E256">
        <v>2702.7027027029999</v>
      </c>
      <c r="F256">
        <v>13513.513513514001</v>
      </c>
      <c r="G256">
        <v>8</v>
      </c>
      <c r="H256">
        <v>2</v>
      </c>
      <c r="K256">
        <v>9</v>
      </c>
      <c r="L256">
        <v>5</v>
      </c>
      <c r="M256">
        <v>1038738.73873874</v>
      </c>
      <c r="N256">
        <v>1229729.729729729</v>
      </c>
      <c r="O256">
        <v>2784774.774774773</v>
      </c>
      <c r="P256">
        <v>2454450.4504504511</v>
      </c>
      <c r="Q256">
        <v>1137297.297297298</v>
      </c>
      <c r="R256">
        <v>545765.76576576603</v>
      </c>
      <c r="S256">
        <v>2033</v>
      </c>
      <c r="T256">
        <v>2069</v>
      </c>
    </row>
    <row r="257" spans="1:20" x14ac:dyDescent="0.35">
      <c r="A257" s="7" t="s">
        <v>351</v>
      </c>
      <c r="B257" s="12" t="s">
        <v>50</v>
      </c>
      <c r="C257">
        <v>30901704.61824723</v>
      </c>
      <c r="D257">
        <v>37954565.134051055</v>
      </c>
      <c r="E257">
        <v>118918.91891892</v>
      </c>
      <c r="F257">
        <v>171171.171171172</v>
      </c>
      <c r="G257">
        <v>3</v>
      </c>
      <c r="H257">
        <v>12</v>
      </c>
      <c r="K257">
        <v>3</v>
      </c>
      <c r="L257">
        <v>19</v>
      </c>
      <c r="M257">
        <v>5691891.8918918949</v>
      </c>
      <c r="N257">
        <v>4945945.9459459446</v>
      </c>
      <c r="O257">
        <v>11105900.9009009</v>
      </c>
      <c r="P257">
        <v>14048927.927927928</v>
      </c>
      <c r="Q257">
        <v>5625315.3153153183</v>
      </c>
      <c r="R257">
        <v>6152252.2522522509</v>
      </c>
      <c r="S257">
        <v>4351</v>
      </c>
      <c r="T257">
        <v>4247</v>
      </c>
    </row>
    <row r="258" spans="1:20" x14ac:dyDescent="0.35">
      <c r="A258" s="7" t="s">
        <v>352</v>
      </c>
      <c r="B258" s="12" t="s">
        <v>123</v>
      </c>
      <c r="C258">
        <v>214270.342938407</v>
      </c>
      <c r="D258">
        <v>194600.74921771701</v>
      </c>
      <c r="O258">
        <v>60135.135135135002</v>
      </c>
      <c r="P258">
        <v>129144.144144144</v>
      </c>
      <c r="S258">
        <v>134</v>
      </c>
      <c r="T258">
        <v>119</v>
      </c>
    </row>
    <row r="259" spans="1:20" x14ac:dyDescent="0.35">
      <c r="A259" s="7" t="s">
        <v>353</v>
      </c>
      <c r="B259" s="12" t="s">
        <v>354</v>
      </c>
      <c r="C259">
        <v>59005324.173241563</v>
      </c>
      <c r="D259">
        <v>63481116.255467653</v>
      </c>
      <c r="E259">
        <v>49984065.765765756</v>
      </c>
      <c r="F259">
        <v>49033384.684684686</v>
      </c>
      <c r="G259">
        <v>7</v>
      </c>
      <c r="H259">
        <v>57</v>
      </c>
      <c r="K259">
        <v>94</v>
      </c>
      <c r="L259">
        <v>64</v>
      </c>
      <c r="M259">
        <v>59741801.801801808</v>
      </c>
      <c r="N259">
        <v>15309909.909909908</v>
      </c>
      <c r="O259">
        <v>34747657.657657653</v>
      </c>
      <c r="P259">
        <v>35548378.378378376</v>
      </c>
      <c r="Q259">
        <v>47796306.30630631</v>
      </c>
      <c r="R259">
        <v>18808018.018018015</v>
      </c>
      <c r="S259">
        <v>9196</v>
      </c>
      <c r="T259">
        <v>9063</v>
      </c>
    </row>
    <row r="260" spans="1:20" x14ac:dyDescent="0.35">
      <c r="A260" s="7" t="s">
        <v>355</v>
      </c>
      <c r="B260" s="12" t="s">
        <v>48</v>
      </c>
      <c r="C260">
        <v>45166571.241221622</v>
      </c>
      <c r="D260">
        <v>42554292.376882613</v>
      </c>
      <c r="E260">
        <v>1801.801801802</v>
      </c>
      <c r="G260">
        <v>10</v>
      </c>
      <c r="H260">
        <v>2</v>
      </c>
      <c r="K260">
        <v>13</v>
      </c>
      <c r="L260">
        <v>4</v>
      </c>
      <c r="M260">
        <v>261261.26126126101</v>
      </c>
      <c r="O260">
        <v>2979720.7207207209</v>
      </c>
      <c r="P260">
        <v>3164297.297297297</v>
      </c>
      <c r="Q260">
        <v>230360.360360361</v>
      </c>
      <c r="R260">
        <v>87387.387387387003</v>
      </c>
      <c r="S260">
        <v>5859</v>
      </c>
      <c r="T260">
        <v>5712</v>
      </c>
    </row>
    <row r="261" spans="1:20" x14ac:dyDescent="0.35">
      <c r="A261" s="7" t="s">
        <v>356</v>
      </c>
      <c r="B261" s="12" t="s">
        <v>123</v>
      </c>
      <c r="C261">
        <v>50483266.949140877</v>
      </c>
      <c r="D261">
        <v>45084273.850726001</v>
      </c>
      <c r="E261">
        <v>31531.531531532</v>
      </c>
      <c r="F261">
        <v>27027.027027028002</v>
      </c>
      <c r="G261">
        <v>16</v>
      </c>
      <c r="H261">
        <v>6</v>
      </c>
      <c r="K261">
        <v>19</v>
      </c>
      <c r="L261">
        <v>6</v>
      </c>
      <c r="M261">
        <v>1159099.099099098</v>
      </c>
      <c r="N261">
        <v>4711711.7117117122</v>
      </c>
      <c r="O261">
        <v>11167918.918918919</v>
      </c>
      <c r="P261">
        <v>9405954.9549549557</v>
      </c>
      <c r="Q261">
        <v>1433063.063063062</v>
      </c>
      <c r="R261">
        <v>4236936.9369369373</v>
      </c>
      <c r="S261">
        <v>5932</v>
      </c>
      <c r="T261">
        <v>5427</v>
      </c>
    </row>
    <row r="262" spans="1:20" x14ac:dyDescent="0.35">
      <c r="A262" s="7" t="s">
        <v>357</v>
      </c>
      <c r="B262" s="12" t="s">
        <v>62</v>
      </c>
      <c r="C262">
        <v>26028087.7755033</v>
      </c>
      <c r="D262">
        <v>25462180.959025454</v>
      </c>
      <c r="E262">
        <v>36936.936936935999</v>
      </c>
      <c r="G262">
        <v>2</v>
      </c>
      <c r="H262">
        <v>1</v>
      </c>
      <c r="K262">
        <v>2</v>
      </c>
      <c r="L262">
        <v>1</v>
      </c>
      <c r="M262">
        <v>4296036.036036035</v>
      </c>
      <c r="N262">
        <v>991711.71171171102</v>
      </c>
      <c r="O262">
        <v>7017837.8378378367</v>
      </c>
      <c r="P262">
        <v>6842342.3423423423</v>
      </c>
      <c r="Q262">
        <v>4192612.6126126139</v>
      </c>
      <c r="R262">
        <v>2277477.477477476</v>
      </c>
      <c r="S262">
        <v>3786</v>
      </c>
      <c r="T262">
        <v>3786</v>
      </c>
    </row>
    <row r="263" spans="1:20" x14ac:dyDescent="0.35">
      <c r="A263" s="7" t="s">
        <v>358</v>
      </c>
      <c r="B263" s="12" t="s">
        <v>315</v>
      </c>
      <c r="C263">
        <v>645594.44840566604</v>
      </c>
      <c r="D263">
        <v>18686.162490415001</v>
      </c>
      <c r="K263">
        <v>1</v>
      </c>
      <c r="O263">
        <v>636396.39639639703</v>
      </c>
      <c r="P263">
        <v>6306.3063063059999</v>
      </c>
      <c r="S263">
        <v>488</v>
      </c>
      <c r="T263">
        <v>13</v>
      </c>
    </row>
    <row r="264" spans="1:20" x14ac:dyDescent="0.35">
      <c r="A264" s="7" t="s">
        <v>359</v>
      </c>
      <c r="B264" s="12" t="s">
        <v>315</v>
      </c>
      <c r="C264">
        <v>30863817.964609761</v>
      </c>
      <c r="D264">
        <v>25033936.091106955</v>
      </c>
      <c r="E264">
        <v>44144.144144143997</v>
      </c>
      <c r="F264">
        <v>94594.594594597002</v>
      </c>
      <c r="G264">
        <v>2</v>
      </c>
      <c r="H264">
        <v>5</v>
      </c>
      <c r="K264">
        <v>3</v>
      </c>
      <c r="L264">
        <v>13</v>
      </c>
      <c r="M264">
        <v>2754054.0540540582</v>
      </c>
      <c r="N264">
        <v>94594.594594597002</v>
      </c>
      <c r="O264">
        <v>10641261.26126126</v>
      </c>
      <c r="P264">
        <v>9925450.450450452</v>
      </c>
      <c r="Q264">
        <v>4880270.270270274</v>
      </c>
      <c r="R264">
        <v>4784144.144144143</v>
      </c>
      <c r="S264">
        <v>3227</v>
      </c>
      <c r="T264">
        <v>3325</v>
      </c>
    </row>
    <row r="265" spans="1:20" x14ac:dyDescent="0.35">
      <c r="A265" s="7" t="s">
        <v>360</v>
      </c>
      <c r="B265" s="12" t="s">
        <v>92</v>
      </c>
      <c r="C265">
        <v>51771208.442189425</v>
      </c>
      <c r="D265">
        <v>48954388.343575962</v>
      </c>
      <c r="E265">
        <v>19974166.666666664</v>
      </c>
      <c r="F265">
        <v>1499322.5225225249</v>
      </c>
      <c r="G265">
        <v>11</v>
      </c>
      <c r="H265">
        <v>13</v>
      </c>
      <c r="K265">
        <v>17</v>
      </c>
      <c r="L265">
        <v>20</v>
      </c>
      <c r="M265">
        <v>18373243.243243251</v>
      </c>
      <c r="N265">
        <v>1833333.333333334</v>
      </c>
      <c r="O265">
        <v>13091531.531531531</v>
      </c>
      <c r="P265">
        <v>14165423.423423424</v>
      </c>
      <c r="Q265">
        <v>14072252.25225226</v>
      </c>
      <c r="R265">
        <v>3460630.6306306301</v>
      </c>
      <c r="S265">
        <v>6787</v>
      </c>
      <c r="T265">
        <v>6730</v>
      </c>
    </row>
    <row r="266" spans="1:20" x14ac:dyDescent="0.35">
      <c r="A266" s="7" t="s">
        <v>361</v>
      </c>
      <c r="B266" s="12" t="s">
        <v>58</v>
      </c>
      <c r="C266">
        <v>105661021.77194649</v>
      </c>
      <c r="D266">
        <v>99294316.137240946</v>
      </c>
      <c r="E266">
        <v>1809009.0090090099</v>
      </c>
      <c r="F266">
        <v>27027.027027028002</v>
      </c>
      <c r="G266">
        <v>11</v>
      </c>
      <c r="H266">
        <v>9</v>
      </c>
      <c r="K266">
        <v>12</v>
      </c>
      <c r="L266">
        <v>14</v>
      </c>
      <c r="M266">
        <v>8115315.3153153164</v>
      </c>
      <c r="N266">
        <v>2315315.315315316</v>
      </c>
      <c r="O266">
        <v>15163648.648648649</v>
      </c>
      <c r="P266">
        <v>14701630.630630633</v>
      </c>
      <c r="Q266">
        <v>2678828.8288288279</v>
      </c>
      <c r="R266">
        <v>2622612.6126126121</v>
      </c>
      <c r="S266">
        <v>12913</v>
      </c>
      <c r="T266">
        <v>12705</v>
      </c>
    </row>
    <row r="267" spans="1:20" x14ac:dyDescent="0.35">
      <c r="A267" s="7" t="s">
        <v>362</v>
      </c>
      <c r="B267" s="12" t="s">
        <v>48</v>
      </c>
      <c r="C267">
        <v>36213002.154788233</v>
      </c>
      <c r="D267">
        <v>34471311.633607037</v>
      </c>
      <c r="E267">
        <v>18830531.531531531</v>
      </c>
      <c r="F267">
        <v>2327645.945945946</v>
      </c>
      <c r="H267">
        <v>1</v>
      </c>
      <c r="L267">
        <v>1</v>
      </c>
      <c r="M267">
        <v>227027.02702702701</v>
      </c>
      <c r="O267">
        <v>6727387.3873873884</v>
      </c>
      <c r="P267">
        <v>5048675.6756756771</v>
      </c>
      <c r="Q267">
        <v>1334684.684684684</v>
      </c>
      <c r="R267">
        <v>1249549.5495495489</v>
      </c>
      <c r="S267">
        <v>3838</v>
      </c>
      <c r="T267">
        <v>3904</v>
      </c>
    </row>
    <row r="268" spans="1:20" x14ac:dyDescent="0.35">
      <c r="A268" s="7" t="s">
        <v>363</v>
      </c>
      <c r="B268" s="12" t="s">
        <v>52</v>
      </c>
      <c r="C268">
        <v>14414053.143099474</v>
      </c>
      <c r="D268">
        <v>15093814.441340696</v>
      </c>
      <c r="E268">
        <v>164954.954954955</v>
      </c>
      <c r="F268">
        <v>27027.027027028002</v>
      </c>
      <c r="G268">
        <v>2</v>
      </c>
      <c r="H268">
        <v>4</v>
      </c>
      <c r="K268">
        <v>3</v>
      </c>
      <c r="L268">
        <v>5</v>
      </c>
      <c r="M268">
        <v>543333.33333333302</v>
      </c>
      <c r="N268">
        <v>297297.29729729798</v>
      </c>
      <c r="O268">
        <v>6558828.8288288293</v>
      </c>
      <c r="P268">
        <v>7510360.3603603598</v>
      </c>
      <c r="Q268">
        <v>539639.63963963895</v>
      </c>
      <c r="R268">
        <v>275315.31531531498</v>
      </c>
      <c r="S268">
        <v>2327</v>
      </c>
      <c r="T268">
        <v>2319</v>
      </c>
    </row>
    <row r="269" spans="1:20" x14ac:dyDescent="0.35">
      <c r="A269" s="7" t="s">
        <v>364</v>
      </c>
      <c r="B269" s="12" t="s">
        <v>52</v>
      </c>
      <c r="C269">
        <v>11059336.006562632</v>
      </c>
      <c r="D269">
        <v>12010982.517864628</v>
      </c>
      <c r="E269">
        <v>17567.567567568</v>
      </c>
      <c r="F269">
        <v>725225.22522522602</v>
      </c>
      <c r="G269">
        <v>1</v>
      </c>
      <c r="H269">
        <v>2</v>
      </c>
      <c r="K269">
        <v>2</v>
      </c>
      <c r="L269">
        <v>3</v>
      </c>
      <c r="M269">
        <v>1332882.8828828819</v>
      </c>
      <c r="N269">
        <v>824324.32432432496</v>
      </c>
      <c r="O269">
        <v>6021351.3513513524</v>
      </c>
      <c r="P269">
        <v>6230027.0270270258</v>
      </c>
      <c r="Q269">
        <v>1018018.0180180171</v>
      </c>
      <c r="R269">
        <v>6630540.5405405406</v>
      </c>
      <c r="S269">
        <v>2412</v>
      </c>
      <c r="T269">
        <v>2298</v>
      </c>
    </row>
    <row r="270" spans="1:20" x14ac:dyDescent="0.35">
      <c r="A270" s="7" t="s">
        <v>365</v>
      </c>
      <c r="B270" s="12" t="s">
        <v>52</v>
      </c>
      <c r="C270">
        <v>127406323.92249277</v>
      </c>
      <c r="D270">
        <v>135107073.18159682</v>
      </c>
      <c r="E270">
        <v>383574.77477477601</v>
      </c>
      <c r="F270">
        <v>755098.19819820405</v>
      </c>
      <c r="G270">
        <v>25</v>
      </c>
      <c r="H270">
        <v>50</v>
      </c>
      <c r="K270">
        <v>37</v>
      </c>
      <c r="L270">
        <v>93</v>
      </c>
      <c r="M270">
        <v>4374864.8648648635</v>
      </c>
      <c r="N270">
        <v>4346846.8468468497</v>
      </c>
      <c r="O270">
        <v>42501058.558558561</v>
      </c>
      <c r="P270">
        <v>48144016.216216214</v>
      </c>
      <c r="Q270">
        <v>5459549.5495495461</v>
      </c>
      <c r="R270">
        <v>29567117.117117122</v>
      </c>
      <c r="S270">
        <v>20040</v>
      </c>
      <c r="T270">
        <v>21255</v>
      </c>
    </row>
    <row r="271" spans="1:20" x14ac:dyDescent="0.35">
      <c r="A271" s="7" t="s">
        <v>366</v>
      </c>
      <c r="B271" s="12" t="s">
        <v>293</v>
      </c>
      <c r="C271">
        <v>73694851.21568878</v>
      </c>
      <c r="D271">
        <v>73029725.470655918</v>
      </c>
      <c r="E271">
        <v>19088771.171171173</v>
      </c>
      <c r="F271">
        <v>1511309.0090090111</v>
      </c>
      <c r="G271">
        <v>12</v>
      </c>
      <c r="H271">
        <v>11</v>
      </c>
      <c r="K271">
        <v>17</v>
      </c>
      <c r="L271">
        <v>14</v>
      </c>
      <c r="M271">
        <v>11291171.171171172</v>
      </c>
      <c r="N271">
        <v>4311351.3513513478</v>
      </c>
      <c r="O271">
        <v>22878963.963963963</v>
      </c>
      <c r="P271">
        <v>22174495.495495494</v>
      </c>
      <c r="Q271">
        <v>10834594.594594596</v>
      </c>
      <c r="R271">
        <v>6464954.954954952</v>
      </c>
      <c r="S271">
        <v>11036</v>
      </c>
      <c r="T271">
        <v>10638</v>
      </c>
    </row>
    <row r="272" spans="1:20" x14ac:dyDescent="0.35">
      <c r="A272" s="7" t="s">
        <v>367</v>
      </c>
      <c r="B272" s="12" t="s">
        <v>368</v>
      </c>
      <c r="C272">
        <v>32905449.506091673</v>
      </c>
      <c r="D272">
        <v>29979884.874675363</v>
      </c>
      <c r="E272">
        <v>14518600.900900902</v>
      </c>
      <c r="F272">
        <v>838981.081081082</v>
      </c>
      <c r="G272">
        <v>7</v>
      </c>
      <c r="H272">
        <v>8</v>
      </c>
      <c r="K272">
        <v>8</v>
      </c>
      <c r="L272">
        <v>9</v>
      </c>
      <c r="M272">
        <v>2332612.612612613</v>
      </c>
      <c r="N272">
        <v>2002702.7027026969</v>
      </c>
      <c r="O272">
        <v>12265090.090090092</v>
      </c>
      <c r="P272">
        <v>11659405.405405404</v>
      </c>
      <c r="Q272">
        <v>1947387.3873873879</v>
      </c>
      <c r="R272">
        <v>2437297.2972972929</v>
      </c>
      <c r="S272">
        <v>4014</v>
      </c>
      <c r="T272">
        <v>3768</v>
      </c>
    </row>
    <row r="273" spans="1:20" x14ac:dyDescent="0.35">
      <c r="A273" s="7" t="s">
        <v>369</v>
      </c>
      <c r="B273" s="12" t="s">
        <v>70</v>
      </c>
      <c r="C273">
        <v>9004097.0286793634</v>
      </c>
      <c r="D273">
        <v>9491602.6507125124</v>
      </c>
      <c r="E273">
        <v>2498017.1171171172</v>
      </c>
      <c r="F273">
        <v>4381674.7747747758</v>
      </c>
      <c r="H273">
        <v>4</v>
      </c>
      <c r="K273">
        <v>1</v>
      </c>
      <c r="L273">
        <v>4</v>
      </c>
      <c r="M273">
        <v>39198463.963963971</v>
      </c>
      <c r="N273">
        <v>37968478.378378384</v>
      </c>
      <c r="O273">
        <v>2913153.1531531541</v>
      </c>
      <c r="P273">
        <v>2932072.072072072</v>
      </c>
      <c r="Q273">
        <v>1430360.36036036</v>
      </c>
      <c r="R273">
        <v>2489639.6396396412</v>
      </c>
      <c r="S273">
        <v>1199</v>
      </c>
      <c r="T273">
        <v>1184</v>
      </c>
    </row>
    <row r="274" spans="1:20" x14ac:dyDescent="0.35">
      <c r="A274" s="7" t="s">
        <v>370</v>
      </c>
      <c r="B274" s="12" t="s">
        <v>50</v>
      </c>
      <c r="C274">
        <v>18909432.935852546</v>
      </c>
      <c r="D274">
        <v>19287796.579052296</v>
      </c>
      <c r="E274">
        <v>17117.117117116999</v>
      </c>
      <c r="F274">
        <v>27027.027027028002</v>
      </c>
      <c r="G274">
        <v>1</v>
      </c>
      <c r="K274">
        <v>2</v>
      </c>
      <c r="L274">
        <v>1</v>
      </c>
      <c r="M274">
        <v>2578468.4684684682</v>
      </c>
      <c r="N274">
        <v>103603.60360360501</v>
      </c>
      <c r="O274">
        <v>7714279.2792792786</v>
      </c>
      <c r="P274">
        <v>7365900.9009009013</v>
      </c>
      <c r="Q274">
        <v>2433153.1531531531</v>
      </c>
      <c r="R274">
        <v>767117.11711711599</v>
      </c>
      <c r="S274">
        <v>2704</v>
      </c>
      <c r="T274">
        <v>2613</v>
      </c>
    </row>
    <row r="275" spans="1:20" x14ac:dyDescent="0.35">
      <c r="A275" s="7" t="s">
        <v>371</v>
      </c>
      <c r="B275" s="12" t="s">
        <v>121</v>
      </c>
      <c r="C275">
        <v>19682396.712963387</v>
      </c>
      <c r="D275">
        <v>18178990.875104968</v>
      </c>
      <c r="E275">
        <v>6306.3063063070003</v>
      </c>
      <c r="F275">
        <v>121621.621621623</v>
      </c>
      <c r="G275">
        <v>2</v>
      </c>
      <c r="H275">
        <v>4</v>
      </c>
      <c r="K275">
        <v>3</v>
      </c>
      <c r="L275">
        <v>7</v>
      </c>
      <c r="M275">
        <v>15315.315315316</v>
      </c>
      <c r="N275">
        <v>1004504.504504505</v>
      </c>
      <c r="O275">
        <v>2123828.8288288289</v>
      </c>
      <c r="P275">
        <v>1973027.0270270279</v>
      </c>
      <c r="Q275">
        <v>100270.27027027</v>
      </c>
      <c r="R275">
        <v>362162.16216216102</v>
      </c>
      <c r="S275">
        <v>2816</v>
      </c>
      <c r="T275">
        <v>2803</v>
      </c>
    </row>
    <row r="276" spans="1:20" x14ac:dyDescent="0.35">
      <c r="A276" s="7" t="s">
        <v>372</v>
      </c>
      <c r="B276" s="12" t="s">
        <v>373</v>
      </c>
      <c r="C276">
        <v>46627358.618367523</v>
      </c>
      <c r="D276">
        <v>37541430.870245822</v>
      </c>
      <c r="E276">
        <v>669407.20720720699</v>
      </c>
      <c r="F276">
        <v>579509.90990991006</v>
      </c>
      <c r="G276">
        <v>46</v>
      </c>
      <c r="H276">
        <v>7</v>
      </c>
      <c r="I276">
        <v>1</v>
      </c>
      <c r="K276">
        <v>49</v>
      </c>
      <c r="L276">
        <v>10</v>
      </c>
      <c r="M276">
        <v>9283333.3333333321</v>
      </c>
      <c r="N276">
        <v>2493153.1531531541</v>
      </c>
      <c r="O276">
        <v>18169768.468468469</v>
      </c>
      <c r="P276">
        <v>14254486.486486485</v>
      </c>
      <c r="Q276">
        <v>9554998.1981981993</v>
      </c>
      <c r="R276">
        <v>3124684.684684685</v>
      </c>
      <c r="S276">
        <v>10103</v>
      </c>
      <c r="T276">
        <v>10435</v>
      </c>
    </row>
    <row r="277" spans="1:20" x14ac:dyDescent="0.35">
      <c r="A277" s="7" t="s">
        <v>374</v>
      </c>
      <c r="B277" s="12" t="s">
        <v>66</v>
      </c>
      <c r="C277">
        <v>27167396.014768496</v>
      </c>
      <c r="D277">
        <v>30298387.99618255</v>
      </c>
      <c r="E277">
        <v>34234.234234235002</v>
      </c>
      <c r="F277">
        <v>567567.56756757095</v>
      </c>
      <c r="G277">
        <v>8</v>
      </c>
      <c r="H277">
        <v>9</v>
      </c>
      <c r="K277">
        <v>10</v>
      </c>
      <c r="L277">
        <v>13</v>
      </c>
      <c r="M277">
        <v>3666666.6666666651</v>
      </c>
      <c r="N277">
        <v>2417117.1171171232</v>
      </c>
      <c r="O277">
        <v>9689234.2342342325</v>
      </c>
      <c r="P277">
        <v>10952135.135135135</v>
      </c>
      <c r="Q277">
        <v>3886486.4864864871</v>
      </c>
      <c r="R277">
        <v>2957027.02702703</v>
      </c>
      <c r="S277">
        <v>7005</v>
      </c>
      <c r="T277">
        <v>6947</v>
      </c>
    </row>
    <row r="278" spans="1:20" x14ac:dyDescent="0.35">
      <c r="A278" s="7" t="s">
        <v>375</v>
      </c>
      <c r="B278" s="12" t="s">
        <v>354</v>
      </c>
      <c r="C278">
        <v>47455272.404614851</v>
      </c>
      <c r="D278">
        <v>46225212.451686114</v>
      </c>
      <c r="E278">
        <v>14022072.072072072</v>
      </c>
      <c r="F278">
        <v>635135.13513513596</v>
      </c>
      <c r="G278">
        <v>112</v>
      </c>
      <c r="H278">
        <v>68</v>
      </c>
      <c r="K278">
        <v>116</v>
      </c>
      <c r="L278">
        <v>68</v>
      </c>
      <c r="M278">
        <v>14643018.01801802</v>
      </c>
      <c r="N278">
        <v>7234594.5945945913</v>
      </c>
      <c r="O278">
        <v>28356621.62162162</v>
      </c>
      <c r="P278">
        <v>27371900.9009009</v>
      </c>
      <c r="Q278">
        <v>13891081.081081081</v>
      </c>
      <c r="R278">
        <v>7143153.1531531494</v>
      </c>
      <c r="S278">
        <v>6946</v>
      </c>
      <c r="T278">
        <v>6743</v>
      </c>
    </row>
    <row r="279" spans="1:20" x14ac:dyDescent="0.35">
      <c r="A279" s="7" t="s">
        <v>376</v>
      </c>
      <c r="B279" s="12" t="s">
        <v>66</v>
      </c>
      <c r="C279">
        <v>15769514.245671552</v>
      </c>
      <c r="D279">
        <v>18538166.725274894</v>
      </c>
      <c r="E279">
        <v>9909.9099099100004</v>
      </c>
      <c r="F279">
        <v>162162.16216216501</v>
      </c>
      <c r="G279">
        <v>3</v>
      </c>
      <c r="H279">
        <v>11</v>
      </c>
      <c r="K279">
        <v>8</v>
      </c>
      <c r="L279">
        <v>12</v>
      </c>
      <c r="M279">
        <v>1190450.4504504451</v>
      </c>
      <c r="N279">
        <v>405405.40540540899</v>
      </c>
      <c r="O279">
        <v>7181846.8468468469</v>
      </c>
      <c r="P279">
        <v>9407513.5135135129</v>
      </c>
      <c r="Q279">
        <v>2380900.9009008971</v>
      </c>
      <c r="R279">
        <v>1597027.0270270291</v>
      </c>
      <c r="S279">
        <v>4918</v>
      </c>
      <c r="T279">
        <v>5326</v>
      </c>
    </row>
    <row r="280" spans="1:20" x14ac:dyDescent="0.35">
      <c r="A280" s="7" t="s">
        <v>377</v>
      </c>
      <c r="B280" s="12" t="s">
        <v>260</v>
      </c>
      <c r="C280">
        <v>15332480.102105904</v>
      </c>
      <c r="D280">
        <v>13792586.108876323</v>
      </c>
      <c r="F280">
        <v>13513.513513514001</v>
      </c>
      <c r="H280">
        <v>1</v>
      </c>
      <c r="L280">
        <v>1</v>
      </c>
      <c r="M280">
        <v>90090.090090090001</v>
      </c>
      <c r="N280">
        <v>13513.513513514001</v>
      </c>
      <c r="O280">
        <v>2192702.702702702</v>
      </c>
      <c r="P280">
        <v>2575891.8918918911</v>
      </c>
      <c r="Q280">
        <v>126126.12612612599</v>
      </c>
      <c r="R280">
        <v>86486.486486485999</v>
      </c>
      <c r="S280">
        <v>1432</v>
      </c>
      <c r="T280">
        <v>1598</v>
      </c>
    </row>
    <row r="281" spans="1:20" x14ac:dyDescent="0.35">
      <c r="A281" s="7" t="s">
        <v>378</v>
      </c>
      <c r="B281" s="12" t="s">
        <v>354</v>
      </c>
      <c r="C281">
        <v>38977102.472289085</v>
      </c>
      <c r="D281">
        <v>38423666.109163538</v>
      </c>
      <c r="E281">
        <v>117567.567567568</v>
      </c>
      <c r="F281">
        <v>378378.37837837997</v>
      </c>
      <c r="G281">
        <v>3</v>
      </c>
      <c r="H281">
        <v>6</v>
      </c>
      <c r="K281">
        <v>5</v>
      </c>
      <c r="L281">
        <v>8</v>
      </c>
      <c r="M281">
        <v>9290540.5405405406</v>
      </c>
      <c r="N281">
        <v>4349909.9099099096</v>
      </c>
      <c r="O281">
        <v>18888063.063063063</v>
      </c>
      <c r="P281">
        <v>22329711.711711712</v>
      </c>
      <c r="Q281">
        <v>9260990.9909909926</v>
      </c>
      <c r="R281">
        <v>6635405.405405405</v>
      </c>
      <c r="S281">
        <v>4822</v>
      </c>
      <c r="T281">
        <v>4663</v>
      </c>
    </row>
    <row r="282" spans="1:20" x14ac:dyDescent="0.35">
      <c r="A282" s="7" t="s">
        <v>379</v>
      </c>
      <c r="B282" s="12" t="s">
        <v>87</v>
      </c>
      <c r="C282">
        <v>849866.25281020405</v>
      </c>
      <c r="D282">
        <v>1160392.050902572</v>
      </c>
      <c r="O282">
        <v>6081.0810810809999</v>
      </c>
      <c r="P282">
        <v>47972.972972973002</v>
      </c>
      <c r="S282">
        <v>144</v>
      </c>
      <c r="T282">
        <v>180</v>
      </c>
    </row>
    <row r="283" spans="1:20" x14ac:dyDescent="0.35">
      <c r="A283" s="7" t="s">
        <v>380</v>
      </c>
      <c r="B283" s="12" t="s">
        <v>87</v>
      </c>
      <c r="C283">
        <v>2171205.0861941162</v>
      </c>
      <c r="D283">
        <v>1830142.8349772641</v>
      </c>
      <c r="E283">
        <v>3603.603603604</v>
      </c>
      <c r="G283">
        <v>28</v>
      </c>
      <c r="H283">
        <v>1</v>
      </c>
      <c r="K283">
        <v>28</v>
      </c>
      <c r="L283">
        <v>2</v>
      </c>
      <c r="M283">
        <v>71171.171171170994</v>
      </c>
      <c r="O283">
        <v>827927.92792792805</v>
      </c>
      <c r="P283">
        <v>201891.89189189201</v>
      </c>
      <c r="Q283">
        <v>67567.567567567996</v>
      </c>
      <c r="S283">
        <v>384</v>
      </c>
      <c r="T283">
        <v>361</v>
      </c>
    </row>
    <row r="284" spans="1:20" x14ac:dyDescent="0.35">
      <c r="A284" s="7" t="s">
        <v>381</v>
      </c>
      <c r="B284" s="12" t="s">
        <v>80</v>
      </c>
      <c r="C284">
        <v>260937909.87543911</v>
      </c>
      <c r="D284">
        <v>253605781.38377741</v>
      </c>
      <c r="E284">
        <v>288346603.6036036</v>
      </c>
      <c r="F284">
        <v>131297412.61261262</v>
      </c>
      <c r="G284">
        <v>50</v>
      </c>
      <c r="H284">
        <v>41</v>
      </c>
      <c r="K284">
        <v>65</v>
      </c>
      <c r="L284">
        <v>63</v>
      </c>
      <c r="M284">
        <v>41344324.32432431</v>
      </c>
      <c r="N284">
        <v>26832432.432432432</v>
      </c>
      <c r="O284">
        <v>65438133.333333336</v>
      </c>
      <c r="P284">
        <v>68008810.810810804</v>
      </c>
      <c r="Q284">
        <v>31145315.315315317</v>
      </c>
      <c r="R284">
        <v>27209909.909909908</v>
      </c>
      <c r="S284">
        <v>36532</v>
      </c>
      <c r="T284">
        <v>36785</v>
      </c>
    </row>
    <row r="285" spans="1:20" x14ac:dyDescent="0.35">
      <c r="A285" s="7" t="s">
        <v>382</v>
      </c>
      <c r="B285" s="12" t="s">
        <v>80</v>
      </c>
      <c r="C285">
        <v>71704692.963868544</v>
      </c>
      <c r="D285">
        <v>70920355.083441302</v>
      </c>
      <c r="E285">
        <v>152252.25225225301</v>
      </c>
      <c r="F285">
        <v>463963.96396396699</v>
      </c>
      <c r="G285">
        <v>5</v>
      </c>
      <c r="H285">
        <v>7</v>
      </c>
      <c r="K285">
        <v>7</v>
      </c>
      <c r="L285">
        <v>8</v>
      </c>
      <c r="M285">
        <v>14474774.774774771</v>
      </c>
      <c r="N285">
        <v>15935135.135135138</v>
      </c>
      <c r="O285">
        <v>29950657.657657661</v>
      </c>
      <c r="P285">
        <v>28447484.684684683</v>
      </c>
      <c r="Q285">
        <v>13662432.43243243</v>
      </c>
      <c r="R285">
        <v>10421935.135135137</v>
      </c>
      <c r="S285">
        <v>9853</v>
      </c>
      <c r="T285">
        <v>9842</v>
      </c>
    </row>
    <row r="286" spans="1:20" x14ac:dyDescent="0.35">
      <c r="A286" s="7" t="s">
        <v>383</v>
      </c>
      <c r="B286" s="12" t="s">
        <v>80</v>
      </c>
      <c r="C286">
        <v>93989488.063576043</v>
      </c>
      <c r="D286">
        <v>90979837.879853591</v>
      </c>
      <c r="E286">
        <v>18018.018018018</v>
      </c>
      <c r="F286">
        <v>108108.10810810899</v>
      </c>
      <c r="G286">
        <v>13</v>
      </c>
      <c r="H286">
        <v>9</v>
      </c>
      <c r="K286">
        <v>21</v>
      </c>
      <c r="L286">
        <v>13</v>
      </c>
      <c r="M286">
        <v>4315135.1351351356</v>
      </c>
      <c r="N286">
        <v>274774.77477477601</v>
      </c>
      <c r="O286">
        <v>17273918.918918919</v>
      </c>
      <c r="P286">
        <v>17048828.828828827</v>
      </c>
      <c r="Q286">
        <v>4725135.1351351356</v>
      </c>
      <c r="R286">
        <v>3587387.3873873879</v>
      </c>
      <c r="S286">
        <v>9949</v>
      </c>
      <c r="T286">
        <v>9794</v>
      </c>
    </row>
    <row r="287" spans="1:20" x14ac:dyDescent="0.35">
      <c r="A287" s="7" t="s">
        <v>384</v>
      </c>
      <c r="B287" s="12" t="s">
        <v>68</v>
      </c>
      <c r="C287">
        <v>36382823.872734301</v>
      </c>
      <c r="D287">
        <v>39111343.451970786</v>
      </c>
      <c r="E287">
        <v>13603.603603604</v>
      </c>
      <c r="F287">
        <v>67567.567567567996</v>
      </c>
      <c r="G287">
        <v>5</v>
      </c>
      <c r="H287">
        <v>11</v>
      </c>
      <c r="K287">
        <v>8</v>
      </c>
      <c r="L287">
        <v>12</v>
      </c>
      <c r="M287">
        <v>1185495.4954954961</v>
      </c>
      <c r="N287">
        <v>1222522.5225225231</v>
      </c>
      <c r="O287">
        <v>4324369.3693693699</v>
      </c>
      <c r="P287">
        <v>6777432.4324324336</v>
      </c>
      <c r="Q287">
        <v>1126846.846846845</v>
      </c>
      <c r="R287">
        <v>1322342.342342342</v>
      </c>
      <c r="S287">
        <v>5106</v>
      </c>
      <c r="T287">
        <v>5342</v>
      </c>
    </row>
    <row r="288" spans="1:20" x14ac:dyDescent="0.35">
      <c r="A288" s="7" t="s">
        <v>385</v>
      </c>
      <c r="B288" s="12" t="s">
        <v>167</v>
      </c>
      <c r="C288">
        <v>13750213.275558917</v>
      </c>
      <c r="D288">
        <v>15181952.846686816</v>
      </c>
      <c r="E288">
        <v>900.900900901</v>
      </c>
      <c r="G288">
        <v>1</v>
      </c>
      <c r="H288">
        <v>4</v>
      </c>
      <c r="K288">
        <v>4</v>
      </c>
      <c r="L288">
        <v>4</v>
      </c>
      <c r="M288">
        <v>900.900900901</v>
      </c>
      <c r="N288">
        <v>2904504.5045045041</v>
      </c>
      <c r="O288">
        <v>5663827.0270270268</v>
      </c>
      <c r="P288">
        <v>5948720.7207207195</v>
      </c>
      <c r="Q288">
        <v>2325765.7657657661</v>
      </c>
      <c r="R288">
        <v>2748378.3783783792</v>
      </c>
      <c r="S288">
        <v>2404</v>
      </c>
      <c r="T288">
        <v>2460</v>
      </c>
    </row>
    <row r="289" spans="1:20" x14ac:dyDescent="0.35">
      <c r="A289" s="7" t="s">
        <v>386</v>
      </c>
      <c r="B289" s="12" t="s">
        <v>94</v>
      </c>
      <c r="C289">
        <v>73107714.258838564</v>
      </c>
      <c r="D289">
        <v>86952520.109311447</v>
      </c>
      <c r="E289">
        <v>3603.603603604</v>
      </c>
      <c r="F289">
        <v>171171.17117117299</v>
      </c>
      <c r="G289">
        <v>7</v>
      </c>
      <c r="H289">
        <v>17</v>
      </c>
      <c r="I289">
        <v>1</v>
      </c>
      <c r="K289">
        <v>10</v>
      </c>
      <c r="L289">
        <v>20</v>
      </c>
      <c r="M289">
        <v>4228828.8288288284</v>
      </c>
      <c r="N289">
        <v>4549549.5495495507</v>
      </c>
      <c r="O289">
        <v>8296216.2162162149</v>
      </c>
      <c r="P289">
        <v>10595405.405405404</v>
      </c>
      <c r="Q289">
        <v>3134684.684684685</v>
      </c>
      <c r="R289">
        <v>5941441.4414414419</v>
      </c>
      <c r="S289">
        <v>8093</v>
      </c>
      <c r="T289">
        <v>8737</v>
      </c>
    </row>
    <row r="290" spans="1:20" x14ac:dyDescent="0.35">
      <c r="A290" s="7" t="s">
        <v>387</v>
      </c>
      <c r="B290" s="12" t="s">
        <v>214</v>
      </c>
      <c r="C290">
        <v>11135504.268982988</v>
      </c>
      <c r="D290">
        <v>15001685.932008972</v>
      </c>
      <c r="E290">
        <v>900.900900901</v>
      </c>
      <c r="F290">
        <v>54054.054054054999</v>
      </c>
      <c r="G290">
        <v>5</v>
      </c>
      <c r="H290">
        <v>8</v>
      </c>
      <c r="K290">
        <v>6</v>
      </c>
      <c r="L290">
        <v>13</v>
      </c>
      <c r="M290">
        <v>900.900900901</v>
      </c>
      <c r="N290">
        <v>54054.054054054999</v>
      </c>
      <c r="O290">
        <v>5889459.4594594603</v>
      </c>
      <c r="P290">
        <v>7987792.7927927934</v>
      </c>
      <c r="S290">
        <v>2084</v>
      </c>
      <c r="T290">
        <v>2354</v>
      </c>
    </row>
    <row r="291" spans="1:20" x14ac:dyDescent="0.35">
      <c r="A291" s="7" t="s">
        <v>388</v>
      </c>
      <c r="B291" s="12" t="s">
        <v>117</v>
      </c>
      <c r="C291">
        <v>6006882.7239662986</v>
      </c>
      <c r="D291">
        <v>5537160.1914294558</v>
      </c>
      <c r="E291">
        <v>1801.801801802</v>
      </c>
      <c r="F291">
        <v>27027.027027027001</v>
      </c>
      <c r="G291">
        <v>2</v>
      </c>
      <c r="H291">
        <v>1</v>
      </c>
      <c r="K291">
        <v>3</v>
      </c>
      <c r="L291">
        <v>5</v>
      </c>
      <c r="M291">
        <v>1801.801801802</v>
      </c>
      <c r="N291">
        <v>927927.92792792805</v>
      </c>
      <c r="O291">
        <v>2405675.6756756762</v>
      </c>
      <c r="P291">
        <v>2135144.1441441439</v>
      </c>
      <c r="Q291">
        <v>34234.234234233998</v>
      </c>
      <c r="R291">
        <v>561261.26126126095</v>
      </c>
      <c r="S291">
        <v>1914</v>
      </c>
      <c r="T291">
        <v>1774</v>
      </c>
    </row>
    <row r="292" spans="1:20" x14ac:dyDescent="0.35">
      <c r="A292" s="7" t="s">
        <v>389</v>
      </c>
      <c r="B292" s="12" t="s">
        <v>315</v>
      </c>
      <c r="C292">
        <v>25429247.321624465</v>
      </c>
      <c r="D292">
        <v>25050388.399393536</v>
      </c>
      <c r="E292">
        <v>1989639.63963964</v>
      </c>
      <c r="G292">
        <v>7</v>
      </c>
      <c r="H292">
        <v>1</v>
      </c>
      <c r="K292">
        <v>7</v>
      </c>
      <c r="L292">
        <v>1</v>
      </c>
      <c r="M292">
        <v>2530180.1801801799</v>
      </c>
      <c r="O292">
        <v>5345225.225225226</v>
      </c>
      <c r="P292">
        <v>4590261.2612612601</v>
      </c>
      <c r="Q292">
        <v>1132522.5225225231</v>
      </c>
      <c r="R292">
        <v>619819.81981982</v>
      </c>
      <c r="S292">
        <v>2647</v>
      </c>
      <c r="T292">
        <v>2904</v>
      </c>
    </row>
    <row r="293" spans="1:20" x14ac:dyDescent="0.35">
      <c r="A293" s="7" t="s">
        <v>390</v>
      </c>
      <c r="B293" s="12" t="s">
        <v>224</v>
      </c>
      <c r="C293">
        <v>11978752.707843132</v>
      </c>
      <c r="D293">
        <v>10371558.152025662</v>
      </c>
      <c r="G293">
        <v>5</v>
      </c>
      <c r="K293">
        <v>6</v>
      </c>
      <c r="O293">
        <v>2189900.9009009008</v>
      </c>
      <c r="P293">
        <v>1598963.963963964</v>
      </c>
      <c r="S293">
        <v>1470</v>
      </c>
      <c r="T293">
        <v>1461</v>
      </c>
    </row>
    <row r="294" spans="1:20" x14ac:dyDescent="0.35">
      <c r="A294" s="7" t="s">
        <v>6</v>
      </c>
      <c r="B294" s="12" t="s">
        <v>193</v>
      </c>
      <c r="C294">
        <v>96224122.57994394</v>
      </c>
      <c r="D294">
        <v>92250036.683043778</v>
      </c>
      <c r="E294">
        <v>6094144.1441441383</v>
      </c>
      <c r="F294">
        <v>108108.108108111</v>
      </c>
      <c r="G294">
        <v>11</v>
      </c>
      <c r="H294">
        <v>14</v>
      </c>
      <c r="I294">
        <v>1</v>
      </c>
      <c r="K294">
        <v>161</v>
      </c>
      <c r="L294">
        <v>15</v>
      </c>
      <c r="M294">
        <v>111662162.16216215</v>
      </c>
      <c r="N294">
        <v>39222972.972972974</v>
      </c>
      <c r="O294">
        <v>59127207.20720721</v>
      </c>
      <c r="P294">
        <v>59503801.801801801</v>
      </c>
      <c r="Q294">
        <v>100971261.26126127</v>
      </c>
      <c r="R294">
        <v>24981891.891891897</v>
      </c>
      <c r="S294">
        <v>13577</v>
      </c>
      <c r="T294">
        <v>13234</v>
      </c>
    </row>
    <row r="295" spans="1:20" x14ac:dyDescent="0.35">
      <c r="A295" s="7" t="s">
        <v>391</v>
      </c>
      <c r="B295" s="12" t="s">
        <v>121</v>
      </c>
      <c r="C295">
        <v>3331005.135600911</v>
      </c>
      <c r="D295">
        <v>4067915.9939298332</v>
      </c>
      <c r="G295">
        <v>1</v>
      </c>
      <c r="H295">
        <v>1</v>
      </c>
      <c r="K295">
        <v>1</v>
      </c>
      <c r="L295">
        <v>1</v>
      </c>
      <c r="O295">
        <v>115765.765765766</v>
      </c>
      <c r="P295">
        <v>118693.693693694</v>
      </c>
      <c r="S295">
        <v>461</v>
      </c>
      <c r="T295">
        <v>549</v>
      </c>
    </row>
    <row r="296" spans="1:20" x14ac:dyDescent="0.35">
      <c r="A296" s="7" t="s">
        <v>392</v>
      </c>
      <c r="B296" s="12" t="s">
        <v>134</v>
      </c>
      <c r="C296">
        <v>10859520.167442856</v>
      </c>
      <c r="D296">
        <v>12348558.81097546</v>
      </c>
      <c r="F296">
        <v>13513.513513514001</v>
      </c>
      <c r="G296">
        <v>1</v>
      </c>
      <c r="H296">
        <v>3</v>
      </c>
      <c r="K296">
        <v>3</v>
      </c>
      <c r="L296">
        <v>4</v>
      </c>
      <c r="M296">
        <v>1216216.2162162161</v>
      </c>
      <c r="N296">
        <v>779279.27927927906</v>
      </c>
      <c r="O296">
        <v>2476394.594594595</v>
      </c>
      <c r="P296">
        <v>2116738.7387387389</v>
      </c>
      <c r="Q296">
        <v>281531.53153153101</v>
      </c>
      <c r="R296">
        <v>135585.585585586</v>
      </c>
      <c r="S296">
        <v>3431</v>
      </c>
      <c r="T296">
        <v>3573</v>
      </c>
    </row>
    <row r="297" spans="1:20" x14ac:dyDescent="0.35">
      <c r="A297" s="7" t="s">
        <v>393</v>
      </c>
      <c r="B297" s="12" t="s">
        <v>58</v>
      </c>
      <c r="C297">
        <v>63443031.374375075</v>
      </c>
      <c r="D297">
        <v>60567500.354841821</v>
      </c>
      <c r="E297">
        <v>3794144.1441441439</v>
      </c>
      <c r="F297">
        <v>639639.63963963999</v>
      </c>
      <c r="G297">
        <v>13</v>
      </c>
      <c r="H297">
        <v>7</v>
      </c>
      <c r="K297">
        <v>23</v>
      </c>
      <c r="L297">
        <v>10</v>
      </c>
      <c r="M297">
        <v>6496846.8468468469</v>
      </c>
      <c r="N297">
        <v>4783783.7837837823</v>
      </c>
      <c r="O297">
        <v>9441702.7027027048</v>
      </c>
      <c r="P297">
        <v>9453279.2792792805</v>
      </c>
      <c r="Q297">
        <v>4733063.0630630618</v>
      </c>
      <c r="R297">
        <v>5890270.2702702731</v>
      </c>
      <c r="S297">
        <v>9037</v>
      </c>
      <c r="T297">
        <v>9146</v>
      </c>
    </row>
    <row r="298" spans="1:20" x14ac:dyDescent="0.35">
      <c r="A298" s="7" t="s">
        <v>394</v>
      </c>
      <c r="B298" s="12" t="s">
        <v>134</v>
      </c>
      <c r="C298">
        <v>19746682.892632283</v>
      </c>
      <c r="D298">
        <v>20950457.513554446</v>
      </c>
      <c r="F298">
        <v>27027.027027028002</v>
      </c>
      <c r="G298">
        <v>1</v>
      </c>
      <c r="H298">
        <v>1</v>
      </c>
      <c r="K298">
        <v>2</v>
      </c>
      <c r="L298">
        <v>5</v>
      </c>
      <c r="M298">
        <v>1018018.0180180171</v>
      </c>
      <c r="N298">
        <v>2729729.7297297302</v>
      </c>
      <c r="O298">
        <v>3888279.2792792791</v>
      </c>
      <c r="P298">
        <v>4145990.9909909922</v>
      </c>
      <c r="Q298">
        <v>1264234.234234235</v>
      </c>
      <c r="R298">
        <v>1276306.3063063079</v>
      </c>
      <c r="S298">
        <v>3890</v>
      </c>
      <c r="T298">
        <v>3978</v>
      </c>
    </row>
    <row r="299" spans="1:20" x14ac:dyDescent="0.35">
      <c r="A299" s="7" t="s">
        <v>395</v>
      </c>
      <c r="B299" s="12" t="s">
        <v>54</v>
      </c>
      <c r="C299">
        <v>9297135.2976353038</v>
      </c>
      <c r="D299">
        <v>9038823.1880225968</v>
      </c>
      <c r="E299">
        <v>900.900900901</v>
      </c>
      <c r="G299">
        <v>1</v>
      </c>
      <c r="H299">
        <v>2</v>
      </c>
      <c r="K299">
        <v>1</v>
      </c>
      <c r="L299">
        <v>3</v>
      </c>
      <c r="M299">
        <v>586486.48648648604</v>
      </c>
      <c r="N299">
        <v>135135.135135135</v>
      </c>
      <c r="O299">
        <v>1398153.1531531529</v>
      </c>
      <c r="P299">
        <v>1489810.8108108109</v>
      </c>
      <c r="Q299">
        <v>222972.972972972</v>
      </c>
      <c r="R299">
        <v>315855.85585585597</v>
      </c>
      <c r="S299">
        <v>1594</v>
      </c>
      <c r="T299">
        <v>1593</v>
      </c>
    </row>
    <row r="300" spans="1:20" x14ac:dyDescent="0.35">
      <c r="A300" s="7" t="s">
        <v>396</v>
      </c>
      <c r="B300" s="12" t="s">
        <v>397</v>
      </c>
      <c r="C300">
        <v>66106884.443227768</v>
      </c>
      <c r="D300">
        <v>63618462.489320017</v>
      </c>
      <c r="E300">
        <v>366306.30630630598</v>
      </c>
      <c r="F300">
        <v>261261.26126126401</v>
      </c>
      <c r="G300">
        <v>15</v>
      </c>
      <c r="H300">
        <v>11</v>
      </c>
      <c r="K300">
        <v>24</v>
      </c>
      <c r="L300">
        <v>18</v>
      </c>
      <c r="M300">
        <v>4782072.0720720692</v>
      </c>
      <c r="N300">
        <v>3868468.4684684728</v>
      </c>
      <c r="O300">
        <v>11257691.891891891</v>
      </c>
      <c r="P300">
        <v>11125603.603603603</v>
      </c>
      <c r="Q300">
        <v>7059459.4594594594</v>
      </c>
      <c r="R300">
        <v>3830270.270270274</v>
      </c>
      <c r="S300">
        <v>9565</v>
      </c>
      <c r="T300">
        <v>9604</v>
      </c>
    </row>
    <row r="301" spans="1:20" x14ac:dyDescent="0.35">
      <c r="A301" s="7" t="s">
        <v>398</v>
      </c>
      <c r="B301" s="12" t="s">
        <v>399</v>
      </c>
      <c r="C301">
        <v>77111455.999160722</v>
      </c>
      <c r="D301">
        <v>68230003.867307484</v>
      </c>
      <c r="E301">
        <v>41174351.351351351</v>
      </c>
      <c r="F301">
        <v>20447120.72072072</v>
      </c>
      <c r="G301">
        <v>12</v>
      </c>
      <c r="H301">
        <v>12</v>
      </c>
      <c r="K301">
        <v>14</v>
      </c>
      <c r="L301">
        <v>14</v>
      </c>
      <c r="M301">
        <v>20164864.864864863</v>
      </c>
      <c r="N301">
        <v>5178828.8288288303</v>
      </c>
      <c r="O301">
        <v>13197432.432432432</v>
      </c>
      <c r="P301">
        <v>11197540.540540541</v>
      </c>
      <c r="Q301">
        <v>7802882.8828828856</v>
      </c>
      <c r="R301">
        <v>2973963.963963965</v>
      </c>
      <c r="S301">
        <v>11449</v>
      </c>
      <c r="T301">
        <v>11452</v>
      </c>
    </row>
    <row r="302" spans="1:20" x14ac:dyDescent="0.35">
      <c r="A302" s="7" t="s">
        <v>400</v>
      </c>
      <c r="B302" s="12" t="s">
        <v>140</v>
      </c>
      <c r="C302">
        <v>23802964.942205049</v>
      </c>
      <c r="D302">
        <v>22921258.188767515</v>
      </c>
      <c r="E302">
        <v>327927.92792792799</v>
      </c>
      <c r="F302">
        <v>108108.10810811</v>
      </c>
      <c r="G302">
        <v>5</v>
      </c>
      <c r="H302">
        <v>10</v>
      </c>
      <c r="K302">
        <v>8</v>
      </c>
      <c r="L302">
        <v>10</v>
      </c>
      <c r="M302">
        <v>8870270.2702702712</v>
      </c>
      <c r="N302">
        <v>153153.153153155</v>
      </c>
      <c r="O302">
        <v>6275405.4054054059</v>
      </c>
      <c r="P302">
        <v>6720468.4684684677</v>
      </c>
      <c r="Q302">
        <v>3184414.4144144142</v>
      </c>
      <c r="R302">
        <v>3431081.0810810812</v>
      </c>
      <c r="S302">
        <v>3396</v>
      </c>
      <c r="T302">
        <v>3144</v>
      </c>
    </row>
    <row r="303" spans="1:20" x14ac:dyDescent="0.35">
      <c r="A303" s="7" t="s">
        <v>401</v>
      </c>
      <c r="B303" s="12" t="s">
        <v>121</v>
      </c>
      <c r="C303">
        <v>7603639.2733351886</v>
      </c>
      <c r="D303">
        <v>4868462.7673311802</v>
      </c>
      <c r="G303">
        <v>3</v>
      </c>
      <c r="H303">
        <v>3</v>
      </c>
      <c r="K303">
        <v>3</v>
      </c>
      <c r="L303">
        <v>5</v>
      </c>
      <c r="O303">
        <v>560495.49549549504</v>
      </c>
      <c r="P303">
        <v>586144.14414414403</v>
      </c>
      <c r="Q303">
        <v>119819.81981982</v>
      </c>
      <c r="R303">
        <v>156306.30630630601</v>
      </c>
      <c r="S303">
        <v>1152</v>
      </c>
      <c r="T303">
        <v>1048</v>
      </c>
    </row>
    <row r="304" spans="1:20" x14ac:dyDescent="0.35">
      <c r="A304" s="7" t="s">
        <v>402</v>
      </c>
      <c r="B304" s="12" t="s">
        <v>290</v>
      </c>
      <c r="C304">
        <v>12918304.046336733</v>
      </c>
      <c r="D304">
        <v>9223462.6286524162</v>
      </c>
      <c r="E304">
        <v>4504.5045045050001</v>
      </c>
      <c r="F304">
        <v>13513.513513514001</v>
      </c>
      <c r="G304">
        <v>10</v>
      </c>
      <c r="H304">
        <v>3</v>
      </c>
      <c r="K304">
        <v>13</v>
      </c>
      <c r="L304">
        <v>3</v>
      </c>
      <c r="M304">
        <v>653153.15315315302</v>
      </c>
      <c r="N304">
        <v>103603.603603604</v>
      </c>
      <c r="O304">
        <v>2206846.8468468459</v>
      </c>
      <c r="P304">
        <v>1046540.5405405411</v>
      </c>
      <c r="Q304">
        <v>1033783.783783784</v>
      </c>
      <c r="R304">
        <v>617837.83783783799</v>
      </c>
      <c r="S304">
        <v>1685</v>
      </c>
      <c r="T304">
        <v>1657</v>
      </c>
    </row>
    <row r="305" spans="1:20" x14ac:dyDescent="0.35">
      <c r="A305" s="7" t="s">
        <v>403</v>
      </c>
      <c r="B305" s="12" t="s">
        <v>121</v>
      </c>
      <c r="C305">
        <v>10631899.110745052</v>
      </c>
      <c r="D305">
        <v>10834139.312774193</v>
      </c>
      <c r="G305">
        <v>1</v>
      </c>
      <c r="H305">
        <v>2</v>
      </c>
      <c r="K305">
        <v>1</v>
      </c>
      <c r="L305">
        <v>3</v>
      </c>
      <c r="O305">
        <v>901036.03603603598</v>
      </c>
      <c r="P305">
        <v>881126.12612612604</v>
      </c>
      <c r="S305">
        <v>1090</v>
      </c>
      <c r="T305">
        <v>1577</v>
      </c>
    </row>
    <row r="306" spans="1:20" x14ac:dyDescent="0.35">
      <c r="A306" s="7" t="s">
        <v>404</v>
      </c>
      <c r="B306" s="12" t="s">
        <v>368</v>
      </c>
      <c r="C306">
        <v>25592861.584667552</v>
      </c>
      <c r="D306">
        <v>23723968.157548442</v>
      </c>
      <c r="G306">
        <v>3</v>
      </c>
      <c r="H306">
        <v>4</v>
      </c>
      <c r="K306">
        <v>3</v>
      </c>
      <c r="L306">
        <v>6</v>
      </c>
      <c r="M306">
        <v>578378.37837837799</v>
      </c>
      <c r="N306">
        <v>8742702.702702703</v>
      </c>
      <c r="O306">
        <v>7390945.9459459456</v>
      </c>
      <c r="P306">
        <v>8013513.5135135129</v>
      </c>
      <c r="Q306">
        <v>977027.02702702698</v>
      </c>
      <c r="R306">
        <v>8995405.4054054059</v>
      </c>
      <c r="S306">
        <v>4373</v>
      </c>
      <c r="T306">
        <v>4209</v>
      </c>
    </row>
    <row r="307" spans="1:20" x14ac:dyDescent="0.35">
      <c r="A307" s="7" t="s">
        <v>405</v>
      </c>
      <c r="B307" s="12" t="s">
        <v>140</v>
      </c>
      <c r="C307">
        <v>13162221.729998169</v>
      </c>
      <c r="D307">
        <v>11785226.866339847</v>
      </c>
      <c r="E307">
        <v>12162.162162162</v>
      </c>
      <c r="F307">
        <v>27027.027027027001</v>
      </c>
      <c r="H307">
        <v>2</v>
      </c>
      <c r="L307">
        <v>2</v>
      </c>
      <c r="M307">
        <v>12162.162162162</v>
      </c>
      <c r="N307">
        <v>2504864.8648648639</v>
      </c>
      <c r="O307">
        <v>3033873.8738738741</v>
      </c>
      <c r="P307">
        <v>3031846.8468468469</v>
      </c>
      <c r="Q307">
        <v>955765.76576576498</v>
      </c>
      <c r="R307">
        <v>2154954.9549549548</v>
      </c>
      <c r="S307">
        <v>1456</v>
      </c>
      <c r="T307">
        <v>1425</v>
      </c>
    </row>
    <row r="308" spans="1:20" x14ac:dyDescent="0.35">
      <c r="A308" s="7" t="s">
        <v>406</v>
      </c>
      <c r="B308" s="12" t="s">
        <v>54</v>
      </c>
      <c r="C308">
        <v>16190439.151142525</v>
      </c>
      <c r="D308">
        <v>16216663.340158381</v>
      </c>
      <c r="E308">
        <v>4864.8648648649996</v>
      </c>
      <c r="F308">
        <v>207207.207207208</v>
      </c>
      <c r="G308">
        <v>2</v>
      </c>
      <c r="H308">
        <v>7</v>
      </c>
      <c r="K308">
        <v>2</v>
      </c>
      <c r="L308">
        <v>23</v>
      </c>
      <c r="M308">
        <v>591351.35135135194</v>
      </c>
      <c r="N308">
        <v>1288288.288288289</v>
      </c>
      <c r="O308">
        <v>3397117.1171171162</v>
      </c>
      <c r="P308">
        <v>3711378.3783783792</v>
      </c>
      <c r="Q308">
        <v>893153.15315315302</v>
      </c>
      <c r="R308">
        <v>1270090.090090089</v>
      </c>
      <c r="S308">
        <v>2199</v>
      </c>
      <c r="T308">
        <v>2960</v>
      </c>
    </row>
    <row r="309" spans="1:20" x14ac:dyDescent="0.35">
      <c r="A309" s="7" t="s">
        <v>407</v>
      </c>
      <c r="B309" s="12" t="s">
        <v>134</v>
      </c>
      <c r="C309">
        <v>6212528.7712590452</v>
      </c>
      <c r="D309">
        <v>6853788.2599977748</v>
      </c>
      <c r="E309">
        <v>1801.801801802</v>
      </c>
      <c r="M309">
        <v>1801.801801802</v>
      </c>
      <c r="N309">
        <v>756756.75675675704</v>
      </c>
      <c r="O309">
        <v>494369.369369369</v>
      </c>
      <c r="P309">
        <v>271072.07207207201</v>
      </c>
      <c r="Q309">
        <v>150090.09009009</v>
      </c>
      <c r="R309">
        <v>349999.99999999901</v>
      </c>
      <c r="S309">
        <v>944</v>
      </c>
      <c r="T309">
        <v>998</v>
      </c>
    </row>
    <row r="310" spans="1:20" x14ac:dyDescent="0.35">
      <c r="A310" s="7" t="s">
        <v>408</v>
      </c>
      <c r="B310" s="12" t="s">
        <v>290</v>
      </c>
      <c r="C310">
        <v>4881098.9541002838</v>
      </c>
      <c r="D310">
        <v>4209991.5928163556</v>
      </c>
      <c r="E310">
        <v>2846891.8918918921</v>
      </c>
      <c r="F310">
        <v>21001377.47747748</v>
      </c>
      <c r="G310">
        <v>3</v>
      </c>
      <c r="H310">
        <v>4</v>
      </c>
      <c r="K310">
        <v>4</v>
      </c>
      <c r="L310">
        <v>5</v>
      </c>
      <c r="M310">
        <v>4548187.3873873884</v>
      </c>
      <c r="N310">
        <v>3003403.6036036038</v>
      </c>
      <c r="O310">
        <v>655621.62162162201</v>
      </c>
      <c r="P310">
        <v>456630.63063063001</v>
      </c>
      <c r="Q310">
        <v>341531.53153153101</v>
      </c>
      <c r="R310">
        <v>274324.32432432502</v>
      </c>
      <c r="S310">
        <v>930</v>
      </c>
      <c r="T310">
        <v>889</v>
      </c>
    </row>
    <row r="311" spans="1:20" x14ac:dyDescent="0.35">
      <c r="A311" s="7" t="s">
        <v>409</v>
      </c>
      <c r="B311" s="12" t="s">
        <v>178</v>
      </c>
      <c r="C311">
        <v>70289233.923798993</v>
      </c>
      <c r="D311">
        <v>65397370.816120945</v>
      </c>
      <c r="E311">
        <v>57207.207207207997</v>
      </c>
      <c r="F311">
        <v>121621.621621623</v>
      </c>
      <c r="G311">
        <v>12</v>
      </c>
      <c r="H311">
        <v>5</v>
      </c>
      <c r="K311">
        <v>18</v>
      </c>
      <c r="L311">
        <v>5</v>
      </c>
      <c r="M311">
        <v>7956306.3063063081</v>
      </c>
      <c r="N311">
        <v>4107657.6576576591</v>
      </c>
      <c r="O311">
        <v>21506036.036036037</v>
      </c>
      <c r="P311">
        <v>21698153.153153151</v>
      </c>
      <c r="Q311">
        <v>6772612.6126126144</v>
      </c>
      <c r="R311">
        <v>3881531.5315315332</v>
      </c>
      <c r="S311">
        <v>9908</v>
      </c>
      <c r="T311">
        <v>9431</v>
      </c>
    </row>
    <row r="312" spans="1:20" x14ac:dyDescent="0.35">
      <c r="A312" s="7" t="s">
        <v>410</v>
      </c>
      <c r="B312" s="12" t="s">
        <v>54</v>
      </c>
      <c r="C312">
        <v>130577498.50531057</v>
      </c>
      <c r="D312">
        <v>131400547.62894355</v>
      </c>
      <c r="E312">
        <v>28103783.783783782</v>
      </c>
      <c r="F312">
        <v>2023936.036036039</v>
      </c>
      <c r="G312">
        <v>20</v>
      </c>
      <c r="H312">
        <v>20</v>
      </c>
      <c r="K312">
        <v>25</v>
      </c>
      <c r="L312">
        <v>28</v>
      </c>
      <c r="M312">
        <v>7554954.9549549529</v>
      </c>
      <c r="N312">
        <v>5234234.2342342362</v>
      </c>
      <c r="O312">
        <v>24578243.243243244</v>
      </c>
      <c r="P312">
        <v>27504711.711711712</v>
      </c>
      <c r="Q312">
        <v>6159549.5495495517</v>
      </c>
      <c r="R312">
        <v>5918378.3783783764</v>
      </c>
      <c r="S312">
        <v>19208</v>
      </c>
      <c r="T312">
        <v>19285</v>
      </c>
    </row>
    <row r="313" spans="1:20" x14ac:dyDescent="0.35">
      <c r="A313" s="7" t="s">
        <v>411</v>
      </c>
      <c r="B313" s="12" t="s">
        <v>224</v>
      </c>
      <c r="C313">
        <v>76143667.344227389</v>
      </c>
      <c r="D313">
        <v>70754048.577317297</v>
      </c>
      <c r="E313">
        <v>553513.51351351303</v>
      </c>
      <c r="F313">
        <v>554054.05405405699</v>
      </c>
      <c r="G313">
        <v>18</v>
      </c>
      <c r="H313">
        <v>20</v>
      </c>
      <c r="K313">
        <v>29</v>
      </c>
      <c r="L313">
        <v>30</v>
      </c>
      <c r="M313">
        <v>2510270.2702702689</v>
      </c>
      <c r="N313">
        <v>6382882.8828828838</v>
      </c>
      <c r="O313">
        <v>18233166.666666668</v>
      </c>
      <c r="P313">
        <v>24011025.225225229</v>
      </c>
      <c r="Q313">
        <v>5713063.0630630637</v>
      </c>
      <c r="R313">
        <v>9299142.3423423395</v>
      </c>
      <c r="S313">
        <v>13666</v>
      </c>
      <c r="T313">
        <v>13903</v>
      </c>
    </row>
    <row r="314" spans="1:20" x14ac:dyDescent="0.35">
      <c r="A314" s="7" t="s">
        <v>412</v>
      </c>
      <c r="B314" s="12" t="s">
        <v>413</v>
      </c>
      <c r="C314">
        <v>24139535.158578049</v>
      </c>
      <c r="D314">
        <v>23648571.640964743</v>
      </c>
      <c r="E314">
        <v>900.900900901</v>
      </c>
      <c r="G314">
        <v>1</v>
      </c>
      <c r="K314">
        <v>1</v>
      </c>
      <c r="M314">
        <v>1449549.549549548</v>
      </c>
      <c r="N314">
        <v>352252.25225225202</v>
      </c>
      <c r="O314">
        <v>9493315.3153153155</v>
      </c>
      <c r="P314">
        <v>8890837.8378378395</v>
      </c>
      <c r="Q314">
        <v>813243.24324324203</v>
      </c>
      <c r="R314">
        <v>191891.89189189201</v>
      </c>
      <c r="S314">
        <v>4019</v>
      </c>
      <c r="T314">
        <v>4016</v>
      </c>
    </row>
    <row r="315" spans="1:20" x14ac:dyDescent="0.35">
      <c r="A315" s="7" t="s">
        <v>414</v>
      </c>
      <c r="B315" s="12" t="s">
        <v>214</v>
      </c>
      <c r="C315">
        <v>146849509.578365</v>
      </c>
      <c r="D315">
        <v>175109858.77596751</v>
      </c>
      <c r="E315">
        <v>28026473.873873871</v>
      </c>
      <c r="F315">
        <v>4709975.6756756818</v>
      </c>
      <c r="G315">
        <v>30</v>
      </c>
      <c r="H315">
        <v>576</v>
      </c>
      <c r="K315">
        <v>48</v>
      </c>
      <c r="L315">
        <v>651</v>
      </c>
      <c r="M315">
        <v>14514324.324324328</v>
      </c>
      <c r="N315">
        <v>26960810.810810808</v>
      </c>
      <c r="O315">
        <v>60274088.288288288</v>
      </c>
      <c r="P315">
        <v>97121234.234234244</v>
      </c>
      <c r="Q315">
        <v>16188648.648648657</v>
      </c>
      <c r="R315">
        <v>20874954.954954952</v>
      </c>
      <c r="S315">
        <v>23897</v>
      </c>
      <c r="T315">
        <v>24551</v>
      </c>
    </row>
    <row r="316" spans="1:20" x14ac:dyDescent="0.35">
      <c r="A316" s="7" t="s">
        <v>415</v>
      </c>
      <c r="B316" s="12" t="s">
        <v>413</v>
      </c>
      <c r="C316">
        <v>13807419.355538312</v>
      </c>
      <c r="D316">
        <v>14072049.606036523</v>
      </c>
      <c r="E316">
        <v>900.900900901</v>
      </c>
      <c r="F316">
        <v>54054.054054054002</v>
      </c>
      <c r="G316">
        <v>4</v>
      </c>
      <c r="H316">
        <v>1</v>
      </c>
      <c r="K316">
        <v>4</v>
      </c>
      <c r="L316">
        <v>2</v>
      </c>
      <c r="M316">
        <v>5183603.6036036024</v>
      </c>
      <c r="N316">
        <v>1225225.2252252251</v>
      </c>
      <c r="O316">
        <v>4002207.2072072071</v>
      </c>
      <c r="P316">
        <v>5351342.3423423432</v>
      </c>
      <c r="Q316">
        <v>2052252.2522522521</v>
      </c>
      <c r="R316">
        <v>1480630.6306306319</v>
      </c>
      <c r="S316">
        <v>2983</v>
      </c>
      <c r="T316">
        <v>2927</v>
      </c>
    </row>
    <row r="317" spans="1:20" x14ac:dyDescent="0.35">
      <c r="A317" s="7" t="s">
        <v>416</v>
      </c>
      <c r="B317" s="12" t="s">
        <v>236</v>
      </c>
      <c r="C317">
        <v>103898271.27868745</v>
      </c>
      <c r="D317">
        <v>102624083.50886843</v>
      </c>
      <c r="E317">
        <v>19718812.612612613</v>
      </c>
      <c r="F317">
        <v>1862089.189189191</v>
      </c>
      <c r="G317">
        <v>5</v>
      </c>
      <c r="H317">
        <v>15</v>
      </c>
      <c r="K317">
        <v>10</v>
      </c>
      <c r="L317">
        <v>24</v>
      </c>
      <c r="M317">
        <v>35847837.837837838</v>
      </c>
      <c r="N317">
        <v>25356576.576576576</v>
      </c>
      <c r="O317">
        <v>23316711.711711712</v>
      </c>
      <c r="P317">
        <v>22696207.207207207</v>
      </c>
      <c r="Q317">
        <v>12323693.693693696</v>
      </c>
      <c r="R317">
        <v>5899909.9099099115</v>
      </c>
      <c r="S317">
        <v>10785</v>
      </c>
      <c r="T317">
        <v>10670</v>
      </c>
    </row>
    <row r="318" spans="1:20" x14ac:dyDescent="0.35">
      <c r="A318" s="7" t="s">
        <v>417</v>
      </c>
      <c r="B318" s="12" t="s">
        <v>117</v>
      </c>
      <c r="C318">
        <v>99529261.807231843</v>
      </c>
      <c r="D318">
        <v>95003031.721074179</v>
      </c>
      <c r="E318">
        <v>27868191.891891897</v>
      </c>
      <c r="F318">
        <v>654387.38738739199</v>
      </c>
      <c r="G318">
        <v>32</v>
      </c>
      <c r="H318">
        <v>15</v>
      </c>
      <c r="K318">
        <v>105</v>
      </c>
      <c r="L318">
        <v>28</v>
      </c>
      <c r="M318">
        <v>25325855.855855849</v>
      </c>
      <c r="N318">
        <v>17724324.324324325</v>
      </c>
      <c r="O318">
        <v>42859684.684684686</v>
      </c>
      <c r="P318">
        <v>43714394.594594598</v>
      </c>
      <c r="Q318">
        <v>19580900.900900897</v>
      </c>
      <c r="R318">
        <v>16530900.900900908</v>
      </c>
      <c r="S318">
        <v>17640</v>
      </c>
      <c r="T318">
        <v>17592</v>
      </c>
    </row>
    <row r="319" spans="1:20" x14ac:dyDescent="0.35">
      <c r="A319" s="7" t="s">
        <v>418</v>
      </c>
      <c r="B319" s="12" t="s">
        <v>147</v>
      </c>
      <c r="C319">
        <v>2687122.183743679</v>
      </c>
      <c r="D319">
        <v>2218333.5324943848</v>
      </c>
      <c r="O319">
        <v>876351.35135135194</v>
      </c>
      <c r="P319">
        <v>792162.16216216295</v>
      </c>
      <c r="S319">
        <v>500</v>
      </c>
      <c r="T319">
        <v>471</v>
      </c>
    </row>
    <row r="320" spans="1:20" x14ac:dyDescent="0.35">
      <c r="A320" s="7" t="s">
        <v>419</v>
      </c>
      <c r="B320" s="12" t="s">
        <v>304</v>
      </c>
      <c r="C320">
        <v>23241518.325974196</v>
      </c>
      <c r="D320">
        <v>22441080.32569427</v>
      </c>
      <c r="E320">
        <v>51351.351351352001</v>
      </c>
      <c r="F320">
        <v>121621.621621625</v>
      </c>
      <c r="G320">
        <v>4</v>
      </c>
      <c r="H320">
        <v>10</v>
      </c>
      <c r="K320">
        <v>5</v>
      </c>
      <c r="L320">
        <v>12</v>
      </c>
      <c r="M320">
        <v>3812612.6126126111</v>
      </c>
      <c r="N320">
        <v>2383783.783783786</v>
      </c>
      <c r="O320">
        <v>4234549.5495495507</v>
      </c>
      <c r="P320">
        <v>3617954.9549549539</v>
      </c>
      <c r="Q320">
        <v>3363693.6936936942</v>
      </c>
      <c r="R320">
        <v>2366666.666666667</v>
      </c>
      <c r="S320">
        <v>2439</v>
      </c>
      <c r="T320">
        <v>2311</v>
      </c>
    </row>
    <row r="321" spans="1:20" x14ac:dyDescent="0.35">
      <c r="A321" s="7" t="s">
        <v>420</v>
      </c>
      <c r="B321" s="12" t="s">
        <v>304</v>
      </c>
      <c r="C321">
        <v>27296399.205490615</v>
      </c>
      <c r="D321">
        <v>25574616.029984396</v>
      </c>
      <c r="E321">
        <v>9009.0090090100002</v>
      </c>
      <c r="F321">
        <v>202702.702702704</v>
      </c>
      <c r="G321">
        <v>10</v>
      </c>
      <c r="H321">
        <v>9</v>
      </c>
      <c r="I321">
        <v>1</v>
      </c>
      <c r="K321">
        <v>17</v>
      </c>
      <c r="L321">
        <v>14</v>
      </c>
      <c r="M321">
        <v>4256756.7567567546</v>
      </c>
      <c r="N321">
        <v>6586486.4864864862</v>
      </c>
      <c r="O321">
        <v>4606621.6216216208</v>
      </c>
      <c r="P321">
        <v>4273891.8918918911</v>
      </c>
      <c r="Q321">
        <v>3126036.036036035</v>
      </c>
      <c r="R321">
        <v>2015045.045045045</v>
      </c>
      <c r="S321">
        <v>3018</v>
      </c>
      <c r="T321">
        <v>3003</v>
      </c>
    </row>
    <row r="322" spans="1:20" x14ac:dyDescent="0.35">
      <c r="A322" s="7" t="s">
        <v>421</v>
      </c>
      <c r="B322" s="12" t="s">
        <v>121</v>
      </c>
      <c r="C322">
        <v>2266384.2638932648</v>
      </c>
      <c r="D322">
        <v>899916.03891431598</v>
      </c>
      <c r="O322">
        <v>55855.855855856003</v>
      </c>
      <c r="P322">
        <v>20495.495495495001</v>
      </c>
      <c r="S322">
        <v>349</v>
      </c>
      <c r="T322">
        <v>312</v>
      </c>
    </row>
    <row r="323" spans="1:20" x14ac:dyDescent="0.35">
      <c r="A323" s="7" t="s">
        <v>422</v>
      </c>
      <c r="B323" s="12" t="s">
        <v>60</v>
      </c>
      <c r="C323">
        <v>12891307.122227356</v>
      </c>
      <c r="D323">
        <v>12819086.981354406</v>
      </c>
      <c r="E323">
        <v>1801.801801802</v>
      </c>
      <c r="F323">
        <v>13513.513513514001</v>
      </c>
      <c r="G323">
        <v>2</v>
      </c>
      <c r="H323">
        <v>3</v>
      </c>
      <c r="K323">
        <v>4</v>
      </c>
      <c r="L323">
        <v>8</v>
      </c>
      <c r="M323">
        <v>2627027.0270270258</v>
      </c>
      <c r="N323">
        <v>1490990.9909909901</v>
      </c>
      <c r="O323">
        <v>3838603.6036036038</v>
      </c>
      <c r="P323">
        <v>4502720.7207207223</v>
      </c>
      <c r="Q323">
        <v>692702.70270270295</v>
      </c>
      <c r="R323">
        <v>1406666.6666666679</v>
      </c>
      <c r="S323">
        <v>2159</v>
      </c>
      <c r="T323">
        <v>2003</v>
      </c>
    </row>
    <row r="324" spans="1:20" x14ac:dyDescent="0.35">
      <c r="A324" s="7" t="s">
        <v>423</v>
      </c>
      <c r="B324" s="12" t="s">
        <v>181</v>
      </c>
      <c r="C324">
        <v>123415912.87532224</v>
      </c>
      <c r="D324">
        <v>120642006.26770921</v>
      </c>
      <c r="E324">
        <v>455855.85585585702</v>
      </c>
      <c r="F324">
        <v>454954.95495495899</v>
      </c>
      <c r="G324">
        <v>31</v>
      </c>
      <c r="H324">
        <v>44</v>
      </c>
      <c r="I324">
        <v>8</v>
      </c>
      <c r="K324">
        <v>49</v>
      </c>
      <c r="L324">
        <v>66</v>
      </c>
      <c r="M324">
        <v>13055945.945945935</v>
      </c>
      <c r="N324">
        <v>17091531.531531528</v>
      </c>
      <c r="O324">
        <v>33097288.288288288</v>
      </c>
      <c r="P324">
        <v>36812738.738738738</v>
      </c>
      <c r="Q324">
        <v>11827927.927927928</v>
      </c>
      <c r="R324">
        <v>17112702.702702701</v>
      </c>
      <c r="S324">
        <v>22440</v>
      </c>
      <c r="T324">
        <v>24767</v>
      </c>
    </row>
    <row r="325" spans="1:20" x14ac:dyDescent="0.35">
      <c r="A325" s="7" t="s">
        <v>424</v>
      </c>
      <c r="B325" s="12" t="s">
        <v>76</v>
      </c>
      <c r="C325">
        <v>5722650.0847704243</v>
      </c>
      <c r="D325">
        <v>4189681.0400249371</v>
      </c>
      <c r="E325">
        <v>1801.801801802</v>
      </c>
      <c r="F325">
        <v>13513.513513514001</v>
      </c>
      <c r="K325">
        <v>1</v>
      </c>
      <c r="M325">
        <v>181981.98198198201</v>
      </c>
      <c r="N325">
        <v>13513.513513514001</v>
      </c>
      <c r="O325">
        <v>491396.39639639598</v>
      </c>
      <c r="P325">
        <v>270720.720720721</v>
      </c>
      <c r="Q325">
        <v>388918.91891891899</v>
      </c>
      <c r="R325">
        <v>277387.38738738699</v>
      </c>
      <c r="S325">
        <v>908</v>
      </c>
      <c r="T325">
        <v>889</v>
      </c>
    </row>
    <row r="326" spans="1:20" x14ac:dyDescent="0.35">
      <c r="A326" s="7" t="s">
        <v>425</v>
      </c>
      <c r="B326" s="12" t="s">
        <v>76</v>
      </c>
      <c r="C326">
        <v>15886800.207182672</v>
      </c>
      <c r="D326">
        <v>14816319.248185441</v>
      </c>
      <c r="E326">
        <v>136036.03603603601</v>
      </c>
      <c r="F326">
        <v>27027.027027028002</v>
      </c>
      <c r="G326">
        <v>4</v>
      </c>
      <c r="H326">
        <v>5</v>
      </c>
      <c r="K326">
        <v>5</v>
      </c>
      <c r="L326">
        <v>5</v>
      </c>
      <c r="M326">
        <v>1910810.8108108121</v>
      </c>
      <c r="N326">
        <v>2028828.8288288291</v>
      </c>
      <c r="O326">
        <v>3368603.6036036038</v>
      </c>
      <c r="P326">
        <v>3242792.7927927929</v>
      </c>
      <c r="Q326">
        <v>1130630.630630631</v>
      </c>
      <c r="R326">
        <v>1401351.3513513501</v>
      </c>
      <c r="S326">
        <v>1512</v>
      </c>
      <c r="T326">
        <v>1822</v>
      </c>
    </row>
    <row r="327" spans="1:20" x14ac:dyDescent="0.35">
      <c r="A327" s="7" t="s">
        <v>426</v>
      </c>
      <c r="B327" s="12" t="s">
        <v>330</v>
      </c>
      <c r="C327">
        <v>74987039.810574964</v>
      </c>
      <c r="D327">
        <v>72913673.986248508</v>
      </c>
      <c r="E327">
        <v>206936.936936938</v>
      </c>
      <c r="F327">
        <v>725225.22522522998</v>
      </c>
      <c r="G327">
        <v>15</v>
      </c>
      <c r="H327">
        <v>20</v>
      </c>
      <c r="K327">
        <v>27</v>
      </c>
      <c r="L327">
        <v>28</v>
      </c>
      <c r="M327">
        <v>2387117.1171171172</v>
      </c>
      <c r="N327">
        <v>3175675.6756756781</v>
      </c>
      <c r="O327">
        <v>12444324.324324325</v>
      </c>
      <c r="P327">
        <v>12451981.981981983</v>
      </c>
      <c r="Q327">
        <v>2144684.6846846831</v>
      </c>
      <c r="R327">
        <v>2769279.2792792772</v>
      </c>
      <c r="S327">
        <v>11669</v>
      </c>
      <c r="T327">
        <v>12080</v>
      </c>
    </row>
    <row r="328" spans="1:20" x14ac:dyDescent="0.35">
      <c r="A328" s="7" t="s">
        <v>427</v>
      </c>
      <c r="B328" s="12" t="s">
        <v>241</v>
      </c>
      <c r="C328">
        <v>17731591.704833217</v>
      </c>
      <c r="D328">
        <v>18413574.824231654</v>
      </c>
      <c r="E328">
        <v>272072.07207207201</v>
      </c>
      <c r="G328">
        <v>4</v>
      </c>
      <c r="H328">
        <v>3</v>
      </c>
      <c r="K328">
        <v>7</v>
      </c>
      <c r="L328">
        <v>3</v>
      </c>
      <c r="M328">
        <v>1623063.063063066</v>
      </c>
      <c r="O328">
        <v>6451711.7117117122</v>
      </c>
      <c r="P328">
        <v>6369324.3243243247</v>
      </c>
      <c r="Q328">
        <v>1760180.1801801841</v>
      </c>
      <c r="R328">
        <v>246846.84684684701</v>
      </c>
      <c r="S328">
        <v>5250</v>
      </c>
      <c r="T328">
        <v>5341</v>
      </c>
    </row>
    <row r="329" spans="1:20" x14ac:dyDescent="0.35">
      <c r="A329" s="7" t="s">
        <v>670</v>
      </c>
      <c r="B329" s="12" t="s">
        <v>54</v>
      </c>
      <c r="M329">
        <v>201801.80180180201</v>
      </c>
      <c r="N329">
        <v>54054.054054054002</v>
      </c>
    </row>
    <row r="330" spans="1:20" x14ac:dyDescent="0.35">
      <c r="A330" s="7" t="s">
        <v>428</v>
      </c>
      <c r="B330" s="12" t="s">
        <v>283</v>
      </c>
      <c r="C330">
        <v>6666221.640686295</v>
      </c>
      <c r="D330">
        <v>10027114.698650489</v>
      </c>
      <c r="F330">
        <v>166666.666666668</v>
      </c>
      <c r="G330">
        <v>1</v>
      </c>
      <c r="K330">
        <v>2</v>
      </c>
      <c r="L330">
        <v>17</v>
      </c>
      <c r="N330">
        <v>166666.666666668</v>
      </c>
      <c r="O330">
        <v>1096216.2162162161</v>
      </c>
      <c r="P330">
        <v>2289279.2792792791</v>
      </c>
      <c r="Q330">
        <v>178378.37837837901</v>
      </c>
      <c r="R330">
        <v>18108.108108108001</v>
      </c>
      <c r="S330">
        <v>1098</v>
      </c>
      <c r="T330">
        <v>1298</v>
      </c>
    </row>
    <row r="331" spans="1:20" x14ac:dyDescent="0.35">
      <c r="A331" s="7" t="s">
        <v>429</v>
      </c>
      <c r="B331" s="12" t="s">
        <v>283</v>
      </c>
      <c r="C331">
        <v>2077469.609453347</v>
      </c>
      <c r="D331">
        <v>2760014.8100542761</v>
      </c>
      <c r="F331">
        <v>27027.027027027001</v>
      </c>
      <c r="N331">
        <v>27027.027027027001</v>
      </c>
      <c r="O331">
        <v>204819.81981982</v>
      </c>
      <c r="P331">
        <v>142522.52252252301</v>
      </c>
      <c r="S331">
        <v>511</v>
      </c>
      <c r="T331">
        <v>490</v>
      </c>
    </row>
    <row r="332" spans="1:20" x14ac:dyDescent="0.35">
      <c r="A332" s="7" t="s">
        <v>430</v>
      </c>
      <c r="B332" s="12" t="s">
        <v>283</v>
      </c>
      <c r="C332">
        <v>4292658.9987310674</v>
      </c>
      <c r="D332">
        <v>5939392.4987144517</v>
      </c>
      <c r="E332">
        <v>19619793.693693697</v>
      </c>
      <c r="F332">
        <v>20170060.360360362</v>
      </c>
      <c r="G332">
        <v>1</v>
      </c>
      <c r="H332">
        <v>1</v>
      </c>
      <c r="K332">
        <v>2</v>
      </c>
      <c r="L332">
        <v>3</v>
      </c>
      <c r="M332">
        <v>1838288.2882882881</v>
      </c>
      <c r="N332">
        <v>5351040.5405405406</v>
      </c>
      <c r="O332">
        <v>416846.84684684599</v>
      </c>
      <c r="P332">
        <v>552027.02702702698</v>
      </c>
      <c r="R332">
        <v>90090.090090090001</v>
      </c>
      <c r="S332">
        <v>783</v>
      </c>
      <c r="T332">
        <v>813</v>
      </c>
    </row>
    <row r="333" spans="1:20" x14ac:dyDescent="0.35">
      <c r="A333" s="7" t="s">
        <v>431</v>
      </c>
      <c r="B333" s="12" t="s">
        <v>78</v>
      </c>
      <c r="C333">
        <v>32337574.583211377</v>
      </c>
      <c r="D333">
        <v>33619186.450536393</v>
      </c>
      <c r="E333">
        <v>300000.00000000198</v>
      </c>
      <c r="F333">
        <v>256756.756756758</v>
      </c>
      <c r="G333">
        <v>5</v>
      </c>
      <c r="H333">
        <v>6</v>
      </c>
      <c r="K333">
        <v>6</v>
      </c>
      <c r="L333">
        <v>47</v>
      </c>
      <c r="M333">
        <v>2439639.6396396402</v>
      </c>
      <c r="N333">
        <v>1472972.972972973</v>
      </c>
      <c r="O333">
        <v>13006756.756756758</v>
      </c>
      <c r="P333">
        <v>13482225.225225223</v>
      </c>
      <c r="Q333">
        <v>2677927.9279279299</v>
      </c>
      <c r="R333">
        <v>2854504.5045045069</v>
      </c>
      <c r="S333">
        <v>6262</v>
      </c>
      <c r="T333">
        <v>6669</v>
      </c>
    </row>
    <row r="334" spans="1:20" x14ac:dyDescent="0.35">
      <c r="A334" s="7" t="s">
        <v>432</v>
      </c>
      <c r="B334" s="12" t="s">
        <v>105</v>
      </c>
      <c r="C334">
        <v>24961277.919653766</v>
      </c>
      <c r="D334">
        <v>28195172.124105919</v>
      </c>
      <c r="E334">
        <v>75675.675675676001</v>
      </c>
      <c r="F334">
        <v>27027.027027027001</v>
      </c>
      <c r="G334">
        <v>1</v>
      </c>
      <c r="H334">
        <v>6</v>
      </c>
      <c r="K334">
        <v>3</v>
      </c>
      <c r="L334">
        <v>6</v>
      </c>
      <c r="M334">
        <v>3574774.774774774</v>
      </c>
      <c r="N334">
        <v>729729.72972973005</v>
      </c>
      <c r="O334">
        <v>5349675.6756756753</v>
      </c>
      <c r="P334">
        <v>6443963.9639639631</v>
      </c>
      <c r="Q334">
        <v>2102252.2522522518</v>
      </c>
      <c r="R334">
        <v>3532522.5225225231</v>
      </c>
      <c r="S334">
        <v>3677</v>
      </c>
      <c r="T334">
        <v>3456</v>
      </c>
    </row>
    <row r="335" spans="1:20" x14ac:dyDescent="0.35">
      <c r="A335" s="7" t="s">
        <v>433</v>
      </c>
      <c r="B335" s="12" t="s">
        <v>72</v>
      </c>
      <c r="C335">
        <v>162072605.06888571</v>
      </c>
      <c r="D335">
        <v>153254085.98734474</v>
      </c>
      <c r="E335">
        <v>235585.58558558801</v>
      </c>
      <c r="F335">
        <v>761261.26126126701</v>
      </c>
      <c r="G335">
        <v>30</v>
      </c>
      <c r="H335">
        <v>32</v>
      </c>
      <c r="K335">
        <v>68</v>
      </c>
      <c r="L335">
        <v>53</v>
      </c>
      <c r="M335">
        <v>30731081.081081077</v>
      </c>
      <c r="N335">
        <v>13777477.47747748</v>
      </c>
      <c r="O335">
        <v>34173781.981981985</v>
      </c>
      <c r="P335">
        <v>30612063.063063059</v>
      </c>
      <c r="Q335">
        <v>18222702.702702705</v>
      </c>
      <c r="R335">
        <v>19180270.270270273</v>
      </c>
      <c r="S335">
        <v>18150</v>
      </c>
      <c r="T335">
        <v>17993</v>
      </c>
    </row>
    <row r="336" spans="1:20" x14ac:dyDescent="0.35">
      <c r="A336" s="7" t="s">
        <v>434</v>
      </c>
      <c r="B336" s="12" t="s">
        <v>72</v>
      </c>
      <c r="C336">
        <v>111445836.90838301</v>
      </c>
      <c r="D336">
        <v>106982333.32530002</v>
      </c>
      <c r="E336">
        <v>187387.38738738801</v>
      </c>
      <c r="F336">
        <v>481981.98198198399</v>
      </c>
      <c r="G336">
        <v>11</v>
      </c>
      <c r="H336">
        <v>23</v>
      </c>
      <c r="K336">
        <v>13</v>
      </c>
      <c r="L336">
        <v>38</v>
      </c>
      <c r="M336">
        <v>15721621.62162162</v>
      </c>
      <c r="N336">
        <v>9562612.6126126144</v>
      </c>
      <c r="O336">
        <v>20459391.891891893</v>
      </c>
      <c r="P336">
        <v>20925261.261261266</v>
      </c>
      <c r="Q336">
        <v>8447747.7477477491</v>
      </c>
      <c r="R336">
        <v>8641801.8018018045</v>
      </c>
      <c r="S336">
        <v>13622</v>
      </c>
      <c r="T336">
        <v>15122</v>
      </c>
    </row>
    <row r="337" spans="1:20" x14ac:dyDescent="0.35">
      <c r="A337" s="7" t="s">
        <v>435</v>
      </c>
      <c r="B337" s="12" t="s">
        <v>94</v>
      </c>
      <c r="C337">
        <v>8338589.3621763829</v>
      </c>
      <c r="D337">
        <v>6983926.5504774908</v>
      </c>
      <c r="G337">
        <v>2</v>
      </c>
      <c r="K337">
        <v>2</v>
      </c>
      <c r="O337">
        <v>1513783.7837837839</v>
      </c>
      <c r="P337">
        <v>2101432.4324324322</v>
      </c>
      <c r="R337">
        <v>32432.432432432</v>
      </c>
      <c r="S337">
        <v>910</v>
      </c>
      <c r="T337">
        <v>878</v>
      </c>
    </row>
    <row r="338" spans="1:20" x14ac:dyDescent="0.35">
      <c r="A338" s="7" t="s">
        <v>436</v>
      </c>
      <c r="B338" s="12" t="s">
        <v>89</v>
      </c>
      <c r="C338">
        <v>41231173.143116422</v>
      </c>
      <c r="D338">
        <v>41986442.161233231</v>
      </c>
      <c r="E338">
        <v>152432.43243243199</v>
      </c>
      <c r="F338">
        <v>391891.891891893</v>
      </c>
      <c r="G338">
        <v>12</v>
      </c>
      <c r="H338">
        <v>8</v>
      </c>
      <c r="K338">
        <v>12</v>
      </c>
      <c r="L338">
        <v>11</v>
      </c>
      <c r="M338">
        <v>4981261.2612612611</v>
      </c>
      <c r="N338">
        <v>5527027.0270270268</v>
      </c>
      <c r="O338">
        <v>15994909.909909911</v>
      </c>
      <c r="P338">
        <v>18968693.693693697</v>
      </c>
      <c r="Q338">
        <v>4854504.5045045018</v>
      </c>
      <c r="R338">
        <v>5404504.5045045055</v>
      </c>
      <c r="S338">
        <v>5474</v>
      </c>
      <c r="T338">
        <v>5455</v>
      </c>
    </row>
    <row r="339" spans="1:20" x14ac:dyDescent="0.35">
      <c r="A339" s="7" t="s">
        <v>437</v>
      </c>
      <c r="B339" s="12" t="s">
        <v>70</v>
      </c>
      <c r="C339">
        <v>1392655.044360646</v>
      </c>
      <c r="D339">
        <v>1191107.4566024831</v>
      </c>
      <c r="G339">
        <v>2</v>
      </c>
      <c r="H339">
        <v>1</v>
      </c>
      <c r="K339">
        <v>2</v>
      </c>
      <c r="L339">
        <v>2</v>
      </c>
      <c r="O339">
        <v>399819.81981981901</v>
      </c>
      <c r="P339">
        <v>911126.12612612697</v>
      </c>
      <c r="S339">
        <v>1205</v>
      </c>
      <c r="T339">
        <v>2263</v>
      </c>
    </row>
    <row r="340" spans="1:20" x14ac:dyDescent="0.35">
      <c r="A340" s="7" t="s">
        <v>438</v>
      </c>
      <c r="B340" s="12" t="s">
        <v>195</v>
      </c>
      <c r="C340">
        <v>187082200.12850296</v>
      </c>
      <c r="D340">
        <v>176543165.49144694</v>
      </c>
      <c r="E340">
        <v>58134161.261261262</v>
      </c>
      <c r="F340">
        <v>29954911.711711716</v>
      </c>
      <c r="G340">
        <v>20</v>
      </c>
      <c r="H340">
        <v>43</v>
      </c>
      <c r="K340">
        <v>32</v>
      </c>
      <c r="L340">
        <v>67</v>
      </c>
      <c r="M340">
        <v>12777477.477477474</v>
      </c>
      <c r="N340">
        <v>13103603.603603603</v>
      </c>
      <c r="O340">
        <v>28445927.927927926</v>
      </c>
      <c r="P340">
        <v>30219378.37837838</v>
      </c>
      <c r="Q340">
        <v>15980540.540540544</v>
      </c>
      <c r="R340">
        <v>12273243.243243247</v>
      </c>
      <c r="S340">
        <v>20749</v>
      </c>
      <c r="T340">
        <v>21730</v>
      </c>
    </row>
    <row r="341" spans="1:20" x14ac:dyDescent="0.35">
      <c r="A341" s="7" t="s">
        <v>439</v>
      </c>
      <c r="B341" s="12" t="s">
        <v>178</v>
      </c>
      <c r="C341">
        <v>85200931.472163677</v>
      </c>
      <c r="D341">
        <v>92885150.15597111</v>
      </c>
      <c r="E341">
        <v>388558.55855855899</v>
      </c>
      <c r="F341">
        <v>225225.225225228</v>
      </c>
      <c r="G341">
        <v>7</v>
      </c>
      <c r="H341">
        <v>7</v>
      </c>
      <c r="K341">
        <v>8</v>
      </c>
      <c r="L341">
        <v>12</v>
      </c>
      <c r="M341">
        <v>24988738.738738742</v>
      </c>
      <c r="N341">
        <v>13044144.144144148</v>
      </c>
      <c r="O341">
        <v>32889639.639639638</v>
      </c>
      <c r="P341">
        <v>36168270.270270273</v>
      </c>
      <c r="Q341">
        <v>12714054.054054057</v>
      </c>
      <c r="R341">
        <v>17350000</v>
      </c>
      <c r="S341">
        <v>14764</v>
      </c>
      <c r="T341">
        <v>14483</v>
      </c>
    </row>
    <row r="342" spans="1:20" x14ac:dyDescent="0.35">
      <c r="A342" s="7" t="s">
        <v>440</v>
      </c>
      <c r="B342" s="12" t="s">
        <v>78</v>
      </c>
      <c r="C342">
        <v>40029988.861313574</v>
      </c>
      <c r="D342">
        <v>41116523.170857295</v>
      </c>
      <c r="E342">
        <v>179909.90990991</v>
      </c>
      <c r="F342">
        <v>576576.57657657703</v>
      </c>
      <c r="G342">
        <v>5</v>
      </c>
      <c r="H342">
        <v>5</v>
      </c>
      <c r="K342">
        <v>8</v>
      </c>
      <c r="L342">
        <v>7</v>
      </c>
      <c r="M342">
        <v>2206936.9369369359</v>
      </c>
      <c r="N342">
        <v>3063063.0630630632</v>
      </c>
      <c r="O342">
        <v>7637567.5675675683</v>
      </c>
      <c r="P342">
        <v>7777990.9909909908</v>
      </c>
      <c r="Q342">
        <v>2861171.1711711711</v>
      </c>
      <c r="R342">
        <v>4211711.7117117122</v>
      </c>
      <c r="S342">
        <v>4930</v>
      </c>
      <c r="T342">
        <v>4947</v>
      </c>
    </row>
    <row r="343" spans="1:20" x14ac:dyDescent="0.35">
      <c r="A343" s="7" t="s">
        <v>441</v>
      </c>
      <c r="B343" s="12" t="s">
        <v>78</v>
      </c>
      <c r="C343">
        <v>17653779.697953176</v>
      </c>
      <c r="D343">
        <v>17050610.648421895</v>
      </c>
      <c r="E343">
        <v>294594.59459459502</v>
      </c>
      <c r="F343">
        <v>13513.513513514001</v>
      </c>
      <c r="G343">
        <v>4</v>
      </c>
      <c r="H343">
        <v>2</v>
      </c>
      <c r="K343">
        <v>4</v>
      </c>
      <c r="L343">
        <v>2</v>
      </c>
      <c r="M343">
        <v>1375675.675675675</v>
      </c>
      <c r="N343">
        <v>959459.45945945894</v>
      </c>
      <c r="O343">
        <v>3545945.9459459451</v>
      </c>
      <c r="P343">
        <v>3418243.243243244</v>
      </c>
      <c r="Q343">
        <v>4702342.3423423432</v>
      </c>
      <c r="R343">
        <v>1066306.3063063079</v>
      </c>
      <c r="S343">
        <v>2340</v>
      </c>
      <c r="T343">
        <v>2338</v>
      </c>
    </row>
    <row r="344" spans="1:20" x14ac:dyDescent="0.35">
      <c r="A344" s="7" t="s">
        <v>442</v>
      </c>
      <c r="B344" s="12" t="s">
        <v>123</v>
      </c>
      <c r="C344">
        <v>267877.74008929601</v>
      </c>
      <c r="D344">
        <v>312001.27122110903</v>
      </c>
      <c r="O344">
        <v>57207.207207207</v>
      </c>
      <c r="P344">
        <v>163603.60360360399</v>
      </c>
      <c r="S344">
        <v>390</v>
      </c>
      <c r="T344">
        <v>349</v>
      </c>
    </row>
    <row r="345" spans="1:20" x14ac:dyDescent="0.35">
      <c r="A345" s="7" t="s">
        <v>443</v>
      </c>
      <c r="B345" s="12" t="s">
        <v>140</v>
      </c>
      <c r="C345">
        <v>41187735.922770172</v>
      </c>
      <c r="D345">
        <v>43191358.475471705</v>
      </c>
      <c r="E345">
        <v>281081.08108108101</v>
      </c>
      <c r="F345">
        <v>130630.630630631</v>
      </c>
      <c r="G345">
        <v>2</v>
      </c>
      <c r="H345">
        <v>7</v>
      </c>
      <c r="K345">
        <v>4</v>
      </c>
      <c r="L345">
        <v>8</v>
      </c>
      <c r="M345">
        <v>3429729.7297297288</v>
      </c>
      <c r="N345">
        <v>4955135.135135131</v>
      </c>
      <c r="O345">
        <v>8450675.6756756753</v>
      </c>
      <c r="P345">
        <v>11075315.315315315</v>
      </c>
      <c r="Q345">
        <v>3403603.6036036029</v>
      </c>
      <c r="R345">
        <v>3332522.5225225212</v>
      </c>
      <c r="S345">
        <v>5707</v>
      </c>
      <c r="T345">
        <v>5695</v>
      </c>
    </row>
    <row r="346" spans="1:20" x14ac:dyDescent="0.35">
      <c r="A346" s="7" t="s">
        <v>444</v>
      </c>
      <c r="B346" s="12" t="s">
        <v>76</v>
      </c>
      <c r="C346">
        <v>4710402.6614410961</v>
      </c>
      <c r="D346">
        <v>4457935.2977667479</v>
      </c>
      <c r="E346">
        <v>35135.135135135002</v>
      </c>
      <c r="G346">
        <v>1</v>
      </c>
      <c r="H346">
        <v>1</v>
      </c>
      <c r="K346">
        <v>2</v>
      </c>
      <c r="L346">
        <v>1</v>
      </c>
      <c r="M346">
        <v>3224324.3243243238</v>
      </c>
      <c r="N346">
        <v>450450.45045045001</v>
      </c>
      <c r="O346">
        <v>936171.17117117101</v>
      </c>
      <c r="P346">
        <v>1088648.648648649</v>
      </c>
      <c r="Q346">
        <v>1251711.711711711</v>
      </c>
      <c r="R346">
        <v>1326036.036036036</v>
      </c>
      <c r="S346">
        <v>647</v>
      </c>
      <c r="T346">
        <v>584</v>
      </c>
    </row>
    <row r="347" spans="1:20" x14ac:dyDescent="0.35">
      <c r="A347" s="7" t="s">
        <v>445</v>
      </c>
      <c r="B347" s="12" t="s">
        <v>89</v>
      </c>
      <c r="C347">
        <v>128294878.09862104</v>
      </c>
      <c r="D347">
        <v>129951275.5847951</v>
      </c>
      <c r="E347">
        <v>28396892.792792797</v>
      </c>
      <c r="F347">
        <v>86010351.351351365</v>
      </c>
      <c r="G347">
        <v>19</v>
      </c>
      <c r="H347">
        <v>28</v>
      </c>
      <c r="K347">
        <v>24</v>
      </c>
      <c r="L347">
        <v>44</v>
      </c>
      <c r="M347">
        <v>15045855.855855852</v>
      </c>
      <c r="N347">
        <v>9447387.3873873875</v>
      </c>
      <c r="O347">
        <v>35435090.090090089</v>
      </c>
      <c r="P347">
        <v>39221421.621621624</v>
      </c>
      <c r="Q347">
        <v>16081801.801801801</v>
      </c>
      <c r="R347">
        <v>9766216.2162162121</v>
      </c>
      <c r="S347">
        <v>16393</v>
      </c>
      <c r="T347">
        <v>16747</v>
      </c>
    </row>
    <row r="348" spans="1:20" x14ac:dyDescent="0.35">
      <c r="A348" s="7" t="s">
        <v>446</v>
      </c>
      <c r="B348" s="12" t="s">
        <v>48</v>
      </c>
      <c r="C348">
        <v>12394991.246524606</v>
      </c>
      <c r="D348">
        <v>12462771.503008392</v>
      </c>
      <c r="E348">
        <v>67567.567567567996</v>
      </c>
      <c r="L348">
        <v>1</v>
      </c>
      <c r="M348">
        <v>1238738.7387387389</v>
      </c>
      <c r="N348">
        <v>1180180.1801801799</v>
      </c>
      <c r="O348">
        <v>4496666.666666667</v>
      </c>
      <c r="P348">
        <v>3945585.5855855858</v>
      </c>
      <c r="Q348">
        <v>1449549.5495495489</v>
      </c>
      <c r="R348">
        <v>1231981.981981982</v>
      </c>
      <c r="S348">
        <v>1093</v>
      </c>
      <c r="T348">
        <v>1098</v>
      </c>
    </row>
    <row r="349" spans="1:20" x14ac:dyDescent="0.35">
      <c r="A349" s="7" t="s">
        <v>447</v>
      </c>
      <c r="B349" s="12" t="s">
        <v>448</v>
      </c>
      <c r="C349">
        <v>23622335.261311553</v>
      </c>
      <c r="D349">
        <v>23954775.562532522</v>
      </c>
      <c r="E349">
        <v>54054.054054054002</v>
      </c>
      <c r="F349">
        <v>279279.27927928098</v>
      </c>
      <c r="G349">
        <v>8</v>
      </c>
      <c r="H349">
        <v>9</v>
      </c>
      <c r="K349">
        <v>13</v>
      </c>
      <c r="L349">
        <v>14</v>
      </c>
      <c r="M349">
        <v>1074324.324324324</v>
      </c>
      <c r="N349">
        <v>1130405.405405408</v>
      </c>
      <c r="O349">
        <v>10286711.711711712</v>
      </c>
      <c r="P349">
        <v>8940702.702702703</v>
      </c>
      <c r="Q349">
        <v>1159819.819819821</v>
      </c>
      <c r="R349">
        <v>1070495.4954954979</v>
      </c>
      <c r="S349">
        <v>5553</v>
      </c>
      <c r="T349">
        <v>5577</v>
      </c>
    </row>
    <row r="350" spans="1:20" x14ac:dyDescent="0.35">
      <c r="A350" s="7" t="s">
        <v>449</v>
      </c>
      <c r="B350" s="12" t="s">
        <v>76</v>
      </c>
      <c r="C350">
        <v>6536622.4556098282</v>
      </c>
      <c r="D350">
        <v>5125715.8162939064</v>
      </c>
      <c r="E350">
        <v>4504.5045045050001</v>
      </c>
      <c r="F350">
        <v>54054.054054054999</v>
      </c>
      <c r="H350">
        <v>1</v>
      </c>
      <c r="K350">
        <v>2</v>
      </c>
      <c r="L350">
        <v>2</v>
      </c>
      <c r="M350">
        <v>1097297.2972972961</v>
      </c>
      <c r="N350">
        <v>2918918.9189189179</v>
      </c>
      <c r="O350">
        <v>2090180.1801801799</v>
      </c>
      <c r="P350">
        <v>1989954.954954955</v>
      </c>
      <c r="Q350">
        <v>860360.36036036001</v>
      </c>
      <c r="R350">
        <v>800810.81081081205</v>
      </c>
      <c r="S350">
        <v>1885</v>
      </c>
      <c r="T350">
        <v>1812</v>
      </c>
    </row>
    <row r="351" spans="1:20" x14ac:dyDescent="0.35">
      <c r="A351" s="7" t="s">
        <v>450</v>
      </c>
      <c r="B351" s="12" t="s">
        <v>83</v>
      </c>
      <c r="C351">
        <v>229142774.70425102</v>
      </c>
      <c r="D351">
        <v>239594674.19239917</v>
      </c>
      <c r="E351">
        <v>1515146.8468468459</v>
      </c>
      <c r="F351">
        <v>91958890.090090096</v>
      </c>
      <c r="G351">
        <v>34</v>
      </c>
      <c r="H351">
        <v>35</v>
      </c>
      <c r="I351">
        <v>1</v>
      </c>
      <c r="K351">
        <v>45</v>
      </c>
      <c r="L351">
        <v>59</v>
      </c>
      <c r="M351">
        <v>19768018.018018007</v>
      </c>
      <c r="N351">
        <v>26344594.594594602</v>
      </c>
      <c r="O351">
        <v>44122801.801801801</v>
      </c>
      <c r="P351">
        <v>47419441.441441439</v>
      </c>
      <c r="Q351">
        <v>20456396.396396391</v>
      </c>
      <c r="R351">
        <v>23988648.648648638</v>
      </c>
      <c r="S351">
        <v>31551</v>
      </c>
      <c r="T351">
        <v>31827</v>
      </c>
    </row>
    <row r="352" spans="1:20" x14ac:dyDescent="0.35">
      <c r="A352" s="7" t="s">
        <v>451</v>
      </c>
      <c r="B352" s="12" t="s">
        <v>70</v>
      </c>
      <c r="C352">
        <v>16214895.455880368</v>
      </c>
      <c r="D352">
        <v>14130118.622237042</v>
      </c>
      <c r="E352">
        <v>900.900900901</v>
      </c>
      <c r="H352">
        <v>1</v>
      </c>
      <c r="L352">
        <v>1</v>
      </c>
      <c r="M352">
        <v>900.900900901</v>
      </c>
      <c r="O352">
        <v>8937072.0720720701</v>
      </c>
      <c r="P352">
        <v>7807153.1531531541</v>
      </c>
      <c r="Q352">
        <v>200360.360360361</v>
      </c>
      <c r="R352">
        <v>82432.432432432004</v>
      </c>
      <c r="S352">
        <v>3005</v>
      </c>
      <c r="T352">
        <v>2930</v>
      </c>
    </row>
    <row r="353" spans="1:20" x14ac:dyDescent="0.35">
      <c r="A353" s="7" t="s">
        <v>452</v>
      </c>
      <c r="B353" s="12" t="s">
        <v>167</v>
      </c>
      <c r="C353">
        <v>17551490.814012218</v>
      </c>
      <c r="D353">
        <v>17402422.984905619</v>
      </c>
      <c r="G353">
        <v>1</v>
      </c>
      <c r="K353">
        <v>1</v>
      </c>
      <c r="M353">
        <v>480720.72072072403</v>
      </c>
      <c r="N353">
        <v>225225.225225225</v>
      </c>
      <c r="O353">
        <v>2873288.2882882892</v>
      </c>
      <c r="P353">
        <v>3428981.981981982</v>
      </c>
      <c r="Q353">
        <v>1667207.2072072099</v>
      </c>
      <c r="R353">
        <v>977927.92792792805</v>
      </c>
      <c r="S353">
        <v>2774</v>
      </c>
      <c r="T353">
        <v>2942</v>
      </c>
    </row>
    <row r="354" spans="1:20" x14ac:dyDescent="0.35">
      <c r="A354" s="7" t="s">
        <v>453</v>
      </c>
      <c r="B354" s="12" t="s">
        <v>121</v>
      </c>
      <c r="C354">
        <v>1150123.6382656361</v>
      </c>
      <c r="D354">
        <v>901807.89416105102</v>
      </c>
      <c r="G354">
        <v>1</v>
      </c>
      <c r="K354">
        <v>1</v>
      </c>
      <c r="O354">
        <v>97927.927927928002</v>
      </c>
      <c r="P354">
        <v>77342.342342342003</v>
      </c>
      <c r="S354">
        <v>143</v>
      </c>
      <c r="T354">
        <v>148</v>
      </c>
    </row>
    <row r="355" spans="1:20" x14ac:dyDescent="0.35">
      <c r="A355" s="7" t="s">
        <v>454</v>
      </c>
      <c r="B355" s="12" t="s">
        <v>224</v>
      </c>
      <c r="C355">
        <v>7850623.79065088</v>
      </c>
      <c r="D355">
        <v>5314264.7549264366</v>
      </c>
      <c r="E355">
        <v>41891891.891891889</v>
      </c>
      <c r="M355">
        <v>1036486.486486486</v>
      </c>
      <c r="N355">
        <v>371171.17117117101</v>
      </c>
      <c r="O355">
        <v>1299009.009009009</v>
      </c>
      <c r="P355">
        <v>1372333.333333333</v>
      </c>
      <c r="R355">
        <v>45045.045045045001</v>
      </c>
      <c r="S355">
        <v>1332</v>
      </c>
      <c r="T355">
        <v>1318</v>
      </c>
    </row>
    <row r="356" spans="1:20" x14ac:dyDescent="0.35">
      <c r="A356" s="7" t="s">
        <v>455</v>
      </c>
      <c r="B356" s="12" t="s">
        <v>94</v>
      </c>
      <c r="C356">
        <v>7996971.801555451</v>
      </c>
      <c r="D356">
        <v>10083396.351493509</v>
      </c>
      <c r="E356">
        <v>900.900900901</v>
      </c>
      <c r="F356">
        <v>94594.594594595997</v>
      </c>
      <c r="G356">
        <v>1</v>
      </c>
      <c r="H356">
        <v>1</v>
      </c>
      <c r="K356">
        <v>1</v>
      </c>
      <c r="L356">
        <v>2</v>
      </c>
      <c r="M356">
        <v>901801.80180180201</v>
      </c>
      <c r="N356">
        <v>11950450.450450448</v>
      </c>
      <c r="O356">
        <v>1831441.4414414419</v>
      </c>
      <c r="P356">
        <v>3084333.333333333</v>
      </c>
      <c r="Q356">
        <v>1039189.189189189</v>
      </c>
      <c r="R356">
        <v>11810000</v>
      </c>
      <c r="S356">
        <v>1840</v>
      </c>
      <c r="T356">
        <v>1831</v>
      </c>
    </row>
    <row r="357" spans="1:20" x14ac:dyDescent="0.35">
      <c r="A357" s="7" t="s">
        <v>456</v>
      </c>
      <c r="B357" s="12" t="s">
        <v>60</v>
      </c>
      <c r="C357">
        <v>1746890.9468714329</v>
      </c>
      <c r="D357">
        <v>1213772.69958277</v>
      </c>
      <c r="E357">
        <v>17117.117117116999</v>
      </c>
      <c r="F357">
        <v>40540.540540540998</v>
      </c>
      <c r="G357">
        <v>1</v>
      </c>
      <c r="H357">
        <v>1</v>
      </c>
      <c r="K357">
        <v>1</v>
      </c>
      <c r="L357">
        <v>1</v>
      </c>
      <c r="M357">
        <v>647747.74774774804</v>
      </c>
      <c r="N357">
        <v>40540.540540540998</v>
      </c>
      <c r="O357">
        <v>927882.88288288203</v>
      </c>
      <c r="P357">
        <v>475405.40540540603</v>
      </c>
      <c r="Q357">
        <v>426126.12612612598</v>
      </c>
      <c r="S357">
        <v>628</v>
      </c>
      <c r="T357">
        <v>514</v>
      </c>
    </row>
    <row r="358" spans="1:20" x14ac:dyDescent="0.35">
      <c r="A358" s="7" t="s">
        <v>457</v>
      </c>
      <c r="B358" s="12" t="s">
        <v>214</v>
      </c>
      <c r="C358">
        <v>22729174.079225756</v>
      </c>
      <c r="D358">
        <v>23609883.993832447</v>
      </c>
      <c r="F358">
        <v>162162.16216216201</v>
      </c>
      <c r="G358">
        <v>1</v>
      </c>
      <c r="H358">
        <v>3</v>
      </c>
      <c r="K358">
        <v>1</v>
      </c>
      <c r="L358">
        <v>5</v>
      </c>
      <c r="M358">
        <v>450450.45045045001</v>
      </c>
      <c r="N358">
        <v>162162.16216216201</v>
      </c>
      <c r="O358">
        <v>11856756.756756756</v>
      </c>
      <c r="P358">
        <v>11631891.891891891</v>
      </c>
      <c r="Q358">
        <v>432432.43243243202</v>
      </c>
      <c r="R358">
        <v>890990.99099099101</v>
      </c>
      <c r="S358">
        <v>3004</v>
      </c>
      <c r="T358">
        <v>3006</v>
      </c>
    </row>
    <row r="359" spans="1:20" x14ac:dyDescent="0.35">
      <c r="A359" s="7" t="s">
        <v>458</v>
      </c>
      <c r="B359" s="12" t="s">
        <v>459</v>
      </c>
      <c r="C359">
        <v>96171071.43812637</v>
      </c>
      <c r="D359">
        <v>95496166.669484317</v>
      </c>
      <c r="E359">
        <v>668288.28828829096</v>
      </c>
      <c r="F359">
        <v>702702.70270270796</v>
      </c>
      <c r="G359">
        <v>23</v>
      </c>
      <c r="H359">
        <v>20</v>
      </c>
      <c r="K359">
        <v>39</v>
      </c>
      <c r="L359">
        <v>40</v>
      </c>
      <c r="M359">
        <v>16722477.477477476</v>
      </c>
      <c r="N359">
        <v>8989279.2792792767</v>
      </c>
      <c r="O359">
        <v>32731018.018018018</v>
      </c>
      <c r="P359">
        <v>36530612.612612613</v>
      </c>
      <c r="Q359">
        <v>12684729.729729732</v>
      </c>
      <c r="R359">
        <v>11715675.675675681</v>
      </c>
      <c r="S359">
        <v>24859</v>
      </c>
      <c r="T359">
        <v>25427</v>
      </c>
    </row>
    <row r="360" spans="1:20" x14ac:dyDescent="0.35">
      <c r="A360" s="7" t="s">
        <v>460</v>
      </c>
      <c r="B360" s="12" t="s">
        <v>459</v>
      </c>
      <c r="C360">
        <v>163325884.4045983</v>
      </c>
      <c r="D360">
        <v>167502498.93338436</v>
      </c>
      <c r="E360">
        <v>996576.57657657994</v>
      </c>
      <c r="F360">
        <v>1306306.306306313</v>
      </c>
      <c r="G360">
        <v>35</v>
      </c>
      <c r="H360">
        <v>24</v>
      </c>
      <c r="K360">
        <v>56</v>
      </c>
      <c r="L360">
        <v>53</v>
      </c>
      <c r="M360">
        <v>12697972.972972976</v>
      </c>
      <c r="N360">
        <v>9545495.4954954945</v>
      </c>
      <c r="O360">
        <v>45306711.711711712</v>
      </c>
      <c r="P360">
        <v>56489819.819819823</v>
      </c>
      <c r="Q360">
        <v>10158333.333333334</v>
      </c>
      <c r="R360">
        <v>9968738.7387387361</v>
      </c>
      <c r="S360">
        <v>31448</v>
      </c>
      <c r="T360">
        <v>31030</v>
      </c>
    </row>
    <row r="361" spans="1:20" x14ac:dyDescent="0.35">
      <c r="A361" s="7" t="s">
        <v>461</v>
      </c>
      <c r="B361" s="12" t="s">
        <v>459</v>
      </c>
      <c r="C361">
        <v>145905661.9965961</v>
      </c>
      <c r="D361">
        <v>150403422.31597072</v>
      </c>
      <c r="E361">
        <v>195945.94594594801</v>
      </c>
      <c r="F361">
        <v>1306306.3063063109</v>
      </c>
      <c r="G361">
        <v>26</v>
      </c>
      <c r="H361">
        <v>20</v>
      </c>
      <c r="I361">
        <v>2</v>
      </c>
      <c r="K361">
        <v>45</v>
      </c>
      <c r="L361">
        <v>56</v>
      </c>
      <c r="M361">
        <v>4117117.117117119</v>
      </c>
      <c r="N361">
        <v>5373693.6936936937</v>
      </c>
      <c r="O361">
        <v>37450130.630630635</v>
      </c>
      <c r="P361">
        <v>44820207.207207203</v>
      </c>
      <c r="Q361">
        <v>6552792.7927927952</v>
      </c>
      <c r="R361">
        <v>8529549.5495495442</v>
      </c>
      <c r="S361">
        <v>23626</v>
      </c>
      <c r="T361">
        <v>23275</v>
      </c>
    </row>
    <row r="362" spans="1:20" x14ac:dyDescent="0.35">
      <c r="A362" s="7" t="s">
        <v>462</v>
      </c>
      <c r="B362" s="12" t="s">
        <v>459</v>
      </c>
      <c r="C362">
        <v>107483015.68955106</v>
      </c>
      <c r="D362">
        <v>105743404.04888077</v>
      </c>
      <c r="E362">
        <v>60720.720720723002</v>
      </c>
      <c r="F362">
        <v>162162.16216216501</v>
      </c>
      <c r="G362">
        <v>23</v>
      </c>
      <c r="H362">
        <v>22</v>
      </c>
      <c r="K362">
        <v>36</v>
      </c>
      <c r="L362">
        <v>47</v>
      </c>
      <c r="M362">
        <v>6221081.0810810775</v>
      </c>
      <c r="N362">
        <v>3387387.3873873828</v>
      </c>
      <c r="O362">
        <v>23746836.036036037</v>
      </c>
      <c r="P362">
        <v>26708108.108108111</v>
      </c>
      <c r="Q362">
        <v>7474954.9549549529</v>
      </c>
      <c r="R362">
        <v>3510900.9009008971</v>
      </c>
      <c r="S362">
        <v>19017</v>
      </c>
      <c r="T362">
        <v>19160</v>
      </c>
    </row>
    <row r="363" spans="1:20" x14ac:dyDescent="0.35">
      <c r="A363" s="7" t="s">
        <v>463</v>
      </c>
      <c r="B363" s="12" t="s">
        <v>459</v>
      </c>
      <c r="C363">
        <v>102339626.79850934</v>
      </c>
      <c r="D363">
        <v>108998797.77251263</v>
      </c>
      <c r="E363">
        <v>160360.36036036201</v>
      </c>
      <c r="F363">
        <v>1099099.0990991071</v>
      </c>
      <c r="G363">
        <v>22</v>
      </c>
      <c r="H363">
        <v>25</v>
      </c>
      <c r="K363">
        <v>31</v>
      </c>
      <c r="L363">
        <v>53</v>
      </c>
      <c r="M363">
        <v>8083873.8738738727</v>
      </c>
      <c r="N363">
        <v>9612162.1621621549</v>
      </c>
      <c r="O363">
        <v>38384513.513513513</v>
      </c>
      <c r="P363">
        <v>44367468.468468472</v>
      </c>
      <c r="Q363">
        <v>6433063.0630630618</v>
      </c>
      <c r="R363">
        <v>6861621.6216216134</v>
      </c>
      <c r="S363">
        <v>26461</v>
      </c>
      <c r="T363">
        <v>26372</v>
      </c>
    </row>
    <row r="364" spans="1:20" x14ac:dyDescent="0.35">
      <c r="A364" s="7" t="s">
        <v>464</v>
      </c>
      <c r="B364" s="12" t="s">
        <v>459</v>
      </c>
      <c r="C364">
        <v>115886447.46777873</v>
      </c>
      <c r="D364">
        <v>124769666.62412123</v>
      </c>
      <c r="E364">
        <v>533771651.35135138</v>
      </c>
      <c r="F364">
        <v>91863676.576576576</v>
      </c>
      <c r="G364">
        <v>34</v>
      </c>
      <c r="H364">
        <v>22</v>
      </c>
      <c r="K364">
        <v>54</v>
      </c>
      <c r="L364">
        <v>40</v>
      </c>
      <c r="M364">
        <v>15832882.882882882</v>
      </c>
      <c r="N364">
        <v>9519819.8198198006</v>
      </c>
      <c r="O364">
        <v>50373360.360360362</v>
      </c>
      <c r="P364">
        <v>53937702.702702701</v>
      </c>
      <c r="Q364">
        <v>15896036.036036037</v>
      </c>
      <c r="R364">
        <v>12264054.054054035</v>
      </c>
      <c r="S364">
        <v>28220</v>
      </c>
      <c r="T364">
        <v>28701</v>
      </c>
    </row>
    <row r="365" spans="1:20" x14ac:dyDescent="0.35">
      <c r="A365" s="7" t="s">
        <v>465</v>
      </c>
      <c r="B365" s="12" t="s">
        <v>54</v>
      </c>
      <c r="C365">
        <v>8816399.2267156187</v>
      </c>
      <c r="D365">
        <v>8295518.9838987458</v>
      </c>
      <c r="E365">
        <v>2702.7027027029999</v>
      </c>
      <c r="F365">
        <v>54054.054054054002</v>
      </c>
      <c r="H365">
        <v>2</v>
      </c>
      <c r="L365">
        <v>2</v>
      </c>
      <c r="M365">
        <v>345945.94594594598</v>
      </c>
      <c r="N365">
        <v>606126.12612612604</v>
      </c>
      <c r="O365">
        <v>1717972.9729729721</v>
      </c>
      <c r="P365">
        <v>1643558.5585585581</v>
      </c>
      <c r="Q365">
        <v>838198.19819819694</v>
      </c>
      <c r="R365">
        <v>480900.900900901</v>
      </c>
      <c r="S365">
        <v>1254</v>
      </c>
      <c r="T365">
        <v>1226</v>
      </c>
    </row>
    <row r="366" spans="1:20" x14ac:dyDescent="0.35">
      <c r="A366" s="7" t="s">
        <v>466</v>
      </c>
      <c r="B366" s="12" t="s">
        <v>87</v>
      </c>
      <c r="C366">
        <v>389896.21433686902</v>
      </c>
      <c r="D366">
        <v>295349.82306485699</v>
      </c>
      <c r="O366">
        <v>118018.018018018</v>
      </c>
      <c r="P366">
        <v>22747.747747747999</v>
      </c>
      <c r="S366">
        <v>100</v>
      </c>
      <c r="T366">
        <v>93</v>
      </c>
    </row>
    <row r="367" spans="1:20" x14ac:dyDescent="0.35">
      <c r="A367" s="7" t="s">
        <v>467</v>
      </c>
      <c r="B367" s="12" t="s">
        <v>143</v>
      </c>
      <c r="C367">
        <v>48631475.93190676</v>
      </c>
      <c r="D367">
        <v>39987927.538826384</v>
      </c>
      <c r="E367">
        <v>6306.3063063059999</v>
      </c>
      <c r="F367">
        <v>40540.540540540998</v>
      </c>
      <c r="G367">
        <v>9</v>
      </c>
      <c r="H367">
        <v>6</v>
      </c>
      <c r="K367">
        <v>9</v>
      </c>
      <c r="L367">
        <v>22</v>
      </c>
      <c r="M367">
        <v>2709009.0090090092</v>
      </c>
      <c r="N367">
        <v>4995495.4954954963</v>
      </c>
      <c r="O367">
        <v>7745693.6936936928</v>
      </c>
      <c r="P367">
        <v>5866572.9729729723</v>
      </c>
      <c r="Q367">
        <v>2082882.8828828831</v>
      </c>
      <c r="R367">
        <v>1542342.342342342</v>
      </c>
      <c r="S367">
        <v>5068</v>
      </c>
      <c r="T367">
        <v>4919</v>
      </c>
    </row>
    <row r="368" spans="1:20" x14ac:dyDescent="0.35">
      <c r="A368" s="7" t="s">
        <v>468</v>
      </c>
      <c r="B368" s="12" t="s">
        <v>80</v>
      </c>
      <c r="C368">
        <v>35394435.645968191</v>
      </c>
      <c r="D368">
        <v>33262815.23986068</v>
      </c>
      <c r="E368">
        <v>1801.801801802</v>
      </c>
      <c r="G368">
        <v>3</v>
      </c>
      <c r="K368">
        <v>3</v>
      </c>
      <c r="M368">
        <v>1381981.981981982</v>
      </c>
      <c r="N368">
        <v>130630.630630631</v>
      </c>
      <c r="O368">
        <v>13575700.9009009</v>
      </c>
      <c r="P368">
        <v>12989333.333333332</v>
      </c>
      <c r="Q368">
        <v>2037927.927927928</v>
      </c>
      <c r="R368">
        <v>684684.68468468601</v>
      </c>
      <c r="S368">
        <v>5110</v>
      </c>
      <c r="T368">
        <v>5439</v>
      </c>
    </row>
    <row r="369" spans="1:20" x14ac:dyDescent="0.35">
      <c r="A369" s="7" t="s">
        <v>469</v>
      </c>
      <c r="B369" s="12" t="s">
        <v>470</v>
      </c>
      <c r="C369">
        <v>40935369.316279441</v>
      </c>
      <c r="D369">
        <v>41996404.761180639</v>
      </c>
      <c r="E369">
        <v>13243.243243243</v>
      </c>
      <c r="F369">
        <v>252252.25225225301</v>
      </c>
      <c r="G369">
        <v>6</v>
      </c>
      <c r="H369">
        <v>5</v>
      </c>
      <c r="K369">
        <v>7</v>
      </c>
      <c r="L369">
        <v>6</v>
      </c>
      <c r="M369">
        <v>1479009.009009009</v>
      </c>
      <c r="N369">
        <v>2143243.2432432431</v>
      </c>
      <c r="O369">
        <v>12608225.225225223</v>
      </c>
      <c r="P369">
        <v>13404225.225225223</v>
      </c>
      <c r="Q369">
        <v>1650180.180180179</v>
      </c>
      <c r="R369">
        <v>1663063.0630630611</v>
      </c>
      <c r="S369">
        <v>5473</v>
      </c>
      <c r="T369">
        <v>5566</v>
      </c>
    </row>
    <row r="370" spans="1:20" x14ac:dyDescent="0.35">
      <c r="A370" s="7" t="s">
        <v>471</v>
      </c>
      <c r="B370" s="12" t="s">
        <v>470</v>
      </c>
      <c r="C370">
        <v>3553025.7251074528</v>
      </c>
      <c r="D370">
        <v>4171071.1596699762</v>
      </c>
      <c r="O370">
        <v>236036.03603603601</v>
      </c>
      <c r="P370">
        <v>523333.33333333302</v>
      </c>
      <c r="S370">
        <v>604</v>
      </c>
      <c r="T370">
        <v>621</v>
      </c>
    </row>
    <row r="371" spans="1:20" x14ac:dyDescent="0.35">
      <c r="A371" s="7" t="s">
        <v>472</v>
      </c>
      <c r="B371" s="12" t="s">
        <v>470</v>
      </c>
      <c r="C371">
        <v>297029.64741507103</v>
      </c>
      <c r="D371">
        <v>599270.78377328406</v>
      </c>
      <c r="E371">
        <v>19457769.369369369</v>
      </c>
      <c r="F371">
        <v>20075269.369369369</v>
      </c>
      <c r="M371">
        <v>8780339.6396396402</v>
      </c>
      <c r="N371">
        <v>76576.576576577005</v>
      </c>
      <c r="O371">
        <v>48423.423423423003</v>
      </c>
      <c r="P371">
        <v>225270.27027027</v>
      </c>
      <c r="S371">
        <v>359</v>
      </c>
      <c r="T371">
        <v>461</v>
      </c>
    </row>
    <row r="372" spans="1:20" x14ac:dyDescent="0.35">
      <c r="A372" s="7" t="s">
        <v>473</v>
      </c>
      <c r="B372" s="12" t="s">
        <v>470</v>
      </c>
      <c r="C372">
        <v>13851217.786194492</v>
      </c>
      <c r="D372">
        <v>15442363.461219233</v>
      </c>
      <c r="E372">
        <v>7207.2072072069996</v>
      </c>
      <c r="H372">
        <v>4</v>
      </c>
      <c r="K372">
        <v>1</v>
      </c>
      <c r="L372">
        <v>6</v>
      </c>
      <c r="M372">
        <v>7207.2072072069996</v>
      </c>
      <c r="O372">
        <v>1482513.5135135129</v>
      </c>
      <c r="P372">
        <v>2912342.3423423432</v>
      </c>
      <c r="Q372">
        <v>791891.89189189195</v>
      </c>
      <c r="R372">
        <v>3801711.7117117122</v>
      </c>
      <c r="S372">
        <v>2098</v>
      </c>
      <c r="T372">
        <v>2249</v>
      </c>
    </row>
    <row r="373" spans="1:20" x14ac:dyDescent="0.35">
      <c r="A373" s="7" t="s">
        <v>474</v>
      </c>
      <c r="B373" s="12" t="s">
        <v>470</v>
      </c>
      <c r="C373">
        <v>20159805.639147792</v>
      </c>
      <c r="D373">
        <v>22178688.220817786</v>
      </c>
      <c r="E373">
        <v>10450.450450451001</v>
      </c>
      <c r="F373">
        <v>148648.64864865001</v>
      </c>
      <c r="G373">
        <v>3</v>
      </c>
      <c r="H373">
        <v>12</v>
      </c>
      <c r="K373">
        <v>5</v>
      </c>
      <c r="L373">
        <v>13</v>
      </c>
      <c r="M373">
        <v>911351.35135135194</v>
      </c>
      <c r="N373">
        <v>148648.64864865001</v>
      </c>
      <c r="O373">
        <v>4575090.0900900913</v>
      </c>
      <c r="P373">
        <v>5060027.0270270277</v>
      </c>
      <c r="Q373">
        <v>534414.41441441502</v>
      </c>
      <c r="R373">
        <v>349729.72972973</v>
      </c>
      <c r="S373">
        <v>2410</v>
      </c>
      <c r="T373">
        <v>2805</v>
      </c>
    </row>
    <row r="374" spans="1:20" x14ac:dyDescent="0.35">
      <c r="A374" s="7" t="s">
        <v>475</v>
      </c>
      <c r="B374" s="12" t="s">
        <v>470</v>
      </c>
      <c r="C374">
        <v>7720379.8230983997</v>
      </c>
      <c r="D374">
        <v>7936254.5628802832</v>
      </c>
      <c r="E374">
        <v>5405.4054054050002</v>
      </c>
      <c r="G374">
        <v>1</v>
      </c>
      <c r="H374">
        <v>1</v>
      </c>
      <c r="K374">
        <v>1</v>
      </c>
      <c r="L374">
        <v>1</v>
      </c>
      <c r="M374">
        <v>455855.85585585498</v>
      </c>
      <c r="N374">
        <v>900900.90090090001</v>
      </c>
      <c r="O374">
        <v>1627387.387387387</v>
      </c>
      <c r="P374">
        <v>1603117.1171171169</v>
      </c>
      <c r="Q374">
        <v>542342.34234234202</v>
      </c>
      <c r="R374">
        <v>421171.171171172</v>
      </c>
      <c r="S374">
        <v>1382</v>
      </c>
      <c r="T374">
        <v>1436</v>
      </c>
    </row>
    <row r="375" spans="1:20" x14ac:dyDescent="0.35">
      <c r="A375" s="7" t="s">
        <v>476</v>
      </c>
      <c r="B375" s="12" t="s">
        <v>470</v>
      </c>
      <c r="C375">
        <v>72043062.249455854</v>
      </c>
      <c r="D375">
        <v>82424570.45927535</v>
      </c>
      <c r="E375">
        <v>803603.60360360402</v>
      </c>
      <c r="F375">
        <v>418918.918918924</v>
      </c>
      <c r="G375">
        <v>8</v>
      </c>
      <c r="H375">
        <v>43</v>
      </c>
      <c r="K375">
        <v>18</v>
      </c>
      <c r="L375">
        <v>60</v>
      </c>
      <c r="M375">
        <v>13188018.018018015</v>
      </c>
      <c r="N375">
        <v>8065315.3153153183</v>
      </c>
      <c r="O375">
        <v>17605727.927927926</v>
      </c>
      <c r="P375">
        <v>21972655.855855856</v>
      </c>
      <c r="Q375">
        <v>14848198.198198199</v>
      </c>
      <c r="R375">
        <v>9068198.1981981993</v>
      </c>
      <c r="S375">
        <v>15972</v>
      </c>
      <c r="T375">
        <v>16560</v>
      </c>
    </row>
    <row r="376" spans="1:20" x14ac:dyDescent="0.35">
      <c r="A376" s="7" t="s">
        <v>477</v>
      </c>
      <c r="B376" s="12" t="s">
        <v>260</v>
      </c>
      <c r="C376">
        <v>78867676.625840053</v>
      </c>
      <c r="D376">
        <v>89313453.884342581</v>
      </c>
      <c r="E376">
        <v>75879132.432432428</v>
      </c>
      <c r="F376">
        <v>40298248.648648649</v>
      </c>
      <c r="G376">
        <v>10</v>
      </c>
      <c r="H376">
        <v>11</v>
      </c>
      <c r="K376">
        <v>16</v>
      </c>
      <c r="L376">
        <v>12</v>
      </c>
      <c r="M376">
        <v>12553243.243243242</v>
      </c>
      <c r="N376">
        <v>17603603.603603605</v>
      </c>
      <c r="O376">
        <v>19654009.009009007</v>
      </c>
      <c r="P376">
        <v>22100954.954954956</v>
      </c>
      <c r="Q376">
        <v>11532432.432432434</v>
      </c>
      <c r="R376">
        <v>9170900.9009009004</v>
      </c>
      <c r="S376">
        <v>11313</v>
      </c>
      <c r="T376">
        <v>11475</v>
      </c>
    </row>
    <row r="377" spans="1:20" x14ac:dyDescent="0.35">
      <c r="A377" s="7" t="s">
        <v>478</v>
      </c>
      <c r="B377" s="12" t="s">
        <v>479</v>
      </c>
      <c r="C377">
        <v>6664770.3102113111</v>
      </c>
      <c r="D377">
        <v>7261314.1051238617</v>
      </c>
      <c r="E377">
        <v>405405.40540540498</v>
      </c>
      <c r="G377">
        <v>1</v>
      </c>
      <c r="H377">
        <v>1</v>
      </c>
      <c r="K377">
        <v>2</v>
      </c>
      <c r="L377">
        <v>1</v>
      </c>
      <c r="M377">
        <v>8087387.3873873875</v>
      </c>
      <c r="O377">
        <v>1648873.8738738741</v>
      </c>
      <c r="P377">
        <v>1559729.7297297299</v>
      </c>
      <c r="Q377">
        <v>8147747.7477477482</v>
      </c>
      <c r="R377">
        <v>14414.414414413999</v>
      </c>
      <c r="S377">
        <v>895</v>
      </c>
      <c r="T377">
        <v>802</v>
      </c>
    </row>
    <row r="378" spans="1:20" x14ac:dyDescent="0.35">
      <c r="A378" s="7" t="s">
        <v>480</v>
      </c>
      <c r="B378" s="12" t="s">
        <v>123</v>
      </c>
      <c r="C378">
        <v>46856551.038305253</v>
      </c>
      <c r="D378">
        <v>44865638.36945013</v>
      </c>
      <c r="E378">
        <v>197747.74774774801</v>
      </c>
      <c r="F378">
        <v>54054.054054054999</v>
      </c>
      <c r="G378">
        <v>4</v>
      </c>
      <c r="H378">
        <v>9</v>
      </c>
      <c r="K378">
        <v>5</v>
      </c>
      <c r="L378">
        <v>13</v>
      </c>
      <c r="M378">
        <v>4839009.0090090074</v>
      </c>
      <c r="N378">
        <v>1262162.1621621619</v>
      </c>
      <c r="O378">
        <v>16806081.081081081</v>
      </c>
      <c r="P378">
        <v>16255630.630630629</v>
      </c>
      <c r="Q378">
        <v>3374504.5045045041</v>
      </c>
      <c r="R378">
        <v>3180000.0000000009</v>
      </c>
      <c r="S378">
        <v>5571</v>
      </c>
      <c r="T378">
        <v>5437</v>
      </c>
    </row>
    <row r="379" spans="1:20" x14ac:dyDescent="0.35">
      <c r="A379" s="7" t="s">
        <v>481</v>
      </c>
      <c r="B379" s="12" t="s">
        <v>470</v>
      </c>
      <c r="C379">
        <v>3955039.004935123</v>
      </c>
      <c r="D379">
        <v>3701769.138012595</v>
      </c>
      <c r="E379">
        <v>3153.1531531529999</v>
      </c>
      <c r="G379">
        <v>1</v>
      </c>
      <c r="K379">
        <v>1</v>
      </c>
      <c r="L379">
        <v>1</v>
      </c>
      <c r="M379">
        <v>3153.1531531529999</v>
      </c>
      <c r="N379">
        <v>450450.45045045001</v>
      </c>
      <c r="O379">
        <v>902927.92792792805</v>
      </c>
      <c r="P379">
        <v>998648.64864864899</v>
      </c>
      <c r="Q379">
        <v>132882.88288288299</v>
      </c>
      <c r="R379">
        <v>137207.20720720699</v>
      </c>
      <c r="S379">
        <v>604</v>
      </c>
      <c r="T379">
        <v>599</v>
      </c>
    </row>
    <row r="380" spans="1:20" x14ac:dyDescent="0.35">
      <c r="A380" s="7" t="s">
        <v>482</v>
      </c>
      <c r="B380" s="12" t="s">
        <v>167</v>
      </c>
      <c r="C380">
        <v>38341951.279139861</v>
      </c>
      <c r="D380">
        <v>41505402.725812197</v>
      </c>
      <c r="E380">
        <v>120720.720720721</v>
      </c>
      <c r="F380">
        <v>279279.27927928098</v>
      </c>
      <c r="G380">
        <v>10</v>
      </c>
      <c r="H380">
        <v>8</v>
      </c>
      <c r="K380">
        <v>14</v>
      </c>
      <c r="L380">
        <v>75</v>
      </c>
      <c r="M380">
        <v>3869189.1891891952</v>
      </c>
      <c r="N380">
        <v>2016216.216216218</v>
      </c>
      <c r="O380">
        <v>14063016.216216216</v>
      </c>
      <c r="P380">
        <v>18250585.585585583</v>
      </c>
      <c r="Q380">
        <v>4924684.684684691</v>
      </c>
      <c r="R380">
        <v>2226216.2162162182</v>
      </c>
      <c r="S380">
        <v>9018</v>
      </c>
      <c r="T380">
        <v>8445</v>
      </c>
    </row>
    <row r="381" spans="1:20" x14ac:dyDescent="0.35">
      <c r="A381" s="7" t="s">
        <v>483</v>
      </c>
      <c r="B381" s="12" t="s">
        <v>167</v>
      </c>
      <c r="C381">
        <v>39908244.955145597</v>
      </c>
      <c r="D381">
        <v>44210461.822110757</v>
      </c>
      <c r="E381">
        <v>27317002.702702705</v>
      </c>
      <c r="F381">
        <v>1069899.099099102</v>
      </c>
      <c r="G381">
        <v>22</v>
      </c>
      <c r="H381">
        <v>14</v>
      </c>
      <c r="K381">
        <v>34</v>
      </c>
      <c r="L381">
        <v>59</v>
      </c>
      <c r="M381">
        <v>4641891.8918918902</v>
      </c>
      <c r="N381">
        <v>4764864.8648648644</v>
      </c>
      <c r="O381">
        <v>16077522.522522522</v>
      </c>
      <c r="P381">
        <v>15629189.189189188</v>
      </c>
      <c r="Q381">
        <v>7437207.2072072057</v>
      </c>
      <c r="R381">
        <v>4950630.6306306273</v>
      </c>
      <c r="S381">
        <v>9303</v>
      </c>
      <c r="T381">
        <v>9399</v>
      </c>
    </row>
    <row r="382" spans="1:20" x14ac:dyDescent="0.35">
      <c r="A382" s="7" t="s">
        <v>484</v>
      </c>
      <c r="B382" s="12" t="s">
        <v>50</v>
      </c>
      <c r="C382">
        <v>27572208.143556911</v>
      </c>
      <c r="D382">
        <v>27607046.636950854</v>
      </c>
      <c r="E382">
        <v>24860256.75675676</v>
      </c>
      <c r="F382">
        <v>34211959.459459461</v>
      </c>
      <c r="G382">
        <v>14</v>
      </c>
      <c r="H382">
        <v>7</v>
      </c>
      <c r="K382">
        <v>14</v>
      </c>
      <c r="L382">
        <v>8</v>
      </c>
      <c r="M382">
        <v>79025995.495495483</v>
      </c>
      <c r="N382">
        <v>1906216.216216217</v>
      </c>
      <c r="O382">
        <v>11848558.558558561</v>
      </c>
      <c r="P382">
        <v>12238315.315315315</v>
      </c>
      <c r="Q382">
        <v>4414594.594594595</v>
      </c>
      <c r="R382">
        <v>3342792.7927927929</v>
      </c>
      <c r="S382">
        <v>3528</v>
      </c>
      <c r="T382">
        <v>3819</v>
      </c>
    </row>
    <row r="383" spans="1:20" x14ac:dyDescent="0.35">
      <c r="A383" s="7" t="s">
        <v>485</v>
      </c>
      <c r="B383" s="12" t="s">
        <v>134</v>
      </c>
      <c r="C383">
        <v>39387983.780814432</v>
      </c>
      <c r="D383">
        <v>36599214.239146315</v>
      </c>
      <c r="E383">
        <v>139639.63963963999</v>
      </c>
      <c r="F383">
        <v>108108.10810811</v>
      </c>
      <c r="G383">
        <v>4</v>
      </c>
      <c r="H383">
        <v>5</v>
      </c>
      <c r="K383">
        <v>4</v>
      </c>
      <c r="L383">
        <v>7</v>
      </c>
      <c r="M383">
        <v>9148648.6486486476</v>
      </c>
      <c r="N383">
        <v>1819819.819819821</v>
      </c>
      <c r="O383">
        <v>6280405.405405405</v>
      </c>
      <c r="P383">
        <v>6534432.4324324317</v>
      </c>
      <c r="Q383">
        <v>2807117.1171171172</v>
      </c>
      <c r="R383">
        <v>2222882.8828828828</v>
      </c>
      <c r="S383">
        <v>4657</v>
      </c>
      <c r="T383">
        <v>4626</v>
      </c>
    </row>
    <row r="384" spans="1:20" x14ac:dyDescent="0.35">
      <c r="A384" s="7" t="s">
        <v>486</v>
      </c>
      <c r="B384" s="12" t="s">
        <v>76</v>
      </c>
      <c r="C384">
        <v>9753100.0253404323</v>
      </c>
      <c r="D384">
        <v>7644515.1224255105</v>
      </c>
      <c r="E384">
        <v>272072.07207207201</v>
      </c>
      <c r="F384">
        <v>270270.27027027</v>
      </c>
      <c r="G384">
        <v>2</v>
      </c>
      <c r="K384">
        <v>2</v>
      </c>
      <c r="M384">
        <v>1218018.0180180171</v>
      </c>
      <c r="N384">
        <v>1941441.441441441</v>
      </c>
      <c r="O384">
        <v>2973490.9909909908</v>
      </c>
      <c r="P384">
        <v>2347234.2342342339</v>
      </c>
      <c r="Q384">
        <v>1352522.522522524</v>
      </c>
      <c r="R384">
        <v>1512972.9729729739</v>
      </c>
      <c r="S384">
        <v>1491</v>
      </c>
      <c r="T384">
        <v>1434</v>
      </c>
    </row>
    <row r="385" spans="1:20" x14ac:dyDescent="0.35">
      <c r="A385" s="7" t="s">
        <v>487</v>
      </c>
      <c r="B385" s="12" t="s">
        <v>307</v>
      </c>
      <c r="C385">
        <v>57857393.51780919</v>
      </c>
      <c r="D385">
        <v>58160537.479516134</v>
      </c>
      <c r="E385">
        <v>19819.819819820001</v>
      </c>
      <c r="F385">
        <v>94594.594594595997</v>
      </c>
      <c r="G385">
        <v>6</v>
      </c>
      <c r="H385">
        <v>10</v>
      </c>
      <c r="K385">
        <v>8</v>
      </c>
      <c r="L385">
        <v>19</v>
      </c>
      <c r="M385">
        <v>5759999.9999999981</v>
      </c>
      <c r="N385">
        <v>5104594.594594596</v>
      </c>
      <c r="O385">
        <v>22746567.567567568</v>
      </c>
      <c r="P385">
        <v>24554504.504504506</v>
      </c>
      <c r="Q385">
        <v>7533243.2432432417</v>
      </c>
      <c r="R385">
        <v>5640450.4504504511</v>
      </c>
      <c r="S385">
        <v>11274</v>
      </c>
      <c r="T385">
        <v>11048</v>
      </c>
    </row>
    <row r="386" spans="1:20" x14ac:dyDescent="0.35">
      <c r="A386" s="7" t="s">
        <v>671</v>
      </c>
      <c r="B386" s="12" t="s">
        <v>181</v>
      </c>
      <c r="E386">
        <v>21621621.621621624</v>
      </c>
      <c r="M386">
        <v>631081.08108108095</v>
      </c>
      <c r="N386">
        <v>581981.98198198201</v>
      </c>
    </row>
    <row r="387" spans="1:20" x14ac:dyDescent="0.35">
      <c r="A387" s="7" t="s">
        <v>488</v>
      </c>
      <c r="B387" s="12" t="s">
        <v>315</v>
      </c>
      <c r="C387">
        <v>12719296.91296858</v>
      </c>
      <c r="D387">
        <v>11746480.70905306</v>
      </c>
      <c r="E387">
        <v>2702.7027027029999</v>
      </c>
      <c r="F387">
        <v>40540.540540540998</v>
      </c>
      <c r="H387">
        <v>1</v>
      </c>
      <c r="K387">
        <v>2</v>
      </c>
      <c r="L387">
        <v>3</v>
      </c>
      <c r="M387">
        <v>3075855.8558558561</v>
      </c>
      <c r="N387">
        <v>40540.540540540998</v>
      </c>
      <c r="O387">
        <v>5220000</v>
      </c>
      <c r="P387">
        <v>4544810.8108108109</v>
      </c>
      <c r="Q387">
        <v>4117387.3873873879</v>
      </c>
      <c r="R387">
        <v>953513.51351351396</v>
      </c>
      <c r="S387">
        <v>1673</v>
      </c>
      <c r="T387">
        <v>1707</v>
      </c>
    </row>
    <row r="388" spans="1:20" x14ac:dyDescent="0.35">
      <c r="A388" s="7" t="s">
        <v>489</v>
      </c>
      <c r="B388" s="12" t="s">
        <v>181</v>
      </c>
      <c r="C388">
        <v>32784657.255654179</v>
      </c>
      <c r="D388">
        <v>31268027.614549097</v>
      </c>
      <c r="E388">
        <v>11711.711711713</v>
      </c>
      <c r="F388">
        <v>81081.081081081997</v>
      </c>
      <c r="G388">
        <v>12</v>
      </c>
      <c r="H388">
        <v>13</v>
      </c>
      <c r="K388">
        <v>22</v>
      </c>
      <c r="L388">
        <v>25</v>
      </c>
      <c r="M388">
        <v>1393333.333333334</v>
      </c>
      <c r="N388">
        <v>2486486.4864864852</v>
      </c>
      <c r="O388">
        <v>8809729.7297297288</v>
      </c>
      <c r="P388">
        <v>9301639.6396396402</v>
      </c>
      <c r="Q388">
        <v>932252.25225225196</v>
      </c>
      <c r="R388">
        <v>3006396.3963963962</v>
      </c>
      <c r="S388">
        <v>6388</v>
      </c>
      <c r="T388">
        <v>6652</v>
      </c>
    </row>
    <row r="389" spans="1:20" x14ac:dyDescent="0.35">
      <c r="A389" s="7" t="s">
        <v>490</v>
      </c>
      <c r="B389" s="12" t="s">
        <v>220</v>
      </c>
      <c r="C389">
        <v>19377921.683254432</v>
      </c>
      <c r="D389">
        <v>17620712.490362797</v>
      </c>
      <c r="E389">
        <v>2702.7027027029999</v>
      </c>
      <c r="F389">
        <v>13513.513513514001</v>
      </c>
      <c r="G389">
        <v>6</v>
      </c>
      <c r="H389">
        <v>6</v>
      </c>
      <c r="K389">
        <v>6</v>
      </c>
      <c r="L389">
        <v>8</v>
      </c>
      <c r="M389">
        <v>68468.468468469</v>
      </c>
      <c r="N389">
        <v>35135.135135135999</v>
      </c>
      <c r="O389">
        <v>4494639.6396396393</v>
      </c>
      <c r="P389">
        <v>4026486.4864864862</v>
      </c>
      <c r="R389">
        <v>58558.558558559002</v>
      </c>
      <c r="S389">
        <v>4077</v>
      </c>
      <c r="T389">
        <v>3988</v>
      </c>
    </row>
    <row r="390" spans="1:20" x14ac:dyDescent="0.35">
      <c r="A390" s="7" t="s">
        <v>491</v>
      </c>
      <c r="B390" s="12" t="s">
        <v>220</v>
      </c>
      <c r="C390">
        <v>6929418.9519796604</v>
      </c>
      <c r="D390">
        <v>5536009.713803987</v>
      </c>
      <c r="E390">
        <v>110271327.92792794</v>
      </c>
      <c r="F390">
        <v>96409613.51351352</v>
      </c>
      <c r="G390">
        <v>3</v>
      </c>
      <c r="H390">
        <v>2</v>
      </c>
      <c r="K390">
        <v>5</v>
      </c>
      <c r="L390">
        <v>2</v>
      </c>
      <c r="M390">
        <v>5838738.7387387389</v>
      </c>
      <c r="N390">
        <v>617117.11711711797</v>
      </c>
      <c r="O390">
        <v>2431936.9369369368</v>
      </c>
      <c r="P390">
        <v>1738693.693693694</v>
      </c>
      <c r="Q390">
        <v>1630090.0900900899</v>
      </c>
      <c r="R390">
        <v>760540.54054054001</v>
      </c>
      <c r="S390">
        <v>1257</v>
      </c>
      <c r="T390">
        <v>1164</v>
      </c>
    </row>
    <row r="391" spans="1:20" x14ac:dyDescent="0.35">
      <c r="A391" s="7" t="s">
        <v>492</v>
      </c>
      <c r="B391" s="12" t="s">
        <v>60</v>
      </c>
      <c r="C391">
        <v>23814398.333622497</v>
      </c>
      <c r="D391">
        <v>20392945.542406697</v>
      </c>
      <c r="E391">
        <v>3603.603603604</v>
      </c>
      <c r="F391">
        <v>581081.081081082</v>
      </c>
      <c r="G391">
        <v>1</v>
      </c>
      <c r="H391">
        <v>3</v>
      </c>
      <c r="K391">
        <v>3</v>
      </c>
      <c r="L391">
        <v>3</v>
      </c>
      <c r="M391">
        <v>7686486.486486488</v>
      </c>
      <c r="N391">
        <v>581081.081081082</v>
      </c>
      <c r="O391">
        <v>9230225.2252252232</v>
      </c>
      <c r="P391">
        <v>8460045.0450450443</v>
      </c>
      <c r="Q391">
        <v>5072342.3423423441</v>
      </c>
      <c r="R391">
        <v>2052162.162162161</v>
      </c>
      <c r="S391">
        <v>3700</v>
      </c>
      <c r="T391">
        <v>3589</v>
      </c>
    </row>
    <row r="392" spans="1:20" x14ac:dyDescent="0.35">
      <c r="A392" s="7" t="s">
        <v>493</v>
      </c>
      <c r="B392" s="12" t="s">
        <v>448</v>
      </c>
      <c r="C392">
        <v>25255854.006805312</v>
      </c>
      <c r="D392">
        <v>26010978.1115386</v>
      </c>
      <c r="E392">
        <v>27604504.504504506</v>
      </c>
      <c r="G392">
        <v>9</v>
      </c>
      <c r="H392">
        <v>13</v>
      </c>
      <c r="K392">
        <v>13</v>
      </c>
      <c r="L392">
        <v>14</v>
      </c>
      <c r="M392">
        <v>3678378.3783783768</v>
      </c>
      <c r="N392">
        <v>1131756.756756759</v>
      </c>
      <c r="O392">
        <v>8651081.0810810812</v>
      </c>
      <c r="P392">
        <v>9284234.2342342325</v>
      </c>
      <c r="Q392">
        <v>2580675.6756756748</v>
      </c>
      <c r="R392">
        <v>1901441.4414414431</v>
      </c>
      <c r="S392">
        <v>5035</v>
      </c>
      <c r="T392">
        <v>4897</v>
      </c>
    </row>
    <row r="393" spans="1:20" x14ac:dyDescent="0.35">
      <c r="A393" s="7" t="s">
        <v>7</v>
      </c>
      <c r="B393" s="12" t="s">
        <v>193</v>
      </c>
      <c r="C393">
        <v>21551551.564971305</v>
      </c>
      <c r="D393">
        <v>21841023.700743508</v>
      </c>
      <c r="E393">
        <v>7657.6576576580001</v>
      </c>
      <c r="F393">
        <v>54054.054054054999</v>
      </c>
      <c r="G393">
        <v>6</v>
      </c>
      <c r="H393">
        <v>10</v>
      </c>
      <c r="K393">
        <v>9</v>
      </c>
      <c r="L393">
        <v>13</v>
      </c>
      <c r="M393">
        <v>9258108.1081081089</v>
      </c>
      <c r="N393">
        <v>54054.054054054999</v>
      </c>
      <c r="O393">
        <v>13555810.810810812</v>
      </c>
      <c r="P393">
        <v>15619810.810810812</v>
      </c>
      <c r="Q393">
        <v>9461171.1711711716</v>
      </c>
      <c r="R393">
        <v>747657.65765765705</v>
      </c>
      <c r="S393">
        <v>4910</v>
      </c>
      <c r="T393">
        <v>4648</v>
      </c>
    </row>
    <row r="394" spans="1:20" x14ac:dyDescent="0.35">
      <c r="A394" s="7" t="s">
        <v>494</v>
      </c>
      <c r="B394" s="12" t="s">
        <v>330</v>
      </c>
      <c r="C394">
        <v>27006850.377657238</v>
      </c>
      <c r="D394">
        <v>26428720.656711012</v>
      </c>
      <c r="E394">
        <v>12612.612612612</v>
      </c>
      <c r="F394">
        <v>40540.540540540998</v>
      </c>
      <c r="G394">
        <v>8</v>
      </c>
      <c r="H394">
        <v>8</v>
      </c>
      <c r="K394">
        <v>12</v>
      </c>
      <c r="L394">
        <v>11</v>
      </c>
      <c r="M394">
        <v>922522.52252252202</v>
      </c>
      <c r="N394">
        <v>1211711.7117117119</v>
      </c>
      <c r="O394">
        <v>7130675.6756756753</v>
      </c>
      <c r="P394">
        <v>6868657.6576576568</v>
      </c>
      <c r="Q394">
        <v>540990.99099099205</v>
      </c>
      <c r="R394">
        <v>1148378.3783783789</v>
      </c>
      <c r="S394">
        <v>6431</v>
      </c>
      <c r="T394">
        <v>6073</v>
      </c>
    </row>
    <row r="395" spans="1:20" x14ac:dyDescent="0.35">
      <c r="A395" s="7" t="s">
        <v>495</v>
      </c>
      <c r="B395" s="12" t="s">
        <v>330</v>
      </c>
      <c r="C395">
        <v>43143795.213516608</v>
      </c>
      <c r="D395">
        <v>44168177.275695346</v>
      </c>
      <c r="E395">
        <v>1801.801801802</v>
      </c>
      <c r="F395">
        <v>198198.19819819901</v>
      </c>
      <c r="G395">
        <v>5</v>
      </c>
      <c r="H395">
        <v>6</v>
      </c>
      <c r="K395">
        <v>12</v>
      </c>
      <c r="L395">
        <v>13</v>
      </c>
      <c r="M395">
        <v>700000</v>
      </c>
      <c r="N395">
        <v>918918.91891891905</v>
      </c>
      <c r="O395">
        <v>9943873.8738738745</v>
      </c>
      <c r="P395">
        <v>10479207.207207208</v>
      </c>
      <c r="Q395">
        <v>1059909.909909911</v>
      </c>
      <c r="R395">
        <v>1120810.8108108121</v>
      </c>
      <c r="S395">
        <v>6605</v>
      </c>
      <c r="T395">
        <v>7119</v>
      </c>
    </row>
    <row r="396" spans="1:20" x14ac:dyDescent="0.35">
      <c r="A396" s="7" t="s">
        <v>496</v>
      </c>
      <c r="B396" s="12" t="s">
        <v>330</v>
      </c>
      <c r="C396">
        <v>46417852.832651988</v>
      </c>
      <c r="D396">
        <v>44455614.653074659</v>
      </c>
      <c r="E396">
        <v>36936.936936938</v>
      </c>
      <c r="F396">
        <v>509009.00900901097</v>
      </c>
      <c r="G396">
        <v>23</v>
      </c>
      <c r="H396">
        <v>16</v>
      </c>
      <c r="K396">
        <v>35</v>
      </c>
      <c r="L396">
        <v>29</v>
      </c>
      <c r="M396">
        <v>3251531.5315315309</v>
      </c>
      <c r="N396">
        <v>2340540.540540542</v>
      </c>
      <c r="O396">
        <v>9290180.1801801808</v>
      </c>
      <c r="P396">
        <v>10312027.027027024</v>
      </c>
      <c r="Q396">
        <v>2931981.9819819811</v>
      </c>
      <c r="R396">
        <v>2921171.1711711711</v>
      </c>
      <c r="S396">
        <v>8940</v>
      </c>
      <c r="T396">
        <v>8404</v>
      </c>
    </row>
    <row r="397" spans="1:20" x14ac:dyDescent="0.35">
      <c r="A397" s="7" t="s">
        <v>497</v>
      </c>
      <c r="B397" s="12" t="s">
        <v>330</v>
      </c>
      <c r="C397">
        <v>186709092.10695228</v>
      </c>
      <c r="D397">
        <v>160250720.74940243</v>
      </c>
      <c r="E397">
        <v>726027.02702703106</v>
      </c>
      <c r="F397">
        <v>91116077.477477491</v>
      </c>
      <c r="G397">
        <v>41</v>
      </c>
      <c r="H397">
        <v>50</v>
      </c>
      <c r="K397">
        <v>69</v>
      </c>
      <c r="L397">
        <v>75</v>
      </c>
      <c r="M397">
        <v>6841621.6216216199</v>
      </c>
      <c r="N397">
        <v>7441441.4414414428</v>
      </c>
      <c r="O397">
        <v>31842747.747747745</v>
      </c>
      <c r="P397">
        <v>33780873.873873875</v>
      </c>
      <c r="Q397">
        <v>8970810.8108108118</v>
      </c>
      <c r="R397">
        <v>8290720.7207207214</v>
      </c>
      <c r="S397">
        <v>29543</v>
      </c>
      <c r="T397">
        <v>27207</v>
      </c>
    </row>
    <row r="398" spans="1:20" x14ac:dyDescent="0.35">
      <c r="A398" s="7" t="s">
        <v>498</v>
      </c>
      <c r="B398" s="12" t="s">
        <v>330</v>
      </c>
      <c r="C398">
        <v>139078508.56322256</v>
      </c>
      <c r="D398">
        <v>132823702.44046904</v>
      </c>
      <c r="E398">
        <v>99729.729729731</v>
      </c>
      <c r="F398">
        <v>666666.66666667</v>
      </c>
      <c r="G398">
        <v>33</v>
      </c>
      <c r="H398">
        <v>27</v>
      </c>
      <c r="K398">
        <v>58</v>
      </c>
      <c r="L398">
        <v>44</v>
      </c>
      <c r="M398">
        <v>12488918.918918911</v>
      </c>
      <c r="N398">
        <v>8603603.6036036033</v>
      </c>
      <c r="O398">
        <v>32952234.234234232</v>
      </c>
      <c r="P398">
        <v>32619918.918918915</v>
      </c>
      <c r="Q398">
        <v>10536216.216216216</v>
      </c>
      <c r="R398">
        <v>11219549.549549552</v>
      </c>
      <c r="S398">
        <v>27131</v>
      </c>
      <c r="T398">
        <v>27147</v>
      </c>
    </row>
    <row r="399" spans="1:20" x14ac:dyDescent="0.35">
      <c r="A399" s="7" t="s">
        <v>499</v>
      </c>
      <c r="B399" s="12" t="s">
        <v>143</v>
      </c>
      <c r="C399">
        <v>59353338.418318622</v>
      </c>
      <c r="D399">
        <v>58833422.822039008</v>
      </c>
      <c r="E399">
        <v>6306.3063063070003</v>
      </c>
      <c r="F399">
        <v>202702.702702704</v>
      </c>
      <c r="G399">
        <v>8</v>
      </c>
      <c r="H399">
        <v>9</v>
      </c>
      <c r="K399">
        <v>18</v>
      </c>
      <c r="L399">
        <v>12</v>
      </c>
      <c r="M399">
        <v>6105405.405405404</v>
      </c>
      <c r="N399">
        <v>5545045.0450450452</v>
      </c>
      <c r="O399">
        <v>9439675.6756756753</v>
      </c>
      <c r="P399">
        <v>10419504.504504504</v>
      </c>
      <c r="Q399">
        <v>2904504.5045045051</v>
      </c>
      <c r="R399">
        <v>2962522.5225225221</v>
      </c>
      <c r="S399">
        <v>7802</v>
      </c>
      <c r="T399">
        <v>8617</v>
      </c>
    </row>
    <row r="400" spans="1:20" x14ac:dyDescent="0.35">
      <c r="A400" s="7" t="s">
        <v>500</v>
      </c>
      <c r="B400" s="12" t="s">
        <v>220</v>
      </c>
      <c r="C400">
        <v>62817332.871332489</v>
      </c>
      <c r="D400">
        <v>64927141.370665014</v>
      </c>
      <c r="E400">
        <v>259459.459459459</v>
      </c>
      <c r="F400">
        <v>369369.36936937098</v>
      </c>
      <c r="G400">
        <v>21</v>
      </c>
      <c r="H400">
        <v>15</v>
      </c>
      <c r="K400">
        <v>33</v>
      </c>
      <c r="L400">
        <v>28</v>
      </c>
      <c r="M400">
        <v>28241261.261261266</v>
      </c>
      <c r="N400">
        <v>89336306.306306303</v>
      </c>
      <c r="O400">
        <v>19173693.693693697</v>
      </c>
      <c r="P400">
        <v>20243639.639639638</v>
      </c>
      <c r="Q400">
        <v>28397297.297297303</v>
      </c>
      <c r="R400">
        <v>69866846.846846849</v>
      </c>
      <c r="S400">
        <v>11657</v>
      </c>
      <c r="T400">
        <v>11913</v>
      </c>
    </row>
    <row r="401" spans="1:20" x14ac:dyDescent="0.35">
      <c r="A401" s="7" t="s">
        <v>501</v>
      </c>
      <c r="B401" s="12" t="s">
        <v>397</v>
      </c>
      <c r="C401">
        <v>189931734.247531</v>
      </c>
      <c r="D401">
        <v>196344359.165483</v>
      </c>
      <c r="E401">
        <v>893744.144144146</v>
      </c>
      <c r="F401">
        <v>1490779.2792792839</v>
      </c>
      <c r="G401">
        <v>48</v>
      </c>
      <c r="H401">
        <v>49</v>
      </c>
      <c r="K401">
        <v>58</v>
      </c>
      <c r="L401">
        <v>59</v>
      </c>
      <c r="M401">
        <v>24409819.819819815</v>
      </c>
      <c r="N401">
        <v>17448198.198198199</v>
      </c>
      <c r="O401">
        <v>37605036.036036037</v>
      </c>
      <c r="P401">
        <v>41068747.747747742</v>
      </c>
      <c r="Q401">
        <v>20721081.081081081</v>
      </c>
      <c r="R401">
        <v>15899639.63963964</v>
      </c>
      <c r="S401">
        <v>26543</v>
      </c>
      <c r="T401">
        <v>26820</v>
      </c>
    </row>
    <row r="402" spans="1:20" x14ac:dyDescent="0.35">
      <c r="A402" s="7" t="s">
        <v>502</v>
      </c>
      <c r="B402" s="12" t="s">
        <v>70</v>
      </c>
      <c r="C402">
        <v>2741833.8286208049</v>
      </c>
      <c r="D402">
        <v>2916755.4602370788</v>
      </c>
      <c r="F402">
        <v>40540.540540540998</v>
      </c>
      <c r="G402">
        <v>1</v>
      </c>
      <c r="K402">
        <v>1</v>
      </c>
      <c r="L402">
        <v>1</v>
      </c>
      <c r="N402">
        <v>40540.540540540998</v>
      </c>
      <c r="O402">
        <v>2101936.9369369368</v>
      </c>
      <c r="P402">
        <v>1731927.927927928</v>
      </c>
      <c r="Q402">
        <v>7207.2072072069996</v>
      </c>
      <c r="S402">
        <v>682</v>
      </c>
      <c r="T402">
        <v>816</v>
      </c>
    </row>
    <row r="403" spans="1:20" x14ac:dyDescent="0.35">
      <c r="A403" s="7" t="s">
        <v>503</v>
      </c>
      <c r="B403" s="12" t="s">
        <v>330</v>
      </c>
      <c r="C403">
        <v>77782649.231838107</v>
      </c>
      <c r="D403">
        <v>79743432.557897493</v>
      </c>
      <c r="E403">
        <v>281081.081081082</v>
      </c>
      <c r="F403">
        <v>1040540.540540543</v>
      </c>
      <c r="G403">
        <v>9</v>
      </c>
      <c r="H403">
        <v>18</v>
      </c>
      <c r="K403">
        <v>16</v>
      </c>
      <c r="L403">
        <v>29</v>
      </c>
      <c r="M403">
        <v>7515315.3153153136</v>
      </c>
      <c r="N403">
        <v>4972072.0720720747</v>
      </c>
      <c r="O403">
        <v>18495225.225225225</v>
      </c>
      <c r="P403">
        <v>20056225.225225225</v>
      </c>
      <c r="Q403">
        <v>5091711.7117117122</v>
      </c>
      <c r="R403">
        <v>7001981.9819819843</v>
      </c>
      <c r="S403">
        <v>15966</v>
      </c>
      <c r="T403">
        <v>15979</v>
      </c>
    </row>
    <row r="404" spans="1:20" x14ac:dyDescent="0.35">
      <c r="A404" s="7" t="s">
        <v>504</v>
      </c>
      <c r="B404" s="12" t="s">
        <v>283</v>
      </c>
      <c r="C404">
        <v>21963132.410659995</v>
      </c>
      <c r="D404">
        <v>25129205.761955272</v>
      </c>
      <c r="E404">
        <v>272972.97297297302</v>
      </c>
      <c r="F404">
        <v>13513.513513514001</v>
      </c>
      <c r="G404">
        <v>6</v>
      </c>
      <c r="H404">
        <v>2</v>
      </c>
      <c r="K404">
        <v>7</v>
      </c>
      <c r="L404">
        <v>4</v>
      </c>
      <c r="M404">
        <v>3426126.1261261269</v>
      </c>
      <c r="N404">
        <v>13513.513513514001</v>
      </c>
      <c r="O404">
        <v>4361846.8468468469</v>
      </c>
      <c r="P404">
        <v>3873369.369369369</v>
      </c>
      <c r="Q404">
        <v>4253153.1531531541</v>
      </c>
      <c r="R404">
        <v>819189.189189189</v>
      </c>
      <c r="S404">
        <v>3106</v>
      </c>
      <c r="T404">
        <v>3061</v>
      </c>
    </row>
    <row r="405" spans="1:20" x14ac:dyDescent="0.35">
      <c r="A405" s="7" t="s">
        <v>505</v>
      </c>
      <c r="B405" s="12" t="s">
        <v>260</v>
      </c>
      <c r="C405">
        <v>13699879.758798961</v>
      </c>
      <c r="D405">
        <v>14399258.144655222</v>
      </c>
      <c r="G405">
        <v>2</v>
      </c>
      <c r="K405">
        <v>2</v>
      </c>
      <c r="O405">
        <v>3615360.3603603598</v>
      </c>
      <c r="P405">
        <v>3011171.1711711721</v>
      </c>
      <c r="S405">
        <v>2143</v>
      </c>
      <c r="T405">
        <v>2373</v>
      </c>
    </row>
    <row r="406" spans="1:20" x14ac:dyDescent="0.35">
      <c r="A406" s="7" t="s">
        <v>506</v>
      </c>
      <c r="B406" s="12" t="s">
        <v>236</v>
      </c>
      <c r="C406">
        <v>39392132.888162531</v>
      </c>
      <c r="D406">
        <v>34845478.294242039</v>
      </c>
      <c r="E406">
        <v>23963.963963965001</v>
      </c>
      <c r="F406">
        <v>27027.027027028002</v>
      </c>
      <c r="G406">
        <v>12</v>
      </c>
      <c r="H406">
        <v>1</v>
      </c>
      <c r="K406">
        <v>13</v>
      </c>
      <c r="L406">
        <v>3</v>
      </c>
      <c r="M406">
        <v>6709549.5495495526</v>
      </c>
      <c r="N406">
        <v>3806306.3063063081</v>
      </c>
      <c r="O406">
        <v>10252995.495495496</v>
      </c>
      <c r="P406">
        <v>7591441.44144144</v>
      </c>
      <c r="Q406">
        <v>6489279.2792792805</v>
      </c>
      <c r="R406">
        <v>3183063.0630630632</v>
      </c>
      <c r="S406">
        <v>4767</v>
      </c>
      <c r="T406">
        <v>4511</v>
      </c>
    </row>
    <row r="407" spans="1:20" x14ac:dyDescent="0.35">
      <c r="A407" s="7" t="s">
        <v>507</v>
      </c>
      <c r="B407" s="12" t="s">
        <v>134</v>
      </c>
      <c r="C407">
        <v>6091134.4058405291</v>
      </c>
      <c r="D407">
        <v>4208614.2484974852</v>
      </c>
      <c r="O407">
        <v>959099.09909909905</v>
      </c>
      <c r="P407">
        <v>651846.84684684698</v>
      </c>
      <c r="S407">
        <v>1250</v>
      </c>
      <c r="T407">
        <v>1154</v>
      </c>
    </row>
    <row r="408" spans="1:20" x14ac:dyDescent="0.35">
      <c r="A408" s="7" t="s">
        <v>508</v>
      </c>
      <c r="B408" s="12" t="s">
        <v>397</v>
      </c>
      <c r="C408">
        <v>39315227.302472584</v>
      </c>
      <c r="D408">
        <v>38993762.078253746</v>
      </c>
      <c r="E408">
        <v>13063.063063063</v>
      </c>
      <c r="F408">
        <v>121621.621621623</v>
      </c>
      <c r="G408">
        <v>2</v>
      </c>
      <c r="H408">
        <v>9</v>
      </c>
      <c r="K408">
        <v>4</v>
      </c>
      <c r="L408">
        <v>12</v>
      </c>
      <c r="M408">
        <v>3750675.6756756771</v>
      </c>
      <c r="N408">
        <v>713513.51351351396</v>
      </c>
      <c r="O408">
        <v>6119414.4144144142</v>
      </c>
      <c r="P408">
        <v>6961027.0270270268</v>
      </c>
      <c r="Q408">
        <v>3926621.6216216232</v>
      </c>
      <c r="R408">
        <v>3376036.0360360341</v>
      </c>
      <c r="S408">
        <v>4386</v>
      </c>
      <c r="T408">
        <v>3944</v>
      </c>
    </row>
    <row r="409" spans="1:20" x14ac:dyDescent="0.35">
      <c r="A409" s="7" t="s">
        <v>509</v>
      </c>
      <c r="B409" s="12" t="s">
        <v>134</v>
      </c>
      <c r="C409">
        <v>42712331.617202193</v>
      </c>
      <c r="D409">
        <v>43243627.199672259</v>
      </c>
      <c r="E409">
        <v>7207.207207208</v>
      </c>
      <c r="F409">
        <v>328828.82882883202</v>
      </c>
      <c r="G409">
        <v>8</v>
      </c>
      <c r="H409">
        <v>13</v>
      </c>
      <c r="K409">
        <v>10</v>
      </c>
      <c r="L409">
        <v>16</v>
      </c>
      <c r="M409">
        <v>2502702.702702703</v>
      </c>
      <c r="N409">
        <v>4112612.6126126139</v>
      </c>
      <c r="O409">
        <v>7689435.1351351338</v>
      </c>
      <c r="P409">
        <v>7605054.0540540563</v>
      </c>
      <c r="Q409">
        <v>2942432.4324324322</v>
      </c>
      <c r="R409">
        <v>2873963.9639639631</v>
      </c>
      <c r="S409">
        <v>5386</v>
      </c>
      <c r="T409">
        <v>5426</v>
      </c>
    </row>
    <row r="410" spans="1:20" x14ac:dyDescent="0.35">
      <c r="A410" s="7" t="s">
        <v>510</v>
      </c>
      <c r="B410" s="12" t="s">
        <v>134</v>
      </c>
      <c r="C410">
        <v>117969273.07687686</v>
      </c>
      <c r="D410">
        <v>116334566.90859936</v>
      </c>
      <c r="E410">
        <v>174954.95495495701</v>
      </c>
      <c r="F410">
        <v>761261.26126126701</v>
      </c>
      <c r="G410">
        <v>16</v>
      </c>
      <c r="H410">
        <v>11</v>
      </c>
      <c r="K410">
        <v>20</v>
      </c>
      <c r="L410">
        <v>19</v>
      </c>
      <c r="M410">
        <v>9207837.8378378376</v>
      </c>
      <c r="N410">
        <v>5445945.9459459484</v>
      </c>
      <c r="O410">
        <v>11292027.027027026</v>
      </c>
      <c r="P410">
        <v>12384432.432432432</v>
      </c>
      <c r="Q410">
        <v>6627387.3873873847</v>
      </c>
      <c r="R410">
        <v>6399099.0990990987</v>
      </c>
      <c r="S410">
        <v>16554</v>
      </c>
      <c r="T410">
        <v>16744</v>
      </c>
    </row>
    <row r="411" spans="1:20" x14ac:dyDescent="0.35">
      <c r="A411" s="7" t="s">
        <v>8</v>
      </c>
      <c r="B411" s="12" t="s">
        <v>158</v>
      </c>
      <c r="C411">
        <v>32133399.642432489</v>
      </c>
      <c r="D411">
        <v>27886114.700461078</v>
      </c>
      <c r="E411">
        <v>527027.02702702698</v>
      </c>
      <c r="F411">
        <v>355855.85585585597</v>
      </c>
      <c r="G411">
        <v>2</v>
      </c>
      <c r="K411">
        <v>3</v>
      </c>
      <c r="M411">
        <v>3198198.1981981979</v>
      </c>
      <c r="N411">
        <v>4709009.0090090111</v>
      </c>
      <c r="O411">
        <v>9224144.1441441439</v>
      </c>
      <c r="P411">
        <v>7352027.0270270268</v>
      </c>
      <c r="Q411">
        <v>4651351.3513513505</v>
      </c>
      <c r="R411">
        <v>2501081.0810810812</v>
      </c>
      <c r="S411">
        <v>3697</v>
      </c>
      <c r="T411">
        <v>3628</v>
      </c>
    </row>
    <row r="412" spans="1:20" x14ac:dyDescent="0.35">
      <c r="A412" s="7" t="s">
        <v>511</v>
      </c>
      <c r="B412" s="12" t="s">
        <v>134</v>
      </c>
      <c r="C412">
        <v>20415658.997505058</v>
      </c>
      <c r="D412">
        <v>18756704.742798049</v>
      </c>
      <c r="F412">
        <v>270270.27027027</v>
      </c>
      <c r="G412">
        <v>1</v>
      </c>
      <c r="H412">
        <v>1</v>
      </c>
      <c r="K412">
        <v>2</v>
      </c>
      <c r="L412">
        <v>1</v>
      </c>
      <c r="N412">
        <v>1171171.1711711709</v>
      </c>
      <c r="O412">
        <v>1796072.072072072</v>
      </c>
      <c r="P412">
        <v>2497837.8378378381</v>
      </c>
      <c r="Q412">
        <v>732612.61261261301</v>
      </c>
      <c r="R412">
        <v>530720.72072072094</v>
      </c>
      <c r="S412">
        <v>3169</v>
      </c>
      <c r="T412">
        <v>3229</v>
      </c>
    </row>
    <row r="413" spans="1:20" x14ac:dyDescent="0.35">
      <c r="A413" s="7" t="s">
        <v>512</v>
      </c>
      <c r="B413" s="12" t="s">
        <v>62</v>
      </c>
      <c r="C413">
        <v>101139754.87309615</v>
      </c>
      <c r="D413">
        <v>90439951.314398229</v>
      </c>
      <c r="E413">
        <v>409909.90990991</v>
      </c>
      <c r="F413">
        <v>621621.62162162201</v>
      </c>
      <c r="G413">
        <v>14</v>
      </c>
      <c r="H413">
        <v>12</v>
      </c>
      <c r="K413">
        <v>21</v>
      </c>
      <c r="L413">
        <v>16</v>
      </c>
      <c r="M413">
        <v>5498558.5585585581</v>
      </c>
      <c r="N413">
        <v>3473153.153153155</v>
      </c>
      <c r="O413">
        <v>18407927.927927926</v>
      </c>
      <c r="P413">
        <v>19321954.954954956</v>
      </c>
      <c r="Q413">
        <v>4143693.6936936951</v>
      </c>
      <c r="R413">
        <v>5226216.2162162177</v>
      </c>
      <c r="S413">
        <v>14682</v>
      </c>
      <c r="T413">
        <v>14580</v>
      </c>
    </row>
    <row r="414" spans="1:20" x14ac:dyDescent="0.35">
      <c r="A414" s="7" t="s">
        <v>513</v>
      </c>
      <c r="B414" s="12" t="s">
        <v>117</v>
      </c>
      <c r="C414">
        <v>11236325.794079652</v>
      </c>
      <c r="D414">
        <v>5301249.4788065152</v>
      </c>
      <c r="E414">
        <v>900.900900901</v>
      </c>
      <c r="F414">
        <v>27027.027027027001</v>
      </c>
      <c r="G414">
        <v>5</v>
      </c>
      <c r="H414">
        <v>5</v>
      </c>
      <c r="K414">
        <v>6</v>
      </c>
      <c r="L414">
        <v>6</v>
      </c>
      <c r="M414">
        <v>1263603.603603601</v>
      </c>
      <c r="N414">
        <v>27027.027027027001</v>
      </c>
      <c r="O414">
        <v>5091126.1261261264</v>
      </c>
      <c r="P414">
        <v>2246261.261261262</v>
      </c>
      <c r="Q414">
        <v>924864.86486486299</v>
      </c>
      <c r="R414">
        <v>62162.162162162</v>
      </c>
      <c r="S414">
        <v>2075</v>
      </c>
      <c r="T414">
        <v>1949</v>
      </c>
    </row>
    <row r="415" spans="1:20" x14ac:dyDescent="0.35">
      <c r="A415" s="7" t="s">
        <v>514</v>
      </c>
      <c r="B415" s="12" t="s">
        <v>304</v>
      </c>
      <c r="C415">
        <v>21208780.005681746</v>
      </c>
      <c r="D415">
        <v>17900848.51917655</v>
      </c>
      <c r="E415">
        <v>3603.603603604</v>
      </c>
      <c r="F415">
        <v>40540.540540540998</v>
      </c>
      <c r="G415">
        <v>4</v>
      </c>
      <c r="H415">
        <v>8</v>
      </c>
      <c r="K415">
        <v>5</v>
      </c>
      <c r="L415">
        <v>8</v>
      </c>
      <c r="M415">
        <v>3603.603603604</v>
      </c>
      <c r="N415">
        <v>5413063.0630630627</v>
      </c>
      <c r="O415">
        <v>1104009.009009009</v>
      </c>
      <c r="P415">
        <v>1782882.882882884</v>
      </c>
      <c r="Q415">
        <v>146576.57657657599</v>
      </c>
      <c r="R415">
        <v>5644414.4144144142</v>
      </c>
      <c r="S415">
        <v>1557</v>
      </c>
      <c r="T415">
        <v>1385</v>
      </c>
    </row>
    <row r="416" spans="1:20" x14ac:dyDescent="0.35">
      <c r="A416" s="7" t="s">
        <v>515</v>
      </c>
      <c r="B416" s="12" t="s">
        <v>304</v>
      </c>
      <c r="C416">
        <v>6355481.402247549</v>
      </c>
      <c r="D416">
        <v>2970293.373521551</v>
      </c>
      <c r="E416">
        <v>7567.567567567</v>
      </c>
      <c r="F416">
        <v>27027.027027028002</v>
      </c>
      <c r="M416">
        <v>476036.03603603499</v>
      </c>
      <c r="N416">
        <v>297297.29729729798</v>
      </c>
      <c r="O416">
        <v>699504.50450450496</v>
      </c>
      <c r="P416">
        <v>372396.39639639697</v>
      </c>
      <c r="Q416">
        <v>615225.22522522602</v>
      </c>
      <c r="R416">
        <v>159009.00900901001</v>
      </c>
      <c r="S416">
        <v>613</v>
      </c>
      <c r="T416">
        <v>348</v>
      </c>
    </row>
    <row r="417" spans="1:20" x14ac:dyDescent="0.35">
      <c r="A417" s="7" t="s">
        <v>516</v>
      </c>
      <c r="B417" s="12" t="s">
        <v>304</v>
      </c>
      <c r="C417">
        <v>11431187.49517308</v>
      </c>
      <c r="D417">
        <v>12062663.178390402</v>
      </c>
      <c r="E417">
        <v>3243.2432432430001</v>
      </c>
      <c r="F417">
        <v>40540.540540540998</v>
      </c>
      <c r="G417">
        <v>2</v>
      </c>
      <c r="H417">
        <v>4</v>
      </c>
      <c r="K417">
        <v>3</v>
      </c>
      <c r="L417">
        <v>6</v>
      </c>
      <c r="M417">
        <v>1408648.6486486481</v>
      </c>
      <c r="N417">
        <v>355855.85585585597</v>
      </c>
      <c r="O417">
        <v>1768603.6036036031</v>
      </c>
      <c r="P417">
        <v>1004243.243243243</v>
      </c>
      <c r="Q417">
        <v>966036.03603603598</v>
      </c>
      <c r="R417">
        <v>279729.72972973</v>
      </c>
      <c r="S417">
        <v>1118</v>
      </c>
      <c r="T417">
        <v>1294</v>
      </c>
    </row>
    <row r="418" spans="1:20" x14ac:dyDescent="0.35">
      <c r="A418" s="7" t="s">
        <v>517</v>
      </c>
      <c r="B418" s="12" t="s">
        <v>304</v>
      </c>
      <c r="C418">
        <v>9705289.6039072033</v>
      </c>
      <c r="D418">
        <v>8647552.3086865582</v>
      </c>
      <c r="E418">
        <v>10810.810810810999</v>
      </c>
      <c r="F418">
        <v>40540.540540540998</v>
      </c>
      <c r="G418">
        <v>1</v>
      </c>
      <c r="H418">
        <v>3</v>
      </c>
      <c r="K418">
        <v>1</v>
      </c>
      <c r="L418">
        <v>4</v>
      </c>
      <c r="M418">
        <v>515315.31531531498</v>
      </c>
      <c r="N418">
        <v>40540.540540540998</v>
      </c>
      <c r="O418">
        <v>1159729.7297297299</v>
      </c>
      <c r="P418">
        <v>1013360.3603603611</v>
      </c>
      <c r="Q418">
        <v>327027.02702702698</v>
      </c>
      <c r="R418">
        <v>120720.720720721</v>
      </c>
      <c r="S418">
        <v>842</v>
      </c>
      <c r="T418">
        <v>777</v>
      </c>
    </row>
    <row r="419" spans="1:20" x14ac:dyDescent="0.35">
      <c r="A419" s="7" t="s">
        <v>518</v>
      </c>
      <c r="B419" s="12" t="s">
        <v>448</v>
      </c>
      <c r="C419">
        <v>8366428.304438577</v>
      </c>
      <c r="D419">
        <v>8280176.6063854098</v>
      </c>
      <c r="E419">
        <v>21621.621621621001</v>
      </c>
      <c r="F419">
        <v>40540.540540540998</v>
      </c>
      <c r="G419">
        <v>4</v>
      </c>
      <c r="H419">
        <v>1</v>
      </c>
      <c r="K419">
        <v>5</v>
      </c>
      <c r="L419">
        <v>2</v>
      </c>
      <c r="M419">
        <v>21621.621621621001</v>
      </c>
      <c r="N419">
        <v>397297.29729729501</v>
      </c>
      <c r="O419">
        <v>2917342.3423423432</v>
      </c>
      <c r="P419">
        <v>2736036.036036035</v>
      </c>
      <c r="Q419">
        <v>372342.34234234202</v>
      </c>
      <c r="R419">
        <v>710360.36036035896</v>
      </c>
      <c r="S419">
        <v>1819</v>
      </c>
      <c r="T419">
        <v>4219</v>
      </c>
    </row>
    <row r="420" spans="1:20" x14ac:dyDescent="0.35">
      <c r="A420" s="7" t="s">
        <v>519</v>
      </c>
      <c r="B420" s="12" t="s">
        <v>85</v>
      </c>
      <c r="C420">
        <v>23942669.751605939</v>
      </c>
      <c r="D420">
        <v>25200899.863262586</v>
      </c>
      <c r="E420">
        <v>2702.7027027029999</v>
      </c>
      <c r="F420">
        <v>148648.64864865001</v>
      </c>
      <c r="G420">
        <v>8</v>
      </c>
      <c r="H420">
        <v>2</v>
      </c>
      <c r="K420">
        <v>10</v>
      </c>
      <c r="L420">
        <v>2</v>
      </c>
      <c r="M420">
        <v>4173873.8738738731</v>
      </c>
      <c r="N420">
        <v>9157657.6576576605</v>
      </c>
      <c r="O420">
        <v>5871801.8018018017</v>
      </c>
      <c r="P420">
        <v>6311972.9729729732</v>
      </c>
      <c r="Q420">
        <v>2071081.08108108</v>
      </c>
      <c r="R420">
        <v>13239412.612612614</v>
      </c>
      <c r="S420">
        <v>4164</v>
      </c>
      <c r="T420">
        <v>4001</v>
      </c>
    </row>
    <row r="421" spans="1:20" x14ac:dyDescent="0.35">
      <c r="A421" s="7" t="s">
        <v>520</v>
      </c>
      <c r="B421" s="12" t="s">
        <v>304</v>
      </c>
      <c r="C421">
        <v>13062213.365209468</v>
      </c>
      <c r="D421">
        <v>14856217.031068504</v>
      </c>
      <c r="G421">
        <v>1</v>
      </c>
      <c r="H421">
        <v>1</v>
      </c>
      <c r="K421">
        <v>1</v>
      </c>
      <c r="L421">
        <v>1</v>
      </c>
      <c r="M421">
        <v>1270270.2702702701</v>
      </c>
      <c r="N421">
        <v>900900.90090090095</v>
      </c>
      <c r="O421">
        <v>2376036.0360360369</v>
      </c>
      <c r="P421">
        <v>2557468.4684684682</v>
      </c>
      <c r="Q421">
        <v>558378.37837837799</v>
      </c>
      <c r="R421">
        <v>178378.37837837799</v>
      </c>
      <c r="S421">
        <v>1379</v>
      </c>
      <c r="T421">
        <v>1376</v>
      </c>
    </row>
    <row r="422" spans="1:20" x14ac:dyDescent="0.35">
      <c r="A422" s="7" t="s">
        <v>521</v>
      </c>
      <c r="B422" s="12" t="s">
        <v>399</v>
      </c>
      <c r="C422">
        <v>98125119.877052546</v>
      </c>
      <c r="D422">
        <v>97765546.563669115</v>
      </c>
      <c r="E422">
        <v>249729.72972973299</v>
      </c>
      <c r="F422">
        <v>590090.09009009495</v>
      </c>
      <c r="G422">
        <v>17</v>
      </c>
      <c r="H422">
        <v>15</v>
      </c>
      <c r="K422">
        <v>24</v>
      </c>
      <c r="L422">
        <v>36</v>
      </c>
      <c r="M422">
        <v>23332612.612612613</v>
      </c>
      <c r="N422">
        <v>12459459.459459458</v>
      </c>
      <c r="O422">
        <v>20988648.648648649</v>
      </c>
      <c r="P422">
        <v>22877261.261261258</v>
      </c>
      <c r="Q422">
        <v>12134594.5945946</v>
      </c>
      <c r="R422">
        <v>13184324.324324325</v>
      </c>
      <c r="S422">
        <v>13623</v>
      </c>
      <c r="T422">
        <v>13610</v>
      </c>
    </row>
    <row r="423" spans="1:20" x14ac:dyDescent="0.35">
      <c r="A423" s="7" t="s">
        <v>522</v>
      </c>
      <c r="B423" s="12" t="s">
        <v>143</v>
      </c>
      <c r="C423">
        <v>30674009.036626495</v>
      </c>
      <c r="D423">
        <v>27882232.498273164</v>
      </c>
      <c r="F423">
        <v>81081.081081081997</v>
      </c>
      <c r="G423">
        <v>2</v>
      </c>
      <c r="H423">
        <v>9</v>
      </c>
      <c r="K423">
        <v>4</v>
      </c>
      <c r="L423">
        <v>9</v>
      </c>
      <c r="M423">
        <v>2288288.2882882878</v>
      </c>
      <c r="N423">
        <v>981981.98198198294</v>
      </c>
      <c r="O423">
        <v>3205585.5855855849</v>
      </c>
      <c r="P423">
        <v>3013738.7387387389</v>
      </c>
      <c r="Q423">
        <v>1885855.8558558561</v>
      </c>
      <c r="R423">
        <v>1221801.8018018019</v>
      </c>
      <c r="S423">
        <v>2984</v>
      </c>
      <c r="T423">
        <v>3019</v>
      </c>
    </row>
    <row r="424" spans="1:20" x14ac:dyDescent="0.35">
      <c r="A424" s="7" t="s">
        <v>523</v>
      </c>
      <c r="B424" s="12" t="s">
        <v>66</v>
      </c>
      <c r="C424">
        <v>17533101.831379127</v>
      </c>
      <c r="D424">
        <v>17619506.794381645</v>
      </c>
      <c r="E424">
        <v>30270.270270271001</v>
      </c>
      <c r="F424">
        <v>144144.14414414499</v>
      </c>
      <c r="G424">
        <v>2</v>
      </c>
      <c r="H424">
        <v>3</v>
      </c>
      <c r="K424">
        <v>2</v>
      </c>
      <c r="L424">
        <v>4</v>
      </c>
      <c r="M424">
        <v>4718063.0630630581</v>
      </c>
      <c r="N424">
        <v>3021396.3963963962</v>
      </c>
      <c r="O424">
        <v>9604729.7297297306</v>
      </c>
      <c r="P424">
        <v>7593585.5855855849</v>
      </c>
      <c r="Q424">
        <v>2489369.3693693648</v>
      </c>
      <c r="R424">
        <v>742792.79279279301</v>
      </c>
      <c r="S424">
        <v>3643</v>
      </c>
      <c r="T424">
        <v>4306</v>
      </c>
    </row>
    <row r="425" spans="1:20" x14ac:dyDescent="0.35">
      <c r="A425" s="7" t="s">
        <v>524</v>
      </c>
      <c r="B425" s="12" t="s">
        <v>220</v>
      </c>
      <c r="C425">
        <v>23593871.796448823</v>
      </c>
      <c r="D425">
        <v>23570838.076122832</v>
      </c>
      <c r="E425">
        <v>2702.7027027029999</v>
      </c>
      <c r="F425">
        <v>270270.27027027</v>
      </c>
      <c r="G425">
        <v>3</v>
      </c>
      <c r="H425">
        <v>5</v>
      </c>
      <c r="K425">
        <v>9</v>
      </c>
      <c r="L425">
        <v>5</v>
      </c>
      <c r="M425">
        <v>1336036.0360360341</v>
      </c>
      <c r="N425">
        <v>270270.27027027</v>
      </c>
      <c r="O425">
        <v>5412702.702702702</v>
      </c>
      <c r="P425">
        <v>6128648.6486486495</v>
      </c>
      <c r="Q425">
        <v>945585.585585583</v>
      </c>
      <c r="R425">
        <v>630900.90090090095</v>
      </c>
      <c r="S425">
        <v>4427</v>
      </c>
      <c r="T425">
        <v>4440</v>
      </c>
    </row>
    <row r="426" spans="1:20" x14ac:dyDescent="0.35">
      <c r="A426" s="7" t="s">
        <v>525</v>
      </c>
      <c r="B426" s="12" t="s">
        <v>413</v>
      </c>
      <c r="C426">
        <v>250908527.32809567</v>
      </c>
      <c r="D426">
        <v>254705811.23126686</v>
      </c>
      <c r="E426">
        <v>28864172.972972974</v>
      </c>
      <c r="F426">
        <v>1404110.8108108151</v>
      </c>
      <c r="G426">
        <v>22</v>
      </c>
      <c r="H426">
        <v>27</v>
      </c>
      <c r="K426">
        <v>32</v>
      </c>
      <c r="L426">
        <v>47</v>
      </c>
      <c r="M426">
        <v>25475045.045045041</v>
      </c>
      <c r="N426">
        <v>13164684.684684694</v>
      </c>
      <c r="O426">
        <v>69498396.396396399</v>
      </c>
      <c r="P426">
        <v>74178873.873873875</v>
      </c>
      <c r="Q426">
        <v>21559189.189189184</v>
      </c>
      <c r="R426">
        <v>14282522.522522528</v>
      </c>
      <c r="S426">
        <v>32130</v>
      </c>
      <c r="T426">
        <v>36409</v>
      </c>
    </row>
    <row r="427" spans="1:20" x14ac:dyDescent="0.35">
      <c r="A427" s="7" t="s">
        <v>526</v>
      </c>
      <c r="B427" s="12" t="s">
        <v>413</v>
      </c>
      <c r="C427">
        <v>30441500.0999218</v>
      </c>
      <c r="D427">
        <v>29351465.940669294</v>
      </c>
      <c r="E427">
        <v>2702.7027027029999</v>
      </c>
      <c r="F427">
        <v>13513.513513514001</v>
      </c>
      <c r="G427">
        <v>5</v>
      </c>
      <c r="H427">
        <v>1</v>
      </c>
      <c r="K427">
        <v>5</v>
      </c>
      <c r="L427">
        <v>2</v>
      </c>
      <c r="M427">
        <v>2390450.4504504502</v>
      </c>
      <c r="N427">
        <v>1815315.315315315</v>
      </c>
      <c r="O427">
        <v>8243909.9099099096</v>
      </c>
      <c r="P427">
        <v>9380954.9549549539</v>
      </c>
      <c r="Q427">
        <v>1080540.5405405411</v>
      </c>
      <c r="R427">
        <v>889819.81981981895</v>
      </c>
      <c r="S427">
        <v>4652</v>
      </c>
      <c r="T427">
        <v>4496</v>
      </c>
    </row>
    <row r="428" spans="1:20" x14ac:dyDescent="0.35">
      <c r="A428" s="7" t="s">
        <v>661</v>
      </c>
      <c r="B428" s="12" t="s">
        <v>189</v>
      </c>
      <c r="C428">
        <v>425385.62270450097</v>
      </c>
      <c r="S428">
        <v>109</v>
      </c>
    </row>
    <row r="429" spans="1:20" x14ac:dyDescent="0.35">
      <c r="A429" s="7" t="s">
        <v>527</v>
      </c>
      <c r="B429" s="12" t="s">
        <v>147</v>
      </c>
      <c r="C429">
        <v>61818889.197161362</v>
      </c>
      <c r="D429">
        <v>60397326.930878326</v>
      </c>
      <c r="E429">
        <v>279279.279279279</v>
      </c>
      <c r="F429">
        <v>1090090.090090092</v>
      </c>
      <c r="G429">
        <v>7</v>
      </c>
      <c r="H429">
        <v>9</v>
      </c>
      <c r="K429">
        <v>9</v>
      </c>
      <c r="L429">
        <v>47</v>
      </c>
      <c r="M429">
        <v>567567.56756756699</v>
      </c>
      <c r="N429">
        <v>2252972.9729729742</v>
      </c>
      <c r="O429">
        <v>19820630.630630631</v>
      </c>
      <c r="P429">
        <v>20991736.936936937</v>
      </c>
      <c r="Q429">
        <v>3213513.513513511</v>
      </c>
      <c r="R429">
        <v>2305855.8558558552</v>
      </c>
      <c r="S429">
        <v>9900</v>
      </c>
      <c r="T429">
        <v>9787</v>
      </c>
    </row>
    <row r="430" spans="1:20" x14ac:dyDescent="0.35">
      <c r="A430" s="7" t="s">
        <v>528</v>
      </c>
      <c r="B430" s="12" t="s">
        <v>121</v>
      </c>
      <c r="C430">
        <v>6369215.0823975727</v>
      </c>
      <c r="D430">
        <v>6416142.6870770724</v>
      </c>
      <c r="E430">
        <v>4504.5045045050001</v>
      </c>
      <c r="F430">
        <v>40540.540540542002</v>
      </c>
      <c r="G430">
        <v>6</v>
      </c>
      <c r="H430">
        <v>1</v>
      </c>
      <c r="K430">
        <v>6</v>
      </c>
      <c r="L430">
        <v>2</v>
      </c>
      <c r="M430">
        <v>4504.5045045050001</v>
      </c>
      <c r="N430">
        <v>40540.540540542002</v>
      </c>
      <c r="O430">
        <v>659504.50450450496</v>
      </c>
      <c r="P430">
        <v>440855.85585585597</v>
      </c>
      <c r="Q430">
        <v>324324.32432432403</v>
      </c>
      <c r="R430">
        <v>531981.98198198201</v>
      </c>
      <c r="S430">
        <v>984</v>
      </c>
      <c r="T430">
        <v>943</v>
      </c>
    </row>
    <row r="431" spans="1:20" x14ac:dyDescent="0.35">
      <c r="A431" s="7" t="s">
        <v>529</v>
      </c>
      <c r="B431" s="12" t="s">
        <v>448</v>
      </c>
      <c r="C431">
        <v>19287500.569301967</v>
      </c>
      <c r="D431">
        <v>10916136.149389507</v>
      </c>
      <c r="E431">
        <v>902882.88288288296</v>
      </c>
      <c r="G431">
        <v>3</v>
      </c>
      <c r="H431">
        <v>4</v>
      </c>
      <c r="K431">
        <v>19</v>
      </c>
      <c r="L431">
        <v>4</v>
      </c>
      <c r="M431">
        <v>1433063.0630630639</v>
      </c>
      <c r="O431">
        <v>8226468.4684684677</v>
      </c>
      <c r="P431">
        <v>5842432.4324324327</v>
      </c>
      <c r="Q431">
        <v>1368468.4684684691</v>
      </c>
      <c r="S431">
        <v>2833</v>
      </c>
      <c r="T431">
        <v>2229</v>
      </c>
    </row>
    <row r="432" spans="1:20" x14ac:dyDescent="0.35">
      <c r="A432" s="7" t="s">
        <v>530</v>
      </c>
      <c r="B432" s="12" t="s">
        <v>448</v>
      </c>
      <c r="C432">
        <v>27718519.480436306</v>
      </c>
      <c r="D432">
        <v>27705130.655774072</v>
      </c>
      <c r="E432">
        <v>27927.927927928002</v>
      </c>
      <c r="F432">
        <v>121621.62162162201</v>
      </c>
      <c r="G432">
        <v>9</v>
      </c>
      <c r="H432">
        <v>4</v>
      </c>
      <c r="K432">
        <v>9</v>
      </c>
      <c r="L432">
        <v>7</v>
      </c>
      <c r="M432">
        <v>1322072.072072071</v>
      </c>
      <c r="N432">
        <v>625675.67567567597</v>
      </c>
      <c r="O432">
        <v>13102027.027027028</v>
      </c>
      <c r="P432">
        <v>12821486.486486487</v>
      </c>
      <c r="Q432">
        <v>2300270.2702702698</v>
      </c>
      <c r="R432">
        <v>1286036.036036036</v>
      </c>
      <c r="S432">
        <v>5167</v>
      </c>
      <c r="T432">
        <v>5089</v>
      </c>
    </row>
    <row r="433" spans="1:20" x14ac:dyDescent="0.35">
      <c r="A433" s="7" t="s">
        <v>531</v>
      </c>
      <c r="B433" s="12" t="s">
        <v>123</v>
      </c>
      <c r="C433">
        <v>71556441.290514812</v>
      </c>
      <c r="D433">
        <v>73538597.331243962</v>
      </c>
      <c r="E433">
        <v>1397863.063063066</v>
      </c>
      <c r="F433">
        <v>1318810.810810816</v>
      </c>
      <c r="G433">
        <v>14</v>
      </c>
      <c r="H433">
        <v>24</v>
      </c>
      <c r="I433">
        <v>1</v>
      </c>
      <c r="K433">
        <v>23</v>
      </c>
      <c r="L433">
        <v>62</v>
      </c>
      <c r="M433">
        <v>12487927.927927926</v>
      </c>
      <c r="N433">
        <v>34450540.540540546</v>
      </c>
      <c r="O433">
        <v>24113220.72072072</v>
      </c>
      <c r="P433">
        <v>25925027.02702703</v>
      </c>
      <c r="Q433">
        <v>17510990.990990993</v>
      </c>
      <c r="R433">
        <v>37888378.378378384</v>
      </c>
      <c r="S433">
        <v>11286</v>
      </c>
      <c r="T433">
        <v>11362</v>
      </c>
    </row>
    <row r="434" spans="1:20" x14ac:dyDescent="0.35">
      <c r="A434" s="7" t="s">
        <v>532</v>
      </c>
      <c r="B434" s="12" t="s">
        <v>85</v>
      </c>
      <c r="C434">
        <v>23071397.03608093</v>
      </c>
      <c r="D434">
        <v>23566835.0733326</v>
      </c>
      <c r="E434">
        <v>3603.603603604</v>
      </c>
      <c r="F434">
        <v>40540.540540540998</v>
      </c>
      <c r="G434">
        <v>4</v>
      </c>
      <c r="H434">
        <v>2</v>
      </c>
      <c r="K434">
        <v>4</v>
      </c>
      <c r="L434">
        <v>3</v>
      </c>
      <c r="M434">
        <v>1354954.954954955</v>
      </c>
      <c r="N434">
        <v>1842342.342342342</v>
      </c>
      <c r="O434">
        <v>4899099.0990990987</v>
      </c>
      <c r="P434">
        <v>4964414.4144144142</v>
      </c>
      <c r="Q434">
        <v>3647837.837837839</v>
      </c>
      <c r="R434">
        <v>554954.95495495503</v>
      </c>
      <c r="S434">
        <v>3640</v>
      </c>
      <c r="T434">
        <v>3770</v>
      </c>
    </row>
    <row r="435" spans="1:20" x14ac:dyDescent="0.35">
      <c r="A435" s="7" t="s">
        <v>9</v>
      </c>
      <c r="B435" s="12" t="s">
        <v>158</v>
      </c>
      <c r="C435">
        <v>60760333.623744026</v>
      </c>
      <c r="D435">
        <v>55816893.515088305</v>
      </c>
      <c r="E435">
        <v>817477.47747747798</v>
      </c>
      <c r="F435">
        <v>157657.65765765801</v>
      </c>
      <c r="G435">
        <v>11</v>
      </c>
      <c r="H435">
        <v>11</v>
      </c>
      <c r="I435">
        <v>1</v>
      </c>
      <c r="K435">
        <v>13</v>
      </c>
      <c r="L435">
        <v>11</v>
      </c>
      <c r="M435">
        <v>119394054.05405405</v>
      </c>
      <c r="N435">
        <v>37935135.135135137</v>
      </c>
      <c r="O435">
        <v>19106666.666666668</v>
      </c>
      <c r="P435">
        <v>20205441.441441443</v>
      </c>
      <c r="Q435">
        <v>86426396.396396399</v>
      </c>
      <c r="R435">
        <v>49453333.333333328</v>
      </c>
      <c r="S435">
        <v>7341</v>
      </c>
      <c r="T435">
        <v>7042</v>
      </c>
    </row>
    <row r="436" spans="1:20" x14ac:dyDescent="0.35">
      <c r="A436" s="7" t="s">
        <v>533</v>
      </c>
      <c r="B436" s="12" t="s">
        <v>94</v>
      </c>
      <c r="C436">
        <v>52892792.539374426</v>
      </c>
      <c r="D436">
        <v>53664825.298721395</v>
      </c>
      <c r="E436">
        <v>6306.3063063070003</v>
      </c>
      <c r="F436">
        <v>108108.10810810899</v>
      </c>
      <c r="G436">
        <v>5</v>
      </c>
      <c r="H436">
        <v>8</v>
      </c>
      <c r="K436">
        <v>7</v>
      </c>
      <c r="L436">
        <v>11</v>
      </c>
      <c r="M436">
        <v>7332612.6126126107</v>
      </c>
      <c r="N436">
        <v>6127477.4774774769</v>
      </c>
      <c r="O436">
        <v>5222117.1171171172</v>
      </c>
      <c r="P436">
        <v>6798009.0090090102</v>
      </c>
      <c r="Q436">
        <v>4139189.1891891868</v>
      </c>
      <c r="R436">
        <v>5185765.7657657638</v>
      </c>
      <c r="S436">
        <v>6435</v>
      </c>
      <c r="T436">
        <v>5549</v>
      </c>
    </row>
    <row r="437" spans="1:20" x14ac:dyDescent="0.35">
      <c r="A437" s="7" t="s">
        <v>534</v>
      </c>
      <c r="B437" s="12" t="s">
        <v>304</v>
      </c>
      <c r="C437">
        <v>2050187.1462957959</v>
      </c>
      <c r="D437">
        <v>1945126.339056598</v>
      </c>
      <c r="O437">
        <v>168153.15315315299</v>
      </c>
      <c r="P437">
        <v>192792.792792792</v>
      </c>
      <c r="S437">
        <v>293</v>
      </c>
      <c r="T437">
        <v>374</v>
      </c>
    </row>
    <row r="438" spans="1:20" x14ac:dyDescent="0.35">
      <c r="A438" s="7" t="s">
        <v>535</v>
      </c>
      <c r="B438" s="12" t="s">
        <v>304</v>
      </c>
      <c r="C438">
        <v>26203833.094985537</v>
      </c>
      <c r="D438">
        <v>24225620.719220303</v>
      </c>
      <c r="E438">
        <v>900.900900901</v>
      </c>
      <c r="F438">
        <v>225225.225225225</v>
      </c>
      <c r="G438">
        <v>7</v>
      </c>
      <c r="H438">
        <v>2</v>
      </c>
      <c r="K438">
        <v>8</v>
      </c>
      <c r="L438">
        <v>4</v>
      </c>
      <c r="M438">
        <v>316216.21621621598</v>
      </c>
      <c r="N438">
        <v>2387387.387387387</v>
      </c>
      <c r="O438">
        <v>1751306.306306306</v>
      </c>
      <c r="P438">
        <v>2687432.4324324322</v>
      </c>
      <c r="Q438">
        <v>860900.90090090095</v>
      </c>
      <c r="R438">
        <v>1330630.6306306301</v>
      </c>
      <c r="S438">
        <v>2742</v>
      </c>
      <c r="T438">
        <v>3412</v>
      </c>
    </row>
    <row r="439" spans="1:20" x14ac:dyDescent="0.35">
      <c r="A439" s="7" t="s">
        <v>536</v>
      </c>
      <c r="B439" s="12" t="s">
        <v>85</v>
      </c>
      <c r="C439">
        <v>18791326.431638028</v>
      </c>
      <c r="D439">
        <v>20446607.061990004</v>
      </c>
      <c r="E439">
        <v>9909.9099099100004</v>
      </c>
      <c r="F439">
        <v>171171.171171172</v>
      </c>
      <c r="G439">
        <v>12</v>
      </c>
      <c r="H439">
        <v>9</v>
      </c>
      <c r="K439">
        <v>13</v>
      </c>
      <c r="L439">
        <v>12</v>
      </c>
      <c r="M439">
        <v>919819.81981982</v>
      </c>
      <c r="N439">
        <v>6238198.1981981993</v>
      </c>
      <c r="O439">
        <v>8187882.8828828828</v>
      </c>
      <c r="P439">
        <v>8708414.4144144133</v>
      </c>
      <c r="Q439">
        <v>3579459.4594594599</v>
      </c>
      <c r="R439">
        <v>4899729.7297297297</v>
      </c>
      <c r="S439">
        <v>3015</v>
      </c>
      <c r="T439">
        <v>3154</v>
      </c>
    </row>
    <row r="440" spans="1:20" x14ac:dyDescent="0.35">
      <c r="A440" s="7" t="s">
        <v>537</v>
      </c>
      <c r="B440" s="12" t="s">
        <v>448</v>
      </c>
      <c r="C440">
        <v>27885953.916841887</v>
      </c>
      <c r="D440">
        <v>28219471.343217131</v>
      </c>
      <c r="E440">
        <v>114414.41441441501</v>
      </c>
      <c r="F440">
        <v>40540.540540542002</v>
      </c>
      <c r="G440">
        <v>18</v>
      </c>
      <c r="H440">
        <v>6</v>
      </c>
      <c r="K440">
        <v>21</v>
      </c>
      <c r="L440">
        <v>8</v>
      </c>
      <c r="M440">
        <v>1383783.783783783</v>
      </c>
      <c r="N440">
        <v>49549.549549550997</v>
      </c>
      <c r="O440">
        <v>7465360.3603603598</v>
      </c>
      <c r="P440">
        <v>8304088.2882882878</v>
      </c>
      <c r="Q440">
        <v>2093243.2432432431</v>
      </c>
      <c r="R440">
        <v>484324.32432432403</v>
      </c>
      <c r="S440">
        <v>5163</v>
      </c>
      <c r="T440">
        <v>5149</v>
      </c>
    </row>
    <row r="441" spans="1:20" x14ac:dyDescent="0.35">
      <c r="A441" s="7" t="s">
        <v>538</v>
      </c>
      <c r="B441" s="12" t="s">
        <v>117</v>
      </c>
      <c r="C441">
        <v>61536761.781082995</v>
      </c>
      <c r="D441">
        <v>63258350.124634512</v>
      </c>
      <c r="E441">
        <v>188558.55855855899</v>
      </c>
      <c r="F441">
        <v>716216.21621622005</v>
      </c>
      <c r="G441">
        <v>7</v>
      </c>
      <c r="H441">
        <v>11</v>
      </c>
      <c r="K441">
        <v>11</v>
      </c>
      <c r="L441">
        <v>13</v>
      </c>
      <c r="M441">
        <v>13383513.513513507</v>
      </c>
      <c r="N441">
        <v>7431531.5315315342</v>
      </c>
      <c r="O441">
        <v>31547432.432432432</v>
      </c>
      <c r="P441">
        <v>34262387.387387387</v>
      </c>
      <c r="Q441">
        <v>11717207.207207199</v>
      </c>
      <c r="R441">
        <v>5254954.9549549576</v>
      </c>
      <c r="S441">
        <v>11109</v>
      </c>
      <c r="T441">
        <v>11174</v>
      </c>
    </row>
    <row r="442" spans="1:20" x14ac:dyDescent="0.35">
      <c r="A442" s="7" t="s">
        <v>539</v>
      </c>
      <c r="B442" s="12" t="s">
        <v>83</v>
      </c>
      <c r="C442">
        <v>210260434.52373725</v>
      </c>
      <c r="D442">
        <v>214044180.90339407</v>
      </c>
      <c r="E442">
        <v>736036.03603603703</v>
      </c>
      <c r="F442">
        <v>639639.63963964395</v>
      </c>
      <c r="G442">
        <v>19</v>
      </c>
      <c r="H442">
        <v>47</v>
      </c>
      <c r="K442">
        <v>23</v>
      </c>
      <c r="L442">
        <v>67</v>
      </c>
      <c r="M442">
        <v>15019819.819819815</v>
      </c>
      <c r="N442">
        <v>6395720.7207207223</v>
      </c>
      <c r="O442">
        <v>18899549.549549554</v>
      </c>
      <c r="P442">
        <v>21591493.693693694</v>
      </c>
      <c r="Q442">
        <v>10060630.630630629</v>
      </c>
      <c r="R442">
        <v>9546396.3963963967</v>
      </c>
      <c r="S442">
        <v>21601</v>
      </c>
      <c r="T442">
        <v>22132</v>
      </c>
    </row>
    <row r="443" spans="1:20" x14ac:dyDescent="0.35">
      <c r="A443" s="7" t="s">
        <v>540</v>
      </c>
      <c r="B443" s="12" t="s">
        <v>315</v>
      </c>
      <c r="C443">
        <v>24182876.903072592</v>
      </c>
      <c r="D443">
        <v>24157299.654939815</v>
      </c>
      <c r="E443">
        <v>643243.24324324296</v>
      </c>
      <c r="F443">
        <v>67567.567567567996</v>
      </c>
      <c r="G443">
        <v>2</v>
      </c>
      <c r="H443">
        <v>3</v>
      </c>
      <c r="K443">
        <v>2</v>
      </c>
      <c r="L443">
        <v>3</v>
      </c>
      <c r="M443">
        <v>3345945.945945946</v>
      </c>
      <c r="N443">
        <v>67567.567567567996</v>
      </c>
      <c r="O443">
        <v>4132072.072072072</v>
      </c>
      <c r="P443">
        <v>4633963.963963964</v>
      </c>
      <c r="Q443">
        <v>1999369.369369369</v>
      </c>
      <c r="R443">
        <v>966216.21621621598</v>
      </c>
      <c r="S443">
        <v>2493</v>
      </c>
      <c r="T443">
        <v>2601</v>
      </c>
    </row>
    <row r="444" spans="1:20" x14ac:dyDescent="0.35">
      <c r="A444" s="7" t="s">
        <v>541</v>
      </c>
      <c r="B444" s="12" t="s">
        <v>169</v>
      </c>
      <c r="C444">
        <v>169774548.93112421</v>
      </c>
      <c r="D444">
        <v>158699524.27993092</v>
      </c>
      <c r="E444">
        <v>349099.099099099</v>
      </c>
      <c r="F444">
        <v>247747.74774774801</v>
      </c>
      <c r="G444">
        <v>12</v>
      </c>
      <c r="H444">
        <v>23</v>
      </c>
      <c r="K444">
        <v>14</v>
      </c>
      <c r="L444">
        <v>27</v>
      </c>
      <c r="M444">
        <v>11324234.234234234</v>
      </c>
      <c r="N444">
        <v>5863603.6036035987</v>
      </c>
      <c r="O444">
        <v>60805360.360360362</v>
      </c>
      <c r="P444">
        <v>58438414.414414413</v>
      </c>
      <c r="Q444">
        <v>10109909.909909908</v>
      </c>
      <c r="R444">
        <v>7068828.8288288256</v>
      </c>
      <c r="S444">
        <v>21594</v>
      </c>
      <c r="T444">
        <v>21166</v>
      </c>
    </row>
    <row r="445" spans="1:20" x14ac:dyDescent="0.35">
      <c r="A445" s="7" t="s">
        <v>542</v>
      </c>
      <c r="B445" s="12" t="s">
        <v>479</v>
      </c>
      <c r="C445">
        <v>54679090.496465623</v>
      </c>
      <c r="D445">
        <v>53035025.009806618</v>
      </c>
      <c r="F445">
        <v>27027.027027028002</v>
      </c>
      <c r="G445">
        <v>5</v>
      </c>
      <c r="H445">
        <v>2</v>
      </c>
      <c r="K445">
        <v>5</v>
      </c>
      <c r="L445">
        <v>4</v>
      </c>
      <c r="M445">
        <v>36036.036036035999</v>
      </c>
      <c r="N445">
        <v>27027.027027028002</v>
      </c>
      <c r="O445">
        <v>7041711.7117117122</v>
      </c>
      <c r="P445">
        <v>5482936.9369369373</v>
      </c>
      <c r="S445">
        <v>6415</v>
      </c>
      <c r="T445">
        <v>5528</v>
      </c>
    </row>
    <row r="446" spans="1:20" x14ac:dyDescent="0.35">
      <c r="A446" s="7" t="s">
        <v>543</v>
      </c>
      <c r="B446" s="12" t="s">
        <v>80</v>
      </c>
      <c r="C446">
        <v>13797269.435795767</v>
      </c>
      <c r="D446">
        <v>10367161.47500176</v>
      </c>
      <c r="E446">
        <v>22522.522522522999</v>
      </c>
      <c r="F446">
        <v>13513.513513514001</v>
      </c>
      <c r="G446">
        <v>2</v>
      </c>
      <c r="H446">
        <v>4</v>
      </c>
      <c r="K446">
        <v>2</v>
      </c>
      <c r="L446">
        <v>4</v>
      </c>
      <c r="M446">
        <v>2409909.9099099101</v>
      </c>
      <c r="N446">
        <v>788288.28828828805</v>
      </c>
      <c r="O446">
        <v>4325225.2252252251</v>
      </c>
      <c r="P446">
        <v>4013081.0810810812</v>
      </c>
      <c r="Q446">
        <v>1189729.729729729</v>
      </c>
      <c r="R446">
        <v>791621.62162162096</v>
      </c>
      <c r="S446">
        <v>2177</v>
      </c>
      <c r="T446">
        <v>2221</v>
      </c>
    </row>
    <row r="447" spans="1:20" x14ac:dyDescent="0.35">
      <c r="A447" s="7" t="s">
        <v>544</v>
      </c>
      <c r="B447" s="12" t="s">
        <v>169</v>
      </c>
      <c r="C447">
        <v>11496782.113101488</v>
      </c>
      <c r="D447">
        <v>14613462.23508813</v>
      </c>
      <c r="F447">
        <v>270270.27027027</v>
      </c>
      <c r="H447">
        <v>9</v>
      </c>
      <c r="L447">
        <v>10</v>
      </c>
      <c r="M447">
        <v>900900.90090090095</v>
      </c>
      <c r="N447">
        <v>1171171.17117117</v>
      </c>
      <c r="O447">
        <v>5684450.4504504502</v>
      </c>
      <c r="P447">
        <v>8542621.6216216218</v>
      </c>
      <c r="Q447">
        <v>207927.92792792799</v>
      </c>
      <c r="R447">
        <v>186486.48648648601</v>
      </c>
      <c r="S447">
        <v>2487</v>
      </c>
      <c r="T447">
        <v>2524</v>
      </c>
    </row>
    <row r="448" spans="1:20" x14ac:dyDescent="0.35">
      <c r="A448" s="7" t="s">
        <v>545</v>
      </c>
      <c r="B448" s="12" t="s">
        <v>224</v>
      </c>
      <c r="C448">
        <v>3270.2702702699999</v>
      </c>
    </row>
    <row r="449" spans="1:20" x14ac:dyDescent="0.35">
      <c r="A449" s="7" t="s">
        <v>546</v>
      </c>
      <c r="B449" s="12" t="s">
        <v>136</v>
      </c>
      <c r="C449">
        <v>34266241.975431554</v>
      </c>
      <c r="D449">
        <v>34051762.955673769</v>
      </c>
      <c r="E449">
        <v>256306.306306307</v>
      </c>
      <c r="F449">
        <v>139639.63963964101</v>
      </c>
      <c r="G449">
        <v>10</v>
      </c>
      <c r="H449">
        <v>8</v>
      </c>
      <c r="K449">
        <v>11</v>
      </c>
      <c r="L449">
        <v>10</v>
      </c>
      <c r="M449">
        <v>8076126.1261261264</v>
      </c>
      <c r="N449">
        <v>5998648.6486486467</v>
      </c>
      <c r="O449">
        <v>11161981.981981982</v>
      </c>
      <c r="P449">
        <v>11214646.846846849</v>
      </c>
      <c r="Q449">
        <v>6465405.405405404</v>
      </c>
      <c r="R449">
        <v>7097927.9279279299</v>
      </c>
      <c r="S449">
        <v>4438</v>
      </c>
      <c r="T449">
        <v>4427</v>
      </c>
    </row>
    <row r="450" spans="1:20" x14ac:dyDescent="0.35">
      <c r="A450" s="7" t="s">
        <v>547</v>
      </c>
      <c r="B450" s="12" t="s">
        <v>136</v>
      </c>
      <c r="C450">
        <v>61176718.53728871</v>
      </c>
      <c r="D450">
        <v>63944059.970556602</v>
      </c>
      <c r="E450">
        <v>28242324.324324325</v>
      </c>
      <c r="F450">
        <v>44752168.468468472</v>
      </c>
      <c r="G450">
        <v>16</v>
      </c>
      <c r="H450">
        <v>32</v>
      </c>
      <c r="K450">
        <v>23</v>
      </c>
      <c r="L450">
        <v>41</v>
      </c>
      <c r="M450">
        <v>13224774.774774771</v>
      </c>
      <c r="N450">
        <v>10713513.513513513</v>
      </c>
      <c r="O450">
        <v>17071466.666666664</v>
      </c>
      <c r="P450">
        <v>20978513.513513513</v>
      </c>
      <c r="Q450">
        <v>10948108.108108105</v>
      </c>
      <c r="R450">
        <v>11982882.88288288</v>
      </c>
      <c r="S450">
        <v>12623</v>
      </c>
      <c r="T450">
        <v>12823</v>
      </c>
    </row>
    <row r="451" spans="1:20" x14ac:dyDescent="0.35">
      <c r="A451" s="7" t="s">
        <v>548</v>
      </c>
      <c r="B451" s="12" t="s">
        <v>136</v>
      </c>
      <c r="C451">
        <v>70799024.451422021</v>
      </c>
      <c r="D451">
        <v>69313076.911550596</v>
      </c>
      <c r="E451">
        <v>314414.41441441397</v>
      </c>
      <c r="F451">
        <v>477477.47747747798</v>
      </c>
      <c r="G451">
        <v>5</v>
      </c>
      <c r="H451">
        <v>4</v>
      </c>
      <c r="K451">
        <v>9</v>
      </c>
      <c r="L451">
        <v>6</v>
      </c>
      <c r="M451">
        <v>4188288.2882882878</v>
      </c>
      <c r="N451">
        <v>3180180.1801801799</v>
      </c>
      <c r="O451">
        <v>10548369.369369373</v>
      </c>
      <c r="P451">
        <v>10804342.342342339</v>
      </c>
      <c r="Q451">
        <v>2512882.8828828838</v>
      </c>
      <c r="R451">
        <v>3245135.1351351361</v>
      </c>
      <c r="S451">
        <v>8248</v>
      </c>
      <c r="T451">
        <v>8450</v>
      </c>
    </row>
    <row r="452" spans="1:20" x14ac:dyDescent="0.35">
      <c r="A452" s="7" t="s">
        <v>549</v>
      </c>
      <c r="B452" s="12" t="s">
        <v>136</v>
      </c>
      <c r="C452">
        <v>32174226.252027303</v>
      </c>
      <c r="D452">
        <v>28425744.557324976</v>
      </c>
      <c r="E452">
        <v>4504.5045045050001</v>
      </c>
      <c r="F452">
        <v>40540.540540540998</v>
      </c>
      <c r="G452">
        <v>7</v>
      </c>
      <c r="H452">
        <v>5</v>
      </c>
      <c r="K452">
        <v>10</v>
      </c>
      <c r="L452">
        <v>6</v>
      </c>
      <c r="M452">
        <v>2707207.207207208</v>
      </c>
      <c r="N452">
        <v>220720.720720721</v>
      </c>
      <c r="O452">
        <v>5355945.9459459446</v>
      </c>
      <c r="P452">
        <v>5487792.7927927934</v>
      </c>
      <c r="Q452">
        <v>1970360.36036036</v>
      </c>
      <c r="R452">
        <v>2397027.0270270272</v>
      </c>
      <c r="S452">
        <v>3830</v>
      </c>
      <c r="T452">
        <v>3621</v>
      </c>
    </row>
    <row r="453" spans="1:20" x14ac:dyDescent="0.35">
      <c r="A453" s="7" t="s">
        <v>550</v>
      </c>
      <c r="B453" s="12" t="s">
        <v>87</v>
      </c>
      <c r="C453">
        <v>15509858.026824424</v>
      </c>
      <c r="D453">
        <v>12315524.770233059</v>
      </c>
      <c r="E453">
        <v>1801.801801802</v>
      </c>
      <c r="F453">
        <v>27027.027027027001</v>
      </c>
      <c r="G453">
        <v>6</v>
      </c>
      <c r="H453">
        <v>2</v>
      </c>
      <c r="K453">
        <v>7</v>
      </c>
      <c r="L453">
        <v>4</v>
      </c>
      <c r="M453">
        <v>722522.52252252295</v>
      </c>
      <c r="N453">
        <v>927927.92792792805</v>
      </c>
      <c r="O453">
        <v>2868468.4684684682</v>
      </c>
      <c r="P453">
        <v>2102738.7387387389</v>
      </c>
      <c r="Q453">
        <v>1050630.630630631</v>
      </c>
      <c r="R453">
        <v>821891.89189189102</v>
      </c>
      <c r="S453">
        <v>1403</v>
      </c>
      <c r="T453">
        <v>1350</v>
      </c>
    </row>
    <row r="454" spans="1:20" x14ac:dyDescent="0.35">
      <c r="A454" s="7" t="s">
        <v>551</v>
      </c>
      <c r="B454" s="12" t="s">
        <v>87</v>
      </c>
      <c r="C454">
        <v>21734548.984742593</v>
      </c>
      <c r="D454">
        <v>19365630.095349915</v>
      </c>
      <c r="E454">
        <v>1801.801801802</v>
      </c>
      <c r="F454">
        <v>40540.540540540998</v>
      </c>
      <c r="G454">
        <v>12</v>
      </c>
      <c r="H454">
        <v>3</v>
      </c>
      <c r="I454">
        <v>1</v>
      </c>
      <c r="K454">
        <v>16</v>
      </c>
      <c r="L454">
        <v>6</v>
      </c>
      <c r="M454">
        <v>181981.98198198201</v>
      </c>
      <c r="N454">
        <v>3193693.6936936942</v>
      </c>
      <c r="O454">
        <v>2610045.0450450452</v>
      </c>
      <c r="P454">
        <v>2024637.8378378381</v>
      </c>
      <c r="Q454">
        <v>995225.22522522602</v>
      </c>
      <c r="R454">
        <v>704144.14414414403</v>
      </c>
      <c r="S454">
        <v>2648</v>
      </c>
      <c r="T454">
        <v>2619</v>
      </c>
    </row>
    <row r="455" spans="1:20" x14ac:dyDescent="0.35">
      <c r="A455" s="7" t="s">
        <v>552</v>
      </c>
      <c r="B455" s="12" t="s">
        <v>66</v>
      </c>
      <c r="C455">
        <v>35208449.732667446</v>
      </c>
      <c r="D455">
        <v>35407287.340784222</v>
      </c>
      <c r="E455">
        <v>951081.081081082</v>
      </c>
      <c r="F455">
        <v>108108.10810811</v>
      </c>
      <c r="G455">
        <v>11</v>
      </c>
      <c r="H455">
        <v>11</v>
      </c>
      <c r="K455">
        <v>12</v>
      </c>
      <c r="L455">
        <v>16</v>
      </c>
      <c r="M455">
        <v>7193963.9639639594</v>
      </c>
      <c r="N455">
        <v>3970540.5405405331</v>
      </c>
      <c r="O455">
        <v>14864513.513513515</v>
      </c>
      <c r="P455">
        <v>15405864.864864863</v>
      </c>
      <c r="Q455">
        <v>6041441.4414414363</v>
      </c>
      <c r="R455">
        <v>4651981.9819819788</v>
      </c>
      <c r="S455">
        <v>8994</v>
      </c>
      <c r="T455">
        <v>9404</v>
      </c>
    </row>
    <row r="456" spans="1:20" x14ac:dyDescent="0.35">
      <c r="A456" s="7" t="s">
        <v>35</v>
      </c>
      <c r="B456" s="12" t="s">
        <v>158</v>
      </c>
      <c r="M456">
        <v>3547747.7477477482</v>
      </c>
      <c r="N456">
        <v>2848873.8738738741</v>
      </c>
    </row>
    <row r="457" spans="1:20" x14ac:dyDescent="0.35">
      <c r="A457" s="7" t="s">
        <v>553</v>
      </c>
      <c r="B457" s="12" t="s">
        <v>554</v>
      </c>
      <c r="C457">
        <v>74591937.405508772</v>
      </c>
      <c r="D457">
        <v>67084312.183907546</v>
      </c>
      <c r="E457">
        <v>1109660.36036036</v>
      </c>
      <c r="F457">
        <v>1742655.855855857</v>
      </c>
      <c r="G457">
        <v>14</v>
      </c>
      <c r="H457">
        <v>8</v>
      </c>
      <c r="K457">
        <v>17</v>
      </c>
      <c r="L457">
        <v>11</v>
      </c>
      <c r="M457">
        <v>8108288.2882882832</v>
      </c>
      <c r="N457">
        <v>15272072.072072068</v>
      </c>
      <c r="O457">
        <v>18659819.819819819</v>
      </c>
      <c r="P457">
        <v>19210990.990990993</v>
      </c>
      <c r="Q457">
        <v>5841351.351351345</v>
      </c>
      <c r="R457">
        <v>10338738.738738736</v>
      </c>
      <c r="S457">
        <v>9339</v>
      </c>
      <c r="T457">
        <v>8998</v>
      </c>
    </row>
    <row r="458" spans="1:20" x14ac:dyDescent="0.35">
      <c r="A458" s="7" t="s">
        <v>555</v>
      </c>
      <c r="B458" s="12" t="s">
        <v>554</v>
      </c>
      <c r="C458">
        <v>11217095.284173099</v>
      </c>
      <c r="D458">
        <v>10133922.277959973</v>
      </c>
      <c r="E458">
        <v>3603.603603604</v>
      </c>
      <c r="G458">
        <v>4</v>
      </c>
      <c r="H458">
        <v>1</v>
      </c>
      <c r="K458">
        <v>4</v>
      </c>
      <c r="L458">
        <v>2</v>
      </c>
      <c r="M458">
        <v>797837.83783783601</v>
      </c>
      <c r="O458">
        <v>4123738.738738738</v>
      </c>
      <c r="P458">
        <v>3900585.5855855858</v>
      </c>
      <c r="Q458">
        <v>802522.52252252202</v>
      </c>
      <c r="R458">
        <v>602702.70270270295</v>
      </c>
      <c r="S458">
        <v>1643</v>
      </c>
      <c r="T458">
        <v>1505</v>
      </c>
    </row>
    <row r="459" spans="1:20" x14ac:dyDescent="0.35">
      <c r="A459" s="7" t="s">
        <v>556</v>
      </c>
      <c r="B459" s="12" t="s">
        <v>121</v>
      </c>
      <c r="C459">
        <v>9009804.8255958166</v>
      </c>
      <c r="D459">
        <v>9003820.3835473452</v>
      </c>
      <c r="F459">
        <v>180180.18018018</v>
      </c>
      <c r="G459">
        <v>2</v>
      </c>
      <c r="H459">
        <v>2</v>
      </c>
      <c r="K459">
        <v>2</v>
      </c>
      <c r="L459">
        <v>2</v>
      </c>
      <c r="N459">
        <v>180180.18018018</v>
      </c>
      <c r="O459">
        <v>411711.71171171201</v>
      </c>
      <c r="P459">
        <v>1059279.27927928</v>
      </c>
      <c r="Q459">
        <v>92792.792792793</v>
      </c>
      <c r="S459">
        <v>1415</v>
      </c>
      <c r="T459">
        <v>1280</v>
      </c>
    </row>
    <row r="460" spans="1:20" x14ac:dyDescent="0.35">
      <c r="A460" s="7" t="s">
        <v>557</v>
      </c>
      <c r="B460" s="12" t="s">
        <v>70</v>
      </c>
      <c r="C460">
        <v>68179120.182619154</v>
      </c>
      <c r="D460">
        <v>69799059.19353424</v>
      </c>
      <c r="E460">
        <v>206486.486486487</v>
      </c>
      <c r="F460">
        <v>801801.80180180597</v>
      </c>
      <c r="G460">
        <v>13</v>
      </c>
      <c r="H460">
        <v>14</v>
      </c>
      <c r="K460">
        <v>14</v>
      </c>
      <c r="L460">
        <v>19</v>
      </c>
      <c r="M460">
        <v>3006486.4864864899</v>
      </c>
      <c r="N460">
        <v>4945945.9459459493</v>
      </c>
      <c r="O460">
        <v>25608783.783783782</v>
      </c>
      <c r="P460">
        <v>27005567.567567568</v>
      </c>
      <c r="Q460">
        <v>7308378.3783783801</v>
      </c>
      <c r="R460">
        <v>10941171.171171175</v>
      </c>
      <c r="S460">
        <v>10394</v>
      </c>
      <c r="T460">
        <v>10047</v>
      </c>
    </row>
    <row r="461" spans="1:20" x14ac:dyDescent="0.35">
      <c r="A461" s="7" t="s">
        <v>558</v>
      </c>
      <c r="B461" s="12" t="s">
        <v>62</v>
      </c>
      <c r="C461">
        <v>124256897.82216164</v>
      </c>
      <c r="D461">
        <v>124802275.54691075</v>
      </c>
      <c r="E461">
        <v>1686936.936936938</v>
      </c>
      <c r="F461">
        <v>1635135.13513514</v>
      </c>
      <c r="G461">
        <v>26</v>
      </c>
      <c r="H461">
        <v>30</v>
      </c>
      <c r="K461">
        <v>36</v>
      </c>
      <c r="L461">
        <v>56</v>
      </c>
      <c r="M461">
        <v>11869639.639639637</v>
      </c>
      <c r="N461">
        <v>8813153.1531531513</v>
      </c>
      <c r="O461">
        <v>27763333.333333336</v>
      </c>
      <c r="P461">
        <v>28077729.729729727</v>
      </c>
      <c r="Q461">
        <v>8328648.6486486467</v>
      </c>
      <c r="R461">
        <v>7524504.5045045009</v>
      </c>
      <c r="S461">
        <v>17881</v>
      </c>
      <c r="T461">
        <v>18387</v>
      </c>
    </row>
    <row r="462" spans="1:20" x14ac:dyDescent="0.35">
      <c r="A462" s="7" t="s">
        <v>559</v>
      </c>
      <c r="B462" s="12" t="s">
        <v>479</v>
      </c>
      <c r="C462">
        <v>62142227.843751498</v>
      </c>
      <c r="D462">
        <v>58486156.249540128</v>
      </c>
      <c r="E462">
        <v>23423.423423425</v>
      </c>
      <c r="F462">
        <v>288288.28828829201</v>
      </c>
      <c r="G462">
        <v>28</v>
      </c>
      <c r="H462">
        <v>13</v>
      </c>
      <c r="K462">
        <v>30</v>
      </c>
      <c r="L462">
        <v>17</v>
      </c>
      <c r="M462">
        <v>8097297.297297298</v>
      </c>
      <c r="N462">
        <v>6936936.9369369419</v>
      </c>
      <c r="O462">
        <v>17790531.531531531</v>
      </c>
      <c r="P462">
        <v>16354720.720720721</v>
      </c>
      <c r="Q462">
        <v>5143513.5135135148</v>
      </c>
      <c r="R462">
        <v>5195405.405405405</v>
      </c>
      <c r="S462">
        <v>7944</v>
      </c>
      <c r="T462">
        <v>7665</v>
      </c>
    </row>
    <row r="463" spans="1:20" x14ac:dyDescent="0.35">
      <c r="A463" s="7" t="s">
        <v>560</v>
      </c>
      <c r="B463" s="12" t="s">
        <v>236</v>
      </c>
      <c r="C463">
        <v>9221930.5515548568</v>
      </c>
      <c r="D463">
        <v>9608702.954353882</v>
      </c>
      <c r="E463">
        <v>3603.603603604</v>
      </c>
      <c r="F463">
        <v>13513.513513514001</v>
      </c>
      <c r="G463">
        <v>2</v>
      </c>
      <c r="H463">
        <v>2</v>
      </c>
      <c r="K463">
        <v>3</v>
      </c>
      <c r="L463">
        <v>3</v>
      </c>
      <c r="M463">
        <v>904504.50450450496</v>
      </c>
      <c r="N463">
        <v>13513.513513514001</v>
      </c>
      <c r="O463">
        <v>3236531.5315315309</v>
      </c>
      <c r="P463">
        <v>3588882.8828828838</v>
      </c>
      <c r="Q463">
        <v>158918.91891891899</v>
      </c>
      <c r="R463">
        <v>80180.180180180003</v>
      </c>
      <c r="S463">
        <v>2117</v>
      </c>
      <c r="T463">
        <v>2072</v>
      </c>
    </row>
    <row r="464" spans="1:20" x14ac:dyDescent="0.35">
      <c r="A464" s="7" t="s">
        <v>561</v>
      </c>
      <c r="B464" s="12" t="s">
        <v>60</v>
      </c>
      <c r="C464">
        <v>9732827.1801441591</v>
      </c>
      <c r="D464">
        <v>10018390.839125291</v>
      </c>
      <c r="E464">
        <v>9459.4594594600003</v>
      </c>
      <c r="F464">
        <v>243243.24324324401</v>
      </c>
      <c r="G464">
        <v>2</v>
      </c>
      <c r="H464">
        <v>9</v>
      </c>
      <c r="K464">
        <v>3</v>
      </c>
      <c r="L464">
        <v>10</v>
      </c>
      <c r="M464">
        <v>3072522.5225225231</v>
      </c>
      <c r="N464">
        <v>2135135.1351351342</v>
      </c>
      <c r="O464">
        <v>3489774.7747747758</v>
      </c>
      <c r="P464">
        <v>3986234.2342342348</v>
      </c>
      <c r="Q464">
        <v>1530540.5405405399</v>
      </c>
      <c r="R464">
        <v>3367117.1171171148</v>
      </c>
      <c r="S464">
        <v>1321</v>
      </c>
      <c r="T464">
        <v>1184</v>
      </c>
    </row>
    <row r="465" spans="1:20" x14ac:dyDescent="0.35">
      <c r="A465" s="7" t="s">
        <v>562</v>
      </c>
      <c r="B465" s="12" t="s">
        <v>563</v>
      </c>
      <c r="C465">
        <v>47821381.792684205</v>
      </c>
      <c r="D465">
        <v>51613343.038692102</v>
      </c>
      <c r="E465">
        <v>594286.48648648697</v>
      </c>
      <c r="F465">
        <v>73774363.06306307</v>
      </c>
      <c r="G465">
        <v>16</v>
      </c>
      <c r="H465">
        <v>12</v>
      </c>
      <c r="K465">
        <v>25</v>
      </c>
      <c r="L465">
        <v>20</v>
      </c>
      <c r="M465">
        <v>7710765.7657657694</v>
      </c>
      <c r="N465">
        <v>14635135.135135144</v>
      </c>
      <c r="O465">
        <v>19412117.117117114</v>
      </c>
      <c r="P465">
        <v>22312171.17117117</v>
      </c>
      <c r="Q465">
        <v>28118237.837837841</v>
      </c>
      <c r="R465">
        <v>41437563.963963971</v>
      </c>
      <c r="S465">
        <v>8253</v>
      </c>
      <c r="T465">
        <v>8897</v>
      </c>
    </row>
    <row r="466" spans="1:20" x14ac:dyDescent="0.35">
      <c r="A466" s="7" t="s">
        <v>564</v>
      </c>
      <c r="B466" s="12" t="s">
        <v>563</v>
      </c>
      <c r="C466">
        <v>71655216.369742125</v>
      </c>
      <c r="D466">
        <v>69102009.464682341</v>
      </c>
      <c r="E466">
        <v>17117.117117116999</v>
      </c>
      <c r="F466">
        <v>310810.81081081502</v>
      </c>
      <c r="G466">
        <v>8</v>
      </c>
      <c r="H466">
        <v>9</v>
      </c>
      <c r="K466">
        <v>12</v>
      </c>
      <c r="L466">
        <v>13</v>
      </c>
      <c r="M466">
        <v>7087387.3873873884</v>
      </c>
      <c r="N466">
        <v>3325225.2252252288</v>
      </c>
      <c r="O466">
        <v>27093963.963963963</v>
      </c>
      <c r="P466">
        <v>28284549.549549554</v>
      </c>
      <c r="Q466">
        <v>5822882.8828828884</v>
      </c>
      <c r="R466">
        <v>4074234.2342342399</v>
      </c>
      <c r="S466">
        <v>12244</v>
      </c>
      <c r="T466">
        <v>12222</v>
      </c>
    </row>
    <row r="467" spans="1:20" x14ac:dyDescent="0.35">
      <c r="A467" s="7" t="s">
        <v>565</v>
      </c>
      <c r="B467" s="12" t="s">
        <v>563</v>
      </c>
      <c r="C467">
        <v>47844164.228991263</v>
      </c>
      <c r="D467">
        <v>51143606.761060268</v>
      </c>
      <c r="E467">
        <v>16216.216216217001</v>
      </c>
      <c r="F467">
        <v>204178.37837838</v>
      </c>
      <c r="G467">
        <v>13</v>
      </c>
      <c r="H467">
        <v>5</v>
      </c>
      <c r="K467">
        <v>22</v>
      </c>
      <c r="L467">
        <v>9</v>
      </c>
      <c r="M467">
        <v>3523513.5135135148</v>
      </c>
      <c r="N467">
        <v>2532972.9729729798</v>
      </c>
      <c r="O467">
        <v>21270180.180180181</v>
      </c>
      <c r="P467">
        <v>23735972.97297297</v>
      </c>
      <c r="Q467">
        <v>4531981.9819819843</v>
      </c>
      <c r="R467">
        <v>2619819.8198198248</v>
      </c>
      <c r="S467">
        <v>11547</v>
      </c>
      <c r="T467">
        <v>11687</v>
      </c>
    </row>
    <row r="468" spans="1:20" x14ac:dyDescent="0.35">
      <c r="A468" s="7" t="s">
        <v>566</v>
      </c>
      <c r="B468" s="12" t="s">
        <v>563</v>
      </c>
      <c r="C468">
        <v>31529663.20489008</v>
      </c>
      <c r="D468">
        <v>36975180.596071959</v>
      </c>
      <c r="E468">
        <v>108108.108108108</v>
      </c>
      <c r="F468">
        <v>27027.027027028002</v>
      </c>
      <c r="G468">
        <v>8</v>
      </c>
      <c r="H468">
        <v>6</v>
      </c>
      <c r="K468">
        <v>10</v>
      </c>
      <c r="L468">
        <v>7</v>
      </c>
      <c r="M468">
        <v>8766846.8468468469</v>
      </c>
      <c r="N468">
        <v>989189.18918919098</v>
      </c>
      <c r="O468">
        <v>18145675.675675675</v>
      </c>
      <c r="P468">
        <v>20685270.270270273</v>
      </c>
      <c r="Q468">
        <v>7219459.4594594603</v>
      </c>
      <c r="R468">
        <v>2265315.3153153169</v>
      </c>
      <c r="S468">
        <v>6598</v>
      </c>
      <c r="T468">
        <v>6484</v>
      </c>
    </row>
    <row r="469" spans="1:20" x14ac:dyDescent="0.35">
      <c r="A469" s="7" t="s">
        <v>567</v>
      </c>
      <c r="B469" s="12" t="s">
        <v>563</v>
      </c>
      <c r="C469">
        <v>19008357.695614036</v>
      </c>
      <c r="D469">
        <v>20259661.608965583</v>
      </c>
      <c r="E469">
        <v>300450.45045045298</v>
      </c>
      <c r="F469">
        <v>94594.594594595997</v>
      </c>
      <c r="G469">
        <v>1</v>
      </c>
      <c r="H469">
        <v>1</v>
      </c>
      <c r="K469">
        <v>3</v>
      </c>
      <c r="L469">
        <v>2</v>
      </c>
      <c r="M469">
        <v>1272477.47747748</v>
      </c>
      <c r="N469">
        <v>2138963.963963965</v>
      </c>
      <c r="O469">
        <v>7832657.6576576587</v>
      </c>
      <c r="P469">
        <v>8208738.738738738</v>
      </c>
      <c r="Q469">
        <v>4839054.0540540554</v>
      </c>
      <c r="R469">
        <v>1499324.3243243271</v>
      </c>
      <c r="S469">
        <v>4800</v>
      </c>
      <c r="T469">
        <v>4881</v>
      </c>
    </row>
    <row r="470" spans="1:20" x14ac:dyDescent="0.35">
      <c r="A470" s="7" t="s">
        <v>568</v>
      </c>
      <c r="B470" s="12" t="s">
        <v>48</v>
      </c>
      <c r="C470">
        <v>46421104.423636615</v>
      </c>
      <c r="D470">
        <v>43773965.948289201</v>
      </c>
      <c r="E470">
        <v>2252.2522522519998</v>
      </c>
      <c r="F470">
        <v>270270.27027027</v>
      </c>
      <c r="G470">
        <v>1</v>
      </c>
      <c r="H470">
        <v>2</v>
      </c>
      <c r="K470">
        <v>1</v>
      </c>
      <c r="L470">
        <v>2</v>
      </c>
      <c r="M470">
        <v>903153.15315315302</v>
      </c>
      <c r="N470">
        <v>1171171.1711711709</v>
      </c>
      <c r="O470">
        <v>4364189.1891891882</v>
      </c>
      <c r="P470">
        <v>4529099.0990990996</v>
      </c>
      <c r="Q470">
        <v>1217387.387387387</v>
      </c>
      <c r="R470">
        <v>1095225.2252252251</v>
      </c>
      <c r="S470">
        <v>6124</v>
      </c>
      <c r="T470">
        <v>5931</v>
      </c>
    </row>
    <row r="471" spans="1:20" x14ac:dyDescent="0.35">
      <c r="A471" s="7" t="s">
        <v>569</v>
      </c>
      <c r="B471" s="12" t="s">
        <v>169</v>
      </c>
      <c r="C471">
        <v>371614495.8761006</v>
      </c>
      <c r="D471">
        <v>429877950.03453469</v>
      </c>
      <c r="E471">
        <v>416980655.85585588</v>
      </c>
      <c r="F471">
        <v>8099664.8648648709</v>
      </c>
      <c r="G471">
        <v>171</v>
      </c>
      <c r="H471">
        <v>208</v>
      </c>
      <c r="I471">
        <v>1</v>
      </c>
      <c r="K471">
        <v>212</v>
      </c>
      <c r="L471">
        <v>325</v>
      </c>
      <c r="M471">
        <v>85906486.486486495</v>
      </c>
      <c r="N471">
        <v>70415675.67567566</v>
      </c>
      <c r="O471">
        <v>129152684.68468469</v>
      </c>
      <c r="P471">
        <v>156412205.4054054</v>
      </c>
      <c r="Q471">
        <v>66890270.270270273</v>
      </c>
      <c r="R471">
        <v>61040493.69369369</v>
      </c>
      <c r="S471">
        <v>55111</v>
      </c>
      <c r="T471">
        <v>58171</v>
      </c>
    </row>
    <row r="472" spans="1:20" x14ac:dyDescent="0.35">
      <c r="A472" s="7" t="s">
        <v>666</v>
      </c>
      <c r="B472" s="12" t="s">
        <v>214</v>
      </c>
      <c r="M472">
        <v>56756.756756757</v>
      </c>
    </row>
    <row r="473" spans="1:20" x14ac:dyDescent="0.35">
      <c r="A473" s="7" t="s">
        <v>672</v>
      </c>
      <c r="B473" s="12" t="s">
        <v>117</v>
      </c>
      <c r="M473">
        <v>1187612.612612613</v>
      </c>
      <c r="N473">
        <v>158108.10810810799</v>
      </c>
    </row>
    <row r="474" spans="1:20" x14ac:dyDescent="0.35">
      <c r="A474" s="7" t="s">
        <v>570</v>
      </c>
      <c r="B474" s="12" t="s">
        <v>220</v>
      </c>
      <c r="C474">
        <v>38721017.739840537</v>
      </c>
      <c r="D474">
        <v>40317932.593487404</v>
      </c>
      <c r="E474">
        <v>286486.48648648598</v>
      </c>
      <c r="F474">
        <v>220720.720720721</v>
      </c>
      <c r="G474">
        <v>3</v>
      </c>
      <c r="H474">
        <v>5</v>
      </c>
      <c r="K474">
        <v>4</v>
      </c>
      <c r="L474">
        <v>6</v>
      </c>
      <c r="M474">
        <v>1385585.585585586</v>
      </c>
      <c r="N474">
        <v>393153.15315315302</v>
      </c>
      <c r="O474">
        <v>5675090.0900900885</v>
      </c>
      <c r="P474">
        <v>6120783.7837837832</v>
      </c>
      <c r="Q474">
        <v>1393963.963963964</v>
      </c>
      <c r="R474">
        <v>417477.47747747699</v>
      </c>
      <c r="S474">
        <v>5210</v>
      </c>
      <c r="T474">
        <v>5140</v>
      </c>
    </row>
    <row r="475" spans="1:20" x14ac:dyDescent="0.35">
      <c r="A475" s="7" t="s">
        <v>571</v>
      </c>
      <c r="B475" s="12" t="s">
        <v>85</v>
      </c>
      <c r="C475">
        <v>47759523.165640302</v>
      </c>
      <c r="D475">
        <v>47735546.27774401</v>
      </c>
      <c r="E475">
        <v>3603.603603604</v>
      </c>
      <c r="F475">
        <v>184684.684684687</v>
      </c>
      <c r="G475">
        <v>8</v>
      </c>
      <c r="H475">
        <v>5</v>
      </c>
      <c r="K475">
        <v>8</v>
      </c>
      <c r="L475">
        <v>5</v>
      </c>
      <c r="M475">
        <v>183783.78378378399</v>
      </c>
      <c r="N475">
        <v>1022522.522522524</v>
      </c>
      <c r="O475">
        <v>9885495.4954954963</v>
      </c>
      <c r="P475">
        <v>10978459.459459459</v>
      </c>
      <c r="Q475">
        <v>3813693.6936936928</v>
      </c>
      <c r="R475">
        <v>901621.62162162201</v>
      </c>
      <c r="S475">
        <v>4988</v>
      </c>
      <c r="T475">
        <v>5003</v>
      </c>
    </row>
    <row r="476" spans="1:20" x14ac:dyDescent="0.35">
      <c r="A476" s="7" t="s">
        <v>572</v>
      </c>
      <c r="B476" s="12" t="s">
        <v>479</v>
      </c>
      <c r="C476">
        <v>23775956.365471922</v>
      </c>
      <c r="D476">
        <v>32134249.607507795</v>
      </c>
      <c r="E476">
        <v>936936.93693693797</v>
      </c>
      <c r="F476">
        <v>297297.29729730001</v>
      </c>
      <c r="G476">
        <v>8</v>
      </c>
      <c r="H476">
        <v>19</v>
      </c>
      <c r="K476">
        <v>13</v>
      </c>
      <c r="L476">
        <v>25</v>
      </c>
      <c r="M476">
        <v>5290720.7207207195</v>
      </c>
      <c r="N476">
        <v>3046846.8468468469</v>
      </c>
      <c r="O476">
        <v>7688108.1081081098</v>
      </c>
      <c r="P476">
        <v>13498234.234234234</v>
      </c>
      <c r="Q476">
        <v>5117297.2972972961</v>
      </c>
      <c r="R476">
        <v>3099729.7297297278</v>
      </c>
      <c r="S476">
        <v>5185</v>
      </c>
      <c r="T476">
        <v>5969</v>
      </c>
    </row>
    <row r="477" spans="1:20" x14ac:dyDescent="0.35">
      <c r="A477" s="7" t="s">
        <v>573</v>
      </c>
      <c r="B477" s="12" t="s">
        <v>94</v>
      </c>
      <c r="C477">
        <v>68330942.044475526</v>
      </c>
      <c r="D477">
        <v>59288103.449914552</v>
      </c>
      <c r="E477">
        <v>409909.90990991</v>
      </c>
      <c r="F477">
        <v>396396.39639639802</v>
      </c>
      <c r="G477">
        <v>11</v>
      </c>
      <c r="H477">
        <v>8</v>
      </c>
      <c r="K477">
        <v>12</v>
      </c>
      <c r="L477">
        <v>14</v>
      </c>
      <c r="M477">
        <v>4914414.4144144142</v>
      </c>
      <c r="N477">
        <v>101495495.49549548</v>
      </c>
      <c r="O477">
        <v>15126734.234234234</v>
      </c>
      <c r="P477">
        <v>16591340.540540541</v>
      </c>
      <c r="Q477">
        <v>4600630.6306306301</v>
      </c>
      <c r="R477">
        <v>11533063.063063065</v>
      </c>
      <c r="S477">
        <v>9747</v>
      </c>
      <c r="T477">
        <v>9679</v>
      </c>
    </row>
    <row r="478" spans="1:20" x14ac:dyDescent="0.35">
      <c r="A478" s="7" t="s">
        <v>574</v>
      </c>
      <c r="B478" s="12" t="s">
        <v>307</v>
      </c>
      <c r="C478">
        <v>146868085.90234724</v>
      </c>
      <c r="D478">
        <v>157445297.1192123</v>
      </c>
      <c r="E478">
        <v>568468.46846846899</v>
      </c>
      <c r="F478">
        <v>1247747.74774775</v>
      </c>
      <c r="G478">
        <v>16</v>
      </c>
      <c r="H478">
        <v>32</v>
      </c>
      <c r="K478">
        <v>24</v>
      </c>
      <c r="L478">
        <v>55</v>
      </c>
      <c r="M478">
        <v>17179234.234234236</v>
      </c>
      <c r="N478">
        <v>7140270.2702702759</v>
      </c>
      <c r="O478">
        <v>53917522.522522517</v>
      </c>
      <c r="P478">
        <v>63243935.135135137</v>
      </c>
      <c r="Q478">
        <v>10214639.639639638</v>
      </c>
      <c r="R478">
        <v>10020000.000000004</v>
      </c>
      <c r="S478">
        <v>32339</v>
      </c>
      <c r="T478">
        <v>33368</v>
      </c>
    </row>
    <row r="479" spans="1:20" x14ac:dyDescent="0.35">
      <c r="A479" s="7" t="s">
        <v>10</v>
      </c>
      <c r="B479" s="12" t="s">
        <v>193</v>
      </c>
      <c r="C479">
        <v>24563993.273955133</v>
      </c>
      <c r="D479">
        <v>22603530.587260168</v>
      </c>
      <c r="E479">
        <v>48711599.0990991</v>
      </c>
      <c r="F479">
        <v>48760753.153153151</v>
      </c>
      <c r="G479">
        <v>3</v>
      </c>
      <c r="H479">
        <v>3</v>
      </c>
      <c r="K479">
        <v>3</v>
      </c>
      <c r="L479">
        <v>3</v>
      </c>
      <c r="O479">
        <v>14163918.918918921</v>
      </c>
      <c r="P479">
        <v>13939099.0990991</v>
      </c>
      <c r="R479">
        <v>11081.081081081</v>
      </c>
      <c r="S479">
        <v>3747</v>
      </c>
      <c r="T479">
        <v>3607</v>
      </c>
    </row>
    <row r="480" spans="1:20" x14ac:dyDescent="0.35">
      <c r="A480" s="7" t="s">
        <v>575</v>
      </c>
      <c r="B480" s="12" t="s">
        <v>87</v>
      </c>
      <c r="C480">
        <v>588260.03933361499</v>
      </c>
      <c r="D480">
        <v>661601.34346051503</v>
      </c>
      <c r="H480">
        <v>2</v>
      </c>
      <c r="L480">
        <v>2</v>
      </c>
      <c r="O480">
        <v>301801.80180180201</v>
      </c>
      <c r="P480">
        <v>183836.03603603601</v>
      </c>
      <c r="S480">
        <v>259</v>
      </c>
      <c r="T480">
        <v>189</v>
      </c>
    </row>
    <row r="481" spans="1:20" x14ac:dyDescent="0.35">
      <c r="A481" s="7" t="s">
        <v>576</v>
      </c>
      <c r="B481" s="12" t="s">
        <v>283</v>
      </c>
      <c r="C481">
        <v>37730902.458481655</v>
      </c>
      <c r="D481">
        <v>35470292.557804741</v>
      </c>
      <c r="E481">
        <v>27027.027027027001</v>
      </c>
      <c r="G481">
        <v>4</v>
      </c>
      <c r="H481">
        <v>1</v>
      </c>
      <c r="K481">
        <v>5</v>
      </c>
      <c r="L481">
        <v>1</v>
      </c>
      <c r="M481">
        <v>3180180.1801801799</v>
      </c>
      <c r="O481">
        <v>5307432.4324324317</v>
      </c>
      <c r="P481">
        <v>4692828.8288288293</v>
      </c>
      <c r="Q481">
        <v>1581981.981981982</v>
      </c>
      <c r="R481">
        <v>918918.91891891905</v>
      </c>
      <c r="S481">
        <v>3550</v>
      </c>
      <c r="T481">
        <v>3412</v>
      </c>
    </row>
    <row r="482" spans="1:20" x14ac:dyDescent="0.35">
      <c r="A482" s="7" t="s">
        <v>577</v>
      </c>
      <c r="B482" s="12" t="s">
        <v>307</v>
      </c>
      <c r="C482">
        <v>147128143.84924555</v>
      </c>
      <c r="D482">
        <v>145959060.91827741</v>
      </c>
      <c r="E482">
        <v>70540.540540543007</v>
      </c>
      <c r="F482">
        <v>1090090.0900900939</v>
      </c>
      <c r="G482">
        <v>32</v>
      </c>
      <c r="H482">
        <v>35</v>
      </c>
      <c r="K482">
        <v>51</v>
      </c>
      <c r="L482">
        <v>90</v>
      </c>
      <c r="M482">
        <v>11892882.882882884</v>
      </c>
      <c r="N482">
        <v>6165135.1351351431</v>
      </c>
      <c r="O482">
        <v>53523450.450450458</v>
      </c>
      <c r="P482">
        <v>62971747.747747742</v>
      </c>
      <c r="Q482">
        <v>8603513.5135135129</v>
      </c>
      <c r="R482">
        <v>6481531.5315315379</v>
      </c>
      <c r="S482">
        <v>39091</v>
      </c>
      <c r="T482">
        <v>38239</v>
      </c>
    </row>
    <row r="483" spans="1:20" x14ac:dyDescent="0.35">
      <c r="A483" s="7" t="s">
        <v>578</v>
      </c>
      <c r="B483" s="12" t="s">
        <v>330</v>
      </c>
      <c r="C483">
        <v>146525834.69000253</v>
      </c>
      <c r="D483">
        <v>137206600.18333033</v>
      </c>
      <c r="E483">
        <v>227027.027027028</v>
      </c>
      <c r="F483">
        <v>1193693.6936936991</v>
      </c>
      <c r="G483">
        <v>28</v>
      </c>
      <c r="H483">
        <v>43</v>
      </c>
      <c r="K483">
        <v>45</v>
      </c>
      <c r="L483">
        <v>70</v>
      </c>
      <c r="M483">
        <v>14153153.153153151</v>
      </c>
      <c r="N483">
        <v>5157657.6576576605</v>
      </c>
      <c r="O483">
        <v>28303198.198198196</v>
      </c>
      <c r="P483">
        <v>30450261.261261258</v>
      </c>
      <c r="Q483">
        <v>8290900.9009009013</v>
      </c>
      <c r="R483">
        <v>9662612.6126126125</v>
      </c>
      <c r="S483">
        <v>28301</v>
      </c>
      <c r="T483">
        <v>28225</v>
      </c>
    </row>
    <row r="484" spans="1:20" x14ac:dyDescent="0.35">
      <c r="A484" s="7" t="s">
        <v>579</v>
      </c>
      <c r="B484" s="12" t="s">
        <v>66</v>
      </c>
      <c r="C484">
        <v>20943240.512843855</v>
      </c>
      <c r="D484">
        <v>19776090.710613396</v>
      </c>
      <c r="E484">
        <v>5855.8558558559998</v>
      </c>
      <c r="G484">
        <v>3</v>
      </c>
      <c r="H484">
        <v>5</v>
      </c>
      <c r="K484">
        <v>4</v>
      </c>
      <c r="L484">
        <v>5</v>
      </c>
      <c r="M484">
        <v>337837.83783783799</v>
      </c>
      <c r="O484">
        <v>5177477.4774774779</v>
      </c>
      <c r="P484">
        <v>4664306.3063063072</v>
      </c>
      <c r="Q484">
        <v>478378.37837837799</v>
      </c>
      <c r="R484">
        <v>116216.21621621599</v>
      </c>
      <c r="S484">
        <v>3354</v>
      </c>
      <c r="T484">
        <v>3315</v>
      </c>
    </row>
    <row r="485" spans="1:20" x14ac:dyDescent="0.35">
      <c r="A485" s="7" t="s">
        <v>580</v>
      </c>
      <c r="B485" s="12" t="s">
        <v>236</v>
      </c>
      <c r="C485">
        <v>0</v>
      </c>
      <c r="D485">
        <v>3008.6635105529999</v>
      </c>
    </row>
    <row r="486" spans="1:20" x14ac:dyDescent="0.35">
      <c r="A486" s="7" t="s">
        <v>581</v>
      </c>
      <c r="B486" s="12" t="s">
        <v>62</v>
      </c>
      <c r="C486">
        <v>56051937.313559808</v>
      </c>
      <c r="D486">
        <v>55390819.941401176</v>
      </c>
      <c r="E486">
        <v>33783.783783783998</v>
      </c>
      <c r="F486">
        <v>887387.38738739002</v>
      </c>
      <c r="G486">
        <v>11</v>
      </c>
      <c r="H486">
        <v>47</v>
      </c>
      <c r="K486">
        <v>13</v>
      </c>
      <c r="L486">
        <v>47</v>
      </c>
      <c r="M486">
        <v>7012882.8828828847</v>
      </c>
      <c r="N486">
        <v>2665405.405405404</v>
      </c>
      <c r="O486">
        <v>11611756.756756756</v>
      </c>
      <c r="P486">
        <v>11756090.090090089</v>
      </c>
      <c r="Q486">
        <v>4692342.342342345</v>
      </c>
      <c r="R486">
        <v>4027027.0270270258</v>
      </c>
      <c r="S486">
        <v>6699</v>
      </c>
      <c r="T486">
        <v>6702</v>
      </c>
    </row>
    <row r="487" spans="1:20" x14ac:dyDescent="0.35">
      <c r="A487" s="7" t="s">
        <v>582</v>
      </c>
      <c r="B487" s="12" t="s">
        <v>48</v>
      </c>
      <c r="C487">
        <v>53729601.023639575</v>
      </c>
      <c r="D487">
        <v>53669529.228975274</v>
      </c>
      <c r="E487">
        <v>255495.49549549501</v>
      </c>
      <c r="F487">
        <v>27027.027027027001</v>
      </c>
      <c r="G487">
        <v>3</v>
      </c>
      <c r="H487">
        <v>3</v>
      </c>
      <c r="K487">
        <v>3</v>
      </c>
      <c r="L487">
        <v>8</v>
      </c>
      <c r="M487">
        <v>3909909.9099099119</v>
      </c>
      <c r="N487">
        <v>9936936.9369369354</v>
      </c>
      <c r="O487">
        <v>7277477.4774774769</v>
      </c>
      <c r="P487">
        <v>7000864.8648648653</v>
      </c>
      <c r="Q487">
        <v>5511981.9819819853</v>
      </c>
      <c r="R487">
        <v>10267477.477477476</v>
      </c>
      <c r="S487">
        <v>5572</v>
      </c>
      <c r="T487">
        <v>5351</v>
      </c>
    </row>
    <row r="488" spans="1:20" x14ac:dyDescent="0.35">
      <c r="A488" s="7" t="s">
        <v>583</v>
      </c>
      <c r="B488" s="12" t="s">
        <v>54</v>
      </c>
      <c r="C488">
        <v>9430647.5959107224</v>
      </c>
      <c r="D488">
        <v>10038709.185742216</v>
      </c>
      <c r="E488">
        <v>3603.603603604</v>
      </c>
      <c r="F488">
        <v>67567.567567567996</v>
      </c>
      <c r="G488">
        <v>3</v>
      </c>
      <c r="H488">
        <v>2</v>
      </c>
      <c r="K488">
        <v>4</v>
      </c>
      <c r="L488">
        <v>3</v>
      </c>
      <c r="M488">
        <v>681081.08108108095</v>
      </c>
      <c r="N488">
        <v>2434684.684684685</v>
      </c>
      <c r="O488">
        <v>2114594.594594595</v>
      </c>
      <c r="P488">
        <v>2370801.8018018021</v>
      </c>
      <c r="Q488">
        <v>1009459.45945946</v>
      </c>
      <c r="R488">
        <v>2090990.9909909901</v>
      </c>
      <c r="S488">
        <v>2046</v>
      </c>
      <c r="T488">
        <v>2272</v>
      </c>
    </row>
    <row r="489" spans="1:20" x14ac:dyDescent="0.35">
      <c r="A489" s="7" t="s">
        <v>584</v>
      </c>
      <c r="B489" s="12" t="s">
        <v>70</v>
      </c>
      <c r="C489">
        <v>25868526.285730828</v>
      </c>
      <c r="D489">
        <v>26629299.850496974</v>
      </c>
      <c r="G489">
        <v>2</v>
      </c>
      <c r="H489">
        <v>5</v>
      </c>
      <c r="K489">
        <v>2</v>
      </c>
      <c r="L489">
        <v>8</v>
      </c>
      <c r="O489">
        <v>8586756.7567567565</v>
      </c>
      <c r="P489">
        <v>10763747.747747747</v>
      </c>
      <c r="Q489">
        <v>45945.945945945998</v>
      </c>
      <c r="R489">
        <v>180000</v>
      </c>
      <c r="S489">
        <v>3711</v>
      </c>
      <c r="T489">
        <v>3554</v>
      </c>
    </row>
    <row r="490" spans="1:20" x14ac:dyDescent="0.35">
      <c r="A490" s="7" t="s">
        <v>585</v>
      </c>
      <c r="B490" s="12" t="s">
        <v>330</v>
      </c>
      <c r="C490">
        <v>97830193.429541424</v>
      </c>
      <c r="D490">
        <v>96095913.928586319</v>
      </c>
      <c r="E490">
        <v>61261.261261261003</v>
      </c>
      <c r="F490">
        <v>1058558.5585585621</v>
      </c>
      <c r="G490">
        <v>22</v>
      </c>
      <c r="H490">
        <v>30</v>
      </c>
      <c r="K490">
        <v>35</v>
      </c>
      <c r="L490">
        <v>47</v>
      </c>
      <c r="M490">
        <v>6309909.9099099068</v>
      </c>
      <c r="N490">
        <v>3986486.486486488</v>
      </c>
      <c r="O490">
        <v>24063693.693693694</v>
      </c>
      <c r="P490">
        <v>23444171.171171173</v>
      </c>
      <c r="Q490">
        <v>5097927.927927928</v>
      </c>
      <c r="R490">
        <v>3264684.6846846859</v>
      </c>
      <c r="S490">
        <v>20720</v>
      </c>
      <c r="T490">
        <v>19944</v>
      </c>
    </row>
    <row r="491" spans="1:20" x14ac:dyDescent="0.35">
      <c r="A491" s="7" t="s">
        <v>586</v>
      </c>
      <c r="B491" s="12" t="s">
        <v>66</v>
      </c>
      <c r="C491">
        <v>46469200.432073683</v>
      </c>
      <c r="D491">
        <v>39597322.849045575</v>
      </c>
      <c r="E491">
        <v>41708121.621621624</v>
      </c>
      <c r="F491">
        <v>575282.88288288505</v>
      </c>
      <c r="G491">
        <v>9</v>
      </c>
      <c r="H491">
        <v>13</v>
      </c>
      <c r="K491">
        <v>10</v>
      </c>
      <c r="L491">
        <v>24</v>
      </c>
      <c r="M491">
        <v>5077657.6576576494</v>
      </c>
      <c r="N491">
        <v>3341891.8918918939</v>
      </c>
      <c r="O491">
        <v>21497468.468468469</v>
      </c>
      <c r="P491">
        <v>20373819.819819819</v>
      </c>
      <c r="Q491">
        <v>4576126.1261261208</v>
      </c>
      <c r="R491">
        <v>3463873.8738738769</v>
      </c>
      <c r="S491">
        <v>11018</v>
      </c>
      <c r="T491">
        <v>9939</v>
      </c>
    </row>
    <row r="492" spans="1:20" x14ac:dyDescent="0.35">
      <c r="A492" s="7" t="s">
        <v>11</v>
      </c>
      <c r="B492" s="12" t="s">
        <v>193</v>
      </c>
      <c r="C492">
        <v>19564139.005048025</v>
      </c>
      <c r="D492">
        <v>20824673.250879291</v>
      </c>
      <c r="E492">
        <v>6891891.8918918921</v>
      </c>
      <c r="G492">
        <v>3</v>
      </c>
      <c r="H492">
        <v>2</v>
      </c>
      <c r="K492">
        <v>5</v>
      </c>
      <c r="L492">
        <v>5</v>
      </c>
      <c r="M492">
        <v>200000</v>
      </c>
      <c r="N492">
        <v>116216.21621621599</v>
      </c>
      <c r="O492">
        <v>5555540.5405405387</v>
      </c>
      <c r="P492">
        <v>7359486.486486488</v>
      </c>
      <c r="Q492">
        <v>709009.00900901004</v>
      </c>
      <c r="R492">
        <v>738738.73873873905</v>
      </c>
      <c r="S492">
        <v>3779</v>
      </c>
      <c r="T492">
        <v>4021</v>
      </c>
    </row>
    <row r="493" spans="1:20" x14ac:dyDescent="0.35">
      <c r="A493" s="7" t="s">
        <v>12</v>
      </c>
      <c r="B493" s="12" t="s">
        <v>193</v>
      </c>
      <c r="C493">
        <v>14492122.699609192</v>
      </c>
      <c r="D493">
        <v>12494405.396087447</v>
      </c>
      <c r="E493">
        <v>6306.3063063070003</v>
      </c>
      <c r="F493">
        <v>27027.027027028002</v>
      </c>
      <c r="G493">
        <v>3</v>
      </c>
      <c r="H493">
        <v>1</v>
      </c>
      <c r="K493">
        <v>4</v>
      </c>
      <c r="L493">
        <v>1</v>
      </c>
      <c r="M493">
        <v>2709009.0090090092</v>
      </c>
      <c r="N493">
        <v>27027.027027028002</v>
      </c>
      <c r="O493">
        <v>4960675.6756756743</v>
      </c>
      <c r="P493">
        <v>5755306.3063063072</v>
      </c>
      <c r="Q493">
        <v>309459.459459459</v>
      </c>
      <c r="R493">
        <v>1117387.3873873879</v>
      </c>
      <c r="S493">
        <v>2830</v>
      </c>
      <c r="T493">
        <v>3034</v>
      </c>
    </row>
    <row r="494" spans="1:20" x14ac:dyDescent="0.35">
      <c r="A494" s="7" t="s">
        <v>587</v>
      </c>
      <c r="B494" s="12" t="s">
        <v>60</v>
      </c>
      <c r="C494">
        <v>11144740.720193241</v>
      </c>
      <c r="D494">
        <v>12078455.987289164</v>
      </c>
      <c r="E494">
        <v>13513.513513514999</v>
      </c>
      <c r="F494">
        <v>67567.567567567996</v>
      </c>
      <c r="G494">
        <v>1</v>
      </c>
      <c r="H494">
        <v>5</v>
      </c>
      <c r="K494">
        <v>1</v>
      </c>
      <c r="L494">
        <v>8</v>
      </c>
      <c r="M494">
        <v>2310810.81081081</v>
      </c>
      <c r="N494">
        <v>1914414.414414414</v>
      </c>
      <c r="O494">
        <v>4371486.4864864862</v>
      </c>
      <c r="P494">
        <v>4641855.8558558561</v>
      </c>
      <c r="Q494">
        <v>1507027.027027027</v>
      </c>
      <c r="R494">
        <v>1660540.5405405411</v>
      </c>
      <c r="S494">
        <v>1742</v>
      </c>
      <c r="T494">
        <v>1977</v>
      </c>
    </row>
    <row r="495" spans="1:20" x14ac:dyDescent="0.35">
      <c r="A495" s="7" t="s">
        <v>588</v>
      </c>
      <c r="B495" s="12" t="s">
        <v>307</v>
      </c>
      <c r="C495">
        <v>326700306.62086207</v>
      </c>
      <c r="D495">
        <v>314754463.86752069</v>
      </c>
      <c r="E495">
        <v>558248881.98198199</v>
      </c>
      <c r="F495">
        <v>93853504.504504517</v>
      </c>
      <c r="G495">
        <v>57</v>
      </c>
      <c r="H495">
        <v>59</v>
      </c>
      <c r="K495">
        <v>80</v>
      </c>
      <c r="L495">
        <v>109</v>
      </c>
      <c r="M495">
        <v>22841531.531531531</v>
      </c>
      <c r="N495">
        <v>31610900.900900915</v>
      </c>
      <c r="O495">
        <v>96776576.576576576</v>
      </c>
      <c r="P495">
        <v>104958630.63063063</v>
      </c>
      <c r="Q495">
        <v>27633873.873873875</v>
      </c>
      <c r="R495">
        <v>31914684.684684701</v>
      </c>
      <c r="S495">
        <v>65292</v>
      </c>
      <c r="T495">
        <v>65351</v>
      </c>
    </row>
    <row r="496" spans="1:20" x14ac:dyDescent="0.35">
      <c r="A496" s="7" t="s">
        <v>589</v>
      </c>
      <c r="B496" s="12" t="s">
        <v>52</v>
      </c>
      <c r="C496">
        <v>79317902.042327911</v>
      </c>
      <c r="D496">
        <v>79597205.319658577</v>
      </c>
      <c r="E496">
        <v>1047747.747747748</v>
      </c>
      <c r="F496">
        <v>1346846.8468468511</v>
      </c>
      <c r="G496">
        <v>6</v>
      </c>
      <c r="H496">
        <v>25</v>
      </c>
      <c r="K496">
        <v>10</v>
      </c>
      <c r="L496">
        <v>42</v>
      </c>
      <c r="M496">
        <v>7717297.2972972952</v>
      </c>
      <c r="N496">
        <v>18341891.891891897</v>
      </c>
      <c r="O496">
        <v>29219810.810810812</v>
      </c>
      <c r="P496">
        <v>31982162.162162159</v>
      </c>
      <c r="Q496">
        <v>7486126.1261261227</v>
      </c>
      <c r="R496">
        <v>27146396.396396395</v>
      </c>
      <c r="S496">
        <v>14450</v>
      </c>
      <c r="T496">
        <v>14080</v>
      </c>
    </row>
    <row r="497" spans="1:20" x14ac:dyDescent="0.35">
      <c r="A497" s="7" t="s">
        <v>590</v>
      </c>
      <c r="B497" s="12" t="s">
        <v>54</v>
      </c>
      <c r="C497">
        <v>6493989.5062160082</v>
      </c>
      <c r="D497">
        <v>6967396.6520279776</v>
      </c>
      <c r="E497">
        <v>900.900900901</v>
      </c>
      <c r="F497">
        <v>40540.540540540998</v>
      </c>
      <c r="G497">
        <v>2</v>
      </c>
      <c r="H497">
        <v>2</v>
      </c>
      <c r="K497">
        <v>2</v>
      </c>
      <c r="L497">
        <v>4</v>
      </c>
      <c r="M497">
        <v>451351.35135135101</v>
      </c>
      <c r="N497">
        <v>400900.900900901</v>
      </c>
      <c r="O497">
        <v>2486432.4324324322</v>
      </c>
      <c r="P497">
        <v>2156405.4054054059</v>
      </c>
      <c r="Q497">
        <v>806216.21621621703</v>
      </c>
      <c r="R497">
        <v>623783.78378378495</v>
      </c>
      <c r="S497">
        <v>1597</v>
      </c>
      <c r="T497">
        <v>1499</v>
      </c>
    </row>
    <row r="498" spans="1:20" x14ac:dyDescent="0.35">
      <c r="A498" s="7" t="s">
        <v>591</v>
      </c>
      <c r="B498" s="12" t="s">
        <v>169</v>
      </c>
      <c r="C498">
        <v>189902105.61219168</v>
      </c>
      <c r="D498">
        <v>176664500.14132163</v>
      </c>
      <c r="E498">
        <v>1596576.576576578</v>
      </c>
      <c r="F498">
        <v>1576576.576576577</v>
      </c>
      <c r="G498">
        <v>16</v>
      </c>
      <c r="H498">
        <v>14</v>
      </c>
      <c r="K498">
        <v>21</v>
      </c>
      <c r="L498">
        <v>16</v>
      </c>
      <c r="M498">
        <v>48057837.837837838</v>
      </c>
      <c r="N498">
        <v>36987027.027027026</v>
      </c>
      <c r="O498">
        <v>61721153.153153151</v>
      </c>
      <c r="P498">
        <v>57390603.603603601</v>
      </c>
      <c r="Q498">
        <v>39449009.009009011</v>
      </c>
      <c r="R498">
        <v>27586486.486486487</v>
      </c>
      <c r="S498">
        <v>23466</v>
      </c>
      <c r="T498">
        <v>22861</v>
      </c>
    </row>
    <row r="499" spans="1:20" x14ac:dyDescent="0.35">
      <c r="A499" s="7" t="s">
        <v>592</v>
      </c>
      <c r="B499" s="12" t="s">
        <v>87</v>
      </c>
      <c r="C499">
        <v>1110840.868976709</v>
      </c>
      <c r="D499">
        <v>987753.75196644897</v>
      </c>
      <c r="E499">
        <v>27768497.297297295</v>
      </c>
      <c r="F499">
        <v>198125.225225225</v>
      </c>
      <c r="O499">
        <v>258018.01801801799</v>
      </c>
      <c r="P499">
        <v>210675.675675676</v>
      </c>
      <c r="S499">
        <v>367</v>
      </c>
      <c r="T499">
        <v>296</v>
      </c>
    </row>
    <row r="500" spans="1:20" x14ac:dyDescent="0.35">
      <c r="A500" s="7" t="s">
        <v>593</v>
      </c>
      <c r="B500" s="12" t="s">
        <v>143</v>
      </c>
      <c r="C500">
        <v>14633577.272943605</v>
      </c>
      <c r="D500">
        <v>13389600.028707514</v>
      </c>
      <c r="F500">
        <v>40540.540540542002</v>
      </c>
      <c r="G500">
        <v>1</v>
      </c>
      <c r="H500">
        <v>1</v>
      </c>
      <c r="K500">
        <v>1</v>
      </c>
      <c r="L500">
        <v>1</v>
      </c>
      <c r="M500">
        <v>1063063.063063063</v>
      </c>
      <c r="N500">
        <v>490990.990990992</v>
      </c>
      <c r="O500">
        <v>1526081.0810810809</v>
      </c>
      <c r="P500">
        <v>1233468.4684684691</v>
      </c>
      <c r="Q500">
        <v>818468.46846846899</v>
      </c>
      <c r="R500">
        <v>769369.36936937005</v>
      </c>
      <c r="S500">
        <v>1588</v>
      </c>
      <c r="T500">
        <v>1537</v>
      </c>
    </row>
    <row r="501" spans="1:20" x14ac:dyDescent="0.35">
      <c r="A501" s="7" t="s">
        <v>594</v>
      </c>
      <c r="B501" s="12" t="s">
        <v>290</v>
      </c>
      <c r="C501">
        <v>4666519.1351015801</v>
      </c>
      <c r="D501">
        <v>2889189.0370036201</v>
      </c>
      <c r="G501">
        <v>1</v>
      </c>
      <c r="H501">
        <v>1</v>
      </c>
      <c r="K501">
        <v>1</v>
      </c>
      <c r="L501">
        <v>1</v>
      </c>
      <c r="O501">
        <v>201936.93693693701</v>
      </c>
      <c r="P501">
        <v>243558.55855855899</v>
      </c>
      <c r="S501">
        <v>677</v>
      </c>
      <c r="T501">
        <v>820</v>
      </c>
    </row>
    <row r="502" spans="1:20" x14ac:dyDescent="0.35">
      <c r="A502" s="7" t="s">
        <v>595</v>
      </c>
      <c r="B502" s="12" t="s">
        <v>92</v>
      </c>
      <c r="C502">
        <v>5388459.8595067961</v>
      </c>
      <c r="D502">
        <v>4011700.637214602</v>
      </c>
      <c r="F502">
        <v>405405.40540540603</v>
      </c>
      <c r="G502">
        <v>1</v>
      </c>
      <c r="H502">
        <v>1</v>
      </c>
      <c r="K502">
        <v>1</v>
      </c>
      <c r="L502">
        <v>1</v>
      </c>
      <c r="N502">
        <v>405405.40540540603</v>
      </c>
      <c r="O502">
        <v>597162.16216216201</v>
      </c>
      <c r="P502">
        <v>886261.26126126095</v>
      </c>
      <c r="R502">
        <v>585585.58558558498</v>
      </c>
      <c r="S502">
        <v>558</v>
      </c>
      <c r="T502">
        <v>702</v>
      </c>
    </row>
    <row r="503" spans="1:20" x14ac:dyDescent="0.35">
      <c r="A503" s="7" t="s">
        <v>596</v>
      </c>
      <c r="B503" s="12" t="s">
        <v>50</v>
      </c>
      <c r="C503">
        <v>18838213.637377325</v>
      </c>
      <c r="D503">
        <v>15846039.654423025</v>
      </c>
      <c r="E503">
        <v>186486.486486487</v>
      </c>
      <c r="F503">
        <v>270270.27027027099</v>
      </c>
      <c r="G503">
        <v>1</v>
      </c>
      <c r="H503">
        <v>2</v>
      </c>
      <c r="K503">
        <v>1</v>
      </c>
      <c r="L503">
        <v>2</v>
      </c>
      <c r="M503">
        <v>1213603.6036036061</v>
      </c>
      <c r="N503">
        <v>270270.27027027099</v>
      </c>
      <c r="O503">
        <v>3049050.4504504511</v>
      </c>
      <c r="P503">
        <v>2699855.8558558552</v>
      </c>
      <c r="Q503">
        <v>1302702.702702706</v>
      </c>
      <c r="R503">
        <v>239099.099099099</v>
      </c>
      <c r="S503">
        <v>1714</v>
      </c>
      <c r="T503">
        <v>1457</v>
      </c>
    </row>
    <row r="504" spans="1:20" x14ac:dyDescent="0.35">
      <c r="A504" s="7" t="s">
        <v>597</v>
      </c>
      <c r="B504" s="12" t="s">
        <v>89</v>
      </c>
      <c r="C504">
        <v>25611222.166212961</v>
      </c>
      <c r="D504">
        <v>24459010.071388695</v>
      </c>
      <c r="E504">
        <v>146846.84684684599</v>
      </c>
      <c r="F504">
        <v>193693.69369369399</v>
      </c>
      <c r="G504">
        <v>5</v>
      </c>
      <c r="H504">
        <v>2</v>
      </c>
      <c r="K504">
        <v>6</v>
      </c>
      <c r="L504">
        <v>5</v>
      </c>
      <c r="M504">
        <v>3614414.41441441</v>
      </c>
      <c r="N504">
        <v>193693.69369369399</v>
      </c>
      <c r="O504">
        <v>5353918.9189189188</v>
      </c>
      <c r="P504">
        <v>5360153.1531531531</v>
      </c>
      <c r="Q504">
        <v>2602972.97297297</v>
      </c>
      <c r="R504">
        <v>650090.09009009204</v>
      </c>
      <c r="S504">
        <v>3629</v>
      </c>
      <c r="T504">
        <v>3498</v>
      </c>
    </row>
    <row r="505" spans="1:20" x14ac:dyDescent="0.35">
      <c r="A505" s="7" t="s">
        <v>598</v>
      </c>
      <c r="B505" s="12" t="s">
        <v>143</v>
      </c>
      <c r="C505">
        <v>9098960.3660191037</v>
      </c>
      <c r="D505">
        <v>9917378.9336969964</v>
      </c>
      <c r="E505">
        <v>3603.603603604</v>
      </c>
      <c r="F505">
        <v>27027.027027028002</v>
      </c>
      <c r="G505">
        <v>1</v>
      </c>
      <c r="K505">
        <v>1</v>
      </c>
      <c r="M505">
        <v>1922522.5225225231</v>
      </c>
      <c r="N505">
        <v>477477.47747747798</v>
      </c>
      <c r="O505">
        <v>645585.58558558498</v>
      </c>
      <c r="P505">
        <v>584000</v>
      </c>
      <c r="Q505">
        <v>1157297.297297298</v>
      </c>
      <c r="R505">
        <v>503963.96396396402</v>
      </c>
      <c r="S505">
        <v>1123</v>
      </c>
      <c r="T505">
        <v>1173</v>
      </c>
    </row>
    <row r="506" spans="1:20" x14ac:dyDescent="0.35">
      <c r="A506" s="7" t="s">
        <v>599</v>
      </c>
      <c r="B506" s="12" t="s">
        <v>125</v>
      </c>
      <c r="C506">
        <v>23735907.332447853</v>
      </c>
      <c r="D506">
        <v>22415580.545274775</v>
      </c>
      <c r="E506">
        <v>20270.270270270001</v>
      </c>
      <c r="G506">
        <v>1</v>
      </c>
      <c r="H506">
        <v>2</v>
      </c>
      <c r="K506">
        <v>2</v>
      </c>
      <c r="L506">
        <v>3</v>
      </c>
      <c r="M506">
        <v>3695765.7657657661</v>
      </c>
      <c r="N506">
        <v>18018.018018018</v>
      </c>
      <c r="O506">
        <v>8561396.3963963948</v>
      </c>
      <c r="P506">
        <v>8172450.4504504511</v>
      </c>
      <c r="Q506">
        <v>3747207.207207208</v>
      </c>
      <c r="R506">
        <v>136036.03603603601</v>
      </c>
      <c r="S506">
        <v>3291</v>
      </c>
      <c r="T506">
        <v>3464</v>
      </c>
    </row>
    <row r="507" spans="1:20" x14ac:dyDescent="0.35">
      <c r="A507" s="7" t="s">
        <v>600</v>
      </c>
      <c r="B507" s="12" t="s">
        <v>50</v>
      </c>
      <c r="C507">
        <v>60840392.816744693</v>
      </c>
      <c r="D507">
        <v>62307036.514139786</v>
      </c>
      <c r="E507">
        <v>41981.981981981997</v>
      </c>
      <c r="F507">
        <v>319819.81981982401</v>
      </c>
      <c r="G507">
        <v>4</v>
      </c>
      <c r="H507">
        <v>9</v>
      </c>
      <c r="K507">
        <v>6</v>
      </c>
      <c r="L507">
        <v>10</v>
      </c>
      <c r="M507">
        <v>5570090.0900900904</v>
      </c>
      <c r="N507">
        <v>5804504.5045045055</v>
      </c>
      <c r="O507">
        <v>22767963.963963963</v>
      </c>
      <c r="P507">
        <v>23994864.864864863</v>
      </c>
      <c r="Q507">
        <v>5981441.44144144</v>
      </c>
      <c r="R507">
        <v>4223513.5135135157</v>
      </c>
      <c r="S507">
        <v>7720</v>
      </c>
      <c r="T507">
        <v>7283</v>
      </c>
    </row>
    <row r="508" spans="1:20" x14ac:dyDescent="0.35">
      <c r="A508" s="7" t="s">
        <v>601</v>
      </c>
      <c r="B508" s="12" t="s">
        <v>89</v>
      </c>
      <c r="C508">
        <v>17635746.13575577</v>
      </c>
      <c r="D508">
        <v>19168223.383450605</v>
      </c>
      <c r="E508">
        <v>73873.873873874007</v>
      </c>
      <c r="F508">
        <v>27027.027027028002</v>
      </c>
      <c r="G508">
        <v>3</v>
      </c>
      <c r="H508">
        <v>3</v>
      </c>
      <c r="K508">
        <v>3</v>
      </c>
      <c r="L508">
        <v>4</v>
      </c>
      <c r="M508">
        <v>1605405.405405405</v>
      </c>
      <c r="N508">
        <v>17860540.540540539</v>
      </c>
      <c r="O508">
        <v>4857567.5675675673</v>
      </c>
      <c r="P508">
        <v>5594000</v>
      </c>
      <c r="Q508">
        <v>1378648.6486486481</v>
      </c>
      <c r="R508">
        <v>17980360.360360362</v>
      </c>
      <c r="S508">
        <v>2259</v>
      </c>
      <c r="T508">
        <v>2538</v>
      </c>
    </row>
    <row r="509" spans="1:20" x14ac:dyDescent="0.35">
      <c r="A509" s="7" t="s">
        <v>602</v>
      </c>
      <c r="B509" s="12" t="s">
        <v>87</v>
      </c>
      <c r="C509">
        <v>18077631.766110118</v>
      </c>
      <c r="D509">
        <v>16423198.798124017</v>
      </c>
      <c r="E509">
        <v>900.900900901</v>
      </c>
      <c r="G509">
        <v>2</v>
      </c>
      <c r="H509">
        <v>1</v>
      </c>
      <c r="K509">
        <v>2</v>
      </c>
      <c r="L509">
        <v>1</v>
      </c>
      <c r="M509">
        <v>90990.990990991006</v>
      </c>
      <c r="N509">
        <v>9009.0090090089998</v>
      </c>
      <c r="O509">
        <v>1247612.612612613</v>
      </c>
      <c r="P509">
        <v>830855.85585585597</v>
      </c>
      <c r="Q509">
        <v>253423.42342342401</v>
      </c>
      <c r="R509">
        <v>90090.090090090001</v>
      </c>
      <c r="S509">
        <v>1240</v>
      </c>
      <c r="T509">
        <v>1186</v>
      </c>
    </row>
    <row r="510" spans="1:20" x14ac:dyDescent="0.35">
      <c r="A510" s="7" t="s">
        <v>603</v>
      </c>
      <c r="B510" s="12" t="s">
        <v>140</v>
      </c>
      <c r="C510">
        <v>129994473.78755741</v>
      </c>
      <c r="D510">
        <v>131908698.44662952</v>
      </c>
      <c r="E510">
        <v>1351971.171171173</v>
      </c>
      <c r="F510">
        <v>91221933.333333343</v>
      </c>
      <c r="G510">
        <v>31</v>
      </c>
      <c r="H510">
        <v>22</v>
      </c>
      <c r="K510">
        <v>52</v>
      </c>
      <c r="L510">
        <v>39</v>
      </c>
      <c r="M510">
        <v>22125135.135135133</v>
      </c>
      <c r="N510">
        <v>15290270.270270264</v>
      </c>
      <c r="O510">
        <v>27476798.198198199</v>
      </c>
      <c r="P510">
        <v>30233306.306306303</v>
      </c>
      <c r="Q510">
        <v>17840720.72072072</v>
      </c>
      <c r="R510">
        <v>17259099.0990991</v>
      </c>
      <c r="S510">
        <v>18842</v>
      </c>
      <c r="T510">
        <v>18757</v>
      </c>
    </row>
    <row r="511" spans="1:20" x14ac:dyDescent="0.35">
      <c r="A511" s="7" t="s">
        <v>604</v>
      </c>
      <c r="B511" s="12" t="s">
        <v>224</v>
      </c>
      <c r="C511">
        <v>23721602.215208236</v>
      </c>
      <c r="D511">
        <v>19545580.367667574</v>
      </c>
      <c r="E511">
        <v>2702.7027027029999</v>
      </c>
      <c r="G511">
        <v>5</v>
      </c>
      <c r="H511">
        <v>4</v>
      </c>
      <c r="K511">
        <v>5</v>
      </c>
      <c r="L511">
        <v>4</v>
      </c>
      <c r="M511">
        <v>2702.7027027029999</v>
      </c>
      <c r="O511">
        <v>6697531.5315315323</v>
      </c>
      <c r="P511">
        <v>6692603.6036036042</v>
      </c>
      <c r="Q511">
        <v>264414.41441441397</v>
      </c>
      <c r="R511">
        <v>536486.48648648604</v>
      </c>
      <c r="S511">
        <v>3654</v>
      </c>
      <c r="T511">
        <v>3646</v>
      </c>
    </row>
    <row r="512" spans="1:20" x14ac:dyDescent="0.35">
      <c r="A512" s="7" t="s">
        <v>605</v>
      </c>
      <c r="B512" s="12" t="s">
        <v>224</v>
      </c>
      <c r="C512">
        <v>14641463.333731672</v>
      </c>
      <c r="D512">
        <v>14196835.889081877</v>
      </c>
      <c r="E512">
        <v>3603.603603604</v>
      </c>
      <c r="G512">
        <v>3</v>
      </c>
      <c r="H512">
        <v>1</v>
      </c>
      <c r="K512">
        <v>5</v>
      </c>
      <c r="L512">
        <v>2</v>
      </c>
      <c r="M512">
        <v>904504.50450450496</v>
      </c>
      <c r="O512">
        <v>3913603.6036036029</v>
      </c>
      <c r="P512">
        <v>3401504.5045045041</v>
      </c>
      <c r="Q512">
        <v>639549.549549549</v>
      </c>
      <c r="R512">
        <v>760000</v>
      </c>
      <c r="S512">
        <v>3058</v>
      </c>
      <c r="T512">
        <v>3283</v>
      </c>
    </row>
    <row r="513" spans="1:20" x14ac:dyDescent="0.35">
      <c r="A513" s="7" t="s">
        <v>606</v>
      </c>
      <c r="B513" s="12" t="s">
        <v>241</v>
      </c>
      <c r="C513">
        <v>12140129.513884734</v>
      </c>
      <c r="D513">
        <v>11812374.297863036</v>
      </c>
      <c r="E513">
        <v>29592274.774774775</v>
      </c>
      <c r="F513">
        <v>1216201.8018018019</v>
      </c>
      <c r="G513">
        <v>3</v>
      </c>
      <c r="H513">
        <v>2</v>
      </c>
      <c r="K513">
        <v>3</v>
      </c>
      <c r="L513">
        <v>2</v>
      </c>
      <c r="M513">
        <v>736396.39639639703</v>
      </c>
      <c r="O513">
        <v>3497657.6576576582</v>
      </c>
      <c r="P513">
        <v>3279504.5045045051</v>
      </c>
      <c r="Q513">
        <v>612072.07207207405</v>
      </c>
      <c r="R513">
        <v>228828.82882882899</v>
      </c>
      <c r="S513">
        <v>2351</v>
      </c>
      <c r="T513">
        <v>2339</v>
      </c>
    </row>
    <row r="514" spans="1:20" x14ac:dyDescent="0.35">
      <c r="A514" s="7" t="s">
        <v>607</v>
      </c>
      <c r="B514" s="12" t="s">
        <v>140</v>
      </c>
      <c r="C514">
        <v>3830981.5898022288</v>
      </c>
      <c r="D514">
        <v>3462814.3756400151</v>
      </c>
      <c r="H514">
        <v>1</v>
      </c>
      <c r="L514">
        <v>2</v>
      </c>
      <c r="O514">
        <v>369369.369369369</v>
      </c>
      <c r="P514">
        <v>315900.900900901</v>
      </c>
      <c r="Q514">
        <v>43963.963963964001</v>
      </c>
      <c r="R514">
        <v>66666.666666667006</v>
      </c>
      <c r="S514">
        <v>357</v>
      </c>
      <c r="T514">
        <v>329</v>
      </c>
    </row>
    <row r="515" spans="1:20" x14ac:dyDescent="0.35">
      <c r="A515" s="7" t="s">
        <v>608</v>
      </c>
      <c r="B515" s="12" t="s">
        <v>189</v>
      </c>
      <c r="C515">
        <v>15244661.965032436</v>
      </c>
      <c r="D515">
        <v>12326072.285242138</v>
      </c>
      <c r="E515">
        <v>181981.98198198201</v>
      </c>
      <c r="F515">
        <v>391891.89189189201</v>
      </c>
      <c r="H515">
        <v>3</v>
      </c>
      <c r="K515">
        <v>1</v>
      </c>
      <c r="L515">
        <v>5</v>
      </c>
      <c r="M515">
        <v>2579279.2792792791</v>
      </c>
      <c r="N515">
        <v>842342.34234234202</v>
      </c>
      <c r="O515">
        <v>2919594.5945945941</v>
      </c>
      <c r="P515">
        <v>3101468.4684684682</v>
      </c>
      <c r="Q515">
        <v>1514054.0540540549</v>
      </c>
      <c r="R515">
        <v>1044144.144144145</v>
      </c>
      <c r="S515">
        <v>1601</v>
      </c>
      <c r="T515">
        <v>2690</v>
      </c>
    </row>
    <row r="516" spans="1:20" x14ac:dyDescent="0.35">
      <c r="A516" s="7" t="s">
        <v>609</v>
      </c>
      <c r="B516" s="12" t="s">
        <v>189</v>
      </c>
      <c r="C516">
        <v>44361564.734359495</v>
      </c>
      <c r="D516">
        <v>39896774.196328409</v>
      </c>
      <c r="E516">
        <v>900.900900901</v>
      </c>
      <c r="F516">
        <v>94594.594594595997</v>
      </c>
      <c r="G516">
        <v>6</v>
      </c>
      <c r="H516">
        <v>12</v>
      </c>
      <c r="K516">
        <v>6</v>
      </c>
      <c r="L516">
        <v>14</v>
      </c>
      <c r="M516">
        <v>1308108.1081081079</v>
      </c>
      <c r="N516">
        <v>274774.77477477601</v>
      </c>
      <c r="O516">
        <v>6177882.882882881</v>
      </c>
      <c r="P516">
        <v>6742414.4144144151</v>
      </c>
      <c r="Q516">
        <v>1589369.3693693699</v>
      </c>
      <c r="R516">
        <v>1322252.2522522521</v>
      </c>
      <c r="S516">
        <v>4980</v>
      </c>
      <c r="T516">
        <v>4755</v>
      </c>
    </row>
    <row r="517" spans="1:20" x14ac:dyDescent="0.35">
      <c r="A517" s="7" t="s">
        <v>610</v>
      </c>
      <c r="B517" s="12" t="s">
        <v>189</v>
      </c>
      <c r="C517">
        <v>17453373.153974079</v>
      </c>
      <c r="D517">
        <v>15006632.335933</v>
      </c>
      <c r="E517">
        <v>1801.801801802</v>
      </c>
      <c r="F517">
        <v>112612.612612613</v>
      </c>
      <c r="G517">
        <v>2</v>
      </c>
      <c r="H517">
        <v>2</v>
      </c>
      <c r="K517">
        <v>2</v>
      </c>
      <c r="L517">
        <v>2</v>
      </c>
      <c r="M517">
        <v>1388288.2882882869</v>
      </c>
      <c r="N517">
        <v>1689189.1891891891</v>
      </c>
      <c r="O517">
        <v>1855360.3603603591</v>
      </c>
      <c r="P517">
        <v>1367738.7387387389</v>
      </c>
      <c r="Q517">
        <v>1066216.2162162161</v>
      </c>
      <c r="R517">
        <v>1484324.324324325</v>
      </c>
      <c r="S517">
        <v>1650</v>
      </c>
      <c r="T517">
        <v>1681</v>
      </c>
    </row>
    <row r="518" spans="1:20" x14ac:dyDescent="0.35">
      <c r="A518" s="7" t="s">
        <v>611</v>
      </c>
      <c r="B518" s="12" t="s">
        <v>189</v>
      </c>
      <c r="C518">
        <v>5128471.2998617478</v>
      </c>
      <c r="D518">
        <v>6670932.4394571818</v>
      </c>
      <c r="E518">
        <v>1801.801801802</v>
      </c>
      <c r="F518">
        <v>27027.027027027001</v>
      </c>
      <c r="G518">
        <v>1</v>
      </c>
      <c r="H518">
        <v>3</v>
      </c>
      <c r="K518">
        <v>3</v>
      </c>
      <c r="L518">
        <v>3</v>
      </c>
      <c r="M518">
        <v>1801.801801802</v>
      </c>
      <c r="N518">
        <v>2189189.18918919</v>
      </c>
      <c r="O518">
        <v>735675.67567567597</v>
      </c>
      <c r="P518">
        <v>1452846.8468468471</v>
      </c>
      <c r="R518">
        <v>2371171.1711711721</v>
      </c>
      <c r="S518">
        <v>929</v>
      </c>
      <c r="T518">
        <v>1167</v>
      </c>
    </row>
    <row r="519" spans="1:20" x14ac:dyDescent="0.35">
      <c r="A519" s="7" t="s">
        <v>612</v>
      </c>
      <c r="B519" s="12" t="s">
        <v>143</v>
      </c>
      <c r="C519">
        <v>37968460.386170186</v>
      </c>
      <c r="D519">
        <v>43930502.552492701</v>
      </c>
      <c r="E519">
        <v>8807.2072072080009</v>
      </c>
      <c r="F519">
        <v>46318.918918919997</v>
      </c>
      <c r="G519">
        <v>4</v>
      </c>
      <c r="H519">
        <v>9</v>
      </c>
      <c r="K519">
        <v>8</v>
      </c>
      <c r="L519">
        <v>14</v>
      </c>
      <c r="M519">
        <v>2825225.2252252232</v>
      </c>
      <c r="N519">
        <v>1121621.621621622</v>
      </c>
      <c r="O519">
        <v>4710043.2432432426</v>
      </c>
      <c r="P519">
        <v>5226468.4684684677</v>
      </c>
      <c r="Q519">
        <v>4494864.8648648662</v>
      </c>
      <c r="R519">
        <v>3561801.8018018031</v>
      </c>
      <c r="S519">
        <v>6027</v>
      </c>
      <c r="T519">
        <v>6706</v>
      </c>
    </row>
    <row r="520" spans="1:20" x14ac:dyDescent="0.35">
      <c r="A520" s="7" t="s">
        <v>613</v>
      </c>
      <c r="B520" s="12" t="s">
        <v>189</v>
      </c>
      <c r="C520">
        <v>57719256.438806519</v>
      </c>
      <c r="D520">
        <v>51729672.208699323</v>
      </c>
      <c r="E520">
        <v>5405.4054054059998</v>
      </c>
      <c r="F520">
        <v>459459.45945946203</v>
      </c>
      <c r="G520">
        <v>13</v>
      </c>
      <c r="H520">
        <v>13</v>
      </c>
      <c r="K520">
        <v>19</v>
      </c>
      <c r="L520">
        <v>23</v>
      </c>
      <c r="M520">
        <v>2005405.4054054071</v>
      </c>
      <c r="N520">
        <v>6756756.7567567583</v>
      </c>
      <c r="O520">
        <v>4623630.6306306301</v>
      </c>
      <c r="P520">
        <v>5209675.6756756753</v>
      </c>
      <c r="Q520">
        <v>2041981.9819819811</v>
      </c>
      <c r="R520">
        <v>6500450.4504504502</v>
      </c>
      <c r="S520">
        <v>7524</v>
      </c>
      <c r="T520">
        <v>7338</v>
      </c>
    </row>
    <row r="521" spans="1:20" x14ac:dyDescent="0.35">
      <c r="A521" s="7" t="s">
        <v>614</v>
      </c>
      <c r="B521" s="12" t="s">
        <v>54</v>
      </c>
      <c r="C521">
        <v>38637758.535880029</v>
      </c>
      <c r="D521">
        <v>35780121.570056915</v>
      </c>
      <c r="E521">
        <v>292342.34234234301</v>
      </c>
      <c r="F521">
        <v>441441.44144144398</v>
      </c>
      <c r="G521">
        <v>7</v>
      </c>
      <c r="H521">
        <v>7</v>
      </c>
      <c r="K521">
        <v>9</v>
      </c>
      <c r="L521">
        <v>10</v>
      </c>
      <c r="M521">
        <v>2094144.1441441439</v>
      </c>
      <c r="N521">
        <v>5054054.0540540544</v>
      </c>
      <c r="O521">
        <v>10520540.540540541</v>
      </c>
      <c r="P521">
        <v>10446126.126126124</v>
      </c>
      <c r="Q521">
        <v>4072342.3423423441</v>
      </c>
      <c r="R521">
        <v>4830090.0900900913</v>
      </c>
      <c r="S521">
        <v>6607</v>
      </c>
      <c r="T521">
        <v>6626</v>
      </c>
    </row>
    <row r="522" spans="1:20" x14ac:dyDescent="0.35">
      <c r="A522" s="7" t="s">
        <v>615</v>
      </c>
      <c r="B522" s="12" t="s">
        <v>54</v>
      </c>
      <c r="C522">
        <v>19743029.158429053</v>
      </c>
      <c r="D522">
        <v>19417663.41008538</v>
      </c>
      <c r="E522">
        <v>900.900900901</v>
      </c>
      <c r="G522">
        <v>5</v>
      </c>
      <c r="H522">
        <v>2</v>
      </c>
      <c r="K522">
        <v>6</v>
      </c>
      <c r="L522">
        <v>2</v>
      </c>
      <c r="M522">
        <v>631531.53153153101</v>
      </c>
      <c r="O522">
        <v>2976621.6216216218</v>
      </c>
      <c r="P522">
        <v>2856756.7567567569</v>
      </c>
      <c r="Q522">
        <v>581261.26126126095</v>
      </c>
      <c r="R522">
        <v>533693.69369369396</v>
      </c>
      <c r="S522">
        <v>2784</v>
      </c>
      <c r="T522">
        <v>2740</v>
      </c>
    </row>
    <row r="523" spans="1:20" x14ac:dyDescent="0.35">
      <c r="A523" s="7" t="s">
        <v>616</v>
      </c>
      <c r="B523" s="12" t="s">
        <v>60</v>
      </c>
      <c r="C523">
        <v>29582008.023184061</v>
      </c>
      <c r="D523">
        <v>29793892.510990676</v>
      </c>
      <c r="E523">
        <v>34234.234234233998</v>
      </c>
      <c r="F523">
        <v>684684.68468469102</v>
      </c>
      <c r="H523">
        <v>7</v>
      </c>
      <c r="K523">
        <v>1</v>
      </c>
      <c r="L523">
        <v>39</v>
      </c>
      <c r="M523">
        <v>2558558.558558559</v>
      </c>
      <c r="N523">
        <v>6667387.3873873856</v>
      </c>
      <c r="O523">
        <v>8304459.4594594594</v>
      </c>
      <c r="P523">
        <v>9490828.8288288284</v>
      </c>
      <c r="Q523">
        <v>3151801.8018018031</v>
      </c>
      <c r="R523">
        <v>4787927.927927929</v>
      </c>
      <c r="S523">
        <v>4309</v>
      </c>
      <c r="T523">
        <v>4466</v>
      </c>
    </row>
    <row r="524" spans="1:20" x14ac:dyDescent="0.35">
      <c r="A524" s="7" t="s">
        <v>617</v>
      </c>
      <c r="B524" s="12" t="s">
        <v>60</v>
      </c>
      <c r="C524">
        <v>32110320.369526908</v>
      </c>
      <c r="D524">
        <v>32938340.420580298</v>
      </c>
      <c r="E524">
        <v>143243.24324324401</v>
      </c>
      <c r="F524">
        <v>81081.081081083001</v>
      </c>
      <c r="G524">
        <v>2</v>
      </c>
      <c r="H524">
        <v>7</v>
      </c>
      <c r="K524">
        <v>3</v>
      </c>
      <c r="L524">
        <v>9</v>
      </c>
      <c r="M524">
        <v>3341441.44144144</v>
      </c>
      <c r="N524">
        <v>2333333.3333333349</v>
      </c>
      <c r="O524">
        <v>15277342.342342341</v>
      </c>
      <c r="P524">
        <v>15686621.621621624</v>
      </c>
      <c r="Q524">
        <v>3471801.8018018012</v>
      </c>
      <c r="R524">
        <v>1952162.1621621649</v>
      </c>
      <c r="S524">
        <v>5469</v>
      </c>
      <c r="T524">
        <v>4989</v>
      </c>
    </row>
    <row r="525" spans="1:20" x14ac:dyDescent="0.35">
      <c r="A525" s="7" t="s">
        <v>618</v>
      </c>
      <c r="B525" s="12" t="s">
        <v>60</v>
      </c>
      <c r="C525">
        <v>42076608.18231912</v>
      </c>
      <c r="D525">
        <v>41843407.490736246</v>
      </c>
      <c r="E525">
        <v>191891.89189189201</v>
      </c>
      <c r="F525">
        <v>238738.738738741</v>
      </c>
      <c r="G525">
        <v>3</v>
      </c>
      <c r="H525">
        <v>7</v>
      </c>
      <c r="K525">
        <v>5</v>
      </c>
      <c r="L525">
        <v>8</v>
      </c>
      <c r="M525">
        <v>1597297.297297297</v>
      </c>
      <c r="N525">
        <v>2040540.540540542</v>
      </c>
      <c r="O525">
        <v>12258333.333333336</v>
      </c>
      <c r="P525">
        <v>13851558.558558561</v>
      </c>
      <c r="Q525">
        <v>1323063.0630630639</v>
      </c>
      <c r="R525">
        <v>2041351.3513513501</v>
      </c>
      <c r="S525">
        <v>5708</v>
      </c>
      <c r="T525">
        <v>5977</v>
      </c>
    </row>
    <row r="526" spans="1:20" x14ac:dyDescent="0.35">
      <c r="A526" s="7" t="s">
        <v>619</v>
      </c>
      <c r="B526" s="12" t="s">
        <v>620</v>
      </c>
      <c r="C526">
        <v>49701980.435443871</v>
      </c>
      <c r="D526">
        <v>48597165.302317619</v>
      </c>
      <c r="E526">
        <v>684414.41441441397</v>
      </c>
      <c r="F526">
        <v>635135.13513513596</v>
      </c>
      <c r="G526">
        <v>12</v>
      </c>
      <c r="H526">
        <v>6</v>
      </c>
      <c r="K526">
        <v>19</v>
      </c>
      <c r="L526">
        <v>23</v>
      </c>
      <c r="M526">
        <v>1495225.2252252251</v>
      </c>
      <c r="N526">
        <v>1752252.252252253</v>
      </c>
      <c r="O526">
        <v>5665666.666666667</v>
      </c>
      <c r="P526">
        <v>5589603.6036036033</v>
      </c>
      <c r="Q526">
        <v>1738108.1081081061</v>
      </c>
      <c r="R526">
        <v>6311261.2612612601</v>
      </c>
      <c r="S526">
        <v>7471</v>
      </c>
      <c r="T526">
        <v>7691</v>
      </c>
    </row>
    <row r="527" spans="1:20" x14ac:dyDescent="0.35">
      <c r="A527" s="7" t="s">
        <v>621</v>
      </c>
      <c r="B527" s="12" t="s">
        <v>620</v>
      </c>
      <c r="C527">
        <v>38515127.939334974</v>
      </c>
      <c r="D527">
        <v>35334027.663536541</v>
      </c>
      <c r="E527">
        <v>142342.34234234301</v>
      </c>
      <c r="F527">
        <v>1315315.315315316</v>
      </c>
      <c r="G527">
        <v>7</v>
      </c>
      <c r="H527">
        <v>11</v>
      </c>
      <c r="I527">
        <v>2</v>
      </c>
      <c r="K527">
        <v>14</v>
      </c>
      <c r="L527">
        <v>20</v>
      </c>
      <c r="M527">
        <v>596396.39639639703</v>
      </c>
      <c r="N527">
        <v>2926126.1261261259</v>
      </c>
      <c r="O527">
        <v>5568175.6756756762</v>
      </c>
      <c r="P527">
        <v>5828261.2612612629</v>
      </c>
      <c r="Q527">
        <v>2261981.9819819829</v>
      </c>
      <c r="R527">
        <v>2204414.4144144161</v>
      </c>
      <c r="S527">
        <v>6116</v>
      </c>
      <c r="T527">
        <v>5823</v>
      </c>
    </row>
    <row r="528" spans="1:20" x14ac:dyDescent="0.35">
      <c r="A528" s="7" t="s">
        <v>622</v>
      </c>
      <c r="B528" s="12" t="s">
        <v>620</v>
      </c>
      <c r="C528">
        <v>41493302.922924437</v>
      </c>
      <c r="D528">
        <v>37963441.179877497</v>
      </c>
      <c r="E528">
        <v>148493.69369369399</v>
      </c>
      <c r="F528">
        <v>18638772.072072074</v>
      </c>
      <c r="G528">
        <v>8</v>
      </c>
      <c r="H528">
        <v>9</v>
      </c>
      <c r="I528">
        <v>1</v>
      </c>
      <c r="K528">
        <v>18</v>
      </c>
      <c r="L528">
        <v>11</v>
      </c>
      <c r="M528">
        <v>1561572.072072072</v>
      </c>
      <c r="N528">
        <v>1662162.1621621619</v>
      </c>
      <c r="O528">
        <v>5617567.5675675673</v>
      </c>
      <c r="P528">
        <v>5720675.6756756734</v>
      </c>
      <c r="Q528">
        <v>1211891.8918918909</v>
      </c>
      <c r="R528">
        <v>1298468.4684684679</v>
      </c>
      <c r="S528">
        <v>5977</v>
      </c>
      <c r="T528">
        <v>5387</v>
      </c>
    </row>
    <row r="529" spans="1:20" x14ac:dyDescent="0.35">
      <c r="A529" s="7" t="s">
        <v>623</v>
      </c>
      <c r="B529" s="12" t="s">
        <v>620</v>
      </c>
      <c r="C529">
        <v>29127579.507237185</v>
      </c>
      <c r="D529">
        <v>26420104.361844499</v>
      </c>
      <c r="E529">
        <v>139639.63963963999</v>
      </c>
      <c r="F529">
        <v>67567.567567569</v>
      </c>
      <c r="G529">
        <v>14</v>
      </c>
      <c r="H529">
        <v>4</v>
      </c>
      <c r="K529">
        <v>19</v>
      </c>
      <c r="L529">
        <v>7</v>
      </c>
      <c r="M529">
        <v>1671171.1711711709</v>
      </c>
      <c r="N529">
        <v>1403603.603603604</v>
      </c>
      <c r="O529">
        <v>3540405.405405404</v>
      </c>
      <c r="P529">
        <v>3945639.6396396402</v>
      </c>
      <c r="Q529">
        <v>1481711.7117117119</v>
      </c>
      <c r="R529">
        <v>2224324.3243243238</v>
      </c>
      <c r="S529">
        <v>3577</v>
      </c>
      <c r="T529">
        <v>3536</v>
      </c>
    </row>
    <row r="530" spans="1:20" x14ac:dyDescent="0.35">
      <c r="A530" s="7" t="s">
        <v>624</v>
      </c>
      <c r="B530" s="12" t="s">
        <v>260</v>
      </c>
      <c r="C530">
        <v>14384141.031277768</v>
      </c>
      <c r="D530">
        <v>13260215.429216895</v>
      </c>
      <c r="G530">
        <v>1</v>
      </c>
      <c r="K530">
        <v>1</v>
      </c>
      <c r="O530">
        <v>4743639.6396396402</v>
      </c>
      <c r="P530">
        <v>3983108.1081081089</v>
      </c>
      <c r="Q530">
        <v>164864.864864865</v>
      </c>
      <c r="R530">
        <v>3152702.702702702</v>
      </c>
      <c r="S530">
        <v>2000</v>
      </c>
      <c r="T530">
        <v>2079</v>
      </c>
    </row>
    <row r="531" spans="1:20" x14ac:dyDescent="0.35">
      <c r="A531" s="7" t="s">
        <v>625</v>
      </c>
      <c r="B531" s="12" t="s">
        <v>52</v>
      </c>
      <c r="C531">
        <v>22772462.367858808</v>
      </c>
      <c r="D531">
        <v>23214513.824457776</v>
      </c>
      <c r="E531">
        <v>7387.3873873869998</v>
      </c>
      <c r="G531">
        <v>3</v>
      </c>
      <c r="H531">
        <v>10</v>
      </c>
      <c r="K531">
        <v>4</v>
      </c>
      <c r="L531">
        <v>20</v>
      </c>
      <c r="M531">
        <v>7387.3873873869998</v>
      </c>
      <c r="N531">
        <v>900900.90090090095</v>
      </c>
      <c r="O531">
        <v>7952378.3783783792</v>
      </c>
      <c r="P531">
        <v>8737486.4864864852</v>
      </c>
      <c r="Q531">
        <v>961711.71171171102</v>
      </c>
      <c r="R531">
        <v>390090.09009009</v>
      </c>
      <c r="S531">
        <v>4376</v>
      </c>
      <c r="T531">
        <v>4277</v>
      </c>
    </row>
    <row r="532" spans="1:20" x14ac:dyDescent="0.35">
      <c r="A532" s="7" t="s">
        <v>626</v>
      </c>
      <c r="B532" s="12" t="s">
        <v>96</v>
      </c>
      <c r="C532">
        <v>54693751.032225125</v>
      </c>
      <c r="D532">
        <v>52177096.30790253</v>
      </c>
      <c r="E532">
        <v>170630.63063063199</v>
      </c>
      <c r="F532">
        <v>540540.54054054304</v>
      </c>
      <c r="G532">
        <v>23</v>
      </c>
      <c r="H532">
        <v>22</v>
      </c>
      <c r="I532">
        <v>1</v>
      </c>
      <c r="K532">
        <v>33</v>
      </c>
      <c r="L532">
        <v>34</v>
      </c>
      <c r="M532">
        <v>12828288.288288288</v>
      </c>
      <c r="N532">
        <v>6701801.8018017998</v>
      </c>
      <c r="O532">
        <v>16998693.693693694</v>
      </c>
      <c r="P532">
        <v>17795909.909909911</v>
      </c>
      <c r="Q532">
        <v>9632252.2522522528</v>
      </c>
      <c r="R532">
        <v>9758288.2882882878</v>
      </c>
      <c r="S532">
        <v>10678</v>
      </c>
      <c r="T532">
        <v>10628</v>
      </c>
    </row>
    <row r="533" spans="1:20" x14ac:dyDescent="0.35">
      <c r="A533" s="7" t="s">
        <v>627</v>
      </c>
      <c r="B533" s="12" t="s">
        <v>96</v>
      </c>
      <c r="C533">
        <v>94301294.51243341</v>
      </c>
      <c r="D533">
        <v>87871738.778330058</v>
      </c>
      <c r="E533">
        <v>279819.81981982</v>
      </c>
      <c r="F533">
        <v>243243.243243245</v>
      </c>
      <c r="G533">
        <v>12</v>
      </c>
      <c r="H533">
        <v>9</v>
      </c>
      <c r="K533">
        <v>27</v>
      </c>
      <c r="L533">
        <v>15</v>
      </c>
      <c r="M533">
        <v>10187027.027027031</v>
      </c>
      <c r="N533">
        <v>7258108.1081081079</v>
      </c>
      <c r="O533">
        <v>36392666.666666664</v>
      </c>
      <c r="P533">
        <v>35576522.522522517</v>
      </c>
      <c r="Q533">
        <v>17365585.585585587</v>
      </c>
      <c r="R533">
        <v>15579819.819819823</v>
      </c>
      <c r="S533">
        <v>13883</v>
      </c>
      <c r="T533">
        <v>13837</v>
      </c>
    </row>
    <row r="534" spans="1:20" x14ac:dyDescent="0.35">
      <c r="A534" s="7" t="s">
        <v>628</v>
      </c>
      <c r="B534" s="12" t="s">
        <v>448</v>
      </c>
      <c r="C534">
        <v>65880341.458646007</v>
      </c>
      <c r="D534">
        <v>63849293.413249351</v>
      </c>
      <c r="E534">
        <v>105783716.21621622</v>
      </c>
      <c r="F534">
        <v>41217550.450450458</v>
      </c>
      <c r="G534">
        <v>22</v>
      </c>
      <c r="H534">
        <v>12</v>
      </c>
      <c r="K534">
        <v>37</v>
      </c>
      <c r="L534">
        <v>17</v>
      </c>
      <c r="M534">
        <v>25422972.97297297</v>
      </c>
      <c r="N534">
        <v>23028378.378378384</v>
      </c>
      <c r="O534">
        <v>18448243.243243244</v>
      </c>
      <c r="P534">
        <v>19114351.351351351</v>
      </c>
      <c r="Q534">
        <v>22337837.837837841</v>
      </c>
      <c r="R534">
        <v>13281801.801801804</v>
      </c>
      <c r="S534">
        <v>11420</v>
      </c>
      <c r="T534">
        <v>11148</v>
      </c>
    </row>
    <row r="535" spans="1:20" x14ac:dyDescent="0.35">
      <c r="A535" s="7" t="s">
        <v>629</v>
      </c>
      <c r="B535" s="12" t="s">
        <v>78</v>
      </c>
      <c r="C535">
        <v>3037433.5052763778</v>
      </c>
      <c r="D535">
        <v>3301477.446463828</v>
      </c>
      <c r="E535">
        <v>180180.18018018</v>
      </c>
      <c r="F535">
        <v>270270.27027027</v>
      </c>
      <c r="G535">
        <v>1</v>
      </c>
      <c r="H535">
        <v>1</v>
      </c>
      <c r="K535">
        <v>1</v>
      </c>
      <c r="L535">
        <v>1</v>
      </c>
      <c r="M535">
        <v>180180.18018018</v>
      </c>
      <c r="N535">
        <v>270270.27027027</v>
      </c>
      <c r="O535">
        <v>909909.90990991006</v>
      </c>
      <c r="P535">
        <v>1119540.5405405411</v>
      </c>
      <c r="Q535">
        <v>257657.65765765801</v>
      </c>
      <c r="R535">
        <v>450000</v>
      </c>
      <c r="S535">
        <v>363</v>
      </c>
      <c r="T535">
        <v>350</v>
      </c>
    </row>
    <row r="536" spans="1:20" x14ac:dyDescent="0.35">
      <c r="A536" s="7" t="s">
        <v>630</v>
      </c>
      <c r="B536" s="12" t="s">
        <v>241</v>
      </c>
      <c r="C536">
        <v>17524876.294500194</v>
      </c>
      <c r="D536">
        <v>17171004.014808781</v>
      </c>
      <c r="E536">
        <v>5585.585585586</v>
      </c>
      <c r="F536">
        <v>13513.513513514001</v>
      </c>
      <c r="G536">
        <v>5</v>
      </c>
      <c r="H536">
        <v>8</v>
      </c>
      <c r="K536">
        <v>6</v>
      </c>
      <c r="L536">
        <v>9</v>
      </c>
      <c r="M536">
        <v>3518288.2882882869</v>
      </c>
      <c r="N536">
        <v>982432.43243243499</v>
      </c>
      <c r="O536">
        <v>3925720.7207207209</v>
      </c>
      <c r="P536">
        <v>3517117.1171171162</v>
      </c>
      <c r="Q536">
        <v>2925585.5855855839</v>
      </c>
      <c r="R536">
        <v>908108.10810811003</v>
      </c>
      <c r="S536">
        <v>2619</v>
      </c>
      <c r="T536">
        <v>2644</v>
      </c>
    </row>
    <row r="537" spans="1:20" x14ac:dyDescent="0.35">
      <c r="A537" s="7" t="s">
        <v>631</v>
      </c>
      <c r="B537" s="12" t="s">
        <v>68</v>
      </c>
      <c r="C537">
        <v>74344519.135978937</v>
      </c>
      <c r="D537">
        <v>73180919.242172346</v>
      </c>
      <c r="E537">
        <v>420720.72072072199</v>
      </c>
      <c r="F537">
        <v>135135.13513513599</v>
      </c>
      <c r="G537">
        <v>8</v>
      </c>
      <c r="H537">
        <v>12</v>
      </c>
      <c r="K537">
        <v>11</v>
      </c>
      <c r="L537">
        <v>14</v>
      </c>
      <c r="M537">
        <v>6303783.7837837832</v>
      </c>
      <c r="N537">
        <v>4794594.594594595</v>
      </c>
      <c r="O537">
        <v>12930000</v>
      </c>
      <c r="P537">
        <v>12086558.558558561</v>
      </c>
      <c r="Q537">
        <v>4572252.2522522509</v>
      </c>
      <c r="R537">
        <v>5450720.7207207223</v>
      </c>
      <c r="S537">
        <v>9243</v>
      </c>
      <c r="T537">
        <v>9159</v>
      </c>
    </row>
    <row r="538" spans="1:20" x14ac:dyDescent="0.35">
      <c r="A538" s="7" t="s">
        <v>632</v>
      </c>
      <c r="B538" s="12" t="s">
        <v>70</v>
      </c>
      <c r="C538">
        <v>681774.674647721</v>
      </c>
      <c r="D538">
        <v>572683.99691708095</v>
      </c>
      <c r="F538">
        <v>27027.027027027001</v>
      </c>
      <c r="L538">
        <v>1</v>
      </c>
      <c r="N538">
        <v>27027.027027027001</v>
      </c>
      <c r="O538">
        <v>278108.10810810799</v>
      </c>
      <c r="P538">
        <v>322117.11711711698</v>
      </c>
      <c r="Q538">
        <v>5225.225225225</v>
      </c>
      <c r="R538">
        <v>135135.135135135</v>
      </c>
      <c r="S538">
        <v>208</v>
      </c>
      <c r="T538">
        <v>184</v>
      </c>
    </row>
    <row r="539" spans="1:20" x14ac:dyDescent="0.35">
      <c r="A539" s="7" t="s">
        <v>633</v>
      </c>
      <c r="B539" s="12" t="s">
        <v>60</v>
      </c>
      <c r="C539">
        <v>5852866.2594878161</v>
      </c>
      <c r="D539">
        <v>6091112.1144284997</v>
      </c>
      <c r="H539">
        <v>1</v>
      </c>
      <c r="L539">
        <v>3</v>
      </c>
      <c r="M539">
        <v>180180.18018018</v>
      </c>
      <c r="N539">
        <v>270270.27027027</v>
      </c>
      <c r="O539">
        <v>2018288.2882882881</v>
      </c>
      <c r="P539">
        <v>2720360.3603603598</v>
      </c>
      <c r="Q539">
        <v>41891.891891892003</v>
      </c>
      <c r="S539">
        <v>1037</v>
      </c>
      <c r="T539">
        <v>1036</v>
      </c>
    </row>
    <row r="540" spans="1:20" x14ac:dyDescent="0.35">
      <c r="A540" s="7" t="s">
        <v>634</v>
      </c>
      <c r="B540" s="12" t="s">
        <v>80</v>
      </c>
      <c r="C540">
        <v>58175584.865392536</v>
      </c>
      <c r="D540">
        <v>57747925.251246773</v>
      </c>
      <c r="E540">
        <v>667567.56756756804</v>
      </c>
      <c r="F540">
        <v>662162.16216216399</v>
      </c>
      <c r="G540">
        <v>11</v>
      </c>
      <c r="H540">
        <v>3</v>
      </c>
      <c r="K540">
        <v>15</v>
      </c>
      <c r="L540">
        <v>4</v>
      </c>
      <c r="M540">
        <v>5479819.8198198192</v>
      </c>
      <c r="N540">
        <v>3997297.297297298</v>
      </c>
      <c r="O540">
        <v>10406036.036036037</v>
      </c>
      <c r="P540">
        <v>11817126.126126125</v>
      </c>
      <c r="Q540">
        <v>7495135.1351351347</v>
      </c>
      <c r="R540">
        <v>5658198.1981981993</v>
      </c>
      <c r="S540">
        <v>6318</v>
      </c>
      <c r="T540">
        <v>9011</v>
      </c>
    </row>
    <row r="541" spans="1:20" x14ac:dyDescent="0.35">
      <c r="A541" s="7" t="s">
        <v>635</v>
      </c>
      <c r="B541" s="12" t="s">
        <v>134</v>
      </c>
      <c r="C541">
        <v>9880949.5859975014</v>
      </c>
      <c r="D541">
        <v>10113886.963174334</v>
      </c>
      <c r="H541">
        <v>1</v>
      </c>
      <c r="L541">
        <v>1</v>
      </c>
      <c r="N541">
        <v>630630.630630631</v>
      </c>
      <c r="O541">
        <v>816216.21621621703</v>
      </c>
      <c r="P541">
        <v>771720.72072072094</v>
      </c>
      <c r="Q541">
        <v>172522.52252252199</v>
      </c>
      <c r="R541">
        <v>158558.55855855899</v>
      </c>
      <c r="S541">
        <v>1456</v>
      </c>
      <c r="T541">
        <v>1951</v>
      </c>
    </row>
    <row r="542" spans="1:20" x14ac:dyDescent="0.35">
      <c r="A542" s="7" t="s">
        <v>636</v>
      </c>
      <c r="B542" s="12" t="s">
        <v>479</v>
      </c>
      <c r="C542">
        <v>34999337.187792309</v>
      </c>
      <c r="D542">
        <v>32342753.761841077</v>
      </c>
      <c r="E542">
        <v>17567.567567568</v>
      </c>
      <c r="F542">
        <v>81081.081081081997</v>
      </c>
      <c r="G542">
        <v>1</v>
      </c>
      <c r="H542">
        <v>3</v>
      </c>
      <c r="K542">
        <v>1</v>
      </c>
      <c r="L542">
        <v>3</v>
      </c>
      <c r="M542">
        <v>5257387.3873873847</v>
      </c>
      <c r="N542">
        <v>5040540.5405405425</v>
      </c>
      <c r="O542">
        <v>10351256.756756758</v>
      </c>
      <c r="P542">
        <v>10009234.234234234</v>
      </c>
      <c r="Q542">
        <v>4017027.0270270249</v>
      </c>
      <c r="R542">
        <v>6465765.7657657666</v>
      </c>
      <c r="S542">
        <v>5882</v>
      </c>
      <c r="T542">
        <v>5607</v>
      </c>
    </row>
    <row r="543" spans="1:20" x14ac:dyDescent="0.35">
      <c r="A543" s="7" t="s">
        <v>637</v>
      </c>
      <c r="B543" s="12" t="s">
        <v>143</v>
      </c>
      <c r="C543">
        <v>62020388.667494275</v>
      </c>
      <c r="D543">
        <v>57698084.36663112</v>
      </c>
      <c r="E543">
        <v>183783.78378378399</v>
      </c>
      <c r="F543">
        <v>364864.86486486701</v>
      </c>
      <c r="G543">
        <v>6</v>
      </c>
      <c r="H543">
        <v>4</v>
      </c>
      <c r="K543">
        <v>11</v>
      </c>
      <c r="L543">
        <v>10</v>
      </c>
      <c r="M543">
        <v>5937837.8378378367</v>
      </c>
      <c r="N543">
        <v>1265765.765765768</v>
      </c>
      <c r="O543">
        <v>6091558.5585585581</v>
      </c>
      <c r="P543">
        <v>7249909.9099099096</v>
      </c>
      <c r="Q543">
        <v>4084144.144144142</v>
      </c>
      <c r="R543">
        <v>2113423.423423423</v>
      </c>
      <c r="S543">
        <v>9747</v>
      </c>
      <c r="T543">
        <v>9527</v>
      </c>
    </row>
    <row r="544" spans="1:20" x14ac:dyDescent="0.35">
      <c r="A544" s="7" t="s">
        <v>638</v>
      </c>
      <c r="B544" s="12" t="s">
        <v>241</v>
      </c>
      <c r="C544">
        <v>60785181.423164509</v>
      </c>
      <c r="D544">
        <v>59370827.635581568</v>
      </c>
      <c r="E544">
        <v>10810.810810810999</v>
      </c>
      <c r="F544">
        <v>585585.58558558801</v>
      </c>
      <c r="G544">
        <v>23</v>
      </c>
      <c r="H544">
        <v>27</v>
      </c>
      <c r="K544">
        <v>31</v>
      </c>
      <c r="L544">
        <v>36</v>
      </c>
      <c r="M544">
        <v>2506936.9369369382</v>
      </c>
      <c r="N544">
        <v>1545045.0450450489</v>
      </c>
      <c r="O544">
        <v>20443144.144144144</v>
      </c>
      <c r="P544">
        <v>18674081.081081081</v>
      </c>
      <c r="Q544">
        <v>2866846.8468468478</v>
      </c>
      <c r="R544">
        <v>1535765.7657657689</v>
      </c>
      <c r="S544">
        <v>12622</v>
      </c>
      <c r="T544">
        <v>12951</v>
      </c>
    </row>
    <row r="545" spans="1:20" x14ac:dyDescent="0.35">
      <c r="A545" s="7" t="s">
        <v>639</v>
      </c>
      <c r="B545" s="12" t="s">
        <v>132</v>
      </c>
      <c r="C545">
        <v>25870686.282351077</v>
      </c>
      <c r="D545">
        <v>24603272.716952417</v>
      </c>
      <c r="E545">
        <v>2702.7027027029999</v>
      </c>
      <c r="G545">
        <v>5</v>
      </c>
      <c r="H545">
        <v>6</v>
      </c>
      <c r="K545">
        <v>10</v>
      </c>
      <c r="L545">
        <v>11</v>
      </c>
      <c r="M545">
        <v>2705405.405405405</v>
      </c>
      <c r="N545">
        <v>180180.18018018</v>
      </c>
      <c r="O545">
        <v>8060360.3603603588</v>
      </c>
      <c r="P545">
        <v>7752513.5135135148</v>
      </c>
      <c r="Q545">
        <v>3327927.927927928</v>
      </c>
      <c r="R545">
        <v>218468.46846846899</v>
      </c>
      <c r="S545">
        <v>5586</v>
      </c>
      <c r="T545">
        <v>5838</v>
      </c>
    </row>
    <row r="546" spans="1:20" x14ac:dyDescent="0.35">
      <c r="A546" s="7" t="s">
        <v>640</v>
      </c>
      <c r="B546" s="12" t="s">
        <v>134</v>
      </c>
      <c r="C546">
        <v>73629027.754426882</v>
      </c>
      <c r="D546">
        <v>71797804.288850665</v>
      </c>
      <c r="E546">
        <v>25225.225225225</v>
      </c>
      <c r="F546">
        <v>40540.540540540998</v>
      </c>
      <c r="G546">
        <v>7</v>
      </c>
      <c r="H546">
        <v>4</v>
      </c>
      <c r="K546">
        <v>8</v>
      </c>
      <c r="L546">
        <v>8</v>
      </c>
      <c r="M546">
        <v>4664864.8648648635</v>
      </c>
      <c r="N546">
        <v>5662342.3423423423</v>
      </c>
      <c r="O546">
        <v>8003067.5675675683</v>
      </c>
      <c r="P546">
        <v>9700187.3873873875</v>
      </c>
      <c r="Q546">
        <v>3037927.927927928</v>
      </c>
      <c r="R546">
        <v>4456169.3693693699</v>
      </c>
      <c r="S546">
        <v>7610</v>
      </c>
      <c r="T546">
        <v>7427</v>
      </c>
    </row>
    <row r="547" spans="1:20" x14ac:dyDescent="0.35">
      <c r="A547" s="7" t="s">
        <v>641</v>
      </c>
      <c r="B547" s="12" t="s">
        <v>80</v>
      </c>
      <c r="C547">
        <v>35764464.648384027</v>
      </c>
      <c r="D547">
        <v>34487188.773138501</v>
      </c>
      <c r="F547">
        <v>27027.027027028002</v>
      </c>
      <c r="G547">
        <v>1</v>
      </c>
      <c r="H547">
        <v>2</v>
      </c>
      <c r="K547">
        <v>1</v>
      </c>
      <c r="L547">
        <v>4</v>
      </c>
      <c r="M547">
        <v>4902702.702702703</v>
      </c>
      <c r="N547">
        <v>27027.027027028002</v>
      </c>
      <c r="O547">
        <v>12514486.486486487</v>
      </c>
      <c r="P547">
        <v>12374513.513513515</v>
      </c>
      <c r="Q547">
        <v>3514324.3243243238</v>
      </c>
      <c r="R547">
        <v>2628378.3783783782</v>
      </c>
      <c r="S547">
        <v>4906</v>
      </c>
      <c r="T547">
        <v>4571</v>
      </c>
    </row>
    <row r="548" spans="1:20" x14ac:dyDescent="0.35">
      <c r="A548" s="7" t="s">
        <v>642</v>
      </c>
      <c r="B548" s="12" t="s">
        <v>169</v>
      </c>
      <c r="C548">
        <v>65752276.628207453</v>
      </c>
      <c r="D548">
        <v>59025225.584640451</v>
      </c>
      <c r="E548">
        <v>31081.081081081</v>
      </c>
      <c r="F548">
        <v>13513.513513514001</v>
      </c>
      <c r="G548">
        <v>9</v>
      </c>
      <c r="H548">
        <v>8</v>
      </c>
      <c r="K548">
        <v>9</v>
      </c>
      <c r="L548">
        <v>9</v>
      </c>
      <c r="M548">
        <v>3274324.3243243238</v>
      </c>
      <c r="N548">
        <v>3166666.666666666</v>
      </c>
      <c r="O548">
        <v>20943873.873873871</v>
      </c>
      <c r="P548">
        <v>20983918.918918919</v>
      </c>
      <c r="Q548">
        <v>4204324.3243243247</v>
      </c>
      <c r="R548">
        <v>3712792.7927927929</v>
      </c>
      <c r="S548">
        <v>8966</v>
      </c>
      <c r="T548">
        <v>8692</v>
      </c>
    </row>
    <row r="549" spans="1:20" x14ac:dyDescent="0.35">
      <c r="A549" s="7" t="s">
        <v>643</v>
      </c>
      <c r="B549" s="12" t="s">
        <v>58</v>
      </c>
      <c r="C549">
        <v>111415536.08683355</v>
      </c>
      <c r="D549">
        <v>106414823.93424471</v>
      </c>
      <c r="E549">
        <v>759909.90990991099</v>
      </c>
      <c r="F549">
        <v>288288.28828829102</v>
      </c>
      <c r="G549">
        <v>23</v>
      </c>
      <c r="H549">
        <v>10</v>
      </c>
      <c r="K549">
        <v>28</v>
      </c>
      <c r="L549">
        <v>17</v>
      </c>
      <c r="M549">
        <v>8786936.9369369373</v>
      </c>
      <c r="N549">
        <v>3036036.0360360369</v>
      </c>
      <c r="O549">
        <v>21184144.144144148</v>
      </c>
      <c r="P549">
        <v>22424639.639639638</v>
      </c>
      <c r="Q549">
        <v>4736666.666666667</v>
      </c>
      <c r="R549">
        <v>5888558.55855856</v>
      </c>
      <c r="S549">
        <v>17364</v>
      </c>
      <c r="T549">
        <v>17387</v>
      </c>
    </row>
    <row r="550" spans="1:20" x14ac:dyDescent="0.35">
      <c r="A550" s="7" t="s">
        <v>644</v>
      </c>
      <c r="B550" s="12" t="s">
        <v>58</v>
      </c>
      <c r="C550">
        <v>137513647.22823185</v>
      </c>
      <c r="D550">
        <v>138519720.1092501</v>
      </c>
      <c r="E550">
        <v>51171804.504504502</v>
      </c>
      <c r="F550">
        <v>1860360.360360367</v>
      </c>
      <c r="G550">
        <v>25</v>
      </c>
      <c r="H550">
        <v>24</v>
      </c>
      <c r="K550">
        <v>38</v>
      </c>
      <c r="L550">
        <v>44</v>
      </c>
      <c r="M550">
        <v>22099549.549549554</v>
      </c>
      <c r="N550">
        <v>20328828.828828838</v>
      </c>
      <c r="O550">
        <v>34786430.630630635</v>
      </c>
      <c r="P550">
        <v>36813081.081081077</v>
      </c>
      <c r="Q550">
        <v>13065675.675675683</v>
      </c>
      <c r="R550">
        <v>16118378.378378376</v>
      </c>
      <c r="S550">
        <v>22102</v>
      </c>
      <c r="T550">
        <v>22918</v>
      </c>
    </row>
    <row r="551" spans="1:20" x14ac:dyDescent="0.35">
      <c r="A551" s="7" t="s">
        <v>645</v>
      </c>
      <c r="B551" s="12" t="s">
        <v>307</v>
      </c>
      <c r="C551">
        <v>44699979.038625456</v>
      </c>
      <c r="D551">
        <v>41974813.331919365</v>
      </c>
      <c r="E551">
        <v>184684.68468468499</v>
      </c>
      <c r="F551">
        <v>554054.05405405501</v>
      </c>
      <c r="G551">
        <v>5</v>
      </c>
      <c r="H551">
        <v>2</v>
      </c>
      <c r="K551">
        <v>7</v>
      </c>
      <c r="L551">
        <v>2</v>
      </c>
      <c r="M551">
        <v>872972.97297297395</v>
      </c>
      <c r="N551">
        <v>1004504.504504505</v>
      </c>
      <c r="O551">
        <v>7156351.3513513505</v>
      </c>
      <c r="P551">
        <v>7361351.3513513505</v>
      </c>
      <c r="Q551">
        <v>1172072.0720720729</v>
      </c>
      <c r="R551">
        <v>662792.79279279301</v>
      </c>
      <c r="S551">
        <v>5212</v>
      </c>
      <c r="T551">
        <v>5162</v>
      </c>
    </row>
    <row r="552" spans="1:20" x14ac:dyDescent="0.35">
      <c r="A552" s="7" t="s">
        <v>13</v>
      </c>
      <c r="B552" s="12" t="s">
        <v>158</v>
      </c>
      <c r="C552">
        <v>49448207.073301613</v>
      </c>
      <c r="D552">
        <v>47743748.730861425</v>
      </c>
      <c r="E552">
        <v>150190962.16216218</v>
      </c>
      <c r="F552">
        <v>60134341.441441439</v>
      </c>
      <c r="G552">
        <v>1</v>
      </c>
      <c r="H552">
        <v>4</v>
      </c>
      <c r="K552">
        <v>3</v>
      </c>
      <c r="L552">
        <v>6</v>
      </c>
      <c r="M552">
        <v>12877387.387387382</v>
      </c>
      <c r="N552">
        <v>11959189.189189192</v>
      </c>
      <c r="O552">
        <v>25399617.117117114</v>
      </c>
      <c r="P552">
        <v>27662090.090090089</v>
      </c>
      <c r="Q552">
        <v>9444144.1441441439</v>
      </c>
      <c r="R552">
        <v>6289639.6396396412</v>
      </c>
      <c r="S552">
        <v>7293</v>
      </c>
      <c r="T552">
        <v>7171</v>
      </c>
    </row>
    <row r="553" spans="1:20" x14ac:dyDescent="0.35">
      <c r="A553" s="7" t="s">
        <v>646</v>
      </c>
      <c r="B553" s="12" t="s">
        <v>121</v>
      </c>
      <c r="C553">
        <v>34778346.798791729</v>
      </c>
      <c r="D553">
        <v>36494663.412410408</v>
      </c>
      <c r="E553">
        <v>900.900900901</v>
      </c>
      <c r="G553">
        <v>7</v>
      </c>
      <c r="H553">
        <v>6</v>
      </c>
      <c r="K553">
        <v>7</v>
      </c>
      <c r="L553">
        <v>6</v>
      </c>
      <c r="M553">
        <v>181081.08108108101</v>
      </c>
      <c r="N553">
        <v>180180.18018018</v>
      </c>
      <c r="O553">
        <v>2886081.0810810798</v>
      </c>
      <c r="P553">
        <v>2883873.8738738741</v>
      </c>
      <c r="Q553">
        <v>61261.261261261003</v>
      </c>
      <c r="R553">
        <v>49099.099099099003</v>
      </c>
      <c r="S553">
        <v>3129</v>
      </c>
      <c r="T553">
        <v>3746</v>
      </c>
    </row>
    <row r="554" spans="1:20" x14ac:dyDescent="0.35">
      <c r="A554" s="7" t="s">
        <v>647</v>
      </c>
      <c r="B554" s="12" t="s">
        <v>315</v>
      </c>
      <c r="C554">
        <v>12742695.471752493</v>
      </c>
      <c r="D554">
        <v>11625059.504394824</v>
      </c>
      <c r="E554">
        <v>900.900900901</v>
      </c>
      <c r="G554">
        <v>2</v>
      </c>
      <c r="K554">
        <v>3</v>
      </c>
      <c r="L554">
        <v>2</v>
      </c>
      <c r="M554">
        <v>900.900900901</v>
      </c>
      <c r="N554">
        <v>752252.25225225103</v>
      </c>
      <c r="O554">
        <v>2370653.1531531541</v>
      </c>
      <c r="P554">
        <v>2300540.5405405411</v>
      </c>
      <c r="Q554">
        <v>541171.17117116996</v>
      </c>
      <c r="R554">
        <v>1513423.423423423</v>
      </c>
      <c r="S554">
        <v>1369</v>
      </c>
      <c r="T554">
        <v>1293</v>
      </c>
    </row>
    <row r="555" spans="1:20" x14ac:dyDescent="0.35">
      <c r="A555" s="7" t="s">
        <v>648</v>
      </c>
      <c r="B555" s="12" t="s">
        <v>260</v>
      </c>
      <c r="C555">
        <v>31016573.672068126</v>
      </c>
      <c r="D555">
        <v>30584845.412244461</v>
      </c>
      <c r="E555">
        <v>143513.51351351399</v>
      </c>
      <c r="F555">
        <v>13513.513513514001</v>
      </c>
      <c r="G555">
        <v>5</v>
      </c>
      <c r="H555">
        <v>9</v>
      </c>
      <c r="K555">
        <v>5</v>
      </c>
      <c r="L555">
        <v>13</v>
      </c>
      <c r="M555">
        <v>10481126.126126125</v>
      </c>
      <c r="N555">
        <v>6356306.3063063053</v>
      </c>
      <c r="O555">
        <v>10259009.009009007</v>
      </c>
      <c r="P555">
        <v>10043612.612612613</v>
      </c>
      <c r="Q555">
        <v>8638288.2882882878</v>
      </c>
      <c r="R555">
        <v>4425675.6756756762</v>
      </c>
      <c r="S555">
        <v>4294</v>
      </c>
      <c r="T555">
        <v>4342</v>
      </c>
    </row>
    <row r="556" spans="1:20" x14ac:dyDescent="0.35">
      <c r="A556" s="7" t="s">
        <v>649</v>
      </c>
      <c r="B556" s="12" t="s">
        <v>224</v>
      </c>
      <c r="C556">
        <v>33021509.468726404</v>
      </c>
      <c r="D556">
        <v>28521585.218485367</v>
      </c>
      <c r="E556">
        <v>19369.369369369</v>
      </c>
      <c r="F556">
        <v>202702.70270270499</v>
      </c>
      <c r="G556">
        <v>6</v>
      </c>
      <c r="H556">
        <v>5</v>
      </c>
      <c r="K556">
        <v>6</v>
      </c>
      <c r="L556">
        <v>8</v>
      </c>
      <c r="M556">
        <v>1777027.0270270261</v>
      </c>
      <c r="N556">
        <v>3612612.6126126139</v>
      </c>
      <c r="O556">
        <v>6518018.0180180185</v>
      </c>
      <c r="P556">
        <v>6654009.0090090102</v>
      </c>
      <c r="Q556">
        <v>1391801.8018018019</v>
      </c>
      <c r="R556">
        <v>4076036.036036036</v>
      </c>
      <c r="S556">
        <v>5524</v>
      </c>
      <c r="T556">
        <v>5444</v>
      </c>
    </row>
    <row r="557" spans="1:20" x14ac:dyDescent="0.35">
      <c r="A557" s="7" t="s">
        <v>650</v>
      </c>
      <c r="B557" s="12" t="s">
        <v>224</v>
      </c>
      <c r="C557">
        <v>28100914.171895113</v>
      </c>
      <c r="D557">
        <v>23115670.268066049</v>
      </c>
      <c r="E557">
        <v>16216.216216216</v>
      </c>
      <c r="G557">
        <v>2</v>
      </c>
      <c r="K557">
        <v>2</v>
      </c>
      <c r="M557">
        <v>2007207.2072072059</v>
      </c>
      <c r="O557">
        <v>3100045.0450450452</v>
      </c>
      <c r="P557">
        <v>4038459.4594594599</v>
      </c>
      <c r="Q557">
        <v>900720.72072072001</v>
      </c>
      <c r="R557">
        <v>255405.405405406</v>
      </c>
      <c r="S557">
        <v>3095</v>
      </c>
      <c r="T557">
        <v>4137</v>
      </c>
    </row>
    <row r="558" spans="1:20" x14ac:dyDescent="0.35">
      <c r="A558" s="7" t="s">
        <v>651</v>
      </c>
      <c r="B558" s="12" t="s">
        <v>224</v>
      </c>
      <c r="C558">
        <v>103642838.68087868</v>
      </c>
      <c r="D558">
        <v>90735001.697198913</v>
      </c>
      <c r="E558">
        <v>983770.27027027297</v>
      </c>
      <c r="F558">
        <v>1421495.4954955</v>
      </c>
      <c r="G558">
        <v>20</v>
      </c>
      <c r="H558">
        <v>19</v>
      </c>
      <c r="K558">
        <v>38</v>
      </c>
      <c r="L558">
        <v>36</v>
      </c>
      <c r="M558">
        <v>12260450.450450448</v>
      </c>
      <c r="N558">
        <v>12576576.576576579</v>
      </c>
      <c r="O558">
        <v>23553315.315315317</v>
      </c>
      <c r="P558">
        <v>24031423.423423424</v>
      </c>
      <c r="Q558">
        <v>8137747.74774775</v>
      </c>
      <c r="R558">
        <v>11774054.054054054</v>
      </c>
      <c r="S558">
        <v>18533</v>
      </c>
      <c r="T558">
        <v>18791</v>
      </c>
    </row>
    <row r="559" spans="1:20" x14ac:dyDescent="0.35">
      <c r="A559" s="7" t="s">
        <v>652</v>
      </c>
      <c r="B559" s="12" t="s">
        <v>224</v>
      </c>
      <c r="C559">
        <v>11076021.116439989</v>
      </c>
      <c r="D559">
        <v>11388157.94884504</v>
      </c>
      <c r="G559">
        <v>4</v>
      </c>
      <c r="H559">
        <v>5</v>
      </c>
      <c r="K559">
        <v>6</v>
      </c>
      <c r="L559">
        <v>5</v>
      </c>
      <c r="M559">
        <v>450450.45045045001</v>
      </c>
      <c r="O559">
        <v>1393468.4684684679</v>
      </c>
      <c r="P559">
        <v>2177216.2162162159</v>
      </c>
      <c r="Q559">
        <v>45405.405405404999</v>
      </c>
      <c r="R559">
        <v>161441.441441442</v>
      </c>
      <c r="S559">
        <v>1768</v>
      </c>
      <c r="T559">
        <v>1777</v>
      </c>
    </row>
    <row r="560" spans="1:20" x14ac:dyDescent="0.35">
      <c r="A560" s="7" t="s">
        <v>653</v>
      </c>
      <c r="B560" s="12" t="s">
        <v>96</v>
      </c>
      <c r="C560">
        <v>59370880.499993593</v>
      </c>
      <c r="D560">
        <v>56641532.512447789</v>
      </c>
      <c r="F560">
        <v>81081.081081081007</v>
      </c>
      <c r="G560">
        <v>5</v>
      </c>
      <c r="H560">
        <v>14</v>
      </c>
      <c r="K560">
        <v>7</v>
      </c>
      <c r="L560">
        <v>20</v>
      </c>
      <c r="M560">
        <v>5196621.6216216199</v>
      </c>
      <c r="N560">
        <v>3909684.684684685</v>
      </c>
      <c r="O560">
        <v>8054900.9009009022</v>
      </c>
      <c r="P560">
        <v>7752432.4324324317</v>
      </c>
      <c r="Q560">
        <v>4139099.0990990978</v>
      </c>
      <c r="R560">
        <v>612162.16216216201</v>
      </c>
      <c r="S560">
        <v>9084</v>
      </c>
      <c r="T560">
        <v>8448</v>
      </c>
    </row>
    <row r="561" spans="1:20" x14ac:dyDescent="0.35">
      <c r="A561" s="7" t="s">
        <v>654</v>
      </c>
      <c r="B561" s="12" t="s">
        <v>66</v>
      </c>
      <c r="C561">
        <v>35092249.293874785</v>
      </c>
      <c r="D561">
        <v>37988267.493337743</v>
      </c>
      <c r="E561">
        <v>467567.56756756798</v>
      </c>
      <c r="F561">
        <v>454954.95495495503</v>
      </c>
      <c r="G561">
        <v>15</v>
      </c>
      <c r="H561">
        <v>14</v>
      </c>
      <c r="K561">
        <v>16</v>
      </c>
      <c r="L561">
        <v>16</v>
      </c>
      <c r="M561">
        <v>3205585.5855855881</v>
      </c>
      <c r="N561">
        <v>1355855.8558558561</v>
      </c>
      <c r="O561">
        <v>21046576.576576576</v>
      </c>
      <c r="P561">
        <v>24992936.936936937</v>
      </c>
      <c r="Q561">
        <v>3942972.972972977</v>
      </c>
      <c r="R561">
        <v>2955945.9459459451</v>
      </c>
      <c r="S561">
        <v>5439</v>
      </c>
      <c r="T561">
        <v>5592</v>
      </c>
    </row>
    <row r="562" spans="1:20" x14ac:dyDescent="0.35">
      <c r="A562" s="7" t="s">
        <v>655</v>
      </c>
      <c r="B562" s="12" t="s">
        <v>68</v>
      </c>
      <c r="C562">
        <v>58225678.937728152</v>
      </c>
      <c r="D562">
        <v>47218688.226152338</v>
      </c>
      <c r="E562">
        <v>1686642.342342342</v>
      </c>
      <c r="F562">
        <v>2229518.018018018</v>
      </c>
      <c r="G562">
        <v>5</v>
      </c>
      <c r="H562">
        <v>4</v>
      </c>
      <c r="K562">
        <v>7</v>
      </c>
      <c r="L562">
        <v>6</v>
      </c>
      <c r="M562">
        <v>6830990.9909909908</v>
      </c>
      <c r="N562">
        <v>824324.32432432403</v>
      </c>
      <c r="O562">
        <v>8245959.4594594594</v>
      </c>
      <c r="P562">
        <v>5968666.666666666</v>
      </c>
      <c r="Q562">
        <v>4112072.072072072</v>
      </c>
      <c r="R562">
        <v>1602612.6126126139</v>
      </c>
      <c r="S562">
        <v>6878</v>
      </c>
      <c r="T562">
        <v>5644</v>
      </c>
    </row>
    <row r="563" spans="1:20" x14ac:dyDescent="0.35">
      <c r="A563" s="7" t="s">
        <v>14</v>
      </c>
      <c r="B563" s="12" t="s">
        <v>158</v>
      </c>
      <c r="C563">
        <v>26277830.819265898</v>
      </c>
      <c r="D563">
        <v>23369103.725689866</v>
      </c>
      <c r="E563">
        <v>1801.801801802</v>
      </c>
      <c r="G563">
        <v>3</v>
      </c>
      <c r="H563">
        <v>3</v>
      </c>
      <c r="K563">
        <v>3</v>
      </c>
      <c r="L563">
        <v>3</v>
      </c>
      <c r="M563">
        <v>542342.34234234295</v>
      </c>
      <c r="N563">
        <v>5209909.9099099096</v>
      </c>
      <c r="O563">
        <v>8676081.0810810812</v>
      </c>
      <c r="P563">
        <v>7808288.2882882887</v>
      </c>
      <c r="Q563">
        <v>1653963.963963964</v>
      </c>
      <c r="R563">
        <v>7068918.9189189197</v>
      </c>
      <c r="S563">
        <v>4019</v>
      </c>
      <c r="T563">
        <v>3947</v>
      </c>
    </row>
    <row r="564" spans="1:20" x14ac:dyDescent="0.35">
      <c r="A564" s="7" t="s">
        <v>656</v>
      </c>
      <c r="B564" s="12" t="s">
        <v>304</v>
      </c>
      <c r="C564">
        <v>22938687.01676451</v>
      </c>
      <c r="D564">
        <v>29525044.268972378</v>
      </c>
      <c r="E564">
        <v>7207.207207208</v>
      </c>
      <c r="F564">
        <v>81081.081081081997</v>
      </c>
      <c r="G564">
        <v>11</v>
      </c>
      <c r="H564">
        <v>5</v>
      </c>
      <c r="K564">
        <v>17</v>
      </c>
      <c r="L564">
        <v>5</v>
      </c>
      <c r="M564">
        <v>6772972.9729729732</v>
      </c>
      <c r="N564">
        <v>5368918.9189189197</v>
      </c>
      <c r="O564">
        <v>8001297.297297298</v>
      </c>
      <c r="P564">
        <v>6284657.6576576568</v>
      </c>
      <c r="Q564">
        <v>4591621.6216216218</v>
      </c>
      <c r="R564">
        <v>3582702.702702703</v>
      </c>
      <c r="S564">
        <v>3267</v>
      </c>
      <c r="T564">
        <v>3091</v>
      </c>
    </row>
    <row r="565" spans="1:20" x14ac:dyDescent="0.35">
      <c r="A565" s="7" t="s">
        <v>657</v>
      </c>
      <c r="B565" s="12" t="s">
        <v>48</v>
      </c>
      <c r="C565">
        <v>37747799.464723945</v>
      </c>
      <c r="D565">
        <v>33366198.995635241</v>
      </c>
      <c r="E565">
        <v>1801.801801802</v>
      </c>
      <c r="F565">
        <v>90090.090090090001</v>
      </c>
      <c r="G565">
        <v>1</v>
      </c>
      <c r="H565">
        <v>1</v>
      </c>
      <c r="K565">
        <v>1</v>
      </c>
      <c r="L565">
        <v>9</v>
      </c>
      <c r="M565">
        <v>1801.801801802</v>
      </c>
      <c r="N565">
        <v>630630.630630631</v>
      </c>
      <c r="O565">
        <v>10883594.594594596</v>
      </c>
      <c r="P565">
        <v>9129990.9909909908</v>
      </c>
      <c r="Q565">
        <v>424504.50450450397</v>
      </c>
      <c r="R565">
        <v>357207.20720720699</v>
      </c>
      <c r="S565">
        <v>3306</v>
      </c>
      <c r="T565">
        <v>3082</v>
      </c>
    </row>
    <row r="566" spans="1:20" x14ac:dyDescent="0.35">
      <c r="A566" s="7" t="s">
        <v>658</v>
      </c>
      <c r="B566" s="12" t="s">
        <v>54</v>
      </c>
      <c r="C566">
        <v>11634814.312327201</v>
      </c>
      <c r="D566">
        <v>11688548.901999451</v>
      </c>
      <c r="E566">
        <v>190990.99099099101</v>
      </c>
      <c r="F566">
        <v>13513.513513514001</v>
      </c>
      <c r="M566">
        <v>1948648.648648649</v>
      </c>
      <c r="N566">
        <v>463963.96396396402</v>
      </c>
      <c r="O566">
        <v>2534234.2342342339</v>
      </c>
      <c r="P566">
        <v>2453882.8828828819</v>
      </c>
      <c r="Q566">
        <v>1222432.4324324329</v>
      </c>
      <c r="R566">
        <v>697117.11711711704</v>
      </c>
      <c r="S566">
        <v>1560</v>
      </c>
      <c r="T566">
        <v>1453</v>
      </c>
    </row>
    <row r="567" spans="1:20" x14ac:dyDescent="0.35">
      <c r="A567" s="7" t="s">
        <v>659</v>
      </c>
      <c r="B567" s="12" t="s">
        <v>50</v>
      </c>
      <c r="C567">
        <v>52573085.806736156</v>
      </c>
      <c r="D567">
        <v>50117757.742705576</v>
      </c>
      <c r="E567">
        <v>65495.495495495998</v>
      </c>
      <c r="F567">
        <v>40540.540540540998</v>
      </c>
      <c r="G567">
        <v>5</v>
      </c>
      <c r="H567">
        <v>6</v>
      </c>
      <c r="K567">
        <v>6</v>
      </c>
      <c r="L567">
        <v>8</v>
      </c>
      <c r="M567">
        <v>9569009.0090090111</v>
      </c>
      <c r="N567">
        <v>15008828.828828825</v>
      </c>
      <c r="O567">
        <v>25312837.837837841</v>
      </c>
      <c r="P567">
        <v>23846675.675675675</v>
      </c>
      <c r="Q567">
        <v>12279459.459459461</v>
      </c>
      <c r="R567">
        <v>9178738.7387387361</v>
      </c>
      <c r="S567">
        <v>6015</v>
      </c>
      <c r="T567">
        <v>5709</v>
      </c>
    </row>
    <row r="568" spans="1:20" x14ac:dyDescent="0.35">
      <c r="A568" s="7" t="s">
        <v>660</v>
      </c>
      <c r="B568" s="12" t="s">
        <v>83</v>
      </c>
      <c r="C568">
        <v>58247526.015832908</v>
      </c>
      <c r="D568">
        <v>63406329.418417253</v>
      </c>
      <c r="E568">
        <v>318108.10810810898</v>
      </c>
      <c r="F568">
        <v>369369.36936936999</v>
      </c>
      <c r="G568">
        <v>12</v>
      </c>
      <c r="H568">
        <v>12</v>
      </c>
      <c r="I568">
        <v>1</v>
      </c>
      <c r="K568">
        <v>15</v>
      </c>
      <c r="L568">
        <v>21</v>
      </c>
      <c r="M568">
        <v>7177567.5675675645</v>
      </c>
      <c r="N568">
        <v>20639639.639639638</v>
      </c>
      <c r="O568">
        <v>12582162.162162164</v>
      </c>
      <c r="P568">
        <v>16072018.01801802</v>
      </c>
      <c r="Q568">
        <v>4652972.9729729705</v>
      </c>
      <c r="R568">
        <v>5175585.5855855839</v>
      </c>
      <c r="S568">
        <v>8720</v>
      </c>
      <c r="T568">
        <v>8962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2026-09-06T06:54:21Z</dcterms:modified>
</cp:coreProperties>
</file>