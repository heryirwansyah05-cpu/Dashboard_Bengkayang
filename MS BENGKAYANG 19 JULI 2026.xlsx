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<sst xmlns="http://schemas.openxmlformats.org/spreadsheetml/2006/main" count="1228" uniqueCount="673">
  <si>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</si>
  <si>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</si>
  <si>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</si>
  <si>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</si>
  <si>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</si>
  <si>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</si>
  <si>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</si>
  <si>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</si>
  <si>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</si>
  <si>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</si>
  <si>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</si>
  <si>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</si>
  <si>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</si>
  <si>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</si>
  <si>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</si>
  <si>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</si>
  <si>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</si>
  <si>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</si>
  <si>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</si>
  <si>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</si>
  <si>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</si>
  <si>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</si>
  <si>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</si>
  <si>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</si>
  <si>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</si>
  <si>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</si>
  <si>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</si>
  <si>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</si>
  <si>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</si>
  <si>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</si>
  <si>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</si>
  <si>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</si>
  <si>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</si>
  <si>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</si>
  <si>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</si>
  <si>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</si>
  <si>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</si>
  <si>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</si>
  <si>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</si>
  <si>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</si>
  <si>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</si>
  <si>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</si>
  <si>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</si>
  <si>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</si>
  <si>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</si>
  <si>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</si>
  <si>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</si>
  <si>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</si>
  <si>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</si>
  <si>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</si>
  <si>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</si>
  <si>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</si>
  <si>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</si>
  <si>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</si>
  <si>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</si>
  <si>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</si>
  <si>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</si>
  <si>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</si>
  <si>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</si>
  <si>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</si>
  <si>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</si>
  <si>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</si>
  <si>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</si>
  <si>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</si>
  <si>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</si>
  <si>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</si>
  <si>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</si>
  <si>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</si>
  <si>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</si>
  <si>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</si>
  <si>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</si>
  <si>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</si>
  <si>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</si>
  <si>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</si>
  <si>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</si>
  <si>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</si>
  <si>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</si>
  <si>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</si>
  <si>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</si>
  <si>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</si>
  <si>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</si>
  <si>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</si>
  <si>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</si>
  <si>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</si>
  <si>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</si>
  <si>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</si>
  <si>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</si>
  <si>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</si>
  <si>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</si>
  <si>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</si>
  <si>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</si>
  <si>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</si>
  <si>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</si>
  <si>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</si>
  <si>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</si>
  <si>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</si>
  <si>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</si>
  <si>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</si>
  <si>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</si>
  <si>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</si>
  <si>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</si>
  <si>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</si>
  <si>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</si>
  <si>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</si>
  <si>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</si>
  <si>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</si>
  <si>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</si>
  <si>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</si>
  <si>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</si>
  <si>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</si>
  <si>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</si>
  <si>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</si>
  <si>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</si>
  <si>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</si>
  <si>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</si>
  <si>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</si>
  <si>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</si>
  <si>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</si>
  <si>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BANYUKE HULU|LANDAK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</si>
  <si>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</si>
  <si>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</si>
  <si>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</si>
  <si>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</si>
  <si>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</si>
  <si>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</si>
  <si>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</si>
  <si>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</si>
  <si>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</si>
  <si>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</si>
  <si>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</si>
  <si>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</si>
  <si>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</si>
  <si>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</si>
  <si>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</si>
  <si>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</si>
  <si>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</si>
  <si>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</si>
  <si>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</si>
  <si>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</si>
  <si>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</si>
  <si>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</si>
  <si>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</si>
  <si>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</si>
  <si>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</si>
  <si>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</si>
  <si>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</si>
  <si>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</si>
  <si>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</si>
  <si>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</si>
  <si>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</si>
  <si>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</si>
  <si>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</si>
  <si>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</si>
  <si>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</si>
  <si>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</si>
  <si>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</si>
  <si>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</si>
  <si>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</si>
  <si>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</si>
  <si>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</si>
  <si>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</si>
  <si>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</si>
  <si>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</si>
  <si>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</si>
  <si>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</si>
  <si>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</si>
  <si>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</si>
  <si>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</si>
  <si>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</si>
  <si>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</si>
  <si>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</si>
  <si>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</si>
  <si>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</si>
  <si>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</si>
  <si>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</si>
  <si>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</si>
  <si>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</si>
  <si>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</si>
  <si>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</si>
  <si>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</si>
  <si>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</si>
  <si>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</si>
  <si>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</si>
  <si>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</si>
  <si>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BUKIT SANTUAI|KOTAWARINGIN TIMUR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</si>
  <si>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</si>
  <si>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</si>
  <si>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</si>
  <si>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</si>
  <si>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</si>
  <si>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</si>
  <si>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</si>
  <si>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</si>
  <si>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</si>
  <si>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</si>
  <si>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</si>
  <si>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</si>
  <si>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</si>
  <si>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</si>
  <si>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</si>
  <si>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</si>
  <si>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</si>
  <si>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</si>
  <si>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</si>
  <si>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</si>
  <si>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</si>
  <si>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</si>
  <si>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</si>
  <si>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</si>
  <si>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</si>
  <si>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DELANG|LAMANDAU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</si>
  <si>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</si>
  <si>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</si>
  <si>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</si>
  <si>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</si>
  <si>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</si>
  <si>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</si>
  <si>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</si>
  <si>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</si>
  <si>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</si>
  <si>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</si>
  <si>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</si>
  <si>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</si>
  <si>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</si>
  <si>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</si>
  <si>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</si>
  <si>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</si>
  <si>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</si>
  <si>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</si>
  <si>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</si>
  <si>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</si>
  <si>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</si>
  <si>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</si>
  <si>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</si>
  <si>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</si>
  <si>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</si>
  <si>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</si>
  <si>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</si>
  <si>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</si>
  <si>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</si>
  <si>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</si>
  <si>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</si>
  <si>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</si>
  <si>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</si>
  <si>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</si>
  <si>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</si>
  <si>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</si>
  <si>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</si>
  <si>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</si>
  <si>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</si>
  <si>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</si>
  <si>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</si>
  <si>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</si>
  <si>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</si>
  <si>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</si>
  <si>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</si>
  <si>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</si>
  <si>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</si>
  <si>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</si>
  <si>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</si>
  <si>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</si>
  <si>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</si>
  <si>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</si>
  <si>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</si>
  <si>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</si>
  <si>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</si>
  <si>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</si>
  <si>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</si>
  <si>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</si>
  <si>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</si>
  <si>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</si>
  <si>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</si>
  <si>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</si>
  <si>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</si>
  <si>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</si>
  <si>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</si>
  <si>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</si>
  <si>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</si>
  <si>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</si>
  <si>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</si>
  <si>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</si>
  <si>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</si>
  <si>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HULU|MALINAU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</si>
  <si>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</si>
  <si>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</si>
  <si>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</si>
  <si>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</si>
  <si>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</si>
  <si>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</si>
  <si>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</si>
  <si>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</si>
  <si>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</si>
  <si>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</si>
  <si>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</si>
  <si>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</si>
  <si>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</si>
  <si>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</si>
  <si>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</si>
  <si>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</si>
  <si>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</si>
  <si>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</si>
  <si>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</si>
  <si>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</si>
  <si>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</si>
  <si>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</si>
  <si>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</si>
  <si>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</si>
  <si>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</si>
  <si>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</si>
  <si>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</si>
  <si>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KRAYAN TENGAH|NUNUKAN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</si>
  <si>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</si>
  <si>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</si>
  <si>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</si>
  <si>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</si>
  <si>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</si>
  <si>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</si>
  <si>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</si>
  <si>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</si>
  <si>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</si>
  <si>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</si>
  <si>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</si>
  <si>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</si>
  <si>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</si>
  <si>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</si>
  <si>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</si>
  <si>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</si>
  <si>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</si>
  <si>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</si>
  <si>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</si>
  <si>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</si>
  <si>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</si>
  <si>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</si>
  <si>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</si>
  <si>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</si>
  <si>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</si>
  <si>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</si>
  <si>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</si>
  <si>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</si>
  <si>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</si>
  <si>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</si>
  <si>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</si>
  <si>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</si>
  <si>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</si>
  <si>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</si>
  <si>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</si>
  <si>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</si>
  <si>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</si>
  <si>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</si>
  <si>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</si>
  <si>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</si>
  <si>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</si>
  <si>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</si>
  <si>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</si>
  <si>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</si>
  <si>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</si>
  <si>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</si>
  <si>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</si>
  <si>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</si>
  <si>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</si>
  <si>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</si>
  <si>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</si>
  <si>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</si>
  <si>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</si>
  <si>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</si>
  <si>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</si>
  <si>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</si>
  <si>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</si>
  <si>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MARATUA|BERAU</t>
  </si>
  <si>
    <t>MARAU|KETAPANG</t>
  </si>
  <si>
    <t>MARIKIT|KATINGAN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</si>
  <si>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</si>
  <si>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</si>
  <si>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</si>
  <si>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</si>
  <si>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</si>
  <si>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</si>
  <si>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</si>
  <si>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</si>
  <si>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</si>
  <si>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</si>
  <si>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</si>
  <si>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</si>
  <si>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</si>
  <si>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</si>
  <si>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</si>
  <si>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</si>
  <si>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</si>
  <si>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</si>
  <si>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</si>
  <si>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</si>
  <si>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</si>
  <si>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</si>
  <si>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</si>
  <si>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</si>
  <si>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</si>
  <si>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</si>
  <si>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</si>
  <si>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</si>
  <si>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</si>
  <si>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</si>
  <si>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</si>
  <si>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</si>
  <si>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</si>
  <si>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</si>
  <si>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</si>
  <si>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</si>
  <si>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</si>
  <si>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</si>
  <si>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</si>
  <si>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</si>
  <si>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</si>
  <si>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</si>
  <si>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</si>
  <si>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</si>
  <si>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</si>
  <si>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</si>
  <si>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</si>
  <si>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</si>
  <si>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</si>
  <si>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</si>
  <si>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</si>
  <si>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</si>
  <si>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</si>
  <si>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</si>
  <si>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</si>
  <si>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</si>
  <si>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</si>
  <si>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</si>
  <si>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</si>
  <si>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</si>
  <si>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</si>
  <si>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</si>
  <si>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</si>
  <si>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</si>
  <si>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</si>
  <si>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</si>
  <si>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</si>
  <si>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</si>
  <si>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</si>
  <si>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</si>
  <si>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</si>
  <si>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</si>
  <si>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</si>
  <si>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</si>
  <si>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</si>
  <si>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</si>
  <si>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</si>
  <si>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</si>
  <si>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</si>
  <si>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</si>
  <si>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</si>
  <si>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</si>
  <si>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</si>
  <si>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</si>
  <si>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</si>
  <si>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</si>
  <si>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</si>
  <si>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</si>
  <si>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</si>
  <si>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</si>
  <si>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</si>
  <si>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</si>
  <si>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</si>
  <si>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PESO HILIR|BULUNGAN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</si>
  <si>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</si>
  <si>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</si>
  <si>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</si>
  <si>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</si>
  <si>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</si>
  <si>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</si>
  <si>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</si>
  <si>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</si>
  <si>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</si>
  <si>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</si>
  <si>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</si>
  <si>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</si>
  <si>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</si>
  <si>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</si>
  <si>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</si>
  <si>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</si>
  <si>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</si>
  <si>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</si>
  <si>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</si>
  <si>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</si>
  <si>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</si>
  <si>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</si>
  <si>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</si>
  <si>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</si>
  <si>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</si>
  <si>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</si>
  <si>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</si>
  <si>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</si>
  <si>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</si>
  <si>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</si>
  <si>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</si>
  <si>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</si>
  <si>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</si>
  <si>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</si>
  <si>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</si>
  <si>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</si>
  <si>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</si>
  <si>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</si>
  <si>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</si>
  <si>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</si>
  <si>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</si>
  <si>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</si>
  <si>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</si>
  <si>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</si>
  <si>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</si>
  <si>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</si>
  <si>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</si>
  <si>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</si>
  <si>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</si>
  <si>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</si>
  <si>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</si>
  <si>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</si>
  <si>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</si>
  <si>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</si>
  <si>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</si>
  <si>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</si>
  <si>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</si>
  <si>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</si>
  <si>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</si>
  <si>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TENGAH|NUNUKAN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</si>
  <si>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</si>
  <si>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</si>
  <si>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</si>
  <si>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</si>
  <si>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</si>
  <si>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</si>
  <si>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</si>
  <si>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</si>
  <si>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</si>
  <si>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</si>
  <si>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</si>
  <si>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</si>
  <si>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</si>
  <si>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</si>
  <si>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</si>
  <si>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</si>
  <si>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</si>
  <si>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</si>
  <si>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</si>
  <si>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</si>
  <si>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</si>
  <si>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</si>
  <si>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</si>
  <si>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</si>
  <si>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</si>
  <si>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</si>
  <si>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</si>
  <si>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</si>
  <si>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</si>
  <si>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</si>
  <si>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</si>
  <si>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</si>
  <si>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</si>
  <si>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</si>
  <si>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</si>
  <si>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</si>
  <si>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</si>
  <si>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</si>
  <si>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</si>
  <si>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</si>
  <si>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</si>
  <si>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</si>
  <si>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</si>
  <si>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</si>
  <si>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</si>
  <si>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</si>
  <si>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</si>
  <si>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</si>
  <si>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</si>
  <si>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</si>
  <si>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</si>
  <si>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</si>
  <si>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</si>
  <si>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</si>
  <si>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</si>
  <si>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</si>
  <si>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</si>
  <si>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</si>
  <si>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</si>
  <si>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</si>
  <si>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</si>
  <si>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</si>
  <si>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</si>
  <si>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</si>
  <si>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</si>
  <si>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</si>
  <si>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</si>
  <si>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</si>
  <si>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</si>
  <si>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</si>
  <si>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</si>
  <si>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</si>
  <si>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</si>
  <si>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</si>
  <si>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</si>
  <si>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</si>
  <si>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</si>
  <si>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</si>
  <si>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</si>
  <si>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</si>
  <si>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</si>
  <si>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</si>
  <si>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</si>
  <si>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</si>
  <si>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</si>
  <si>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</si>
  <si>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</si>
  <si>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</si>
  <si>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</si>
  <si>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</si>
  <si>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</si>
  <si>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</si>
  <si>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</si>
  <si>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BARAT|BULUNGAN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</si>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</sst>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</cellXfs>
  <cellStyles count="2"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R6" sqref="R6:S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200522375.97473559</v>
      </c>
      <c r="D6" s="4">
        <f>IFERROR(VLOOKUP($A:$A,MASTER!$A:$T,4,0),0)</f>
        <v>210810563.65126809</v>
      </c>
      <c r="E6" s="9">
        <f>IFERROR(C6/D6-1,0)</f>
        <v>-4.8802998760307248E-2</v>
      </c>
      <c r="F6" s="4">
        <f>IFERROR(VLOOKUP(A:A,MASTER!A:E,5,0),0)</f>
        <v>93199099.0990991</v>
      </c>
      <c r="G6" s="4">
        <f>IFERROR(VLOOKUP(A:A,MASTER!A:F,6,0),0)</f>
        <v>26779279.27927928</v>
      </c>
      <c r="H6" s="9">
        <f>IFERROR(F6/G6-1,0)</f>
        <v>2.48026913372582</v>
      </c>
      <c r="I6" s="4">
        <f>IFERROR(VLOOKUP(A:A,MASTER!A:M,13,0),0)</f>
        <v>41320765.765765771</v>
      </c>
      <c r="J6" s="4">
        <f>IFERROR(VLOOKUP($A:$A,MASTER!$A:$T,14,0),0)</f>
        <v>45043918.918918923</v>
      </c>
      <c r="K6" s="9">
        <f>IFERROR(I6/J6-1,0)</f>
        <v>-8.2656066401660011E-2</v>
      </c>
      <c r="L6" s="4">
        <f>IFERROR(VLOOKUP($A:$A,MASTER!$A:$T,15,0),0)</f>
        <v>96507720.720720723</v>
      </c>
      <c r="M6" s="4">
        <f>IFERROR(VLOOKUP($A:$A,MASTER!$A:$T,16,0),0)</f>
        <v>99658756.756756753</v>
      </c>
      <c r="N6" s="9">
        <f>IFERROR(L6/M6-1,0)</f>
        <v>-3.1618255520956984E-2</v>
      </c>
      <c r="O6" s="4">
        <f>IFERROR(VLOOKUP($A:$A,MASTER!$A:$T,17,0),0)</f>
        <v>23090090.090090089</v>
      </c>
      <c r="P6" s="4">
        <f>IFERROR(VLOOKUP($A:$A,MASTER!$A:$T,18,0),0)</f>
        <v>24983198.198198199</v>
      </c>
      <c r="Q6" s="9">
        <f>IFERROR(O6/P6-1,0)</f>
        <v>-7.5775250754110512E-2</v>
      </c>
      <c r="R6" s="4">
        <f>IFERROR(VLOOKUP($A:$A,MASTER!$A:$T,19,0),0)</f>
        <v>8094</v>
      </c>
      <c r="S6" s="4">
        <f>IFERROR(VLOOKUP($A:$A,MASTER!$A:$T,20,0),0)</f>
        <v>8154</v>
      </c>
      <c r="T6" s="9">
        <f>IFERROR(R6/S6-1,0)</f>
        <v>-7.3583517292126199E-3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15520337.312908148</v>
      </c>
      <c r="D7" s="4">
        <f>IFERROR(VLOOKUP($A:$A,MASTER!$A:$T,4,0),0)</f>
        <v>7512212.0363657642</v>
      </c>
      <c r="E7" s="9">
        <f t="shared" ref="E7:E22" si="0">IFERROR(C7/D7-1,0)</f>
        <v>1.066014276191348</v>
      </c>
      <c r="F7" s="4">
        <f>IFERROR(VLOOKUP(A:A,MASTER!A:E,5,0),0)</f>
        <v>40540.540540542002</v>
      </c>
      <c r="G7" s="4">
        <f>IFERROR(VLOOKUP(A:A,MASTER!A:F,6,0),0)</f>
        <v>90090.090090090001</v>
      </c>
      <c r="H7" s="9">
        <f t="shared" ref="H7:H22" si="1">IFERROR(F7/G7-1,0)</f>
        <v>-0.54999999999998339</v>
      </c>
      <c r="I7" s="4">
        <f>IFERROR(VLOOKUP(A:A,MASTER!A:M,13,0),0)</f>
        <v>40540.540540542002</v>
      </c>
      <c r="J7" s="4">
        <f>IFERROR(VLOOKUP($A:$A,MASTER!$A:$T,14,0),0)</f>
        <v>180180.18018018</v>
      </c>
      <c r="K7" s="9">
        <f t="shared" ref="K7:K22" si="2">IFERROR(I7/J7-1,0)</f>
        <v>-0.7749999999999917</v>
      </c>
      <c r="L7" s="4">
        <f>IFERROR(VLOOKUP($A:$A,MASTER!$A:$T,15,0),0)</f>
        <v>9733333.3333333321</v>
      </c>
      <c r="M7" s="4">
        <f>IFERROR(VLOOKUP($A:$A,MASTER!$A:$T,16,0),0)</f>
        <v>4115666.666666667</v>
      </c>
      <c r="N7" s="9">
        <f t="shared" ref="N7:N22" si="3">IFERROR(L7/M7-1,0)</f>
        <v>1.364946950676277</v>
      </c>
      <c r="O7" s="4">
        <f>IFERROR(VLOOKUP($A:$A,MASTER!$A:$T,17,0),0)</f>
        <v>157657.65765765801</v>
      </c>
      <c r="P7" s="4">
        <f>IFERROR(VLOOKUP($A:$A,MASTER!$A:$T,18,0),0)</f>
        <v>203603.60360360399</v>
      </c>
      <c r="Q7" s="9">
        <f t="shared" ref="Q7:Q22" si="4">IFERROR(O7/P7-1,0)</f>
        <v>-0.22566371681415898</v>
      </c>
      <c r="R7" s="4">
        <f>IFERROR(VLOOKUP($A:$A,MASTER!$A:$T,19,0),0)</f>
        <v>1327</v>
      </c>
      <c r="S7" s="4">
        <f>IFERROR(VLOOKUP($A:$A,MASTER!$A:$T,20,0),0)</f>
        <v>16</v>
      </c>
      <c r="T7" s="9">
        <f t="shared" ref="T7:T22" si="5">IFERROR(R7/S7-1,0)</f>
        <v>81.9375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149124155.15813091</v>
      </c>
      <c r="D8" s="4">
        <f>IFERROR(VLOOKUP($A:$A,MASTER!$A:$T,4,0),0)</f>
        <v>135079238.0603666</v>
      </c>
      <c r="E8" s="9">
        <f t="shared" si="0"/>
        <v>0.10397539473451634</v>
      </c>
      <c r="F8" s="4">
        <f>IFERROR(VLOOKUP(A:A,MASTER!A:E,5,0),0)</f>
        <v>2480180.1801801831</v>
      </c>
      <c r="G8" s="4">
        <f>IFERROR(VLOOKUP(A:A,MASTER!A:F,6,0),0)</f>
        <v>763963.96396396402</v>
      </c>
      <c r="H8" s="9">
        <f t="shared" si="1"/>
        <v>2.2464622641509471</v>
      </c>
      <c r="I8" s="4">
        <f>IFERROR(VLOOKUP(A:A,MASTER!A:M,13,0),0)</f>
        <v>21508108.108108107</v>
      </c>
      <c r="J8" s="4">
        <f>IFERROR(VLOOKUP($A:$A,MASTER!$A:$T,14,0),0)</f>
        <v>57805855.855855852</v>
      </c>
      <c r="K8" s="9">
        <f t="shared" si="2"/>
        <v>-0.62792509876956881</v>
      </c>
      <c r="L8" s="4">
        <f>IFERROR(VLOOKUP($A:$A,MASTER!$A:$T,15,0),0)</f>
        <v>43200774.774774775</v>
      </c>
      <c r="M8" s="4">
        <f>IFERROR(VLOOKUP($A:$A,MASTER!$A:$T,16,0),0)</f>
        <v>40106864.864864863</v>
      </c>
      <c r="N8" s="9">
        <f t="shared" si="3"/>
        <v>7.7141654435829432E-2</v>
      </c>
      <c r="O8" s="4">
        <f>IFERROR(VLOOKUP($A:$A,MASTER!$A:$T,17,0),0)</f>
        <v>21694684.684684686</v>
      </c>
      <c r="P8" s="4">
        <f>IFERROR(VLOOKUP($A:$A,MASTER!$A:$T,18,0),0)</f>
        <v>56400900.900900893</v>
      </c>
      <c r="Q8" s="9">
        <f t="shared" si="4"/>
        <v>-0.61534861432792898</v>
      </c>
      <c r="R8" s="4">
        <f>IFERROR(VLOOKUP($A:$A,MASTER!$A:$T,19,0),0)</f>
        <v>3640</v>
      </c>
      <c r="S8" s="4">
        <f>IFERROR(VLOOKUP($A:$A,MASTER!$A:$T,20,0),0)</f>
        <v>3537</v>
      </c>
      <c r="T8" s="9">
        <f t="shared" si="5"/>
        <v>2.9120723777212421E-2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91098036.755123615</v>
      </c>
      <c r="D9" s="4">
        <f>IFERROR(VLOOKUP($A:$A,MASTER!$A:$T,4,0),0)</f>
        <v>87776491.328357846</v>
      </c>
      <c r="E9" s="9">
        <f t="shared" si="0"/>
        <v>3.7840945525384528E-2</v>
      </c>
      <c r="F9" s="4">
        <f>IFERROR(VLOOKUP(A:A,MASTER!A:E,5,0),0)</f>
        <v>854054.05405405595</v>
      </c>
      <c r="G9" s="4">
        <f>IFERROR(VLOOKUP(A:A,MASTER!A:F,6,0),0)</f>
        <v>1157657.6576576601</v>
      </c>
      <c r="H9" s="9">
        <f t="shared" si="1"/>
        <v>-0.26225680933852136</v>
      </c>
      <c r="I9" s="4">
        <f>IFERROR(VLOOKUP(A:A,MASTER!A:M,13,0),0)</f>
        <v>20766666.666666668</v>
      </c>
      <c r="J9" s="4">
        <f>IFERROR(VLOOKUP($A:$A,MASTER!$A:$T,14,0),0)</f>
        <v>31148648.648648649</v>
      </c>
      <c r="K9" s="9">
        <f t="shared" si="2"/>
        <v>-0.33330441070137384</v>
      </c>
      <c r="L9" s="4">
        <f>IFERROR(VLOOKUP($A:$A,MASTER!$A:$T,15,0),0)</f>
        <v>31387360.360360362</v>
      </c>
      <c r="M9" s="4">
        <f>IFERROR(VLOOKUP($A:$A,MASTER!$A:$T,16,0),0)</f>
        <v>33151189.189189192</v>
      </c>
      <c r="N9" s="9">
        <f t="shared" si="3"/>
        <v>-5.3205597505504465E-2</v>
      </c>
      <c r="O9" s="4">
        <f>IFERROR(VLOOKUP($A:$A,MASTER!$A:$T,17,0),0)</f>
        <v>23664324.324324321</v>
      </c>
      <c r="P9" s="4">
        <f>IFERROR(VLOOKUP($A:$A,MASTER!$A:$T,18,0),0)</f>
        <v>28168108.108108107</v>
      </c>
      <c r="Q9" s="9">
        <f t="shared" si="4"/>
        <v>-0.15988946671528093</v>
      </c>
      <c r="R9" s="4">
        <f>IFERROR(VLOOKUP($A:$A,MASTER!$A:$T,19,0),0)</f>
        <v>5201</v>
      </c>
      <c r="S9" s="4">
        <f>IFERROR(VLOOKUP($A:$A,MASTER!$A:$T,20,0),0)</f>
        <v>3467</v>
      </c>
      <c r="T9" s="9">
        <f t="shared" si="5"/>
        <v>0.50014421690222099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18108108.108108107</v>
      </c>
      <c r="G10" s="4">
        <f>IFERROR(VLOOKUP(A:A,MASTER!A:F,6,0),0)</f>
        <v>54459459.459459454</v>
      </c>
      <c r="H10" s="9">
        <f t="shared" si="1"/>
        <v>-0.66749379652605456</v>
      </c>
      <c r="I10" s="4">
        <f>IFERROR(VLOOKUP(A:A,MASTER!A:M,13,0),0)</f>
        <v>975675.67567567597</v>
      </c>
      <c r="J10" s="4">
        <f>IFERROR(VLOOKUP($A:$A,MASTER!$A:$T,14,0),0)</f>
        <v>108108.108108108</v>
      </c>
      <c r="K10" s="9">
        <f t="shared" si="2"/>
        <v>8.025000000000011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99620256.330196589</v>
      </c>
      <c r="D11" s="4">
        <f>IFERROR(VLOOKUP($A:$A,MASTER!$A:$T,4,0),0)</f>
        <v>100071183.07852387</v>
      </c>
      <c r="E11" s="9">
        <f t="shared" si="0"/>
        <v>-4.5060599310937643E-3</v>
      </c>
      <c r="F11" s="4">
        <f>IFERROR(VLOOKUP(A:A,MASTER!A:E,5,0),0)</f>
        <v>156756.75675675701</v>
      </c>
      <c r="G11" s="4">
        <f>IFERROR(VLOOKUP(A:A,MASTER!A:F,6,0),0)</f>
        <v>27027.027027027001</v>
      </c>
      <c r="H11" s="9">
        <f t="shared" si="1"/>
        <v>4.8000000000000149</v>
      </c>
      <c r="I11" s="4">
        <f>IFERROR(VLOOKUP(A:A,MASTER!A:M,13,0),0)</f>
        <v>8091891.8918918902</v>
      </c>
      <c r="J11" s="4">
        <f>IFERROR(VLOOKUP($A:$A,MASTER!$A:$T,14,0),0)</f>
        <v>11684684.684684685</v>
      </c>
      <c r="K11" s="9">
        <f t="shared" si="2"/>
        <v>-0.307478797224364</v>
      </c>
      <c r="L11" s="4">
        <f>IFERROR(VLOOKUP($A:$A,MASTER!$A:$T,15,0),0)</f>
        <v>40882531.531531535</v>
      </c>
      <c r="M11" s="4">
        <f>IFERROR(VLOOKUP($A:$A,MASTER!$A:$T,16,0),0)</f>
        <v>42120162.162162162</v>
      </c>
      <c r="N11" s="9">
        <f t="shared" si="3"/>
        <v>-2.9383330146397935E-2</v>
      </c>
      <c r="O11" s="4">
        <f>IFERROR(VLOOKUP($A:$A,MASTER!$A:$T,17,0),0)</f>
        <v>7447567.5675675683</v>
      </c>
      <c r="P11" s="4">
        <f>IFERROR(VLOOKUP($A:$A,MASTER!$A:$T,18,0),0)</f>
        <v>10520540.540540542</v>
      </c>
      <c r="Q11" s="9">
        <f t="shared" si="4"/>
        <v>-0.29209268869136318</v>
      </c>
      <c r="R11" s="4">
        <f>IFERROR(VLOOKUP($A:$A,MASTER!$A:$T,19,0),0)</f>
        <v>2941</v>
      </c>
      <c r="S11" s="4">
        <f>IFERROR(VLOOKUP($A:$A,MASTER!$A:$T,20,0),0)</f>
        <v>3052</v>
      </c>
      <c r="T11" s="9">
        <f t="shared" si="5"/>
        <v>-3.6369593709043246E-2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333155835.83938742</v>
      </c>
      <c r="D12" s="4">
        <f>IFERROR(VLOOKUP($A:$A,MASTER!$A:$T,4,0),0)</f>
        <v>348463232.95900136</v>
      </c>
      <c r="E12" s="9">
        <f t="shared" si="0"/>
        <v>-4.3928299090925771E-2</v>
      </c>
      <c r="F12" s="4">
        <f>IFERROR(VLOOKUP(A:A,MASTER!A:E,5,0),0)</f>
        <v>240651635.13513514</v>
      </c>
      <c r="G12" s="4">
        <f>IFERROR(VLOOKUP(A:A,MASTER!A:F,6,0),0)</f>
        <v>154468028.82882884</v>
      </c>
      <c r="H12" s="9">
        <f t="shared" si="1"/>
        <v>0.55793815043635475</v>
      </c>
      <c r="I12" s="4">
        <f>IFERROR(VLOOKUP(A:A,MASTER!A:M,13,0),0)</f>
        <v>154279279.27927929</v>
      </c>
      <c r="J12" s="4">
        <f>IFERROR(VLOOKUP($A:$A,MASTER!$A:$T,14,0),0)</f>
        <v>182685765.76576576</v>
      </c>
      <c r="K12" s="9">
        <f t="shared" si="2"/>
        <v>-0.15549370454460265</v>
      </c>
      <c r="L12" s="4">
        <f>IFERROR(VLOOKUP($A:$A,MASTER!$A:$T,15,0),0)</f>
        <v>229968414.41441441</v>
      </c>
      <c r="M12" s="4">
        <f>IFERROR(VLOOKUP($A:$A,MASTER!$A:$T,16,0),0)</f>
        <v>227267018.01801801</v>
      </c>
      <c r="N12" s="9">
        <f t="shared" si="3"/>
        <v>1.1886442740152603E-2</v>
      </c>
      <c r="O12" s="4">
        <f>IFERROR(VLOOKUP($A:$A,MASTER!$A:$T,17,0),0)</f>
        <v>134512702.7027027</v>
      </c>
      <c r="P12" s="4">
        <f>IFERROR(VLOOKUP($A:$A,MASTER!$A:$T,18,0),0)</f>
        <v>171951351.35135135</v>
      </c>
      <c r="Q12" s="9">
        <f t="shared" si="4"/>
        <v>-0.21772814435258248</v>
      </c>
      <c r="R12" s="4">
        <f>IFERROR(VLOOKUP($A:$A,MASTER!$A:$T,19,0),0)</f>
        <v>12783</v>
      </c>
      <c r="S12" s="4">
        <f>IFERROR(VLOOKUP($A:$A,MASTER!$A:$T,20,0),0)</f>
        <v>13832</v>
      </c>
      <c r="T12" s="9">
        <f t="shared" si="5"/>
        <v>-7.5838635049161329E-2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80829384.800170839</v>
      </c>
      <c r="D13" s="4">
        <f>IFERROR(VLOOKUP($A:$A,MASTER!$A:$T,4,0),0)</f>
        <v>81108993.664583474</v>
      </c>
      <c r="E13" s="9">
        <f t="shared" si="0"/>
        <v>-3.4473225690473397E-3</v>
      </c>
      <c r="F13" s="4">
        <f>IFERROR(VLOOKUP(A:A,MASTER!A:E,5,0),0)</f>
        <v>210810.81081081199</v>
      </c>
      <c r="G13" s="4">
        <f>IFERROR(VLOOKUP(A:A,MASTER!A:F,6,0),0)</f>
        <v>51351.351351350997</v>
      </c>
      <c r="H13" s="9">
        <f t="shared" si="1"/>
        <v>3.1052631578947878</v>
      </c>
      <c r="I13" s="4">
        <f>IFERROR(VLOOKUP(A:A,MASTER!A:M,13,0),0)</f>
        <v>16372972.972972972</v>
      </c>
      <c r="J13" s="4">
        <f>IFERROR(VLOOKUP($A:$A,MASTER!$A:$T,14,0),0)</f>
        <v>19704504.504504506</v>
      </c>
      <c r="K13" s="9">
        <f t="shared" si="2"/>
        <v>-0.16907461594732998</v>
      </c>
      <c r="L13" s="4">
        <f>IFERROR(VLOOKUP($A:$A,MASTER!$A:$T,15,0),0)</f>
        <v>57015081.081081077</v>
      </c>
      <c r="M13" s="4">
        <f>IFERROR(VLOOKUP($A:$A,MASTER!$A:$T,16,0),0)</f>
        <v>53612018.018018015</v>
      </c>
      <c r="N13" s="9">
        <f t="shared" si="3"/>
        <v>6.3475750193162872E-2</v>
      </c>
      <c r="O13" s="4">
        <f>IFERROR(VLOOKUP($A:$A,MASTER!$A:$T,17,0),0)</f>
        <v>19149459.459459461</v>
      </c>
      <c r="P13" s="4">
        <f>IFERROR(VLOOKUP($A:$A,MASTER!$A:$T,18,0),0)</f>
        <v>20981711.711711712</v>
      </c>
      <c r="Q13" s="9">
        <f t="shared" si="4"/>
        <v>-8.7326157056552778E-2</v>
      </c>
      <c r="R13" s="4">
        <f>IFERROR(VLOOKUP($A:$A,MASTER!$A:$T,19,0),0)</f>
        <v>4794</v>
      </c>
      <c r="S13" s="4">
        <f>IFERROR(VLOOKUP($A:$A,MASTER!$A:$T,20,0),0)</f>
        <v>5016</v>
      </c>
      <c r="T13" s="9">
        <f t="shared" si="5"/>
        <v>-4.4258373205741663E-2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110500181.54630375</v>
      </c>
      <c r="D14" s="4">
        <f>IFERROR(VLOOKUP($A:$A,MASTER!$A:$T,4,0),0)</f>
        <v>120452576.86823389</v>
      </c>
      <c r="E14" s="9">
        <f t="shared" si="0"/>
        <v>-8.2625009615338585E-2</v>
      </c>
      <c r="F14" s="4">
        <f>IFERROR(VLOOKUP(A:A,MASTER!A:E,5,0),0)</f>
        <v>1498198.1981982009</v>
      </c>
      <c r="G14" s="4">
        <f>IFERROR(VLOOKUP(A:A,MASTER!A:F,6,0),0)</f>
        <v>1405405.405405405</v>
      </c>
      <c r="H14" s="9">
        <f t="shared" si="1"/>
        <v>6.6025641025643234E-2</v>
      </c>
      <c r="I14" s="4">
        <f>IFERROR(VLOOKUP(A:A,MASTER!A:M,13,0),0)</f>
        <v>13322522.522522524</v>
      </c>
      <c r="J14" s="4">
        <f>IFERROR(VLOOKUP($A:$A,MASTER!$A:$T,14,0),0)</f>
        <v>23200000.000000004</v>
      </c>
      <c r="K14" s="9">
        <f t="shared" si="2"/>
        <v>-0.42575333954644301</v>
      </c>
      <c r="L14" s="4">
        <f>IFERROR(VLOOKUP($A:$A,MASTER!$A:$T,15,0),0)</f>
        <v>32106162.162162159</v>
      </c>
      <c r="M14" s="4">
        <f>IFERROR(VLOOKUP($A:$A,MASTER!$A:$T,16,0),0)</f>
        <v>35490432.432432435</v>
      </c>
      <c r="N14" s="9">
        <f t="shared" si="3"/>
        <v>-9.5357256542684676E-2</v>
      </c>
      <c r="O14" s="4">
        <f>IFERROR(VLOOKUP($A:$A,MASTER!$A:$T,17,0),0)</f>
        <v>12859909.909909908</v>
      </c>
      <c r="P14" s="4">
        <f>IFERROR(VLOOKUP($A:$A,MASTER!$A:$T,18,0),0)</f>
        <v>22290630.630630631</v>
      </c>
      <c r="Q14" s="9">
        <f t="shared" si="4"/>
        <v>-0.42308003200957067</v>
      </c>
      <c r="R14" s="4">
        <f>IFERROR(VLOOKUP($A:$A,MASTER!$A:$T,19,0),0)</f>
        <v>4562</v>
      </c>
      <c r="S14" s="4">
        <f>IFERROR(VLOOKUP($A:$A,MASTER!$A:$T,20,0),0)</f>
        <v>3579</v>
      </c>
      <c r="T14" s="9">
        <f t="shared" si="5"/>
        <v>0.274657725621682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218240082.87085772</v>
      </c>
      <c r="D15" s="4">
        <f>IFERROR(VLOOKUP($A:$A,MASTER!$A:$T,4,0),0)</f>
        <v>213512694.5643537</v>
      </c>
      <c r="E15" s="9">
        <f t="shared" si="0"/>
        <v>2.2141017498513049E-2</v>
      </c>
      <c r="F15" s="4">
        <f>IFERROR(VLOOKUP(A:A,MASTER!A:E,5,0),0)</f>
        <v>1790990.990990995</v>
      </c>
      <c r="G15" s="4">
        <f>IFERROR(VLOOKUP(A:A,MASTER!A:F,6,0),0)</f>
        <v>1165315.315315316</v>
      </c>
      <c r="H15" s="9">
        <f t="shared" si="1"/>
        <v>0.53691534596057466</v>
      </c>
      <c r="I15" s="4">
        <f>IFERROR(VLOOKUP(A:A,MASTER!A:M,13,0),0)</f>
        <v>245900900.9009009</v>
      </c>
      <c r="J15" s="4">
        <f>IFERROR(VLOOKUP($A:$A,MASTER!$A:$T,14,0),0)</f>
        <v>314554414.41441441</v>
      </c>
      <c r="K15" s="9">
        <f t="shared" si="2"/>
        <v>-0.21825639815394515</v>
      </c>
      <c r="L15" s="4">
        <f>IFERROR(VLOOKUP($A:$A,MASTER!$A:$T,15,0),0)</f>
        <v>80019144.144144148</v>
      </c>
      <c r="M15" s="4">
        <f>IFERROR(VLOOKUP($A:$A,MASTER!$A:$T,16,0),0)</f>
        <v>78803655.855855852</v>
      </c>
      <c r="N15" s="9">
        <f t="shared" si="3"/>
        <v>1.5424262682833145E-2</v>
      </c>
      <c r="O15" s="4">
        <f>IFERROR(VLOOKUP($A:$A,MASTER!$A:$T,17,0),0)</f>
        <v>231596936.93693691</v>
      </c>
      <c r="P15" s="4">
        <f>IFERROR(VLOOKUP($A:$A,MASTER!$A:$T,18,0),0)</f>
        <v>277176846.84684682</v>
      </c>
      <c r="Q15" s="9">
        <f t="shared" si="4"/>
        <v>-0.16444342458046268</v>
      </c>
      <c r="R15" s="4">
        <f>IFERROR(VLOOKUP($A:$A,MASTER!$A:$T,19,0),0)</f>
        <v>6133</v>
      </c>
      <c r="S15" s="4">
        <f>IFERROR(VLOOKUP($A:$A,MASTER!$A:$T,20,0),0)</f>
        <v>7698</v>
      </c>
      <c r="T15" s="9">
        <f t="shared" si="5"/>
        <v>-0.2032995583268381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89894282.784444734</v>
      </c>
      <c r="D17" s="4">
        <f>IFERROR(VLOOKUP($A:$A,MASTER!$A:$T,4,0),0)</f>
        <v>96167397.773160249</v>
      </c>
      <c r="E17" s="9">
        <f t="shared" si="0"/>
        <v>-6.5231202403048694E-2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53496511.711711712</v>
      </c>
      <c r="M17" s="4">
        <f>IFERROR(VLOOKUP($A:$A,MASTER!$A:$T,16,0),0)</f>
        <v>58013909.909909911</v>
      </c>
      <c r="N17" s="9">
        <f t="shared" si="3"/>
        <v>-7.786750117710195E-2</v>
      </c>
      <c r="O17" s="4">
        <f>IFERROR(VLOOKUP($A:$A,MASTER!$A:$T,17,0),0)</f>
        <v>19639.639639640001</v>
      </c>
      <c r="P17" s="4">
        <f>IFERROR(VLOOKUP($A:$A,MASTER!$A:$T,18,0),0)</f>
        <v>399009.009009008</v>
      </c>
      <c r="Q17" s="9">
        <f t="shared" si="4"/>
        <v>-0.95077895687514014</v>
      </c>
      <c r="R17" s="4">
        <f>IFERROR(VLOOKUP($A:$A,MASTER!$A:$T,19,0),0)</f>
        <v>3562</v>
      </c>
      <c r="S17" s="4">
        <f>IFERROR(VLOOKUP($A:$A,MASTER!$A:$T,20,0),0)</f>
        <v>3778</v>
      </c>
      <c r="T17" s="9">
        <f t="shared" si="5"/>
        <v>-5.7173107464266848E-2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77677894.610638529</v>
      </c>
      <c r="D18" s="4">
        <f>IFERROR(VLOOKUP($A:$A,MASTER!$A:$T,4,0),0)</f>
        <v>77046275.15473333</v>
      </c>
      <c r="E18" s="9">
        <f t="shared" si="0"/>
        <v>8.1979233212339242E-3</v>
      </c>
      <c r="F18" s="4">
        <f>IFERROR(VLOOKUP(A:A,MASTER!A:E,5,0),0)</f>
        <v>112612.612612615</v>
      </c>
      <c r="G18" s="4">
        <f>IFERROR(VLOOKUP(A:A,MASTER!A:F,6,0),0)</f>
        <v>18018.018018018</v>
      </c>
      <c r="H18" s="9">
        <f t="shared" si="1"/>
        <v>5.2500000000001394</v>
      </c>
      <c r="I18" s="4">
        <f>IFERROR(VLOOKUP(A:A,MASTER!A:M,13,0),0)</f>
        <v>1914414.4144144161</v>
      </c>
      <c r="J18" s="4">
        <f>IFERROR(VLOOKUP($A:$A,MASTER!$A:$T,14,0),0)</f>
        <v>2450450.4504504511</v>
      </c>
      <c r="K18" s="9">
        <f t="shared" si="2"/>
        <v>-0.21874999999999956</v>
      </c>
      <c r="L18" s="4">
        <f>IFERROR(VLOOKUP($A:$A,MASTER!$A:$T,15,0),0)</f>
        <v>26382477.47747748</v>
      </c>
      <c r="M18" s="4">
        <f>IFERROR(VLOOKUP($A:$A,MASTER!$A:$T,16,0),0)</f>
        <v>31843855.855855856</v>
      </c>
      <c r="N18" s="9">
        <f t="shared" si="3"/>
        <v>-0.17150493341948936</v>
      </c>
      <c r="O18" s="4">
        <f>IFERROR(VLOOKUP($A:$A,MASTER!$A:$T,17,0),0)</f>
        <v>1468468.4684684691</v>
      </c>
      <c r="P18" s="4">
        <f>IFERROR(VLOOKUP($A:$A,MASTER!$A:$T,18,0),0)</f>
        <v>1503333.333333334</v>
      </c>
      <c r="Q18" s="9">
        <f t="shared" si="4"/>
        <v>-2.3191706118535382E-2</v>
      </c>
      <c r="R18" s="4">
        <f>IFERROR(VLOOKUP($A:$A,MASTER!$A:$T,19,0),0)</f>
        <v>4975</v>
      </c>
      <c r="S18" s="4">
        <f>IFERROR(VLOOKUP($A:$A,MASTER!$A:$T,20,0),0)</f>
        <v>3937</v>
      </c>
      <c r="T18" s="9">
        <f t="shared" si="5"/>
        <v>0.26365252730505451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50107956.770537518</v>
      </c>
      <c r="D19" s="4">
        <f>IFERROR(VLOOKUP($A:$A,MASTER!$A:$T,4,0),0)</f>
        <v>52826846.755047627</v>
      </c>
      <c r="E19" s="9">
        <f t="shared" si="0"/>
        <v>-5.146795903070478E-2</v>
      </c>
      <c r="F19" s="4">
        <f>IFERROR(VLOOKUP(A:A,MASTER!A:E,5,0),0)</f>
        <v>2304504.5045045069</v>
      </c>
      <c r="G19" s="4">
        <f>IFERROR(VLOOKUP(A:A,MASTER!A:F,6,0),0)</f>
        <v>109909.90990991</v>
      </c>
      <c r="H19" s="9">
        <f t="shared" si="1"/>
        <v>19.967213114754102</v>
      </c>
      <c r="I19" s="4">
        <f>IFERROR(VLOOKUP(A:A,MASTER!A:M,13,0),0)</f>
        <v>5457657.6576576587</v>
      </c>
      <c r="J19" s="4">
        <f>IFERROR(VLOOKUP($A:$A,MASTER!$A:$T,14,0),0)</f>
        <v>560360.36036036001</v>
      </c>
      <c r="K19" s="9">
        <f t="shared" si="2"/>
        <v>8.7395498392283031</v>
      </c>
      <c r="L19" s="4">
        <f>IFERROR(VLOOKUP($A:$A,MASTER!$A:$T,15,0),0)</f>
        <v>20235531.531531531</v>
      </c>
      <c r="M19" s="4">
        <f>IFERROR(VLOOKUP($A:$A,MASTER!$A:$T,16,0),0)</f>
        <v>23567234.234234232</v>
      </c>
      <c r="N19" s="9">
        <f t="shared" si="3"/>
        <v>-0.14137011876697025</v>
      </c>
      <c r="O19" s="4">
        <f>IFERROR(VLOOKUP($A:$A,MASTER!$A:$T,17,0),0)</f>
        <v>6950180.1801801808</v>
      </c>
      <c r="P19" s="4">
        <f>IFERROR(VLOOKUP($A:$A,MASTER!$A:$T,18,0),0)</f>
        <v>2191891.8918918911</v>
      </c>
      <c r="Q19" s="9">
        <f t="shared" si="4"/>
        <v>2.1708590217838073</v>
      </c>
      <c r="R19" s="4">
        <f>IFERROR(VLOOKUP($A:$A,MASTER!$A:$T,19,0),0)</f>
        <v>3058</v>
      </c>
      <c r="S19" s="4">
        <f>IFERROR(VLOOKUP($A:$A,MASTER!$A:$T,20,0),0)</f>
        <v>2917</v>
      </c>
      <c r="T19" s="9">
        <f t="shared" si="5"/>
        <v>4.8337332876242645E-2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329297434.23423421</v>
      </c>
      <c r="G20" s="4">
        <f>IFERROR(VLOOKUP(A:A,MASTER!A:F,6,0),0)</f>
        <v>329660094.5945946</v>
      </c>
      <c r="H20" s="9">
        <f t="shared" si="1"/>
        <v>-1.1001039140220437E-3</v>
      </c>
      <c r="I20" s="4">
        <f>IFERROR(VLOOKUP(A:A,MASTER!A:M,13,0),0)</f>
        <v>20090090.090090089</v>
      </c>
      <c r="J20" s="4">
        <f>IFERROR(VLOOKUP($A:$A,MASTER!$A:$T,14,0),0)</f>
        <v>28918918.918918919</v>
      </c>
      <c r="K20" s="9">
        <f t="shared" si="2"/>
        <v>-0.30529595015576327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181959391.72406322</v>
      </c>
      <c r="D21" s="4">
        <f>IFERROR(VLOOKUP($A:$A,MASTER!$A:$T,4,0),0)</f>
        <v>177666582.90322146</v>
      </c>
      <c r="E21" s="9">
        <f t="shared" si="0"/>
        <v>2.4162162353176697E-2</v>
      </c>
      <c r="F21" s="4">
        <f>IFERROR(VLOOKUP(A:A,MASTER!A:E,5,0),0)</f>
        <v>1107207.207207208</v>
      </c>
      <c r="G21" s="4">
        <f>IFERROR(VLOOKUP(A:A,MASTER!A:F,6,0),0)</f>
        <v>574774.774774777</v>
      </c>
      <c r="H21" s="9">
        <f t="shared" si="1"/>
        <v>0.92633228840124793</v>
      </c>
      <c r="I21" s="4">
        <f>IFERROR(VLOOKUP(A:A,MASTER!A:M,13,0),0)</f>
        <v>44812612.612612605</v>
      </c>
      <c r="J21" s="4">
        <f>IFERROR(VLOOKUP($A:$A,MASTER!$A:$T,14,0),0)</f>
        <v>42523873.873873875</v>
      </c>
      <c r="K21" s="9">
        <f t="shared" si="2"/>
        <v>5.382244208340814E-2</v>
      </c>
      <c r="L21" s="4">
        <f>IFERROR(VLOOKUP($A:$A,MASTER!$A:$T,15,0),0)</f>
        <v>102467423.42342342</v>
      </c>
      <c r="M21" s="4">
        <f>IFERROR(VLOOKUP($A:$A,MASTER!$A:$T,16,0),0)</f>
        <v>103794117.11711712</v>
      </c>
      <c r="N21" s="9">
        <f t="shared" si="3"/>
        <v>-1.2781973878121744E-2</v>
      </c>
      <c r="O21" s="4">
        <f>IFERROR(VLOOKUP($A:$A,MASTER!$A:$T,17,0),0)</f>
        <v>42757207.20720721</v>
      </c>
      <c r="P21" s="4">
        <f>IFERROR(VLOOKUP($A:$A,MASTER!$A:$T,18,0),0)</f>
        <v>47467387.387387395</v>
      </c>
      <c r="Q21" s="9">
        <f t="shared" si="4"/>
        <v>-9.922981734258518E-2</v>
      </c>
      <c r="R21" s="4">
        <f>IFERROR(VLOOKUP($A:$A,MASTER!$A:$T,19,0),0)</f>
        <v>7093</v>
      </c>
      <c r="S21" s="4">
        <f>IFERROR(VLOOKUP($A:$A,MASTER!$A:$T,20,0),0)</f>
        <v>7103</v>
      </c>
      <c r="T21" s="9">
        <f t="shared" si="5"/>
        <v>-1.407855835562466E-3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92239254.461155385</v>
      </c>
      <c r="D22" s="4">
        <f>IFERROR(VLOOKUP($A:$A,MASTER!$A:$T,4,0),0)</f>
        <v>102899116.54296325</v>
      </c>
      <c r="E22" s="9">
        <f t="shared" si="0"/>
        <v>-0.10359527311740402</v>
      </c>
      <c r="F22" s="4">
        <f>IFERROR(VLOOKUP(A:A,MASTER!A:E,5,0),0)</f>
        <v>713513.513513515</v>
      </c>
      <c r="G22" s="4">
        <f>IFERROR(VLOOKUP(A:A,MASTER!A:F,6,0),0)</f>
        <v>132432.43243243301</v>
      </c>
      <c r="H22" s="9">
        <f t="shared" si="1"/>
        <v>4.3877551020408045</v>
      </c>
      <c r="I22" s="4">
        <f>IFERROR(VLOOKUP(A:A,MASTER!A:M,13,0),0)</f>
        <v>26611711.711711712</v>
      </c>
      <c r="J22" s="4">
        <f>IFERROR(VLOOKUP($A:$A,MASTER!$A:$T,14,0),0)</f>
        <v>17792342.342342343</v>
      </c>
      <c r="K22" s="9">
        <f t="shared" si="2"/>
        <v>0.4956834350236714</v>
      </c>
      <c r="L22" s="4">
        <f>IFERROR(VLOOKUP($A:$A,MASTER!$A:$T,15,0),0)</f>
        <v>31594396.396396399</v>
      </c>
      <c r="M22" s="4">
        <f>IFERROR(VLOOKUP($A:$A,MASTER!$A:$T,16,0),0)</f>
        <v>36140693.693693697</v>
      </c>
      <c r="N22" s="9">
        <f t="shared" si="3"/>
        <v>-0.12579441158016835</v>
      </c>
      <c r="O22" s="4">
        <f>IFERROR(VLOOKUP($A:$A,MASTER!$A:$T,17,0),0)</f>
        <v>29439099.0990991</v>
      </c>
      <c r="P22" s="4">
        <f>IFERROR(VLOOKUP($A:$A,MASTER!$A:$T,18,0),0)</f>
        <v>16674414.414414413</v>
      </c>
      <c r="Q22" s="9">
        <f t="shared" si="4"/>
        <v>0.76552521530531759</v>
      </c>
      <c r="R22" s="4">
        <f>IFERROR(VLOOKUP($A:$A,MASTER!$A:$T,19,0),0)</f>
        <v>3106</v>
      </c>
      <c r="S22" s="4">
        <f>IFERROR(VLOOKUP($A:$A,MASTER!$A:$T,20,0),0)</f>
        <v>4027</v>
      </c>
      <c r="T22" s="9">
        <f t="shared" si="5"/>
        <v>-0.22870623292773773</v>
      </c>
    </row>
  </sheetData>
  <autoFilter ref="A5:T22"/>
  <conditionalFormatting sqref="E6:E22">
    <cfRule type="cellIs" dxfId="10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0"/>
  <sheetViews>
    <sheetView tabSelected="1" workbookViewId="0">
      <pane xSplit="1" ySplit="2" topLeftCell="E3" activePane="bottomRight" state="frozen"/>
      <selection pane="topRight" activeCell="B1" sqref="B1"/>
      <selection pane="bottomLeft" activeCell="A3" sqref="A3"/>
      <selection pane="bottomRight" sqref="A1:P104857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 t="s">
        <v>672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292099812.46016252</v>
      </c>
      <c r="D4">
        <v>349979759.49783111</v>
      </c>
      <c r="E4">
        <v>1403378.378378378</v>
      </c>
      <c r="F4">
        <v>559459.45945945999</v>
      </c>
      <c r="G4">
        <v>33</v>
      </c>
      <c r="H4">
        <v>5</v>
      </c>
      <c r="K4">
        <v>44</v>
      </c>
      <c r="L4">
        <v>5</v>
      </c>
      <c r="M4">
        <v>20453333.333333336</v>
      </c>
      <c r="N4">
        <v>11115765.765765764</v>
      </c>
      <c r="O4">
        <v>37033342.342342347</v>
      </c>
      <c r="P4">
        <v>47494504.504504502</v>
      </c>
      <c r="Q4">
        <v>20635135.135135137</v>
      </c>
      <c r="R4">
        <v>14923423.423423424</v>
      </c>
      <c r="S4">
        <v>8300</v>
      </c>
      <c r="T4">
        <v>8411</v>
      </c>
    </row>
    <row r="5" spans="1:20" x14ac:dyDescent="0.35">
      <c r="A5" s="7" t="s">
        <v>50</v>
      </c>
      <c r="B5" s="12" t="s">
        <v>51</v>
      </c>
      <c r="C5">
        <v>446927180.622455</v>
      </c>
      <c r="D5">
        <v>483773825.68755156</v>
      </c>
      <c r="E5">
        <v>3945945.9459459521</v>
      </c>
      <c r="F5">
        <v>3474774.774774781</v>
      </c>
      <c r="G5">
        <v>291</v>
      </c>
      <c r="H5">
        <v>253</v>
      </c>
      <c r="K5">
        <v>471</v>
      </c>
      <c r="L5">
        <v>430</v>
      </c>
      <c r="M5">
        <v>82708918.918918923</v>
      </c>
      <c r="N5">
        <v>45128378.378378376</v>
      </c>
      <c r="O5">
        <v>142179585.58558559</v>
      </c>
      <c r="P5">
        <v>154195864.86486486</v>
      </c>
      <c r="Q5">
        <v>79771531.531531543</v>
      </c>
      <c r="R5">
        <v>43283153.153153151</v>
      </c>
      <c r="S5">
        <v>19616</v>
      </c>
      <c r="T5">
        <v>20533</v>
      </c>
    </row>
    <row r="6" spans="1:20" x14ac:dyDescent="0.35">
      <c r="A6" s="7" t="s">
        <v>52</v>
      </c>
      <c r="B6" s="12" t="s">
        <v>53</v>
      </c>
      <c r="C6">
        <v>112305552.2379306</v>
      </c>
      <c r="D6">
        <v>120519504.12038627</v>
      </c>
      <c r="E6">
        <v>2621621.6216216208</v>
      </c>
      <c r="F6">
        <v>1263963.963963964</v>
      </c>
      <c r="G6">
        <v>43</v>
      </c>
      <c r="H6">
        <v>29</v>
      </c>
      <c r="K6">
        <v>52</v>
      </c>
      <c r="L6">
        <v>38</v>
      </c>
      <c r="M6">
        <v>28903153.153153151</v>
      </c>
      <c r="N6">
        <v>15894594.594594596</v>
      </c>
      <c r="O6">
        <v>35728351.351351351</v>
      </c>
      <c r="P6">
        <v>38460144.144144148</v>
      </c>
      <c r="Q6">
        <v>21724684.684684686</v>
      </c>
      <c r="R6">
        <v>15355495.495495496</v>
      </c>
      <c r="S6">
        <v>4611</v>
      </c>
      <c r="T6">
        <v>4806</v>
      </c>
    </row>
    <row r="7" spans="1:20" x14ac:dyDescent="0.35">
      <c r="A7" s="7" t="s">
        <v>54</v>
      </c>
      <c r="B7" s="12" t="s">
        <v>55</v>
      </c>
      <c r="C7">
        <v>59930161.443043321</v>
      </c>
      <c r="D7">
        <v>57454801.150792688</v>
      </c>
      <c r="E7">
        <v>451351.35135135503</v>
      </c>
      <c r="F7">
        <v>587387.38738738804</v>
      </c>
      <c r="G7">
        <v>16</v>
      </c>
      <c r="H7">
        <v>17</v>
      </c>
      <c r="K7">
        <v>19</v>
      </c>
      <c r="L7">
        <v>21</v>
      </c>
      <c r="M7">
        <v>5530990.9909909917</v>
      </c>
      <c r="N7">
        <v>8286936.9369369363</v>
      </c>
      <c r="O7">
        <v>19019299.549549554</v>
      </c>
      <c r="P7">
        <v>18771180.180180181</v>
      </c>
      <c r="Q7">
        <v>5865315.3153153146</v>
      </c>
      <c r="R7">
        <v>8277027.0270270249</v>
      </c>
      <c r="S7">
        <v>2920</v>
      </c>
      <c r="T7">
        <v>3677</v>
      </c>
    </row>
    <row r="8" spans="1:20" x14ac:dyDescent="0.35">
      <c r="A8" s="7" t="s">
        <v>56</v>
      </c>
      <c r="B8" s="12" t="s">
        <v>55</v>
      </c>
      <c r="C8">
        <v>99004501.550101563</v>
      </c>
      <c r="D8">
        <v>106905018.46116163</v>
      </c>
      <c r="E8">
        <v>1970270.2702702731</v>
      </c>
      <c r="F8">
        <v>788288.28828828898</v>
      </c>
      <c r="G8">
        <v>30</v>
      </c>
      <c r="H8">
        <v>36</v>
      </c>
      <c r="K8">
        <v>87</v>
      </c>
      <c r="L8">
        <v>84</v>
      </c>
      <c r="M8">
        <v>18670090.090090092</v>
      </c>
      <c r="N8">
        <v>69181531.531531528</v>
      </c>
      <c r="O8">
        <v>28465846.846846849</v>
      </c>
      <c r="P8">
        <v>31598845.045045044</v>
      </c>
      <c r="Q8">
        <v>35404864.864864863</v>
      </c>
      <c r="R8">
        <v>31825585.585585583</v>
      </c>
      <c r="S8">
        <v>5039</v>
      </c>
      <c r="T8">
        <v>4456</v>
      </c>
    </row>
    <row r="9" spans="1:20" x14ac:dyDescent="0.35">
      <c r="A9" s="7" t="s">
        <v>57</v>
      </c>
      <c r="B9" s="12" t="s">
        <v>55</v>
      </c>
      <c r="C9">
        <v>47955931.574070133</v>
      </c>
      <c r="D9">
        <v>54818927.397696689</v>
      </c>
      <c r="E9">
        <v>652252.25225225405</v>
      </c>
      <c r="F9">
        <v>1179279.2792792791</v>
      </c>
      <c r="G9">
        <v>11</v>
      </c>
      <c r="H9">
        <v>17</v>
      </c>
      <c r="K9">
        <v>12</v>
      </c>
      <c r="L9">
        <v>61</v>
      </c>
      <c r="M9">
        <v>5538738.7387387408</v>
      </c>
      <c r="N9">
        <v>6083783.783783786</v>
      </c>
      <c r="O9">
        <v>14565477.477477478</v>
      </c>
      <c r="P9">
        <v>18134774.774774775</v>
      </c>
      <c r="Q9">
        <v>4532432.4324324336</v>
      </c>
      <c r="R9">
        <v>6258198.1981981993</v>
      </c>
      <c r="S9">
        <v>2051</v>
      </c>
      <c r="T9">
        <v>2045</v>
      </c>
    </row>
    <row r="10" spans="1:20" x14ac:dyDescent="0.35">
      <c r="A10" s="7" t="s">
        <v>58</v>
      </c>
      <c r="B10" s="12" t="s">
        <v>59</v>
      </c>
      <c r="C10">
        <v>132092874.2293046</v>
      </c>
      <c r="D10">
        <v>133291684.32216933</v>
      </c>
      <c r="E10">
        <v>121621.621621623</v>
      </c>
      <c r="F10">
        <v>81081.081081081007</v>
      </c>
      <c r="G10">
        <v>39</v>
      </c>
      <c r="H10">
        <v>27</v>
      </c>
      <c r="K10">
        <v>44</v>
      </c>
      <c r="L10">
        <v>33</v>
      </c>
      <c r="M10">
        <v>3364864.8648648649</v>
      </c>
      <c r="N10">
        <v>3603603.6036036029</v>
      </c>
      <c r="O10">
        <v>24730387.387387384</v>
      </c>
      <c r="P10">
        <v>26457180.180180181</v>
      </c>
      <c r="Q10">
        <v>2124504.5045045051</v>
      </c>
      <c r="R10">
        <v>3018828.8288288279</v>
      </c>
      <c r="S10">
        <v>5395</v>
      </c>
      <c r="T10">
        <v>5542</v>
      </c>
    </row>
    <row r="11" spans="1:20" x14ac:dyDescent="0.35">
      <c r="A11" s="7" t="s">
        <v>60</v>
      </c>
      <c r="B11" s="12" t="s">
        <v>61</v>
      </c>
      <c r="C11">
        <v>55871649.932290226</v>
      </c>
      <c r="D11">
        <v>61061300.846958898</v>
      </c>
      <c r="E11">
        <v>423423.423423425</v>
      </c>
      <c r="F11">
        <v>520270.27027027099</v>
      </c>
      <c r="G11">
        <v>20</v>
      </c>
      <c r="H11">
        <v>20</v>
      </c>
      <c r="I11">
        <v>1</v>
      </c>
      <c r="K11">
        <v>28</v>
      </c>
      <c r="L11">
        <v>23</v>
      </c>
      <c r="M11">
        <v>7486486.4864864862</v>
      </c>
      <c r="N11">
        <v>9655405.4054054059</v>
      </c>
      <c r="O11">
        <v>25540135.135135137</v>
      </c>
      <c r="P11">
        <v>28762720.72072072</v>
      </c>
      <c r="Q11">
        <v>6654594.5945945941</v>
      </c>
      <c r="R11">
        <v>6499729.7297297278</v>
      </c>
      <c r="S11">
        <v>2983</v>
      </c>
      <c r="T11">
        <v>3013</v>
      </c>
    </row>
    <row r="12" spans="1:20" x14ac:dyDescent="0.35">
      <c r="A12" s="7" t="s">
        <v>62</v>
      </c>
      <c r="B12" s="12" t="s">
        <v>63</v>
      </c>
      <c r="C12">
        <v>256117102.40869975</v>
      </c>
      <c r="D12">
        <v>271085190.53712195</v>
      </c>
      <c r="E12">
        <v>2955405.4054054138</v>
      </c>
      <c r="F12">
        <v>1778378.378378382</v>
      </c>
      <c r="G12">
        <v>30</v>
      </c>
      <c r="H12">
        <v>16</v>
      </c>
      <c r="K12">
        <v>35</v>
      </c>
      <c r="L12">
        <v>18</v>
      </c>
      <c r="M12">
        <v>48068648.648648649</v>
      </c>
      <c r="N12">
        <v>28204864.864864863</v>
      </c>
      <c r="O12">
        <v>26385540.540540539</v>
      </c>
      <c r="P12">
        <v>33545864.864864863</v>
      </c>
      <c r="Q12">
        <v>44792342.342342339</v>
      </c>
      <c r="R12">
        <v>26883783.783783779</v>
      </c>
      <c r="S12">
        <v>8765</v>
      </c>
      <c r="T12">
        <v>8639</v>
      </c>
    </row>
    <row r="13" spans="1:20" x14ac:dyDescent="0.35">
      <c r="A13" s="7" t="s">
        <v>64</v>
      </c>
      <c r="B13" s="12" t="s">
        <v>51</v>
      </c>
      <c r="C13">
        <v>136760250.31314716</v>
      </c>
      <c r="D13">
        <v>136999695.86994633</v>
      </c>
      <c r="E13">
        <v>1553153.1531531571</v>
      </c>
      <c r="F13">
        <v>1013513.513513514</v>
      </c>
      <c r="G13">
        <v>55</v>
      </c>
      <c r="H13">
        <v>33</v>
      </c>
      <c r="K13">
        <v>80</v>
      </c>
      <c r="L13">
        <v>35</v>
      </c>
      <c r="M13">
        <v>24123783.783783782</v>
      </c>
      <c r="N13">
        <v>22123855.855855856</v>
      </c>
      <c r="O13">
        <v>50581297.297297299</v>
      </c>
      <c r="P13">
        <v>54561009.009009011</v>
      </c>
      <c r="Q13">
        <v>25756936.936936937</v>
      </c>
      <c r="R13">
        <v>22530360.360360362</v>
      </c>
      <c r="S13">
        <v>5738</v>
      </c>
      <c r="T13">
        <v>5684</v>
      </c>
    </row>
    <row r="14" spans="1:20" x14ac:dyDescent="0.35">
      <c r="A14" s="7" t="s">
        <v>65</v>
      </c>
      <c r="B14" s="12" t="s">
        <v>51</v>
      </c>
      <c r="C14">
        <v>139454558.55427057</v>
      </c>
      <c r="D14">
        <v>143895274.63154775</v>
      </c>
      <c r="E14">
        <v>2169369.3693693699</v>
      </c>
      <c r="F14">
        <v>2467567.5675675669</v>
      </c>
      <c r="G14">
        <v>37</v>
      </c>
      <c r="H14">
        <v>16</v>
      </c>
      <c r="K14">
        <v>48</v>
      </c>
      <c r="L14">
        <v>16</v>
      </c>
      <c r="M14">
        <v>14965045.045045044</v>
      </c>
      <c r="N14">
        <v>22005405.40540541</v>
      </c>
      <c r="O14">
        <v>51627054.054054059</v>
      </c>
      <c r="P14">
        <v>54709009.009009011</v>
      </c>
      <c r="Q14">
        <v>13845585.585585587</v>
      </c>
      <c r="R14">
        <v>18509189.189189188</v>
      </c>
      <c r="S14">
        <v>5571</v>
      </c>
      <c r="T14">
        <v>5523</v>
      </c>
    </row>
    <row r="15" spans="1:20" x14ac:dyDescent="0.35">
      <c r="A15" s="7" t="s">
        <v>66</v>
      </c>
      <c r="B15" s="12" t="s">
        <v>67</v>
      </c>
      <c r="C15">
        <v>140354363.66998339</v>
      </c>
      <c r="D15">
        <v>144227353.7334846</v>
      </c>
      <c r="E15">
        <v>3115315.3153153192</v>
      </c>
      <c r="F15">
        <v>3513513.5135135171</v>
      </c>
      <c r="G15">
        <v>37</v>
      </c>
      <c r="H15">
        <v>26</v>
      </c>
      <c r="K15">
        <v>46</v>
      </c>
      <c r="L15">
        <v>35</v>
      </c>
      <c r="M15">
        <v>126898828.82882883</v>
      </c>
      <c r="N15">
        <v>98220720.720720723</v>
      </c>
      <c r="O15">
        <v>72310072.072072059</v>
      </c>
      <c r="P15">
        <v>71378189.189189181</v>
      </c>
      <c r="Q15">
        <v>58436576.576576576</v>
      </c>
      <c r="R15">
        <v>72053873.873873875</v>
      </c>
      <c r="S15">
        <v>5427</v>
      </c>
      <c r="T15">
        <v>5865</v>
      </c>
    </row>
    <row r="16" spans="1:20" x14ac:dyDescent="0.35">
      <c r="A16" s="7" t="s">
        <v>68</v>
      </c>
      <c r="B16" s="12" t="s">
        <v>69</v>
      </c>
      <c r="C16">
        <v>82146600.228504926</v>
      </c>
      <c r="D16">
        <v>86745711.841133133</v>
      </c>
      <c r="E16">
        <v>944144.14414414298</v>
      </c>
      <c r="F16">
        <v>581981.98198198294</v>
      </c>
      <c r="G16">
        <v>23</v>
      </c>
      <c r="H16">
        <v>12</v>
      </c>
      <c r="K16">
        <v>26</v>
      </c>
      <c r="L16">
        <v>14</v>
      </c>
      <c r="M16">
        <v>15010810.81081081</v>
      </c>
      <c r="N16">
        <v>13042117.117117118</v>
      </c>
      <c r="O16">
        <v>22345828.828828827</v>
      </c>
      <c r="P16">
        <v>26164396.396396395</v>
      </c>
      <c r="Q16">
        <v>10884774.774774775</v>
      </c>
      <c r="R16">
        <v>9506531.5315315314</v>
      </c>
      <c r="S16">
        <v>3117</v>
      </c>
      <c r="T16">
        <v>3201</v>
      </c>
    </row>
    <row r="17" spans="1:20" x14ac:dyDescent="0.35">
      <c r="A17" s="7" t="s">
        <v>70</v>
      </c>
      <c r="B17" s="12" t="s">
        <v>71</v>
      </c>
      <c r="C17">
        <v>6425827.5472835451</v>
      </c>
      <c r="D17">
        <v>6896278.444634499</v>
      </c>
      <c r="E17">
        <v>13513.513513514001</v>
      </c>
      <c r="G17">
        <v>1</v>
      </c>
      <c r="K17">
        <v>1</v>
      </c>
      <c r="M17">
        <v>193693.69369369399</v>
      </c>
      <c r="O17">
        <v>2063153.1531531529</v>
      </c>
      <c r="P17">
        <v>2502108.1081081079</v>
      </c>
      <c r="Q17">
        <v>158558.55855855899</v>
      </c>
      <c r="R17">
        <v>51351.351351350997</v>
      </c>
      <c r="S17">
        <v>278</v>
      </c>
      <c r="T17">
        <v>329</v>
      </c>
    </row>
    <row r="18" spans="1:20" x14ac:dyDescent="0.35">
      <c r="A18" s="7" t="s">
        <v>72</v>
      </c>
      <c r="B18" s="12" t="s">
        <v>73</v>
      </c>
      <c r="C18">
        <v>1130591597.78037</v>
      </c>
      <c r="D18">
        <v>1166352679.6312997</v>
      </c>
      <c r="E18">
        <v>281888014.41441441</v>
      </c>
      <c r="F18">
        <v>375829888.2882883</v>
      </c>
      <c r="G18">
        <v>277</v>
      </c>
      <c r="H18">
        <v>380</v>
      </c>
      <c r="I18">
        <v>10</v>
      </c>
      <c r="K18">
        <v>490</v>
      </c>
      <c r="L18">
        <v>807</v>
      </c>
      <c r="M18">
        <v>123444151.35135135</v>
      </c>
      <c r="N18">
        <v>142621621.62162161</v>
      </c>
      <c r="O18">
        <v>227469314.86486486</v>
      </c>
      <c r="P18">
        <v>275808536.03603601</v>
      </c>
      <c r="Q18">
        <v>106110583.78378378</v>
      </c>
      <c r="R18">
        <v>123878872.07207206</v>
      </c>
      <c r="S18">
        <v>45716</v>
      </c>
      <c r="T18">
        <v>47909</v>
      </c>
    </row>
    <row r="19" spans="1:20" x14ac:dyDescent="0.35">
      <c r="A19" s="7" t="s">
        <v>74</v>
      </c>
      <c r="B19" s="12" t="s">
        <v>73</v>
      </c>
      <c r="C19">
        <v>115403268.91356993</v>
      </c>
      <c r="D19">
        <v>116482676.7288222</v>
      </c>
      <c r="E19">
        <v>72972.972972974007</v>
      </c>
      <c r="F19">
        <v>22522.522522522999</v>
      </c>
      <c r="G19">
        <v>33</v>
      </c>
      <c r="H19">
        <v>17</v>
      </c>
      <c r="I19">
        <v>1</v>
      </c>
      <c r="K19">
        <v>34</v>
      </c>
      <c r="L19">
        <v>23</v>
      </c>
      <c r="M19">
        <v>2460360.3603603598</v>
      </c>
      <c r="N19">
        <v>2436936.9369369368</v>
      </c>
      <c r="O19">
        <v>16408333.333333332</v>
      </c>
      <c r="P19">
        <v>17177234.234234232</v>
      </c>
      <c r="Q19">
        <v>2521891.8918918921</v>
      </c>
      <c r="R19">
        <v>2161081.0810810812</v>
      </c>
      <c r="S19">
        <v>3433</v>
      </c>
      <c r="T19">
        <v>3484</v>
      </c>
    </row>
    <row r="20" spans="1:20" x14ac:dyDescent="0.35">
      <c r="A20" s="7" t="s">
        <v>75</v>
      </c>
      <c r="B20" s="12" t="s">
        <v>71</v>
      </c>
      <c r="C20">
        <v>111977844.57877088</v>
      </c>
      <c r="D20">
        <v>119791289.79484406</v>
      </c>
      <c r="E20">
        <v>3482882.882882888</v>
      </c>
      <c r="F20">
        <v>668018.01801801706</v>
      </c>
      <c r="G20">
        <v>36</v>
      </c>
      <c r="H20">
        <v>17</v>
      </c>
      <c r="K20">
        <v>54</v>
      </c>
      <c r="L20">
        <v>47</v>
      </c>
      <c r="M20">
        <v>25227927.927927937</v>
      </c>
      <c r="N20">
        <v>20359009.009009007</v>
      </c>
      <c r="O20">
        <v>40606531.531531535</v>
      </c>
      <c r="P20">
        <v>43163900.9009009</v>
      </c>
      <c r="Q20">
        <v>22709189.189189192</v>
      </c>
      <c r="R20">
        <v>21054774.774774775</v>
      </c>
      <c r="S20">
        <v>4114</v>
      </c>
      <c r="T20">
        <v>5157</v>
      </c>
    </row>
    <row r="21" spans="1:20" x14ac:dyDescent="0.35">
      <c r="A21" s="7" t="s">
        <v>76</v>
      </c>
      <c r="B21" s="12" t="s">
        <v>77</v>
      </c>
      <c r="C21">
        <v>32627116.378345106</v>
      </c>
      <c r="D21">
        <v>34826275.019163646</v>
      </c>
      <c r="E21">
        <v>77477.477477477994</v>
      </c>
      <c r="F21">
        <v>306306.30630630697</v>
      </c>
      <c r="G21">
        <v>5</v>
      </c>
      <c r="H21">
        <v>16</v>
      </c>
      <c r="K21">
        <v>5</v>
      </c>
      <c r="L21">
        <v>19</v>
      </c>
      <c r="M21">
        <v>3284864.8648648639</v>
      </c>
      <c r="N21">
        <v>3896396.3963963948</v>
      </c>
      <c r="O21">
        <v>8334567.5675675683</v>
      </c>
      <c r="P21">
        <v>10061729.729729729</v>
      </c>
      <c r="Q21">
        <v>2572522.5225225221</v>
      </c>
      <c r="R21">
        <v>3421891.8918918911</v>
      </c>
      <c r="S21">
        <v>1436</v>
      </c>
      <c r="T21">
        <v>1504</v>
      </c>
    </row>
    <row r="22" spans="1:20" x14ac:dyDescent="0.35">
      <c r="A22" s="7" t="s">
        <v>78</v>
      </c>
      <c r="B22" s="12" t="s">
        <v>79</v>
      </c>
      <c r="C22">
        <v>69140205.931958079</v>
      </c>
      <c r="D22">
        <v>76451818.494388059</v>
      </c>
      <c r="E22">
        <v>881081.081081082</v>
      </c>
      <c r="F22">
        <v>1471171.1711711721</v>
      </c>
      <c r="G22">
        <v>13</v>
      </c>
      <c r="H22">
        <v>19</v>
      </c>
      <c r="K22">
        <v>16</v>
      </c>
      <c r="L22">
        <v>27</v>
      </c>
      <c r="M22">
        <v>6962162.1621621624</v>
      </c>
      <c r="N22">
        <v>11840540.540540541</v>
      </c>
      <c r="O22">
        <v>22393774.774774775</v>
      </c>
      <c r="P22">
        <v>23885513.513513513</v>
      </c>
      <c r="Q22">
        <v>9288378.3783783801</v>
      </c>
      <c r="R22">
        <v>10600270.270270268</v>
      </c>
      <c r="S22">
        <v>2462</v>
      </c>
      <c r="T22">
        <v>2409</v>
      </c>
    </row>
    <row r="23" spans="1:20" x14ac:dyDescent="0.35">
      <c r="A23" s="7" t="s">
        <v>80</v>
      </c>
      <c r="B23" s="12" t="s">
        <v>81</v>
      </c>
      <c r="C23">
        <v>661520187.05357552</v>
      </c>
      <c r="D23">
        <v>745202615.0659914</v>
      </c>
      <c r="E23">
        <v>3300000.0000000098</v>
      </c>
      <c r="F23">
        <v>6634684.6846846901</v>
      </c>
      <c r="G23">
        <v>417</v>
      </c>
      <c r="H23">
        <v>500</v>
      </c>
      <c r="K23">
        <v>492</v>
      </c>
      <c r="L23">
        <v>846</v>
      </c>
      <c r="M23">
        <v>68365765.765765756</v>
      </c>
      <c r="N23">
        <v>88505855.855855852</v>
      </c>
      <c r="O23">
        <v>170195536.03603604</v>
      </c>
      <c r="P23">
        <v>219939034.23423424</v>
      </c>
      <c r="Q23">
        <v>57175585.585585594</v>
      </c>
      <c r="R23">
        <v>76911441.441441447</v>
      </c>
      <c r="S23">
        <v>26398</v>
      </c>
      <c r="T23">
        <v>29364</v>
      </c>
    </row>
    <row r="24" spans="1:20" x14ac:dyDescent="0.35">
      <c r="A24" s="7" t="s">
        <v>82</v>
      </c>
      <c r="B24" s="12" t="s">
        <v>55</v>
      </c>
      <c r="C24">
        <v>19720444.282118659</v>
      </c>
      <c r="D24">
        <v>19954136.391901489</v>
      </c>
      <c r="E24">
        <v>125225.22522522599</v>
      </c>
      <c r="F24">
        <v>35135.135135135999</v>
      </c>
      <c r="G24">
        <v>7</v>
      </c>
      <c r="H24">
        <v>1</v>
      </c>
      <c r="K24">
        <v>8</v>
      </c>
      <c r="L24">
        <v>4</v>
      </c>
      <c r="M24">
        <v>958558.55855855905</v>
      </c>
      <c r="N24">
        <v>1564864.8648648639</v>
      </c>
      <c r="O24">
        <v>4431036.036036035</v>
      </c>
      <c r="P24">
        <v>5862873.8738738736</v>
      </c>
      <c r="Q24">
        <v>1110720.7207207221</v>
      </c>
      <c r="R24">
        <v>1212522.522522521</v>
      </c>
      <c r="S24">
        <v>1454</v>
      </c>
      <c r="T24">
        <v>1294</v>
      </c>
    </row>
    <row r="25" spans="1:20" x14ac:dyDescent="0.35">
      <c r="A25" s="7" t="s">
        <v>83</v>
      </c>
      <c r="B25" s="12" t="s">
        <v>84</v>
      </c>
      <c r="C25">
        <v>470305969.74359274</v>
      </c>
      <c r="D25">
        <v>497777861.95056534</v>
      </c>
      <c r="E25">
        <v>4441666.6666666679</v>
      </c>
      <c r="F25">
        <v>7062612.6126126191</v>
      </c>
      <c r="G25">
        <v>85</v>
      </c>
      <c r="H25">
        <v>60</v>
      </c>
      <c r="I25">
        <v>1</v>
      </c>
      <c r="K25">
        <v>98</v>
      </c>
      <c r="L25">
        <v>69</v>
      </c>
      <c r="M25">
        <v>107705855.85585585</v>
      </c>
      <c r="N25">
        <v>89278828.828828827</v>
      </c>
      <c r="O25">
        <v>135130391.8918919</v>
      </c>
      <c r="P25">
        <v>147360077.47747746</v>
      </c>
      <c r="Q25">
        <v>66709459.459459454</v>
      </c>
      <c r="R25">
        <v>78619009.009009004</v>
      </c>
      <c r="S25">
        <v>15486</v>
      </c>
      <c r="T25">
        <v>15078</v>
      </c>
    </row>
    <row r="26" spans="1:20" x14ac:dyDescent="0.35">
      <c r="A26" s="7" t="s">
        <v>85</v>
      </c>
      <c r="B26" s="12" t="s">
        <v>86</v>
      </c>
      <c r="C26">
        <v>43122571.03637287</v>
      </c>
      <c r="D26">
        <v>35926258.482965782</v>
      </c>
      <c r="E26">
        <v>993468.46846847003</v>
      </c>
      <c r="F26">
        <v>880180.18018018</v>
      </c>
      <c r="G26">
        <v>28</v>
      </c>
      <c r="H26">
        <v>27</v>
      </c>
      <c r="K26">
        <v>34</v>
      </c>
      <c r="L26">
        <v>53</v>
      </c>
      <c r="M26">
        <v>69661621.621621624</v>
      </c>
      <c r="N26">
        <v>79660360.360360369</v>
      </c>
      <c r="O26">
        <v>16440639.63963964</v>
      </c>
      <c r="P26">
        <v>16842468.468468469</v>
      </c>
      <c r="Q26">
        <v>61225765.765765771</v>
      </c>
      <c r="R26">
        <v>61278825.225225225</v>
      </c>
      <c r="S26">
        <v>2090</v>
      </c>
      <c r="T26">
        <v>2211</v>
      </c>
    </row>
    <row r="27" spans="1:20" x14ac:dyDescent="0.35">
      <c r="A27" s="7" t="s">
        <v>87</v>
      </c>
      <c r="B27" s="12" t="s">
        <v>88</v>
      </c>
      <c r="C27">
        <v>1670230.7097166949</v>
      </c>
      <c r="D27">
        <v>2026833.931968445</v>
      </c>
      <c r="E27">
        <v>18827387.387387387</v>
      </c>
      <c r="F27">
        <v>27510694.594594598</v>
      </c>
      <c r="G27">
        <v>1</v>
      </c>
      <c r="K27">
        <v>1</v>
      </c>
      <c r="O27">
        <v>778837.83783783799</v>
      </c>
      <c r="P27">
        <v>1221216.2162162161</v>
      </c>
      <c r="S27">
        <v>165</v>
      </c>
      <c r="T27">
        <v>530</v>
      </c>
    </row>
    <row r="28" spans="1:20" x14ac:dyDescent="0.35">
      <c r="A28" s="7" t="s">
        <v>89</v>
      </c>
      <c r="B28" s="12" t="s">
        <v>90</v>
      </c>
      <c r="C28">
        <v>96262875.670556977</v>
      </c>
      <c r="D28">
        <v>108989321.98537588</v>
      </c>
      <c r="E28">
        <v>892792.79279279395</v>
      </c>
      <c r="F28">
        <v>1248648.6486486469</v>
      </c>
      <c r="G28">
        <v>12</v>
      </c>
      <c r="H28">
        <v>5</v>
      </c>
      <c r="K28">
        <v>13</v>
      </c>
      <c r="L28">
        <v>6</v>
      </c>
      <c r="M28">
        <v>14812792.792792792</v>
      </c>
      <c r="N28">
        <v>15901981.981981985</v>
      </c>
      <c r="O28">
        <v>33288261.261261258</v>
      </c>
      <c r="P28">
        <v>37643036.036036037</v>
      </c>
      <c r="Q28">
        <v>15190540.540540539</v>
      </c>
      <c r="R28">
        <v>19458018.018018018</v>
      </c>
      <c r="S28">
        <v>3189</v>
      </c>
      <c r="T28">
        <v>3376</v>
      </c>
    </row>
    <row r="29" spans="1:20" x14ac:dyDescent="0.35">
      <c r="A29" s="7" t="s">
        <v>91</v>
      </c>
      <c r="B29" s="12" t="s">
        <v>61</v>
      </c>
      <c r="C29">
        <v>35388951.290494293</v>
      </c>
      <c r="D29">
        <v>35699361.706013665</v>
      </c>
      <c r="E29">
        <v>73873.873873874996</v>
      </c>
      <c r="F29">
        <v>365765.76576576597</v>
      </c>
      <c r="G29">
        <v>6</v>
      </c>
      <c r="H29">
        <v>8</v>
      </c>
      <c r="K29">
        <v>81</v>
      </c>
      <c r="L29">
        <v>36</v>
      </c>
      <c r="M29">
        <v>2614414.4144144142</v>
      </c>
      <c r="N29">
        <v>3104504.5045045032</v>
      </c>
      <c r="O29">
        <v>20914306.306306303</v>
      </c>
      <c r="P29">
        <v>20425558.558558561</v>
      </c>
      <c r="Q29">
        <v>2721261.2612612611</v>
      </c>
      <c r="R29">
        <v>2731441.441441441</v>
      </c>
      <c r="S29">
        <v>1580</v>
      </c>
      <c r="T29">
        <v>1633</v>
      </c>
    </row>
    <row r="30" spans="1:20" x14ac:dyDescent="0.35">
      <c r="A30" s="7" t="s">
        <v>92</v>
      </c>
      <c r="B30" s="12" t="s">
        <v>93</v>
      </c>
      <c r="C30">
        <v>29005657.501617465</v>
      </c>
      <c r="D30">
        <v>25720333.564094488</v>
      </c>
      <c r="E30">
        <v>107809191.89189188</v>
      </c>
      <c r="F30">
        <v>58062261.261261262</v>
      </c>
      <c r="G30">
        <v>6</v>
      </c>
      <c r="H30">
        <v>3</v>
      </c>
      <c r="K30">
        <v>9</v>
      </c>
      <c r="L30">
        <v>5</v>
      </c>
      <c r="M30">
        <v>11107207.207207208</v>
      </c>
      <c r="N30">
        <v>12491441.441441439</v>
      </c>
      <c r="O30">
        <v>8918684.6846846845</v>
      </c>
      <c r="P30">
        <v>8890756.7567567565</v>
      </c>
      <c r="Q30">
        <v>10565945.945945946</v>
      </c>
      <c r="R30">
        <v>12273513.513513513</v>
      </c>
      <c r="S30">
        <v>1091</v>
      </c>
      <c r="T30">
        <v>1081</v>
      </c>
    </row>
    <row r="31" spans="1:20" x14ac:dyDescent="0.35">
      <c r="A31" s="7" t="s">
        <v>94</v>
      </c>
      <c r="B31" s="12" t="s">
        <v>95</v>
      </c>
      <c r="C31">
        <v>123516736.12524709</v>
      </c>
      <c r="D31">
        <v>137484876.87524319</v>
      </c>
      <c r="E31">
        <v>184684.68468468601</v>
      </c>
      <c r="F31">
        <v>36036.036036035999</v>
      </c>
      <c r="G31">
        <v>19</v>
      </c>
      <c r="H31">
        <v>7</v>
      </c>
      <c r="K31">
        <v>21</v>
      </c>
      <c r="L31">
        <v>8</v>
      </c>
      <c r="M31">
        <v>13927927.927927928</v>
      </c>
      <c r="N31">
        <v>13954954.954954954</v>
      </c>
      <c r="O31">
        <v>17492457.657657657</v>
      </c>
      <c r="P31">
        <v>23716669.369369369</v>
      </c>
      <c r="Q31">
        <v>12295855.855855856</v>
      </c>
      <c r="R31">
        <v>16108828.828828828</v>
      </c>
      <c r="S31">
        <v>4484</v>
      </c>
      <c r="T31">
        <v>4475</v>
      </c>
    </row>
    <row r="32" spans="1:20" x14ac:dyDescent="0.35">
      <c r="A32" s="7" t="s">
        <v>96</v>
      </c>
      <c r="B32" s="12" t="s">
        <v>97</v>
      </c>
      <c r="C32">
        <v>128214108.53577518</v>
      </c>
      <c r="D32">
        <v>136337990.07209921</v>
      </c>
      <c r="E32">
        <v>560360.36036036105</v>
      </c>
      <c r="F32">
        <v>614414.41441441502</v>
      </c>
      <c r="G32">
        <v>25</v>
      </c>
      <c r="H32">
        <v>40</v>
      </c>
      <c r="I32">
        <v>1</v>
      </c>
      <c r="K32">
        <v>29</v>
      </c>
      <c r="L32">
        <v>46</v>
      </c>
      <c r="M32">
        <v>24593693.693693697</v>
      </c>
      <c r="N32">
        <v>14987387.387387387</v>
      </c>
      <c r="O32">
        <v>63146972.972972974</v>
      </c>
      <c r="P32">
        <v>67395927.927927926</v>
      </c>
      <c r="Q32">
        <v>19939729.729729727</v>
      </c>
      <c r="R32">
        <v>16492072.072072072</v>
      </c>
      <c r="S32">
        <v>5873</v>
      </c>
      <c r="T32">
        <v>6247</v>
      </c>
    </row>
    <row r="33" spans="1:20" x14ac:dyDescent="0.35">
      <c r="A33" s="7" t="s">
        <v>98</v>
      </c>
      <c r="B33" s="12" t="s">
        <v>99</v>
      </c>
      <c r="C33">
        <v>460805082.57202876</v>
      </c>
      <c r="D33">
        <v>465790678.40472549</v>
      </c>
      <c r="E33">
        <v>3562162.1621621628</v>
      </c>
      <c r="F33">
        <v>141587387.38738739</v>
      </c>
      <c r="G33">
        <v>177</v>
      </c>
      <c r="H33">
        <v>65</v>
      </c>
      <c r="K33">
        <v>212</v>
      </c>
      <c r="L33">
        <v>92</v>
      </c>
      <c r="M33">
        <v>112297747.74774775</v>
      </c>
      <c r="N33">
        <v>162545495.4954955</v>
      </c>
      <c r="O33">
        <v>118963451.35135137</v>
      </c>
      <c r="P33">
        <v>130409558.55855855</v>
      </c>
      <c r="Q33">
        <v>54357387.387387387</v>
      </c>
      <c r="R33">
        <v>111493063.06306306</v>
      </c>
      <c r="S33">
        <v>22085</v>
      </c>
      <c r="T33">
        <v>22563</v>
      </c>
    </row>
    <row r="34" spans="1:20" x14ac:dyDescent="0.35">
      <c r="A34" s="7" t="s">
        <v>100</v>
      </c>
      <c r="B34" s="12" t="s">
        <v>99</v>
      </c>
      <c r="C34">
        <v>747693708.89611459</v>
      </c>
      <c r="D34">
        <v>771305687.23026526</v>
      </c>
      <c r="E34">
        <v>3297949.5495495559</v>
      </c>
      <c r="F34">
        <v>2447293.693693697</v>
      </c>
      <c r="G34">
        <v>201</v>
      </c>
      <c r="H34">
        <v>200</v>
      </c>
      <c r="I34">
        <v>9</v>
      </c>
      <c r="K34">
        <v>345</v>
      </c>
      <c r="L34">
        <v>394</v>
      </c>
      <c r="M34">
        <v>42232432.432432435</v>
      </c>
      <c r="N34">
        <v>182896846.84684685</v>
      </c>
      <c r="O34">
        <v>145109644.14414415</v>
      </c>
      <c r="P34">
        <v>161055639.63963965</v>
      </c>
      <c r="Q34">
        <v>41142792.79279279</v>
      </c>
      <c r="R34">
        <v>44917477.477477483</v>
      </c>
      <c r="S34">
        <v>29446</v>
      </c>
      <c r="T34">
        <v>27905</v>
      </c>
    </row>
    <row r="35" spans="1:20" x14ac:dyDescent="0.35">
      <c r="A35" s="7" t="s">
        <v>101</v>
      </c>
      <c r="B35" s="12" t="s">
        <v>99</v>
      </c>
      <c r="C35">
        <v>791465797.93516076</v>
      </c>
      <c r="D35">
        <v>1075298460.4621012</v>
      </c>
      <c r="E35">
        <v>7523423.4234234327</v>
      </c>
      <c r="F35">
        <v>5036486.4864864871</v>
      </c>
      <c r="G35">
        <v>174</v>
      </c>
      <c r="H35">
        <v>81</v>
      </c>
      <c r="I35">
        <v>15</v>
      </c>
      <c r="K35">
        <v>401</v>
      </c>
      <c r="L35">
        <v>132</v>
      </c>
      <c r="M35">
        <v>250204279.27927926</v>
      </c>
      <c r="N35">
        <v>131930855.85585585</v>
      </c>
      <c r="O35">
        <v>379148722.97297299</v>
      </c>
      <c r="P35">
        <v>511190772.97297299</v>
      </c>
      <c r="Q35">
        <v>64944909.909909911</v>
      </c>
      <c r="R35">
        <v>78779324.324324325</v>
      </c>
      <c r="S35">
        <v>32811</v>
      </c>
      <c r="T35">
        <v>33632</v>
      </c>
    </row>
    <row r="36" spans="1:20" x14ac:dyDescent="0.35">
      <c r="A36" s="7" t="s">
        <v>102</v>
      </c>
      <c r="B36" s="12" t="s">
        <v>99</v>
      </c>
      <c r="C36">
        <v>430896802.37455153</v>
      </c>
      <c r="D36">
        <v>441653410.71756512</v>
      </c>
      <c r="E36">
        <v>2159459.4594594631</v>
      </c>
      <c r="F36">
        <v>1870270.270270271</v>
      </c>
      <c r="G36">
        <v>115</v>
      </c>
      <c r="H36">
        <v>67</v>
      </c>
      <c r="I36">
        <v>5</v>
      </c>
      <c r="K36">
        <v>148</v>
      </c>
      <c r="L36">
        <v>111</v>
      </c>
      <c r="M36">
        <v>29205405.405405402</v>
      </c>
      <c r="N36">
        <v>31370887.387387391</v>
      </c>
      <c r="O36">
        <v>95714144.144144148</v>
      </c>
      <c r="P36">
        <v>99668855.855855852</v>
      </c>
      <c r="Q36">
        <v>30921171.17117117</v>
      </c>
      <c r="R36">
        <v>36016036.036036037</v>
      </c>
      <c r="S36">
        <v>21331</v>
      </c>
      <c r="T36">
        <v>21611</v>
      </c>
    </row>
    <row r="37" spans="1:20" x14ac:dyDescent="0.35">
      <c r="A37" s="7" t="s">
        <v>103</v>
      </c>
      <c r="B37" s="12" t="s">
        <v>99</v>
      </c>
      <c r="C37">
        <v>487621859.3619734</v>
      </c>
      <c r="D37">
        <v>513260523.4204936</v>
      </c>
      <c r="E37">
        <v>4481081.0810810849</v>
      </c>
      <c r="F37">
        <v>4194594.5945945978</v>
      </c>
      <c r="G37">
        <v>108</v>
      </c>
      <c r="H37">
        <v>35</v>
      </c>
      <c r="K37">
        <v>146</v>
      </c>
      <c r="L37">
        <v>55</v>
      </c>
      <c r="M37">
        <v>49285585.585585587</v>
      </c>
      <c r="N37">
        <v>87598198.198198214</v>
      </c>
      <c r="O37">
        <v>141927786.03603604</v>
      </c>
      <c r="P37">
        <v>148321387.38738739</v>
      </c>
      <c r="Q37">
        <v>70712162.162162155</v>
      </c>
      <c r="R37">
        <v>94849009.009009004</v>
      </c>
      <c r="S37">
        <v>25185</v>
      </c>
      <c r="T37">
        <v>26427</v>
      </c>
    </row>
    <row r="38" spans="1:20" x14ac:dyDescent="0.35">
      <c r="A38" s="7" t="s">
        <v>104</v>
      </c>
      <c r="B38" s="12" t="s">
        <v>99</v>
      </c>
      <c r="C38">
        <v>1250316681.3630385</v>
      </c>
      <c r="D38">
        <v>1272415444.6511216</v>
      </c>
      <c r="E38">
        <v>193241331.53153154</v>
      </c>
      <c r="F38">
        <v>584858229.72972977</v>
      </c>
      <c r="G38">
        <v>307</v>
      </c>
      <c r="H38">
        <v>153</v>
      </c>
      <c r="I38">
        <v>15</v>
      </c>
      <c r="K38">
        <v>446</v>
      </c>
      <c r="L38">
        <v>195</v>
      </c>
      <c r="M38">
        <v>116058558.55855855</v>
      </c>
      <c r="N38">
        <v>262785585.58558556</v>
      </c>
      <c r="O38">
        <v>266971072.07207206</v>
      </c>
      <c r="P38">
        <v>274869675.67567569</v>
      </c>
      <c r="Q38">
        <v>116812432.43243243</v>
      </c>
      <c r="R38">
        <v>127815945.94594593</v>
      </c>
      <c r="S38">
        <v>54785</v>
      </c>
      <c r="T38">
        <v>55179</v>
      </c>
    </row>
    <row r="39" spans="1:20" x14ac:dyDescent="0.35">
      <c r="A39" s="7" t="s">
        <v>105</v>
      </c>
      <c r="B39" s="12" t="s">
        <v>106</v>
      </c>
      <c r="C39">
        <v>87864065.284687638</v>
      </c>
      <c r="D39">
        <v>80072809.442325234</v>
      </c>
      <c r="E39">
        <v>458558.558558558</v>
      </c>
      <c r="F39">
        <v>41421621.621621624</v>
      </c>
      <c r="G39">
        <v>16</v>
      </c>
      <c r="H39">
        <v>10</v>
      </c>
      <c r="K39">
        <v>17</v>
      </c>
      <c r="L39">
        <v>10</v>
      </c>
      <c r="M39">
        <v>1961711.7117117119</v>
      </c>
      <c r="N39">
        <v>187387.38738738699</v>
      </c>
      <c r="O39">
        <v>18152639.639639638</v>
      </c>
      <c r="P39">
        <v>20751936.936936937</v>
      </c>
      <c r="Q39">
        <v>570720.72072072199</v>
      </c>
      <c r="R39">
        <v>181081.08108108101</v>
      </c>
      <c r="S39">
        <v>2504</v>
      </c>
      <c r="T39">
        <v>2488</v>
      </c>
    </row>
    <row r="40" spans="1:20" x14ac:dyDescent="0.35">
      <c r="A40" s="7" t="s">
        <v>107</v>
      </c>
      <c r="B40" s="12" t="s">
        <v>55</v>
      </c>
      <c r="C40">
        <v>28340991.08822456</v>
      </c>
      <c r="D40">
        <v>30072161.932204559</v>
      </c>
      <c r="E40">
        <v>21621.621621621998</v>
      </c>
      <c r="F40">
        <v>568468.46846846701</v>
      </c>
      <c r="G40">
        <v>14</v>
      </c>
      <c r="H40">
        <v>3</v>
      </c>
      <c r="I40">
        <v>4</v>
      </c>
      <c r="K40">
        <v>27</v>
      </c>
      <c r="L40">
        <v>8</v>
      </c>
      <c r="M40">
        <v>594234.23423423502</v>
      </c>
      <c r="N40">
        <v>2027567.567567568</v>
      </c>
      <c r="O40">
        <v>7810621.6216216208</v>
      </c>
      <c r="P40">
        <v>8144054.0540540544</v>
      </c>
      <c r="Q40">
        <v>1073603.6036036049</v>
      </c>
      <c r="R40">
        <v>1756666.666666667</v>
      </c>
      <c r="S40">
        <v>1369</v>
      </c>
      <c r="T40">
        <v>1352</v>
      </c>
    </row>
    <row r="41" spans="1:20" x14ac:dyDescent="0.35">
      <c r="A41" s="7" t="s">
        <v>108</v>
      </c>
      <c r="B41" s="12" t="s">
        <v>109</v>
      </c>
      <c r="C41">
        <v>238595289.15733817</v>
      </c>
      <c r="D41">
        <v>259104486.74339601</v>
      </c>
      <c r="E41">
        <v>2794594.594594596</v>
      </c>
      <c r="F41">
        <v>1281981.9819819829</v>
      </c>
      <c r="G41">
        <v>66</v>
      </c>
      <c r="H41">
        <v>28</v>
      </c>
      <c r="I41">
        <v>1</v>
      </c>
      <c r="K41">
        <v>82</v>
      </c>
      <c r="L41">
        <v>35</v>
      </c>
      <c r="M41">
        <v>30661081.081081081</v>
      </c>
      <c r="N41">
        <v>26521621.62162162</v>
      </c>
      <c r="O41">
        <v>54321477.477477483</v>
      </c>
      <c r="P41">
        <v>55074153.153153151</v>
      </c>
      <c r="Q41">
        <v>26858468.468468469</v>
      </c>
      <c r="R41">
        <v>25658648.648648649</v>
      </c>
      <c r="S41">
        <v>9919</v>
      </c>
      <c r="T41">
        <v>9390</v>
      </c>
    </row>
    <row r="42" spans="1:20" x14ac:dyDescent="0.35">
      <c r="A42" s="7" t="s">
        <v>110</v>
      </c>
      <c r="B42" s="12" t="s">
        <v>109</v>
      </c>
      <c r="C42">
        <v>339613896.4667573</v>
      </c>
      <c r="D42">
        <v>356078629.86572605</v>
      </c>
      <c r="E42">
        <v>18179279.279279284</v>
      </c>
      <c r="F42">
        <v>65467567.567567579</v>
      </c>
      <c r="G42">
        <v>113</v>
      </c>
      <c r="H42">
        <v>48</v>
      </c>
      <c r="K42">
        <v>185</v>
      </c>
      <c r="L42">
        <v>78</v>
      </c>
      <c r="M42">
        <v>26883423.423423424</v>
      </c>
      <c r="N42">
        <v>123154954.95495497</v>
      </c>
      <c r="O42">
        <v>100413378.37837839</v>
      </c>
      <c r="P42">
        <v>97090981.981981978</v>
      </c>
      <c r="Q42">
        <v>62160540.540540539</v>
      </c>
      <c r="R42">
        <v>109680540.54054055</v>
      </c>
      <c r="S42">
        <v>13499</v>
      </c>
      <c r="T42">
        <v>14116</v>
      </c>
    </row>
    <row r="43" spans="1:20" x14ac:dyDescent="0.35">
      <c r="A43" s="7" t="s">
        <v>111</v>
      </c>
      <c r="B43" s="12" t="s">
        <v>112</v>
      </c>
      <c r="C43">
        <v>386923520.57958513</v>
      </c>
      <c r="D43">
        <v>415097710.4733398</v>
      </c>
      <c r="E43">
        <v>4729729.7297297316</v>
      </c>
      <c r="F43">
        <v>2881081.081081083</v>
      </c>
      <c r="G43">
        <v>101</v>
      </c>
      <c r="H43">
        <v>73</v>
      </c>
      <c r="K43">
        <v>235</v>
      </c>
      <c r="L43">
        <v>153</v>
      </c>
      <c r="M43">
        <v>38368132.432432435</v>
      </c>
      <c r="N43">
        <v>30498108.108108107</v>
      </c>
      <c r="O43">
        <v>135555162.16216215</v>
      </c>
      <c r="P43">
        <v>146143009.00900903</v>
      </c>
      <c r="Q43">
        <v>37174504.504504502</v>
      </c>
      <c r="R43">
        <v>29840090.090090089</v>
      </c>
      <c r="S43">
        <v>19473</v>
      </c>
      <c r="T43">
        <v>20358</v>
      </c>
    </row>
    <row r="44" spans="1:20" x14ac:dyDescent="0.35">
      <c r="A44" s="7" t="s">
        <v>113</v>
      </c>
      <c r="B44" s="12" t="s">
        <v>112</v>
      </c>
      <c r="C44">
        <v>507929592.33005655</v>
      </c>
      <c r="D44">
        <v>529058508.11614394</v>
      </c>
      <c r="E44">
        <v>7628828.8288288359</v>
      </c>
      <c r="F44">
        <v>7136121.6216216283</v>
      </c>
      <c r="G44">
        <v>195</v>
      </c>
      <c r="H44">
        <v>37</v>
      </c>
      <c r="I44">
        <v>1</v>
      </c>
      <c r="K44">
        <v>286</v>
      </c>
      <c r="L44">
        <v>47</v>
      </c>
      <c r="M44">
        <v>44032535.135135144</v>
      </c>
      <c r="N44">
        <v>35002247.747747742</v>
      </c>
      <c r="O44">
        <v>185905459.45945945</v>
      </c>
      <c r="P44">
        <v>185078801.8018018</v>
      </c>
      <c r="Q44">
        <v>44958918.918918923</v>
      </c>
      <c r="R44">
        <v>80527927.927927941</v>
      </c>
      <c r="S44">
        <v>27733</v>
      </c>
      <c r="T44">
        <v>27228</v>
      </c>
    </row>
    <row r="45" spans="1:20" x14ac:dyDescent="0.35">
      <c r="A45" s="7" t="s">
        <v>114</v>
      </c>
      <c r="B45" s="12" t="s">
        <v>112</v>
      </c>
      <c r="C45">
        <v>772720410.43866158</v>
      </c>
      <c r="D45">
        <v>361248029.31933951</v>
      </c>
      <c r="E45">
        <v>3423198.1981982049</v>
      </c>
      <c r="F45">
        <v>5091451.3513513589</v>
      </c>
      <c r="G45">
        <v>118</v>
      </c>
      <c r="H45">
        <v>50</v>
      </c>
      <c r="K45">
        <v>261</v>
      </c>
      <c r="L45">
        <v>81</v>
      </c>
      <c r="M45">
        <v>24402357.657657657</v>
      </c>
      <c r="N45">
        <v>427364964.86486489</v>
      </c>
      <c r="O45">
        <v>539443908.10810804</v>
      </c>
      <c r="P45">
        <v>112712531.53153154</v>
      </c>
      <c r="Q45">
        <v>24373063.063063066</v>
      </c>
      <c r="R45">
        <v>21445135.135135133</v>
      </c>
      <c r="S45">
        <v>15252</v>
      </c>
      <c r="T45">
        <v>15175</v>
      </c>
    </row>
    <row r="46" spans="1:20" x14ac:dyDescent="0.35">
      <c r="A46" s="7" t="s">
        <v>115</v>
      </c>
      <c r="B46" s="12" t="s">
        <v>112</v>
      </c>
      <c r="C46">
        <v>408493921.69644594</v>
      </c>
      <c r="D46">
        <v>826895123.09791958</v>
      </c>
      <c r="E46">
        <v>5006981.981981989</v>
      </c>
      <c r="F46">
        <v>3263513.513513519</v>
      </c>
      <c r="G46">
        <v>153</v>
      </c>
      <c r="H46">
        <v>74</v>
      </c>
      <c r="K46">
        <v>332</v>
      </c>
      <c r="L46">
        <v>161</v>
      </c>
      <c r="M46">
        <v>37737297.297297299</v>
      </c>
      <c r="N46">
        <v>39217657.657657653</v>
      </c>
      <c r="O46">
        <v>116160171.17117117</v>
      </c>
      <c r="P46">
        <v>525292909.9099099</v>
      </c>
      <c r="Q46">
        <v>33543063.063063063</v>
      </c>
      <c r="R46">
        <v>35937207.20720721</v>
      </c>
      <c r="S46">
        <v>19587</v>
      </c>
      <c r="T46">
        <v>19293</v>
      </c>
    </row>
    <row r="47" spans="1:20" x14ac:dyDescent="0.35">
      <c r="A47" s="7" t="s">
        <v>116</v>
      </c>
      <c r="B47" s="12" t="s">
        <v>112</v>
      </c>
      <c r="C47">
        <v>506244936.13062251</v>
      </c>
      <c r="D47">
        <v>505345432.68321377</v>
      </c>
      <c r="E47">
        <v>107875332.43243243</v>
      </c>
      <c r="F47">
        <v>792220662.16216218</v>
      </c>
      <c r="G47">
        <v>238</v>
      </c>
      <c r="H47">
        <v>142</v>
      </c>
      <c r="K47">
        <v>423</v>
      </c>
      <c r="L47">
        <v>215</v>
      </c>
      <c r="M47">
        <v>177964474.77477479</v>
      </c>
      <c r="N47">
        <v>138142094.5945946</v>
      </c>
      <c r="O47">
        <v>163055187.38738739</v>
      </c>
      <c r="P47">
        <v>137280990.990991</v>
      </c>
      <c r="Q47">
        <v>89435178.378378391</v>
      </c>
      <c r="R47">
        <v>73216576.576576576</v>
      </c>
      <c r="S47">
        <v>23249</v>
      </c>
      <c r="T47">
        <v>23168</v>
      </c>
    </row>
    <row r="48" spans="1:20" x14ac:dyDescent="0.35">
      <c r="A48" s="7" t="s">
        <v>117</v>
      </c>
      <c r="B48" s="12" t="s">
        <v>55</v>
      </c>
      <c r="C48">
        <v>26552551.193244789</v>
      </c>
      <c r="D48">
        <v>27982471.496699914</v>
      </c>
      <c r="E48">
        <v>819594.59459459502</v>
      </c>
      <c r="F48">
        <v>31531.531531532</v>
      </c>
      <c r="G48">
        <v>8</v>
      </c>
      <c r="H48">
        <v>3</v>
      </c>
      <c r="K48">
        <v>8</v>
      </c>
      <c r="L48">
        <v>3</v>
      </c>
      <c r="M48">
        <v>3027027.0270270258</v>
      </c>
      <c r="N48">
        <v>2238738.7387387389</v>
      </c>
      <c r="O48">
        <v>6293135.1351351356</v>
      </c>
      <c r="P48">
        <v>7626756.7567567583</v>
      </c>
      <c r="Q48">
        <v>2164504.5045045041</v>
      </c>
      <c r="R48">
        <v>2143153.1531531531</v>
      </c>
      <c r="S48">
        <v>1118</v>
      </c>
      <c r="T48">
        <v>976</v>
      </c>
    </row>
    <row r="49" spans="1:20" x14ac:dyDescent="0.35">
      <c r="A49" s="7" t="s">
        <v>118</v>
      </c>
      <c r="B49" s="12" t="s">
        <v>119</v>
      </c>
      <c r="E49">
        <v>4617117.1171171172</v>
      </c>
      <c r="F49">
        <v>60000000</v>
      </c>
      <c r="M49">
        <v>1409009.009009009</v>
      </c>
      <c r="N49">
        <v>206756.75675675701</v>
      </c>
    </row>
    <row r="50" spans="1:20" x14ac:dyDescent="0.35">
      <c r="A50" s="7" t="s">
        <v>120</v>
      </c>
      <c r="B50" s="12" t="s">
        <v>79</v>
      </c>
      <c r="C50">
        <v>230593608.75101733</v>
      </c>
      <c r="D50">
        <v>257069042.52352688</v>
      </c>
      <c r="E50">
        <v>265406112.61261261</v>
      </c>
      <c r="F50">
        <v>358715134.23423421</v>
      </c>
      <c r="G50">
        <v>68</v>
      </c>
      <c r="H50">
        <v>82</v>
      </c>
      <c r="I50">
        <v>2</v>
      </c>
      <c r="K50">
        <v>104</v>
      </c>
      <c r="L50">
        <v>121</v>
      </c>
      <c r="M50">
        <v>59508108.108108103</v>
      </c>
      <c r="N50">
        <v>50644144.144144148</v>
      </c>
      <c r="O50">
        <v>91708443.693693697</v>
      </c>
      <c r="P50">
        <v>101134054.05405405</v>
      </c>
      <c r="Q50">
        <v>55382792.79279279</v>
      </c>
      <c r="R50">
        <v>49578738.738738738</v>
      </c>
      <c r="S50">
        <v>10826</v>
      </c>
      <c r="T50">
        <v>12121</v>
      </c>
    </row>
    <row r="51" spans="1:20" x14ac:dyDescent="0.35">
      <c r="A51" s="7" t="s">
        <v>121</v>
      </c>
      <c r="B51" s="12" t="s">
        <v>51</v>
      </c>
      <c r="C51">
        <v>72552035.357254937</v>
      </c>
      <c r="D51">
        <v>75533863.438473567</v>
      </c>
      <c r="E51">
        <v>1578378.3783783801</v>
      </c>
      <c r="F51">
        <v>102702.702702703</v>
      </c>
      <c r="G51">
        <v>28</v>
      </c>
      <c r="H51">
        <v>12</v>
      </c>
      <c r="K51">
        <v>30</v>
      </c>
      <c r="L51">
        <v>12</v>
      </c>
      <c r="M51">
        <v>16678828.828828828</v>
      </c>
      <c r="N51">
        <v>9077657.6576576568</v>
      </c>
      <c r="O51">
        <v>26270594.594594598</v>
      </c>
      <c r="P51">
        <v>28223621.62162162</v>
      </c>
      <c r="Q51">
        <v>13629639.63963964</v>
      </c>
      <c r="R51">
        <v>10219459.459459458</v>
      </c>
      <c r="S51">
        <v>2442</v>
      </c>
      <c r="T51">
        <v>2471</v>
      </c>
    </row>
    <row r="52" spans="1:20" x14ac:dyDescent="0.35">
      <c r="A52" s="7" t="s">
        <v>122</v>
      </c>
      <c r="B52" s="12" t="s">
        <v>123</v>
      </c>
      <c r="C52">
        <v>245560044.18092653</v>
      </c>
      <c r="D52">
        <v>234030003.3546164</v>
      </c>
      <c r="E52">
        <v>1922747.747747753</v>
      </c>
      <c r="F52">
        <v>1042342.342342345</v>
      </c>
      <c r="G52">
        <v>88</v>
      </c>
      <c r="H52">
        <v>56</v>
      </c>
      <c r="K52">
        <v>105</v>
      </c>
      <c r="L52">
        <v>66</v>
      </c>
      <c r="M52">
        <v>9020720.7207207233</v>
      </c>
      <c r="N52">
        <v>7438738.7387387399</v>
      </c>
      <c r="O52">
        <v>18157396.396396391</v>
      </c>
      <c r="P52">
        <v>20251540.540540539</v>
      </c>
      <c r="Q52">
        <v>6243063.0630630637</v>
      </c>
      <c r="R52">
        <v>7328198.1981981983</v>
      </c>
      <c r="S52">
        <v>8026</v>
      </c>
      <c r="T52">
        <v>7769</v>
      </c>
    </row>
    <row r="53" spans="1:20" x14ac:dyDescent="0.35">
      <c r="A53" s="7" t="s">
        <v>124</v>
      </c>
      <c r="B53" s="12" t="s">
        <v>125</v>
      </c>
      <c r="C53">
        <v>124356019.48983981</v>
      </c>
      <c r="D53">
        <v>136450821.89793846</v>
      </c>
      <c r="E53">
        <v>559234.23423423397</v>
      </c>
      <c r="F53">
        <v>971171.17117117206</v>
      </c>
      <c r="G53">
        <v>17</v>
      </c>
      <c r="H53">
        <v>7</v>
      </c>
      <c r="K53">
        <v>18</v>
      </c>
      <c r="L53">
        <v>7</v>
      </c>
      <c r="M53">
        <v>22054414.414414417</v>
      </c>
      <c r="N53">
        <v>42028378.378378384</v>
      </c>
      <c r="O53">
        <v>55117175.675675683</v>
      </c>
      <c r="P53">
        <v>61830800</v>
      </c>
      <c r="Q53">
        <v>21877747.747747749</v>
      </c>
      <c r="R53">
        <v>27489322.522522524</v>
      </c>
      <c r="S53">
        <v>4277</v>
      </c>
      <c r="T53">
        <v>4464</v>
      </c>
    </row>
    <row r="54" spans="1:20" x14ac:dyDescent="0.35">
      <c r="A54" s="7" t="s">
        <v>126</v>
      </c>
      <c r="B54" s="12" t="s">
        <v>127</v>
      </c>
      <c r="C54">
        <v>165536455.18352696</v>
      </c>
      <c r="D54">
        <v>189709210.69559452</v>
      </c>
      <c r="E54">
        <v>75256023.423423424</v>
      </c>
      <c r="F54">
        <v>50996464.864864863</v>
      </c>
      <c r="G54">
        <v>34</v>
      </c>
      <c r="H54">
        <v>24</v>
      </c>
      <c r="K54">
        <v>36</v>
      </c>
      <c r="L54">
        <v>29</v>
      </c>
      <c r="M54">
        <v>43133333.333333336</v>
      </c>
      <c r="N54">
        <v>32892252.252252251</v>
      </c>
      <c r="O54">
        <v>51067646.846846849</v>
      </c>
      <c r="P54">
        <v>58024663.063063063</v>
      </c>
      <c r="Q54">
        <v>34938018.018018015</v>
      </c>
      <c r="R54">
        <v>26504234.234234232</v>
      </c>
      <c r="S54">
        <v>6387</v>
      </c>
      <c r="T54">
        <v>6461</v>
      </c>
    </row>
    <row r="55" spans="1:20" x14ac:dyDescent="0.35">
      <c r="A55" s="7" t="s">
        <v>128</v>
      </c>
      <c r="B55" s="12" t="s">
        <v>79</v>
      </c>
      <c r="C55">
        <v>107838919.98646498</v>
      </c>
      <c r="D55">
        <v>110725187.15533856</v>
      </c>
      <c r="E55">
        <v>2279279.2792792791</v>
      </c>
      <c r="F55">
        <v>2471171.1711711749</v>
      </c>
      <c r="G55">
        <v>30</v>
      </c>
      <c r="H55">
        <v>9</v>
      </c>
      <c r="K55">
        <v>36</v>
      </c>
      <c r="L55">
        <v>13</v>
      </c>
      <c r="M55">
        <v>18729729.729729727</v>
      </c>
      <c r="N55">
        <v>19445945.945945945</v>
      </c>
      <c r="O55">
        <v>43233882.882882878</v>
      </c>
      <c r="P55">
        <v>44111504.504504502</v>
      </c>
      <c r="Q55">
        <v>17567117.117117114</v>
      </c>
      <c r="R55">
        <v>22203423.423423424</v>
      </c>
      <c r="S55">
        <v>4954</v>
      </c>
      <c r="T55">
        <v>4999</v>
      </c>
    </row>
    <row r="56" spans="1:20" x14ac:dyDescent="0.35">
      <c r="A56" s="7" t="s">
        <v>129</v>
      </c>
      <c r="B56" s="12" t="s">
        <v>79</v>
      </c>
      <c r="C56">
        <v>18139987.68315718</v>
      </c>
      <c r="D56">
        <v>18548922.22424148</v>
      </c>
      <c r="E56">
        <v>408108.10810811003</v>
      </c>
      <c r="F56">
        <v>95495.495495495998</v>
      </c>
      <c r="G56">
        <v>7</v>
      </c>
      <c r="H56">
        <v>1</v>
      </c>
      <c r="K56">
        <v>8</v>
      </c>
      <c r="L56">
        <v>1</v>
      </c>
      <c r="M56">
        <v>6480180.1801801799</v>
      </c>
      <c r="N56">
        <v>8699099.0990990978</v>
      </c>
      <c r="O56">
        <v>10309963.963963963</v>
      </c>
      <c r="P56">
        <v>9593414.4144144133</v>
      </c>
      <c r="Q56">
        <v>8174144.1441441448</v>
      </c>
      <c r="R56">
        <v>5370810.810810809</v>
      </c>
      <c r="S56">
        <v>1185</v>
      </c>
      <c r="T56">
        <v>1308</v>
      </c>
    </row>
    <row r="57" spans="1:20" x14ac:dyDescent="0.35">
      <c r="A57" s="7" t="s">
        <v>130</v>
      </c>
      <c r="B57" s="12" t="s">
        <v>79</v>
      </c>
      <c r="C57">
        <v>104726642.59927179</v>
      </c>
      <c r="D57">
        <v>113442932.64818959</v>
      </c>
      <c r="E57">
        <v>922522.52252252598</v>
      </c>
      <c r="F57">
        <v>1325225.2252252309</v>
      </c>
      <c r="G57">
        <v>49</v>
      </c>
      <c r="H57">
        <v>20</v>
      </c>
      <c r="K57">
        <v>74</v>
      </c>
      <c r="L57">
        <v>26</v>
      </c>
      <c r="M57">
        <v>13264864.864864865</v>
      </c>
      <c r="N57">
        <v>17595495.495495494</v>
      </c>
      <c r="O57">
        <v>41566810.810810804</v>
      </c>
      <c r="P57">
        <v>46517414.414414413</v>
      </c>
      <c r="Q57">
        <v>11609459.459459459</v>
      </c>
      <c r="R57">
        <v>19147567.567567568</v>
      </c>
      <c r="S57">
        <v>5739</v>
      </c>
      <c r="T57">
        <v>5966</v>
      </c>
    </row>
    <row r="58" spans="1:20" x14ac:dyDescent="0.35">
      <c r="A58" s="7" t="s">
        <v>131</v>
      </c>
      <c r="B58" s="12" t="s">
        <v>86</v>
      </c>
      <c r="C58">
        <v>29835369.036168724</v>
      </c>
      <c r="D58">
        <v>28739758.264643408</v>
      </c>
      <c r="E58">
        <v>82882.882882883001</v>
      </c>
      <c r="F58">
        <v>211711.711711713</v>
      </c>
      <c r="G58">
        <v>6</v>
      </c>
      <c r="H58">
        <v>3</v>
      </c>
      <c r="K58">
        <v>7</v>
      </c>
      <c r="L58">
        <v>9</v>
      </c>
      <c r="M58">
        <v>23204144.144144144</v>
      </c>
      <c r="N58">
        <v>1067567.567567569</v>
      </c>
      <c r="O58">
        <v>14065972.972972972</v>
      </c>
      <c r="P58">
        <v>14891486.486486485</v>
      </c>
      <c r="Q58">
        <v>17110450.45045045</v>
      </c>
      <c r="R58">
        <v>2325315.315315316</v>
      </c>
      <c r="S58">
        <v>1228</v>
      </c>
      <c r="T58">
        <v>1143</v>
      </c>
    </row>
    <row r="59" spans="1:20" x14ac:dyDescent="0.35">
      <c r="A59" s="7" t="s">
        <v>132</v>
      </c>
      <c r="B59" s="12" t="s">
        <v>90</v>
      </c>
      <c r="C59">
        <v>286665043.40612948</v>
      </c>
      <c r="D59">
        <v>306775800.98166043</v>
      </c>
      <c r="E59">
        <v>1203153.1531531571</v>
      </c>
      <c r="F59">
        <v>2655855.855855857</v>
      </c>
      <c r="G59">
        <v>44</v>
      </c>
      <c r="H59">
        <v>28</v>
      </c>
      <c r="K59">
        <v>51</v>
      </c>
      <c r="L59">
        <v>36</v>
      </c>
      <c r="M59">
        <v>18199729.729729731</v>
      </c>
      <c r="N59">
        <v>19664864.864864863</v>
      </c>
      <c r="O59">
        <v>90975450.45045045</v>
      </c>
      <c r="P59">
        <v>97147909.909909904</v>
      </c>
      <c r="Q59">
        <v>19341351.351351351</v>
      </c>
      <c r="R59">
        <v>19661891.891891897</v>
      </c>
      <c r="S59">
        <v>10702</v>
      </c>
      <c r="T59">
        <v>10680</v>
      </c>
    </row>
    <row r="60" spans="1:20" x14ac:dyDescent="0.35">
      <c r="A60" s="7" t="s">
        <v>133</v>
      </c>
      <c r="B60" s="12" t="s">
        <v>134</v>
      </c>
      <c r="C60">
        <v>145872327.7805613</v>
      </c>
      <c r="D60">
        <v>164587339.12369043</v>
      </c>
      <c r="E60">
        <v>18888288.288288288</v>
      </c>
      <c r="F60">
        <v>7729729.7297297306</v>
      </c>
      <c r="G60">
        <v>81</v>
      </c>
      <c r="H60">
        <v>51</v>
      </c>
      <c r="K60">
        <v>88</v>
      </c>
      <c r="L60">
        <v>57</v>
      </c>
      <c r="M60">
        <v>16977927.927927926</v>
      </c>
      <c r="N60">
        <v>31345945.945945945</v>
      </c>
      <c r="O60">
        <v>46907979.729729727</v>
      </c>
      <c r="P60">
        <v>55410972.972972974</v>
      </c>
      <c r="Q60">
        <v>12893423.423423423</v>
      </c>
      <c r="R60">
        <v>28814864.864864863</v>
      </c>
      <c r="S60">
        <v>7080</v>
      </c>
      <c r="T60">
        <v>7162</v>
      </c>
    </row>
    <row r="61" spans="1:20" x14ac:dyDescent="0.35">
      <c r="A61" s="7" t="s">
        <v>135</v>
      </c>
      <c r="B61" s="12" t="s">
        <v>136</v>
      </c>
      <c r="C61">
        <v>10806531.869529668</v>
      </c>
      <c r="D61">
        <v>23693997.386899468</v>
      </c>
      <c r="L61">
        <v>1</v>
      </c>
      <c r="O61">
        <v>2364592.7927927929</v>
      </c>
      <c r="P61">
        <v>4206099.0990990987</v>
      </c>
      <c r="S61">
        <v>2099</v>
      </c>
      <c r="T61">
        <v>3163</v>
      </c>
    </row>
    <row r="62" spans="1:20" x14ac:dyDescent="0.35">
      <c r="A62" s="7" t="s">
        <v>137</v>
      </c>
      <c r="B62" s="12" t="s">
        <v>138</v>
      </c>
      <c r="C62">
        <v>131984297.2168117</v>
      </c>
      <c r="D62">
        <v>140610998.69905183</v>
      </c>
      <c r="E62">
        <v>578378.37837837997</v>
      </c>
      <c r="F62">
        <v>1054054.0540540549</v>
      </c>
      <c r="G62">
        <v>46</v>
      </c>
      <c r="H62">
        <v>32</v>
      </c>
      <c r="I62">
        <v>2</v>
      </c>
      <c r="K62">
        <v>50</v>
      </c>
      <c r="L62">
        <v>35</v>
      </c>
      <c r="M62">
        <v>10803603.603603603</v>
      </c>
      <c r="N62">
        <v>12810810.810810812</v>
      </c>
      <c r="O62">
        <v>21143414.414414417</v>
      </c>
      <c r="P62">
        <v>25523261.261261258</v>
      </c>
      <c r="Q62">
        <v>8771891.8918918911</v>
      </c>
      <c r="R62">
        <v>11188648.648648648</v>
      </c>
      <c r="S62">
        <v>3519</v>
      </c>
      <c r="T62">
        <v>3609</v>
      </c>
    </row>
    <row r="63" spans="1:20" x14ac:dyDescent="0.35">
      <c r="A63" s="7" t="s">
        <v>139</v>
      </c>
      <c r="B63" s="12" t="s">
        <v>90</v>
      </c>
      <c r="C63">
        <v>137289452.36493206</v>
      </c>
      <c r="D63">
        <v>151995339.85375911</v>
      </c>
      <c r="E63">
        <v>756531.53153153404</v>
      </c>
      <c r="F63">
        <v>1575675.6756756769</v>
      </c>
      <c r="G63">
        <v>27</v>
      </c>
      <c r="H63">
        <v>8</v>
      </c>
      <c r="I63">
        <v>2</v>
      </c>
      <c r="K63">
        <v>29</v>
      </c>
      <c r="L63">
        <v>9</v>
      </c>
      <c r="M63">
        <v>17243963.963963967</v>
      </c>
      <c r="N63">
        <v>23936756.756756756</v>
      </c>
      <c r="O63">
        <v>48208854.054054059</v>
      </c>
      <c r="P63">
        <v>55861369.369369365</v>
      </c>
      <c r="Q63">
        <v>15849639.639639644</v>
      </c>
      <c r="R63">
        <v>23920630.630630631</v>
      </c>
      <c r="S63">
        <v>4752</v>
      </c>
      <c r="T63">
        <v>4866</v>
      </c>
    </row>
    <row r="64" spans="1:20" x14ac:dyDescent="0.35">
      <c r="A64" s="7" t="s">
        <v>140</v>
      </c>
      <c r="B64" s="12" t="s">
        <v>79</v>
      </c>
      <c r="C64">
        <v>102688215.10567978</v>
      </c>
      <c r="D64">
        <v>111120787.63104561</v>
      </c>
      <c r="E64">
        <v>3095495.4954954968</v>
      </c>
      <c r="F64">
        <v>2405855.855855857</v>
      </c>
      <c r="G64">
        <v>37</v>
      </c>
      <c r="H64">
        <v>28</v>
      </c>
      <c r="I64">
        <v>1</v>
      </c>
      <c r="K64">
        <v>45</v>
      </c>
      <c r="L64">
        <v>31</v>
      </c>
      <c r="M64">
        <v>13924324.324324323</v>
      </c>
      <c r="N64">
        <v>15351801.801801801</v>
      </c>
      <c r="O64">
        <v>44002018.018018015</v>
      </c>
      <c r="P64">
        <v>47519657.657657653</v>
      </c>
      <c r="Q64">
        <v>12014324.324324325</v>
      </c>
      <c r="R64">
        <v>15593693.693693694</v>
      </c>
      <c r="S64">
        <v>5046</v>
      </c>
      <c r="T64">
        <v>5096</v>
      </c>
    </row>
    <row r="65" spans="1:20" x14ac:dyDescent="0.35">
      <c r="A65" s="7" t="s">
        <v>141</v>
      </c>
      <c r="B65" s="12" t="s">
        <v>142</v>
      </c>
      <c r="C65">
        <v>145757932.60061684</v>
      </c>
      <c r="D65">
        <v>163832391.94265679</v>
      </c>
      <c r="E65">
        <v>1374774.7747747749</v>
      </c>
      <c r="F65">
        <v>1684684.684684685</v>
      </c>
      <c r="G65">
        <v>12</v>
      </c>
      <c r="H65">
        <v>3</v>
      </c>
      <c r="K65">
        <v>13</v>
      </c>
      <c r="L65">
        <v>6</v>
      </c>
      <c r="M65">
        <v>15728648.648648648</v>
      </c>
      <c r="N65">
        <v>16256756.756756758</v>
      </c>
      <c r="O65">
        <v>28214549.549549554</v>
      </c>
      <c r="P65">
        <v>30947122.52252252</v>
      </c>
      <c r="Q65">
        <v>13535945.945945948</v>
      </c>
      <c r="R65">
        <v>14191711.711711712</v>
      </c>
      <c r="S65">
        <v>4820</v>
      </c>
      <c r="T65">
        <v>4479</v>
      </c>
    </row>
    <row r="66" spans="1:20" x14ac:dyDescent="0.35">
      <c r="A66" s="7" t="s">
        <v>143</v>
      </c>
      <c r="B66" s="12" t="s">
        <v>63</v>
      </c>
      <c r="C66">
        <v>96625408.920097426</v>
      </c>
      <c r="D66">
        <v>106333659.72813676</v>
      </c>
      <c r="E66">
        <v>1007207.207207209</v>
      </c>
      <c r="F66">
        <v>2077477.477477479</v>
      </c>
      <c r="G66">
        <v>25</v>
      </c>
      <c r="H66">
        <v>3</v>
      </c>
      <c r="K66">
        <v>30</v>
      </c>
      <c r="L66">
        <v>5</v>
      </c>
      <c r="M66">
        <v>59046846.846846849</v>
      </c>
      <c r="N66">
        <v>95064144.144144148</v>
      </c>
      <c r="O66">
        <v>20633594.594594598</v>
      </c>
      <c r="P66">
        <v>23996513.513513513</v>
      </c>
      <c r="Q66">
        <v>58358738.738738745</v>
      </c>
      <c r="R66">
        <v>102345135.13513513</v>
      </c>
      <c r="S66">
        <v>3910</v>
      </c>
      <c r="T66">
        <v>3881</v>
      </c>
    </row>
    <row r="67" spans="1:20" x14ac:dyDescent="0.35">
      <c r="A67" s="7" t="s">
        <v>144</v>
      </c>
      <c r="B67" s="12" t="s">
        <v>145</v>
      </c>
      <c r="C67">
        <v>924569.39703045099</v>
      </c>
      <c r="D67">
        <v>1037138.627978924</v>
      </c>
      <c r="G67">
        <v>1</v>
      </c>
      <c r="K67">
        <v>1</v>
      </c>
      <c r="O67">
        <v>94594.594594594993</v>
      </c>
      <c r="P67">
        <v>197522.52252252301</v>
      </c>
      <c r="S67">
        <v>121</v>
      </c>
      <c r="T67">
        <v>147</v>
      </c>
    </row>
    <row r="68" spans="1:20" x14ac:dyDescent="0.35">
      <c r="A68" s="7" t="s">
        <v>146</v>
      </c>
      <c r="B68" s="12" t="s">
        <v>142</v>
      </c>
      <c r="C68">
        <v>209921961.37024394</v>
      </c>
      <c r="D68">
        <v>208728895.94031334</v>
      </c>
      <c r="E68">
        <v>985135.13513513701</v>
      </c>
      <c r="F68">
        <v>661261.26126126305</v>
      </c>
      <c r="G68">
        <v>48</v>
      </c>
      <c r="H68">
        <v>17</v>
      </c>
      <c r="K68">
        <v>62</v>
      </c>
      <c r="L68">
        <v>19</v>
      </c>
      <c r="M68">
        <v>23398558.558558557</v>
      </c>
      <c r="N68">
        <v>25998648.648648649</v>
      </c>
      <c r="O68">
        <v>37559459.459459454</v>
      </c>
      <c r="P68">
        <v>42384918.918918923</v>
      </c>
      <c r="Q68">
        <v>21695225.225225221</v>
      </c>
      <c r="R68">
        <v>26827567.567567568</v>
      </c>
      <c r="S68">
        <v>7601</v>
      </c>
      <c r="T68">
        <v>8254</v>
      </c>
    </row>
    <row r="69" spans="1:20" x14ac:dyDescent="0.35">
      <c r="A69" s="7" t="s">
        <v>147</v>
      </c>
      <c r="B69" s="12" t="s">
        <v>79</v>
      </c>
      <c r="C69">
        <v>143984909.83627346</v>
      </c>
      <c r="D69">
        <v>149396357.69715557</v>
      </c>
      <c r="E69">
        <v>2174774.7747747782</v>
      </c>
      <c r="F69">
        <v>1818918.9189189209</v>
      </c>
      <c r="G69">
        <v>49</v>
      </c>
      <c r="H69">
        <v>26</v>
      </c>
      <c r="K69">
        <v>55</v>
      </c>
      <c r="L69">
        <v>31</v>
      </c>
      <c r="M69">
        <v>13535135.135135138</v>
      </c>
      <c r="N69">
        <v>15017117.117117116</v>
      </c>
      <c r="O69">
        <v>41105567.567567565</v>
      </c>
      <c r="P69">
        <v>42546558.558558561</v>
      </c>
      <c r="Q69">
        <v>16034504.504504504</v>
      </c>
      <c r="R69">
        <v>14862252.252252253</v>
      </c>
      <c r="S69">
        <v>6358</v>
      </c>
      <c r="T69">
        <v>6485</v>
      </c>
    </row>
    <row r="70" spans="1:20" x14ac:dyDescent="0.35">
      <c r="A70" s="7" t="s">
        <v>148</v>
      </c>
      <c r="B70" s="12" t="s">
        <v>149</v>
      </c>
      <c r="C70">
        <v>93421095.085729852</v>
      </c>
      <c r="D70">
        <v>93688154.158676848</v>
      </c>
      <c r="E70">
        <v>2546846.8468468492</v>
      </c>
      <c r="F70">
        <v>2064864.8648648639</v>
      </c>
      <c r="G70">
        <v>15</v>
      </c>
      <c r="H70">
        <v>7</v>
      </c>
      <c r="K70">
        <v>18</v>
      </c>
      <c r="L70">
        <v>8</v>
      </c>
      <c r="M70">
        <v>36794594.59459459</v>
      </c>
      <c r="N70">
        <v>29970720.72072072</v>
      </c>
      <c r="O70">
        <v>28639090.090090089</v>
      </c>
      <c r="P70">
        <v>31124144.144144144</v>
      </c>
      <c r="Q70">
        <v>34829189.189189188</v>
      </c>
      <c r="R70">
        <v>29422162.162162159</v>
      </c>
      <c r="S70">
        <v>3637</v>
      </c>
      <c r="T70">
        <v>6600</v>
      </c>
    </row>
    <row r="71" spans="1:20" x14ac:dyDescent="0.35">
      <c r="A71" s="7" t="s">
        <v>150</v>
      </c>
      <c r="B71" s="12" t="s">
        <v>95</v>
      </c>
      <c r="C71">
        <v>17.531949365999999</v>
      </c>
      <c r="D71">
        <v>22.077324659999999</v>
      </c>
    </row>
    <row r="72" spans="1:20" x14ac:dyDescent="0.35">
      <c r="A72" s="7" t="s">
        <v>151</v>
      </c>
      <c r="B72" s="12" t="s">
        <v>51</v>
      </c>
      <c r="C72">
        <v>84442058.231807202</v>
      </c>
      <c r="D72">
        <v>88408080.603041187</v>
      </c>
      <c r="E72">
        <v>112417117.11711712</v>
      </c>
      <c r="F72">
        <v>62431531.531531535</v>
      </c>
      <c r="G72">
        <v>16</v>
      </c>
      <c r="H72">
        <v>10</v>
      </c>
      <c r="K72">
        <v>16</v>
      </c>
      <c r="L72">
        <v>11</v>
      </c>
      <c r="M72">
        <v>6128198.1981981983</v>
      </c>
      <c r="N72">
        <v>6275045.0450450443</v>
      </c>
      <c r="O72">
        <v>37060234.234234229</v>
      </c>
      <c r="P72">
        <v>39205315.315315314</v>
      </c>
      <c r="Q72">
        <v>4907837.8378378386</v>
      </c>
      <c r="R72">
        <v>6314414.4144144142</v>
      </c>
      <c r="S72">
        <v>3172</v>
      </c>
      <c r="T72">
        <v>3531</v>
      </c>
    </row>
    <row r="73" spans="1:20" x14ac:dyDescent="0.35">
      <c r="A73" s="7" t="s">
        <v>152</v>
      </c>
      <c r="B73" s="12" t="s">
        <v>153</v>
      </c>
      <c r="C73">
        <v>26588979.061245915</v>
      </c>
      <c r="D73">
        <v>25868998.435712811</v>
      </c>
      <c r="E73">
        <v>364864.86486486602</v>
      </c>
      <c r="F73">
        <v>211711.71171171201</v>
      </c>
      <c r="G73">
        <v>4</v>
      </c>
      <c r="H73">
        <v>1</v>
      </c>
      <c r="K73">
        <v>5</v>
      </c>
      <c r="L73">
        <v>1</v>
      </c>
      <c r="M73">
        <v>16130630.630630629</v>
      </c>
      <c r="N73">
        <v>27166666.666666668</v>
      </c>
      <c r="O73">
        <v>6461387.3873873884</v>
      </c>
      <c r="P73">
        <v>7592153.1531531541</v>
      </c>
      <c r="Q73">
        <v>10364324.324324325</v>
      </c>
      <c r="R73">
        <v>18370630.630630627</v>
      </c>
      <c r="S73">
        <v>631</v>
      </c>
      <c r="T73">
        <v>656</v>
      </c>
    </row>
    <row r="74" spans="1:20" x14ac:dyDescent="0.35">
      <c r="A74" s="7" t="s">
        <v>154</v>
      </c>
      <c r="B74" s="12" t="s">
        <v>153</v>
      </c>
      <c r="C74">
        <v>247422702.7846944</v>
      </c>
      <c r="D74">
        <v>249602466.85458437</v>
      </c>
      <c r="E74">
        <v>178828398.1981982</v>
      </c>
      <c r="F74">
        <v>370965222.52252257</v>
      </c>
      <c r="G74">
        <v>125</v>
      </c>
      <c r="H74">
        <v>6</v>
      </c>
      <c r="K74">
        <v>131</v>
      </c>
      <c r="L74">
        <v>18</v>
      </c>
      <c r="M74">
        <v>184320270.27027026</v>
      </c>
      <c r="N74">
        <v>195677027.02702701</v>
      </c>
      <c r="O74">
        <v>85741396.396396399</v>
      </c>
      <c r="P74">
        <v>89129126.126126125</v>
      </c>
      <c r="Q74">
        <v>130263600</v>
      </c>
      <c r="R74">
        <v>141842162.16216215</v>
      </c>
      <c r="S74">
        <v>8644</v>
      </c>
      <c r="T74">
        <v>8088</v>
      </c>
    </row>
    <row r="75" spans="1:20" x14ac:dyDescent="0.35">
      <c r="A75" s="7" t="s">
        <v>155</v>
      </c>
      <c r="B75" s="12" t="s">
        <v>156</v>
      </c>
      <c r="C75">
        <v>223442911.79091361</v>
      </c>
      <c r="D75">
        <v>198636885.71631071</v>
      </c>
      <c r="E75">
        <v>315990.990990992</v>
      </c>
      <c r="F75">
        <v>416216.21621621703</v>
      </c>
      <c r="G75">
        <v>32</v>
      </c>
      <c r="H75">
        <v>7</v>
      </c>
      <c r="K75">
        <v>35</v>
      </c>
      <c r="L75">
        <v>8</v>
      </c>
      <c r="M75">
        <v>34655855.855855852</v>
      </c>
      <c r="N75">
        <v>29015315.315315314</v>
      </c>
      <c r="O75">
        <v>90604400.9009009</v>
      </c>
      <c r="P75">
        <v>89608351.351351365</v>
      </c>
      <c r="Q75">
        <v>29065315.315315317</v>
      </c>
      <c r="R75">
        <v>32827837.837837838</v>
      </c>
      <c r="S75">
        <v>7003</v>
      </c>
      <c r="T75">
        <v>7164</v>
      </c>
    </row>
    <row r="76" spans="1:20" x14ac:dyDescent="0.35">
      <c r="A76" s="7" t="s">
        <v>157</v>
      </c>
      <c r="B76" s="12" t="s">
        <v>156</v>
      </c>
      <c r="C76">
        <v>23581136.402869385</v>
      </c>
      <c r="D76">
        <v>20928767.105578981</v>
      </c>
      <c r="E76">
        <v>177824256.75675678</v>
      </c>
      <c r="F76">
        <v>82490487.387387395</v>
      </c>
      <c r="G76">
        <v>6</v>
      </c>
      <c r="H76">
        <v>3</v>
      </c>
      <c r="K76">
        <v>7</v>
      </c>
      <c r="L76">
        <v>4</v>
      </c>
      <c r="M76">
        <v>18949099.0990991</v>
      </c>
      <c r="N76">
        <v>12752252.252252253</v>
      </c>
      <c r="O76">
        <v>5657693.6936936928</v>
      </c>
      <c r="P76">
        <v>7335252.2522522528</v>
      </c>
      <c r="Q76">
        <v>2700900.9009008999</v>
      </c>
      <c r="R76">
        <v>3672342.3423423432</v>
      </c>
      <c r="S76">
        <v>1963</v>
      </c>
      <c r="T76">
        <v>2013</v>
      </c>
    </row>
    <row r="77" spans="1:20" x14ac:dyDescent="0.35">
      <c r="A77" s="7" t="s">
        <v>158</v>
      </c>
      <c r="B77" s="12" t="s">
        <v>156</v>
      </c>
      <c r="C77">
        <v>239553919.01628178</v>
      </c>
      <c r="D77">
        <v>239625526.69318077</v>
      </c>
      <c r="E77">
        <v>1613738.738738742</v>
      </c>
      <c r="F77">
        <v>2432432.4324324322</v>
      </c>
      <c r="G77">
        <v>12</v>
      </c>
      <c r="H77">
        <v>7</v>
      </c>
      <c r="K77">
        <v>15</v>
      </c>
      <c r="L77">
        <v>7</v>
      </c>
      <c r="M77">
        <v>49142792.79279279</v>
      </c>
      <c r="N77">
        <v>50100900.9009009</v>
      </c>
      <c r="O77">
        <v>92773639.639639631</v>
      </c>
      <c r="P77">
        <v>99921054.054054052</v>
      </c>
      <c r="Q77">
        <v>46424324.324324317</v>
      </c>
      <c r="R77">
        <v>47318648.648648649</v>
      </c>
      <c r="S77">
        <v>7926</v>
      </c>
      <c r="T77">
        <v>7873</v>
      </c>
    </row>
    <row r="78" spans="1:20" x14ac:dyDescent="0.35">
      <c r="A78" s="7" t="s">
        <v>159</v>
      </c>
      <c r="B78" s="12" t="s">
        <v>136</v>
      </c>
      <c r="C78">
        <v>112721077.81171301</v>
      </c>
      <c r="D78">
        <v>112732285.06980067</v>
      </c>
      <c r="E78">
        <v>14454954.954954956</v>
      </c>
      <c r="F78">
        <v>2445945.945945946</v>
      </c>
      <c r="G78">
        <v>21</v>
      </c>
      <c r="H78">
        <v>13</v>
      </c>
      <c r="K78">
        <v>28</v>
      </c>
      <c r="L78">
        <v>35</v>
      </c>
      <c r="M78">
        <v>9477477.4774774779</v>
      </c>
      <c r="N78">
        <v>10914414.414414411</v>
      </c>
      <c r="O78">
        <v>12664576.576576576</v>
      </c>
      <c r="P78">
        <v>11602900.900900902</v>
      </c>
      <c r="Q78">
        <v>4367387.3873873893</v>
      </c>
      <c r="R78">
        <v>6354684.6846846854</v>
      </c>
      <c r="S78">
        <v>4464</v>
      </c>
      <c r="T78">
        <v>6247</v>
      </c>
    </row>
    <row r="79" spans="1:20" x14ac:dyDescent="0.35">
      <c r="A79" s="7" t="s">
        <v>1</v>
      </c>
      <c r="B79" s="12" t="s">
        <v>160</v>
      </c>
      <c r="C79">
        <v>200522375.97473559</v>
      </c>
      <c r="D79">
        <v>210810563.65126809</v>
      </c>
      <c r="E79">
        <v>93199099.0990991</v>
      </c>
      <c r="F79">
        <v>26779279.27927928</v>
      </c>
      <c r="G79">
        <v>14</v>
      </c>
      <c r="H79">
        <v>37</v>
      </c>
      <c r="K79">
        <v>135</v>
      </c>
      <c r="L79">
        <v>49</v>
      </c>
      <c r="M79">
        <v>41320765.765765771</v>
      </c>
      <c r="N79">
        <v>45043918.918918923</v>
      </c>
      <c r="O79">
        <v>96507720.720720723</v>
      </c>
      <c r="P79">
        <v>99658756.756756753</v>
      </c>
      <c r="Q79">
        <v>23090090.090090089</v>
      </c>
      <c r="R79">
        <v>24983198.198198199</v>
      </c>
      <c r="S79">
        <v>8094</v>
      </c>
      <c r="T79">
        <v>8154</v>
      </c>
    </row>
    <row r="80" spans="1:20" x14ac:dyDescent="0.35">
      <c r="A80" s="7" t="s">
        <v>161</v>
      </c>
      <c r="B80" s="12" t="s">
        <v>123</v>
      </c>
      <c r="C80">
        <v>7682476.3087236714</v>
      </c>
      <c r="D80">
        <v>6286317.9432339417</v>
      </c>
      <c r="G80">
        <v>2</v>
      </c>
      <c r="H80">
        <v>4</v>
      </c>
      <c r="K80">
        <v>5</v>
      </c>
      <c r="L80">
        <v>5</v>
      </c>
      <c r="O80">
        <v>770180.18018018</v>
      </c>
      <c r="P80">
        <v>779504.50450450496</v>
      </c>
      <c r="R80">
        <v>15765.765765766</v>
      </c>
      <c r="S80">
        <v>483</v>
      </c>
      <c r="T80">
        <v>355</v>
      </c>
    </row>
    <row r="81" spans="1:20" x14ac:dyDescent="0.35">
      <c r="A81" s="7" t="s">
        <v>162</v>
      </c>
      <c r="B81" s="12" t="s">
        <v>163</v>
      </c>
      <c r="C81">
        <v>106442180.63154975</v>
      </c>
      <c r="D81">
        <v>118552316.83998981</v>
      </c>
      <c r="E81">
        <v>54998429.729729742</v>
      </c>
      <c r="F81">
        <v>81878585.585585579</v>
      </c>
      <c r="G81">
        <v>28</v>
      </c>
      <c r="H81">
        <v>219</v>
      </c>
      <c r="K81">
        <v>137</v>
      </c>
      <c r="L81">
        <v>324</v>
      </c>
      <c r="M81">
        <v>30243684.684684698</v>
      </c>
      <c r="N81">
        <v>39445505.40540541</v>
      </c>
      <c r="O81">
        <v>45182378.378378384</v>
      </c>
      <c r="P81">
        <v>51768513.513513513</v>
      </c>
      <c r="Q81">
        <v>23277207.207207218</v>
      </c>
      <c r="R81">
        <v>24202567.567567568</v>
      </c>
      <c r="S81">
        <v>5944</v>
      </c>
      <c r="T81">
        <v>6143</v>
      </c>
    </row>
    <row r="82" spans="1:20" x14ac:dyDescent="0.35">
      <c r="A82" s="7" t="s">
        <v>164</v>
      </c>
      <c r="B82" s="12" t="s">
        <v>77</v>
      </c>
      <c r="C82">
        <v>47781718.401726931</v>
      </c>
      <c r="D82">
        <v>50041620.564205378</v>
      </c>
      <c r="E82">
        <v>271171.17117117101</v>
      </c>
      <c r="F82">
        <v>30133333.333333332</v>
      </c>
      <c r="G82">
        <v>9</v>
      </c>
      <c r="H82">
        <v>9</v>
      </c>
      <c r="K82">
        <v>11</v>
      </c>
      <c r="L82">
        <v>10</v>
      </c>
      <c r="M82">
        <v>1404504.5045045051</v>
      </c>
      <c r="N82">
        <v>1813513.5135135129</v>
      </c>
      <c r="O82">
        <v>2301486.4864864862</v>
      </c>
      <c r="P82">
        <v>2618396.3963963971</v>
      </c>
      <c r="Q82">
        <v>867747.74774774804</v>
      </c>
      <c r="R82">
        <v>927657.65765765705</v>
      </c>
      <c r="S82">
        <v>898</v>
      </c>
      <c r="T82">
        <v>2196</v>
      </c>
    </row>
    <row r="83" spans="1:20" x14ac:dyDescent="0.35">
      <c r="A83" s="7" t="s">
        <v>165</v>
      </c>
      <c r="B83" s="12" t="s">
        <v>53</v>
      </c>
      <c r="C83">
        <v>37521167.49370683</v>
      </c>
      <c r="D83">
        <v>36403247.777905777</v>
      </c>
      <c r="E83">
        <v>652252.25225225196</v>
      </c>
      <c r="F83">
        <v>603603.60360360495</v>
      </c>
      <c r="G83">
        <v>10</v>
      </c>
      <c r="H83">
        <v>2</v>
      </c>
      <c r="K83">
        <v>11</v>
      </c>
      <c r="L83">
        <v>4</v>
      </c>
      <c r="M83">
        <v>814414.41441441397</v>
      </c>
      <c r="N83">
        <v>1090090.0900900911</v>
      </c>
      <c r="O83">
        <v>18206549.549549554</v>
      </c>
      <c r="P83">
        <v>16888279.27927928</v>
      </c>
      <c r="Q83">
        <v>809459.45945945894</v>
      </c>
      <c r="R83">
        <v>1088198.1981981981</v>
      </c>
      <c r="S83">
        <v>1675</v>
      </c>
      <c r="T83">
        <v>1453</v>
      </c>
    </row>
    <row r="84" spans="1:20" x14ac:dyDescent="0.35">
      <c r="A84" s="7" t="s">
        <v>166</v>
      </c>
      <c r="B84" s="12" t="s">
        <v>88</v>
      </c>
      <c r="C84">
        <v>19183589.743935846</v>
      </c>
      <c r="D84">
        <v>26965411.534562152</v>
      </c>
      <c r="E84">
        <v>27027.027027027001</v>
      </c>
      <c r="F84">
        <v>18018.018018018</v>
      </c>
      <c r="G84">
        <v>7</v>
      </c>
      <c r="H84">
        <v>10</v>
      </c>
      <c r="K84">
        <v>8</v>
      </c>
      <c r="L84">
        <v>10</v>
      </c>
      <c r="M84">
        <v>805405.40540540498</v>
      </c>
      <c r="N84">
        <v>1153153.1531531541</v>
      </c>
      <c r="O84">
        <v>1780765.7657657659</v>
      </c>
      <c r="P84">
        <v>4056396.3963963962</v>
      </c>
      <c r="Q84">
        <v>258918.918918918</v>
      </c>
      <c r="R84">
        <v>148648.64864864899</v>
      </c>
      <c r="S84">
        <v>818</v>
      </c>
      <c r="T84">
        <v>1267</v>
      </c>
    </row>
    <row r="85" spans="1:20" x14ac:dyDescent="0.35">
      <c r="A85" s="7" t="s">
        <v>167</v>
      </c>
      <c r="B85" s="12" t="s">
        <v>145</v>
      </c>
      <c r="C85">
        <v>6866369.3705090852</v>
      </c>
      <c r="D85">
        <v>6299645.5566939982</v>
      </c>
      <c r="E85">
        <v>54054.054054054002</v>
      </c>
      <c r="F85">
        <v>270270.27027027</v>
      </c>
      <c r="G85">
        <v>5</v>
      </c>
      <c r="K85">
        <v>5</v>
      </c>
      <c r="M85">
        <v>54054.054054054002</v>
      </c>
      <c r="N85">
        <v>720720.72072072094</v>
      </c>
      <c r="O85">
        <v>695000</v>
      </c>
      <c r="P85">
        <v>761891.89189189195</v>
      </c>
      <c r="Q85">
        <v>41891.891891892003</v>
      </c>
      <c r="R85">
        <v>798378.37837837799</v>
      </c>
      <c r="S85">
        <v>319</v>
      </c>
      <c r="T85">
        <v>321</v>
      </c>
    </row>
    <row r="86" spans="1:20" x14ac:dyDescent="0.35">
      <c r="A86" s="7" t="s">
        <v>168</v>
      </c>
      <c r="B86" s="12" t="s">
        <v>169</v>
      </c>
      <c r="C86">
        <v>27019272.936251167</v>
      </c>
      <c r="D86">
        <v>24707380.010669671</v>
      </c>
      <c r="E86">
        <v>463963.96396396402</v>
      </c>
      <c r="F86">
        <v>45045.045045045001</v>
      </c>
      <c r="G86">
        <v>6</v>
      </c>
      <c r="H86">
        <v>2</v>
      </c>
      <c r="K86">
        <v>6</v>
      </c>
      <c r="L86">
        <v>2</v>
      </c>
      <c r="M86">
        <v>2074774.7747747749</v>
      </c>
      <c r="N86">
        <v>1759459.4594594589</v>
      </c>
      <c r="O86">
        <v>12788250.450450452</v>
      </c>
      <c r="P86">
        <v>12723918.918918921</v>
      </c>
      <c r="Q86">
        <v>2169279.2792792791</v>
      </c>
      <c r="R86">
        <v>1555765.7657657659</v>
      </c>
      <c r="S86">
        <v>1304</v>
      </c>
      <c r="T86">
        <v>1324</v>
      </c>
    </row>
    <row r="87" spans="1:20" x14ac:dyDescent="0.35">
      <c r="A87" s="7" t="s">
        <v>170</v>
      </c>
      <c r="B87" s="12" t="s">
        <v>171</v>
      </c>
      <c r="C87">
        <v>117691980.89551981</v>
      </c>
      <c r="D87">
        <v>132997414.45769283</v>
      </c>
      <c r="E87">
        <v>1155855.855855857</v>
      </c>
      <c r="F87">
        <v>1085585.5855855891</v>
      </c>
      <c r="G87">
        <v>18</v>
      </c>
      <c r="H87">
        <v>11</v>
      </c>
      <c r="K87">
        <v>25</v>
      </c>
      <c r="L87">
        <v>15</v>
      </c>
      <c r="M87">
        <v>22764872.97297297</v>
      </c>
      <c r="N87">
        <v>30644144.144144144</v>
      </c>
      <c r="O87">
        <v>37448434.684684686</v>
      </c>
      <c r="P87">
        <v>42969486.486486487</v>
      </c>
      <c r="Q87">
        <v>21402342.342342343</v>
      </c>
      <c r="R87">
        <v>28118108.108108103</v>
      </c>
      <c r="S87">
        <v>6336</v>
      </c>
      <c r="T87">
        <v>6492</v>
      </c>
    </row>
    <row r="88" spans="1:20" x14ac:dyDescent="0.35">
      <c r="A88" s="7" t="s">
        <v>172</v>
      </c>
      <c r="B88" s="12" t="s">
        <v>55</v>
      </c>
      <c r="C88">
        <v>18410745.659579031</v>
      </c>
      <c r="D88">
        <v>23072039.704558637</v>
      </c>
      <c r="E88">
        <v>298198.19819819799</v>
      </c>
      <c r="F88">
        <v>72972.972972973002</v>
      </c>
      <c r="G88">
        <v>1</v>
      </c>
      <c r="H88">
        <v>3</v>
      </c>
      <c r="K88">
        <v>1</v>
      </c>
      <c r="L88">
        <v>3</v>
      </c>
      <c r="M88">
        <v>1649549.5495495501</v>
      </c>
      <c r="N88">
        <v>3703603.6036036038</v>
      </c>
      <c r="O88">
        <v>2918783.7837837841</v>
      </c>
      <c r="P88">
        <v>3330585.5855855849</v>
      </c>
      <c r="Q88">
        <v>1986306.306306307</v>
      </c>
      <c r="R88">
        <v>2549729.7297297302</v>
      </c>
      <c r="S88">
        <v>694</v>
      </c>
      <c r="T88">
        <v>1033</v>
      </c>
    </row>
    <row r="89" spans="1:20" x14ac:dyDescent="0.35">
      <c r="A89" s="7" t="s">
        <v>173</v>
      </c>
      <c r="B89" s="12" t="s">
        <v>61</v>
      </c>
      <c r="C89">
        <v>379821083.01019627</v>
      </c>
      <c r="D89">
        <v>386361144.96477139</v>
      </c>
      <c r="E89">
        <v>4236036.0360360378</v>
      </c>
      <c r="F89">
        <v>3240540.5405405429</v>
      </c>
      <c r="G89">
        <v>87</v>
      </c>
      <c r="H89">
        <v>18</v>
      </c>
      <c r="K89">
        <v>102</v>
      </c>
      <c r="L89">
        <v>19</v>
      </c>
      <c r="M89">
        <v>18709909.909909911</v>
      </c>
      <c r="N89">
        <v>21875675.675675675</v>
      </c>
      <c r="O89">
        <v>141006630.63063061</v>
      </c>
      <c r="P89">
        <v>140285891.8918919</v>
      </c>
      <c r="Q89">
        <v>18626036.036036037</v>
      </c>
      <c r="R89">
        <v>18649639.639639638</v>
      </c>
      <c r="S89">
        <v>11965</v>
      </c>
      <c r="T89">
        <v>11984</v>
      </c>
    </row>
    <row r="90" spans="1:20" x14ac:dyDescent="0.35">
      <c r="A90" s="7" t="s">
        <v>174</v>
      </c>
      <c r="B90" s="12" t="s">
        <v>123</v>
      </c>
      <c r="C90">
        <v>159509164.53382295</v>
      </c>
      <c r="D90">
        <v>154342851.13138038</v>
      </c>
      <c r="E90">
        <v>1272972.9729729751</v>
      </c>
      <c r="F90">
        <v>747747.74774774804</v>
      </c>
      <c r="G90">
        <v>66</v>
      </c>
      <c r="H90">
        <v>43</v>
      </c>
      <c r="K90">
        <v>73</v>
      </c>
      <c r="L90">
        <v>52</v>
      </c>
      <c r="M90">
        <v>9441441.4414414391</v>
      </c>
      <c r="N90">
        <v>8630630.6306306291</v>
      </c>
      <c r="O90">
        <v>21921774.774774775</v>
      </c>
      <c r="P90">
        <v>25008909.909909911</v>
      </c>
      <c r="Q90">
        <v>6507297.297297298</v>
      </c>
      <c r="R90">
        <v>6686216.2162162177</v>
      </c>
      <c r="S90">
        <v>5680</v>
      </c>
      <c r="T90">
        <v>5607</v>
      </c>
    </row>
    <row r="91" spans="1:20" x14ac:dyDescent="0.35">
      <c r="A91" s="7" t="s">
        <v>175</v>
      </c>
      <c r="B91" s="12" t="s">
        <v>176</v>
      </c>
      <c r="C91">
        <v>113154180.36242753</v>
      </c>
      <c r="D91">
        <v>120170078.12703548</v>
      </c>
      <c r="E91">
        <v>71540270.270270273</v>
      </c>
      <c r="F91">
        <v>80912631.531531543</v>
      </c>
      <c r="G91">
        <v>24</v>
      </c>
      <c r="H91">
        <v>15</v>
      </c>
      <c r="K91">
        <v>32</v>
      </c>
      <c r="L91">
        <v>23</v>
      </c>
      <c r="M91">
        <v>17586936.936936937</v>
      </c>
      <c r="N91">
        <v>23116799.099099103</v>
      </c>
      <c r="O91">
        <v>12696828.82882883</v>
      </c>
      <c r="P91">
        <v>15286432.432432432</v>
      </c>
      <c r="Q91">
        <v>14567027.027027026</v>
      </c>
      <c r="R91">
        <v>14515405.405405406</v>
      </c>
      <c r="S91">
        <v>4478</v>
      </c>
      <c r="T91">
        <v>4555</v>
      </c>
    </row>
    <row r="92" spans="1:20" x14ac:dyDescent="0.35">
      <c r="A92" s="7" t="s">
        <v>177</v>
      </c>
      <c r="B92" s="12" t="s">
        <v>176</v>
      </c>
      <c r="C92">
        <v>178811515.70387295</v>
      </c>
      <c r="D92">
        <v>191285955.82648838</v>
      </c>
      <c r="E92">
        <v>1121396.3963964011</v>
      </c>
      <c r="F92">
        <v>625225.22522523103</v>
      </c>
      <c r="G92">
        <v>68</v>
      </c>
      <c r="H92">
        <v>84</v>
      </c>
      <c r="I92">
        <v>1</v>
      </c>
      <c r="K92">
        <v>95</v>
      </c>
      <c r="L92">
        <v>111</v>
      </c>
      <c r="M92">
        <v>21278378.378378376</v>
      </c>
      <c r="N92">
        <v>23184234.234234232</v>
      </c>
      <c r="O92">
        <v>29709720.72072072</v>
      </c>
      <c r="P92">
        <v>31008360.360360362</v>
      </c>
      <c r="Q92">
        <v>16164324.324324328</v>
      </c>
      <c r="R92">
        <v>16716396.396396399</v>
      </c>
      <c r="S92">
        <v>9910</v>
      </c>
      <c r="T92">
        <v>8689</v>
      </c>
    </row>
    <row r="93" spans="1:20" x14ac:dyDescent="0.35">
      <c r="A93" s="7" t="s">
        <v>178</v>
      </c>
      <c r="B93" s="12" t="s">
        <v>176</v>
      </c>
      <c r="C93">
        <v>239831547.17224732</v>
      </c>
      <c r="D93">
        <v>253203389.43470579</v>
      </c>
      <c r="E93">
        <v>1084909.9099099119</v>
      </c>
      <c r="F93">
        <v>389189.18918919098</v>
      </c>
      <c r="G93">
        <v>59</v>
      </c>
      <c r="H93">
        <v>124</v>
      </c>
      <c r="K93">
        <v>80</v>
      </c>
      <c r="L93">
        <v>163</v>
      </c>
      <c r="M93">
        <v>25350450.450450446</v>
      </c>
      <c r="N93">
        <v>25930630.630630631</v>
      </c>
      <c r="O93">
        <v>35114959.459459461</v>
      </c>
      <c r="P93">
        <v>40393864.864864863</v>
      </c>
      <c r="Q93">
        <v>19623603.603603601</v>
      </c>
      <c r="R93">
        <v>23713873.873873871</v>
      </c>
      <c r="S93">
        <v>12154</v>
      </c>
      <c r="T93">
        <v>12955</v>
      </c>
    </row>
    <row r="94" spans="1:20" x14ac:dyDescent="0.35">
      <c r="A94" s="7" t="s">
        <v>179</v>
      </c>
      <c r="B94" s="12" t="s">
        <v>180</v>
      </c>
      <c r="C94">
        <v>75011643.377144158</v>
      </c>
      <c r="D94">
        <v>76118846.803141266</v>
      </c>
      <c r="E94">
        <v>5180180.1801801799</v>
      </c>
      <c r="F94">
        <v>49518918.918918923</v>
      </c>
      <c r="G94">
        <v>5</v>
      </c>
      <c r="H94">
        <v>3</v>
      </c>
      <c r="K94">
        <v>6</v>
      </c>
      <c r="L94">
        <v>3</v>
      </c>
      <c r="M94">
        <v>12200900.9009009</v>
      </c>
      <c r="N94">
        <v>7924549.549549547</v>
      </c>
      <c r="O94">
        <v>29219331.531531531</v>
      </c>
      <c r="P94">
        <v>29634783.783783782</v>
      </c>
      <c r="Q94">
        <v>8104504.5045045028</v>
      </c>
      <c r="R94">
        <v>5701891.8918918911</v>
      </c>
      <c r="S94">
        <v>3465</v>
      </c>
      <c r="T94">
        <v>3508</v>
      </c>
    </row>
    <row r="95" spans="1:20" x14ac:dyDescent="0.35">
      <c r="A95" s="7" t="s">
        <v>181</v>
      </c>
      <c r="B95" s="12" t="s">
        <v>169</v>
      </c>
      <c r="C95">
        <v>91919487.326727808</v>
      </c>
      <c r="D95">
        <v>111285424.05109559</v>
      </c>
      <c r="E95">
        <v>828603.60360360402</v>
      </c>
      <c r="F95">
        <v>1150900.900900902</v>
      </c>
      <c r="G95">
        <v>13</v>
      </c>
      <c r="H95">
        <v>9</v>
      </c>
      <c r="K95">
        <v>20</v>
      </c>
      <c r="L95">
        <v>10</v>
      </c>
      <c r="M95">
        <v>873873.87387387501</v>
      </c>
      <c r="N95">
        <v>4506756.7567567592</v>
      </c>
      <c r="O95">
        <v>23359126.126126129</v>
      </c>
      <c r="P95">
        <v>37765126.126126125</v>
      </c>
      <c r="Q95">
        <v>512612.61261261301</v>
      </c>
      <c r="R95">
        <v>2605675.6756756748</v>
      </c>
      <c r="S95">
        <v>4709</v>
      </c>
      <c r="T95">
        <v>4699</v>
      </c>
    </row>
    <row r="96" spans="1:20" x14ac:dyDescent="0.35">
      <c r="A96" s="7" t="s">
        <v>182</v>
      </c>
      <c r="B96" s="12" t="s">
        <v>183</v>
      </c>
      <c r="C96">
        <v>76202430.338925302</v>
      </c>
      <c r="D96">
        <v>84518149.96089451</v>
      </c>
      <c r="E96">
        <v>283783.78378378501</v>
      </c>
      <c r="F96">
        <v>960360.36036036105</v>
      </c>
      <c r="G96">
        <v>17</v>
      </c>
      <c r="H96">
        <v>14</v>
      </c>
      <c r="K96">
        <v>18</v>
      </c>
      <c r="L96">
        <v>17</v>
      </c>
      <c r="M96">
        <v>3995495.4954954949</v>
      </c>
      <c r="N96">
        <v>12133783.783783782</v>
      </c>
      <c r="O96">
        <v>19031984.234234236</v>
      </c>
      <c r="P96">
        <v>19290333.333333336</v>
      </c>
      <c r="Q96">
        <v>6130990.9909909908</v>
      </c>
      <c r="R96">
        <v>10419729.729729729</v>
      </c>
      <c r="S96">
        <v>2930</v>
      </c>
      <c r="T96">
        <v>3224</v>
      </c>
    </row>
    <row r="97" spans="1:20" x14ac:dyDescent="0.35">
      <c r="A97" s="7" t="s">
        <v>184</v>
      </c>
      <c r="B97" s="12" t="s">
        <v>69</v>
      </c>
      <c r="E97">
        <v>48750377.477477483</v>
      </c>
      <c r="F97">
        <v>59835797.297297299</v>
      </c>
      <c r="M97">
        <v>1356756.7567567569</v>
      </c>
      <c r="N97">
        <v>26841441.441441439</v>
      </c>
      <c r="T97">
        <v>1</v>
      </c>
    </row>
    <row r="98" spans="1:20" x14ac:dyDescent="0.35">
      <c r="A98" s="7" t="s">
        <v>185</v>
      </c>
      <c r="B98" s="12" t="s">
        <v>95</v>
      </c>
      <c r="C98">
        <v>81315223.51040554</v>
      </c>
      <c r="D98">
        <v>89112778.722160608</v>
      </c>
      <c r="F98">
        <v>90090.090090090001</v>
      </c>
      <c r="G98">
        <v>22</v>
      </c>
      <c r="H98">
        <v>11</v>
      </c>
      <c r="I98">
        <v>1</v>
      </c>
      <c r="K98">
        <v>28</v>
      </c>
      <c r="L98">
        <v>15</v>
      </c>
      <c r="M98">
        <v>4423423.4234234234</v>
      </c>
      <c r="N98">
        <v>1891891.8918918921</v>
      </c>
      <c r="O98">
        <v>8992108.1081081089</v>
      </c>
      <c r="P98">
        <v>12570036.036036037</v>
      </c>
      <c r="Q98">
        <v>1010810.81081081</v>
      </c>
      <c r="R98">
        <v>430630.630630631</v>
      </c>
      <c r="S98">
        <v>3631</v>
      </c>
      <c r="T98">
        <v>3794</v>
      </c>
    </row>
    <row r="99" spans="1:20" x14ac:dyDescent="0.35">
      <c r="A99" s="7" t="s">
        <v>186</v>
      </c>
      <c r="B99" s="12" t="s">
        <v>95</v>
      </c>
      <c r="C99">
        <v>471660223.00807154</v>
      </c>
      <c r="D99">
        <v>527851913.4078452</v>
      </c>
      <c r="E99">
        <v>958077388.28828824</v>
      </c>
      <c r="F99">
        <v>105645703.6036036</v>
      </c>
      <c r="G99">
        <v>94</v>
      </c>
      <c r="H99">
        <v>115</v>
      </c>
      <c r="K99">
        <v>124</v>
      </c>
      <c r="L99">
        <v>232</v>
      </c>
      <c r="M99">
        <v>30746396.396396399</v>
      </c>
      <c r="N99">
        <v>37060810.810810819</v>
      </c>
      <c r="O99">
        <v>57948240.990990989</v>
      </c>
      <c r="P99">
        <v>81557630.630630627</v>
      </c>
      <c r="Q99">
        <v>29658288.288288288</v>
      </c>
      <c r="R99">
        <v>28627747.747747745</v>
      </c>
      <c r="S99">
        <v>16432</v>
      </c>
      <c r="T99">
        <v>16294</v>
      </c>
    </row>
    <row r="100" spans="1:20" x14ac:dyDescent="0.35">
      <c r="A100" s="7" t="s">
        <v>187</v>
      </c>
      <c r="B100" s="12" t="s">
        <v>90</v>
      </c>
      <c r="C100">
        <v>41248074.947961822</v>
      </c>
      <c r="D100">
        <v>38298104.165060289</v>
      </c>
      <c r="E100">
        <v>339414.41441441601</v>
      </c>
      <c r="F100">
        <v>661261.261261262</v>
      </c>
      <c r="G100">
        <v>10</v>
      </c>
      <c r="H100">
        <v>4</v>
      </c>
      <c r="K100">
        <v>10</v>
      </c>
      <c r="L100">
        <v>4</v>
      </c>
      <c r="M100">
        <v>1773873.8738738741</v>
      </c>
      <c r="N100">
        <v>1427027.027027027</v>
      </c>
      <c r="O100">
        <v>13941423.423423424</v>
      </c>
      <c r="P100">
        <v>15239135.135135137</v>
      </c>
      <c r="Q100">
        <v>1628558.558558559</v>
      </c>
      <c r="R100">
        <v>1565315.3153153169</v>
      </c>
      <c r="S100">
        <v>2403</v>
      </c>
      <c r="T100">
        <v>1500</v>
      </c>
    </row>
    <row r="101" spans="1:20" x14ac:dyDescent="0.35">
      <c r="A101" s="7" t="s">
        <v>188</v>
      </c>
      <c r="B101" s="12" t="s">
        <v>61</v>
      </c>
      <c r="C101">
        <v>25057460.689337354</v>
      </c>
      <c r="D101">
        <v>28858440.927458998</v>
      </c>
      <c r="E101">
        <v>221621.621621623</v>
      </c>
      <c r="F101">
        <v>40540.540540540998</v>
      </c>
      <c r="G101">
        <v>7</v>
      </c>
      <c r="H101">
        <v>4</v>
      </c>
      <c r="K101">
        <v>8</v>
      </c>
      <c r="L101">
        <v>5</v>
      </c>
      <c r="M101">
        <v>897297.29729729902</v>
      </c>
      <c r="N101">
        <v>391891.89189189201</v>
      </c>
      <c r="O101">
        <v>8565155.4054054059</v>
      </c>
      <c r="P101">
        <v>9805126.1261261255</v>
      </c>
      <c r="Q101">
        <v>423423.42342342401</v>
      </c>
      <c r="R101">
        <v>1140180.1801801811</v>
      </c>
      <c r="S101">
        <v>807</v>
      </c>
      <c r="T101">
        <v>846</v>
      </c>
    </row>
    <row r="102" spans="1:20" x14ac:dyDescent="0.35">
      <c r="A102" s="7" t="s">
        <v>189</v>
      </c>
      <c r="B102" s="12" t="s">
        <v>169</v>
      </c>
      <c r="C102">
        <v>62118230.943374082</v>
      </c>
      <c r="D102">
        <v>61178098.617358282</v>
      </c>
      <c r="E102">
        <v>139414.41441441499</v>
      </c>
      <c r="F102">
        <v>67567.567567567996</v>
      </c>
      <c r="G102">
        <v>1</v>
      </c>
      <c r="H102">
        <v>2</v>
      </c>
      <c r="K102">
        <v>1</v>
      </c>
      <c r="L102">
        <v>4</v>
      </c>
      <c r="M102">
        <v>139639.63963964101</v>
      </c>
      <c r="N102">
        <v>94594.594594594993</v>
      </c>
      <c r="O102">
        <v>16334369.369369371</v>
      </c>
      <c r="P102">
        <v>18441340.540540539</v>
      </c>
      <c r="R102">
        <v>1549009.009009009</v>
      </c>
      <c r="S102">
        <v>2893</v>
      </c>
      <c r="T102">
        <v>2845</v>
      </c>
    </row>
    <row r="103" spans="1:20" x14ac:dyDescent="0.35">
      <c r="A103" s="7" t="s">
        <v>190</v>
      </c>
      <c r="B103" s="12" t="s">
        <v>169</v>
      </c>
      <c r="C103">
        <v>166106465.38298914</v>
      </c>
      <c r="D103">
        <v>185299266.96695077</v>
      </c>
      <c r="E103">
        <v>27927.927927928999</v>
      </c>
      <c r="F103">
        <v>220720.720720721</v>
      </c>
      <c r="G103">
        <v>13</v>
      </c>
      <c r="H103">
        <v>6</v>
      </c>
      <c r="K103">
        <v>14</v>
      </c>
      <c r="L103">
        <v>8</v>
      </c>
      <c r="M103">
        <v>5719819.8198198238</v>
      </c>
      <c r="N103">
        <v>6589189.189189191</v>
      </c>
      <c r="O103">
        <v>33494063.063063063</v>
      </c>
      <c r="P103">
        <v>45023628.828828834</v>
      </c>
      <c r="Q103">
        <v>4253333.3333333367</v>
      </c>
      <c r="R103">
        <v>6441711.7117117131</v>
      </c>
      <c r="S103">
        <v>5371</v>
      </c>
      <c r="T103">
        <v>5654</v>
      </c>
    </row>
    <row r="104" spans="1:20" x14ac:dyDescent="0.35">
      <c r="A104" s="7" t="s">
        <v>191</v>
      </c>
      <c r="B104" s="12" t="s">
        <v>192</v>
      </c>
      <c r="C104">
        <v>72984674.848365679</v>
      </c>
      <c r="D104">
        <v>79045338.343584806</v>
      </c>
      <c r="E104">
        <v>270270.27027027</v>
      </c>
      <c r="F104">
        <v>270270.27027027</v>
      </c>
      <c r="G104">
        <v>17</v>
      </c>
      <c r="H104">
        <v>24</v>
      </c>
      <c r="I104">
        <v>1</v>
      </c>
      <c r="K104">
        <v>18</v>
      </c>
      <c r="L104">
        <v>26</v>
      </c>
      <c r="M104">
        <v>1171171.1711711709</v>
      </c>
      <c r="N104">
        <v>1171171.1711711709</v>
      </c>
      <c r="O104">
        <v>5335315.3153153146</v>
      </c>
      <c r="P104">
        <v>6095837.8378378376</v>
      </c>
      <c r="Q104">
        <v>985135.13513513503</v>
      </c>
      <c r="R104">
        <v>905405.40540540498</v>
      </c>
      <c r="S104">
        <v>1725</v>
      </c>
      <c r="T104">
        <v>1697</v>
      </c>
    </row>
    <row r="105" spans="1:20" x14ac:dyDescent="0.35">
      <c r="A105" s="7" t="s">
        <v>193</v>
      </c>
      <c r="B105" s="12" t="s">
        <v>136</v>
      </c>
      <c r="C105">
        <v>17526258.916253608</v>
      </c>
      <c r="D105">
        <v>15186099.194142541</v>
      </c>
      <c r="E105">
        <v>13513.513513514001</v>
      </c>
      <c r="G105">
        <v>9</v>
      </c>
      <c r="H105">
        <v>11</v>
      </c>
      <c r="K105">
        <v>11</v>
      </c>
      <c r="L105">
        <v>22</v>
      </c>
      <c r="M105">
        <v>13513.513513514001</v>
      </c>
      <c r="O105">
        <v>1628783.7837837839</v>
      </c>
      <c r="P105">
        <v>1206297.297297298</v>
      </c>
      <c r="Q105">
        <v>58558.558558559002</v>
      </c>
      <c r="S105">
        <v>987</v>
      </c>
      <c r="T105">
        <v>893</v>
      </c>
    </row>
    <row r="106" spans="1:20" x14ac:dyDescent="0.35">
      <c r="A106" s="7" t="s">
        <v>194</v>
      </c>
      <c r="B106" s="12" t="s">
        <v>61</v>
      </c>
      <c r="C106">
        <v>105162179.10465328</v>
      </c>
      <c r="D106">
        <v>108357453.17334148</v>
      </c>
      <c r="E106">
        <v>850225.22522522497</v>
      </c>
      <c r="F106">
        <v>636036.03603603703</v>
      </c>
      <c r="G106">
        <v>10</v>
      </c>
      <c r="H106">
        <v>7</v>
      </c>
      <c r="K106">
        <v>25</v>
      </c>
      <c r="L106">
        <v>19</v>
      </c>
      <c r="M106">
        <v>9580180.1801801808</v>
      </c>
      <c r="N106">
        <v>11807207.207207205</v>
      </c>
      <c r="O106">
        <v>34310522.522522524</v>
      </c>
      <c r="P106">
        <v>37728018.018018015</v>
      </c>
      <c r="Q106">
        <v>8919009.0090090074</v>
      </c>
      <c r="R106">
        <v>11352432.43243243</v>
      </c>
      <c r="S106">
        <v>5190</v>
      </c>
      <c r="T106">
        <v>3904</v>
      </c>
    </row>
    <row r="107" spans="1:20" x14ac:dyDescent="0.35">
      <c r="A107" s="7" t="s">
        <v>195</v>
      </c>
      <c r="B107" s="12" t="s">
        <v>61</v>
      </c>
      <c r="C107">
        <v>181177409.03560048</v>
      </c>
      <c r="D107">
        <v>195104206.39066997</v>
      </c>
      <c r="E107">
        <v>1326126.1261261259</v>
      </c>
      <c r="F107">
        <v>941441.441441442</v>
      </c>
      <c r="G107">
        <v>16</v>
      </c>
      <c r="H107">
        <v>21</v>
      </c>
      <c r="K107">
        <v>21</v>
      </c>
      <c r="L107">
        <v>26</v>
      </c>
      <c r="M107">
        <v>12497297.297297295</v>
      </c>
      <c r="N107">
        <v>13175675.675675675</v>
      </c>
      <c r="O107">
        <v>47021504.504504502</v>
      </c>
      <c r="P107">
        <v>49138917.117117122</v>
      </c>
      <c r="Q107">
        <v>10467207.207207212</v>
      </c>
      <c r="R107">
        <v>13078781.981981982</v>
      </c>
      <c r="S107">
        <v>6558</v>
      </c>
      <c r="T107">
        <v>6383</v>
      </c>
    </row>
    <row r="108" spans="1:20" x14ac:dyDescent="0.35">
      <c r="A108" s="7" t="s">
        <v>2</v>
      </c>
      <c r="B108" s="12" t="s">
        <v>196</v>
      </c>
      <c r="C108">
        <v>15520337.312908148</v>
      </c>
      <c r="D108">
        <v>7512212.0363657642</v>
      </c>
      <c r="E108">
        <v>40540.540540542002</v>
      </c>
      <c r="F108">
        <v>90090.090090090001</v>
      </c>
      <c r="G108">
        <v>2</v>
      </c>
      <c r="K108">
        <v>3</v>
      </c>
      <c r="M108">
        <v>40540.540540542002</v>
      </c>
      <c r="N108">
        <v>180180.18018018</v>
      </c>
      <c r="O108">
        <v>9733333.3333333321</v>
      </c>
      <c r="P108">
        <v>4115666.666666667</v>
      </c>
      <c r="Q108">
        <v>157657.65765765801</v>
      </c>
      <c r="R108">
        <v>203603.60360360399</v>
      </c>
      <c r="S108">
        <v>1327</v>
      </c>
      <c r="T108">
        <v>16</v>
      </c>
    </row>
    <row r="109" spans="1:20" x14ac:dyDescent="0.35">
      <c r="A109" s="7" t="s">
        <v>197</v>
      </c>
      <c r="B109" s="12" t="s">
        <v>198</v>
      </c>
      <c r="C109">
        <v>644729592.60570824</v>
      </c>
      <c r="D109">
        <v>689458642.38660479</v>
      </c>
      <c r="E109">
        <v>1979954.954954956</v>
      </c>
      <c r="F109">
        <v>1569369.369369373</v>
      </c>
      <c r="G109">
        <v>133</v>
      </c>
      <c r="H109">
        <v>47</v>
      </c>
      <c r="I109">
        <v>1</v>
      </c>
      <c r="K109">
        <v>151</v>
      </c>
      <c r="L109">
        <v>77</v>
      </c>
      <c r="M109">
        <v>30747927.927927926</v>
      </c>
      <c r="N109">
        <v>24974774.774774775</v>
      </c>
      <c r="O109">
        <v>124321207.2072072</v>
      </c>
      <c r="P109">
        <v>137136945.94594595</v>
      </c>
      <c r="Q109">
        <v>23769909.909909908</v>
      </c>
      <c r="R109">
        <v>24428288.288288288</v>
      </c>
      <c r="S109">
        <v>21011</v>
      </c>
      <c r="T109">
        <v>18367</v>
      </c>
    </row>
    <row r="110" spans="1:20" x14ac:dyDescent="0.35">
      <c r="A110" s="7" t="s">
        <v>199</v>
      </c>
      <c r="B110" s="12" t="s">
        <v>81</v>
      </c>
      <c r="C110">
        <v>196884526.97376481</v>
      </c>
      <c r="D110">
        <v>193717096.37090364</v>
      </c>
      <c r="E110">
        <v>29749549.549549554</v>
      </c>
      <c r="F110">
        <v>37296396.396396399</v>
      </c>
      <c r="G110">
        <v>48</v>
      </c>
      <c r="H110">
        <v>31</v>
      </c>
      <c r="K110">
        <v>54</v>
      </c>
      <c r="L110">
        <v>51</v>
      </c>
      <c r="M110">
        <v>31198198.198198199</v>
      </c>
      <c r="N110">
        <v>30072792.792792793</v>
      </c>
      <c r="O110">
        <v>54321333.333333336</v>
      </c>
      <c r="P110">
        <v>53305792.79279279</v>
      </c>
      <c r="Q110">
        <v>29978288.288288288</v>
      </c>
      <c r="R110">
        <v>30585675.675675675</v>
      </c>
      <c r="S110">
        <v>6683</v>
      </c>
      <c r="T110">
        <v>6885</v>
      </c>
    </row>
    <row r="111" spans="1:20" x14ac:dyDescent="0.35">
      <c r="A111" s="7" t="s">
        <v>200</v>
      </c>
      <c r="B111" s="12" t="s">
        <v>109</v>
      </c>
      <c r="C111">
        <v>155563771.51513246</v>
      </c>
      <c r="D111">
        <v>161149622.43258899</v>
      </c>
      <c r="E111">
        <v>1552252.2522522521</v>
      </c>
      <c r="F111">
        <v>1499099.0990990989</v>
      </c>
      <c r="G111">
        <v>50</v>
      </c>
      <c r="H111">
        <v>28</v>
      </c>
      <c r="I111">
        <v>1</v>
      </c>
      <c r="K111">
        <v>60</v>
      </c>
      <c r="L111">
        <v>33</v>
      </c>
      <c r="M111">
        <v>7454054.0540540526</v>
      </c>
      <c r="N111">
        <v>12179279.27927928</v>
      </c>
      <c r="O111">
        <v>46733657.657657653</v>
      </c>
      <c r="P111">
        <v>48881036.036036029</v>
      </c>
      <c r="Q111">
        <v>8024234.2342342343</v>
      </c>
      <c r="R111">
        <v>11812612.612612616</v>
      </c>
      <c r="S111">
        <v>7219</v>
      </c>
      <c r="T111">
        <v>7382</v>
      </c>
    </row>
    <row r="112" spans="1:20" x14ac:dyDescent="0.35">
      <c r="A112" s="7" t="s">
        <v>201</v>
      </c>
      <c r="B112" s="12" t="s">
        <v>93</v>
      </c>
      <c r="C112">
        <v>84015382.371884003</v>
      </c>
      <c r="D112">
        <v>90304358.380799055</v>
      </c>
      <c r="E112">
        <v>3492792.7927927952</v>
      </c>
      <c r="F112">
        <v>1884684.684684685</v>
      </c>
      <c r="G112">
        <v>118</v>
      </c>
      <c r="H112">
        <v>10</v>
      </c>
      <c r="K112">
        <v>227</v>
      </c>
      <c r="L112">
        <v>14</v>
      </c>
      <c r="M112">
        <v>25170270.270270273</v>
      </c>
      <c r="N112">
        <v>14499549.549549548</v>
      </c>
      <c r="O112">
        <v>22866270.270270273</v>
      </c>
      <c r="P112">
        <v>23167045.045045044</v>
      </c>
      <c r="Q112">
        <v>24898738.738738742</v>
      </c>
      <c r="R112">
        <v>14433603.603603603</v>
      </c>
      <c r="S112">
        <v>3050</v>
      </c>
      <c r="T112">
        <v>2890</v>
      </c>
    </row>
    <row r="113" spans="1:20" x14ac:dyDescent="0.35">
      <c r="A113" s="7" t="s">
        <v>202</v>
      </c>
      <c r="B113" s="12" t="s">
        <v>125</v>
      </c>
      <c r="C113">
        <v>74140773.201511383</v>
      </c>
      <c r="D113">
        <v>60838249.145448662</v>
      </c>
      <c r="E113">
        <v>49549.549549550997</v>
      </c>
      <c r="F113">
        <v>841441.44144144095</v>
      </c>
      <c r="G113">
        <v>9</v>
      </c>
      <c r="H113">
        <v>11</v>
      </c>
      <c r="K113">
        <v>10</v>
      </c>
      <c r="L113">
        <v>15</v>
      </c>
      <c r="M113">
        <v>2276756.756756756</v>
      </c>
      <c r="N113">
        <v>3517117.1171171172</v>
      </c>
      <c r="O113">
        <v>12718009.009009007</v>
      </c>
      <c r="P113">
        <v>15185117.117117118</v>
      </c>
      <c r="Q113">
        <v>2645045.0450450452</v>
      </c>
      <c r="R113">
        <v>2406306.3063063058</v>
      </c>
      <c r="S113">
        <v>2495</v>
      </c>
      <c r="T113">
        <v>2424</v>
      </c>
    </row>
    <row r="114" spans="1:20" x14ac:dyDescent="0.35">
      <c r="A114" s="7" t="s">
        <v>203</v>
      </c>
      <c r="B114" s="12" t="s">
        <v>61</v>
      </c>
      <c r="C114">
        <v>52886820.882134832</v>
      </c>
      <c r="D114">
        <v>60686342.414572328</v>
      </c>
      <c r="E114">
        <v>444144.14414414502</v>
      </c>
      <c r="F114">
        <v>286936.936936941</v>
      </c>
      <c r="G114">
        <v>12</v>
      </c>
      <c r="H114">
        <v>5</v>
      </c>
      <c r="I114">
        <v>1</v>
      </c>
      <c r="K114">
        <v>12</v>
      </c>
      <c r="L114">
        <v>12</v>
      </c>
      <c r="M114">
        <v>8119819.8198198201</v>
      </c>
      <c r="N114">
        <v>7836486.4864864871</v>
      </c>
      <c r="O114">
        <v>9652139.6396396402</v>
      </c>
      <c r="P114">
        <v>10913882.882882884</v>
      </c>
      <c r="Q114">
        <v>3997657.6576576568</v>
      </c>
      <c r="R114">
        <v>4187567.5675675678</v>
      </c>
      <c r="S114">
        <v>3669</v>
      </c>
      <c r="T114">
        <v>3596</v>
      </c>
    </row>
    <row r="115" spans="1:20" x14ac:dyDescent="0.35">
      <c r="A115" s="7" t="s">
        <v>204</v>
      </c>
      <c r="B115" s="12" t="s">
        <v>61</v>
      </c>
      <c r="C115">
        <v>18231982.660154827</v>
      </c>
      <c r="D115">
        <v>19075418.658723298</v>
      </c>
      <c r="E115">
        <v>5405.4054054050002</v>
      </c>
      <c r="F115">
        <v>63063.063063064001</v>
      </c>
      <c r="G115">
        <v>6</v>
      </c>
      <c r="H115">
        <v>5</v>
      </c>
      <c r="K115">
        <v>7</v>
      </c>
      <c r="L115">
        <v>5</v>
      </c>
      <c r="M115">
        <v>1383783.783783783</v>
      </c>
      <c r="N115">
        <v>774774.77477477503</v>
      </c>
      <c r="O115">
        <v>3764306.3063063058</v>
      </c>
      <c r="P115">
        <v>4370423.4234234234</v>
      </c>
      <c r="Q115">
        <v>389189.189189189</v>
      </c>
      <c r="R115">
        <v>222072.07207207201</v>
      </c>
      <c r="S115">
        <v>849</v>
      </c>
      <c r="T115">
        <v>1133</v>
      </c>
    </row>
    <row r="116" spans="1:20" x14ac:dyDescent="0.35">
      <c r="A116" s="7" t="s">
        <v>205</v>
      </c>
      <c r="B116" s="12" t="s">
        <v>123</v>
      </c>
      <c r="C116">
        <v>35839910.863581888</v>
      </c>
      <c r="D116">
        <v>34738085.90985848</v>
      </c>
      <c r="E116">
        <v>180180.18018018</v>
      </c>
      <c r="F116">
        <v>256756.756756758</v>
      </c>
      <c r="G116">
        <v>24</v>
      </c>
      <c r="H116">
        <v>7</v>
      </c>
      <c r="K116">
        <v>26</v>
      </c>
      <c r="L116">
        <v>9</v>
      </c>
      <c r="M116">
        <v>184684.68468468499</v>
      </c>
      <c r="N116">
        <v>436936.93693693797</v>
      </c>
      <c r="O116">
        <v>3470117.1171171172</v>
      </c>
      <c r="P116">
        <v>3197297.297297298</v>
      </c>
      <c r="R116">
        <v>247747.74774774801</v>
      </c>
      <c r="S116">
        <v>1370</v>
      </c>
      <c r="T116">
        <v>1402</v>
      </c>
    </row>
    <row r="117" spans="1:20" x14ac:dyDescent="0.35">
      <c r="A117" s="7" t="s">
        <v>206</v>
      </c>
      <c r="B117" s="12" t="s">
        <v>55</v>
      </c>
      <c r="C117">
        <v>56442405.601710163</v>
      </c>
      <c r="D117">
        <v>64634012.604441963</v>
      </c>
      <c r="E117">
        <v>219819.81981982</v>
      </c>
      <c r="F117">
        <v>208108.10810810799</v>
      </c>
      <c r="G117">
        <v>10</v>
      </c>
      <c r="H117">
        <v>6</v>
      </c>
      <c r="K117">
        <v>10</v>
      </c>
      <c r="L117">
        <v>8</v>
      </c>
      <c r="M117">
        <v>3206306.3063063072</v>
      </c>
      <c r="N117">
        <v>2514414.4144144128</v>
      </c>
      <c r="O117">
        <v>14409252.252252253</v>
      </c>
      <c r="P117">
        <v>17561954.954954956</v>
      </c>
      <c r="Q117">
        <v>3023783.7837837851</v>
      </c>
      <c r="R117">
        <v>3173333.333333333</v>
      </c>
      <c r="S117">
        <v>3667</v>
      </c>
      <c r="T117">
        <v>3860</v>
      </c>
    </row>
    <row r="118" spans="1:20" x14ac:dyDescent="0.35">
      <c r="A118" s="7" t="s">
        <v>207</v>
      </c>
      <c r="B118" s="12" t="s">
        <v>138</v>
      </c>
      <c r="C118">
        <v>199494279.55605251</v>
      </c>
      <c r="D118">
        <v>216386546.31891581</v>
      </c>
      <c r="E118">
        <v>159459.45945946101</v>
      </c>
      <c r="F118">
        <v>502702.70270270098</v>
      </c>
      <c r="G118">
        <v>23</v>
      </c>
      <c r="H118">
        <v>29</v>
      </c>
      <c r="I118">
        <v>2</v>
      </c>
      <c r="K118">
        <v>24</v>
      </c>
      <c r="L118">
        <v>32</v>
      </c>
      <c r="M118">
        <v>18114414.414414413</v>
      </c>
      <c r="N118">
        <v>13655855.855855854</v>
      </c>
      <c r="O118">
        <v>37245846.846846849</v>
      </c>
      <c r="P118">
        <v>42049261.261261262</v>
      </c>
      <c r="Q118">
        <v>14494504.504504504</v>
      </c>
      <c r="R118">
        <v>14433243.243243244</v>
      </c>
      <c r="S118">
        <v>5642</v>
      </c>
      <c r="T118">
        <v>5268</v>
      </c>
    </row>
    <row r="119" spans="1:20" x14ac:dyDescent="0.35">
      <c r="A119" s="7" t="s">
        <v>208</v>
      </c>
      <c r="B119" s="12" t="s">
        <v>138</v>
      </c>
      <c r="C119">
        <v>106153150.72192927</v>
      </c>
      <c r="D119">
        <v>112577792.16924928</v>
      </c>
      <c r="E119">
        <v>326126.12612612598</v>
      </c>
      <c r="F119">
        <v>38738.738738738997</v>
      </c>
      <c r="G119">
        <v>13</v>
      </c>
      <c r="H119">
        <v>13</v>
      </c>
      <c r="K119">
        <v>19</v>
      </c>
      <c r="L119">
        <v>14</v>
      </c>
      <c r="M119">
        <v>3641441.44144144</v>
      </c>
      <c r="N119">
        <v>2471171.1711711702</v>
      </c>
      <c r="O119">
        <v>20284980.180180181</v>
      </c>
      <c r="P119">
        <v>23688216.216216218</v>
      </c>
      <c r="Q119">
        <v>2093333.3333333321</v>
      </c>
      <c r="R119">
        <v>1541081.08108108</v>
      </c>
      <c r="S119">
        <v>3170</v>
      </c>
      <c r="T119">
        <v>3120</v>
      </c>
    </row>
    <row r="120" spans="1:20" x14ac:dyDescent="0.35">
      <c r="A120" s="7" t="s">
        <v>209</v>
      </c>
      <c r="B120" s="12" t="s">
        <v>171</v>
      </c>
      <c r="C120">
        <v>239477379.43457091</v>
      </c>
      <c r="D120">
        <v>256943449.85750067</v>
      </c>
      <c r="E120">
        <v>756756.75675675797</v>
      </c>
      <c r="F120">
        <v>2550450.450450452</v>
      </c>
      <c r="G120">
        <v>8</v>
      </c>
      <c r="H120">
        <v>9</v>
      </c>
      <c r="K120">
        <v>10</v>
      </c>
      <c r="L120">
        <v>10</v>
      </c>
      <c r="M120">
        <v>1730666666.6666667</v>
      </c>
      <c r="N120">
        <v>22572972.97297297</v>
      </c>
      <c r="O120">
        <v>110981396.3963964</v>
      </c>
      <c r="P120">
        <v>124282801.8018018</v>
      </c>
      <c r="Q120">
        <v>15986800</v>
      </c>
      <c r="R120">
        <v>20666846.846846849</v>
      </c>
      <c r="S120">
        <v>7688</v>
      </c>
      <c r="T120">
        <v>7878</v>
      </c>
    </row>
    <row r="121" spans="1:20" x14ac:dyDescent="0.35">
      <c r="A121" s="7" t="s">
        <v>210</v>
      </c>
      <c r="B121" s="12" t="s">
        <v>95</v>
      </c>
      <c r="E121">
        <v>29166666.666666668</v>
      </c>
      <c r="F121">
        <v>13513513.513513515</v>
      </c>
      <c r="M121">
        <v>3317567.5675675678</v>
      </c>
      <c r="N121">
        <v>2139189.1891891891</v>
      </c>
    </row>
    <row r="122" spans="1:20" x14ac:dyDescent="0.35">
      <c r="A122" s="7" t="s">
        <v>211</v>
      </c>
      <c r="B122" s="12" t="s">
        <v>163</v>
      </c>
      <c r="C122">
        <v>271793787.94284976</v>
      </c>
      <c r="D122">
        <v>286074955.53907901</v>
      </c>
      <c r="E122">
        <v>1610810.81081082</v>
      </c>
      <c r="F122">
        <v>1929279.2792792839</v>
      </c>
      <c r="G122">
        <v>77</v>
      </c>
      <c r="H122">
        <v>67</v>
      </c>
      <c r="K122">
        <v>291</v>
      </c>
      <c r="L122">
        <v>116</v>
      </c>
      <c r="M122">
        <v>23047567.567567576</v>
      </c>
      <c r="N122">
        <v>34818648.648648649</v>
      </c>
      <c r="O122">
        <v>78075930.180180177</v>
      </c>
      <c r="P122">
        <v>89893423.423423424</v>
      </c>
      <c r="Q122">
        <v>24502522.522522528</v>
      </c>
      <c r="R122">
        <v>33179682.882882878</v>
      </c>
      <c r="S122">
        <v>13760</v>
      </c>
      <c r="T122">
        <v>12688</v>
      </c>
    </row>
    <row r="123" spans="1:20" x14ac:dyDescent="0.35">
      <c r="A123" s="7" t="s">
        <v>212</v>
      </c>
      <c r="B123" s="12" t="s">
        <v>77</v>
      </c>
      <c r="C123">
        <v>8319736.6208540946</v>
      </c>
      <c r="D123">
        <v>8616777.0313945245</v>
      </c>
      <c r="H123">
        <v>2</v>
      </c>
      <c r="L123">
        <v>2</v>
      </c>
      <c r="O123">
        <v>654774.77477477503</v>
      </c>
      <c r="P123">
        <v>783513.51351351396</v>
      </c>
      <c r="S123">
        <v>525</v>
      </c>
      <c r="T123">
        <v>529</v>
      </c>
    </row>
    <row r="124" spans="1:20" x14ac:dyDescent="0.35">
      <c r="A124" s="7" t="s">
        <v>213</v>
      </c>
      <c r="B124" s="12" t="s">
        <v>77</v>
      </c>
      <c r="C124">
        <v>116485806.92847188</v>
      </c>
      <c r="D124">
        <v>117003254.92910467</v>
      </c>
      <c r="E124">
        <v>32087910.810810816</v>
      </c>
      <c r="F124">
        <v>84967497.297297299</v>
      </c>
      <c r="G124">
        <v>45</v>
      </c>
      <c r="H124">
        <v>52</v>
      </c>
      <c r="I124">
        <v>2</v>
      </c>
      <c r="K124">
        <v>58</v>
      </c>
      <c r="L124">
        <v>61</v>
      </c>
      <c r="M124">
        <v>15179999.999999998</v>
      </c>
      <c r="N124">
        <v>8418026.1261261273</v>
      </c>
      <c r="O124">
        <v>17811837.837837838</v>
      </c>
      <c r="P124">
        <v>19944936.936936937</v>
      </c>
      <c r="Q124">
        <v>14941711.711711712</v>
      </c>
      <c r="R124">
        <v>8705675.6756756734</v>
      </c>
      <c r="S124">
        <v>5585</v>
      </c>
      <c r="T124">
        <v>4452</v>
      </c>
    </row>
    <row r="125" spans="1:20" x14ac:dyDescent="0.35">
      <c r="A125" s="7" t="s">
        <v>214</v>
      </c>
      <c r="B125" s="12" t="s">
        <v>77</v>
      </c>
      <c r="C125">
        <v>150743354.54416609</v>
      </c>
      <c r="D125">
        <v>166999787.27824613</v>
      </c>
      <c r="E125">
        <v>1722522.522522528</v>
      </c>
      <c r="F125">
        <v>2851351.3513513552</v>
      </c>
      <c r="G125">
        <v>72</v>
      </c>
      <c r="H125">
        <v>178</v>
      </c>
      <c r="I125">
        <v>1</v>
      </c>
      <c r="K125">
        <v>90</v>
      </c>
      <c r="L125">
        <v>200</v>
      </c>
      <c r="M125">
        <v>51844864.864864863</v>
      </c>
      <c r="N125">
        <v>53142342.342342339</v>
      </c>
      <c r="O125">
        <v>46285486.486486487</v>
      </c>
      <c r="P125">
        <v>57774054.054054059</v>
      </c>
      <c r="Q125">
        <v>39432162.162162162</v>
      </c>
      <c r="R125">
        <v>41990900.900900893</v>
      </c>
      <c r="S125">
        <v>6883</v>
      </c>
      <c r="T125">
        <v>6773</v>
      </c>
    </row>
    <row r="126" spans="1:20" x14ac:dyDescent="0.35">
      <c r="A126" s="7" t="s">
        <v>215</v>
      </c>
      <c r="B126" s="12" t="s">
        <v>77</v>
      </c>
      <c r="C126">
        <v>109151311.80534451</v>
      </c>
      <c r="D126">
        <v>106664961.88578513</v>
      </c>
      <c r="E126">
        <v>987162.16216216504</v>
      </c>
      <c r="F126">
        <v>1340540.540540542</v>
      </c>
      <c r="G126">
        <v>53</v>
      </c>
      <c r="H126">
        <v>100</v>
      </c>
      <c r="K126">
        <v>60</v>
      </c>
      <c r="L126">
        <v>108</v>
      </c>
      <c r="M126">
        <v>10696756.756756756</v>
      </c>
      <c r="N126">
        <v>12759467.567567568</v>
      </c>
      <c r="O126">
        <v>17089425.675675675</v>
      </c>
      <c r="P126">
        <v>18173009.009009007</v>
      </c>
      <c r="Q126">
        <v>8996036.0360360369</v>
      </c>
      <c r="R126">
        <v>11039549.549549548</v>
      </c>
      <c r="S126">
        <v>4215</v>
      </c>
      <c r="T126">
        <v>3973</v>
      </c>
    </row>
    <row r="127" spans="1:20" x14ac:dyDescent="0.35">
      <c r="A127" s="7" t="s">
        <v>216</v>
      </c>
      <c r="B127" s="12" t="s">
        <v>77</v>
      </c>
      <c r="C127">
        <v>39757859.756859206</v>
      </c>
      <c r="D127">
        <v>46315092.915410034</v>
      </c>
      <c r="E127">
        <v>900.900900901</v>
      </c>
      <c r="F127">
        <v>61261.261261261003</v>
      </c>
      <c r="G127">
        <v>4</v>
      </c>
      <c r="H127">
        <v>5</v>
      </c>
      <c r="K127">
        <v>4</v>
      </c>
      <c r="L127">
        <v>8</v>
      </c>
      <c r="M127">
        <v>1205585.5855855839</v>
      </c>
      <c r="N127">
        <v>2421621.6216216208</v>
      </c>
      <c r="O127">
        <v>5911864.8648648644</v>
      </c>
      <c r="P127">
        <v>7177963.963963964</v>
      </c>
      <c r="Q127">
        <v>988468.46846846805</v>
      </c>
      <c r="R127">
        <v>978288.28828828898</v>
      </c>
      <c r="S127">
        <v>2048</v>
      </c>
      <c r="T127">
        <v>1932</v>
      </c>
    </row>
    <row r="128" spans="1:20" x14ac:dyDescent="0.35">
      <c r="A128" s="7" t="s">
        <v>217</v>
      </c>
      <c r="B128" s="12" t="s">
        <v>218</v>
      </c>
      <c r="C128">
        <v>57362797.195423104</v>
      </c>
      <c r="D128">
        <v>59828461.813416883</v>
      </c>
      <c r="E128">
        <v>277477.47747747903</v>
      </c>
      <c r="F128">
        <v>651351.35135135194</v>
      </c>
      <c r="G128">
        <v>23</v>
      </c>
      <c r="I128">
        <v>1</v>
      </c>
      <c r="K128">
        <v>25</v>
      </c>
      <c r="M128">
        <v>8149999.9999999991</v>
      </c>
      <c r="N128">
        <v>11462162.162162164</v>
      </c>
      <c r="O128">
        <v>25776027.02702703</v>
      </c>
      <c r="P128">
        <v>30105756.756756756</v>
      </c>
      <c r="Q128">
        <v>6077837.8378378386</v>
      </c>
      <c r="R128">
        <v>16121621.621621622</v>
      </c>
      <c r="S128">
        <v>2318</v>
      </c>
      <c r="T128">
        <v>2284</v>
      </c>
    </row>
    <row r="129" spans="1:20" x14ac:dyDescent="0.35">
      <c r="A129" s="7" t="s">
        <v>219</v>
      </c>
      <c r="B129" s="12" t="s">
        <v>169</v>
      </c>
      <c r="C129">
        <v>62761559.849954881</v>
      </c>
      <c r="D129">
        <v>60794074.548129752</v>
      </c>
      <c r="G129">
        <v>3</v>
      </c>
      <c r="H129">
        <v>1</v>
      </c>
      <c r="K129">
        <v>3</v>
      </c>
      <c r="L129">
        <v>1</v>
      </c>
      <c r="M129">
        <v>450450.45045045001</v>
      </c>
      <c r="O129">
        <v>10949027.027027028</v>
      </c>
      <c r="P129">
        <v>15600036.036036037</v>
      </c>
      <c r="R129">
        <v>46846.846846847002</v>
      </c>
      <c r="S129">
        <v>1877</v>
      </c>
      <c r="T129">
        <v>1767</v>
      </c>
    </row>
    <row r="130" spans="1:20" x14ac:dyDescent="0.35">
      <c r="A130" s="7" t="s">
        <v>220</v>
      </c>
      <c r="B130" s="12" t="s">
        <v>86</v>
      </c>
      <c r="C130">
        <v>14585628.179971579</v>
      </c>
      <c r="D130">
        <v>16099753.907985309</v>
      </c>
      <c r="E130">
        <v>85585.585585585999</v>
      </c>
      <c r="F130">
        <v>1490090.0900900899</v>
      </c>
      <c r="G130">
        <v>6</v>
      </c>
      <c r="K130">
        <v>8</v>
      </c>
      <c r="L130">
        <v>1</v>
      </c>
      <c r="M130">
        <v>24980180.180180181</v>
      </c>
      <c r="N130">
        <v>25461261.261261266</v>
      </c>
      <c r="O130">
        <v>4310450.4504504511</v>
      </c>
      <c r="P130">
        <v>6157592.7927927934</v>
      </c>
      <c r="Q130">
        <v>19350270.270270273</v>
      </c>
      <c r="R130">
        <v>23104504.504504506</v>
      </c>
      <c r="S130">
        <v>711</v>
      </c>
      <c r="T130">
        <v>677</v>
      </c>
    </row>
    <row r="131" spans="1:20" x14ac:dyDescent="0.35">
      <c r="A131" s="7" t="s">
        <v>221</v>
      </c>
      <c r="B131" s="12" t="s">
        <v>86</v>
      </c>
      <c r="C131">
        <v>56195526.314972125</v>
      </c>
      <c r="D131">
        <v>59702519.352724761</v>
      </c>
      <c r="E131">
        <v>205405.405405406</v>
      </c>
      <c r="F131">
        <v>542342.34234234202</v>
      </c>
      <c r="G131">
        <v>19</v>
      </c>
      <c r="H131">
        <v>4</v>
      </c>
      <c r="K131">
        <v>21</v>
      </c>
      <c r="L131">
        <v>7</v>
      </c>
      <c r="M131">
        <v>10534234.234234236</v>
      </c>
      <c r="N131">
        <v>17037845.945945948</v>
      </c>
      <c r="O131">
        <v>11552153.153153151</v>
      </c>
      <c r="P131">
        <v>14264675.675675675</v>
      </c>
      <c r="Q131">
        <v>10782252.252252253</v>
      </c>
      <c r="R131">
        <v>13087657.657657659</v>
      </c>
      <c r="S131">
        <v>6661</v>
      </c>
      <c r="T131">
        <v>2421</v>
      </c>
    </row>
    <row r="132" spans="1:20" x14ac:dyDescent="0.35">
      <c r="A132" s="7" t="s">
        <v>222</v>
      </c>
      <c r="B132" s="12" t="s">
        <v>149</v>
      </c>
      <c r="C132">
        <v>53445227.656575441</v>
      </c>
      <c r="D132">
        <v>46448592.366785854</v>
      </c>
      <c r="E132">
        <v>4013513.5135135138</v>
      </c>
      <c r="F132">
        <v>2981081.0810810821</v>
      </c>
      <c r="G132">
        <v>48</v>
      </c>
      <c r="H132">
        <v>9</v>
      </c>
      <c r="K132">
        <v>68</v>
      </c>
      <c r="L132">
        <v>11</v>
      </c>
      <c r="M132">
        <v>34771621.621621624</v>
      </c>
      <c r="N132">
        <v>40243930.630630635</v>
      </c>
      <c r="O132">
        <v>17974513.513513513</v>
      </c>
      <c r="P132">
        <v>14594864.864864863</v>
      </c>
      <c r="Q132">
        <v>36018198.198198199</v>
      </c>
      <c r="R132">
        <v>41151171.171171166</v>
      </c>
      <c r="S132">
        <v>2796</v>
      </c>
      <c r="T132">
        <v>2454</v>
      </c>
    </row>
    <row r="133" spans="1:20" x14ac:dyDescent="0.35">
      <c r="A133" s="7" t="s">
        <v>223</v>
      </c>
      <c r="B133" s="12" t="s">
        <v>224</v>
      </c>
      <c r="C133">
        <v>104927025.47850336</v>
      </c>
      <c r="D133">
        <v>107601086.6512638</v>
      </c>
      <c r="E133">
        <v>1259459.459459461</v>
      </c>
      <c r="F133">
        <v>837387.38738738804</v>
      </c>
      <c r="G133">
        <v>23</v>
      </c>
      <c r="H133">
        <v>39</v>
      </c>
      <c r="K133">
        <v>27</v>
      </c>
      <c r="L133">
        <v>50</v>
      </c>
      <c r="M133">
        <v>105409099.0990991</v>
      </c>
      <c r="N133">
        <v>173826126.12612614</v>
      </c>
      <c r="O133">
        <v>26139263.513513513</v>
      </c>
      <c r="P133">
        <v>30553504.504504506</v>
      </c>
      <c r="Q133">
        <v>138360090.0900901</v>
      </c>
      <c r="R133">
        <v>148673963.96396396</v>
      </c>
      <c r="S133">
        <v>6483</v>
      </c>
      <c r="T133">
        <v>6401</v>
      </c>
    </row>
    <row r="134" spans="1:20" x14ac:dyDescent="0.35">
      <c r="A134" s="7" t="s">
        <v>225</v>
      </c>
      <c r="B134" s="12" t="s">
        <v>53</v>
      </c>
      <c r="C134">
        <v>246227539.00928044</v>
      </c>
      <c r="D134">
        <v>270723984.30077809</v>
      </c>
      <c r="E134">
        <v>1793693.693693694</v>
      </c>
      <c r="F134">
        <v>2200450.4504504539</v>
      </c>
      <c r="G134">
        <v>60</v>
      </c>
      <c r="H134">
        <v>30</v>
      </c>
      <c r="K134">
        <v>72</v>
      </c>
      <c r="L134">
        <v>58</v>
      </c>
      <c r="M134">
        <v>8748648.6486486495</v>
      </c>
      <c r="N134">
        <v>22107657.657657661</v>
      </c>
      <c r="O134">
        <v>80157387.387387395</v>
      </c>
      <c r="P134">
        <v>85362495.495495483</v>
      </c>
      <c r="Q134">
        <v>20389009.009009007</v>
      </c>
      <c r="R134">
        <v>19322792.792792793</v>
      </c>
      <c r="S134">
        <v>9711</v>
      </c>
      <c r="T134">
        <v>10581</v>
      </c>
    </row>
    <row r="135" spans="1:20" x14ac:dyDescent="0.35">
      <c r="A135" s="7" t="s">
        <v>226</v>
      </c>
      <c r="B135" s="12" t="s">
        <v>77</v>
      </c>
      <c r="C135">
        <v>191680825.76785836</v>
      </c>
      <c r="D135">
        <v>202643688.78067923</v>
      </c>
      <c r="E135">
        <v>552252.25225225498</v>
      </c>
      <c r="F135">
        <v>683783.78378378495</v>
      </c>
      <c r="G135">
        <v>42</v>
      </c>
      <c r="H135">
        <v>50</v>
      </c>
      <c r="K135">
        <v>48</v>
      </c>
      <c r="L135">
        <v>54</v>
      </c>
      <c r="M135">
        <v>14065225.225225221</v>
      </c>
      <c r="N135">
        <v>17557657.657657661</v>
      </c>
      <c r="O135">
        <v>36925842.342342347</v>
      </c>
      <c r="P135">
        <v>44527639.639639638</v>
      </c>
      <c r="Q135">
        <v>11545045.045045044</v>
      </c>
      <c r="R135">
        <v>16163153.153153157</v>
      </c>
      <c r="S135">
        <v>6993</v>
      </c>
      <c r="T135">
        <v>7120</v>
      </c>
    </row>
    <row r="136" spans="1:20" x14ac:dyDescent="0.35">
      <c r="A136" s="7" t="s">
        <v>227</v>
      </c>
      <c r="B136" s="12" t="s">
        <v>228</v>
      </c>
      <c r="C136">
        <v>16997579.336049814</v>
      </c>
      <c r="D136">
        <v>17275645.491489314</v>
      </c>
      <c r="G136">
        <v>1</v>
      </c>
      <c r="H136">
        <v>2</v>
      </c>
      <c r="K136">
        <v>1</v>
      </c>
      <c r="L136">
        <v>2</v>
      </c>
      <c r="O136">
        <v>4256468.4684684677</v>
      </c>
      <c r="P136">
        <v>4067918.9189189188</v>
      </c>
      <c r="Q136">
        <v>398378.37837837799</v>
      </c>
      <c r="R136">
        <v>56936.936936937003</v>
      </c>
      <c r="S136">
        <v>832</v>
      </c>
      <c r="T136">
        <v>785</v>
      </c>
    </row>
    <row r="137" spans="1:20" x14ac:dyDescent="0.35">
      <c r="A137" s="7" t="s">
        <v>229</v>
      </c>
      <c r="B137" s="12" t="s">
        <v>145</v>
      </c>
      <c r="C137">
        <v>159853540.76690534</v>
      </c>
      <c r="D137">
        <v>175248533.50318569</v>
      </c>
      <c r="E137">
        <v>2329729.729729733</v>
      </c>
      <c r="F137">
        <v>873873.87387387594</v>
      </c>
      <c r="G137">
        <v>54</v>
      </c>
      <c r="H137">
        <v>10</v>
      </c>
      <c r="K137">
        <v>63</v>
      </c>
      <c r="L137">
        <v>15</v>
      </c>
      <c r="M137">
        <v>9675675.6756756771</v>
      </c>
      <c r="N137">
        <v>7648648.6486486476</v>
      </c>
      <c r="O137">
        <v>22161174.774774775</v>
      </c>
      <c r="P137">
        <v>26111666.666666668</v>
      </c>
      <c r="Q137">
        <v>5816216.216216214</v>
      </c>
      <c r="R137">
        <v>5470270.2702702694</v>
      </c>
      <c r="S137">
        <v>6074</v>
      </c>
      <c r="T137">
        <v>5793</v>
      </c>
    </row>
    <row r="138" spans="1:20" x14ac:dyDescent="0.35">
      <c r="A138" s="7" t="s">
        <v>230</v>
      </c>
      <c r="B138" s="12" t="s">
        <v>228</v>
      </c>
      <c r="C138">
        <v>16853419.281492703</v>
      </c>
      <c r="D138">
        <v>18909526.437191304</v>
      </c>
      <c r="E138">
        <v>40540.540540542002</v>
      </c>
      <c r="F138">
        <v>22522.522522522999</v>
      </c>
      <c r="G138">
        <v>4</v>
      </c>
      <c r="H138">
        <v>3</v>
      </c>
      <c r="K138">
        <v>4</v>
      </c>
      <c r="L138">
        <v>3</v>
      </c>
      <c r="M138">
        <v>1936036.036036036</v>
      </c>
      <c r="N138">
        <v>1558108.1081081061</v>
      </c>
      <c r="O138">
        <v>4593432.4324324317</v>
      </c>
      <c r="P138">
        <v>4707081.0810810812</v>
      </c>
      <c r="Q138">
        <v>1264054.054054053</v>
      </c>
      <c r="R138">
        <v>1067027.0270270261</v>
      </c>
      <c r="S138">
        <v>2594</v>
      </c>
      <c r="T138">
        <v>725</v>
      </c>
    </row>
    <row r="139" spans="1:20" x14ac:dyDescent="0.35">
      <c r="A139" s="7" t="s">
        <v>231</v>
      </c>
      <c r="B139" s="12" t="s">
        <v>79</v>
      </c>
      <c r="C139">
        <v>148571498.24574623</v>
      </c>
      <c r="D139">
        <v>165998337.85730228</v>
      </c>
      <c r="E139">
        <v>1752252.252252253</v>
      </c>
      <c r="F139">
        <v>1099099.099099101</v>
      </c>
      <c r="G139">
        <v>23</v>
      </c>
      <c r="H139">
        <v>11</v>
      </c>
      <c r="K139">
        <v>26</v>
      </c>
      <c r="L139">
        <v>13</v>
      </c>
      <c r="M139">
        <v>16483333.333333332</v>
      </c>
      <c r="N139">
        <v>12997837.837837838</v>
      </c>
      <c r="O139">
        <v>58306693.693693697</v>
      </c>
      <c r="P139">
        <v>66964423.423423424</v>
      </c>
      <c r="Q139">
        <v>12752972.972972972</v>
      </c>
      <c r="R139">
        <v>11074144.144144146</v>
      </c>
      <c r="S139">
        <v>4481</v>
      </c>
      <c r="T139">
        <v>4954</v>
      </c>
    </row>
    <row r="140" spans="1:20" x14ac:dyDescent="0.35">
      <c r="A140" s="7" t="s">
        <v>232</v>
      </c>
      <c r="B140" s="12" t="s">
        <v>138</v>
      </c>
      <c r="C140">
        <v>199195334.42125842</v>
      </c>
      <c r="D140">
        <v>217551393.93122268</v>
      </c>
      <c r="E140">
        <v>1211261.261261266</v>
      </c>
      <c r="F140">
        <v>1522522.522522524</v>
      </c>
      <c r="G140">
        <v>45</v>
      </c>
      <c r="H140">
        <v>28</v>
      </c>
      <c r="I140">
        <v>1</v>
      </c>
      <c r="K140">
        <v>57</v>
      </c>
      <c r="L140">
        <v>35</v>
      </c>
      <c r="M140">
        <v>22572972.972972967</v>
      </c>
      <c r="N140">
        <v>27081081.081081081</v>
      </c>
      <c r="O140">
        <v>48596130.630630635</v>
      </c>
      <c r="P140">
        <v>52259432.432432435</v>
      </c>
      <c r="Q140">
        <v>17259999.999999996</v>
      </c>
      <c r="R140">
        <v>25875315.315315317</v>
      </c>
      <c r="S140">
        <v>7610</v>
      </c>
      <c r="T140">
        <v>8206</v>
      </c>
    </row>
    <row r="141" spans="1:20" x14ac:dyDescent="0.35">
      <c r="A141" s="7" t="s">
        <v>233</v>
      </c>
      <c r="B141" s="12" t="s">
        <v>79</v>
      </c>
      <c r="C141">
        <v>58411002.07562419</v>
      </c>
      <c r="D141">
        <v>63344445.091864057</v>
      </c>
      <c r="E141">
        <v>37426126.126126125</v>
      </c>
      <c r="F141">
        <v>80779729.729729727</v>
      </c>
      <c r="G141">
        <v>19</v>
      </c>
      <c r="H141">
        <v>11</v>
      </c>
      <c r="K141">
        <v>21</v>
      </c>
      <c r="L141">
        <v>12</v>
      </c>
      <c r="M141">
        <v>9771621.6216216199</v>
      </c>
      <c r="N141">
        <v>18149099.0990991</v>
      </c>
      <c r="O141">
        <v>27815000</v>
      </c>
      <c r="P141">
        <v>30510962.162162159</v>
      </c>
      <c r="Q141">
        <v>11768288.288288288</v>
      </c>
      <c r="R141">
        <v>13448421.621621622</v>
      </c>
      <c r="S141">
        <v>2613</v>
      </c>
      <c r="T141">
        <v>2615</v>
      </c>
    </row>
    <row r="142" spans="1:20" x14ac:dyDescent="0.35">
      <c r="A142" s="7" t="s">
        <v>234</v>
      </c>
      <c r="B142" s="12" t="s">
        <v>55</v>
      </c>
      <c r="C142">
        <v>160794986.38808131</v>
      </c>
      <c r="D142">
        <v>174248334.99872351</v>
      </c>
      <c r="E142">
        <v>390090.09009009099</v>
      </c>
      <c r="F142">
        <v>45945.945945945998</v>
      </c>
      <c r="G142">
        <v>14</v>
      </c>
      <c r="H142">
        <v>18</v>
      </c>
      <c r="K142">
        <v>15</v>
      </c>
      <c r="L142">
        <v>23</v>
      </c>
      <c r="M142">
        <v>16908108.108108111</v>
      </c>
      <c r="N142">
        <v>5100000</v>
      </c>
      <c r="O142">
        <v>41075421.621621624</v>
      </c>
      <c r="P142">
        <v>43026081.081081077</v>
      </c>
      <c r="Q142">
        <v>19944864.864864863</v>
      </c>
      <c r="R142">
        <v>3196666.666666667</v>
      </c>
      <c r="S142">
        <v>6697</v>
      </c>
      <c r="T142">
        <v>6785</v>
      </c>
    </row>
    <row r="143" spans="1:20" x14ac:dyDescent="0.35">
      <c r="A143" s="7" t="s">
        <v>235</v>
      </c>
      <c r="B143" s="12" t="s">
        <v>79</v>
      </c>
      <c r="C143">
        <v>60020798.01489421</v>
      </c>
      <c r="D143">
        <v>67368327.773362532</v>
      </c>
      <c r="E143">
        <v>1250450.4504504551</v>
      </c>
      <c r="F143">
        <v>4186936.9369369382</v>
      </c>
      <c r="G143">
        <v>21</v>
      </c>
      <c r="H143">
        <v>13</v>
      </c>
      <c r="I143">
        <v>1</v>
      </c>
      <c r="K143">
        <v>53</v>
      </c>
      <c r="L143">
        <v>15</v>
      </c>
      <c r="M143">
        <v>12577477.477477476</v>
      </c>
      <c r="N143">
        <v>18421171.171171173</v>
      </c>
      <c r="O143">
        <v>28169603.603603605</v>
      </c>
      <c r="P143">
        <v>31558648.648648649</v>
      </c>
      <c r="Q143">
        <v>13552702.702702705</v>
      </c>
      <c r="R143">
        <v>18105495.495495494</v>
      </c>
      <c r="S143">
        <v>3951</v>
      </c>
      <c r="T143">
        <v>4088</v>
      </c>
    </row>
    <row r="144" spans="1:20" x14ac:dyDescent="0.35">
      <c r="A144" s="7" t="s">
        <v>236</v>
      </c>
      <c r="B144" s="12" t="s">
        <v>61</v>
      </c>
      <c r="C144">
        <v>56773596.701860957</v>
      </c>
      <c r="D144">
        <v>57896018.271564923</v>
      </c>
      <c r="G144">
        <v>14</v>
      </c>
      <c r="H144">
        <v>1</v>
      </c>
      <c r="K144">
        <v>14</v>
      </c>
      <c r="L144">
        <v>1</v>
      </c>
      <c r="O144">
        <v>23850765.765765768</v>
      </c>
      <c r="P144">
        <v>24944324.324324325</v>
      </c>
      <c r="S144">
        <v>1861</v>
      </c>
      <c r="T144">
        <v>1928</v>
      </c>
    </row>
    <row r="145" spans="1:20" x14ac:dyDescent="0.35">
      <c r="A145" s="7" t="s">
        <v>237</v>
      </c>
      <c r="B145" s="12" t="s">
        <v>55</v>
      </c>
      <c r="C145">
        <v>26859441.91422639</v>
      </c>
      <c r="D145">
        <v>28323713.688728001</v>
      </c>
      <c r="E145">
        <v>17117.117117117999</v>
      </c>
      <c r="F145">
        <v>19819.819819820001</v>
      </c>
      <c r="G145">
        <v>4</v>
      </c>
      <c r="H145">
        <v>2</v>
      </c>
      <c r="K145">
        <v>4</v>
      </c>
      <c r="L145">
        <v>3</v>
      </c>
      <c r="M145">
        <v>1243423.423423423</v>
      </c>
      <c r="N145">
        <v>1081081.0810810809</v>
      </c>
      <c r="O145">
        <v>4997792.7927927934</v>
      </c>
      <c r="P145">
        <v>6880738.7387387389</v>
      </c>
      <c r="Q145">
        <v>1202792.792792792</v>
      </c>
      <c r="R145">
        <v>1223693.693693694</v>
      </c>
      <c r="S145">
        <v>1102</v>
      </c>
      <c r="T145">
        <v>1062</v>
      </c>
    </row>
    <row r="146" spans="1:20" x14ac:dyDescent="0.35">
      <c r="A146" s="7" t="s">
        <v>238</v>
      </c>
      <c r="B146" s="12" t="s">
        <v>169</v>
      </c>
      <c r="C146">
        <v>121713049.12278087</v>
      </c>
      <c r="D146">
        <v>126271881.26284382</v>
      </c>
      <c r="E146">
        <v>310810.810810811</v>
      </c>
      <c r="F146">
        <v>180180.18018018</v>
      </c>
      <c r="G146">
        <v>9</v>
      </c>
      <c r="H146">
        <v>9</v>
      </c>
      <c r="K146">
        <v>10</v>
      </c>
      <c r="L146">
        <v>10</v>
      </c>
      <c r="M146">
        <v>8923423.4234234225</v>
      </c>
      <c r="N146">
        <v>19326126.126126129</v>
      </c>
      <c r="O146">
        <v>33470986.486486487</v>
      </c>
      <c r="P146">
        <v>43101639.639639638</v>
      </c>
      <c r="Q146">
        <v>5958018.0180180185</v>
      </c>
      <c r="R146">
        <v>9553063.0630630646</v>
      </c>
      <c r="S146">
        <v>5017</v>
      </c>
      <c r="T146">
        <v>5078</v>
      </c>
    </row>
    <row r="147" spans="1:20" x14ac:dyDescent="0.35">
      <c r="A147" s="7" t="s">
        <v>239</v>
      </c>
      <c r="B147" s="12" t="s">
        <v>240</v>
      </c>
      <c r="C147">
        <v>83.335082310000004</v>
      </c>
      <c r="D147">
        <v>895.751905083</v>
      </c>
      <c r="S147">
        <v>53</v>
      </c>
      <c r="T147">
        <v>55</v>
      </c>
    </row>
    <row r="148" spans="1:20" x14ac:dyDescent="0.35">
      <c r="A148" s="7" t="s">
        <v>241</v>
      </c>
      <c r="B148" s="12" t="s">
        <v>106</v>
      </c>
      <c r="C148">
        <v>73238777.102497429</v>
      </c>
      <c r="D148">
        <v>77784522.892288879</v>
      </c>
      <c r="E148">
        <v>225225.225225225</v>
      </c>
      <c r="F148">
        <v>189189.18918918801</v>
      </c>
      <c r="G148">
        <v>9</v>
      </c>
      <c r="H148">
        <v>10</v>
      </c>
      <c r="K148">
        <v>10</v>
      </c>
      <c r="L148">
        <v>12</v>
      </c>
      <c r="M148">
        <v>13183783.783783784</v>
      </c>
      <c r="N148">
        <v>12280180.180180181</v>
      </c>
      <c r="O148">
        <v>20855855.855855856</v>
      </c>
      <c r="P148">
        <v>23640072.072072074</v>
      </c>
      <c r="Q148">
        <v>12048828.828828828</v>
      </c>
      <c r="R148">
        <v>8669279.2792792805</v>
      </c>
      <c r="S148">
        <v>1953</v>
      </c>
      <c r="T148">
        <v>1920</v>
      </c>
    </row>
    <row r="149" spans="1:20" x14ac:dyDescent="0.35">
      <c r="A149" s="7" t="s">
        <v>3</v>
      </c>
      <c r="B149" s="12" t="s">
        <v>160</v>
      </c>
      <c r="C149">
        <v>149124155.15813091</v>
      </c>
      <c r="D149">
        <v>135079238.0603666</v>
      </c>
      <c r="E149">
        <v>2480180.1801801831</v>
      </c>
      <c r="F149">
        <v>763963.96396396402</v>
      </c>
      <c r="G149">
        <v>20</v>
      </c>
      <c r="H149">
        <v>22</v>
      </c>
      <c r="K149">
        <v>25</v>
      </c>
      <c r="L149">
        <v>24</v>
      </c>
      <c r="M149">
        <v>21508108.108108107</v>
      </c>
      <c r="N149">
        <v>57805855.855855852</v>
      </c>
      <c r="O149">
        <v>43200774.774774775</v>
      </c>
      <c r="P149">
        <v>40106864.864864863</v>
      </c>
      <c r="Q149">
        <v>21694684.684684686</v>
      </c>
      <c r="R149">
        <v>56400900.900900893</v>
      </c>
      <c r="S149">
        <v>3640</v>
      </c>
      <c r="T149">
        <v>3537</v>
      </c>
    </row>
    <row r="150" spans="1:20" x14ac:dyDescent="0.35">
      <c r="A150" s="7" t="s">
        <v>242</v>
      </c>
      <c r="B150" s="12" t="s">
        <v>180</v>
      </c>
      <c r="C150">
        <v>118176027.54324459</v>
      </c>
      <c r="D150">
        <v>127169601.36695686</v>
      </c>
      <c r="E150">
        <v>420720.72072072199</v>
      </c>
      <c r="F150">
        <v>1405405.4054054059</v>
      </c>
      <c r="G150">
        <v>27</v>
      </c>
      <c r="H150">
        <v>21</v>
      </c>
      <c r="K150">
        <v>33</v>
      </c>
      <c r="L150">
        <v>23</v>
      </c>
      <c r="M150">
        <v>22357657.657657657</v>
      </c>
      <c r="N150">
        <v>17098198.198198199</v>
      </c>
      <c r="O150">
        <v>35897918.918918923</v>
      </c>
      <c r="P150">
        <v>38739882.882882878</v>
      </c>
      <c r="Q150">
        <v>15749279.27927928</v>
      </c>
      <c r="R150">
        <v>18685405.40540541</v>
      </c>
      <c r="S150">
        <v>5059</v>
      </c>
      <c r="T150">
        <v>5230</v>
      </c>
    </row>
    <row r="151" spans="1:20" x14ac:dyDescent="0.35">
      <c r="A151" s="7" t="s">
        <v>243</v>
      </c>
      <c r="B151" s="12" t="s">
        <v>55</v>
      </c>
      <c r="C151">
        <v>82539866.339709044</v>
      </c>
      <c r="D151">
        <v>95144172.730190486</v>
      </c>
      <c r="E151">
        <v>1335135.135135137</v>
      </c>
      <c r="F151">
        <v>437837.83783783799</v>
      </c>
      <c r="G151">
        <v>16</v>
      </c>
      <c r="H151">
        <v>24</v>
      </c>
      <c r="K151">
        <v>18</v>
      </c>
      <c r="L151">
        <v>43</v>
      </c>
      <c r="M151">
        <v>11632792.792792793</v>
      </c>
      <c r="N151">
        <v>10663063.063063063</v>
      </c>
      <c r="O151">
        <v>22600980.180180181</v>
      </c>
      <c r="P151">
        <v>28219077.477477476</v>
      </c>
      <c r="Q151">
        <v>10248331.531531531</v>
      </c>
      <c r="R151">
        <v>11250990.990990989</v>
      </c>
      <c r="S151">
        <v>3276</v>
      </c>
      <c r="T151">
        <v>3560</v>
      </c>
    </row>
    <row r="152" spans="1:20" x14ac:dyDescent="0.35">
      <c r="A152" s="7" t="s">
        <v>244</v>
      </c>
      <c r="B152" s="12" t="s">
        <v>245</v>
      </c>
      <c r="C152">
        <v>71161014.142162859</v>
      </c>
      <c r="D152">
        <v>70121339.158561826</v>
      </c>
      <c r="E152">
        <v>450450.450450451</v>
      </c>
      <c r="F152">
        <v>185135.135135135</v>
      </c>
      <c r="G152">
        <v>30</v>
      </c>
      <c r="H152">
        <v>19</v>
      </c>
      <c r="K152">
        <v>35</v>
      </c>
      <c r="L152">
        <v>21</v>
      </c>
      <c r="M152">
        <v>5974954.9549549567</v>
      </c>
      <c r="N152">
        <v>7273423.4234234234</v>
      </c>
      <c r="O152">
        <v>16509727.927927928</v>
      </c>
      <c r="P152">
        <v>20353864.864864863</v>
      </c>
      <c r="Q152">
        <v>4574054.0540540563</v>
      </c>
      <c r="R152">
        <v>5865675.6756756762</v>
      </c>
      <c r="S152">
        <v>2757</v>
      </c>
      <c r="T152">
        <v>2855</v>
      </c>
    </row>
    <row r="153" spans="1:20" x14ac:dyDescent="0.35">
      <c r="A153" s="7" t="s">
        <v>246</v>
      </c>
      <c r="B153" s="12" t="s">
        <v>245</v>
      </c>
      <c r="C153">
        <v>187104924.20105872</v>
      </c>
      <c r="D153">
        <v>157612148.10641575</v>
      </c>
      <c r="E153">
        <v>1901801.801801804</v>
      </c>
      <c r="F153">
        <v>1126576.5765765789</v>
      </c>
      <c r="G153">
        <v>74</v>
      </c>
      <c r="H153">
        <v>60</v>
      </c>
      <c r="K153">
        <v>86</v>
      </c>
      <c r="L153">
        <v>66</v>
      </c>
      <c r="M153">
        <v>48150900.9009009</v>
      </c>
      <c r="N153">
        <v>33848648.648648649</v>
      </c>
      <c r="O153">
        <v>55282855.855855852</v>
      </c>
      <c r="P153">
        <v>52863927.927927926</v>
      </c>
      <c r="Q153">
        <v>43663513.513513513</v>
      </c>
      <c r="R153">
        <v>34365045.045045041</v>
      </c>
      <c r="S153">
        <v>6843</v>
      </c>
      <c r="T153">
        <v>6941</v>
      </c>
    </row>
    <row r="154" spans="1:20" x14ac:dyDescent="0.35">
      <c r="A154" s="7" t="s">
        <v>247</v>
      </c>
      <c r="B154" s="12" t="s">
        <v>51</v>
      </c>
      <c r="C154">
        <v>32159398.083213743</v>
      </c>
      <c r="D154">
        <v>31164224.150508732</v>
      </c>
      <c r="E154">
        <v>179751929.72972974</v>
      </c>
      <c r="F154">
        <v>58247676.576576576</v>
      </c>
      <c r="G154">
        <v>3</v>
      </c>
      <c r="H154">
        <v>3</v>
      </c>
      <c r="K154">
        <v>3</v>
      </c>
      <c r="L154">
        <v>3</v>
      </c>
      <c r="M154">
        <v>12339819.819819819</v>
      </c>
      <c r="N154">
        <v>108268693.6936937</v>
      </c>
      <c r="O154">
        <v>10051918.918918921</v>
      </c>
      <c r="P154">
        <v>11579144.144144144</v>
      </c>
      <c r="Q154">
        <v>2891081.081081083</v>
      </c>
      <c r="R154">
        <v>2224909.9099099101</v>
      </c>
      <c r="S154">
        <v>936</v>
      </c>
      <c r="T154">
        <v>1130</v>
      </c>
    </row>
    <row r="155" spans="1:20" x14ac:dyDescent="0.35">
      <c r="A155" s="7" t="s">
        <v>248</v>
      </c>
      <c r="B155" s="12" t="s">
        <v>183</v>
      </c>
      <c r="C155">
        <v>996193453.50641954</v>
      </c>
      <c r="D155">
        <v>1037960796.0501463</v>
      </c>
      <c r="E155">
        <v>82064990.990991011</v>
      </c>
      <c r="F155">
        <v>152866815.31531534</v>
      </c>
      <c r="G155">
        <v>349</v>
      </c>
      <c r="H155">
        <v>404</v>
      </c>
      <c r="I155">
        <v>7</v>
      </c>
      <c r="K155">
        <v>694</v>
      </c>
      <c r="L155">
        <v>577</v>
      </c>
      <c r="M155">
        <v>118836396.39639638</v>
      </c>
      <c r="N155">
        <v>189229061.26126128</v>
      </c>
      <c r="O155">
        <v>226947227.92792794</v>
      </c>
      <c r="P155">
        <v>239667466.66666666</v>
      </c>
      <c r="Q155">
        <v>116683243.24324323</v>
      </c>
      <c r="R155">
        <v>181263828.82882884</v>
      </c>
      <c r="S155">
        <v>41779</v>
      </c>
      <c r="T155">
        <v>43774</v>
      </c>
    </row>
    <row r="156" spans="1:20" x14ac:dyDescent="0.35">
      <c r="A156" s="7" t="s">
        <v>249</v>
      </c>
      <c r="B156" s="12" t="s">
        <v>49</v>
      </c>
      <c r="C156">
        <v>45210566.780381829</v>
      </c>
      <c r="D156">
        <v>50103238.716180041</v>
      </c>
      <c r="E156">
        <v>145030749.54954955</v>
      </c>
      <c r="F156">
        <v>87970773.873873875</v>
      </c>
      <c r="H156">
        <v>3</v>
      </c>
      <c r="K156">
        <v>1</v>
      </c>
      <c r="L156">
        <v>3</v>
      </c>
      <c r="M156">
        <v>25124504.504504506</v>
      </c>
      <c r="N156">
        <v>14307207.207207208</v>
      </c>
      <c r="O156">
        <v>9580810.8108108118</v>
      </c>
      <c r="P156">
        <v>11969135.135135137</v>
      </c>
      <c r="Q156">
        <v>6384324.3243243257</v>
      </c>
      <c r="R156">
        <v>5236306.3063063091</v>
      </c>
      <c r="S156">
        <v>1758</v>
      </c>
      <c r="T156">
        <v>1798</v>
      </c>
    </row>
    <row r="157" spans="1:20" x14ac:dyDescent="0.35">
      <c r="A157" s="7" t="s">
        <v>250</v>
      </c>
      <c r="B157" s="12" t="s">
        <v>95</v>
      </c>
      <c r="C157">
        <v>12173441.196358364</v>
      </c>
      <c r="D157">
        <v>11810017.093181415</v>
      </c>
      <c r="O157">
        <v>1867585.585585586</v>
      </c>
      <c r="P157">
        <v>2255477.4774774769</v>
      </c>
      <c r="S157">
        <v>682</v>
      </c>
      <c r="T157">
        <v>705</v>
      </c>
    </row>
    <row r="158" spans="1:20" x14ac:dyDescent="0.35">
      <c r="A158" s="7" t="s">
        <v>251</v>
      </c>
      <c r="B158" s="12" t="s">
        <v>119</v>
      </c>
      <c r="C158">
        <v>40864059.394234642</v>
      </c>
      <c r="D158">
        <v>40145201.345016383</v>
      </c>
      <c r="E158">
        <v>673063.96396396495</v>
      </c>
      <c r="F158">
        <v>1006873.873873873</v>
      </c>
      <c r="G158">
        <v>2</v>
      </c>
      <c r="H158">
        <v>7</v>
      </c>
      <c r="K158">
        <v>5</v>
      </c>
      <c r="L158">
        <v>9</v>
      </c>
      <c r="M158">
        <v>4790450.450450452</v>
      </c>
      <c r="N158">
        <v>7166166.6666666642</v>
      </c>
      <c r="O158">
        <v>20040045.045045044</v>
      </c>
      <c r="P158">
        <v>21391783.783783782</v>
      </c>
      <c r="Q158">
        <v>5574414.4144144142</v>
      </c>
      <c r="R158">
        <v>5857837.8378378358</v>
      </c>
      <c r="S158">
        <v>1809</v>
      </c>
      <c r="T158">
        <v>1775</v>
      </c>
    </row>
    <row r="159" spans="1:20" x14ac:dyDescent="0.35">
      <c r="A159" s="7" t="s">
        <v>252</v>
      </c>
      <c r="B159" s="12" t="s">
        <v>123</v>
      </c>
      <c r="C159">
        <v>71572392.329675958</v>
      </c>
      <c r="D159">
        <v>65794414.865264289</v>
      </c>
      <c r="E159">
        <v>656756.75675675704</v>
      </c>
      <c r="F159">
        <v>18018.018018018</v>
      </c>
      <c r="G159">
        <v>48</v>
      </c>
      <c r="H159">
        <v>22</v>
      </c>
      <c r="K159">
        <v>52</v>
      </c>
      <c r="L159">
        <v>24</v>
      </c>
      <c r="M159">
        <v>3864864.8648648639</v>
      </c>
      <c r="N159">
        <v>2000000</v>
      </c>
      <c r="O159">
        <v>8021738.7387387389</v>
      </c>
      <c r="P159">
        <v>5877747.7477477482</v>
      </c>
      <c r="Q159">
        <v>2141531.5315315309</v>
      </c>
      <c r="R159">
        <v>1705045.045045045</v>
      </c>
      <c r="S159">
        <v>2379</v>
      </c>
      <c r="T159">
        <v>2261</v>
      </c>
    </row>
    <row r="160" spans="1:20" x14ac:dyDescent="0.35">
      <c r="A160" s="7" t="s">
        <v>253</v>
      </c>
      <c r="B160" s="12" t="s">
        <v>77</v>
      </c>
      <c r="C160">
        <v>29330244.303574506</v>
      </c>
      <c r="D160">
        <v>26246287.130782112</v>
      </c>
      <c r="G160">
        <v>3</v>
      </c>
      <c r="K160">
        <v>3</v>
      </c>
      <c r="O160">
        <v>2707792.7927927929</v>
      </c>
      <c r="P160">
        <v>3239081.0810810812</v>
      </c>
      <c r="S160">
        <v>1617</v>
      </c>
      <c r="T160">
        <v>1594</v>
      </c>
    </row>
    <row r="161" spans="1:20" x14ac:dyDescent="0.35">
      <c r="A161" s="7" t="s">
        <v>254</v>
      </c>
      <c r="B161" s="12" t="s">
        <v>169</v>
      </c>
      <c r="C161">
        <v>96606088.108787552</v>
      </c>
      <c r="D161">
        <v>101717100.97489423</v>
      </c>
      <c r="G161">
        <v>14</v>
      </c>
      <c r="K161">
        <v>16</v>
      </c>
      <c r="M161">
        <v>27027.027027028002</v>
      </c>
      <c r="N161">
        <v>507207.20720720699</v>
      </c>
      <c r="O161">
        <v>19010090.090090089</v>
      </c>
      <c r="P161">
        <v>25740378.378378376</v>
      </c>
      <c r="Q161">
        <v>763603.60360360402</v>
      </c>
      <c r="R161">
        <v>1178198.1981981981</v>
      </c>
      <c r="S161">
        <v>3639</v>
      </c>
      <c r="T161">
        <v>3669</v>
      </c>
    </row>
    <row r="162" spans="1:20" x14ac:dyDescent="0.35">
      <c r="A162" s="7" t="s">
        <v>255</v>
      </c>
      <c r="B162" s="12" t="s">
        <v>90</v>
      </c>
      <c r="C162">
        <v>290965441.56562936</v>
      </c>
      <c r="D162">
        <v>308790818.75522363</v>
      </c>
      <c r="E162">
        <v>1161261.2612612641</v>
      </c>
      <c r="F162">
        <v>2162162.1621621689</v>
      </c>
      <c r="G162">
        <v>38</v>
      </c>
      <c r="H162">
        <v>16</v>
      </c>
      <c r="I162">
        <v>1</v>
      </c>
      <c r="K162">
        <v>45</v>
      </c>
      <c r="L162">
        <v>18</v>
      </c>
      <c r="M162">
        <v>25048648.648648649</v>
      </c>
      <c r="N162">
        <v>18977477.47747748</v>
      </c>
      <c r="O162">
        <v>71167081.081081077</v>
      </c>
      <c r="P162">
        <v>80945837.837837845</v>
      </c>
      <c r="Q162">
        <v>21636846.846846849</v>
      </c>
      <c r="R162">
        <v>19958468.468468472</v>
      </c>
      <c r="S162">
        <v>10332</v>
      </c>
      <c r="T162">
        <v>10636</v>
      </c>
    </row>
    <row r="163" spans="1:20" x14ac:dyDescent="0.35">
      <c r="A163" s="7" t="s">
        <v>256</v>
      </c>
      <c r="B163" s="12" t="s">
        <v>79</v>
      </c>
      <c r="C163">
        <v>83837421.040636942</v>
      </c>
      <c r="D163">
        <v>89250979.05416362</v>
      </c>
      <c r="E163">
        <v>1046846.84684685</v>
      </c>
      <c r="F163">
        <v>777477.47747747903</v>
      </c>
      <c r="G163">
        <v>12</v>
      </c>
      <c r="H163">
        <v>1</v>
      </c>
      <c r="K163">
        <v>12</v>
      </c>
      <c r="L163">
        <v>2</v>
      </c>
      <c r="M163">
        <v>16771621.621621624</v>
      </c>
      <c r="N163">
        <v>10802252.252252256</v>
      </c>
      <c r="O163">
        <v>23694738.738738742</v>
      </c>
      <c r="P163">
        <v>25145783.783783782</v>
      </c>
      <c r="Q163">
        <v>17452432.432432432</v>
      </c>
      <c r="R163">
        <v>10081261.261261264</v>
      </c>
      <c r="S163">
        <v>3231</v>
      </c>
      <c r="T163">
        <v>2877</v>
      </c>
    </row>
    <row r="164" spans="1:20" x14ac:dyDescent="0.35">
      <c r="A164" s="7" t="s">
        <v>257</v>
      </c>
      <c r="B164" s="12" t="s">
        <v>106</v>
      </c>
      <c r="C164">
        <v>165566952.53890735</v>
      </c>
      <c r="D164">
        <v>179323621.89189833</v>
      </c>
      <c r="E164">
        <v>31921124.324324328</v>
      </c>
      <c r="F164">
        <v>82794651.351351365</v>
      </c>
      <c r="G164">
        <v>36</v>
      </c>
      <c r="H164">
        <v>23</v>
      </c>
      <c r="K164">
        <v>69</v>
      </c>
      <c r="L164">
        <v>54</v>
      </c>
      <c r="M164">
        <v>24136576.576576576</v>
      </c>
      <c r="N164">
        <v>21130720.72072072</v>
      </c>
      <c r="O164">
        <v>47308198.198198199</v>
      </c>
      <c r="P164">
        <v>52755018.018018015</v>
      </c>
      <c r="Q164">
        <v>26145045.045045048</v>
      </c>
      <c r="R164">
        <v>21128018.018018018</v>
      </c>
      <c r="S164">
        <v>5322</v>
      </c>
      <c r="T164">
        <v>6129</v>
      </c>
    </row>
    <row r="165" spans="1:20" x14ac:dyDescent="0.35">
      <c r="A165" s="7" t="s">
        <v>258</v>
      </c>
      <c r="B165" s="12" t="s">
        <v>106</v>
      </c>
      <c r="C165">
        <v>100611426.39539279</v>
      </c>
      <c r="D165">
        <v>96524259.823099777</v>
      </c>
      <c r="E165">
        <v>836936.93693693797</v>
      </c>
      <c r="F165">
        <v>847747.74774774897</v>
      </c>
      <c r="G165">
        <v>7</v>
      </c>
      <c r="H165">
        <v>11</v>
      </c>
      <c r="K165">
        <v>9</v>
      </c>
      <c r="L165">
        <v>12</v>
      </c>
      <c r="M165">
        <v>9644504.5045045037</v>
      </c>
      <c r="N165">
        <v>6222522.5225225221</v>
      </c>
      <c r="O165">
        <v>30712873.873873871</v>
      </c>
      <c r="P165">
        <v>32613720.72072072</v>
      </c>
      <c r="Q165">
        <v>6841801.8018018026</v>
      </c>
      <c r="R165">
        <v>5430990.9909909908</v>
      </c>
      <c r="S165">
        <v>3878</v>
      </c>
      <c r="T165">
        <v>3899</v>
      </c>
    </row>
    <row r="166" spans="1:20" x14ac:dyDescent="0.35">
      <c r="A166" s="7" t="s">
        <v>259</v>
      </c>
      <c r="B166" s="12" t="s">
        <v>106</v>
      </c>
      <c r="C166">
        <v>91173422.557641387</v>
      </c>
      <c r="D166">
        <v>105831806.37405944</v>
      </c>
      <c r="E166">
        <v>13513.513513514001</v>
      </c>
      <c r="F166">
        <v>54054.054054054002</v>
      </c>
      <c r="G166">
        <v>13</v>
      </c>
      <c r="H166">
        <v>14</v>
      </c>
      <c r="I166">
        <v>4</v>
      </c>
      <c r="K166">
        <v>14</v>
      </c>
      <c r="L166">
        <v>15</v>
      </c>
      <c r="M166">
        <v>914414.41441441502</v>
      </c>
      <c r="N166">
        <v>279279.279279279</v>
      </c>
      <c r="O166">
        <v>20135972.97297297</v>
      </c>
      <c r="P166">
        <v>23891333.333333332</v>
      </c>
      <c r="Q166">
        <v>671171.17117117101</v>
      </c>
      <c r="R166">
        <v>416666.66666666698</v>
      </c>
      <c r="S166">
        <v>2073</v>
      </c>
      <c r="T166">
        <v>2213</v>
      </c>
    </row>
    <row r="167" spans="1:20" x14ac:dyDescent="0.35">
      <c r="A167" s="7" t="s">
        <v>260</v>
      </c>
      <c r="B167" s="12" t="s">
        <v>136</v>
      </c>
      <c r="C167">
        <v>140077399.4267661</v>
      </c>
      <c r="D167">
        <v>156455950.02811649</v>
      </c>
      <c r="E167">
        <v>567567.56756756804</v>
      </c>
      <c r="F167">
        <v>518018.01801801799</v>
      </c>
      <c r="G167">
        <v>11</v>
      </c>
      <c r="H167">
        <v>6</v>
      </c>
      <c r="K167">
        <v>11</v>
      </c>
      <c r="L167">
        <v>8</v>
      </c>
      <c r="M167">
        <v>3189189.1891891891</v>
      </c>
      <c r="N167">
        <v>4436936.9369369373</v>
      </c>
      <c r="O167">
        <v>9711207.2072072085</v>
      </c>
      <c r="P167">
        <v>14665081.081081079</v>
      </c>
      <c r="Q167">
        <v>3571621.6216216218</v>
      </c>
      <c r="R167">
        <v>3632162.1621621619</v>
      </c>
      <c r="S167">
        <v>4948</v>
      </c>
      <c r="T167">
        <v>4153</v>
      </c>
    </row>
    <row r="168" spans="1:20" x14ac:dyDescent="0.35">
      <c r="A168" s="7" t="s">
        <v>261</v>
      </c>
      <c r="B168" s="12" t="s">
        <v>169</v>
      </c>
      <c r="C168">
        <v>44444791.114757501</v>
      </c>
      <c r="D168">
        <v>58528119.781765699</v>
      </c>
      <c r="E168">
        <v>900900.90090090095</v>
      </c>
      <c r="G168">
        <v>6</v>
      </c>
      <c r="H168">
        <v>2</v>
      </c>
      <c r="K168">
        <v>9</v>
      </c>
      <c r="L168">
        <v>2</v>
      </c>
      <c r="M168">
        <v>1886036.036036036</v>
      </c>
      <c r="N168">
        <v>2397297.2972972989</v>
      </c>
      <c r="O168">
        <v>15173211.711711712</v>
      </c>
      <c r="P168">
        <v>21621396.396396395</v>
      </c>
      <c r="Q168">
        <v>1969549.5495495501</v>
      </c>
      <c r="R168">
        <v>3205855.855855857</v>
      </c>
      <c r="S168">
        <v>2452</v>
      </c>
      <c r="T168">
        <v>2482</v>
      </c>
    </row>
    <row r="169" spans="1:20" x14ac:dyDescent="0.35">
      <c r="A169" s="7" t="s">
        <v>262</v>
      </c>
      <c r="B169" s="12" t="s">
        <v>61</v>
      </c>
      <c r="C169">
        <v>18810345.805924565</v>
      </c>
      <c r="D169">
        <v>20740458.150436956</v>
      </c>
      <c r="E169">
        <v>203603.60360360399</v>
      </c>
      <c r="F169">
        <v>141441.441441442</v>
      </c>
      <c r="G169">
        <v>9</v>
      </c>
      <c r="H169">
        <v>2</v>
      </c>
      <c r="I169">
        <v>2</v>
      </c>
      <c r="K169">
        <v>15</v>
      </c>
      <c r="L169">
        <v>2</v>
      </c>
      <c r="M169">
        <v>4609009.0090090092</v>
      </c>
      <c r="N169">
        <v>5528828.8288288293</v>
      </c>
      <c r="O169">
        <v>6062468.4684684677</v>
      </c>
      <c r="P169">
        <v>7291171.1711711716</v>
      </c>
      <c r="Q169">
        <v>3758468.4684684691</v>
      </c>
      <c r="R169">
        <v>4153063.0630630618</v>
      </c>
      <c r="S169">
        <v>570</v>
      </c>
      <c r="T169">
        <v>652</v>
      </c>
    </row>
    <row r="170" spans="1:20" x14ac:dyDescent="0.35">
      <c r="A170" s="7" t="s">
        <v>263</v>
      </c>
      <c r="B170" s="12" t="s">
        <v>264</v>
      </c>
      <c r="C170">
        <v>11980114.63134311</v>
      </c>
      <c r="D170">
        <v>12597801.86342827</v>
      </c>
      <c r="E170">
        <v>10810.810810810999</v>
      </c>
      <c r="F170">
        <v>16216.216216216</v>
      </c>
      <c r="G170">
        <v>4</v>
      </c>
      <c r="K170">
        <v>5</v>
      </c>
      <c r="M170">
        <v>3197747.7477477482</v>
      </c>
      <c r="N170">
        <v>917117.11711711704</v>
      </c>
      <c r="O170">
        <v>2104630.630630631</v>
      </c>
      <c r="P170">
        <v>2931531.5315315309</v>
      </c>
      <c r="Q170">
        <v>1341171.1711711709</v>
      </c>
      <c r="R170">
        <v>532342.34234234202</v>
      </c>
      <c r="S170">
        <v>533</v>
      </c>
      <c r="T170">
        <v>549</v>
      </c>
    </row>
    <row r="171" spans="1:20" x14ac:dyDescent="0.35">
      <c r="A171" s="7" t="s">
        <v>265</v>
      </c>
      <c r="B171" s="12" t="s">
        <v>61</v>
      </c>
      <c r="C171">
        <v>181775225.56859636</v>
      </c>
      <c r="D171">
        <v>186821291.54899818</v>
      </c>
      <c r="E171">
        <v>231338081.08108109</v>
      </c>
      <c r="F171">
        <v>350902940.54054052</v>
      </c>
      <c r="G171">
        <v>161</v>
      </c>
      <c r="H171">
        <v>64</v>
      </c>
      <c r="K171">
        <v>250</v>
      </c>
      <c r="L171">
        <v>189</v>
      </c>
      <c r="M171">
        <v>41817567.567567565</v>
      </c>
      <c r="N171">
        <v>39104054.054054059</v>
      </c>
      <c r="O171">
        <v>65048128.378378376</v>
      </c>
      <c r="P171">
        <v>66276864.864864863</v>
      </c>
      <c r="Q171">
        <v>50194594.59459459</v>
      </c>
      <c r="R171">
        <v>46619189.189189181</v>
      </c>
      <c r="S171">
        <v>6201</v>
      </c>
      <c r="T171">
        <v>6048</v>
      </c>
    </row>
    <row r="172" spans="1:20" x14ac:dyDescent="0.35">
      <c r="A172" s="7" t="s">
        <v>266</v>
      </c>
      <c r="B172" s="12" t="s">
        <v>125</v>
      </c>
      <c r="C172">
        <v>138053357.23891774</v>
      </c>
      <c r="D172">
        <v>131061097.9326096</v>
      </c>
      <c r="E172">
        <v>246846.84684684701</v>
      </c>
      <c r="F172">
        <v>318918.91891891998</v>
      </c>
      <c r="G172">
        <v>25</v>
      </c>
      <c r="H172">
        <v>19</v>
      </c>
      <c r="K172">
        <v>27</v>
      </c>
      <c r="L172">
        <v>22</v>
      </c>
      <c r="M172">
        <v>9062702.7027027048</v>
      </c>
      <c r="N172">
        <v>8363513.5135135138</v>
      </c>
      <c r="O172">
        <v>53772972.972972974</v>
      </c>
      <c r="P172">
        <v>52287846.846846849</v>
      </c>
      <c r="Q172">
        <v>6981261.2612612611</v>
      </c>
      <c r="R172">
        <v>8272702.7027027011</v>
      </c>
      <c r="S172">
        <v>5485</v>
      </c>
      <c r="T172">
        <v>5081</v>
      </c>
    </row>
    <row r="173" spans="1:20" x14ac:dyDescent="0.35">
      <c r="A173" s="7" t="s">
        <v>267</v>
      </c>
      <c r="B173" s="12" t="s">
        <v>125</v>
      </c>
      <c r="C173">
        <v>59478855.829349175</v>
      </c>
      <c r="D173">
        <v>65449447.625377528</v>
      </c>
      <c r="E173">
        <v>427252.25225225399</v>
      </c>
      <c r="F173">
        <v>174324.324324324</v>
      </c>
      <c r="G173">
        <v>20</v>
      </c>
      <c r="H173">
        <v>46</v>
      </c>
      <c r="K173">
        <v>20</v>
      </c>
      <c r="L173">
        <v>51</v>
      </c>
      <c r="M173">
        <v>16189279.27927928</v>
      </c>
      <c r="N173">
        <v>12741891.891891895</v>
      </c>
      <c r="O173">
        <v>24739045.045045044</v>
      </c>
      <c r="P173">
        <v>29095981.981981985</v>
      </c>
      <c r="Q173">
        <v>16184594.594594596</v>
      </c>
      <c r="R173">
        <v>10310360.360360363</v>
      </c>
      <c r="S173">
        <v>2352</v>
      </c>
      <c r="T173">
        <v>2335</v>
      </c>
    </row>
    <row r="174" spans="1:20" x14ac:dyDescent="0.35">
      <c r="A174" s="7" t="s">
        <v>268</v>
      </c>
      <c r="B174" s="12" t="s">
        <v>127</v>
      </c>
      <c r="C174">
        <v>145064337.74649617</v>
      </c>
      <c r="D174">
        <v>157580659.80365264</v>
      </c>
      <c r="E174">
        <v>2033783.7837837851</v>
      </c>
      <c r="F174">
        <v>1409459.4594594601</v>
      </c>
      <c r="G174">
        <v>40</v>
      </c>
      <c r="H174">
        <v>15</v>
      </c>
      <c r="K174">
        <v>45</v>
      </c>
      <c r="L174">
        <v>16</v>
      </c>
      <c r="M174">
        <v>11188288.288288288</v>
      </c>
      <c r="N174">
        <v>11905855.855855854</v>
      </c>
      <c r="O174">
        <v>51038772.972972974</v>
      </c>
      <c r="P174">
        <v>51710792.79279279</v>
      </c>
      <c r="Q174">
        <v>11971394.594594594</v>
      </c>
      <c r="R174">
        <v>9002072.0720720701</v>
      </c>
      <c r="S174">
        <v>4761</v>
      </c>
      <c r="T174">
        <v>4500</v>
      </c>
    </row>
    <row r="175" spans="1:20" x14ac:dyDescent="0.35">
      <c r="A175" s="7" t="s">
        <v>269</v>
      </c>
      <c r="B175" s="12" t="s">
        <v>125</v>
      </c>
      <c r="C175">
        <v>140561067.37827483</v>
      </c>
      <c r="D175">
        <v>146488338.91534299</v>
      </c>
      <c r="E175">
        <v>825225.22522522602</v>
      </c>
      <c r="F175">
        <v>1326126.1261261271</v>
      </c>
      <c r="G175">
        <v>11</v>
      </c>
      <c r="H175">
        <v>24</v>
      </c>
      <c r="K175">
        <v>13</v>
      </c>
      <c r="L175">
        <v>26</v>
      </c>
      <c r="M175">
        <v>13578198.198198196</v>
      </c>
      <c r="N175">
        <v>12282882.882882882</v>
      </c>
      <c r="O175">
        <v>49245729.729729727</v>
      </c>
      <c r="P175">
        <v>56448531.531531528</v>
      </c>
      <c r="Q175">
        <v>13558288.288288288</v>
      </c>
      <c r="R175">
        <v>16191081.081081081</v>
      </c>
      <c r="S175">
        <v>4772</v>
      </c>
      <c r="T175">
        <v>4725</v>
      </c>
    </row>
    <row r="176" spans="1:20" x14ac:dyDescent="0.35">
      <c r="A176" s="7" t="s">
        <v>270</v>
      </c>
      <c r="B176" s="12" t="s">
        <v>125</v>
      </c>
      <c r="C176">
        <v>147508797.37443691</v>
      </c>
      <c r="D176">
        <v>160491282.07295164</v>
      </c>
      <c r="E176">
        <v>1941891.8918918951</v>
      </c>
      <c r="F176">
        <v>1577927.9279279299</v>
      </c>
      <c r="G176">
        <v>30</v>
      </c>
      <c r="H176">
        <v>27</v>
      </c>
      <c r="K176">
        <v>32</v>
      </c>
      <c r="L176">
        <v>30</v>
      </c>
      <c r="M176">
        <v>19790810.810810812</v>
      </c>
      <c r="N176">
        <v>18261261.261261258</v>
      </c>
      <c r="O176">
        <v>60515054.054054059</v>
      </c>
      <c r="P176">
        <v>62234232.432432435</v>
      </c>
      <c r="Q176">
        <v>18366666.666666664</v>
      </c>
      <c r="R176">
        <v>17931531.531531535</v>
      </c>
      <c r="S176">
        <v>5097</v>
      </c>
      <c r="T176">
        <v>5496</v>
      </c>
    </row>
    <row r="177" spans="1:20" x14ac:dyDescent="0.35">
      <c r="A177" s="7" t="s">
        <v>271</v>
      </c>
      <c r="B177" s="12" t="s">
        <v>180</v>
      </c>
      <c r="C177">
        <v>748589518.00635743</v>
      </c>
      <c r="D177">
        <v>777872623.7370913</v>
      </c>
      <c r="E177">
        <v>388087634.23423421</v>
      </c>
      <c r="F177">
        <v>350760436.03603601</v>
      </c>
      <c r="G177">
        <v>245</v>
      </c>
      <c r="H177">
        <v>124</v>
      </c>
      <c r="K177">
        <v>451</v>
      </c>
      <c r="L177">
        <v>258</v>
      </c>
      <c r="M177">
        <v>102645699.0990991</v>
      </c>
      <c r="N177">
        <v>103506531.53153154</v>
      </c>
      <c r="O177">
        <v>224698694.14414412</v>
      </c>
      <c r="P177">
        <v>253717203.6036036</v>
      </c>
      <c r="Q177">
        <v>94446036.036036029</v>
      </c>
      <c r="R177">
        <v>100167972.97297297</v>
      </c>
      <c r="S177">
        <v>33308</v>
      </c>
      <c r="T177">
        <v>33861</v>
      </c>
    </row>
    <row r="178" spans="1:20" x14ac:dyDescent="0.35">
      <c r="A178" s="7" t="s">
        <v>272</v>
      </c>
      <c r="B178" s="12" t="s">
        <v>63</v>
      </c>
      <c r="C178">
        <v>125449422.54483178</v>
      </c>
      <c r="D178">
        <v>137027376.31550267</v>
      </c>
      <c r="E178">
        <v>2508108.1081081121</v>
      </c>
      <c r="F178">
        <v>1714414.4144144161</v>
      </c>
      <c r="G178">
        <v>41</v>
      </c>
      <c r="H178">
        <v>42</v>
      </c>
      <c r="K178">
        <v>42</v>
      </c>
      <c r="L178">
        <v>227</v>
      </c>
      <c r="M178">
        <v>26093243.243243244</v>
      </c>
      <c r="N178">
        <v>19872072.072072074</v>
      </c>
      <c r="O178">
        <v>38819918.918918923</v>
      </c>
      <c r="P178">
        <v>50119378.378378376</v>
      </c>
      <c r="Q178">
        <v>35426936.936936937</v>
      </c>
      <c r="R178">
        <v>26444684.684684679</v>
      </c>
      <c r="S178">
        <v>4680</v>
      </c>
      <c r="T178">
        <v>4968</v>
      </c>
    </row>
    <row r="179" spans="1:20" x14ac:dyDescent="0.35">
      <c r="A179" s="7" t="s">
        <v>273</v>
      </c>
      <c r="B179" s="12" t="s">
        <v>71</v>
      </c>
      <c r="C179">
        <v>161883192.14391664</v>
      </c>
      <c r="D179">
        <v>158173355.86322251</v>
      </c>
      <c r="E179">
        <v>1145945.9459459491</v>
      </c>
      <c r="F179">
        <v>1053603.6036036061</v>
      </c>
      <c r="G179">
        <v>49</v>
      </c>
      <c r="H179">
        <v>21</v>
      </c>
      <c r="K179">
        <v>71</v>
      </c>
      <c r="L179">
        <v>46</v>
      </c>
      <c r="M179">
        <v>11936036.036036041</v>
      </c>
      <c r="N179">
        <v>16970487.387387391</v>
      </c>
      <c r="O179">
        <v>72132369.369369373</v>
      </c>
      <c r="P179">
        <v>75901081.081081092</v>
      </c>
      <c r="Q179">
        <v>11668738.738738742</v>
      </c>
      <c r="R179">
        <v>15083063.063063065</v>
      </c>
      <c r="S179">
        <v>7719</v>
      </c>
      <c r="T179">
        <v>7542</v>
      </c>
    </row>
    <row r="180" spans="1:20" x14ac:dyDescent="0.35">
      <c r="A180" s="7" t="s">
        <v>274</v>
      </c>
      <c r="B180" s="12" t="s">
        <v>136</v>
      </c>
      <c r="C180">
        <v>1968237.089244473</v>
      </c>
      <c r="D180">
        <v>3322194.1573784389</v>
      </c>
      <c r="E180">
        <v>141866443.24324325</v>
      </c>
      <c r="F180">
        <v>167944555.85585588</v>
      </c>
      <c r="M180">
        <v>35675675.675675675</v>
      </c>
      <c r="N180">
        <v>18654700</v>
      </c>
      <c r="O180">
        <v>145135.135135135</v>
      </c>
      <c r="P180">
        <v>126666.66666666701</v>
      </c>
      <c r="S180">
        <v>228</v>
      </c>
      <c r="T180">
        <v>263</v>
      </c>
    </row>
    <row r="181" spans="1:20" x14ac:dyDescent="0.35">
      <c r="A181" s="7" t="s">
        <v>275</v>
      </c>
      <c r="B181" s="12" t="s">
        <v>77</v>
      </c>
      <c r="C181">
        <v>75028068.603561819</v>
      </c>
      <c r="D181">
        <v>67026588.439447857</v>
      </c>
      <c r="E181">
        <v>54054.054054054002</v>
      </c>
      <c r="F181">
        <v>437837.83783783799</v>
      </c>
      <c r="G181">
        <v>13</v>
      </c>
      <c r="H181">
        <v>8</v>
      </c>
      <c r="K181">
        <v>14</v>
      </c>
      <c r="L181">
        <v>10</v>
      </c>
      <c r="M181">
        <v>144144.144144144</v>
      </c>
      <c r="N181">
        <v>545945.94594594603</v>
      </c>
      <c r="O181">
        <v>5327445.9459459456</v>
      </c>
      <c r="P181">
        <v>5339711.7117117122</v>
      </c>
      <c r="Q181">
        <v>128828.82882882901</v>
      </c>
      <c r="R181">
        <v>398288.28828828799</v>
      </c>
      <c r="S181">
        <v>2503</v>
      </c>
      <c r="T181">
        <v>2516</v>
      </c>
    </row>
    <row r="182" spans="1:20" x14ac:dyDescent="0.35">
      <c r="A182" s="7" t="s">
        <v>276</v>
      </c>
      <c r="B182" s="12" t="s">
        <v>77</v>
      </c>
      <c r="C182">
        <v>25492739.030815743</v>
      </c>
      <c r="D182">
        <v>30954091.067760214</v>
      </c>
      <c r="E182">
        <v>88288.288288288997</v>
      </c>
      <c r="F182">
        <v>155855.855855856</v>
      </c>
      <c r="G182">
        <v>2</v>
      </c>
      <c r="H182">
        <v>8</v>
      </c>
      <c r="K182">
        <v>3</v>
      </c>
      <c r="L182">
        <v>9</v>
      </c>
      <c r="M182">
        <v>8719099.0990990996</v>
      </c>
      <c r="N182">
        <v>6471171.1711711697</v>
      </c>
      <c r="O182">
        <v>7597171.1711711707</v>
      </c>
      <c r="P182">
        <v>10076754.954954956</v>
      </c>
      <c r="Q182">
        <v>5981081.0810810803</v>
      </c>
      <c r="R182">
        <v>7009009.0090090102</v>
      </c>
      <c r="S182">
        <v>805</v>
      </c>
      <c r="T182">
        <v>873</v>
      </c>
    </row>
    <row r="183" spans="1:20" x14ac:dyDescent="0.35">
      <c r="A183" s="7" t="s">
        <v>277</v>
      </c>
      <c r="B183" s="12" t="s">
        <v>264</v>
      </c>
      <c r="C183">
        <v>540061074.80252087</v>
      </c>
      <c r="D183">
        <v>582911835.42799592</v>
      </c>
      <c r="E183">
        <v>6425225.2252252251</v>
      </c>
      <c r="F183">
        <v>5734234.2342342343</v>
      </c>
      <c r="G183">
        <v>136</v>
      </c>
      <c r="H183">
        <v>180</v>
      </c>
      <c r="K183">
        <v>215</v>
      </c>
      <c r="L183">
        <v>493</v>
      </c>
      <c r="M183">
        <v>102572072.07207206</v>
      </c>
      <c r="N183">
        <v>128739639.63963965</v>
      </c>
      <c r="O183">
        <v>165699308.55855855</v>
      </c>
      <c r="P183">
        <v>188400261.26126125</v>
      </c>
      <c r="Q183">
        <v>96063063.063063055</v>
      </c>
      <c r="R183">
        <v>121055225.22522523</v>
      </c>
      <c r="S183">
        <v>18777</v>
      </c>
      <c r="T183">
        <v>19688</v>
      </c>
    </row>
    <row r="184" spans="1:20" x14ac:dyDescent="0.35">
      <c r="A184" s="7" t="s">
        <v>278</v>
      </c>
      <c r="B184" s="12" t="s">
        <v>264</v>
      </c>
      <c r="C184">
        <v>113926501.05044213</v>
      </c>
      <c r="D184">
        <v>117963097.58012089</v>
      </c>
      <c r="E184">
        <v>1169594.5945945969</v>
      </c>
      <c r="F184">
        <v>291891.89189189201</v>
      </c>
      <c r="G184">
        <v>7</v>
      </c>
      <c r="H184">
        <v>19</v>
      </c>
      <c r="K184">
        <v>9</v>
      </c>
      <c r="L184">
        <v>24</v>
      </c>
      <c r="M184">
        <v>10439189.18918919</v>
      </c>
      <c r="N184">
        <v>10413513.513513513</v>
      </c>
      <c r="O184">
        <v>22159792.792792793</v>
      </c>
      <c r="P184">
        <v>27239297.297297295</v>
      </c>
      <c r="Q184">
        <v>6851801.8018018007</v>
      </c>
      <c r="R184">
        <v>7541261.2612612611</v>
      </c>
      <c r="S184">
        <v>3726</v>
      </c>
      <c r="T184">
        <v>3731</v>
      </c>
    </row>
    <row r="185" spans="1:20" x14ac:dyDescent="0.35">
      <c r="A185" s="7" t="s">
        <v>279</v>
      </c>
      <c r="B185" s="12" t="s">
        <v>264</v>
      </c>
      <c r="C185">
        <v>128338701.76574494</v>
      </c>
      <c r="D185">
        <v>168494203.35490906</v>
      </c>
      <c r="E185">
        <v>4232882.8828828819</v>
      </c>
      <c r="F185">
        <v>3770270.2702702712</v>
      </c>
      <c r="G185">
        <v>10</v>
      </c>
      <c r="H185">
        <v>38</v>
      </c>
      <c r="K185">
        <v>13</v>
      </c>
      <c r="L185">
        <v>40</v>
      </c>
      <c r="M185">
        <v>29925225.225225229</v>
      </c>
      <c r="N185">
        <v>16427927.927927928</v>
      </c>
      <c r="O185">
        <v>28418189.189189192</v>
      </c>
      <c r="P185">
        <v>46074385.585585587</v>
      </c>
      <c r="Q185">
        <v>27043243.243243244</v>
      </c>
      <c r="R185">
        <v>14557207.207207208</v>
      </c>
      <c r="S185">
        <v>5754</v>
      </c>
      <c r="T185">
        <v>6029</v>
      </c>
    </row>
    <row r="186" spans="1:20" x14ac:dyDescent="0.35">
      <c r="A186" s="7" t="s">
        <v>280</v>
      </c>
      <c r="B186" s="12" t="s">
        <v>136</v>
      </c>
      <c r="C186">
        <v>167675694.8065936</v>
      </c>
      <c r="D186">
        <v>185174358.86520889</v>
      </c>
      <c r="E186">
        <v>193693.69369369399</v>
      </c>
      <c r="F186">
        <v>301801.80180180201</v>
      </c>
      <c r="G186">
        <v>29</v>
      </c>
      <c r="H186">
        <v>9</v>
      </c>
      <c r="K186">
        <v>32</v>
      </c>
      <c r="L186">
        <v>9</v>
      </c>
      <c r="M186">
        <v>8301801.8018018007</v>
      </c>
      <c r="N186">
        <v>8860360.3603603598</v>
      </c>
      <c r="O186">
        <v>13843049.549549548</v>
      </c>
      <c r="P186">
        <v>19025232.432432432</v>
      </c>
      <c r="Q186">
        <v>3799549.5495495498</v>
      </c>
      <c r="R186">
        <v>4600720.7207207214</v>
      </c>
      <c r="S186">
        <v>6187</v>
      </c>
      <c r="T186">
        <v>5826</v>
      </c>
    </row>
    <row r="187" spans="1:20" x14ac:dyDescent="0.35">
      <c r="A187" s="7" t="s">
        <v>281</v>
      </c>
      <c r="B187" s="12" t="s">
        <v>171</v>
      </c>
      <c r="C187">
        <v>95697912.445614412</v>
      </c>
      <c r="D187">
        <v>87208635.144246295</v>
      </c>
      <c r="E187">
        <v>107207.207207208</v>
      </c>
      <c r="F187">
        <v>1463063.063063066</v>
      </c>
      <c r="G187">
        <v>12</v>
      </c>
      <c r="H187">
        <v>9</v>
      </c>
      <c r="K187">
        <v>13</v>
      </c>
      <c r="L187">
        <v>10</v>
      </c>
      <c r="M187">
        <v>8233333.333333333</v>
      </c>
      <c r="N187">
        <v>7246846.8468468487</v>
      </c>
      <c r="O187">
        <v>41973094.59459459</v>
      </c>
      <c r="P187">
        <v>39853045.045045048</v>
      </c>
      <c r="Q187">
        <v>4504414.4144144151</v>
      </c>
      <c r="R187">
        <v>4942972.9729729723</v>
      </c>
      <c r="S187">
        <v>3184</v>
      </c>
      <c r="T187">
        <v>3335</v>
      </c>
    </row>
    <row r="188" spans="1:20" x14ac:dyDescent="0.35">
      <c r="A188" s="7" t="s">
        <v>282</v>
      </c>
      <c r="B188" s="12" t="s">
        <v>88</v>
      </c>
      <c r="E188">
        <v>3603603.6036036038</v>
      </c>
      <c r="F188">
        <v>23630129.729729727</v>
      </c>
      <c r="M188">
        <v>59459.459459459002</v>
      </c>
      <c r="N188">
        <v>2702702.702702703</v>
      </c>
    </row>
    <row r="189" spans="1:20" x14ac:dyDescent="0.35">
      <c r="A189" s="7" t="s">
        <v>283</v>
      </c>
      <c r="B189" s="12" t="s">
        <v>171</v>
      </c>
      <c r="C189">
        <v>50263439.621995606</v>
      </c>
      <c r="D189">
        <v>50597231.726117663</v>
      </c>
      <c r="E189">
        <v>30630.630630631</v>
      </c>
      <c r="F189">
        <v>3603.603603604</v>
      </c>
      <c r="G189">
        <v>7</v>
      </c>
      <c r="H189">
        <v>31</v>
      </c>
      <c r="K189">
        <v>8</v>
      </c>
      <c r="L189">
        <v>32</v>
      </c>
      <c r="M189">
        <v>2913513.5135135129</v>
      </c>
      <c r="N189">
        <v>1985585.5855855851</v>
      </c>
      <c r="O189">
        <v>22788427.927927926</v>
      </c>
      <c r="P189">
        <v>27193702.702702705</v>
      </c>
      <c r="Q189">
        <v>3021801.8018018021</v>
      </c>
      <c r="R189">
        <v>2292702.702702703</v>
      </c>
      <c r="S189">
        <v>2003</v>
      </c>
      <c r="T189">
        <v>2077</v>
      </c>
    </row>
    <row r="190" spans="1:20" x14ac:dyDescent="0.35">
      <c r="A190" s="7" t="s">
        <v>284</v>
      </c>
      <c r="B190" s="12" t="s">
        <v>88</v>
      </c>
      <c r="C190">
        <v>1459187.484863848</v>
      </c>
      <c r="D190">
        <v>1544326.869587258</v>
      </c>
      <c r="G190">
        <v>3</v>
      </c>
      <c r="K190">
        <v>3</v>
      </c>
      <c r="O190">
        <v>494288.28828828799</v>
      </c>
      <c r="P190">
        <v>672072.07207207195</v>
      </c>
      <c r="S190">
        <v>141</v>
      </c>
      <c r="T190">
        <v>153</v>
      </c>
    </row>
    <row r="191" spans="1:20" x14ac:dyDescent="0.35">
      <c r="A191" s="7" t="s">
        <v>285</v>
      </c>
      <c r="B191" s="12" t="s">
        <v>171</v>
      </c>
      <c r="C191">
        <v>99183557.360817581</v>
      </c>
      <c r="D191">
        <v>113452177.71418145</v>
      </c>
      <c r="E191">
        <v>422522.52252252301</v>
      </c>
      <c r="F191">
        <v>985585.58558558603</v>
      </c>
      <c r="G191">
        <v>28</v>
      </c>
      <c r="H191">
        <v>13</v>
      </c>
      <c r="K191">
        <v>29</v>
      </c>
      <c r="L191">
        <v>26</v>
      </c>
      <c r="M191">
        <v>14170270.270270269</v>
      </c>
      <c r="N191">
        <v>11675675.675675675</v>
      </c>
      <c r="O191">
        <v>41549900.9009009</v>
      </c>
      <c r="P191">
        <v>48504954.954954952</v>
      </c>
      <c r="Q191">
        <v>13363693.693693692</v>
      </c>
      <c r="R191">
        <v>11248468.468468469</v>
      </c>
      <c r="S191">
        <v>4073</v>
      </c>
      <c r="T191">
        <v>4950</v>
      </c>
    </row>
    <row r="192" spans="1:20" x14ac:dyDescent="0.35">
      <c r="A192" s="7" t="s">
        <v>286</v>
      </c>
      <c r="B192" s="12" t="s">
        <v>55</v>
      </c>
      <c r="C192">
        <v>72861663.421702608</v>
      </c>
      <c r="D192">
        <v>79068161.084598526</v>
      </c>
      <c r="E192">
        <v>856756.75675675995</v>
      </c>
      <c r="F192">
        <v>692792.79279279395</v>
      </c>
      <c r="G192">
        <v>22</v>
      </c>
      <c r="H192">
        <v>28</v>
      </c>
      <c r="K192">
        <v>28</v>
      </c>
      <c r="L192">
        <v>39</v>
      </c>
      <c r="M192">
        <v>7075675.6756756762</v>
      </c>
      <c r="N192">
        <v>10254054.054054052</v>
      </c>
      <c r="O192">
        <v>15526513.513513513</v>
      </c>
      <c r="P192">
        <v>18661306.306306303</v>
      </c>
      <c r="Q192">
        <v>7865135.1351351384</v>
      </c>
      <c r="R192">
        <v>8065225.2252252279</v>
      </c>
      <c r="S192">
        <v>3720</v>
      </c>
      <c r="T192">
        <v>3845</v>
      </c>
    </row>
    <row r="193" spans="1:20" x14ac:dyDescent="0.35">
      <c r="A193" s="7" t="s">
        <v>287</v>
      </c>
      <c r="B193" s="12" t="s">
        <v>288</v>
      </c>
      <c r="C193">
        <v>84628234.040465653</v>
      </c>
      <c r="D193">
        <v>123872435.69000001</v>
      </c>
      <c r="E193">
        <v>244144.14414414499</v>
      </c>
      <c r="F193">
        <v>167567.56756756999</v>
      </c>
      <c r="G193">
        <v>22</v>
      </c>
      <c r="H193">
        <v>16</v>
      </c>
      <c r="K193">
        <v>28</v>
      </c>
      <c r="L193">
        <v>16</v>
      </c>
      <c r="M193">
        <v>6154054.0540540554</v>
      </c>
      <c r="N193">
        <v>3365765.765765768</v>
      </c>
      <c r="O193">
        <v>15364504.504504504</v>
      </c>
      <c r="P193">
        <v>18599630.630630631</v>
      </c>
      <c r="Q193">
        <v>5923333.333333333</v>
      </c>
      <c r="R193">
        <v>3935045.0450450452</v>
      </c>
      <c r="S193">
        <v>2917</v>
      </c>
      <c r="T193">
        <v>3089</v>
      </c>
    </row>
    <row r="194" spans="1:20" x14ac:dyDescent="0.35">
      <c r="A194" s="7" t="s">
        <v>289</v>
      </c>
      <c r="B194" s="12" t="s">
        <v>288</v>
      </c>
      <c r="C194">
        <v>210481137.20395279</v>
      </c>
      <c r="D194">
        <v>215408978.46014693</v>
      </c>
      <c r="E194">
        <v>1322972.9729729779</v>
      </c>
      <c r="F194">
        <v>2071171.1711711721</v>
      </c>
      <c r="G194">
        <v>32</v>
      </c>
      <c r="H194">
        <v>86</v>
      </c>
      <c r="K194">
        <v>49</v>
      </c>
      <c r="L194">
        <v>234</v>
      </c>
      <c r="M194">
        <v>22451351.351351351</v>
      </c>
      <c r="N194">
        <v>29080180.180180181</v>
      </c>
      <c r="O194">
        <v>44189103.603603601</v>
      </c>
      <c r="P194">
        <v>48562486.486486487</v>
      </c>
      <c r="Q194">
        <v>20532522.52252252</v>
      </c>
      <c r="R194">
        <v>22901351.351351351</v>
      </c>
      <c r="S194">
        <v>8034</v>
      </c>
      <c r="T194">
        <v>8142</v>
      </c>
    </row>
    <row r="195" spans="1:20" x14ac:dyDescent="0.35">
      <c r="A195" s="7" t="s">
        <v>290</v>
      </c>
      <c r="B195" s="12" t="s">
        <v>288</v>
      </c>
      <c r="C195">
        <v>112603564.64955698</v>
      </c>
      <c r="D195">
        <v>122848274.91410647</v>
      </c>
      <c r="E195">
        <v>514414.41441441601</v>
      </c>
      <c r="F195">
        <v>1372072.0720720729</v>
      </c>
      <c r="G195">
        <v>14</v>
      </c>
      <c r="H195">
        <v>6</v>
      </c>
      <c r="K195">
        <v>26</v>
      </c>
      <c r="L195">
        <v>24</v>
      </c>
      <c r="M195">
        <v>28379279.27927928</v>
      </c>
      <c r="N195">
        <v>32723423.423423424</v>
      </c>
      <c r="O195">
        <v>35657675.675675675</v>
      </c>
      <c r="P195">
        <v>38729594.59459459</v>
      </c>
      <c r="Q195">
        <v>26495855.855855856</v>
      </c>
      <c r="R195">
        <v>27584234.234234236</v>
      </c>
      <c r="S195">
        <v>4623</v>
      </c>
      <c r="T195">
        <v>4777</v>
      </c>
    </row>
    <row r="196" spans="1:20" x14ac:dyDescent="0.35">
      <c r="A196" s="7" t="s">
        <v>291</v>
      </c>
      <c r="B196" s="12" t="s">
        <v>288</v>
      </c>
      <c r="C196">
        <v>82097284.539751977</v>
      </c>
      <c r="D196">
        <v>90807584.217047185</v>
      </c>
      <c r="E196">
        <v>172972.97297297401</v>
      </c>
      <c r="F196">
        <v>348648.64864864899</v>
      </c>
      <c r="G196">
        <v>3</v>
      </c>
      <c r="H196">
        <v>2</v>
      </c>
      <c r="K196">
        <v>4</v>
      </c>
      <c r="L196">
        <v>2</v>
      </c>
      <c r="M196">
        <v>6821621.6216216218</v>
      </c>
      <c r="N196">
        <v>5573873.8738738727</v>
      </c>
      <c r="O196">
        <v>16282585.585585587</v>
      </c>
      <c r="P196">
        <v>19201954.954954952</v>
      </c>
      <c r="Q196">
        <v>7789549.5495495498</v>
      </c>
      <c r="R196">
        <v>6011621.6216216208</v>
      </c>
      <c r="S196">
        <v>2518</v>
      </c>
      <c r="T196">
        <v>2389</v>
      </c>
    </row>
    <row r="197" spans="1:20" x14ac:dyDescent="0.35">
      <c r="A197" s="7" t="s">
        <v>292</v>
      </c>
      <c r="B197" s="12" t="s">
        <v>288</v>
      </c>
      <c r="C197">
        <v>41724221.996041894</v>
      </c>
      <c r="D197">
        <v>43102130.386001743</v>
      </c>
      <c r="E197">
        <v>311711.711711713</v>
      </c>
      <c r="F197">
        <v>695495.49549549597</v>
      </c>
      <c r="H197">
        <v>1</v>
      </c>
      <c r="K197">
        <v>1</v>
      </c>
      <c r="L197">
        <v>1</v>
      </c>
      <c r="M197">
        <v>12257657.657657659</v>
      </c>
      <c r="N197">
        <v>7407207.2072072066</v>
      </c>
      <c r="O197">
        <v>7422360.3603603598</v>
      </c>
      <c r="P197">
        <v>9257423.4234234244</v>
      </c>
      <c r="Q197">
        <v>11892342.342342343</v>
      </c>
      <c r="R197">
        <v>6811801.8018018017</v>
      </c>
      <c r="S197">
        <v>1387</v>
      </c>
      <c r="T197">
        <v>1445</v>
      </c>
    </row>
    <row r="198" spans="1:20" x14ac:dyDescent="0.35">
      <c r="A198" s="7" t="s">
        <v>293</v>
      </c>
      <c r="B198" s="12" t="s">
        <v>288</v>
      </c>
      <c r="C198">
        <v>6973216.7126310496</v>
      </c>
      <c r="D198">
        <v>6923521.2564966464</v>
      </c>
      <c r="E198">
        <v>180180.18018018</v>
      </c>
      <c r="F198">
        <v>360360.36036036001</v>
      </c>
      <c r="M198">
        <v>5423423.4234234244</v>
      </c>
      <c r="N198">
        <v>4504504.5045045037</v>
      </c>
      <c r="O198">
        <v>1003477.477477477</v>
      </c>
      <c r="P198">
        <v>1467333.333333333</v>
      </c>
      <c r="Q198">
        <v>5243243.2432432435</v>
      </c>
      <c r="R198">
        <v>4157657.6576576568</v>
      </c>
      <c r="S198">
        <v>332</v>
      </c>
      <c r="T198">
        <v>302</v>
      </c>
    </row>
    <row r="199" spans="1:20" x14ac:dyDescent="0.35">
      <c r="A199" s="7" t="s">
        <v>294</v>
      </c>
      <c r="B199" s="12" t="s">
        <v>295</v>
      </c>
      <c r="C199">
        <v>87407238.250351772</v>
      </c>
      <c r="D199">
        <v>90957129.723036543</v>
      </c>
      <c r="E199">
        <v>6421621.6216216218</v>
      </c>
      <c r="F199">
        <v>5405405.405405405</v>
      </c>
      <c r="G199">
        <v>18</v>
      </c>
      <c r="H199">
        <v>8</v>
      </c>
      <c r="K199">
        <v>20</v>
      </c>
      <c r="L199">
        <v>8</v>
      </c>
      <c r="M199">
        <v>153153.15315315401</v>
      </c>
      <c r="N199">
        <v>90090.090090090001</v>
      </c>
      <c r="O199">
        <v>7341938.7387387399</v>
      </c>
      <c r="P199">
        <v>9194672.072072072</v>
      </c>
      <c r="Q199">
        <v>219369.369369369</v>
      </c>
      <c r="R199">
        <v>611261.26126126095</v>
      </c>
      <c r="S199">
        <v>4518</v>
      </c>
      <c r="T199">
        <v>4563</v>
      </c>
    </row>
    <row r="200" spans="1:20" x14ac:dyDescent="0.35">
      <c r="A200" s="7" t="s">
        <v>296</v>
      </c>
      <c r="B200" s="12" t="s">
        <v>149</v>
      </c>
      <c r="C200">
        <v>193158058.47007155</v>
      </c>
      <c r="D200">
        <v>176729736.75692332</v>
      </c>
      <c r="E200">
        <v>263626315.31531534</v>
      </c>
      <c r="F200">
        <v>206565298.1981982</v>
      </c>
      <c r="G200">
        <v>42</v>
      </c>
      <c r="H200">
        <v>50</v>
      </c>
      <c r="K200">
        <v>52</v>
      </c>
      <c r="L200">
        <v>60</v>
      </c>
      <c r="M200">
        <v>82766666.666666672</v>
      </c>
      <c r="N200">
        <v>72438787.387387395</v>
      </c>
      <c r="O200">
        <v>70508855.855855852</v>
      </c>
      <c r="P200">
        <v>72991432.432432428</v>
      </c>
      <c r="Q200">
        <v>75598648.648648635</v>
      </c>
      <c r="R200">
        <v>54142162.162162162</v>
      </c>
      <c r="S200">
        <v>7771</v>
      </c>
      <c r="T200">
        <v>7570</v>
      </c>
    </row>
    <row r="201" spans="1:20" x14ac:dyDescent="0.35">
      <c r="A201" s="7" t="s">
        <v>297</v>
      </c>
      <c r="B201" s="12" t="s">
        <v>298</v>
      </c>
      <c r="C201">
        <v>93019278.633897185</v>
      </c>
      <c r="D201">
        <v>104749731.35827319</v>
      </c>
      <c r="E201">
        <v>78178226.126126125</v>
      </c>
      <c r="F201">
        <v>63396822.522522531</v>
      </c>
      <c r="G201">
        <v>8</v>
      </c>
      <c r="K201">
        <v>9</v>
      </c>
      <c r="L201">
        <v>6</v>
      </c>
      <c r="M201">
        <v>19756486.486486487</v>
      </c>
      <c r="N201">
        <v>21126576.576576576</v>
      </c>
      <c r="O201">
        <v>13075225.225225223</v>
      </c>
      <c r="P201">
        <v>14727027.027027028</v>
      </c>
      <c r="Q201">
        <v>16990720.720720723</v>
      </c>
      <c r="R201">
        <v>17162342.342342343</v>
      </c>
      <c r="S201">
        <v>3376</v>
      </c>
      <c r="T201">
        <v>3528</v>
      </c>
    </row>
    <row r="202" spans="1:20" x14ac:dyDescent="0.35">
      <c r="A202" s="7" t="s">
        <v>299</v>
      </c>
      <c r="B202" s="12" t="s">
        <v>295</v>
      </c>
      <c r="C202">
        <v>20592200.594898112</v>
      </c>
      <c r="D202">
        <v>23687508.177699633</v>
      </c>
      <c r="E202">
        <v>567567.56756756804</v>
      </c>
      <c r="F202">
        <v>509009.00900900899</v>
      </c>
      <c r="G202">
        <v>5</v>
      </c>
      <c r="H202">
        <v>3</v>
      </c>
      <c r="K202">
        <v>5</v>
      </c>
      <c r="L202">
        <v>4</v>
      </c>
      <c r="M202">
        <v>2370270.2702702698</v>
      </c>
      <c r="N202">
        <v>509009.00900900899</v>
      </c>
      <c r="O202">
        <v>3108108.1081081079</v>
      </c>
      <c r="P202">
        <v>2800882.8828828828</v>
      </c>
      <c r="Q202">
        <v>1575225.2252252251</v>
      </c>
      <c r="R202">
        <v>918288.28828828898</v>
      </c>
      <c r="S202">
        <v>1124</v>
      </c>
      <c r="T202">
        <v>1216</v>
      </c>
    </row>
    <row r="203" spans="1:20" x14ac:dyDescent="0.35">
      <c r="A203" s="7" t="s">
        <v>300</v>
      </c>
      <c r="B203" s="12" t="s">
        <v>53</v>
      </c>
      <c r="C203">
        <v>271495348.19682133</v>
      </c>
      <c r="D203">
        <v>289795342.04716218</v>
      </c>
      <c r="E203">
        <v>2788288.2882882929</v>
      </c>
      <c r="F203">
        <v>3677477.4774774811</v>
      </c>
      <c r="G203">
        <v>72</v>
      </c>
      <c r="H203">
        <v>127</v>
      </c>
      <c r="K203">
        <v>108</v>
      </c>
      <c r="L203">
        <v>206</v>
      </c>
      <c r="M203">
        <v>48834054.054054059</v>
      </c>
      <c r="N203">
        <v>50687387.387387395</v>
      </c>
      <c r="O203">
        <v>73020558.558558553</v>
      </c>
      <c r="P203">
        <v>79097099.0990991</v>
      </c>
      <c r="Q203">
        <v>62935765.765765771</v>
      </c>
      <c r="R203">
        <v>60666756.75675676</v>
      </c>
      <c r="S203">
        <v>11632</v>
      </c>
      <c r="T203">
        <v>11749</v>
      </c>
    </row>
    <row r="204" spans="1:20" x14ac:dyDescent="0.35">
      <c r="A204" s="7" t="s">
        <v>301</v>
      </c>
      <c r="B204" s="12" t="s">
        <v>171</v>
      </c>
      <c r="C204">
        <v>78366184.984022811</v>
      </c>
      <c r="D204">
        <v>102905048.18264543</v>
      </c>
      <c r="E204">
        <v>13513.513513514001</v>
      </c>
      <c r="G204">
        <v>10</v>
      </c>
      <c r="H204">
        <v>3</v>
      </c>
      <c r="K204">
        <v>12</v>
      </c>
      <c r="L204">
        <v>3</v>
      </c>
      <c r="M204">
        <v>4833333.333333334</v>
      </c>
      <c r="N204">
        <v>4054054.054054054</v>
      </c>
      <c r="O204">
        <v>17322648.648648649</v>
      </c>
      <c r="P204">
        <v>26978423.423423424</v>
      </c>
      <c r="Q204">
        <v>4700270.2702702703</v>
      </c>
      <c r="R204">
        <v>5245855.8558558561</v>
      </c>
      <c r="S204">
        <v>4257</v>
      </c>
      <c r="T204">
        <v>4621</v>
      </c>
    </row>
    <row r="205" spans="1:20" x14ac:dyDescent="0.35">
      <c r="A205" s="7" t="s">
        <v>302</v>
      </c>
      <c r="B205" s="12" t="s">
        <v>171</v>
      </c>
      <c r="C205">
        <v>106446363.62782669</v>
      </c>
      <c r="D205">
        <v>72533519.248395994</v>
      </c>
      <c r="E205">
        <v>57657.657657657997</v>
      </c>
      <c r="F205">
        <v>54504.504504504002</v>
      </c>
      <c r="G205">
        <v>22</v>
      </c>
      <c r="H205">
        <v>13</v>
      </c>
      <c r="K205">
        <v>24</v>
      </c>
      <c r="L205">
        <v>15</v>
      </c>
      <c r="M205">
        <v>1820787387.3873873</v>
      </c>
      <c r="N205">
        <v>282946396.3963964</v>
      </c>
      <c r="O205">
        <v>39816495.495495498</v>
      </c>
      <c r="P205">
        <v>33111819.819819819</v>
      </c>
      <c r="Q205">
        <v>1775844140.5405405</v>
      </c>
      <c r="R205">
        <v>253966727.92792794</v>
      </c>
      <c r="S205">
        <v>2823</v>
      </c>
      <c r="T205">
        <v>2704</v>
      </c>
    </row>
    <row r="206" spans="1:20" x14ac:dyDescent="0.35">
      <c r="A206" s="7" t="s">
        <v>303</v>
      </c>
      <c r="B206" s="12" t="s">
        <v>90</v>
      </c>
      <c r="C206">
        <v>313036702.33245599</v>
      </c>
      <c r="D206">
        <v>329059824.94025797</v>
      </c>
      <c r="E206">
        <v>1100000.0000000091</v>
      </c>
      <c r="F206">
        <v>1118018.018018021</v>
      </c>
      <c r="G206">
        <v>59</v>
      </c>
      <c r="H206">
        <v>21</v>
      </c>
      <c r="I206">
        <v>2</v>
      </c>
      <c r="K206">
        <v>85</v>
      </c>
      <c r="L206">
        <v>28</v>
      </c>
      <c r="M206">
        <v>18346126.126126129</v>
      </c>
      <c r="N206">
        <v>388627207.2072072</v>
      </c>
      <c r="O206">
        <v>60668581.081081077</v>
      </c>
      <c r="P206">
        <v>68669891.891891882</v>
      </c>
      <c r="Q206">
        <v>23061621.62162162</v>
      </c>
      <c r="R206">
        <v>278405855.85585588</v>
      </c>
      <c r="S206">
        <v>11094</v>
      </c>
      <c r="T206">
        <v>11084</v>
      </c>
    </row>
    <row r="207" spans="1:20" x14ac:dyDescent="0.35">
      <c r="A207" s="7" t="s">
        <v>304</v>
      </c>
      <c r="B207" s="12" t="s">
        <v>136</v>
      </c>
      <c r="C207">
        <v>169493656.64924979</v>
      </c>
      <c r="D207">
        <v>192869121.50909469</v>
      </c>
      <c r="E207">
        <v>1248648.648648652</v>
      </c>
      <c r="F207">
        <v>822522.52252252295</v>
      </c>
      <c r="G207">
        <v>38</v>
      </c>
      <c r="H207">
        <v>31</v>
      </c>
      <c r="K207">
        <v>50</v>
      </c>
      <c r="L207">
        <v>65</v>
      </c>
      <c r="M207">
        <v>12239639.63963964</v>
      </c>
      <c r="N207">
        <v>17660360.360360354</v>
      </c>
      <c r="O207">
        <v>21218108.108108107</v>
      </c>
      <c r="P207">
        <v>29575034.234234232</v>
      </c>
      <c r="Q207">
        <v>10578198.198198197</v>
      </c>
      <c r="R207">
        <v>17230810.810810808</v>
      </c>
      <c r="S207">
        <v>6953</v>
      </c>
      <c r="T207">
        <v>7168</v>
      </c>
    </row>
    <row r="208" spans="1:20" x14ac:dyDescent="0.35">
      <c r="A208" s="7" t="s">
        <v>305</v>
      </c>
      <c r="B208" s="12" t="s">
        <v>295</v>
      </c>
      <c r="C208">
        <v>118492130.17028931</v>
      </c>
      <c r="D208">
        <v>126375587.42039452</v>
      </c>
      <c r="E208">
        <v>2071171.1711711709</v>
      </c>
      <c r="F208">
        <v>1030630.630630632</v>
      </c>
      <c r="G208">
        <v>44</v>
      </c>
      <c r="H208">
        <v>16</v>
      </c>
      <c r="K208">
        <v>52</v>
      </c>
      <c r="L208">
        <v>23</v>
      </c>
      <c r="M208">
        <v>10964864.864864863</v>
      </c>
      <c r="N208">
        <v>11724324.324324325</v>
      </c>
      <c r="O208">
        <v>15952421.62162162</v>
      </c>
      <c r="P208">
        <v>18361522.52252252</v>
      </c>
      <c r="Q208">
        <v>9171531.5315315276</v>
      </c>
      <c r="R208">
        <v>15567387.387387386</v>
      </c>
      <c r="S208">
        <v>4337</v>
      </c>
      <c r="T208">
        <v>4416</v>
      </c>
    </row>
    <row r="209" spans="1:20" x14ac:dyDescent="0.35">
      <c r="A209" s="7" t="s">
        <v>306</v>
      </c>
      <c r="B209" s="12" t="s">
        <v>81</v>
      </c>
      <c r="C209">
        <v>170632899.8767572</v>
      </c>
      <c r="D209">
        <v>182570276.41254336</v>
      </c>
      <c r="E209">
        <v>2884459.4594594608</v>
      </c>
      <c r="F209">
        <v>3945945.9459459488</v>
      </c>
      <c r="G209">
        <v>25</v>
      </c>
      <c r="H209">
        <v>5</v>
      </c>
      <c r="K209">
        <v>27</v>
      </c>
      <c r="L209">
        <v>9</v>
      </c>
      <c r="M209">
        <v>17781081.081081077</v>
      </c>
      <c r="N209">
        <v>19980180.180180181</v>
      </c>
      <c r="O209">
        <v>35185045.045045048</v>
      </c>
      <c r="P209">
        <v>40369045.045045048</v>
      </c>
      <c r="Q209">
        <v>14980180.180180175</v>
      </c>
      <c r="R209">
        <v>17739279.27927928</v>
      </c>
      <c r="S209">
        <v>5742</v>
      </c>
      <c r="T209">
        <v>5882</v>
      </c>
    </row>
    <row r="210" spans="1:20" x14ac:dyDescent="0.35">
      <c r="A210" s="7" t="s">
        <v>307</v>
      </c>
      <c r="B210" s="12" t="s">
        <v>73</v>
      </c>
      <c r="C210">
        <v>267449820.94201344</v>
      </c>
      <c r="D210">
        <v>292737895.36064613</v>
      </c>
      <c r="E210">
        <v>26680180.180180185</v>
      </c>
      <c r="F210">
        <v>27327027.027027033</v>
      </c>
      <c r="G210">
        <v>71</v>
      </c>
      <c r="H210">
        <v>25</v>
      </c>
      <c r="I210">
        <v>1</v>
      </c>
      <c r="K210">
        <v>78</v>
      </c>
      <c r="L210">
        <v>27</v>
      </c>
      <c r="M210">
        <v>13069819.819819819</v>
      </c>
      <c r="N210">
        <v>30201351.351351351</v>
      </c>
      <c r="O210">
        <v>41828558.558558561</v>
      </c>
      <c r="P210">
        <v>49623953.153153151</v>
      </c>
      <c r="Q210">
        <v>13541711.711711712</v>
      </c>
      <c r="R210">
        <v>17064234.234234232</v>
      </c>
      <c r="S210">
        <v>8951</v>
      </c>
      <c r="T210">
        <v>9121</v>
      </c>
    </row>
    <row r="211" spans="1:20" x14ac:dyDescent="0.35">
      <c r="A211" s="7" t="s">
        <v>308</v>
      </c>
      <c r="B211" s="12" t="s">
        <v>309</v>
      </c>
      <c r="C211">
        <v>973420.578011067</v>
      </c>
      <c r="D211">
        <v>1194876.3533022411</v>
      </c>
      <c r="O211">
        <v>485225.22522522497</v>
      </c>
      <c r="P211">
        <v>225225.225225225</v>
      </c>
      <c r="S211">
        <v>71</v>
      </c>
      <c r="T211">
        <v>73</v>
      </c>
    </row>
    <row r="212" spans="1:20" x14ac:dyDescent="0.35">
      <c r="A212" s="7" t="s">
        <v>310</v>
      </c>
      <c r="B212" s="12" t="s">
        <v>309</v>
      </c>
      <c r="E212">
        <v>7207207.2072072066</v>
      </c>
      <c r="F212">
        <v>8896396.3963963967</v>
      </c>
      <c r="M212">
        <v>44594.594594595001</v>
      </c>
      <c r="N212">
        <v>81081.081081081007</v>
      </c>
    </row>
    <row r="213" spans="1:20" x14ac:dyDescent="0.35">
      <c r="A213" s="7" t="s">
        <v>311</v>
      </c>
      <c r="B213" s="12" t="s">
        <v>119</v>
      </c>
      <c r="C213">
        <v>34561158.84284611</v>
      </c>
      <c r="D213">
        <v>35457314.064881518</v>
      </c>
      <c r="E213">
        <v>248648.648648651</v>
      </c>
      <c r="F213">
        <v>8108.1081081080001</v>
      </c>
      <c r="G213">
        <v>1</v>
      </c>
      <c r="H213">
        <v>9</v>
      </c>
      <c r="K213">
        <v>1</v>
      </c>
      <c r="L213">
        <v>10</v>
      </c>
      <c r="M213">
        <v>1989909.9099099119</v>
      </c>
      <c r="N213">
        <v>909009.00900900899</v>
      </c>
      <c r="O213">
        <v>14929639.63963964</v>
      </c>
      <c r="P213">
        <v>15107072.072072072</v>
      </c>
      <c r="Q213">
        <v>1736756.7567567569</v>
      </c>
      <c r="R213">
        <v>1211081.0810810809</v>
      </c>
      <c r="S213">
        <v>1698</v>
      </c>
      <c r="T213">
        <v>1642</v>
      </c>
    </row>
    <row r="214" spans="1:20" x14ac:dyDescent="0.35">
      <c r="A214" s="7" t="s">
        <v>312</v>
      </c>
      <c r="B214" s="12" t="s">
        <v>313</v>
      </c>
      <c r="C214">
        <v>41586450.656742558</v>
      </c>
      <c r="D214">
        <v>42967316.411962345</v>
      </c>
      <c r="E214">
        <v>298964864.86486489</v>
      </c>
      <c r="F214">
        <v>158261261.26126125</v>
      </c>
      <c r="G214">
        <v>20</v>
      </c>
      <c r="H214">
        <v>10</v>
      </c>
      <c r="K214">
        <v>23</v>
      </c>
      <c r="L214">
        <v>11</v>
      </c>
      <c r="M214">
        <v>1426576.576576577</v>
      </c>
      <c r="N214">
        <v>3584909.9099099101</v>
      </c>
      <c r="O214">
        <v>21787909.909909911</v>
      </c>
      <c r="P214">
        <v>21632855.855855856</v>
      </c>
      <c r="Q214">
        <v>286846.84684684698</v>
      </c>
      <c r="R214">
        <v>172882.88288288299</v>
      </c>
      <c r="S214">
        <v>4326</v>
      </c>
      <c r="T214">
        <v>5296</v>
      </c>
    </row>
    <row r="215" spans="1:20" x14ac:dyDescent="0.35">
      <c r="A215" s="7" t="s">
        <v>314</v>
      </c>
      <c r="B215" s="12" t="s">
        <v>142</v>
      </c>
      <c r="C215">
        <v>284960283.92350775</v>
      </c>
      <c r="D215">
        <v>306140289.17832279</v>
      </c>
      <c r="E215">
        <v>1030630.6306306371</v>
      </c>
      <c r="F215">
        <v>1172072.0720720741</v>
      </c>
      <c r="G215">
        <v>48</v>
      </c>
      <c r="H215">
        <v>7</v>
      </c>
      <c r="I215">
        <v>2</v>
      </c>
      <c r="K215">
        <v>61</v>
      </c>
      <c r="L215">
        <v>14</v>
      </c>
      <c r="M215">
        <v>50001801.801801801</v>
      </c>
      <c r="N215">
        <v>54917162.16216217</v>
      </c>
      <c r="O215">
        <v>62450990.990990989</v>
      </c>
      <c r="P215">
        <v>69270989.189189181</v>
      </c>
      <c r="Q215">
        <v>29523513.513513517</v>
      </c>
      <c r="R215">
        <v>30306981.981981982</v>
      </c>
      <c r="S215">
        <v>8287</v>
      </c>
      <c r="T215">
        <v>8381</v>
      </c>
    </row>
    <row r="216" spans="1:20" x14ac:dyDescent="0.35">
      <c r="A216" s="7" t="s">
        <v>315</v>
      </c>
      <c r="B216" s="12" t="s">
        <v>134</v>
      </c>
      <c r="C216">
        <v>260400565.40527278</v>
      </c>
      <c r="D216">
        <v>273289007.05719674</v>
      </c>
      <c r="E216">
        <v>2389189.189189191</v>
      </c>
      <c r="F216">
        <v>1461261.261261262</v>
      </c>
      <c r="G216">
        <v>74</v>
      </c>
      <c r="H216">
        <v>33</v>
      </c>
      <c r="K216">
        <v>87</v>
      </c>
      <c r="L216">
        <v>39</v>
      </c>
      <c r="M216">
        <v>14200000</v>
      </c>
      <c r="N216">
        <v>8429054.0540540554</v>
      </c>
      <c r="O216">
        <v>69981495.495495498</v>
      </c>
      <c r="P216">
        <v>79837891.891891882</v>
      </c>
      <c r="Q216">
        <v>10250900.900900902</v>
      </c>
      <c r="R216">
        <v>6867162.1621621624</v>
      </c>
      <c r="S216">
        <v>12677</v>
      </c>
      <c r="T216">
        <v>12119</v>
      </c>
    </row>
    <row r="217" spans="1:20" x14ac:dyDescent="0.35">
      <c r="A217" s="7" t="s">
        <v>316</v>
      </c>
      <c r="B217" s="12" t="s">
        <v>73</v>
      </c>
      <c r="C217">
        <v>456105147.06308424</v>
      </c>
      <c r="D217">
        <v>517734728.55780101</v>
      </c>
      <c r="E217">
        <v>3845270.2702702819</v>
      </c>
      <c r="F217">
        <v>2575675.675675679</v>
      </c>
      <c r="G217">
        <v>91</v>
      </c>
      <c r="H217">
        <v>27</v>
      </c>
      <c r="I217">
        <v>2</v>
      </c>
      <c r="K217">
        <v>123</v>
      </c>
      <c r="L217">
        <v>33</v>
      </c>
      <c r="M217">
        <v>61919819.819819815</v>
      </c>
      <c r="N217">
        <v>76963063.063063055</v>
      </c>
      <c r="O217">
        <v>110988604.05405405</v>
      </c>
      <c r="P217">
        <v>154184086.48648649</v>
      </c>
      <c r="Q217">
        <v>58471171.171171173</v>
      </c>
      <c r="R217">
        <v>66416576.576576576</v>
      </c>
      <c r="S217">
        <v>16631</v>
      </c>
      <c r="T217">
        <v>17164</v>
      </c>
    </row>
    <row r="218" spans="1:20" x14ac:dyDescent="0.35">
      <c r="A218" s="7" t="s">
        <v>317</v>
      </c>
      <c r="B218" s="12" t="s">
        <v>63</v>
      </c>
      <c r="C218">
        <v>77679960.817137778</v>
      </c>
      <c r="D218">
        <v>81669771.746010274</v>
      </c>
      <c r="E218">
        <v>477477.47747748002</v>
      </c>
      <c r="F218">
        <v>639639.63963964104</v>
      </c>
      <c r="G218">
        <v>12</v>
      </c>
      <c r="H218">
        <v>10</v>
      </c>
      <c r="K218">
        <v>14</v>
      </c>
      <c r="L218">
        <v>10</v>
      </c>
      <c r="M218">
        <v>17798018.018018018</v>
      </c>
      <c r="N218">
        <v>10019819.819819819</v>
      </c>
      <c r="O218">
        <v>20681108.108108107</v>
      </c>
      <c r="P218">
        <v>23822081.081081081</v>
      </c>
      <c r="Q218">
        <v>14203423.423423424</v>
      </c>
      <c r="R218">
        <v>14667027.027027028</v>
      </c>
      <c r="S218">
        <v>2363</v>
      </c>
      <c r="T218">
        <v>2264</v>
      </c>
    </row>
    <row r="219" spans="1:20" x14ac:dyDescent="0.35">
      <c r="A219" s="7" t="s">
        <v>318</v>
      </c>
      <c r="B219" s="12" t="s">
        <v>90</v>
      </c>
      <c r="C219">
        <v>26472793.533232383</v>
      </c>
      <c r="D219">
        <v>30053005.276115209</v>
      </c>
      <c r="E219">
        <v>348648.64864864998</v>
      </c>
      <c r="F219">
        <v>56756.756756757</v>
      </c>
      <c r="G219">
        <v>7</v>
      </c>
      <c r="H219">
        <v>4</v>
      </c>
      <c r="K219">
        <v>7</v>
      </c>
      <c r="L219">
        <v>4</v>
      </c>
      <c r="M219">
        <v>4592072.0720720701</v>
      </c>
      <c r="N219">
        <v>768468.46846846805</v>
      </c>
      <c r="O219">
        <v>9019846.8468468487</v>
      </c>
      <c r="P219">
        <v>10461009.009009007</v>
      </c>
      <c r="Q219">
        <v>4539639.6396396384</v>
      </c>
      <c r="R219">
        <v>716036.03603603505</v>
      </c>
      <c r="S219">
        <v>1222</v>
      </c>
      <c r="T219">
        <v>1327</v>
      </c>
    </row>
    <row r="220" spans="1:20" x14ac:dyDescent="0.35">
      <c r="A220" s="7" t="s">
        <v>319</v>
      </c>
      <c r="B220" s="12" t="s">
        <v>93</v>
      </c>
      <c r="C220">
        <v>12204971.492388368</v>
      </c>
      <c r="D220">
        <v>8106008.7766531724</v>
      </c>
      <c r="E220">
        <v>54054.054054054002</v>
      </c>
      <c r="F220">
        <v>27027.027027027001</v>
      </c>
      <c r="G220">
        <v>2</v>
      </c>
      <c r="H220">
        <v>3</v>
      </c>
      <c r="K220">
        <v>2</v>
      </c>
      <c r="L220">
        <v>3</v>
      </c>
      <c r="M220">
        <v>54054.054054054002</v>
      </c>
      <c r="N220">
        <v>27027.027027027001</v>
      </c>
      <c r="O220">
        <v>836261.26126126095</v>
      </c>
      <c r="P220">
        <v>1167387.387387387</v>
      </c>
      <c r="Q220">
        <v>145045.045045045</v>
      </c>
      <c r="S220">
        <v>833</v>
      </c>
      <c r="T220">
        <v>718</v>
      </c>
    </row>
    <row r="221" spans="1:20" x14ac:dyDescent="0.35">
      <c r="A221" s="7" t="s">
        <v>320</v>
      </c>
      <c r="B221" s="12" t="s">
        <v>321</v>
      </c>
      <c r="C221">
        <v>90633275.529620469</v>
      </c>
      <c r="D221">
        <v>93918314.247064576</v>
      </c>
      <c r="E221">
        <v>493243.24324324197</v>
      </c>
      <c r="F221">
        <v>1736936.9369369361</v>
      </c>
      <c r="G221">
        <v>19</v>
      </c>
      <c r="H221">
        <v>18</v>
      </c>
      <c r="K221">
        <v>19</v>
      </c>
      <c r="L221">
        <v>21</v>
      </c>
      <c r="M221">
        <v>6694594.5945945922</v>
      </c>
      <c r="N221">
        <v>19358558.558558557</v>
      </c>
      <c r="O221">
        <v>13579882.882882884</v>
      </c>
      <c r="P221">
        <v>16345792.792792792</v>
      </c>
      <c r="Q221">
        <v>5233333.3333333312</v>
      </c>
      <c r="R221">
        <v>14213873.873873873</v>
      </c>
      <c r="S221">
        <v>3544</v>
      </c>
      <c r="T221">
        <v>3537</v>
      </c>
    </row>
    <row r="222" spans="1:20" x14ac:dyDescent="0.35">
      <c r="A222" s="7" t="s">
        <v>322</v>
      </c>
      <c r="B222" s="12" t="s">
        <v>63</v>
      </c>
      <c r="C222">
        <v>156762559.93239141</v>
      </c>
      <c r="D222">
        <v>173485298.86480597</v>
      </c>
      <c r="E222">
        <v>268058811.7117117</v>
      </c>
      <c r="F222">
        <v>207450292.7927928</v>
      </c>
      <c r="G222">
        <v>31</v>
      </c>
      <c r="H222">
        <v>25</v>
      </c>
      <c r="K222">
        <v>117</v>
      </c>
      <c r="L222">
        <v>67</v>
      </c>
      <c r="M222">
        <v>50192833.333333336</v>
      </c>
      <c r="N222">
        <v>35294354.954954952</v>
      </c>
      <c r="O222">
        <v>53380333.333333336</v>
      </c>
      <c r="P222">
        <v>63540090.090090089</v>
      </c>
      <c r="Q222">
        <v>24905045.045045044</v>
      </c>
      <c r="R222">
        <v>19215315.315315317</v>
      </c>
      <c r="S222">
        <v>8741</v>
      </c>
      <c r="T222">
        <v>8980</v>
      </c>
    </row>
    <row r="223" spans="1:20" x14ac:dyDescent="0.35">
      <c r="A223" s="7" t="s">
        <v>323</v>
      </c>
      <c r="B223" s="12" t="s">
        <v>63</v>
      </c>
      <c r="C223">
        <v>143948593.59994185</v>
      </c>
      <c r="D223">
        <v>161835863.1426048</v>
      </c>
      <c r="E223">
        <v>1052252.2522522539</v>
      </c>
      <c r="F223">
        <v>1047747.747747749</v>
      </c>
      <c r="G223">
        <v>18</v>
      </c>
      <c r="H223">
        <v>6</v>
      </c>
      <c r="K223">
        <v>25</v>
      </c>
      <c r="L223">
        <v>7</v>
      </c>
      <c r="M223">
        <v>20133873.873873871</v>
      </c>
      <c r="N223">
        <v>23772972.97297297</v>
      </c>
      <c r="O223">
        <v>48900945.945945941</v>
      </c>
      <c r="P223">
        <v>58104000</v>
      </c>
      <c r="Q223">
        <v>17903063.063063059</v>
      </c>
      <c r="R223">
        <v>24499999.999999996</v>
      </c>
      <c r="S223">
        <v>5465</v>
      </c>
      <c r="T223">
        <v>5530</v>
      </c>
    </row>
    <row r="224" spans="1:20" x14ac:dyDescent="0.35">
      <c r="A224" s="7" t="s">
        <v>324</v>
      </c>
      <c r="B224" s="12" t="s">
        <v>79</v>
      </c>
      <c r="C224">
        <v>148009564.33068264</v>
      </c>
      <c r="D224">
        <v>159531923.95419693</v>
      </c>
      <c r="E224">
        <v>2775675.6756756781</v>
      </c>
      <c r="F224">
        <v>2965315.3153153211</v>
      </c>
      <c r="G224">
        <v>37</v>
      </c>
      <c r="H224">
        <v>28</v>
      </c>
      <c r="I224">
        <v>1</v>
      </c>
      <c r="K224">
        <v>71</v>
      </c>
      <c r="L224">
        <v>33</v>
      </c>
      <c r="M224">
        <v>38051351.351351351</v>
      </c>
      <c r="N224">
        <v>39900450.45045045</v>
      </c>
      <c r="O224">
        <v>64272617.117117122</v>
      </c>
      <c r="P224">
        <v>67616567.567567572</v>
      </c>
      <c r="Q224">
        <v>37379549.54954955</v>
      </c>
      <c r="R224">
        <v>38261261.261261262</v>
      </c>
      <c r="S224">
        <v>8990</v>
      </c>
      <c r="T224">
        <v>8754</v>
      </c>
    </row>
    <row r="225" spans="1:20" x14ac:dyDescent="0.35">
      <c r="A225" s="7" t="s">
        <v>325</v>
      </c>
      <c r="B225" s="12" t="s">
        <v>79</v>
      </c>
      <c r="C225">
        <v>87453243.45419991</v>
      </c>
      <c r="D225">
        <v>92552452.022960156</v>
      </c>
      <c r="E225">
        <v>1471171.171171173</v>
      </c>
      <c r="F225">
        <v>1255855.8558558589</v>
      </c>
      <c r="G225">
        <v>30</v>
      </c>
      <c r="H225">
        <v>20</v>
      </c>
      <c r="K225">
        <v>50</v>
      </c>
      <c r="L225">
        <v>38</v>
      </c>
      <c r="M225">
        <v>7876576.5765765756</v>
      </c>
      <c r="N225">
        <v>8336936.9369369391</v>
      </c>
      <c r="O225">
        <v>31888837.837837841</v>
      </c>
      <c r="P225">
        <v>34931936.936936937</v>
      </c>
      <c r="Q225">
        <v>6496126.1261261282</v>
      </c>
      <c r="R225">
        <v>8654864.864864869</v>
      </c>
      <c r="S225">
        <v>4940</v>
      </c>
      <c r="T225">
        <v>5822</v>
      </c>
    </row>
    <row r="226" spans="1:20" x14ac:dyDescent="0.35">
      <c r="A226" s="7" t="s">
        <v>326</v>
      </c>
      <c r="B226" s="12" t="s">
        <v>123</v>
      </c>
      <c r="C226">
        <v>653301.37886465795</v>
      </c>
      <c r="D226">
        <v>611432.98712436098</v>
      </c>
      <c r="H226">
        <v>2</v>
      </c>
      <c r="L226">
        <v>2</v>
      </c>
      <c r="O226">
        <v>35225.225225224996</v>
      </c>
      <c r="P226">
        <v>296351.35135135101</v>
      </c>
      <c r="S226">
        <v>53</v>
      </c>
      <c r="T226">
        <v>73</v>
      </c>
    </row>
    <row r="227" spans="1:20" x14ac:dyDescent="0.35">
      <c r="A227" s="7" t="s">
        <v>327</v>
      </c>
      <c r="B227" s="12" t="s">
        <v>228</v>
      </c>
      <c r="C227">
        <v>101446508.86188525</v>
      </c>
      <c r="D227">
        <v>110203135.05932982</v>
      </c>
      <c r="E227">
        <v>18018.018018018</v>
      </c>
      <c r="F227">
        <v>20720.720720721001</v>
      </c>
      <c r="G227">
        <v>22</v>
      </c>
      <c r="H227">
        <v>17</v>
      </c>
      <c r="I227">
        <v>2</v>
      </c>
      <c r="K227">
        <v>25</v>
      </c>
      <c r="L227">
        <v>18</v>
      </c>
      <c r="M227">
        <v>1821261.2612612599</v>
      </c>
      <c r="N227">
        <v>2611711.711711714</v>
      </c>
      <c r="O227">
        <v>41649980.180180177</v>
      </c>
      <c r="P227">
        <v>47087207.20720721</v>
      </c>
      <c r="Q227">
        <v>1975405.4054054031</v>
      </c>
      <c r="R227">
        <v>3225225.2252252279</v>
      </c>
      <c r="S227">
        <v>3798</v>
      </c>
      <c r="T227">
        <v>4030</v>
      </c>
    </row>
    <row r="228" spans="1:20" x14ac:dyDescent="0.35">
      <c r="A228" s="7" t="s">
        <v>328</v>
      </c>
      <c r="B228" s="12" t="s">
        <v>228</v>
      </c>
      <c r="C228">
        <v>70255793.858593255</v>
      </c>
      <c r="D228">
        <v>84262350.967122644</v>
      </c>
      <c r="E228">
        <v>17117.117117117999</v>
      </c>
      <c r="F228">
        <v>21621.621621622999</v>
      </c>
      <c r="G228">
        <v>3</v>
      </c>
      <c r="H228">
        <v>7</v>
      </c>
      <c r="K228">
        <v>3</v>
      </c>
      <c r="L228">
        <v>16</v>
      </c>
      <c r="M228">
        <v>9657837.8378378358</v>
      </c>
      <c r="N228">
        <v>5560360.3603603616</v>
      </c>
      <c r="O228">
        <v>21029364.864864863</v>
      </c>
      <c r="P228">
        <v>25683702.702702705</v>
      </c>
      <c r="Q228">
        <v>5374864.8648648644</v>
      </c>
      <c r="R228">
        <v>5674954.9549549548</v>
      </c>
      <c r="S228">
        <v>2203</v>
      </c>
      <c r="T228">
        <v>2146</v>
      </c>
    </row>
    <row r="229" spans="1:20" x14ac:dyDescent="0.35">
      <c r="A229" s="7" t="s">
        <v>329</v>
      </c>
      <c r="B229" s="12" t="s">
        <v>79</v>
      </c>
      <c r="C229">
        <v>112410690.98569514</v>
      </c>
      <c r="D229">
        <v>116105406.77466442</v>
      </c>
      <c r="E229">
        <v>463963.96396396402</v>
      </c>
      <c r="F229">
        <v>1187387.3873873891</v>
      </c>
      <c r="G229">
        <v>65</v>
      </c>
      <c r="H229">
        <v>22</v>
      </c>
      <c r="I229">
        <v>1</v>
      </c>
      <c r="K229">
        <v>115</v>
      </c>
      <c r="L229">
        <v>24</v>
      </c>
      <c r="M229">
        <v>15013513.513513515</v>
      </c>
      <c r="N229">
        <v>15201801.801801803</v>
      </c>
      <c r="O229">
        <v>34147450.45045045</v>
      </c>
      <c r="P229">
        <v>36443117.117117122</v>
      </c>
      <c r="Q229">
        <v>13191531.531531528</v>
      </c>
      <c r="R229">
        <v>13951081.081081085</v>
      </c>
      <c r="S229">
        <v>5402</v>
      </c>
      <c r="T229">
        <v>4549</v>
      </c>
    </row>
    <row r="230" spans="1:20" x14ac:dyDescent="0.35">
      <c r="A230" s="7" t="s">
        <v>330</v>
      </c>
      <c r="B230" s="12" t="s">
        <v>109</v>
      </c>
      <c r="C230">
        <v>522350575.48730987</v>
      </c>
      <c r="D230">
        <v>550374169.8369503</v>
      </c>
      <c r="E230">
        <v>5866601.8018018091</v>
      </c>
      <c r="F230">
        <v>590261531.53153157</v>
      </c>
      <c r="G230">
        <v>147</v>
      </c>
      <c r="H230">
        <v>154</v>
      </c>
      <c r="I230">
        <v>3</v>
      </c>
      <c r="K230">
        <v>220</v>
      </c>
      <c r="L230">
        <v>264</v>
      </c>
      <c r="M230">
        <v>45400180.180180185</v>
      </c>
      <c r="N230">
        <v>46646396.396396399</v>
      </c>
      <c r="O230">
        <v>137876900.9009009</v>
      </c>
      <c r="P230">
        <v>140919589.1891892</v>
      </c>
      <c r="Q230">
        <v>49246036.036036029</v>
      </c>
      <c r="R230">
        <v>49111531.531531535</v>
      </c>
      <c r="S230">
        <v>21974</v>
      </c>
      <c r="T230">
        <v>22182</v>
      </c>
    </row>
    <row r="231" spans="1:20" x14ac:dyDescent="0.35">
      <c r="A231" s="7" t="s">
        <v>331</v>
      </c>
      <c r="B231" s="12" t="s">
        <v>228</v>
      </c>
      <c r="C231">
        <v>105211532.9338592</v>
      </c>
      <c r="D231">
        <v>118120193.24440888</v>
      </c>
      <c r="E231">
        <v>293693.69369369402</v>
      </c>
      <c r="F231">
        <v>293693.69369369402</v>
      </c>
      <c r="G231">
        <v>11</v>
      </c>
      <c r="H231">
        <v>14</v>
      </c>
      <c r="K231">
        <v>11</v>
      </c>
      <c r="L231">
        <v>39</v>
      </c>
      <c r="M231">
        <v>12098738.738738736</v>
      </c>
      <c r="N231">
        <v>9302702.7027027048</v>
      </c>
      <c r="O231">
        <v>21860801.801801801</v>
      </c>
      <c r="P231">
        <v>28434018.018018015</v>
      </c>
      <c r="Q231">
        <v>9410540.5405405406</v>
      </c>
      <c r="R231">
        <v>8389549.5495495517</v>
      </c>
      <c r="S231">
        <v>4324</v>
      </c>
      <c r="T231">
        <v>4474</v>
      </c>
    </row>
    <row r="232" spans="1:20" x14ac:dyDescent="0.35">
      <c r="A232" s="7" t="s">
        <v>4</v>
      </c>
      <c r="B232" s="12" t="s">
        <v>160</v>
      </c>
      <c r="C232">
        <v>91098036.755123615</v>
      </c>
      <c r="D232">
        <v>87776491.328357846</v>
      </c>
      <c r="E232">
        <v>854054.05405405595</v>
      </c>
      <c r="F232">
        <v>1157657.6576576601</v>
      </c>
      <c r="G232">
        <v>6</v>
      </c>
      <c r="H232">
        <v>9</v>
      </c>
      <c r="K232">
        <v>7</v>
      </c>
      <c r="L232">
        <v>11</v>
      </c>
      <c r="M232">
        <v>20766666.666666668</v>
      </c>
      <c r="N232">
        <v>31148648.648648649</v>
      </c>
      <c r="O232">
        <v>31387360.360360362</v>
      </c>
      <c r="P232">
        <v>33151189.189189192</v>
      </c>
      <c r="Q232">
        <v>23664324.324324321</v>
      </c>
      <c r="R232">
        <v>28168108.108108107</v>
      </c>
      <c r="S232">
        <v>5201</v>
      </c>
      <c r="T232">
        <v>3467</v>
      </c>
    </row>
    <row r="233" spans="1:20" x14ac:dyDescent="0.35">
      <c r="A233" s="7" t="s">
        <v>34</v>
      </c>
      <c r="B233" s="12" t="s">
        <v>196</v>
      </c>
      <c r="E233">
        <v>18108108.108108107</v>
      </c>
      <c r="F233">
        <v>54459459.459459454</v>
      </c>
      <c r="M233">
        <v>975675.67567567597</v>
      </c>
      <c r="N233">
        <v>108108.108108108</v>
      </c>
    </row>
    <row r="234" spans="1:20" x14ac:dyDescent="0.35">
      <c r="A234" s="7" t="s">
        <v>332</v>
      </c>
      <c r="B234" s="12" t="s">
        <v>109</v>
      </c>
      <c r="C234">
        <v>423391394.29392695</v>
      </c>
      <c r="D234">
        <v>444704532.50417852</v>
      </c>
      <c r="E234">
        <v>4000225.2252252339</v>
      </c>
      <c r="F234">
        <v>4842342.342342346</v>
      </c>
      <c r="G234">
        <v>123</v>
      </c>
      <c r="H234">
        <v>125</v>
      </c>
      <c r="K234">
        <v>173</v>
      </c>
      <c r="L234">
        <v>197</v>
      </c>
      <c r="M234">
        <v>51905765.765765756</v>
      </c>
      <c r="N234">
        <v>228473395.4954955</v>
      </c>
      <c r="O234">
        <v>130253756.75675677</v>
      </c>
      <c r="P234">
        <v>135382891.8918919</v>
      </c>
      <c r="Q234">
        <v>50622072.072072074</v>
      </c>
      <c r="R234">
        <v>234734144.14414415</v>
      </c>
      <c r="S234">
        <v>20070</v>
      </c>
      <c r="T234">
        <v>20510</v>
      </c>
    </row>
    <row r="235" spans="1:20" x14ac:dyDescent="0.35">
      <c r="A235" s="7" t="s">
        <v>333</v>
      </c>
      <c r="B235" s="12" t="s">
        <v>79</v>
      </c>
      <c r="C235">
        <v>43829089.906987213</v>
      </c>
      <c r="D235">
        <v>45284226.71155116</v>
      </c>
      <c r="E235">
        <v>161261.26126126101</v>
      </c>
      <c r="F235">
        <v>289189.189189189</v>
      </c>
      <c r="G235">
        <v>16</v>
      </c>
      <c r="H235">
        <v>8</v>
      </c>
      <c r="K235">
        <v>18</v>
      </c>
      <c r="L235">
        <v>8</v>
      </c>
      <c r="M235">
        <v>3674774.774774774</v>
      </c>
      <c r="N235">
        <v>3402702.702702703</v>
      </c>
      <c r="O235">
        <v>14478963.963963963</v>
      </c>
      <c r="P235">
        <v>16123108.108108109</v>
      </c>
      <c r="Q235">
        <v>4032612.6126126111</v>
      </c>
      <c r="R235">
        <v>4918648.6486486476</v>
      </c>
      <c r="S235">
        <v>2045</v>
      </c>
      <c r="T235">
        <v>1774</v>
      </c>
    </row>
    <row r="236" spans="1:20" x14ac:dyDescent="0.35">
      <c r="A236" s="7" t="s">
        <v>334</v>
      </c>
      <c r="B236" s="12" t="s">
        <v>123</v>
      </c>
      <c r="C236">
        <v>115878687.94672753</v>
      </c>
      <c r="D236">
        <v>113874299.01283672</v>
      </c>
      <c r="E236">
        <v>37364718.918918923</v>
      </c>
      <c r="F236">
        <v>18655201.801801804</v>
      </c>
      <c r="G236">
        <v>38</v>
      </c>
      <c r="H236">
        <v>30</v>
      </c>
      <c r="K236">
        <v>43</v>
      </c>
      <c r="L236">
        <v>36</v>
      </c>
      <c r="M236">
        <v>19809543.243243244</v>
      </c>
      <c r="N236">
        <v>8783783.7837837823</v>
      </c>
      <c r="O236">
        <v>17029301.801801801</v>
      </c>
      <c r="P236">
        <v>20057468.468468469</v>
      </c>
      <c r="Q236">
        <v>5992702.7027027011</v>
      </c>
      <c r="R236">
        <v>6034774.7747747749</v>
      </c>
      <c r="S236">
        <v>3927</v>
      </c>
      <c r="T236">
        <v>3910</v>
      </c>
    </row>
    <row r="237" spans="1:20" x14ac:dyDescent="0.35">
      <c r="A237" s="7" t="s">
        <v>335</v>
      </c>
      <c r="B237" s="12" t="s">
        <v>336</v>
      </c>
      <c r="C237">
        <v>273506738.51579422</v>
      </c>
      <c r="D237">
        <v>281305401.75632101</v>
      </c>
      <c r="E237">
        <v>3835360.360360363</v>
      </c>
      <c r="F237">
        <v>1271171.1711711709</v>
      </c>
      <c r="G237">
        <v>103</v>
      </c>
      <c r="H237">
        <v>93</v>
      </c>
      <c r="K237">
        <v>121</v>
      </c>
      <c r="L237">
        <v>130</v>
      </c>
      <c r="M237">
        <v>50145945.945945941</v>
      </c>
      <c r="N237">
        <v>29775225.225225229</v>
      </c>
      <c r="O237">
        <v>58058840.090090089</v>
      </c>
      <c r="P237">
        <v>63498962.162162162</v>
      </c>
      <c r="Q237">
        <v>46967117.117117122</v>
      </c>
      <c r="R237">
        <v>30053333.333333336</v>
      </c>
      <c r="S237">
        <v>13933</v>
      </c>
      <c r="T237">
        <v>13915</v>
      </c>
    </row>
    <row r="238" spans="1:20" x14ac:dyDescent="0.35">
      <c r="A238" s="7" t="s">
        <v>337</v>
      </c>
      <c r="B238" s="12" t="s">
        <v>295</v>
      </c>
      <c r="C238">
        <v>410653904.53073573</v>
      </c>
      <c r="D238">
        <v>425483024.10427731</v>
      </c>
      <c r="E238">
        <v>2389639.639639644</v>
      </c>
      <c r="F238">
        <v>916666.66666667396</v>
      </c>
      <c r="G238">
        <v>132</v>
      </c>
      <c r="H238">
        <v>94</v>
      </c>
      <c r="K238">
        <v>162</v>
      </c>
      <c r="L238">
        <v>118</v>
      </c>
      <c r="M238">
        <v>40964864.864864863</v>
      </c>
      <c r="N238">
        <v>42612162.16216217</v>
      </c>
      <c r="O238">
        <v>74272160.360360369</v>
      </c>
      <c r="P238">
        <v>78324378.378378391</v>
      </c>
      <c r="Q238">
        <v>38413153.153153151</v>
      </c>
      <c r="R238">
        <v>48015225.225225233</v>
      </c>
      <c r="S238">
        <v>16906</v>
      </c>
      <c r="T238">
        <v>17089</v>
      </c>
    </row>
    <row r="239" spans="1:20" x14ac:dyDescent="0.35">
      <c r="A239" s="7" t="s">
        <v>338</v>
      </c>
      <c r="B239" s="12" t="s">
        <v>295</v>
      </c>
      <c r="C239">
        <v>312627185.26679736</v>
      </c>
      <c r="D239">
        <v>335411644.99608767</v>
      </c>
      <c r="E239">
        <v>2610810.8108108132</v>
      </c>
      <c r="F239">
        <v>2379279.2792792809</v>
      </c>
      <c r="G239">
        <v>62</v>
      </c>
      <c r="H239">
        <v>87</v>
      </c>
      <c r="I239">
        <v>1</v>
      </c>
      <c r="K239">
        <v>82</v>
      </c>
      <c r="L239">
        <v>122</v>
      </c>
      <c r="M239">
        <v>42679279.279279277</v>
      </c>
      <c r="N239">
        <v>48232882.882882886</v>
      </c>
      <c r="O239">
        <v>83042828.828828827</v>
      </c>
      <c r="P239">
        <v>92325151.351351351</v>
      </c>
      <c r="Q239">
        <v>42831441.441441439</v>
      </c>
      <c r="R239">
        <v>104422522.52252252</v>
      </c>
      <c r="S239">
        <v>14862</v>
      </c>
      <c r="T239">
        <v>14902</v>
      </c>
    </row>
    <row r="240" spans="1:20" x14ac:dyDescent="0.35">
      <c r="A240" s="7" t="s">
        <v>339</v>
      </c>
      <c r="B240" s="12" t="s">
        <v>61</v>
      </c>
      <c r="C240">
        <v>43011425.341691986</v>
      </c>
      <c r="D240">
        <v>44892187.000941947</v>
      </c>
      <c r="E240">
        <v>30228828.828828827</v>
      </c>
      <c r="F240">
        <v>136628828.82882884</v>
      </c>
      <c r="G240">
        <v>41</v>
      </c>
      <c r="H240">
        <v>7</v>
      </c>
      <c r="K240">
        <v>49</v>
      </c>
      <c r="L240">
        <v>8</v>
      </c>
      <c r="M240">
        <v>13882882.882882884</v>
      </c>
      <c r="N240">
        <v>962162.16216216097</v>
      </c>
      <c r="O240">
        <v>15297414.414414415</v>
      </c>
      <c r="P240">
        <v>15675198.198198197</v>
      </c>
      <c r="Q240">
        <v>12579729.729729729</v>
      </c>
      <c r="R240">
        <v>982522.52252252202</v>
      </c>
      <c r="S240">
        <v>1947</v>
      </c>
      <c r="T240">
        <v>1991</v>
      </c>
    </row>
    <row r="241" spans="1:20" x14ac:dyDescent="0.35">
      <c r="A241" s="7" t="s">
        <v>340</v>
      </c>
      <c r="B241" s="12" t="s">
        <v>61</v>
      </c>
      <c r="C241">
        <v>7728733.9667085977</v>
      </c>
      <c r="D241">
        <v>11711891.208712669</v>
      </c>
      <c r="E241">
        <v>223423.423423423</v>
      </c>
      <c r="F241">
        <v>67567.567567569</v>
      </c>
      <c r="G241">
        <v>3</v>
      </c>
      <c r="H241">
        <v>4</v>
      </c>
      <c r="K241">
        <v>4</v>
      </c>
      <c r="L241">
        <v>7</v>
      </c>
      <c r="M241">
        <v>560810.810810811</v>
      </c>
      <c r="N241">
        <v>233333.33333333401</v>
      </c>
      <c r="O241">
        <v>4665045.0450450452</v>
      </c>
      <c r="P241">
        <v>5634081.0810810821</v>
      </c>
      <c r="Q241">
        <v>500360.360360361</v>
      </c>
      <c r="R241">
        <v>470450.450450451</v>
      </c>
      <c r="S241">
        <v>841</v>
      </c>
      <c r="T241">
        <v>931</v>
      </c>
    </row>
    <row r="242" spans="1:20" x14ac:dyDescent="0.35">
      <c r="A242" s="7" t="s">
        <v>341</v>
      </c>
      <c r="B242" s="12" t="s">
        <v>123</v>
      </c>
      <c r="C242">
        <v>1051985.979734279</v>
      </c>
      <c r="D242">
        <v>1194648.330650056</v>
      </c>
      <c r="L242">
        <v>1</v>
      </c>
      <c r="O242">
        <v>93243.243243243007</v>
      </c>
      <c r="P242">
        <v>335585.58558558603</v>
      </c>
      <c r="S242">
        <v>159</v>
      </c>
      <c r="T242">
        <v>165</v>
      </c>
    </row>
    <row r="243" spans="1:20" x14ac:dyDescent="0.35">
      <c r="A243" s="7" t="s">
        <v>342</v>
      </c>
      <c r="B243" s="12" t="s">
        <v>123</v>
      </c>
      <c r="C243">
        <v>1567665.8818274839</v>
      </c>
      <c r="D243">
        <v>1411781.4709055659</v>
      </c>
      <c r="E243">
        <v>5405405.405405405</v>
      </c>
      <c r="F243">
        <v>18588345.945945945</v>
      </c>
      <c r="M243">
        <v>3448218.9189189188</v>
      </c>
      <c r="O243">
        <v>348738.73873873899</v>
      </c>
      <c r="P243">
        <v>708783.78378378402</v>
      </c>
      <c r="S243">
        <v>174</v>
      </c>
      <c r="T243">
        <v>184</v>
      </c>
    </row>
    <row r="244" spans="1:20" x14ac:dyDescent="0.35">
      <c r="A244" s="7" t="s">
        <v>343</v>
      </c>
      <c r="B244" s="12" t="s">
        <v>123</v>
      </c>
      <c r="C244">
        <v>1150768.063466754</v>
      </c>
      <c r="D244">
        <v>1326090.0063656969</v>
      </c>
      <c r="O244">
        <v>14414.414414413999</v>
      </c>
      <c r="P244">
        <v>156531.531531532</v>
      </c>
      <c r="S244">
        <v>134</v>
      </c>
      <c r="T244">
        <v>133</v>
      </c>
    </row>
    <row r="245" spans="1:20" x14ac:dyDescent="0.35">
      <c r="A245" s="7" t="s">
        <v>344</v>
      </c>
      <c r="B245" s="12" t="s">
        <v>142</v>
      </c>
      <c r="C245">
        <v>470717283.77404881</v>
      </c>
      <c r="D245">
        <v>498973736.94234788</v>
      </c>
      <c r="E245">
        <v>1667567.5675675729</v>
      </c>
      <c r="F245">
        <v>69490540.540540546</v>
      </c>
      <c r="G245">
        <v>61</v>
      </c>
      <c r="H245">
        <v>41</v>
      </c>
      <c r="I245">
        <v>1</v>
      </c>
      <c r="K245">
        <v>133</v>
      </c>
      <c r="L245">
        <v>67</v>
      </c>
      <c r="M245">
        <v>44925270.270270273</v>
      </c>
      <c r="N245">
        <v>48834647.747747742</v>
      </c>
      <c r="O245">
        <v>92580909.909909904</v>
      </c>
      <c r="P245">
        <v>110299670.27027027</v>
      </c>
      <c r="Q245">
        <v>38912162.162162162</v>
      </c>
      <c r="R245">
        <v>43348198.198198199</v>
      </c>
      <c r="S245">
        <v>16103</v>
      </c>
      <c r="T245">
        <v>16220</v>
      </c>
    </row>
    <row r="246" spans="1:20" x14ac:dyDescent="0.35">
      <c r="A246" s="7" t="s">
        <v>345</v>
      </c>
      <c r="B246" s="12" t="s">
        <v>123</v>
      </c>
      <c r="C246">
        <v>72101324.499055773</v>
      </c>
      <c r="D246">
        <v>74431875.803095803</v>
      </c>
      <c r="G246">
        <v>21</v>
      </c>
      <c r="H246">
        <v>17</v>
      </c>
      <c r="K246">
        <v>24</v>
      </c>
      <c r="L246">
        <v>19</v>
      </c>
      <c r="O246">
        <v>4924729.7297297288</v>
      </c>
      <c r="P246">
        <v>5567738.738738738</v>
      </c>
      <c r="S246">
        <v>2486</v>
      </c>
      <c r="T246">
        <v>2403</v>
      </c>
    </row>
    <row r="247" spans="1:20" x14ac:dyDescent="0.35">
      <c r="A247" s="7" t="s">
        <v>346</v>
      </c>
      <c r="B247" s="12" t="s">
        <v>142</v>
      </c>
      <c r="C247">
        <v>252465321.45390376</v>
      </c>
      <c r="D247">
        <v>276329287.01798046</v>
      </c>
      <c r="E247">
        <v>1141891.8918918951</v>
      </c>
      <c r="F247">
        <v>636936.93693694298</v>
      </c>
      <c r="G247">
        <v>43</v>
      </c>
      <c r="H247">
        <v>15</v>
      </c>
      <c r="I247">
        <v>3</v>
      </c>
      <c r="K247">
        <v>53</v>
      </c>
      <c r="L247">
        <v>18</v>
      </c>
      <c r="M247">
        <v>47765225.225225225</v>
      </c>
      <c r="N247">
        <v>45929504.504504502</v>
      </c>
      <c r="O247">
        <v>74602394.594594598</v>
      </c>
      <c r="P247">
        <v>80048414.414414421</v>
      </c>
      <c r="Q247">
        <v>41675945.945945948</v>
      </c>
      <c r="R247">
        <v>39128963.963963971</v>
      </c>
      <c r="S247">
        <v>8123</v>
      </c>
      <c r="T247">
        <v>9196</v>
      </c>
    </row>
    <row r="248" spans="1:20" x14ac:dyDescent="0.35">
      <c r="A248" s="7" t="s">
        <v>347</v>
      </c>
      <c r="B248" s="12" t="s">
        <v>136</v>
      </c>
      <c r="C248">
        <v>26493750.22420973</v>
      </c>
      <c r="D248">
        <v>23669110.169534225</v>
      </c>
      <c r="E248">
        <v>54054.054054054002</v>
      </c>
      <c r="F248">
        <v>13513.513513514001</v>
      </c>
      <c r="G248">
        <v>7</v>
      </c>
      <c r="H248">
        <v>6</v>
      </c>
      <c r="I248">
        <v>1</v>
      </c>
      <c r="K248">
        <v>7</v>
      </c>
      <c r="L248">
        <v>7</v>
      </c>
      <c r="M248">
        <v>1045045.045045046</v>
      </c>
      <c r="N248">
        <v>1545045.045045045</v>
      </c>
      <c r="O248">
        <v>2462513.5135135129</v>
      </c>
      <c r="P248">
        <v>2235063.0630630632</v>
      </c>
      <c r="Q248">
        <v>701351.35135135101</v>
      </c>
      <c r="R248">
        <v>499189.189189189</v>
      </c>
      <c r="S248">
        <v>1318</v>
      </c>
      <c r="T248">
        <v>1583</v>
      </c>
    </row>
    <row r="249" spans="1:20" x14ac:dyDescent="0.35">
      <c r="A249" s="7" t="s">
        <v>348</v>
      </c>
      <c r="B249" s="12" t="s">
        <v>123</v>
      </c>
      <c r="C249">
        <v>697438.62551204104</v>
      </c>
      <c r="D249">
        <v>1820745.5169243959</v>
      </c>
      <c r="H249">
        <v>2</v>
      </c>
      <c r="K249">
        <v>3</v>
      </c>
      <c r="L249">
        <v>2</v>
      </c>
      <c r="O249">
        <v>221621.62162162201</v>
      </c>
      <c r="P249">
        <v>943693.69369369396</v>
      </c>
      <c r="S249">
        <v>362</v>
      </c>
      <c r="T249">
        <v>381</v>
      </c>
    </row>
    <row r="250" spans="1:20" x14ac:dyDescent="0.35">
      <c r="A250" s="7" t="s">
        <v>5</v>
      </c>
      <c r="B250" s="12" t="s">
        <v>160</v>
      </c>
      <c r="C250">
        <v>99620256.330196589</v>
      </c>
      <c r="D250">
        <v>100071183.07852387</v>
      </c>
      <c r="E250">
        <v>156756.75675675701</v>
      </c>
      <c r="F250">
        <v>27027.027027027001</v>
      </c>
      <c r="G250">
        <v>12</v>
      </c>
      <c r="H250">
        <v>4</v>
      </c>
      <c r="I250">
        <v>1</v>
      </c>
      <c r="K250">
        <v>12</v>
      </c>
      <c r="L250">
        <v>4</v>
      </c>
      <c r="M250">
        <v>8091891.8918918902</v>
      </c>
      <c r="N250">
        <v>11684684.684684685</v>
      </c>
      <c r="O250">
        <v>40882531.531531535</v>
      </c>
      <c r="P250">
        <v>42120162.162162162</v>
      </c>
      <c r="Q250">
        <v>7447567.5675675683</v>
      </c>
      <c r="R250">
        <v>10520540.540540542</v>
      </c>
      <c r="S250">
        <v>2941</v>
      </c>
      <c r="T250">
        <v>3052</v>
      </c>
    </row>
    <row r="251" spans="1:20" x14ac:dyDescent="0.35">
      <c r="A251" s="7" t="s">
        <v>349</v>
      </c>
      <c r="B251" s="12" t="s">
        <v>309</v>
      </c>
      <c r="C251">
        <v>13212504.8165255</v>
      </c>
      <c r="D251">
        <v>16252585.945904136</v>
      </c>
      <c r="E251">
        <v>900900.90090090095</v>
      </c>
      <c r="F251">
        <v>360360.36036036001</v>
      </c>
      <c r="G251">
        <v>7</v>
      </c>
      <c r="H251">
        <v>23</v>
      </c>
      <c r="K251">
        <v>9</v>
      </c>
      <c r="L251">
        <v>30</v>
      </c>
      <c r="M251">
        <v>900900.90090090095</v>
      </c>
      <c r="N251">
        <v>360360.36036036001</v>
      </c>
      <c r="O251">
        <v>2188072.072072072</v>
      </c>
      <c r="P251">
        <v>3084099.0990990992</v>
      </c>
      <c r="Q251">
        <v>218018.01801801799</v>
      </c>
      <c r="R251">
        <v>275675.67567567597</v>
      </c>
      <c r="S251">
        <v>328</v>
      </c>
      <c r="T251">
        <v>583</v>
      </c>
    </row>
    <row r="252" spans="1:20" x14ac:dyDescent="0.35">
      <c r="A252" s="7" t="s">
        <v>350</v>
      </c>
      <c r="B252" s="12" t="s">
        <v>106</v>
      </c>
      <c r="C252">
        <v>189164157.96711457</v>
      </c>
      <c r="D252">
        <v>205593227.85120988</v>
      </c>
      <c r="E252">
        <v>898648.64864864899</v>
      </c>
      <c r="F252">
        <v>736936.93693693902</v>
      </c>
      <c r="G252">
        <v>30</v>
      </c>
      <c r="H252">
        <v>53</v>
      </c>
      <c r="K252">
        <v>35</v>
      </c>
      <c r="L252">
        <v>59</v>
      </c>
      <c r="M252">
        <v>25309729.729729727</v>
      </c>
      <c r="N252">
        <v>22831531.531531531</v>
      </c>
      <c r="O252">
        <v>46500333.333333336</v>
      </c>
      <c r="P252">
        <v>54354981.981981985</v>
      </c>
      <c r="Q252">
        <v>23777567.567567565</v>
      </c>
      <c r="R252">
        <v>21670810.810810812</v>
      </c>
      <c r="S252">
        <v>5792</v>
      </c>
      <c r="T252">
        <v>5561</v>
      </c>
    </row>
    <row r="253" spans="1:20" x14ac:dyDescent="0.35">
      <c r="A253" s="7" t="s">
        <v>351</v>
      </c>
      <c r="B253" s="12" t="s">
        <v>88</v>
      </c>
      <c r="C253">
        <v>58106759.963983618</v>
      </c>
      <c r="D253">
        <v>61406449.087767832</v>
      </c>
      <c r="E253">
        <v>495495.49549549603</v>
      </c>
      <c r="F253">
        <v>609909.90990991204</v>
      </c>
      <c r="G253">
        <v>22</v>
      </c>
      <c r="H253">
        <v>29</v>
      </c>
      <c r="K253">
        <v>28</v>
      </c>
      <c r="L253">
        <v>34</v>
      </c>
      <c r="M253">
        <v>15527027.027027026</v>
      </c>
      <c r="N253">
        <v>13983783.783783784</v>
      </c>
      <c r="O253">
        <v>14982363.063063065</v>
      </c>
      <c r="P253">
        <v>18139529.729729727</v>
      </c>
      <c r="Q253">
        <v>12199232.432432434</v>
      </c>
      <c r="R253">
        <v>9404864.8648648653</v>
      </c>
      <c r="S253">
        <v>2281</v>
      </c>
      <c r="T253">
        <v>2346</v>
      </c>
    </row>
    <row r="254" spans="1:20" x14ac:dyDescent="0.35">
      <c r="A254" s="7" t="s">
        <v>352</v>
      </c>
      <c r="B254" s="12" t="s">
        <v>88</v>
      </c>
      <c r="C254">
        <v>162308337.32197827</v>
      </c>
      <c r="D254">
        <v>165023521.54380947</v>
      </c>
      <c r="E254">
        <v>2408108.1081081098</v>
      </c>
      <c r="F254">
        <v>567567.56756757095</v>
      </c>
      <c r="G254">
        <v>114</v>
      </c>
      <c r="H254">
        <v>94</v>
      </c>
      <c r="I254">
        <v>1</v>
      </c>
      <c r="K254">
        <v>134</v>
      </c>
      <c r="L254">
        <v>122</v>
      </c>
      <c r="M254">
        <v>18990990.990990993</v>
      </c>
      <c r="N254">
        <v>11621621.62162162</v>
      </c>
      <c r="O254">
        <v>28101018.018018015</v>
      </c>
      <c r="P254">
        <v>30324549.54954955</v>
      </c>
      <c r="Q254">
        <v>14156216.216216216</v>
      </c>
      <c r="R254">
        <v>9539909.9099099115</v>
      </c>
      <c r="S254">
        <v>6354</v>
      </c>
      <c r="T254">
        <v>6390</v>
      </c>
    </row>
    <row r="255" spans="1:20" x14ac:dyDescent="0.35">
      <c r="A255" s="7" t="s">
        <v>353</v>
      </c>
      <c r="B255" s="12" t="s">
        <v>88</v>
      </c>
      <c r="C255">
        <v>5093620.520720941</v>
      </c>
      <c r="D255">
        <v>5118403.6800311795</v>
      </c>
      <c r="G255">
        <v>12</v>
      </c>
      <c r="H255">
        <v>3</v>
      </c>
      <c r="K255">
        <v>14</v>
      </c>
      <c r="L255">
        <v>3</v>
      </c>
      <c r="O255">
        <v>2044270.2702702701</v>
      </c>
      <c r="P255">
        <v>2484549.5495495498</v>
      </c>
      <c r="S255">
        <v>816</v>
      </c>
      <c r="T255">
        <v>788</v>
      </c>
    </row>
    <row r="256" spans="1:20" x14ac:dyDescent="0.35">
      <c r="A256" s="7" t="s">
        <v>354</v>
      </c>
      <c r="B256" s="12" t="s">
        <v>88</v>
      </c>
      <c r="C256">
        <v>2401242.6322368928</v>
      </c>
      <c r="D256">
        <v>1492052.033487939</v>
      </c>
      <c r="G256">
        <v>1</v>
      </c>
      <c r="K256">
        <v>1</v>
      </c>
      <c r="O256">
        <v>1085270.270270271</v>
      </c>
      <c r="P256">
        <v>591216.21621621598</v>
      </c>
      <c r="S256">
        <v>186</v>
      </c>
      <c r="T256">
        <v>183</v>
      </c>
    </row>
    <row r="257" spans="1:20" x14ac:dyDescent="0.35">
      <c r="A257" s="7" t="s">
        <v>355</v>
      </c>
      <c r="B257" s="12" t="s">
        <v>88</v>
      </c>
      <c r="C257">
        <v>1952827.7122939329</v>
      </c>
      <c r="D257">
        <v>1358078.294560448</v>
      </c>
      <c r="G257">
        <v>4</v>
      </c>
      <c r="H257">
        <v>5</v>
      </c>
      <c r="K257">
        <v>6</v>
      </c>
      <c r="L257">
        <v>8</v>
      </c>
      <c r="O257">
        <v>1094558.5585585581</v>
      </c>
      <c r="P257">
        <v>870090.09009008994</v>
      </c>
      <c r="S257">
        <v>683</v>
      </c>
      <c r="T257">
        <v>470</v>
      </c>
    </row>
    <row r="258" spans="1:20" x14ac:dyDescent="0.35">
      <c r="A258" s="7" t="s">
        <v>356</v>
      </c>
      <c r="B258" s="12" t="s">
        <v>88</v>
      </c>
      <c r="C258">
        <v>51856521.970964223</v>
      </c>
      <c r="D258">
        <v>56383839.793358877</v>
      </c>
      <c r="E258">
        <v>101801.801801803</v>
      </c>
      <c r="F258">
        <v>365765.76576576597</v>
      </c>
      <c r="G258">
        <v>17</v>
      </c>
      <c r="H258">
        <v>26</v>
      </c>
      <c r="I258">
        <v>1</v>
      </c>
      <c r="K258">
        <v>20</v>
      </c>
      <c r="L258">
        <v>35</v>
      </c>
      <c r="M258">
        <v>4556756.7567567592</v>
      </c>
      <c r="N258">
        <v>5068468.4684684677</v>
      </c>
      <c r="O258">
        <v>10064594.594594596</v>
      </c>
      <c r="P258">
        <v>13025540.540540541</v>
      </c>
      <c r="Q258">
        <v>3635135.1351351351</v>
      </c>
      <c r="R258">
        <v>3273603.6036036038</v>
      </c>
      <c r="S258">
        <v>2116</v>
      </c>
      <c r="T258">
        <v>3260</v>
      </c>
    </row>
    <row r="259" spans="1:20" x14ac:dyDescent="0.35">
      <c r="A259" s="7" t="s">
        <v>357</v>
      </c>
      <c r="B259" s="12" t="s">
        <v>51</v>
      </c>
      <c r="C259">
        <v>140803038.68069717</v>
      </c>
      <c r="D259">
        <v>138175988.9161236</v>
      </c>
      <c r="E259">
        <v>2154054.0540540572</v>
      </c>
      <c r="F259">
        <v>717117.11711711902</v>
      </c>
      <c r="G259">
        <v>46</v>
      </c>
      <c r="H259">
        <v>44</v>
      </c>
      <c r="K259">
        <v>51</v>
      </c>
      <c r="L259">
        <v>106</v>
      </c>
      <c r="M259">
        <v>16872792.792792793</v>
      </c>
      <c r="N259">
        <v>14609234.234234232</v>
      </c>
      <c r="O259">
        <v>54202977.477477483</v>
      </c>
      <c r="P259">
        <v>56725216.216216214</v>
      </c>
      <c r="Q259">
        <v>15414684.684684688</v>
      </c>
      <c r="R259">
        <v>14318603.603603601</v>
      </c>
      <c r="S259">
        <v>5922</v>
      </c>
      <c r="T259">
        <v>5367</v>
      </c>
    </row>
    <row r="260" spans="1:20" x14ac:dyDescent="0.35">
      <c r="A260" s="7" t="s">
        <v>358</v>
      </c>
      <c r="B260" s="12" t="s">
        <v>125</v>
      </c>
      <c r="C260">
        <v>826578.70668661396</v>
      </c>
      <c r="D260">
        <v>1618831.1590761149</v>
      </c>
      <c r="F260">
        <v>112612612.61261261</v>
      </c>
      <c r="G260">
        <v>1</v>
      </c>
      <c r="K260">
        <v>1</v>
      </c>
      <c r="M260">
        <v>790090.09009008994</v>
      </c>
      <c r="N260">
        <v>94594.594594594993</v>
      </c>
      <c r="O260">
        <v>350045.04504504497</v>
      </c>
      <c r="P260">
        <v>491756.75675675698</v>
      </c>
      <c r="S260">
        <v>116</v>
      </c>
      <c r="T260">
        <v>163</v>
      </c>
    </row>
    <row r="261" spans="1:20" x14ac:dyDescent="0.35">
      <c r="A261" s="7" t="s">
        <v>359</v>
      </c>
      <c r="B261" s="12" t="s">
        <v>360</v>
      </c>
      <c r="C261">
        <v>237792957.27436793</v>
      </c>
      <c r="D261">
        <v>267166151.71086124</v>
      </c>
      <c r="E261">
        <v>239485155.85585585</v>
      </c>
      <c r="F261">
        <v>176588567.56756756</v>
      </c>
      <c r="G261">
        <v>148</v>
      </c>
      <c r="H261">
        <v>28</v>
      </c>
      <c r="K261">
        <v>425</v>
      </c>
      <c r="L261">
        <v>33</v>
      </c>
      <c r="M261">
        <v>201775765.76576576</v>
      </c>
      <c r="N261">
        <v>137603378.37837839</v>
      </c>
      <c r="O261">
        <v>140961513.51351351</v>
      </c>
      <c r="P261">
        <v>153809063.06306309</v>
      </c>
      <c r="Q261">
        <v>212508018.01801801</v>
      </c>
      <c r="R261">
        <v>103739324.32432432</v>
      </c>
      <c r="S261">
        <v>9795</v>
      </c>
      <c r="T261">
        <v>10444</v>
      </c>
    </row>
    <row r="262" spans="1:20" x14ac:dyDescent="0.35">
      <c r="A262" s="7" t="s">
        <v>361</v>
      </c>
      <c r="B262" s="12" t="s">
        <v>49</v>
      </c>
      <c r="C262">
        <v>162523307.03945711</v>
      </c>
      <c r="D262">
        <v>205357328.34398234</v>
      </c>
      <c r="E262">
        <v>468468.46846846899</v>
      </c>
      <c r="F262">
        <v>13513.513513514001</v>
      </c>
      <c r="G262">
        <v>15</v>
      </c>
      <c r="H262">
        <v>5</v>
      </c>
      <c r="K262">
        <v>17</v>
      </c>
      <c r="L262">
        <v>5</v>
      </c>
      <c r="M262">
        <v>486486.48648648697</v>
      </c>
      <c r="N262">
        <v>13513.513513514001</v>
      </c>
      <c r="O262">
        <v>11939981.981981982</v>
      </c>
      <c r="P262">
        <v>17020126.126126125</v>
      </c>
      <c r="Q262">
        <v>377027.02702702698</v>
      </c>
      <c r="R262">
        <v>300990.99099099002</v>
      </c>
      <c r="S262">
        <v>5609</v>
      </c>
      <c r="T262">
        <v>5869</v>
      </c>
    </row>
    <row r="263" spans="1:20" x14ac:dyDescent="0.35">
      <c r="A263" s="7" t="s">
        <v>362</v>
      </c>
      <c r="B263" s="12" t="s">
        <v>125</v>
      </c>
      <c r="C263">
        <v>173474839.83990651</v>
      </c>
      <c r="D263">
        <v>198289695.74677324</v>
      </c>
      <c r="E263">
        <v>75675.675675677005</v>
      </c>
      <c r="F263">
        <v>357657.65765765798</v>
      </c>
      <c r="G263">
        <v>33</v>
      </c>
      <c r="H263">
        <v>33</v>
      </c>
      <c r="K263">
        <v>35</v>
      </c>
      <c r="L263">
        <v>37</v>
      </c>
      <c r="M263">
        <v>6063693.6936936937</v>
      </c>
      <c r="N263">
        <v>5137837.8378378386</v>
      </c>
      <c r="O263">
        <v>40303135.135135137</v>
      </c>
      <c r="P263">
        <v>49210945.945945941</v>
      </c>
      <c r="Q263">
        <v>5177027.0270270277</v>
      </c>
      <c r="R263">
        <v>6666306.3063063063</v>
      </c>
      <c r="S263">
        <v>5692</v>
      </c>
      <c r="T263">
        <v>5247</v>
      </c>
    </row>
    <row r="264" spans="1:20" x14ac:dyDescent="0.35">
      <c r="A264" s="7" t="s">
        <v>363</v>
      </c>
      <c r="B264" s="12" t="s">
        <v>63</v>
      </c>
      <c r="C264">
        <v>101496627.62896891</v>
      </c>
      <c r="D264">
        <v>109706100.13130797</v>
      </c>
      <c r="E264">
        <v>1327927.9279279299</v>
      </c>
      <c r="F264">
        <v>570270.27027026995</v>
      </c>
      <c r="G264">
        <v>9</v>
      </c>
      <c r="H264">
        <v>4</v>
      </c>
      <c r="K264">
        <v>13</v>
      </c>
      <c r="L264">
        <v>6</v>
      </c>
      <c r="M264">
        <v>17981801.801801801</v>
      </c>
      <c r="N264">
        <v>16886306.306306303</v>
      </c>
      <c r="O264">
        <v>27751108.108108107</v>
      </c>
      <c r="P264">
        <v>34789198.198198199</v>
      </c>
      <c r="Q264">
        <v>17163873.873873875</v>
      </c>
      <c r="R264">
        <v>10854144.14414414</v>
      </c>
      <c r="S264">
        <v>4693</v>
      </c>
      <c r="T264">
        <v>3940</v>
      </c>
    </row>
    <row r="265" spans="1:20" x14ac:dyDescent="0.35">
      <c r="A265" s="7" t="s">
        <v>364</v>
      </c>
      <c r="B265" s="12" t="s">
        <v>321</v>
      </c>
      <c r="C265">
        <v>2185288.0489438311</v>
      </c>
      <c r="D265">
        <v>6112877.8493870841</v>
      </c>
      <c r="E265">
        <v>60213847.747747742</v>
      </c>
      <c r="F265">
        <v>60848462.162162162</v>
      </c>
      <c r="G265">
        <v>3</v>
      </c>
      <c r="H265">
        <v>7</v>
      </c>
      <c r="K265">
        <v>3</v>
      </c>
      <c r="L265">
        <v>7</v>
      </c>
      <c r="M265">
        <v>496396.39639639598</v>
      </c>
      <c r="N265">
        <v>3603603.6036036038</v>
      </c>
      <c r="O265">
        <v>984279.27927927906</v>
      </c>
      <c r="P265">
        <v>3329774.774774774</v>
      </c>
      <c r="S265">
        <v>575</v>
      </c>
      <c r="T265">
        <v>598</v>
      </c>
    </row>
    <row r="266" spans="1:20" x14ac:dyDescent="0.35">
      <c r="A266" s="7" t="s">
        <v>365</v>
      </c>
      <c r="B266" s="12" t="s">
        <v>321</v>
      </c>
      <c r="C266">
        <v>95502873.898710981</v>
      </c>
      <c r="D266">
        <v>81220747.714192033</v>
      </c>
      <c r="E266">
        <v>28185585.585585583</v>
      </c>
      <c r="F266">
        <v>2823423.423423423</v>
      </c>
      <c r="G266">
        <v>27</v>
      </c>
      <c r="H266">
        <v>10</v>
      </c>
      <c r="K266">
        <v>33</v>
      </c>
      <c r="L266">
        <v>12</v>
      </c>
      <c r="M266">
        <v>14056306.306306306</v>
      </c>
      <c r="N266">
        <v>21817117.117117114</v>
      </c>
      <c r="O266">
        <v>36626891.891891889</v>
      </c>
      <c r="P266">
        <v>34602234.234234236</v>
      </c>
      <c r="Q266">
        <v>14658288.288288288</v>
      </c>
      <c r="R266">
        <v>22473693.693693694</v>
      </c>
      <c r="S266">
        <v>4245</v>
      </c>
      <c r="T266">
        <v>2921</v>
      </c>
    </row>
    <row r="267" spans="1:20" x14ac:dyDescent="0.35">
      <c r="A267" s="7" t="s">
        <v>366</v>
      </c>
      <c r="B267" s="12" t="s">
        <v>93</v>
      </c>
      <c r="C267">
        <v>184816916.0756568</v>
      </c>
      <c r="D267">
        <v>199623310.90728566</v>
      </c>
      <c r="E267">
        <v>4842342.3423423413</v>
      </c>
      <c r="F267">
        <v>2183333.3333333349</v>
      </c>
      <c r="G267">
        <v>113</v>
      </c>
      <c r="H267">
        <v>33</v>
      </c>
      <c r="I267">
        <v>2</v>
      </c>
      <c r="K267">
        <v>176</v>
      </c>
      <c r="L267">
        <v>67</v>
      </c>
      <c r="M267">
        <v>41758558.558558561</v>
      </c>
      <c r="N267">
        <v>30632432.432432432</v>
      </c>
      <c r="O267">
        <v>56809574.774774775</v>
      </c>
      <c r="P267">
        <v>58154783.783783786</v>
      </c>
      <c r="Q267">
        <v>39078691.891891889</v>
      </c>
      <c r="R267">
        <v>29511171.17117117</v>
      </c>
      <c r="S267">
        <v>6711</v>
      </c>
      <c r="T267">
        <v>6803</v>
      </c>
    </row>
    <row r="268" spans="1:20" x14ac:dyDescent="0.35">
      <c r="A268" s="7" t="s">
        <v>367</v>
      </c>
      <c r="B268" s="12" t="s">
        <v>59</v>
      </c>
      <c r="C268">
        <v>365956479.96849239</v>
      </c>
      <c r="D268">
        <v>403735308.62487578</v>
      </c>
      <c r="E268">
        <v>1134234.2342342371</v>
      </c>
      <c r="F268">
        <v>590090.09009009204</v>
      </c>
      <c r="G268">
        <v>61</v>
      </c>
      <c r="H268">
        <v>121</v>
      </c>
      <c r="K268">
        <v>71</v>
      </c>
      <c r="L268">
        <v>137</v>
      </c>
      <c r="M268">
        <v>19626126.126126129</v>
      </c>
      <c r="N268">
        <v>16409909.909909908</v>
      </c>
      <c r="O268">
        <v>55980617.117117122</v>
      </c>
      <c r="P268">
        <v>71868270.270270273</v>
      </c>
      <c r="Q268">
        <v>12859279.279279277</v>
      </c>
      <c r="R268">
        <v>17194594.59459459</v>
      </c>
      <c r="S268">
        <v>12888</v>
      </c>
      <c r="T268">
        <v>13125</v>
      </c>
    </row>
    <row r="269" spans="1:20" x14ac:dyDescent="0.35">
      <c r="A269" s="7" t="s">
        <v>368</v>
      </c>
      <c r="B269" s="12" t="s">
        <v>145</v>
      </c>
      <c r="E269">
        <v>107795768.46846846</v>
      </c>
      <c r="F269">
        <v>82317310.810810819</v>
      </c>
      <c r="M269">
        <v>7693693.6936936928</v>
      </c>
      <c r="N269">
        <v>405405.40540540498</v>
      </c>
    </row>
    <row r="270" spans="1:20" x14ac:dyDescent="0.35">
      <c r="A270" s="7" t="s">
        <v>369</v>
      </c>
      <c r="B270" s="12" t="s">
        <v>49</v>
      </c>
      <c r="C270">
        <v>130741258.72169237</v>
      </c>
      <c r="D270">
        <v>152930875.48013774</v>
      </c>
      <c r="E270">
        <v>53153.153153152998</v>
      </c>
      <c r="F270">
        <v>361261.261261262</v>
      </c>
      <c r="G270">
        <v>5</v>
      </c>
      <c r="H270">
        <v>2</v>
      </c>
      <c r="K270">
        <v>5</v>
      </c>
      <c r="L270">
        <v>2</v>
      </c>
      <c r="M270">
        <v>19210090.090090096</v>
      </c>
      <c r="N270">
        <v>6559459.4594594613</v>
      </c>
      <c r="O270">
        <v>21315684.684684683</v>
      </c>
      <c r="P270">
        <v>26934666.666666668</v>
      </c>
      <c r="Q270">
        <v>16367747.747747749</v>
      </c>
      <c r="R270">
        <v>6745765.7657657675</v>
      </c>
      <c r="S270">
        <v>3803</v>
      </c>
      <c r="T270">
        <v>3926</v>
      </c>
    </row>
    <row r="271" spans="1:20" x14ac:dyDescent="0.35">
      <c r="A271" s="7" t="s">
        <v>370</v>
      </c>
      <c r="B271" s="12" t="s">
        <v>264</v>
      </c>
      <c r="E271">
        <v>194058870.27027026</v>
      </c>
      <c r="F271">
        <v>204045750.45045045</v>
      </c>
      <c r="M271">
        <v>18360360.360360362</v>
      </c>
      <c r="N271">
        <v>27387387.387387387</v>
      </c>
    </row>
    <row r="272" spans="1:20" x14ac:dyDescent="0.35">
      <c r="A272" s="7" t="s">
        <v>371</v>
      </c>
      <c r="B272" s="12" t="s">
        <v>53</v>
      </c>
      <c r="C272">
        <v>54339651.525202386</v>
      </c>
      <c r="D272">
        <v>56390664.280710146</v>
      </c>
      <c r="E272">
        <v>88288.288288288997</v>
      </c>
      <c r="F272">
        <v>475675.67567567702</v>
      </c>
      <c r="G272">
        <v>14</v>
      </c>
      <c r="H272">
        <v>1</v>
      </c>
      <c r="K272">
        <v>19</v>
      </c>
      <c r="L272">
        <v>1</v>
      </c>
      <c r="M272">
        <v>763963.96396396402</v>
      </c>
      <c r="N272">
        <v>1466666.6666666679</v>
      </c>
      <c r="O272">
        <v>26336585.585585583</v>
      </c>
      <c r="P272">
        <v>26882792.792792793</v>
      </c>
      <c r="Q272">
        <v>1047567.567567567</v>
      </c>
      <c r="R272">
        <v>1958108.1081081091</v>
      </c>
      <c r="S272">
        <v>2353</v>
      </c>
      <c r="T272">
        <v>2364</v>
      </c>
    </row>
    <row r="273" spans="1:20" x14ac:dyDescent="0.35">
      <c r="A273" s="7" t="s">
        <v>372</v>
      </c>
      <c r="B273" s="12" t="s">
        <v>53</v>
      </c>
      <c r="C273">
        <v>41861728.07269983</v>
      </c>
      <c r="D273">
        <v>43288419.230154887</v>
      </c>
      <c r="E273">
        <v>1870270.2702702719</v>
      </c>
      <c r="F273">
        <v>950450.45045044995</v>
      </c>
      <c r="G273">
        <v>25</v>
      </c>
      <c r="H273">
        <v>12</v>
      </c>
      <c r="K273">
        <v>116</v>
      </c>
      <c r="L273">
        <v>15</v>
      </c>
      <c r="M273">
        <v>3726126.1261261259</v>
      </c>
      <c r="N273">
        <v>4310810.810810809</v>
      </c>
      <c r="O273">
        <v>23593819.819819819</v>
      </c>
      <c r="P273">
        <v>23853261.261261266</v>
      </c>
      <c r="Q273">
        <v>9015135.1351351365</v>
      </c>
      <c r="R273">
        <v>3990000</v>
      </c>
      <c r="S273">
        <v>2485</v>
      </c>
      <c r="T273">
        <v>2373</v>
      </c>
    </row>
    <row r="274" spans="1:20" x14ac:dyDescent="0.35">
      <c r="A274" s="7" t="s">
        <v>373</v>
      </c>
      <c r="B274" s="12" t="s">
        <v>53</v>
      </c>
      <c r="C274">
        <v>486787739.81365001</v>
      </c>
      <c r="D274">
        <v>496180403.31986719</v>
      </c>
      <c r="E274">
        <v>161234952.25225225</v>
      </c>
      <c r="F274">
        <v>2777548.648648656</v>
      </c>
      <c r="G274">
        <v>165</v>
      </c>
      <c r="H274">
        <v>106</v>
      </c>
      <c r="I274">
        <v>1</v>
      </c>
      <c r="K274">
        <v>292</v>
      </c>
      <c r="L274">
        <v>163</v>
      </c>
      <c r="M274">
        <v>23616216.216216225</v>
      </c>
      <c r="N274">
        <v>29200450.45045045</v>
      </c>
      <c r="O274">
        <v>176236467.56756756</v>
      </c>
      <c r="P274">
        <v>184045360.36036035</v>
      </c>
      <c r="Q274">
        <v>45649549.54954955</v>
      </c>
      <c r="R274">
        <v>28234954.954954956</v>
      </c>
      <c r="S274">
        <v>21378</v>
      </c>
      <c r="T274">
        <v>21048</v>
      </c>
    </row>
    <row r="275" spans="1:20" x14ac:dyDescent="0.35">
      <c r="A275" s="7" t="s">
        <v>374</v>
      </c>
      <c r="B275" s="12" t="s">
        <v>298</v>
      </c>
      <c r="C275">
        <v>267900715.69665658</v>
      </c>
      <c r="D275">
        <v>287260137.98528433</v>
      </c>
      <c r="E275">
        <v>2681981.981981982</v>
      </c>
      <c r="F275">
        <v>2463063.0630630702</v>
      </c>
      <c r="G275">
        <v>70</v>
      </c>
      <c r="H275">
        <v>24</v>
      </c>
      <c r="K275">
        <v>114</v>
      </c>
      <c r="L275">
        <v>41</v>
      </c>
      <c r="M275">
        <v>22376576.576576576</v>
      </c>
      <c r="N275">
        <v>40333333.333333328</v>
      </c>
      <c r="O275">
        <v>85849310.810810819</v>
      </c>
      <c r="P275">
        <v>95235852.252252251</v>
      </c>
      <c r="Q275">
        <v>26070990.990990985</v>
      </c>
      <c r="R275">
        <v>31595495.495495494</v>
      </c>
      <c r="S275">
        <v>10824</v>
      </c>
      <c r="T275">
        <v>11038</v>
      </c>
    </row>
    <row r="276" spans="1:20" x14ac:dyDescent="0.35">
      <c r="A276" s="7" t="s">
        <v>375</v>
      </c>
      <c r="B276" s="12" t="s">
        <v>376</v>
      </c>
      <c r="C276">
        <v>112732045.41422828</v>
      </c>
      <c r="D276">
        <v>121510213.34266672</v>
      </c>
      <c r="E276">
        <v>60587988.288288288</v>
      </c>
      <c r="F276">
        <v>59010564.864864863</v>
      </c>
      <c r="G276">
        <v>24</v>
      </c>
      <c r="H276">
        <v>16</v>
      </c>
      <c r="K276">
        <v>26</v>
      </c>
      <c r="L276">
        <v>18</v>
      </c>
      <c r="M276">
        <v>26067207.207207207</v>
      </c>
      <c r="N276">
        <v>15036756.756756756</v>
      </c>
      <c r="O276">
        <v>45612486.486486487</v>
      </c>
      <c r="P276">
        <v>52462630.630630635</v>
      </c>
      <c r="Q276">
        <v>29715225.225225229</v>
      </c>
      <c r="R276">
        <v>16411711.711711708</v>
      </c>
      <c r="S276">
        <v>3828</v>
      </c>
      <c r="T276">
        <v>5083</v>
      </c>
    </row>
    <row r="277" spans="1:20" x14ac:dyDescent="0.35">
      <c r="A277" s="7" t="s">
        <v>377</v>
      </c>
      <c r="B277" s="12" t="s">
        <v>71</v>
      </c>
      <c r="C277">
        <v>33489067.359887313</v>
      </c>
      <c r="D277">
        <v>36406814.408178896</v>
      </c>
      <c r="E277">
        <v>31895873.873873875</v>
      </c>
      <c r="F277">
        <v>49886645.045045048</v>
      </c>
      <c r="G277">
        <v>23</v>
      </c>
      <c r="H277">
        <v>19</v>
      </c>
      <c r="K277">
        <v>33</v>
      </c>
      <c r="L277">
        <v>38</v>
      </c>
      <c r="M277">
        <v>44222532.432432435</v>
      </c>
      <c r="N277">
        <v>46484371.171171166</v>
      </c>
      <c r="O277">
        <v>11520648.648648648</v>
      </c>
      <c r="P277">
        <v>12687198.198198196</v>
      </c>
      <c r="Q277">
        <v>6728108.1081081079</v>
      </c>
      <c r="R277">
        <v>4633243.2432432435</v>
      </c>
      <c r="S277">
        <v>1088</v>
      </c>
      <c r="T277">
        <v>1197</v>
      </c>
    </row>
    <row r="278" spans="1:20" x14ac:dyDescent="0.35">
      <c r="A278" s="7" t="s">
        <v>378</v>
      </c>
      <c r="B278" s="12" t="s">
        <v>51</v>
      </c>
      <c r="C278">
        <v>70632353.766660273</v>
      </c>
      <c r="D278">
        <v>64264135.946129024</v>
      </c>
      <c r="E278">
        <v>855855.85585585702</v>
      </c>
      <c r="F278">
        <v>463963.96396396402</v>
      </c>
      <c r="G278">
        <v>18</v>
      </c>
      <c r="H278">
        <v>13</v>
      </c>
      <c r="K278">
        <v>21</v>
      </c>
      <c r="L278">
        <v>13</v>
      </c>
      <c r="M278">
        <v>6932522.5225225212</v>
      </c>
      <c r="N278">
        <v>4677117.1171171181</v>
      </c>
      <c r="O278">
        <v>31316144.144144144</v>
      </c>
      <c r="P278">
        <v>28252585.585585583</v>
      </c>
      <c r="Q278">
        <v>5266576.5765765756</v>
      </c>
      <c r="R278">
        <v>4754684.6846846864</v>
      </c>
      <c r="S278">
        <v>2762</v>
      </c>
      <c r="T278">
        <v>2452</v>
      </c>
    </row>
    <row r="279" spans="1:20" x14ac:dyDescent="0.35">
      <c r="A279" s="7" t="s">
        <v>379</v>
      </c>
      <c r="B279" s="12" t="s">
        <v>123</v>
      </c>
      <c r="C279">
        <v>71806116.827614173</v>
      </c>
      <c r="D279">
        <v>65331197.336726882</v>
      </c>
      <c r="E279">
        <v>557657.65765765903</v>
      </c>
      <c r="F279">
        <v>238738.73873873899</v>
      </c>
      <c r="G279">
        <v>26</v>
      </c>
      <c r="H279">
        <v>26</v>
      </c>
      <c r="K279">
        <v>36</v>
      </c>
      <c r="L279">
        <v>32</v>
      </c>
      <c r="M279">
        <v>4211711.7117117122</v>
      </c>
      <c r="N279">
        <v>1680180.180180179</v>
      </c>
      <c r="O279">
        <v>7684396.3963963958</v>
      </c>
      <c r="P279">
        <v>6815846.8468468478</v>
      </c>
      <c r="Q279">
        <v>1761711.7117117119</v>
      </c>
      <c r="R279">
        <v>2016576.5765765761</v>
      </c>
      <c r="S279">
        <v>2810</v>
      </c>
      <c r="T279">
        <v>2702</v>
      </c>
    </row>
    <row r="280" spans="1:20" x14ac:dyDescent="0.35">
      <c r="A280" s="7" t="s">
        <v>380</v>
      </c>
      <c r="B280" s="12" t="s">
        <v>381</v>
      </c>
      <c r="C280">
        <v>157343299.84696323</v>
      </c>
      <c r="D280">
        <v>154682235.48416024</v>
      </c>
      <c r="E280">
        <v>30155636.936936941</v>
      </c>
      <c r="F280">
        <v>34778171.171171173</v>
      </c>
      <c r="G280">
        <v>29</v>
      </c>
      <c r="H280">
        <v>10</v>
      </c>
      <c r="K280">
        <v>33</v>
      </c>
      <c r="L280">
        <v>11</v>
      </c>
      <c r="M280">
        <v>30879729.729729727</v>
      </c>
      <c r="N280">
        <v>38781486.486486487</v>
      </c>
      <c r="O280">
        <v>58305855.855855852</v>
      </c>
      <c r="P280">
        <v>63179445.945945941</v>
      </c>
      <c r="Q280">
        <v>19408108.108108107</v>
      </c>
      <c r="R280">
        <v>26089054.054054052</v>
      </c>
      <c r="S280">
        <v>9915</v>
      </c>
      <c r="T280">
        <v>10466</v>
      </c>
    </row>
    <row r="281" spans="1:20" x14ac:dyDescent="0.35">
      <c r="A281" s="7" t="s">
        <v>382</v>
      </c>
      <c r="B281" s="12" t="s">
        <v>67</v>
      </c>
      <c r="C281">
        <v>116070150.65088113</v>
      </c>
      <c r="D281">
        <v>129928280.67166401</v>
      </c>
      <c r="E281">
        <v>4172972.972972977</v>
      </c>
      <c r="F281">
        <v>2315315.315315322</v>
      </c>
      <c r="G281">
        <v>32</v>
      </c>
      <c r="H281">
        <v>22</v>
      </c>
      <c r="K281">
        <v>38</v>
      </c>
      <c r="L281">
        <v>25</v>
      </c>
      <c r="M281">
        <v>160210810.8108108</v>
      </c>
      <c r="N281">
        <v>186850225.22522521</v>
      </c>
      <c r="O281">
        <v>42407945.945945941</v>
      </c>
      <c r="P281">
        <v>48666522.522522517</v>
      </c>
      <c r="Q281">
        <v>58455135.135135137</v>
      </c>
      <c r="R281">
        <v>39553828.828828827</v>
      </c>
      <c r="S281">
        <v>7785</v>
      </c>
      <c r="T281">
        <v>7692</v>
      </c>
    </row>
    <row r="282" spans="1:20" x14ac:dyDescent="0.35">
      <c r="A282" s="7" t="s">
        <v>383</v>
      </c>
      <c r="B282" s="12" t="s">
        <v>360</v>
      </c>
      <c r="C282">
        <v>175602065.88084233</v>
      </c>
      <c r="D282">
        <v>182103636.37956163</v>
      </c>
      <c r="E282">
        <v>2177477.4774774779</v>
      </c>
      <c r="F282">
        <v>1854954.9549549581</v>
      </c>
      <c r="G282">
        <v>290</v>
      </c>
      <c r="H282">
        <v>111</v>
      </c>
      <c r="K282">
        <v>293</v>
      </c>
      <c r="L282">
        <v>122</v>
      </c>
      <c r="M282">
        <v>33217027.02702703</v>
      </c>
      <c r="N282">
        <v>38502927.927927926</v>
      </c>
      <c r="O282">
        <v>107905612.61261261</v>
      </c>
      <c r="P282">
        <v>107567063.06306307</v>
      </c>
      <c r="Q282">
        <v>34640000</v>
      </c>
      <c r="R282">
        <v>34148693.693693697</v>
      </c>
      <c r="S282">
        <v>6752</v>
      </c>
      <c r="T282">
        <v>6772</v>
      </c>
    </row>
    <row r="283" spans="1:20" x14ac:dyDescent="0.35">
      <c r="A283" s="7" t="s">
        <v>384</v>
      </c>
      <c r="B283" s="12" t="s">
        <v>67</v>
      </c>
      <c r="C283">
        <v>67905273.33591637</v>
      </c>
      <c r="D283">
        <v>73988440.108141854</v>
      </c>
      <c r="E283">
        <v>463963.96396396501</v>
      </c>
      <c r="F283">
        <v>50450.450450450997</v>
      </c>
      <c r="G283">
        <v>26</v>
      </c>
      <c r="H283">
        <v>6</v>
      </c>
      <c r="K283">
        <v>34</v>
      </c>
      <c r="L283">
        <v>11</v>
      </c>
      <c r="M283">
        <v>3696396.3963963981</v>
      </c>
      <c r="N283">
        <v>4799099.0990990978</v>
      </c>
      <c r="O283">
        <v>32693148.648648649</v>
      </c>
      <c r="P283">
        <v>32449612.612612613</v>
      </c>
      <c r="Q283">
        <v>5759819.819819821</v>
      </c>
      <c r="R283">
        <v>6031261.2612612601</v>
      </c>
      <c r="S283">
        <v>5153</v>
      </c>
      <c r="T283">
        <v>5196</v>
      </c>
    </row>
    <row r="284" spans="1:20" x14ac:dyDescent="0.35">
      <c r="A284" s="7" t="s">
        <v>385</v>
      </c>
      <c r="B284" s="12" t="s">
        <v>264</v>
      </c>
      <c r="C284">
        <v>58320510.934574202</v>
      </c>
      <c r="D284">
        <v>57173820.697889663</v>
      </c>
      <c r="E284">
        <v>13513.513513514001</v>
      </c>
      <c r="F284">
        <v>292792.79279279301</v>
      </c>
      <c r="G284">
        <v>4</v>
      </c>
      <c r="H284">
        <v>7</v>
      </c>
      <c r="K284">
        <v>4</v>
      </c>
      <c r="L284">
        <v>25</v>
      </c>
      <c r="M284">
        <v>554054.05405405397</v>
      </c>
      <c r="N284">
        <v>4391891.8918918921</v>
      </c>
      <c r="O284">
        <v>9775702.7027027048</v>
      </c>
      <c r="P284">
        <v>13336986.486486487</v>
      </c>
      <c r="Q284">
        <v>525675.67567567597</v>
      </c>
      <c r="R284">
        <v>4710990.9909909908</v>
      </c>
      <c r="S284">
        <v>1690</v>
      </c>
      <c r="T284">
        <v>1724</v>
      </c>
    </row>
    <row r="285" spans="1:20" x14ac:dyDescent="0.35">
      <c r="A285" s="7" t="s">
        <v>386</v>
      </c>
      <c r="B285" s="12" t="s">
        <v>360</v>
      </c>
      <c r="C285">
        <v>147193194.2439594</v>
      </c>
      <c r="D285">
        <v>143748763.19848877</v>
      </c>
      <c r="E285">
        <v>2258558.55855856</v>
      </c>
      <c r="F285">
        <v>1468468.468468471</v>
      </c>
      <c r="G285">
        <v>33</v>
      </c>
      <c r="H285">
        <v>29</v>
      </c>
      <c r="K285">
        <v>35</v>
      </c>
      <c r="L285">
        <v>32</v>
      </c>
      <c r="M285">
        <v>30210720.72072072</v>
      </c>
      <c r="N285">
        <v>27801801.801801801</v>
      </c>
      <c r="O285">
        <v>81399493.693693697</v>
      </c>
      <c r="P285">
        <v>80327333.333333328</v>
      </c>
      <c r="Q285">
        <v>28820900.900900904</v>
      </c>
      <c r="R285">
        <v>24554864.864864863</v>
      </c>
      <c r="S285">
        <v>4767</v>
      </c>
      <c r="T285">
        <v>4980</v>
      </c>
    </row>
    <row r="286" spans="1:20" x14ac:dyDescent="0.35">
      <c r="A286" s="7" t="s">
        <v>387</v>
      </c>
      <c r="B286" s="12" t="s">
        <v>88</v>
      </c>
      <c r="C286">
        <v>4267290.0364881214</v>
      </c>
      <c r="D286">
        <v>3570541.32093149</v>
      </c>
      <c r="G286">
        <v>1</v>
      </c>
      <c r="K286">
        <v>1</v>
      </c>
      <c r="O286">
        <v>189774.77477477401</v>
      </c>
      <c r="P286">
        <v>734594.59459459502</v>
      </c>
      <c r="S286">
        <v>190</v>
      </c>
      <c r="T286">
        <v>178</v>
      </c>
    </row>
    <row r="287" spans="1:20" x14ac:dyDescent="0.35">
      <c r="A287" s="7" t="s">
        <v>388</v>
      </c>
      <c r="B287" s="12" t="s">
        <v>88</v>
      </c>
      <c r="C287">
        <v>5737027.8909822246</v>
      </c>
      <c r="D287">
        <v>5933074.7053065971</v>
      </c>
      <c r="G287">
        <v>10</v>
      </c>
      <c r="H287">
        <v>18</v>
      </c>
      <c r="K287">
        <v>14</v>
      </c>
      <c r="L287">
        <v>23</v>
      </c>
      <c r="O287">
        <v>768657.65765765798</v>
      </c>
      <c r="P287">
        <v>1154684.684684685</v>
      </c>
      <c r="S287">
        <v>360</v>
      </c>
      <c r="T287">
        <v>360</v>
      </c>
    </row>
    <row r="288" spans="1:20" x14ac:dyDescent="0.35">
      <c r="A288" s="7" t="s">
        <v>389</v>
      </c>
      <c r="B288" s="12" t="s">
        <v>81</v>
      </c>
      <c r="C288">
        <v>1009176185.5531188</v>
      </c>
      <c r="D288">
        <v>1039890649.0680918</v>
      </c>
      <c r="E288">
        <v>378319293.6936937</v>
      </c>
      <c r="F288">
        <v>502044379.27927929</v>
      </c>
      <c r="G288">
        <v>288</v>
      </c>
      <c r="H288">
        <v>201</v>
      </c>
      <c r="K288">
        <v>423</v>
      </c>
      <c r="L288">
        <v>376</v>
      </c>
      <c r="M288">
        <v>112144144.14414413</v>
      </c>
      <c r="N288">
        <v>225270720.72072071</v>
      </c>
      <c r="O288">
        <v>259627426.12612611</v>
      </c>
      <c r="P288">
        <v>286850043.24324322</v>
      </c>
      <c r="Q288">
        <v>96758648.648648635</v>
      </c>
      <c r="R288">
        <v>122637117.11711712</v>
      </c>
      <c r="S288">
        <v>37363</v>
      </c>
      <c r="T288">
        <v>37686</v>
      </c>
    </row>
    <row r="289" spans="1:20" x14ac:dyDescent="0.35">
      <c r="A289" s="7" t="s">
        <v>390</v>
      </c>
      <c r="B289" s="12" t="s">
        <v>81</v>
      </c>
      <c r="C289">
        <v>277797615.54970193</v>
      </c>
      <c r="D289">
        <v>279015253.03792679</v>
      </c>
      <c r="E289">
        <v>2749774.7747747791</v>
      </c>
      <c r="F289">
        <v>2166666.6666666712</v>
      </c>
      <c r="G289">
        <v>62</v>
      </c>
      <c r="H289">
        <v>90</v>
      </c>
      <c r="I289">
        <v>1</v>
      </c>
      <c r="K289">
        <v>93</v>
      </c>
      <c r="L289">
        <v>223</v>
      </c>
      <c r="M289">
        <v>53128828.828828827</v>
      </c>
      <c r="N289">
        <v>61716216.216216214</v>
      </c>
      <c r="O289">
        <v>110581550</v>
      </c>
      <c r="P289">
        <v>120235744.14414415</v>
      </c>
      <c r="Q289">
        <v>44389502.702702701</v>
      </c>
      <c r="R289">
        <v>58096529.729729727</v>
      </c>
      <c r="S289">
        <v>9700</v>
      </c>
      <c r="T289">
        <v>9613</v>
      </c>
    </row>
    <row r="290" spans="1:20" x14ac:dyDescent="0.35">
      <c r="A290" s="7" t="s">
        <v>391</v>
      </c>
      <c r="B290" s="12" t="s">
        <v>81</v>
      </c>
      <c r="C290">
        <v>351065052.08799136</v>
      </c>
      <c r="D290">
        <v>371819296.68503231</v>
      </c>
      <c r="E290">
        <v>266666.66666666802</v>
      </c>
      <c r="F290">
        <v>161261.261261262</v>
      </c>
      <c r="G290">
        <v>47</v>
      </c>
      <c r="H290">
        <v>13</v>
      </c>
      <c r="I290">
        <v>1</v>
      </c>
      <c r="K290">
        <v>53</v>
      </c>
      <c r="L290">
        <v>18</v>
      </c>
      <c r="M290">
        <v>14801351.351351352</v>
      </c>
      <c r="N290">
        <v>23404504.504504506</v>
      </c>
      <c r="O290">
        <v>70462432.432432428</v>
      </c>
      <c r="P290">
        <v>80166144.144144148</v>
      </c>
      <c r="Q290">
        <v>18291351.351351351</v>
      </c>
      <c r="R290">
        <v>24951171.171171173</v>
      </c>
      <c r="S290">
        <v>9411</v>
      </c>
      <c r="T290">
        <v>9523</v>
      </c>
    </row>
    <row r="291" spans="1:20" x14ac:dyDescent="0.35">
      <c r="A291" s="7" t="s">
        <v>392</v>
      </c>
      <c r="B291" s="12" t="s">
        <v>69</v>
      </c>
      <c r="C291">
        <v>153972012.80772081</v>
      </c>
      <c r="D291">
        <v>145419083.76815096</v>
      </c>
      <c r="E291">
        <v>719819.81981982</v>
      </c>
      <c r="F291">
        <v>397297.29729729902</v>
      </c>
      <c r="G291">
        <v>35</v>
      </c>
      <c r="H291">
        <v>12</v>
      </c>
      <c r="K291">
        <v>40</v>
      </c>
      <c r="L291">
        <v>22</v>
      </c>
      <c r="M291">
        <v>6027927.927927928</v>
      </c>
      <c r="N291">
        <v>4650000</v>
      </c>
      <c r="O291">
        <v>21960756.756756756</v>
      </c>
      <c r="P291">
        <v>20814890.090090089</v>
      </c>
      <c r="Q291">
        <v>5025675.6756756753</v>
      </c>
      <c r="R291">
        <v>4974504.5045045037</v>
      </c>
      <c r="S291">
        <v>5000</v>
      </c>
      <c r="T291">
        <v>5075</v>
      </c>
    </row>
    <row r="292" spans="1:20" x14ac:dyDescent="0.35">
      <c r="A292" s="7" t="s">
        <v>393</v>
      </c>
      <c r="B292" s="12" t="s">
        <v>169</v>
      </c>
      <c r="C292">
        <v>56765923.08736039</v>
      </c>
      <c r="D292">
        <v>61901028.986591376</v>
      </c>
      <c r="E292">
        <v>388288.28828828898</v>
      </c>
      <c r="F292">
        <v>81081.081081081007</v>
      </c>
      <c r="G292">
        <v>21</v>
      </c>
      <c r="H292">
        <v>6</v>
      </c>
      <c r="K292">
        <v>26</v>
      </c>
      <c r="L292">
        <v>9</v>
      </c>
      <c r="M292">
        <v>16339639.63963964</v>
      </c>
      <c r="N292">
        <v>6769369.3693693709</v>
      </c>
      <c r="O292">
        <v>23607045.045045044</v>
      </c>
      <c r="P292">
        <v>28050504.504504506</v>
      </c>
      <c r="Q292">
        <v>10917027.027027026</v>
      </c>
      <c r="R292">
        <v>6921891.891891893</v>
      </c>
      <c r="S292">
        <v>2426</v>
      </c>
      <c r="T292">
        <v>2509</v>
      </c>
    </row>
    <row r="293" spans="1:20" x14ac:dyDescent="0.35">
      <c r="A293" s="7" t="s">
        <v>394</v>
      </c>
      <c r="B293" s="12" t="s">
        <v>95</v>
      </c>
      <c r="C293">
        <v>315366965.75704229</v>
      </c>
      <c r="D293">
        <v>328511195.55568945</v>
      </c>
      <c r="E293">
        <v>590090.09009009204</v>
      </c>
      <c r="F293">
        <v>1009009.00900901</v>
      </c>
      <c r="G293">
        <v>69</v>
      </c>
      <c r="H293">
        <v>60</v>
      </c>
      <c r="K293">
        <v>77</v>
      </c>
      <c r="L293">
        <v>73</v>
      </c>
      <c r="M293">
        <v>15842342.342342343</v>
      </c>
      <c r="N293">
        <v>13567567.567567568</v>
      </c>
      <c r="O293">
        <v>40071522.522522531</v>
      </c>
      <c r="P293">
        <v>47434360.360360362</v>
      </c>
      <c r="Q293">
        <v>11564774.774774777</v>
      </c>
      <c r="R293">
        <v>8926126.1261261255</v>
      </c>
      <c r="S293">
        <v>8410</v>
      </c>
      <c r="T293">
        <v>8589</v>
      </c>
    </row>
    <row r="294" spans="1:20" x14ac:dyDescent="0.35">
      <c r="A294" s="7" t="s">
        <v>395</v>
      </c>
      <c r="B294" s="12" t="s">
        <v>218</v>
      </c>
      <c r="C294">
        <v>51431719.136303663</v>
      </c>
      <c r="D294">
        <v>58523433.776503898</v>
      </c>
      <c r="E294">
        <v>3289189.1891891891</v>
      </c>
      <c r="F294">
        <v>63832432.432432435</v>
      </c>
      <c r="G294">
        <v>22</v>
      </c>
      <c r="H294">
        <v>1</v>
      </c>
      <c r="K294">
        <v>24</v>
      </c>
      <c r="L294">
        <v>1</v>
      </c>
      <c r="M294">
        <v>2633333.333333333</v>
      </c>
      <c r="N294">
        <v>3000000</v>
      </c>
      <c r="O294">
        <v>23740450.45045045</v>
      </c>
      <c r="P294">
        <v>27488774.774774775</v>
      </c>
      <c r="Q294">
        <v>1741891.8918918909</v>
      </c>
      <c r="R294">
        <v>2747117.1171171172</v>
      </c>
      <c r="S294">
        <v>2322</v>
      </c>
      <c r="T294">
        <v>2321</v>
      </c>
    </row>
    <row r="295" spans="1:20" x14ac:dyDescent="0.35">
      <c r="A295" s="7" t="s">
        <v>396</v>
      </c>
      <c r="B295" s="12" t="s">
        <v>119</v>
      </c>
      <c r="C295">
        <v>21939680.994972415</v>
      </c>
      <c r="D295">
        <v>20470138.568447087</v>
      </c>
      <c r="E295">
        <v>366666.66666666802</v>
      </c>
      <c r="F295">
        <v>194594.59459459499</v>
      </c>
      <c r="G295">
        <v>5</v>
      </c>
      <c r="H295">
        <v>10</v>
      </c>
      <c r="K295">
        <v>13</v>
      </c>
      <c r="L295">
        <v>14</v>
      </c>
      <c r="M295">
        <v>8700115.3153153155</v>
      </c>
      <c r="N295">
        <v>6989130.630630631</v>
      </c>
      <c r="O295">
        <v>9233837.8378378376</v>
      </c>
      <c r="P295">
        <v>9531738.7387387399</v>
      </c>
      <c r="Q295">
        <v>6262252.2522522528</v>
      </c>
      <c r="R295">
        <v>5104864.8648648653</v>
      </c>
      <c r="S295">
        <v>1790</v>
      </c>
      <c r="T295">
        <v>1819</v>
      </c>
    </row>
    <row r="296" spans="1:20" x14ac:dyDescent="0.35">
      <c r="A296" s="7" t="s">
        <v>397</v>
      </c>
      <c r="B296" s="12" t="s">
        <v>321</v>
      </c>
      <c r="C296">
        <v>95188229.137721077</v>
      </c>
      <c r="D296">
        <v>96570636.435890779</v>
      </c>
      <c r="E296">
        <v>381081.08108108101</v>
      </c>
      <c r="F296">
        <v>13513.513513514001</v>
      </c>
      <c r="G296">
        <v>10</v>
      </c>
      <c r="H296">
        <v>7</v>
      </c>
      <c r="I296">
        <v>1</v>
      </c>
      <c r="K296">
        <v>10</v>
      </c>
      <c r="L296">
        <v>8</v>
      </c>
      <c r="M296">
        <v>3263963.963963964</v>
      </c>
      <c r="N296">
        <v>3509009.0090090078</v>
      </c>
      <c r="O296">
        <v>19847729.729729727</v>
      </c>
      <c r="P296">
        <v>20135405.405405402</v>
      </c>
      <c r="Q296">
        <v>4243603.6036036033</v>
      </c>
      <c r="R296">
        <v>4091891.8918918911</v>
      </c>
      <c r="S296">
        <v>2648</v>
      </c>
      <c r="T296">
        <v>2862</v>
      </c>
    </row>
    <row r="297" spans="1:20" x14ac:dyDescent="0.35">
      <c r="A297" s="7" t="s">
        <v>398</v>
      </c>
      <c r="B297" s="12" t="s">
        <v>228</v>
      </c>
      <c r="C297">
        <v>40064202.684102617</v>
      </c>
      <c r="D297">
        <v>41624329.558509283</v>
      </c>
      <c r="G297">
        <v>6</v>
      </c>
      <c r="H297">
        <v>3</v>
      </c>
      <c r="K297">
        <v>6</v>
      </c>
      <c r="L297">
        <v>3</v>
      </c>
      <c r="O297">
        <v>7233603.6036036033</v>
      </c>
      <c r="P297">
        <v>8196477.4774774779</v>
      </c>
      <c r="S297">
        <v>1467</v>
      </c>
      <c r="T297">
        <v>1518</v>
      </c>
    </row>
    <row r="298" spans="1:20" x14ac:dyDescent="0.35">
      <c r="A298" s="7" t="s">
        <v>6</v>
      </c>
      <c r="B298" s="12" t="s">
        <v>196</v>
      </c>
      <c r="C298">
        <v>333155835.83938742</v>
      </c>
      <c r="D298">
        <v>348463232.95900136</v>
      </c>
      <c r="E298">
        <v>240651635.13513514</v>
      </c>
      <c r="F298">
        <v>154468028.82882884</v>
      </c>
      <c r="G298">
        <v>115</v>
      </c>
      <c r="H298">
        <v>89</v>
      </c>
      <c r="K298">
        <v>577</v>
      </c>
      <c r="L298">
        <v>185</v>
      </c>
      <c r="M298">
        <v>154279279.27927929</v>
      </c>
      <c r="N298">
        <v>182685765.76576576</v>
      </c>
      <c r="O298">
        <v>229968414.41441441</v>
      </c>
      <c r="P298">
        <v>227267018.01801801</v>
      </c>
      <c r="Q298">
        <v>134512702.7027027</v>
      </c>
      <c r="R298">
        <v>171951351.35135135</v>
      </c>
      <c r="S298">
        <v>12783</v>
      </c>
      <c r="T298">
        <v>13832</v>
      </c>
    </row>
    <row r="299" spans="1:20" x14ac:dyDescent="0.35">
      <c r="A299" s="7" t="s">
        <v>399</v>
      </c>
      <c r="B299" s="12" t="s">
        <v>123</v>
      </c>
      <c r="C299">
        <v>16213255.809262024</v>
      </c>
      <c r="D299">
        <v>15793749.337405672</v>
      </c>
      <c r="G299">
        <v>6</v>
      </c>
      <c r="H299">
        <v>8</v>
      </c>
      <c r="K299">
        <v>6</v>
      </c>
      <c r="L299">
        <v>10</v>
      </c>
      <c r="O299">
        <v>819819.81981982</v>
      </c>
      <c r="P299">
        <v>1178342.342342342</v>
      </c>
      <c r="S299">
        <v>523</v>
      </c>
      <c r="T299">
        <v>543</v>
      </c>
    </row>
    <row r="300" spans="1:20" x14ac:dyDescent="0.35">
      <c r="A300" s="7" t="s">
        <v>400</v>
      </c>
      <c r="B300" s="12" t="s">
        <v>136</v>
      </c>
      <c r="C300">
        <v>46644265.208895989</v>
      </c>
      <c r="D300">
        <v>49604746.512841858</v>
      </c>
      <c r="E300">
        <v>13513.513513514001</v>
      </c>
      <c r="F300">
        <v>40540.540540540998</v>
      </c>
      <c r="G300">
        <v>10</v>
      </c>
      <c r="H300">
        <v>8</v>
      </c>
      <c r="K300">
        <v>14</v>
      </c>
      <c r="L300">
        <v>10</v>
      </c>
      <c r="M300">
        <v>3301801.8018018012</v>
      </c>
      <c r="N300">
        <v>2641891.8918918911</v>
      </c>
      <c r="O300">
        <v>9843304.5045045037</v>
      </c>
      <c r="P300">
        <v>11791891.891891891</v>
      </c>
      <c r="Q300">
        <v>643783.78378378495</v>
      </c>
      <c r="R300">
        <v>967927.92792792805</v>
      </c>
      <c r="S300">
        <v>3552</v>
      </c>
      <c r="T300">
        <v>2935</v>
      </c>
    </row>
    <row r="301" spans="1:20" x14ac:dyDescent="0.35">
      <c r="A301" s="7" t="s">
        <v>401</v>
      </c>
      <c r="B301" s="12" t="s">
        <v>59</v>
      </c>
      <c r="C301">
        <v>222471262.0596849</v>
      </c>
      <c r="D301">
        <v>252438046.2945998</v>
      </c>
      <c r="E301">
        <v>20341216.216216221</v>
      </c>
      <c r="F301">
        <v>18105405.405405402</v>
      </c>
      <c r="G301">
        <v>87</v>
      </c>
      <c r="H301">
        <v>43</v>
      </c>
      <c r="K301">
        <v>96</v>
      </c>
      <c r="L301">
        <v>51</v>
      </c>
      <c r="M301">
        <v>25597297.297297299</v>
      </c>
      <c r="N301">
        <v>28127927.927927922</v>
      </c>
      <c r="O301">
        <v>36850617.117117122</v>
      </c>
      <c r="P301">
        <v>44157612.612612613</v>
      </c>
      <c r="Q301">
        <v>21387927.927927926</v>
      </c>
      <c r="R301">
        <v>28620990.990990993</v>
      </c>
      <c r="S301">
        <v>9864</v>
      </c>
      <c r="T301">
        <v>9353</v>
      </c>
    </row>
    <row r="302" spans="1:20" x14ac:dyDescent="0.35">
      <c r="A302" s="7" t="s">
        <v>402</v>
      </c>
      <c r="B302" s="12" t="s">
        <v>136</v>
      </c>
      <c r="C302">
        <v>76613653.563757792</v>
      </c>
      <c r="D302">
        <v>84174067.48495315</v>
      </c>
      <c r="E302">
        <v>396396.39639639697</v>
      </c>
      <c r="F302">
        <v>106306.306306306</v>
      </c>
      <c r="G302">
        <v>18</v>
      </c>
      <c r="H302">
        <v>8</v>
      </c>
      <c r="K302">
        <v>26</v>
      </c>
      <c r="L302">
        <v>14</v>
      </c>
      <c r="M302">
        <v>11585585.585585585</v>
      </c>
      <c r="N302">
        <v>10593693.693693692</v>
      </c>
      <c r="O302">
        <v>13446495.495495496</v>
      </c>
      <c r="P302">
        <v>18674810.810810812</v>
      </c>
      <c r="Q302">
        <v>7116306.3063063063</v>
      </c>
      <c r="R302">
        <v>6801171.1711711716</v>
      </c>
      <c r="S302">
        <v>3976</v>
      </c>
      <c r="T302">
        <v>3011</v>
      </c>
    </row>
    <row r="303" spans="1:20" x14ac:dyDescent="0.35">
      <c r="A303" s="7" t="s">
        <v>403</v>
      </c>
      <c r="B303" s="12" t="s">
        <v>55</v>
      </c>
      <c r="C303">
        <v>32268940.568700619</v>
      </c>
      <c r="D303">
        <v>33983834.269961193</v>
      </c>
      <c r="E303">
        <v>27927.927927928002</v>
      </c>
      <c r="F303">
        <v>290990.99099099101</v>
      </c>
      <c r="G303">
        <v>6</v>
      </c>
      <c r="H303">
        <v>5</v>
      </c>
      <c r="K303">
        <v>6</v>
      </c>
      <c r="L303">
        <v>5</v>
      </c>
      <c r="M303">
        <v>2109009.0090090092</v>
      </c>
      <c r="N303">
        <v>1867567.5675675659</v>
      </c>
      <c r="O303">
        <v>5083909.9099099096</v>
      </c>
      <c r="P303">
        <v>6043864.8648648653</v>
      </c>
      <c r="Q303">
        <v>2164324.3243243238</v>
      </c>
      <c r="R303">
        <v>1651621.621621622</v>
      </c>
      <c r="S303">
        <v>1514</v>
      </c>
      <c r="T303">
        <v>1420</v>
      </c>
    </row>
    <row r="304" spans="1:20" x14ac:dyDescent="0.35">
      <c r="A304" s="7" t="s">
        <v>404</v>
      </c>
      <c r="B304" s="12" t="s">
        <v>405</v>
      </c>
      <c r="C304">
        <v>233825505.31326881</v>
      </c>
      <c r="D304">
        <v>240754610.41899073</v>
      </c>
      <c r="E304">
        <v>1381081.0810810821</v>
      </c>
      <c r="F304">
        <v>880180.18018018303</v>
      </c>
      <c r="G304">
        <v>73</v>
      </c>
      <c r="H304">
        <v>75</v>
      </c>
      <c r="K304">
        <v>158</v>
      </c>
      <c r="L304">
        <v>99</v>
      </c>
      <c r="M304">
        <v>20082432.432432432</v>
      </c>
      <c r="N304">
        <v>22485135.135135137</v>
      </c>
      <c r="O304">
        <v>43809822.522522531</v>
      </c>
      <c r="P304">
        <v>50941423.423423424</v>
      </c>
      <c r="Q304">
        <v>18829729.729729727</v>
      </c>
      <c r="R304">
        <v>19731531.531531531</v>
      </c>
      <c r="S304">
        <v>9389</v>
      </c>
      <c r="T304">
        <v>9677</v>
      </c>
    </row>
    <row r="305" spans="1:20" x14ac:dyDescent="0.35">
      <c r="A305" s="7" t="s">
        <v>406</v>
      </c>
      <c r="B305" s="12" t="s">
        <v>407</v>
      </c>
      <c r="C305">
        <v>251223537.74135801</v>
      </c>
      <c r="D305">
        <v>276392373.76179886</v>
      </c>
      <c r="E305">
        <v>3774549.5495495521</v>
      </c>
      <c r="F305">
        <v>535135.13513513503</v>
      </c>
      <c r="G305">
        <v>55</v>
      </c>
      <c r="H305">
        <v>53</v>
      </c>
      <c r="K305">
        <v>62</v>
      </c>
      <c r="L305">
        <v>65</v>
      </c>
      <c r="M305">
        <v>37001801.801801801</v>
      </c>
      <c r="N305">
        <v>18010810.810810808</v>
      </c>
      <c r="O305">
        <v>44795441.441441439</v>
      </c>
      <c r="P305">
        <v>52384207.20720721</v>
      </c>
      <c r="Q305">
        <v>29732702.702702705</v>
      </c>
      <c r="R305">
        <v>14963153.153153151</v>
      </c>
      <c r="S305">
        <v>12205</v>
      </c>
      <c r="T305">
        <v>11822</v>
      </c>
    </row>
    <row r="306" spans="1:20" x14ac:dyDescent="0.35">
      <c r="A306" s="7" t="s">
        <v>408</v>
      </c>
      <c r="B306" s="12" t="s">
        <v>142</v>
      </c>
      <c r="C306">
        <v>82492638.570924774</v>
      </c>
      <c r="D306">
        <v>87702312.47417073</v>
      </c>
      <c r="E306">
        <v>624324.32432432403</v>
      </c>
      <c r="F306">
        <v>902702.70270270295</v>
      </c>
      <c r="G306">
        <v>29</v>
      </c>
      <c r="H306">
        <v>12</v>
      </c>
      <c r="K306">
        <v>33</v>
      </c>
      <c r="L306">
        <v>15</v>
      </c>
      <c r="M306">
        <v>18756936.936936937</v>
      </c>
      <c r="N306">
        <v>24604504.504504506</v>
      </c>
      <c r="O306">
        <v>26074927.927927926</v>
      </c>
      <c r="P306">
        <v>27783891.891891893</v>
      </c>
      <c r="Q306">
        <v>15211711.711711712</v>
      </c>
      <c r="R306">
        <v>20788918.918918919</v>
      </c>
      <c r="S306">
        <v>3262</v>
      </c>
      <c r="T306">
        <v>3184</v>
      </c>
    </row>
    <row r="307" spans="1:20" x14ac:dyDescent="0.35">
      <c r="A307" s="7" t="s">
        <v>409</v>
      </c>
      <c r="B307" s="12" t="s">
        <v>123</v>
      </c>
      <c r="C307">
        <v>21056875.460291836</v>
      </c>
      <c r="D307">
        <v>19949096.623627361</v>
      </c>
      <c r="E307">
        <v>360360.36036036001</v>
      </c>
      <c r="G307">
        <v>10</v>
      </c>
      <c r="H307">
        <v>11</v>
      </c>
      <c r="K307">
        <v>16</v>
      </c>
      <c r="L307">
        <v>15</v>
      </c>
      <c r="M307">
        <v>2162162.1621621619</v>
      </c>
      <c r="N307">
        <v>1801801.8018018019</v>
      </c>
      <c r="O307">
        <v>2243333.333333333</v>
      </c>
      <c r="P307">
        <v>2886315.315315315</v>
      </c>
      <c r="Q307">
        <v>678828.82882882899</v>
      </c>
      <c r="R307">
        <v>704144.14414414403</v>
      </c>
      <c r="S307">
        <v>1080</v>
      </c>
      <c r="T307">
        <v>1060</v>
      </c>
    </row>
    <row r="308" spans="1:20" x14ac:dyDescent="0.35">
      <c r="A308" s="7" t="s">
        <v>410</v>
      </c>
      <c r="B308" s="12" t="s">
        <v>295</v>
      </c>
      <c r="C308">
        <v>34587749.847897425</v>
      </c>
      <c r="D308">
        <v>37898128.24729912</v>
      </c>
      <c r="E308">
        <v>321171.171171172</v>
      </c>
      <c r="F308">
        <v>9009.0090090089998</v>
      </c>
      <c r="G308">
        <v>7</v>
      </c>
      <c r="H308">
        <v>6</v>
      </c>
      <c r="K308">
        <v>8</v>
      </c>
      <c r="L308">
        <v>6</v>
      </c>
      <c r="M308">
        <v>929729.72972973005</v>
      </c>
      <c r="N308">
        <v>1135135.1351351349</v>
      </c>
      <c r="O308">
        <v>4073009.0090090078</v>
      </c>
      <c r="P308">
        <v>5612684.6846846864</v>
      </c>
      <c r="Q308">
        <v>1615585.5855855851</v>
      </c>
      <c r="R308">
        <v>750990.99099098996</v>
      </c>
      <c r="S308">
        <v>1608</v>
      </c>
      <c r="T308">
        <v>1644</v>
      </c>
    </row>
    <row r="309" spans="1:20" x14ac:dyDescent="0.35">
      <c r="A309" s="7" t="s">
        <v>411</v>
      </c>
      <c r="B309" s="12" t="s">
        <v>123</v>
      </c>
      <c r="C309">
        <v>39239951.166344009</v>
      </c>
      <c r="D309">
        <v>35345326.018118367</v>
      </c>
      <c r="E309">
        <v>55630.630630631</v>
      </c>
      <c r="G309">
        <v>7</v>
      </c>
      <c r="H309">
        <v>3</v>
      </c>
      <c r="K309">
        <v>8</v>
      </c>
      <c r="L309">
        <v>3</v>
      </c>
      <c r="M309">
        <v>58558.558558559002</v>
      </c>
      <c r="O309">
        <v>3134549.5495495498</v>
      </c>
      <c r="P309">
        <v>3704639.6396396402</v>
      </c>
      <c r="R309">
        <v>13513.513513514001</v>
      </c>
      <c r="S309">
        <v>1020</v>
      </c>
      <c r="T309">
        <v>1014</v>
      </c>
    </row>
    <row r="310" spans="1:20" x14ac:dyDescent="0.35">
      <c r="A310" s="7" t="s">
        <v>412</v>
      </c>
      <c r="B310" s="12" t="s">
        <v>376</v>
      </c>
      <c r="C310">
        <v>90151558.322433621</v>
      </c>
      <c r="D310">
        <v>94960054.847941309</v>
      </c>
      <c r="E310">
        <v>770720.72072072001</v>
      </c>
      <c r="F310">
        <v>305855.85585586302</v>
      </c>
      <c r="G310">
        <v>23</v>
      </c>
      <c r="H310">
        <v>3</v>
      </c>
      <c r="K310">
        <v>72</v>
      </c>
      <c r="L310">
        <v>4</v>
      </c>
      <c r="M310">
        <v>21585585.585585587</v>
      </c>
      <c r="N310">
        <v>12447027.027027031</v>
      </c>
      <c r="O310">
        <v>32741954.954954952</v>
      </c>
      <c r="P310">
        <v>31139809.009009007</v>
      </c>
      <c r="Q310">
        <v>20940270.270270273</v>
      </c>
      <c r="R310">
        <v>11876576.576576576</v>
      </c>
      <c r="S310">
        <v>4105</v>
      </c>
      <c r="T310">
        <v>4050</v>
      </c>
    </row>
    <row r="311" spans="1:20" x14ac:dyDescent="0.35">
      <c r="A311" s="7" t="s">
        <v>413</v>
      </c>
      <c r="B311" s="12" t="s">
        <v>142</v>
      </c>
      <c r="C311">
        <v>43151976.285911441</v>
      </c>
      <c r="D311">
        <v>45057002.752737395</v>
      </c>
      <c r="E311">
        <v>116891.89189189101</v>
      </c>
      <c r="G311">
        <v>8</v>
      </c>
      <c r="H311">
        <v>1</v>
      </c>
      <c r="K311">
        <v>9</v>
      </c>
      <c r="L311">
        <v>2</v>
      </c>
      <c r="M311">
        <v>7505765.7657657657</v>
      </c>
      <c r="N311">
        <v>5920720.7207207214</v>
      </c>
      <c r="O311">
        <v>11423855.855855856</v>
      </c>
      <c r="P311">
        <v>13450045.045045044</v>
      </c>
      <c r="Q311">
        <v>6457027.0270270258</v>
      </c>
      <c r="R311">
        <v>7273963.963963964</v>
      </c>
      <c r="S311">
        <v>1419</v>
      </c>
      <c r="T311">
        <v>1388</v>
      </c>
    </row>
    <row r="312" spans="1:20" x14ac:dyDescent="0.35">
      <c r="A312" s="7" t="s">
        <v>414</v>
      </c>
      <c r="B312" s="12" t="s">
        <v>55</v>
      </c>
      <c r="C312">
        <v>58964821.348049372</v>
      </c>
      <c r="D312">
        <v>63036755.723485418</v>
      </c>
      <c r="E312">
        <v>998198.19819819799</v>
      </c>
      <c r="F312">
        <v>1923423.4234234239</v>
      </c>
      <c r="G312">
        <v>15</v>
      </c>
      <c r="H312">
        <v>50</v>
      </c>
      <c r="K312">
        <v>27</v>
      </c>
      <c r="L312">
        <v>68</v>
      </c>
      <c r="M312">
        <v>6484684.6846846854</v>
      </c>
      <c r="N312">
        <v>5265765.7657657657</v>
      </c>
      <c r="O312">
        <v>13294513.513513513</v>
      </c>
      <c r="P312">
        <v>14774729.729729731</v>
      </c>
      <c r="Q312">
        <v>6788558.5585585581</v>
      </c>
      <c r="R312">
        <v>4179549.5495495498</v>
      </c>
      <c r="S312">
        <v>2198</v>
      </c>
      <c r="T312">
        <v>2279</v>
      </c>
    </row>
    <row r="313" spans="1:20" x14ac:dyDescent="0.35">
      <c r="A313" s="7" t="s">
        <v>415</v>
      </c>
      <c r="B313" s="12" t="s">
        <v>136</v>
      </c>
      <c r="C313">
        <v>26445482.005443376</v>
      </c>
      <c r="D313">
        <v>30000383.488435332</v>
      </c>
      <c r="G313">
        <v>4</v>
      </c>
      <c r="K313">
        <v>5</v>
      </c>
      <c r="M313">
        <v>756756.75675675704</v>
      </c>
      <c r="N313">
        <v>1558558.5585585581</v>
      </c>
      <c r="O313">
        <v>2659747.7477477482</v>
      </c>
      <c r="P313">
        <v>4136981.981981982</v>
      </c>
      <c r="Q313">
        <v>747297.29729729705</v>
      </c>
      <c r="R313">
        <v>1899099.0990990989</v>
      </c>
      <c r="S313">
        <v>921</v>
      </c>
      <c r="T313">
        <v>996</v>
      </c>
    </row>
    <row r="314" spans="1:20" x14ac:dyDescent="0.35">
      <c r="A314" s="7" t="s">
        <v>416</v>
      </c>
      <c r="B314" s="12" t="s">
        <v>295</v>
      </c>
      <c r="C314">
        <v>14400818.405894356</v>
      </c>
      <c r="D314">
        <v>15629711.120729752</v>
      </c>
      <c r="E314">
        <v>334234.23423423502</v>
      </c>
      <c r="F314">
        <v>31531.531531532</v>
      </c>
      <c r="G314">
        <v>8</v>
      </c>
      <c r="H314">
        <v>2</v>
      </c>
      <c r="K314">
        <v>8</v>
      </c>
      <c r="L314">
        <v>2</v>
      </c>
      <c r="M314">
        <v>3120720.7207207209</v>
      </c>
      <c r="N314">
        <v>1878378.3783783789</v>
      </c>
      <c r="O314">
        <v>2514063.0630630632</v>
      </c>
      <c r="P314">
        <v>3065432.4324324322</v>
      </c>
      <c r="Q314">
        <v>1998828.8288288279</v>
      </c>
      <c r="R314">
        <v>822972.97297297302</v>
      </c>
      <c r="S314">
        <v>827</v>
      </c>
      <c r="T314">
        <v>955</v>
      </c>
    </row>
    <row r="315" spans="1:20" x14ac:dyDescent="0.35">
      <c r="A315" s="7" t="s">
        <v>417</v>
      </c>
      <c r="B315" s="12" t="s">
        <v>180</v>
      </c>
      <c r="C315">
        <v>256404219.73379877</v>
      </c>
      <c r="D315">
        <v>270757457.59442216</v>
      </c>
      <c r="E315">
        <v>840540.54054054106</v>
      </c>
      <c r="F315">
        <v>2763963.963963964</v>
      </c>
      <c r="G315">
        <v>45</v>
      </c>
      <c r="H315">
        <v>35</v>
      </c>
      <c r="K315">
        <v>151</v>
      </c>
      <c r="L315">
        <v>41</v>
      </c>
      <c r="M315">
        <v>29564945.945945948</v>
      </c>
      <c r="N315">
        <v>30276576.576576572</v>
      </c>
      <c r="O315">
        <v>89282657.657657668</v>
      </c>
      <c r="P315">
        <v>98926304.504504517</v>
      </c>
      <c r="Q315">
        <v>24111801.801801801</v>
      </c>
      <c r="R315">
        <v>33545855.855855852</v>
      </c>
      <c r="S315">
        <v>9539</v>
      </c>
      <c r="T315">
        <v>9621</v>
      </c>
    </row>
    <row r="316" spans="1:20" x14ac:dyDescent="0.35">
      <c r="A316" s="7" t="s">
        <v>418</v>
      </c>
      <c r="B316" s="12" t="s">
        <v>55</v>
      </c>
      <c r="C316">
        <v>484540956.65702456</v>
      </c>
      <c r="D316">
        <v>483785704.62226003</v>
      </c>
      <c r="E316">
        <v>108807404.50450452</v>
      </c>
      <c r="F316">
        <v>146961609.90990993</v>
      </c>
      <c r="G316">
        <v>109</v>
      </c>
      <c r="H316">
        <v>92</v>
      </c>
      <c r="K316">
        <v>177</v>
      </c>
      <c r="L316">
        <v>128</v>
      </c>
      <c r="M316">
        <v>34665765.765765771</v>
      </c>
      <c r="N316">
        <v>35077477.477477483</v>
      </c>
      <c r="O316">
        <v>100423315.31531531</v>
      </c>
      <c r="P316">
        <v>101368477.47747748</v>
      </c>
      <c r="Q316">
        <v>29262522.52252252</v>
      </c>
      <c r="R316">
        <v>33609279.279279277</v>
      </c>
      <c r="S316">
        <v>19757</v>
      </c>
      <c r="T316">
        <v>18728</v>
      </c>
    </row>
    <row r="317" spans="1:20" x14ac:dyDescent="0.35">
      <c r="A317" s="7" t="s">
        <v>419</v>
      </c>
      <c r="B317" s="12" t="s">
        <v>228</v>
      </c>
      <c r="C317">
        <v>234912963.55398998</v>
      </c>
      <c r="D317">
        <v>294150806.53429341</v>
      </c>
      <c r="E317">
        <v>927027.02702703199</v>
      </c>
      <c r="F317">
        <v>1741441.441441444</v>
      </c>
      <c r="G317">
        <v>67</v>
      </c>
      <c r="H317">
        <v>53</v>
      </c>
      <c r="K317">
        <v>86</v>
      </c>
      <c r="L317">
        <v>76</v>
      </c>
      <c r="M317">
        <v>24060360.360360362</v>
      </c>
      <c r="N317">
        <v>36381981.981981985</v>
      </c>
      <c r="O317">
        <v>71535097.297297299</v>
      </c>
      <c r="P317">
        <v>87018378.378378391</v>
      </c>
      <c r="Q317">
        <v>28865268.468468469</v>
      </c>
      <c r="R317">
        <v>33956036.036036037</v>
      </c>
      <c r="S317">
        <v>14082</v>
      </c>
      <c r="T317">
        <v>13687</v>
      </c>
    </row>
    <row r="318" spans="1:20" x14ac:dyDescent="0.35">
      <c r="A318" s="7" t="s">
        <v>420</v>
      </c>
      <c r="B318" s="12" t="s">
        <v>421</v>
      </c>
      <c r="C318">
        <v>97267462.091251373</v>
      </c>
      <c r="D318">
        <v>92891371.0656147</v>
      </c>
      <c r="E318">
        <v>193243.24324324599</v>
      </c>
      <c r="F318">
        <v>461261.261261262</v>
      </c>
      <c r="G318">
        <v>4</v>
      </c>
      <c r="H318">
        <v>4</v>
      </c>
      <c r="K318">
        <v>6</v>
      </c>
      <c r="L318">
        <v>4</v>
      </c>
      <c r="M318">
        <v>2530990.990990994</v>
      </c>
      <c r="N318">
        <v>2688738.738738738</v>
      </c>
      <c r="O318">
        <v>36958504.504504502</v>
      </c>
      <c r="P318">
        <v>41807576.576576576</v>
      </c>
      <c r="Q318">
        <v>1992702.702702703</v>
      </c>
      <c r="R318">
        <v>1579279.27927928</v>
      </c>
      <c r="S318">
        <v>3929</v>
      </c>
      <c r="T318">
        <v>4021</v>
      </c>
    </row>
    <row r="319" spans="1:20" x14ac:dyDescent="0.35">
      <c r="A319" s="7" t="s">
        <v>422</v>
      </c>
      <c r="B319" s="12" t="s">
        <v>218</v>
      </c>
      <c r="C319">
        <v>617479507.48926258</v>
      </c>
      <c r="D319">
        <v>579008615.1947118</v>
      </c>
      <c r="E319">
        <v>317420416.21621621</v>
      </c>
      <c r="F319">
        <v>202587382.88288289</v>
      </c>
      <c r="G319">
        <v>819</v>
      </c>
      <c r="H319">
        <v>233</v>
      </c>
      <c r="I319">
        <v>1</v>
      </c>
      <c r="K319">
        <v>896</v>
      </c>
      <c r="L319">
        <v>542</v>
      </c>
      <c r="M319">
        <v>93140720.720720723</v>
      </c>
      <c r="N319">
        <v>66611261.261261262</v>
      </c>
      <c r="O319">
        <v>285475577.47747749</v>
      </c>
      <c r="P319">
        <v>256542684.68468466</v>
      </c>
      <c r="Q319">
        <v>85736216.216216207</v>
      </c>
      <c r="R319">
        <v>69919729.729729727</v>
      </c>
      <c r="S319">
        <v>23803</v>
      </c>
      <c r="T319">
        <v>23824</v>
      </c>
    </row>
    <row r="320" spans="1:20" x14ac:dyDescent="0.35">
      <c r="A320" s="7" t="s">
        <v>423</v>
      </c>
      <c r="B320" s="12" t="s">
        <v>421</v>
      </c>
      <c r="C320">
        <v>54296487.933535136</v>
      </c>
      <c r="D320">
        <v>50252673.173598528</v>
      </c>
      <c r="E320">
        <v>126576.57657657799</v>
      </c>
      <c r="F320">
        <v>1469369.369369369</v>
      </c>
      <c r="G320">
        <v>13</v>
      </c>
      <c r="H320">
        <v>5</v>
      </c>
      <c r="K320">
        <v>18</v>
      </c>
      <c r="L320">
        <v>6</v>
      </c>
      <c r="M320">
        <v>9247747.7477477472</v>
      </c>
      <c r="N320">
        <v>9302252.2522522528</v>
      </c>
      <c r="O320">
        <v>20020198.198198199</v>
      </c>
      <c r="P320">
        <v>20332423.423423424</v>
      </c>
      <c r="Q320">
        <v>7177837.8378378386</v>
      </c>
      <c r="R320">
        <v>7724414.4144144142</v>
      </c>
      <c r="S320">
        <v>2909</v>
      </c>
      <c r="T320">
        <v>3097</v>
      </c>
    </row>
    <row r="321" spans="1:20" x14ac:dyDescent="0.35">
      <c r="A321" s="7" t="s">
        <v>424</v>
      </c>
      <c r="B321" s="12" t="s">
        <v>240</v>
      </c>
      <c r="C321">
        <v>382203241.96049261</v>
      </c>
      <c r="D321">
        <v>404791640.65679532</v>
      </c>
      <c r="E321">
        <v>8044381.9819819843</v>
      </c>
      <c r="F321">
        <v>36276336.936936937</v>
      </c>
      <c r="G321">
        <v>94</v>
      </c>
      <c r="H321">
        <v>111</v>
      </c>
      <c r="K321">
        <v>203</v>
      </c>
      <c r="L321">
        <v>250</v>
      </c>
      <c r="M321">
        <v>62872972.972972967</v>
      </c>
      <c r="N321">
        <v>45632882.882882878</v>
      </c>
      <c r="O321">
        <v>93406666.666666672</v>
      </c>
      <c r="P321">
        <v>105300962.16216215</v>
      </c>
      <c r="Q321">
        <v>41125315.315315314</v>
      </c>
      <c r="R321">
        <v>31174324.324324325</v>
      </c>
      <c r="S321">
        <v>10852</v>
      </c>
      <c r="T321">
        <v>11197</v>
      </c>
    </row>
    <row r="322" spans="1:20" x14ac:dyDescent="0.35">
      <c r="A322" s="7" t="s">
        <v>425</v>
      </c>
      <c r="B322" s="12" t="s">
        <v>119</v>
      </c>
      <c r="C322">
        <v>371055350.3476665</v>
      </c>
      <c r="D322">
        <v>383817133.73289716</v>
      </c>
      <c r="E322">
        <v>207856248.64864868</v>
      </c>
      <c r="F322">
        <v>225543808.1081081</v>
      </c>
      <c r="G322">
        <v>152</v>
      </c>
      <c r="H322">
        <v>172</v>
      </c>
      <c r="I322">
        <v>1</v>
      </c>
      <c r="K322">
        <v>561</v>
      </c>
      <c r="L322">
        <v>294</v>
      </c>
      <c r="M322">
        <v>91333324.32432434</v>
      </c>
      <c r="N322">
        <v>99465317.117117122</v>
      </c>
      <c r="O322">
        <v>168713322.52252254</v>
      </c>
      <c r="P322">
        <v>191728288.2882883</v>
      </c>
      <c r="Q322">
        <v>88825405.405405402</v>
      </c>
      <c r="R322">
        <v>103957837.83783783</v>
      </c>
      <c r="S322">
        <v>17649</v>
      </c>
      <c r="T322">
        <v>18707</v>
      </c>
    </row>
    <row r="323" spans="1:20" x14ac:dyDescent="0.35">
      <c r="A323" s="7" t="s">
        <v>426</v>
      </c>
      <c r="B323" s="12" t="s">
        <v>149</v>
      </c>
      <c r="C323">
        <v>8733117.4013405982</v>
      </c>
      <c r="D323">
        <v>10550705.279145174</v>
      </c>
      <c r="G323">
        <v>2</v>
      </c>
      <c r="H323">
        <v>3</v>
      </c>
      <c r="K323">
        <v>2</v>
      </c>
      <c r="L323">
        <v>3</v>
      </c>
      <c r="O323">
        <v>3335621.6216216208</v>
      </c>
      <c r="P323">
        <v>3730216.2162162159</v>
      </c>
      <c r="S323">
        <v>485</v>
      </c>
      <c r="T323">
        <v>498</v>
      </c>
    </row>
    <row r="324" spans="1:20" x14ac:dyDescent="0.35">
      <c r="A324" s="7" t="s">
        <v>427</v>
      </c>
      <c r="B324" s="12" t="s">
        <v>309</v>
      </c>
      <c r="C324">
        <v>82138624.978238389</v>
      </c>
      <c r="D324">
        <v>76080614.936033323</v>
      </c>
      <c r="E324">
        <v>1557882.882882881</v>
      </c>
      <c r="F324">
        <v>1805405.4054054071</v>
      </c>
      <c r="G324">
        <v>41</v>
      </c>
      <c r="H324">
        <v>29</v>
      </c>
      <c r="K324">
        <v>46</v>
      </c>
      <c r="L324">
        <v>36</v>
      </c>
      <c r="M324">
        <v>12484684.684684685</v>
      </c>
      <c r="N324">
        <v>18535135.135135137</v>
      </c>
      <c r="O324">
        <v>16251570.270270269</v>
      </c>
      <c r="P324">
        <v>17065216.216216218</v>
      </c>
      <c r="Q324">
        <v>14294594.594594594</v>
      </c>
      <c r="R324">
        <v>16210180.180180181</v>
      </c>
      <c r="S324">
        <v>2378</v>
      </c>
      <c r="T324">
        <v>2182</v>
      </c>
    </row>
    <row r="325" spans="1:20" x14ac:dyDescent="0.35">
      <c r="A325" s="7" t="s">
        <v>428</v>
      </c>
      <c r="B325" s="12" t="s">
        <v>309</v>
      </c>
      <c r="C325">
        <v>94821131.826294661</v>
      </c>
      <c r="D325">
        <v>94959202.261868209</v>
      </c>
      <c r="E325">
        <v>1842117.1171171151</v>
      </c>
      <c r="F325">
        <v>2808108.1081081098</v>
      </c>
      <c r="G325">
        <v>55</v>
      </c>
      <c r="H325">
        <v>168</v>
      </c>
      <c r="K325">
        <v>120</v>
      </c>
      <c r="L325">
        <v>563</v>
      </c>
      <c r="M325">
        <v>19853153.153153151</v>
      </c>
      <c r="N325">
        <v>17222522.522522517</v>
      </c>
      <c r="O325">
        <v>20796558.558558557</v>
      </c>
      <c r="P325">
        <v>36344176.576576576</v>
      </c>
      <c r="Q325">
        <v>13730810.810810804</v>
      </c>
      <c r="R325">
        <v>14766306.306306306</v>
      </c>
      <c r="S325">
        <v>3001</v>
      </c>
      <c r="T325">
        <v>2948</v>
      </c>
    </row>
    <row r="326" spans="1:20" x14ac:dyDescent="0.35">
      <c r="A326" s="7" t="s">
        <v>429</v>
      </c>
      <c r="B326" s="12" t="s">
        <v>123</v>
      </c>
      <c r="C326">
        <v>3588883.3144116849</v>
      </c>
      <c r="D326">
        <v>5487313.814592394</v>
      </c>
      <c r="E326">
        <v>13513.513513514001</v>
      </c>
      <c r="G326">
        <v>2</v>
      </c>
      <c r="H326">
        <v>2</v>
      </c>
      <c r="K326">
        <v>3</v>
      </c>
      <c r="L326">
        <v>2</v>
      </c>
      <c r="M326">
        <v>13513.513513514001</v>
      </c>
      <c r="O326">
        <v>274900.900900901</v>
      </c>
      <c r="P326">
        <v>335135.13513513497</v>
      </c>
      <c r="R326">
        <v>82432.432432432004</v>
      </c>
      <c r="S326">
        <v>331</v>
      </c>
      <c r="T326">
        <v>234</v>
      </c>
    </row>
    <row r="327" spans="1:20" x14ac:dyDescent="0.35">
      <c r="A327" s="7" t="s">
        <v>430</v>
      </c>
      <c r="B327" s="12" t="s">
        <v>61</v>
      </c>
      <c r="C327">
        <v>46538454.245410815</v>
      </c>
      <c r="D327">
        <v>48101395.08682701</v>
      </c>
      <c r="E327">
        <v>718018.01801801904</v>
      </c>
      <c r="F327">
        <v>609909.90990991006</v>
      </c>
      <c r="G327">
        <v>32</v>
      </c>
      <c r="H327">
        <v>13</v>
      </c>
      <c r="I327">
        <v>4</v>
      </c>
      <c r="K327">
        <v>35</v>
      </c>
      <c r="L327">
        <v>14</v>
      </c>
      <c r="M327">
        <v>11013513.513513513</v>
      </c>
      <c r="N327">
        <v>9732432.4324324336</v>
      </c>
      <c r="O327">
        <v>16414630.630630633</v>
      </c>
      <c r="P327">
        <v>17695207.207207207</v>
      </c>
      <c r="Q327">
        <v>9850090.0900900885</v>
      </c>
      <c r="R327">
        <v>11255675.675675675</v>
      </c>
      <c r="S327">
        <v>2095</v>
      </c>
      <c r="T327">
        <v>2851</v>
      </c>
    </row>
    <row r="328" spans="1:20" x14ac:dyDescent="0.35">
      <c r="A328" s="7" t="s">
        <v>431</v>
      </c>
      <c r="B328" s="12" t="s">
        <v>183</v>
      </c>
      <c r="C328">
        <v>472183422.4891026</v>
      </c>
      <c r="D328">
        <v>503128956.45885092</v>
      </c>
      <c r="E328">
        <v>5450450.4504504548</v>
      </c>
      <c r="F328">
        <v>4103603.603603607</v>
      </c>
      <c r="G328">
        <v>167</v>
      </c>
      <c r="H328">
        <v>180</v>
      </c>
      <c r="I328">
        <v>1</v>
      </c>
      <c r="K328">
        <v>242</v>
      </c>
      <c r="L328">
        <v>227</v>
      </c>
      <c r="M328">
        <v>65272972.972972967</v>
      </c>
      <c r="N328">
        <v>58656621.621621609</v>
      </c>
      <c r="O328">
        <v>139992729.72972974</v>
      </c>
      <c r="P328">
        <v>144692738.73873875</v>
      </c>
      <c r="Q328">
        <v>60491081.081081077</v>
      </c>
      <c r="R328">
        <v>60820720.720720723</v>
      </c>
      <c r="S328">
        <v>21416</v>
      </c>
      <c r="T328">
        <v>21652</v>
      </c>
    </row>
    <row r="329" spans="1:20" x14ac:dyDescent="0.35">
      <c r="A329" s="7" t="s">
        <v>432</v>
      </c>
      <c r="B329" s="12" t="s">
        <v>77</v>
      </c>
      <c r="C329">
        <v>14121097.427330928</v>
      </c>
      <c r="D329">
        <v>13599344.276437633</v>
      </c>
      <c r="E329">
        <v>13513.513513514001</v>
      </c>
      <c r="F329">
        <v>85585.585585585999</v>
      </c>
      <c r="H329">
        <v>3</v>
      </c>
      <c r="L329">
        <v>3</v>
      </c>
      <c r="M329">
        <v>914414.41441441397</v>
      </c>
      <c r="N329">
        <v>986486.48648648697</v>
      </c>
      <c r="O329">
        <v>1290792.7927927929</v>
      </c>
      <c r="P329">
        <v>2648243.2432432431</v>
      </c>
      <c r="Q329">
        <v>1113963.963963964</v>
      </c>
      <c r="R329">
        <v>1461261.2612612611</v>
      </c>
      <c r="S329">
        <v>789</v>
      </c>
      <c r="T329">
        <v>882</v>
      </c>
    </row>
    <row r="330" spans="1:20" x14ac:dyDescent="0.35">
      <c r="A330" s="7" t="s">
        <v>433</v>
      </c>
      <c r="B330" s="12" t="s">
        <v>77</v>
      </c>
      <c r="C330">
        <v>55442826.627979733</v>
      </c>
      <c r="D330">
        <v>56038333.605100483</v>
      </c>
      <c r="E330">
        <v>99099.0990991</v>
      </c>
      <c r="F330">
        <v>735135.13513513503</v>
      </c>
      <c r="G330">
        <v>11</v>
      </c>
      <c r="H330">
        <v>14</v>
      </c>
      <c r="K330">
        <v>13</v>
      </c>
      <c r="L330">
        <v>14</v>
      </c>
      <c r="M330">
        <v>7047657.6576576577</v>
      </c>
      <c r="N330">
        <v>8918918.9189189188</v>
      </c>
      <c r="O330">
        <v>12901108.108108109</v>
      </c>
      <c r="P330">
        <v>13859369.369369367</v>
      </c>
      <c r="Q330">
        <v>5992702.702702702</v>
      </c>
      <c r="R330">
        <v>5456756.7567567574</v>
      </c>
      <c r="S330">
        <v>1466</v>
      </c>
      <c r="T330">
        <v>1456</v>
      </c>
    </row>
    <row r="331" spans="1:20" x14ac:dyDescent="0.35">
      <c r="A331" s="7" t="s">
        <v>434</v>
      </c>
      <c r="B331" s="12" t="s">
        <v>336</v>
      </c>
      <c r="C331">
        <v>269961464.61295521</v>
      </c>
      <c r="D331">
        <v>265101083.60227191</v>
      </c>
      <c r="E331">
        <v>2164639.639639643</v>
      </c>
      <c r="F331">
        <v>625675.67567567597</v>
      </c>
      <c r="G331">
        <v>96</v>
      </c>
      <c r="H331">
        <v>81</v>
      </c>
      <c r="K331">
        <v>116</v>
      </c>
      <c r="L331">
        <v>101</v>
      </c>
      <c r="M331">
        <v>16570270.270270269</v>
      </c>
      <c r="N331">
        <v>25993153.153153151</v>
      </c>
      <c r="O331">
        <v>47485783.783783786</v>
      </c>
      <c r="P331">
        <v>51902927.927927926</v>
      </c>
      <c r="Q331">
        <v>10966936.936936935</v>
      </c>
      <c r="R331">
        <v>22607207.207207207</v>
      </c>
      <c r="S331">
        <v>11580</v>
      </c>
      <c r="T331">
        <v>11927</v>
      </c>
    </row>
    <row r="332" spans="1:20" x14ac:dyDescent="0.35">
      <c r="A332" s="7" t="s">
        <v>435</v>
      </c>
      <c r="B332" s="12" t="s">
        <v>245</v>
      </c>
      <c r="C332">
        <v>69881947.48908703</v>
      </c>
      <c r="D332">
        <v>67544008.922967941</v>
      </c>
      <c r="E332">
        <v>228828.82882883001</v>
      </c>
      <c r="F332">
        <v>261261.26126126101</v>
      </c>
      <c r="G332">
        <v>28</v>
      </c>
      <c r="H332">
        <v>20</v>
      </c>
      <c r="K332">
        <v>30</v>
      </c>
      <c r="L332">
        <v>21</v>
      </c>
      <c r="M332">
        <v>8071621.6216216199</v>
      </c>
      <c r="N332">
        <v>8308108.1081081061</v>
      </c>
      <c r="O332">
        <v>25592945.945945945</v>
      </c>
      <c r="P332">
        <v>27920711.711711712</v>
      </c>
      <c r="Q332">
        <v>7595855.8558558524</v>
      </c>
      <c r="R332">
        <v>10023333.333333332</v>
      </c>
      <c r="S332">
        <v>5277</v>
      </c>
      <c r="T332">
        <v>5465</v>
      </c>
    </row>
    <row r="333" spans="1:20" x14ac:dyDescent="0.35">
      <c r="A333" s="7" t="s">
        <v>436</v>
      </c>
      <c r="B333" s="12" t="s">
        <v>288</v>
      </c>
      <c r="C333">
        <v>30594793.984449372</v>
      </c>
      <c r="D333">
        <v>39644157.762373574</v>
      </c>
      <c r="E333">
        <v>466666.66666666802</v>
      </c>
      <c r="F333">
        <v>673873.87387387396</v>
      </c>
      <c r="G333">
        <v>3</v>
      </c>
      <c r="H333">
        <v>17</v>
      </c>
      <c r="K333">
        <v>26</v>
      </c>
      <c r="L333">
        <v>38</v>
      </c>
      <c r="M333">
        <v>10890090.090090092</v>
      </c>
      <c r="N333">
        <v>12565765.765765766</v>
      </c>
      <c r="O333">
        <v>6401108.1081081079</v>
      </c>
      <c r="P333">
        <v>9860072.072072072</v>
      </c>
      <c r="Q333">
        <v>11843693.693693694</v>
      </c>
      <c r="R333">
        <v>10524054.054054055</v>
      </c>
      <c r="S333">
        <v>1261</v>
      </c>
      <c r="T333">
        <v>1363</v>
      </c>
    </row>
    <row r="334" spans="1:20" x14ac:dyDescent="0.35">
      <c r="A334" s="7" t="s">
        <v>437</v>
      </c>
      <c r="B334" s="12" t="s">
        <v>288</v>
      </c>
      <c r="C334">
        <v>10100150.965800652</v>
      </c>
      <c r="D334">
        <v>10014972.820133178</v>
      </c>
      <c r="E334">
        <v>107765656.75675675</v>
      </c>
      <c r="F334">
        <v>67546230.630630627</v>
      </c>
      <c r="H334">
        <v>1</v>
      </c>
      <c r="L334">
        <v>1</v>
      </c>
      <c r="M334">
        <v>16113025.225225223</v>
      </c>
      <c r="N334">
        <v>14986015.315315315</v>
      </c>
      <c r="O334">
        <v>579369.369369369</v>
      </c>
      <c r="P334">
        <v>1001801.801801802</v>
      </c>
      <c r="Q334">
        <v>2856126.1261261259</v>
      </c>
      <c r="R334">
        <v>4395855.8558558552</v>
      </c>
      <c r="S334">
        <v>515</v>
      </c>
      <c r="T334">
        <v>495</v>
      </c>
    </row>
    <row r="335" spans="1:20" x14ac:dyDescent="0.35">
      <c r="A335" s="7" t="s">
        <v>438</v>
      </c>
      <c r="B335" s="12" t="s">
        <v>288</v>
      </c>
      <c r="C335">
        <v>21889722.933093887</v>
      </c>
      <c r="D335">
        <v>23568266.755385906</v>
      </c>
      <c r="E335">
        <v>189189.189189189</v>
      </c>
      <c r="F335">
        <v>900.900900901</v>
      </c>
      <c r="G335">
        <v>3</v>
      </c>
      <c r="K335">
        <v>4</v>
      </c>
      <c r="M335">
        <v>279279.279279279</v>
      </c>
      <c r="N335">
        <v>900.900900901</v>
      </c>
      <c r="O335">
        <v>2089279.2792792791</v>
      </c>
      <c r="P335">
        <v>2456891.8918918921</v>
      </c>
      <c r="Q335">
        <v>173423.423423423</v>
      </c>
      <c r="R335">
        <v>119549.54954955001</v>
      </c>
      <c r="S335">
        <v>803</v>
      </c>
      <c r="T335">
        <v>801</v>
      </c>
    </row>
    <row r="336" spans="1:20" x14ac:dyDescent="0.35">
      <c r="A336" s="7" t="s">
        <v>439</v>
      </c>
      <c r="B336" s="12" t="s">
        <v>79</v>
      </c>
      <c r="C336">
        <v>120516656.71745783</v>
      </c>
      <c r="D336">
        <v>131987549.21461377</v>
      </c>
      <c r="E336">
        <v>1198198.1981982</v>
      </c>
      <c r="F336">
        <v>1916216.2162162201</v>
      </c>
      <c r="G336">
        <v>81</v>
      </c>
      <c r="H336">
        <v>45</v>
      </c>
      <c r="K336">
        <v>131</v>
      </c>
      <c r="L336">
        <v>75</v>
      </c>
      <c r="M336">
        <v>8941441.4414414428</v>
      </c>
      <c r="N336">
        <v>14402702.702702707</v>
      </c>
      <c r="O336">
        <v>51354504.504504502</v>
      </c>
      <c r="P336">
        <v>57414639.639639638</v>
      </c>
      <c r="Q336">
        <v>10038018.01801802</v>
      </c>
      <c r="R336">
        <v>13745675.675675675</v>
      </c>
      <c r="S336">
        <v>6824</v>
      </c>
      <c r="T336">
        <v>6590</v>
      </c>
    </row>
    <row r="337" spans="1:20" x14ac:dyDescent="0.35">
      <c r="A337" s="7" t="s">
        <v>440</v>
      </c>
      <c r="B337" s="12" t="s">
        <v>106</v>
      </c>
      <c r="C337">
        <v>107099976.32351987</v>
      </c>
      <c r="D337">
        <v>111757810.6988364</v>
      </c>
      <c r="E337">
        <v>309009.009009008</v>
      </c>
      <c r="F337">
        <v>268468.46846846899</v>
      </c>
      <c r="G337">
        <v>10</v>
      </c>
      <c r="H337">
        <v>18</v>
      </c>
      <c r="I337">
        <v>1</v>
      </c>
      <c r="K337">
        <v>12</v>
      </c>
      <c r="L337">
        <v>21</v>
      </c>
      <c r="M337">
        <v>15285540.540540541</v>
      </c>
      <c r="N337">
        <v>9731531.5315315295</v>
      </c>
      <c r="O337">
        <v>25594945.945945945</v>
      </c>
      <c r="P337">
        <v>30889441.441441439</v>
      </c>
      <c r="Q337">
        <v>15933108.108108111</v>
      </c>
      <c r="R337">
        <v>12522072.072072072</v>
      </c>
      <c r="S337">
        <v>3544</v>
      </c>
      <c r="T337">
        <v>3151</v>
      </c>
    </row>
    <row r="338" spans="1:20" x14ac:dyDescent="0.35">
      <c r="A338" s="7" t="s">
        <v>441</v>
      </c>
      <c r="B338" s="12" t="s">
        <v>73</v>
      </c>
      <c r="C338">
        <v>603888735.13567936</v>
      </c>
      <c r="D338">
        <v>623691064.78610265</v>
      </c>
      <c r="E338">
        <v>4002702.7027027188</v>
      </c>
      <c r="F338">
        <v>3190990.9909909968</v>
      </c>
      <c r="G338">
        <v>158</v>
      </c>
      <c r="H338">
        <v>134</v>
      </c>
      <c r="I338">
        <v>2</v>
      </c>
      <c r="K338">
        <v>256</v>
      </c>
      <c r="L338">
        <v>182</v>
      </c>
      <c r="M338">
        <v>81838738.738738731</v>
      </c>
      <c r="N338">
        <v>94862162.162162155</v>
      </c>
      <c r="O338">
        <v>127948139.63963965</v>
      </c>
      <c r="P338">
        <v>141410072.07207206</v>
      </c>
      <c r="Q338">
        <v>65192072.072072074</v>
      </c>
      <c r="R338">
        <v>69304234.234234229</v>
      </c>
      <c r="S338">
        <v>18319</v>
      </c>
      <c r="T338">
        <v>18216</v>
      </c>
    </row>
    <row r="339" spans="1:20" x14ac:dyDescent="0.35">
      <c r="A339" s="7" t="s">
        <v>442</v>
      </c>
      <c r="B339" s="12" t="s">
        <v>73</v>
      </c>
      <c r="C339">
        <v>416075977.19819808</v>
      </c>
      <c r="D339">
        <v>436661833.45107549</v>
      </c>
      <c r="E339">
        <v>2752477.4774774839</v>
      </c>
      <c r="F339">
        <v>2958558.5585585609</v>
      </c>
      <c r="G339">
        <v>99</v>
      </c>
      <c r="H339">
        <v>68</v>
      </c>
      <c r="I339">
        <v>2</v>
      </c>
      <c r="K339">
        <v>109</v>
      </c>
      <c r="L339">
        <v>77</v>
      </c>
      <c r="M339">
        <v>42730630.630630627</v>
      </c>
      <c r="N339">
        <v>46345945.945945941</v>
      </c>
      <c r="O339">
        <v>78282531.531531543</v>
      </c>
      <c r="P339">
        <v>93381450.45045045</v>
      </c>
      <c r="Q339">
        <v>33831351.351351351</v>
      </c>
      <c r="R339">
        <v>35317747.747747749</v>
      </c>
      <c r="S339">
        <v>13922</v>
      </c>
      <c r="T339">
        <v>13959</v>
      </c>
    </row>
    <row r="340" spans="1:20" x14ac:dyDescent="0.35">
      <c r="A340" s="7" t="s">
        <v>443</v>
      </c>
      <c r="B340" s="12" t="s">
        <v>95</v>
      </c>
      <c r="C340">
        <v>29233880.55347665</v>
      </c>
      <c r="D340">
        <v>32009782.454978615</v>
      </c>
      <c r="G340">
        <v>1</v>
      </c>
      <c r="K340">
        <v>1</v>
      </c>
      <c r="L340">
        <v>1</v>
      </c>
      <c r="M340">
        <v>180180.18018018</v>
      </c>
      <c r="N340">
        <v>450450.45045045001</v>
      </c>
      <c r="O340">
        <v>6729405.405405405</v>
      </c>
      <c r="P340">
        <v>8639288.2882882878</v>
      </c>
      <c r="Q340">
        <v>132432.43243243199</v>
      </c>
      <c r="R340">
        <v>165315.31531531501</v>
      </c>
      <c r="S340">
        <v>2248</v>
      </c>
      <c r="T340">
        <v>908</v>
      </c>
    </row>
    <row r="341" spans="1:20" x14ac:dyDescent="0.35">
      <c r="A341" s="7" t="s">
        <v>444</v>
      </c>
      <c r="B341" s="12" t="s">
        <v>90</v>
      </c>
      <c r="C341">
        <v>152654707.77182913</v>
      </c>
      <c r="D341">
        <v>172836369.08387333</v>
      </c>
      <c r="E341">
        <v>1906306.3063063091</v>
      </c>
      <c r="F341">
        <v>1885585.585585587</v>
      </c>
      <c r="G341">
        <v>53</v>
      </c>
      <c r="H341">
        <v>17</v>
      </c>
      <c r="K341">
        <v>57</v>
      </c>
      <c r="L341">
        <v>20</v>
      </c>
      <c r="M341">
        <v>20199639.639639638</v>
      </c>
      <c r="N341">
        <v>21272972.97297297</v>
      </c>
      <c r="O341">
        <v>66846193.693693697</v>
      </c>
      <c r="P341">
        <v>79103531.531531543</v>
      </c>
      <c r="Q341">
        <v>20140990.990990993</v>
      </c>
      <c r="R341">
        <v>26021351.351351351</v>
      </c>
      <c r="S341">
        <v>5020</v>
      </c>
      <c r="T341">
        <v>5770</v>
      </c>
    </row>
    <row r="342" spans="1:20" x14ac:dyDescent="0.35">
      <c r="A342" s="7" t="s">
        <v>445</v>
      </c>
      <c r="B342" s="12" t="s">
        <v>71</v>
      </c>
      <c r="C342">
        <v>4578769.3475124193</v>
      </c>
      <c r="D342">
        <v>4369261.1816410692</v>
      </c>
      <c r="G342">
        <v>5</v>
      </c>
      <c r="H342">
        <v>2</v>
      </c>
      <c r="K342">
        <v>5</v>
      </c>
      <c r="L342">
        <v>2</v>
      </c>
      <c r="O342">
        <v>3012333.333333334</v>
      </c>
      <c r="P342">
        <v>2894450.4504504502</v>
      </c>
      <c r="S342">
        <v>2425</v>
      </c>
      <c r="T342">
        <v>2048</v>
      </c>
    </row>
    <row r="343" spans="1:20" x14ac:dyDescent="0.35">
      <c r="A343" s="7" t="s">
        <v>446</v>
      </c>
      <c r="B343" s="12" t="s">
        <v>198</v>
      </c>
      <c r="C343">
        <v>709115830.35576773</v>
      </c>
      <c r="D343">
        <v>734627674.15682995</v>
      </c>
      <c r="E343">
        <v>100642700</v>
      </c>
      <c r="F343">
        <v>132698517.11711712</v>
      </c>
      <c r="G343">
        <v>163</v>
      </c>
      <c r="H343">
        <v>72</v>
      </c>
      <c r="K343">
        <v>210</v>
      </c>
      <c r="L343">
        <v>155</v>
      </c>
      <c r="M343">
        <v>60683783.783783786</v>
      </c>
      <c r="N343">
        <v>66701126.126126125</v>
      </c>
      <c r="O343">
        <v>124251351.35135137</v>
      </c>
      <c r="P343">
        <v>128707286.48648649</v>
      </c>
      <c r="Q343">
        <v>56372162.16216217</v>
      </c>
      <c r="R343">
        <v>53207072.072072074</v>
      </c>
      <c r="S343">
        <v>22083</v>
      </c>
      <c r="T343">
        <v>20908</v>
      </c>
    </row>
    <row r="344" spans="1:20" x14ac:dyDescent="0.35">
      <c r="A344" s="7" t="s">
        <v>447</v>
      </c>
      <c r="B344" s="12" t="s">
        <v>180</v>
      </c>
      <c r="C344">
        <v>349262535.53728914</v>
      </c>
      <c r="D344">
        <v>351054000.12131292</v>
      </c>
      <c r="E344">
        <v>1406306.3063063091</v>
      </c>
      <c r="F344">
        <v>927027.02702703001</v>
      </c>
      <c r="G344">
        <v>39</v>
      </c>
      <c r="H344">
        <v>30</v>
      </c>
      <c r="K344">
        <v>84</v>
      </c>
      <c r="L344">
        <v>42</v>
      </c>
      <c r="M344">
        <v>64918593.693693697</v>
      </c>
      <c r="N344">
        <v>54089639.639639638</v>
      </c>
      <c r="O344">
        <v>142112319.81981984</v>
      </c>
      <c r="P344">
        <v>147071441.44144145</v>
      </c>
      <c r="Q344">
        <v>58405810.810810804</v>
      </c>
      <c r="R344">
        <v>49356216.216216221</v>
      </c>
      <c r="S344">
        <v>14349</v>
      </c>
      <c r="T344">
        <v>14686</v>
      </c>
    </row>
    <row r="345" spans="1:20" x14ac:dyDescent="0.35">
      <c r="A345" s="7" t="s">
        <v>448</v>
      </c>
      <c r="B345" s="12" t="s">
        <v>79</v>
      </c>
      <c r="C345">
        <v>154860966.83880913</v>
      </c>
      <c r="D345">
        <v>152925925.38749123</v>
      </c>
      <c r="E345">
        <v>2487387.3873873889</v>
      </c>
      <c r="F345">
        <v>2872972.9729729742</v>
      </c>
      <c r="G345">
        <v>34</v>
      </c>
      <c r="H345">
        <v>53</v>
      </c>
      <c r="K345">
        <v>46</v>
      </c>
      <c r="L345">
        <v>78</v>
      </c>
      <c r="M345">
        <v>14820720.72072072</v>
      </c>
      <c r="N345">
        <v>22692792.792792793</v>
      </c>
      <c r="O345">
        <v>31329495.495495494</v>
      </c>
      <c r="P345">
        <v>34311774.774774775</v>
      </c>
      <c r="Q345">
        <v>15473513.513513515</v>
      </c>
      <c r="R345">
        <v>18775225.225225225</v>
      </c>
      <c r="S345">
        <v>4869</v>
      </c>
      <c r="T345">
        <v>4761</v>
      </c>
    </row>
    <row r="346" spans="1:20" x14ac:dyDescent="0.35">
      <c r="A346" s="7" t="s">
        <v>449</v>
      </c>
      <c r="B346" s="12" t="s">
        <v>79</v>
      </c>
      <c r="C346">
        <v>63127603.078868911</v>
      </c>
      <c r="D346">
        <v>71029878.489883617</v>
      </c>
      <c r="E346">
        <v>1238738.7387387401</v>
      </c>
      <c r="F346">
        <v>1029729.729729734</v>
      </c>
      <c r="G346">
        <v>10</v>
      </c>
      <c r="H346">
        <v>11</v>
      </c>
      <c r="I346">
        <v>1</v>
      </c>
      <c r="K346">
        <v>12</v>
      </c>
      <c r="L346">
        <v>13</v>
      </c>
      <c r="M346">
        <v>14680180.180180181</v>
      </c>
      <c r="N346">
        <v>14783693.693693694</v>
      </c>
      <c r="O346">
        <v>13768315.315315315</v>
      </c>
      <c r="P346">
        <v>14602621.621621622</v>
      </c>
      <c r="Q346">
        <v>15565675.675675675</v>
      </c>
      <c r="R346">
        <v>11766936.936936937</v>
      </c>
      <c r="S346">
        <v>2233</v>
      </c>
      <c r="T346">
        <v>2323</v>
      </c>
    </row>
    <row r="347" spans="1:20" x14ac:dyDescent="0.35">
      <c r="A347" s="7" t="s">
        <v>450</v>
      </c>
      <c r="B347" s="12" t="s">
        <v>125</v>
      </c>
      <c r="C347">
        <v>1169477.5955594911</v>
      </c>
      <c r="D347">
        <v>478718.194276425</v>
      </c>
      <c r="O347">
        <v>456531.531531532</v>
      </c>
      <c r="P347">
        <v>184405.40540540501</v>
      </c>
      <c r="S347">
        <v>332</v>
      </c>
      <c r="T347">
        <v>322</v>
      </c>
    </row>
    <row r="348" spans="1:20" x14ac:dyDescent="0.35">
      <c r="A348" s="7" t="s">
        <v>451</v>
      </c>
      <c r="B348" s="12" t="s">
        <v>142</v>
      </c>
      <c r="C348">
        <v>156615968.57712761</v>
      </c>
      <c r="D348">
        <v>164463631.66946435</v>
      </c>
      <c r="E348">
        <v>560810.81081080902</v>
      </c>
      <c r="F348">
        <v>1504504.504504509</v>
      </c>
      <c r="G348">
        <v>29</v>
      </c>
      <c r="H348">
        <v>25</v>
      </c>
      <c r="I348">
        <v>5</v>
      </c>
      <c r="K348">
        <v>36</v>
      </c>
      <c r="L348">
        <v>34</v>
      </c>
      <c r="M348">
        <v>17629189.189189188</v>
      </c>
      <c r="N348">
        <v>17182612.612612613</v>
      </c>
      <c r="O348">
        <v>41868891.891891897</v>
      </c>
      <c r="P348">
        <v>46250711.711711712</v>
      </c>
      <c r="Q348">
        <v>14740450.450450448</v>
      </c>
      <c r="R348">
        <v>14812882.882882884</v>
      </c>
      <c r="S348">
        <v>5783</v>
      </c>
      <c r="T348">
        <v>5612</v>
      </c>
    </row>
    <row r="349" spans="1:20" x14ac:dyDescent="0.35">
      <c r="A349" s="7" t="s">
        <v>452</v>
      </c>
      <c r="B349" s="12" t="s">
        <v>77</v>
      </c>
      <c r="C349">
        <v>17312727.941363148</v>
      </c>
      <c r="D349">
        <v>15725604.631020367</v>
      </c>
      <c r="E349">
        <v>160360.36036036001</v>
      </c>
      <c r="F349">
        <v>69369.369369370004</v>
      </c>
      <c r="G349">
        <v>2</v>
      </c>
      <c r="H349">
        <v>1</v>
      </c>
      <c r="K349">
        <v>2</v>
      </c>
      <c r="L349">
        <v>1</v>
      </c>
      <c r="M349">
        <v>3358558.5585585581</v>
      </c>
      <c r="N349">
        <v>4168468.4684684682</v>
      </c>
      <c r="O349">
        <v>3674594.594594595</v>
      </c>
      <c r="P349">
        <v>4116693.6936936942</v>
      </c>
      <c r="Q349">
        <v>2386846.8468468469</v>
      </c>
      <c r="R349">
        <v>4244864.8648648653</v>
      </c>
      <c r="S349">
        <v>570</v>
      </c>
      <c r="T349">
        <v>574</v>
      </c>
    </row>
    <row r="350" spans="1:20" x14ac:dyDescent="0.35">
      <c r="A350" s="7" t="s">
        <v>453</v>
      </c>
      <c r="B350" s="12" t="s">
        <v>90</v>
      </c>
      <c r="C350">
        <v>479252805.34012347</v>
      </c>
      <c r="D350">
        <v>490264985.17721897</v>
      </c>
      <c r="E350">
        <v>402666264.86486489</v>
      </c>
      <c r="F350">
        <v>350691494.5945946</v>
      </c>
      <c r="G350">
        <v>103</v>
      </c>
      <c r="H350">
        <v>61</v>
      </c>
      <c r="I350">
        <v>3</v>
      </c>
      <c r="K350">
        <v>161</v>
      </c>
      <c r="L350">
        <v>139</v>
      </c>
      <c r="M350">
        <v>229118198.1981982</v>
      </c>
      <c r="N350">
        <v>61601351.351351351</v>
      </c>
      <c r="O350">
        <v>153051790.99099097</v>
      </c>
      <c r="P350">
        <v>158003036.03603604</v>
      </c>
      <c r="Q350">
        <v>124530450.45045045</v>
      </c>
      <c r="R350">
        <v>63226306.30630631</v>
      </c>
      <c r="S350">
        <v>16353</v>
      </c>
      <c r="T350">
        <v>16213</v>
      </c>
    </row>
    <row r="351" spans="1:20" x14ac:dyDescent="0.35">
      <c r="A351" s="7" t="s">
        <v>454</v>
      </c>
      <c r="B351" s="12" t="s">
        <v>49</v>
      </c>
      <c r="C351">
        <v>46364379.188261673</v>
      </c>
      <c r="D351">
        <v>49185666.108524404</v>
      </c>
      <c r="E351">
        <v>612612.61261261301</v>
      </c>
      <c r="F351">
        <v>500900.900900901</v>
      </c>
      <c r="G351">
        <v>3</v>
      </c>
      <c r="H351">
        <v>2</v>
      </c>
      <c r="K351">
        <v>4</v>
      </c>
      <c r="L351">
        <v>2</v>
      </c>
      <c r="M351">
        <v>6060540.5405405397</v>
      </c>
      <c r="N351">
        <v>8071171.1711711716</v>
      </c>
      <c r="O351">
        <v>15507918.918918921</v>
      </c>
      <c r="P351">
        <v>17565306.306306306</v>
      </c>
      <c r="Q351">
        <v>6091891.8918918911</v>
      </c>
      <c r="R351">
        <v>8965405.4054054059</v>
      </c>
      <c r="S351">
        <v>1058</v>
      </c>
      <c r="T351">
        <v>1093</v>
      </c>
    </row>
    <row r="352" spans="1:20" x14ac:dyDescent="0.35">
      <c r="A352" s="7" t="s">
        <v>455</v>
      </c>
      <c r="B352" s="12" t="s">
        <v>456</v>
      </c>
      <c r="C352">
        <v>91708818.046061665</v>
      </c>
      <c r="D352">
        <v>106366451.85344151</v>
      </c>
      <c r="E352">
        <v>1845045.0450450471</v>
      </c>
      <c r="F352">
        <v>916216.21621621598</v>
      </c>
      <c r="G352">
        <v>70</v>
      </c>
      <c r="H352">
        <v>36</v>
      </c>
      <c r="K352">
        <v>96</v>
      </c>
      <c r="L352">
        <v>59</v>
      </c>
      <c r="M352">
        <v>7477477.4774774788</v>
      </c>
      <c r="N352">
        <v>17520720.720720723</v>
      </c>
      <c r="O352">
        <v>38215396.396396399</v>
      </c>
      <c r="P352">
        <v>42041756.75675676</v>
      </c>
      <c r="Q352">
        <v>7559549.5495495526</v>
      </c>
      <c r="R352">
        <v>18181261.261261266</v>
      </c>
      <c r="S352">
        <v>5588</v>
      </c>
      <c r="T352">
        <v>5933</v>
      </c>
    </row>
    <row r="353" spans="1:20" x14ac:dyDescent="0.35">
      <c r="A353" s="7" t="s">
        <v>457</v>
      </c>
      <c r="B353" s="12" t="s">
        <v>77</v>
      </c>
      <c r="C353">
        <v>21772128.146700177</v>
      </c>
      <c r="D353">
        <v>24717788.757915691</v>
      </c>
      <c r="E353">
        <v>266666.66666666802</v>
      </c>
      <c r="F353">
        <v>135135.13513513599</v>
      </c>
      <c r="G353">
        <v>15</v>
      </c>
      <c r="H353">
        <v>11</v>
      </c>
      <c r="K353">
        <v>15</v>
      </c>
      <c r="L353">
        <v>13</v>
      </c>
      <c r="M353">
        <v>8220720.7207207195</v>
      </c>
      <c r="N353">
        <v>6187387.3873873856</v>
      </c>
      <c r="O353">
        <v>7912574.7747747749</v>
      </c>
      <c r="P353">
        <v>8306009.0090090092</v>
      </c>
      <c r="Q353">
        <v>5833333.3333333349</v>
      </c>
      <c r="R353">
        <v>4644324.3243243229</v>
      </c>
      <c r="S353">
        <v>2407</v>
      </c>
      <c r="T353">
        <v>1903</v>
      </c>
    </row>
    <row r="354" spans="1:20" x14ac:dyDescent="0.35">
      <c r="A354" s="7" t="s">
        <v>458</v>
      </c>
      <c r="B354" s="12" t="s">
        <v>84</v>
      </c>
      <c r="C354">
        <v>860044860.83923578</v>
      </c>
      <c r="D354">
        <v>917194049.05073452</v>
      </c>
      <c r="E354">
        <v>260399495.49549553</v>
      </c>
      <c r="F354">
        <v>270822291.8918919</v>
      </c>
      <c r="G354">
        <v>184</v>
      </c>
      <c r="H354">
        <v>106</v>
      </c>
      <c r="I354">
        <v>1</v>
      </c>
      <c r="K354">
        <v>221</v>
      </c>
      <c r="L354">
        <v>148</v>
      </c>
      <c r="M354">
        <v>107972072.07207207</v>
      </c>
      <c r="N354">
        <v>121958243.24324325</v>
      </c>
      <c r="O354">
        <v>181080954.95495495</v>
      </c>
      <c r="P354">
        <v>203702772.97297299</v>
      </c>
      <c r="Q354">
        <v>98659189.189189181</v>
      </c>
      <c r="R354">
        <v>114196621.62162161</v>
      </c>
      <c r="S354">
        <v>32348</v>
      </c>
      <c r="T354">
        <v>32001</v>
      </c>
    </row>
    <row r="355" spans="1:20" x14ac:dyDescent="0.35">
      <c r="A355" s="7" t="s">
        <v>459</v>
      </c>
      <c r="B355" s="12" t="s">
        <v>71</v>
      </c>
      <c r="C355">
        <v>55082709.021939673</v>
      </c>
      <c r="D355">
        <v>56466640.635542817</v>
      </c>
      <c r="E355">
        <v>76196396.396396399</v>
      </c>
      <c r="F355">
        <v>22139189.189189192</v>
      </c>
      <c r="G355">
        <v>9</v>
      </c>
      <c r="H355">
        <v>5</v>
      </c>
      <c r="K355">
        <v>9</v>
      </c>
      <c r="L355">
        <v>6</v>
      </c>
      <c r="M355">
        <v>16128603.603603603</v>
      </c>
      <c r="N355">
        <v>10981531.531531531</v>
      </c>
      <c r="O355">
        <v>33525081.081081081</v>
      </c>
      <c r="P355">
        <v>32283270.270270269</v>
      </c>
      <c r="Q355">
        <v>1026666.666666668</v>
      </c>
      <c r="R355">
        <v>1016216.216216217</v>
      </c>
      <c r="S355">
        <v>2728</v>
      </c>
      <c r="T355">
        <v>2727</v>
      </c>
    </row>
    <row r="356" spans="1:20" x14ac:dyDescent="0.35">
      <c r="A356" s="7" t="s">
        <v>460</v>
      </c>
      <c r="B356" s="12" t="s">
        <v>169</v>
      </c>
      <c r="C356">
        <v>66855370.933373019</v>
      </c>
      <c r="D356">
        <v>69958903.053033888</v>
      </c>
      <c r="E356">
        <v>495495.49549549498</v>
      </c>
      <c r="F356">
        <v>382882.88288288302</v>
      </c>
      <c r="G356">
        <v>4</v>
      </c>
      <c r="H356">
        <v>8</v>
      </c>
      <c r="K356">
        <v>4</v>
      </c>
      <c r="L356">
        <v>9</v>
      </c>
      <c r="M356">
        <v>720720.72072072001</v>
      </c>
      <c r="N356">
        <v>1734234.2342342341</v>
      </c>
      <c r="O356">
        <v>12358261.26126126</v>
      </c>
      <c r="P356">
        <v>15789720.72072072</v>
      </c>
      <c r="Q356">
        <v>2347027.0270270272</v>
      </c>
      <c r="R356">
        <v>2176666.666666666</v>
      </c>
      <c r="S356">
        <v>2794</v>
      </c>
      <c r="T356">
        <v>2887</v>
      </c>
    </row>
    <row r="357" spans="1:20" x14ac:dyDescent="0.35">
      <c r="A357" s="7" t="s">
        <v>461</v>
      </c>
      <c r="B357" s="12" t="s">
        <v>123</v>
      </c>
      <c r="C357">
        <v>2994251.8531429102</v>
      </c>
      <c r="D357">
        <v>3041233.6667042761</v>
      </c>
      <c r="E357">
        <v>34234.234234233998</v>
      </c>
      <c r="M357">
        <v>36036.036036035999</v>
      </c>
      <c r="O357">
        <v>266441.44144144101</v>
      </c>
      <c r="P357">
        <v>164594.59459459499</v>
      </c>
      <c r="S357">
        <v>190</v>
      </c>
      <c r="T357">
        <v>138</v>
      </c>
    </row>
    <row r="358" spans="1:20" x14ac:dyDescent="0.35">
      <c r="A358" s="7" t="s">
        <v>462</v>
      </c>
      <c r="B358" s="12" t="s">
        <v>228</v>
      </c>
      <c r="C358">
        <v>21277799.557169035</v>
      </c>
      <c r="D358">
        <v>25392569.421442233</v>
      </c>
      <c r="F358">
        <v>102680180.18018018</v>
      </c>
      <c r="K358">
        <v>1</v>
      </c>
      <c r="M358">
        <v>2136486.4864864862</v>
      </c>
      <c r="N358">
        <v>1351351.351351351</v>
      </c>
      <c r="O358">
        <v>4589450.4504504502</v>
      </c>
      <c r="P358">
        <v>7645963.963963964</v>
      </c>
      <c r="Q358">
        <v>138828.82882882899</v>
      </c>
      <c r="R358">
        <v>39819.819819819997</v>
      </c>
      <c r="S358">
        <v>1273</v>
      </c>
      <c r="T358">
        <v>2184</v>
      </c>
    </row>
    <row r="359" spans="1:20" x14ac:dyDescent="0.35">
      <c r="A359" s="7" t="s">
        <v>463</v>
      </c>
      <c r="B359" s="12" t="s">
        <v>95</v>
      </c>
      <c r="C359">
        <v>38248819.366615981</v>
      </c>
      <c r="D359">
        <v>45741882.098144248</v>
      </c>
      <c r="E359">
        <v>351351.351351352</v>
      </c>
      <c r="F359">
        <v>702702.70270270295</v>
      </c>
      <c r="G359">
        <v>13</v>
      </c>
      <c r="H359">
        <v>17</v>
      </c>
      <c r="K359">
        <v>15</v>
      </c>
      <c r="L359">
        <v>19</v>
      </c>
      <c r="M359">
        <v>15810810.810810812</v>
      </c>
      <c r="N359">
        <v>6342342.3423423423</v>
      </c>
      <c r="O359">
        <v>9237635.1351351365</v>
      </c>
      <c r="P359">
        <v>12812684.684684685</v>
      </c>
      <c r="Q359">
        <v>14971531.531531531</v>
      </c>
      <c r="R359">
        <v>7426036.036036036</v>
      </c>
      <c r="S359">
        <v>2020</v>
      </c>
      <c r="T359">
        <v>2130</v>
      </c>
    </row>
    <row r="360" spans="1:20" x14ac:dyDescent="0.35">
      <c r="A360" s="7" t="s">
        <v>464</v>
      </c>
      <c r="B360" s="12" t="s">
        <v>192</v>
      </c>
      <c r="F360">
        <v>1101840.5405405411</v>
      </c>
      <c r="N360">
        <v>6216216.2162162159</v>
      </c>
    </row>
    <row r="361" spans="1:20" x14ac:dyDescent="0.35">
      <c r="A361" s="7" t="s">
        <v>465</v>
      </c>
      <c r="B361" s="12" t="s">
        <v>61</v>
      </c>
      <c r="C361">
        <v>5121445.1750707841</v>
      </c>
      <c r="D361">
        <v>6586372.1251375619</v>
      </c>
      <c r="E361">
        <v>123423.423423424</v>
      </c>
      <c r="G361">
        <v>2</v>
      </c>
      <c r="H361">
        <v>2</v>
      </c>
      <c r="K361">
        <v>3</v>
      </c>
      <c r="L361">
        <v>3</v>
      </c>
      <c r="M361">
        <v>1159459.4594594589</v>
      </c>
      <c r="N361">
        <v>450450.45045045001</v>
      </c>
      <c r="O361">
        <v>2084000</v>
      </c>
      <c r="P361">
        <v>3688360.3603603612</v>
      </c>
      <c r="Q361">
        <v>578378.37837837799</v>
      </c>
      <c r="R361">
        <v>523783.78378378402</v>
      </c>
      <c r="S361">
        <v>525</v>
      </c>
      <c r="T361">
        <v>623</v>
      </c>
    </row>
    <row r="362" spans="1:20" x14ac:dyDescent="0.35">
      <c r="A362" s="7" t="s">
        <v>466</v>
      </c>
      <c r="B362" s="12" t="s">
        <v>218</v>
      </c>
      <c r="C362">
        <v>93089518.15596725</v>
      </c>
      <c r="D362">
        <v>91554223.463957116</v>
      </c>
      <c r="E362">
        <v>288288.28828828799</v>
      </c>
      <c r="G362">
        <v>20</v>
      </c>
      <c r="K362">
        <v>21</v>
      </c>
      <c r="M362">
        <v>828828.82882882899</v>
      </c>
      <c r="N362">
        <v>360360.36036036001</v>
      </c>
      <c r="O362">
        <v>47201972.972972974</v>
      </c>
      <c r="P362">
        <v>47994009.009009011</v>
      </c>
      <c r="Q362">
        <v>1704504.5045045051</v>
      </c>
      <c r="R362">
        <v>386306.30630630598</v>
      </c>
      <c r="S362">
        <v>3005</v>
      </c>
      <c r="T362">
        <v>3090</v>
      </c>
    </row>
    <row r="363" spans="1:20" x14ac:dyDescent="0.35">
      <c r="A363" s="7" t="s">
        <v>467</v>
      </c>
      <c r="B363" s="12" t="s">
        <v>468</v>
      </c>
      <c r="C363">
        <v>360445119.4288885</v>
      </c>
      <c r="D363">
        <v>402832698.00387806</v>
      </c>
      <c r="E363">
        <v>5813963.9639639705</v>
      </c>
      <c r="F363">
        <v>6599549.5495495554</v>
      </c>
      <c r="G363">
        <v>141</v>
      </c>
      <c r="H363">
        <v>134</v>
      </c>
      <c r="K363">
        <v>179</v>
      </c>
      <c r="L363">
        <v>227</v>
      </c>
      <c r="M363">
        <v>98249819.819819823</v>
      </c>
      <c r="N363">
        <v>96914054.054054052</v>
      </c>
      <c r="O363">
        <v>129475182.43243243</v>
      </c>
      <c r="P363">
        <v>149243151.35135135</v>
      </c>
      <c r="Q363">
        <v>70367657.657657668</v>
      </c>
      <c r="R363">
        <v>86563783.783783779</v>
      </c>
      <c r="S363">
        <v>24133</v>
      </c>
      <c r="T363">
        <v>25463</v>
      </c>
    </row>
    <row r="364" spans="1:20" x14ac:dyDescent="0.35">
      <c r="A364" s="7" t="s">
        <v>469</v>
      </c>
      <c r="B364" s="12" t="s">
        <v>468</v>
      </c>
      <c r="C364">
        <v>978486159.27337384</v>
      </c>
      <c r="D364">
        <v>1578334864.29845</v>
      </c>
      <c r="E364">
        <v>278124504.5045045</v>
      </c>
      <c r="F364">
        <v>117820720.72072072</v>
      </c>
      <c r="G364">
        <v>253</v>
      </c>
      <c r="H364">
        <v>232</v>
      </c>
      <c r="I364">
        <v>1</v>
      </c>
      <c r="K364">
        <v>317</v>
      </c>
      <c r="L364">
        <v>429</v>
      </c>
      <c r="M364">
        <v>70037297.297297284</v>
      </c>
      <c r="N364">
        <v>100335135.13513513</v>
      </c>
      <c r="O364">
        <v>543494860.36036038</v>
      </c>
      <c r="P364">
        <v>1105493423.4234233</v>
      </c>
      <c r="Q364">
        <v>57949729.729729719</v>
      </c>
      <c r="R364">
        <v>73574504.504504502</v>
      </c>
      <c r="S364">
        <v>31170</v>
      </c>
      <c r="T364">
        <v>30902</v>
      </c>
    </row>
    <row r="365" spans="1:20" x14ac:dyDescent="0.35">
      <c r="A365" s="7" t="s">
        <v>470</v>
      </c>
      <c r="B365" s="12" t="s">
        <v>468</v>
      </c>
      <c r="C365">
        <v>579894767.22072721</v>
      </c>
      <c r="D365">
        <v>603854361.47217834</v>
      </c>
      <c r="E365">
        <v>4700900.900900906</v>
      </c>
      <c r="F365">
        <v>2617117.1171171172</v>
      </c>
      <c r="G365">
        <v>145</v>
      </c>
      <c r="H365">
        <v>140</v>
      </c>
      <c r="I365">
        <v>6</v>
      </c>
      <c r="K365">
        <v>207</v>
      </c>
      <c r="L365">
        <v>266</v>
      </c>
      <c r="M365">
        <v>565210000</v>
      </c>
      <c r="N365">
        <v>976171171.17117119</v>
      </c>
      <c r="O365">
        <v>163057315.31531534</v>
      </c>
      <c r="P365">
        <v>173748043.24324322</v>
      </c>
      <c r="Q365">
        <v>92717927.927927941</v>
      </c>
      <c r="R365">
        <v>59192612.612612605</v>
      </c>
      <c r="S365">
        <v>22986</v>
      </c>
      <c r="T365">
        <v>22851</v>
      </c>
    </row>
    <row r="366" spans="1:20" x14ac:dyDescent="0.35">
      <c r="A366" s="7" t="s">
        <v>471</v>
      </c>
      <c r="B366" s="12" t="s">
        <v>468</v>
      </c>
      <c r="C366">
        <v>415475881.73149794</v>
      </c>
      <c r="D366">
        <v>399463972.10934895</v>
      </c>
      <c r="E366">
        <v>1748648.648648652</v>
      </c>
      <c r="F366">
        <v>2728828.8288288331</v>
      </c>
      <c r="G366">
        <v>111</v>
      </c>
      <c r="H366">
        <v>61</v>
      </c>
      <c r="K366">
        <v>145</v>
      </c>
      <c r="L366">
        <v>72</v>
      </c>
      <c r="M366">
        <v>70179459.459459454</v>
      </c>
      <c r="N366">
        <v>49975837.837837838</v>
      </c>
      <c r="O366">
        <v>95617396.396396399</v>
      </c>
      <c r="P366">
        <v>101373351.35135135</v>
      </c>
      <c r="Q366">
        <v>35531801.801801801</v>
      </c>
      <c r="R366">
        <v>41315225.225225225</v>
      </c>
      <c r="S366">
        <v>19051</v>
      </c>
      <c r="T366">
        <v>17435</v>
      </c>
    </row>
    <row r="367" spans="1:20" x14ac:dyDescent="0.35">
      <c r="A367" s="7" t="s">
        <v>472</v>
      </c>
      <c r="B367" s="12" t="s">
        <v>468</v>
      </c>
      <c r="C367">
        <v>408922341.51778245</v>
      </c>
      <c r="D367">
        <v>438445761.25769621</v>
      </c>
      <c r="E367">
        <v>6410135.1351351412</v>
      </c>
      <c r="F367">
        <v>3989639.6396396449</v>
      </c>
      <c r="G367">
        <v>206</v>
      </c>
      <c r="H367">
        <v>161</v>
      </c>
      <c r="K367">
        <v>269</v>
      </c>
      <c r="L367">
        <v>887</v>
      </c>
      <c r="M367">
        <v>133838198.1981982</v>
      </c>
      <c r="N367">
        <v>80780630.630630627</v>
      </c>
      <c r="O367">
        <v>162162860.36036035</v>
      </c>
      <c r="P367">
        <v>175052198.1981982</v>
      </c>
      <c r="Q367">
        <v>62837027.027027026</v>
      </c>
      <c r="R367">
        <v>56577927.927927926</v>
      </c>
      <c r="S367">
        <v>26270</v>
      </c>
      <c r="T367">
        <v>27034</v>
      </c>
    </row>
    <row r="368" spans="1:20" x14ac:dyDescent="0.35">
      <c r="A368" s="7" t="s">
        <v>473</v>
      </c>
      <c r="B368" s="12" t="s">
        <v>468</v>
      </c>
      <c r="C368">
        <v>470709938.89876789</v>
      </c>
      <c r="D368">
        <v>468429880.57866138</v>
      </c>
      <c r="E368">
        <v>1395664454.9549551</v>
      </c>
      <c r="F368">
        <v>992197119.81981981</v>
      </c>
      <c r="G368">
        <v>136</v>
      </c>
      <c r="H368">
        <v>75</v>
      </c>
      <c r="K368">
        <v>175</v>
      </c>
      <c r="L368">
        <v>96</v>
      </c>
      <c r="M368">
        <v>66101081.08108107</v>
      </c>
      <c r="N368">
        <v>73324324.324324325</v>
      </c>
      <c r="O368">
        <v>201211227.47747746</v>
      </c>
      <c r="P368">
        <v>211183972.97297296</v>
      </c>
      <c r="Q368">
        <v>64248828.828828834</v>
      </c>
      <c r="R368">
        <v>80860540.540540546</v>
      </c>
      <c r="S368">
        <v>28496</v>
      </c>
      <c r="T368">
        <v>30331</v>
      </c>
    </row>
    <row r="369" spans="1:20" x14ac:dyDescent="0.35">
      <c r="A369" s="7" t="s">
        <v>474</v>
      </c>
      <c r="B369" s="12" t="s">
        <v>55</v>
      </c>
      <c r="C369">
        <v>30025827.235719569</v>
      </c>
      <c r="D369">
        <v>32010670.242921542</v>
      </c>
      <c r="E369">
        <v>97297.297297298996</v>
      </c>
      <c r="F369">
        <v>43243.243243243</v>
      </c>
      <c r="G369">
        <v>6</v>
      </c>
      <c r="H369">
        <v>3</v>
      </c>
      <c r="K369">
        <v>9</v>
      </c>
      <c r="L369">
        <v>3</v>
      </c>
      <c r="M369">
        <v>2676396.3963963981</v>
      </c>
      <c r="N369">
        <v>3334054.054054054</v>
      </c>
      <c r="O369">
        <v>6220765.7657657648</v>
      </c>
      <c r="P369">
        <v>6513657.6576576577</v>
      </c>
      <c r="Q369">
        <v>2489819.8198198192</v>
      </c>
      <c r="R369">
        <v>2852792.7927927938</v>
      </c>
      <c r="S369">
        <v>1046</v>
      </c>
      <c r="T369">
        <v>1236</v>
      </c>
    </row>
    <row r="370" spans="1:20" x14ac:dyDescent="0.35">
      <c r="A370" s="7" t="s">
        <v>475</v>
      </c>
      <c r="B370" s="12" t="s">
        <v>88</v>
      </c>
      <c r="C370">
        <v>1172004.076593728</v>
      </c>
      <c r="D370">
        <v>1447686.9307746191</v>
      </c>
      <c r="H370">
        <v>1</v>
      </c>
      <c r="L370">
        <v>1</v>
      </c>
      <c r="O370">
        <v>283783.78378378402</v>
      </c>
      <c r="P370">
        <v>672522.52252252295</v>
      </c>
      <c r="S370">
        <v>90</v>
      </c>
      <c r="T370">
        <v>95</v>
      </c>
    </row>
    <row r="371" spans="1:20" x14ac:dyDescent="0.35">
      <c r="A371" s="7" t="s">
        <v>476</v>
      </c>
      <c r="B371" s="12" t="s">
        <v>145</v>
      </c>
      <c r="C371">
        <v>150245845.59716046</v>
      </c>
      <c r="D371">
        <v>168584230.07805228</v>
      </c>
      <c r="E371">
        <v>221621.621621623</v>
      </c>
      <c r="F371">
        <v>99099.099099098996</v>
      </c>
      <c r="G371">
        <v>43</v>
      </c>
      <c r="K371">
        <v>52</v>
      </c>
      <c r="M371">
        <v>7969369.3693693699</v>
      </c>
      <c r="N371">
        <v>11180180.180180181</v>
      </c>
      <c r="O371">
        <v>22936915.315315317</v>
      </c>
      <c r="P371">
        <v>32157700.9009009</v>
      </c>
      <c r="Q371">
        <v>5710360.3603603588</v>
      </c>
      <c r="R371">
        <v>7221845.0450450452</v>
      </c>
      <c r="S371">
        <v>5034</v>
      </c>
      <c r="T371">
        <v>5018</v>
      </c>
    </row>
    <row r="372" spans="1:20" x14ac:dyDescent="0.35">
      <c r="A372" s="7" t="s">
        <v>477</v>
      </c>
      <c r="B372" s="12" t="s">
        <v>81</v>
      </c>
      <c r="C372">
        <v>127625602.21769476</v>
      </c>
      <c r="D372">
        <v>123222974.44184591</v>
      </c>
      <c r="E372">
        <v>31081.081081082</v>
      </c>
      <c r="F372">
        <v>39639.639639640001</v>
      </c>
      <c r="G372">
        <v>19</v>
      </c>
      <c r="H372">
        <v>4</v>
      </c>
      <c r="K372">
        <v>22</v>
      </c>
      <c r="L372">
        <v>4</v>
      </c>
      <c r="M372">
        <v>3488738.7387387389</v>
      </c>
      <c r="N372">
        <v>3967567.5675675659</v>
      </c>
      <c r="O372">
        <v>47972207.20720721</v>
      </c>
      <c r="P372">
        <v>47915520.720720723</v>
      </c>
      <c r="Q372">
        <v>2230990.9909909922</v>
      </c>
      <c r="R372">
        <v>2275225.225225226</v>
      </c>
      <c r="S372">
        <v>5353</v>
      </c>
      <c r="T372">
        <v>5360</v>
      </c>
    </row>
    <row r="373" spans="1:20" x14ac:dyDescent="0.35">
      <c r="A373" s="7" t="s">
        <v>478</v>
      </c>
      <c r="B373" s="12" t="s">
        <v>479</v>
      </c>
      <c r="C373">
        <v>153256167.69474274</v>
      </c>
      <c r="D373">
        <v>152446916.50326425</v>
      </c>
      <c r="E373">
        <v>172706278.37837836</v>
      </c>
      <c r="F373">
        <v>100664386.48648648</v>
      </c>
      <c r="G373">
        <v>12</v>
      </c>
      <c r="H373">
        <v>12</v>
      </c>
      <c r="K373">
        <v>13</v>
      </c>
      <c r="L373">
        <v>15</v>
      </c>
      <c r="M373">
        <v>20694590.090090092</v>
      </c>
      <c r="N373">
        <v>18147639.639639638</v>
      </c>
      <c r="O373">
        <v>46714990.990990989</v>
      </c>
      <c r="P373">
        <v>51297518.918918923</v>
      </c>
      <c r="Q373">
        <v>13111261.261261262</v>
      </c>
      <c r="R373">
        <v>26535524.324324325</v>
      </c>
      <c r="S373">
        <v>5527</v>
      </c>
      <c r="T373">
        <v>5484</v>
      </c>
    </row>
    <row r="374" spans="1:20" x14ac:dyDescent="0.35">
      <c r="A374" s="7" t="s">
        <v>480</v>
      </c>
      <c r="B374" s="12" t="s">
        <v>479</v>
      </c>
      <c r="C374">
        <v>11636193.587724373</v>
      </c>
      <c r="D374">
        <v>13190700.729309596</v>
      </c>
      <c r="E374">
        <v>72072.072072071998</v>
      </c>
      <c r="F374">
        <v>27027.027027027001</v>
      </c>
      <c r="M374">
        <v>1765765.7657657659</v>
      </c>
      <c r="N374">
        <v>27027.027027027001</v>
      </c>
      <c r="O374">
        <v>1197567.567567568</v>
      </c>
      <c r="P374">
        <v>1305207.2072072071</v>
      </c>
      <c r="Q374">
        <v>1823423.4234234239</v>
      </c>
      <c r="S374">
        <v>656</v>
      </c>
      <c r="T374">
        <v>762</v>
      </c>
    </row>
    <row r="375" spans="1:20" x14ac:dyDescent="0.35">
      <c r="A375" s="7" t="s">
        <v>481</v>
      </c>
      <c r="B375" s="12" t="s">
        <v>479</v>
      </c>
      <c r="C375">
        <v>1641283.8736346241</v>
      </c>
      <c r="D375">
        <v>1753998.7109211099</v>
      </c>
      <c r="E375">
        <v>192792.79279279301</v>
      </c>
      <c r="F375">
        <v>144144.144144144</v>
      </c>
      <c r="M375">
        <v>1886486.4864864871</v>
      </c>
      <c r="N375">
        <v>144144.144144144</v>
      </c>
      <c r="O375">
        <v>375090.09009009</v>
      </c>
      <c r="P375">
        <v>325405.40540540498</v>
      </c>
      <c r="Q375">
        <v>1693693.693693694</v>
      </c>
      <c r="R375">
        <v>3725135.1351351351</v>
      </c>
      <c r="S375">
        <v>371</v>
      </c>
      <c r="T375">
        <v>494</v>
      </c>
    </row>
    <row r="376" spans="1:20" x14ac:dyDescent="0.35">
      <c r="A376" s="7" t="s">
        <v>482</v>
      </c>
      <c r="B376" s="12" t="s">
        <v>479</v>
      </c>
      <c r="C376">
        <v>55554940.767370746</v>
      </c>
      <c r="D376">
        <v>54327760.535412826</v>
      </c>
      <c r="E376">
        <v>219819.81981982</v>
      </c>
      <c r="F376">
        <v>260810.810810811</v>
      </c>
      <c r="G376">
        <v>8</v>
      </c>
      <c r="H376">
        <v>5</v>
      </c>
      <c r="K376">
        <v>9</v>
      </c>
      <c r="L376">
        <v>5</v>
      </c>
      <c r="M376">
        <v>2093693.693693694</v>
      </c>
      <c r="N376">
        <v>5756306.3063063072</v>
      </c>
      <c r="O376">
        <v>7958819.8198198201</v>
      </c>
      <c r="P376">
        <v>9332872.072072072</v>
      </c>
      <c r="Q376">
        <v>10881441.441441443</v>
      </c>
      <c r="R376">
        <v>5524954.9549549548</v>
      </c>
      <c r="S376">
        <v>2212</v>
      </c>
      <c r="T376">
        <v>2238</v>
      </c>
    </row>
    <row r="377" spans="1:20" x14ac:dyDescent="0.35">
      <c r="A377" s="7" t="s">
        <v>483</v>
      </c>
      <c r="B377" s="12" t="s">
        <v>479</v>
      </c>
      <c r="C377">
        <v>76431111.597241834</v>
      </c>
      <c r="D377">
        <v>74811803.308447123</v>
      </c>
      <c r="E377">
        <v>449549.54954954999</v>
      </c>
      <c r="F377">
        <v>468468.46846846899</v>
      </c>
      <c r="G377">
        <v>20</v>
      </c>
      <c r="H377">
        <v>4</v>
      </c>
      <c r="K377">
        <v>22</v>
      </c>
      <c r="L377">
        <v>4</v>
      </c>
      <c r="M377">
        <v>5981081.0810810812</v>
      </c>
      <c r="N377">
        <v>2270270.2702702698</v>
      </c>
      <c r="O377">
        <v>16991135.135135137</v>
      </c>
      <c r="P377">
        <v>18170009.009009007</v>
      </c>
      <c r="Q377">
        <v>6160180.1801801808</v>
      </c>
      <c r="R377">
        <v>8547657.6576576568</v>
      </c>
      <c r="S377">
        <v>2352</v>
      </c>
      <c r="T377">
        <v>2410</v>
      </c>
    </row>
    <row r="378" spans="1:20" x14ac:dyDescent="0.35">
      <c r="A378" s="7" t="s">
        <v>484</v>
      </c>
      <c r="B378" s="12" t="s">
        <v>479</v>
      </c>
      <c r="C378">
        <v>28616378.82642749</v>
      </c>
      <c r="D378">
        <v>28369659.355594587</v>
      </c>
      <c r="E378">
        <v>303603.60360360402</v>
      </c>
      <c r="F378">
        <v>269369.369369369</v>
      </c>
      <c r="G378">
        <v>3</v>
      </c>
      <c r="H378">
        <v>3</v>
      </c>
      <c r="K378">
        <v>3</v>
      </c>
      <c r="L378">
        <v>4</v>
      </c>
      <c r="M378">
        <v>5240540.5405405425</v>
      </c>
      <c r="N378">
        <v>1300900.9009009011</v>
      </c>
      <c r="O378">
        <v>5945691.891891893</v>
      </c>
      <c r="P378">
        <v>7196099.0990990987</v>
      </c>
      <c r="Q378">
        <v>4492432.4324324327</v>
      </c>
      <c r="R378">
        <v>6070540.5405405406</v>
      </c>
      <c r="S378">
        <v>1413</v>
      </c>
      <c r="T378">
        <v>1429</v>
      </c>
    </row>
    <row r="379" spans="1:20" x14ac:dyDescent="0.35">
      <c r="A379" s="7" t="s">
        <v>485</v>
      </c>
      <c r="B379" s="12" t="s">
        <v>479</v>
      </c>
      <c r="C379">
        <v>287851877.7222904</v>
      </c>
      <c r="D379">
        <v>303047251.97297603</v>
      </c>
      <c r="E379">
        <v>5593693.6936937021</v>
      </c>
      <c r="F379">
        <v>2128828.8288288321</v>
      </c>
      <c r="G379">
        <v>111</v>
      </c>
      <c r="H379">
        <v>182</v>
      </c>
      <c r="K379">
        <v>197</v>
      </c>
      <c r="L379">
        <v>211</v>
      </c>
      <c r="M379">
        <v>71711261.261261255</v>
      </c>
      <c r="N379">
        <v>44301621.621621624</v>
      </c>
      <c r="O379">
        <v>73947664.864864871</v>
      </c>
      <c r="P379">
        <v>83845445.045045033</v>
      </c>
      <c r="Q379">
        <v>70400180.180180177</v>
      </c>
      <c r="R379">
        <v>53504864.864864863</v>
      </c>
      <c r="S379">
        <v>16853</v>
      </c>
      <c r="T379">
        <v>16295</v>
      </c>
    </row>
    <row r="380" spans="1:20" x14ac:dyDescent="0.35">
      <c r="A380" s="7" t="s">
        <v>486</v>
      </c>
      <c r="B380" s="12" t="s">
        <v>264</v>
      </c>
      <c r="C380">
        <v>352357654.59778529</v>
      </c>
      <c r="D380">
        <v>346076192.30071962</v>
      </c>
      <c r="E380">
        <v>2194819.8198198201</v>
      </c>
      <c r="F380">
        <v>3364864.8648648672</v>
      </c>
      <c r="G380">
        <v>54</v>
      </c>
      <c r="H380">
        <v>39</v>
      </c>
      <c r="I380">
        <v>1</v>
      </c>
      <c r="K380">
        <v>58</v>
      </c>
      <c r="L380">
        <v>43</v>
      </c>
      <c r="M380">
        <v>45578378.378378376</v>
      </c>
      <c r="N380">
        <v>46346846.846846849</v>
      </c>
      <c r="O380">
        <v>91684833.333333328</v>
      </c>
      <c r="P380">
        <v>96657396.396396399</v>
      </c>
      <c r="Q380">
        <v>42721261.261261262</v>
      </c>
      <c r="R380">
        <v>45994684.684684686</v>
      </c>
      <c r="S380">
        <v>11188</v>
      </c>
      <c r="T380">
        <v>11655</v>
      </c>
    </row>
    <row r="381" spans="1:20" x14ac:dyDescent="0.35">
      <c r="A381" s="7" t="s">
        <v>487</v>
      </c>
      <c r="B381" s="12" t="s">
        <v>488</v>
      </c>
      <c r="C381">
        <v>21226447.893265177</v>
      </c>
      <c r="D381">
        <v>24021385.652688593</v>
      </c>
      <c r="E381">
        <v>40007812.612612613</v>
      </c>
      <c r="F381">
        <v>76873992.792792797</v>
      </c>
      <c r="G381">
        <v>6</v>
      </c>
      <c r="H381">
        <v>5</v>
      </c>
      <c r="K381">
        <v>7</v>
      </c>
      <c r="L381">
        <v>6</v>
      </c>
      <c r="M381">
        <v>9884978.3783783801</v>
      </c>
      <c r="N381">
        <v>5846036.036036036</v>
      </c>
      <c r="O381">
        <v>4869279.2792792805</v>
      </c>
      <c r="P381">
        <v>6052241.4414414419</v>
      </c>
      <c r="Q381">
        <v>9406306.3063063063</v>
      </c>
      <c r="R381">
        <v>6093873.8738738736</v>
      </c>
      <c r="S381">
        <v>615</v>
      </c>
      <c r="T381">
        <v>740</v>
      </c>
    </row>
    <row r="382" spans="1:20" x14ac:dyDescent="0.35">
      <c r="A382" s="7" t="s">
        <v>489</v>
      </c>
      <c r="B382" s="12" t="s">
        <v>125</v>
      </c>
      <c r="C382">
        <v>175588497.46215686</v>
      </c>
      <c r="D382">
        <v>178811012.20242417</v>
      </c>
      <c r="E382">
        <v>716216.21621621796</v>
      </c>
      <c r="F382">
        <v>977477.47747747705</v>
      </c>
      <c r="G382">
        <v>34</v>
      </c>
      <c r="H382">
        <v>17</v>
      </c>
      <c r="K382">
        <v>37</v>
      </c>
      <c r="L382">
        <v>20</v>
      </c>
      <c r="M382">
        <v>11014414.414414411</v>
      </c>
      <c r="N382">
        <v>9951351.3513513524</v>
      </c>
      <c r="O382">
        <v>65628004.504504502</v>
      </c>
      <c r="P382">
        <v>72734349.54954955</v>
      </c>
      <c r="Q382">
        <v>11516846.846846843</v>
      </c>
      <c r="R382">
        <v>10900180.180180181</v>
      </c>
      <c r="S382">
        <v>5561</v>
      </c>
      <c r="T382">
        <v>5441</v>
      </c>
    </row>
    <row r="383" spans="1:20" x14ac:dyDescent="0.35">
      <c r="A383" s="7" t="s">
        <v>490</v>
      </c>
      <c r="B383" s="12" t="s">
        <v>479</v>
      </c>
      <c r="C383">
        <v>14384409.476351812</v>
      </c>
      <c r="D383">
        <v>15073902.99797916</v>
      </c>
      <c r="E383">
        <v>69369.369369369</v>
      </c>
      <c r="F383">
        <v>270270.27027027</v>
      </c>
      <c r="G383">
        <v>2</v>
      </c>
      <c r="H383">
        <v>2</v>
      </c>
      <c r="K383">
        <v>3</v>
      </c>
      <c r="L383">
        <v>2</v>
      </c>
      <c r="M383">
        <v>970270.27027026995</v>
      </c>
      <c r="N383">
        <v>283783.78378378402</v>
      </c>
      <c r="O383">
        <v>2535270.2702702698</v>
      </c>
      <c r="P383">
        <v>2483783.7837837841</v>
      </c>
      <c r="Q383">
        <v>556936.93693693704</v>
      </c>
      <c r="R383">
        <v>674864.86486486404</v>
      </c>
      <c r="S383">
        <v>631</v>
      </c>
      <c r="T383">
        <v>627</v>
      </c>
    </row>
    <row r="384" spans="1:20" x14ac:dyDescent="0.35">
      <c r="A384" s="7" t="s">
        <v>491</v>
      </c>
      <c r="B384" s="12" t="s">
        <v>169</v>
      </c>
      <c r="C384">
        <v>145098124.34409654</v>
      </c>
      <c r="D384">
        <v>157861353.17319953</v>
      </c>
      <c r="E384">
        <v>6981981.9819819853</v>
      </c>
      <c r="F384">
        <v>23950450.450450446</v>
      </c>
      <c r="G384">
        <v>83</v>
      </c>
      <c r="H384">
        <v>6</v>
      </c>
      <c r="K384">
        <v>111</v>
      </c>
      <c r="L384">
        <v>12</v>
      </c>
      <c r="M384">
        <v>13034234.234234236</v>
      </c>
      <c r="N384">
        <v>12740315.315315315</v>
      </c>
      <c r="O384">
        <v>61813536.036036037</v>
      </c>
      <c r="P384">
        <v>62724657.657657653</v>
      </c>
      <c r="Q384">
        <v>14347927.92792793</v>
      </c>
      <c r="R384">
        <v>11911936.936936935</v>
      </c>
      <c r="S384">
        <v>8494</v>
      </c>
      <c r="T384">
        <v>10505</v>
      </c>
    </row>
    <row r="385" spans="1:20" x14ac:dyDescent="0.35">
      <c r="A385" s="7" t="s">
        <v>492</v>
      </c>
      <c r="B385" s="12" t="s">
        <v>169</v>
      </c>
      <c r="C385">
        <v>162184812.98115638</v>
      </c>
      <c r="D385">
        <v>176331705.99878848</v>
      </c>
      <c r="E385">
        <v>258477460.36036035</v>
      </c>
      <c r="F385">
        <v>230591595.4954955</v>
      </c>
      <c r="G385">
        <v>83</v>
      </c>
      <c r="H385">
        <v>25</v>
      </c>
      <c r="K385">
        <v>129</v>
      </c>
      <c r="L385">
        <v>92</v>
      </c>
      <c r="M385">
        <v>24949549.549549554</v>
      </c>
      <c r="N385">
        <v>20633333.333333336</v>
      </c>
      <c r="O385">
        <v>61489576.576576576</v>
      </c>
      <c r="P385">
        <v>67931214.414414421</v>
      </c>
      <c r="Q385">
        <v>23093286.486486487</v>
      </c>
      <c r="R385">
        <v>22363783.78378379</v>
      </c>
      <c r="S385">
        <v>9426</v>
      </c>
      <c r="T385">
        <v>9511</v>
      </c>
    </row>
    <row r="386" spans="1:20" x14ac:dyDescent="0.35">
      <c r="A386" s="7" t="s">
        <v>493</v>
      </c>
      <c r="B386" s="12" t="s">
        <v>51</v>
      </c>
      <c r="C386">
        <v>100696015.60158704</v>
      </c>
      <c r="D386">
        <v>106338462.4694619</v>
      </c>
      <c r="E386">
        <v>1171171.1711711739</v>
      </c>
      <c r="F386">
        <v>1492792.7927927959</v>
      </c>
      <c r="G386">
        <v>26</v>
      </c>
      <c r="H386">
        <v>15</v>
      </c>
      <c r="K386">
        <v>27</v>
      </c>
      <c r="L386">
        <v>20</v>
      </c>
      <c r="M386">
        <v>13897117.117117116</v>
      </c>
      <c r="N386">
        <v>15594774.774774777</v>
      </c>
      <c r="O386">
        <v>44176477.477477483</v>
      </c>
      <c r="P386">
        <v>47024522.522522517</v>
      </c>
      <c r="Q386">
        <v>12905585.585585585</v>
      </c>
      <c r="R386">
        <v>13689639.63963964</v>
      </c>
      <c r="S386">
        <v>3282</v>
      </c>
      <c r="T386">
        <v>3681</v>
      </c>
    </row>
    <row r="387" spans="1:20" x14ac:dyDescent="0.35">
      <c r="A387" s="7" t="s">
        <v>494</v>
      </c>
      <c r="B387" s="12" t="s">
        <v>136</v>
      </c>
      <c r="C387">
        <v>134616214.96493179</v>
      </c>
      <c r="D387">
        <v>143713554.95251143</v>
      </c>
      <c r="E387">
        <v>664864.86486486602</v>
      </c>
      <c r="F387">
        <v>783783.78378378402</v>
      </c>
      <c r="G387">
        <v>21</v>
      </c>
      <c r="H387">
        <v>33</v>
      </c>
      <c r="K387">
        <v>22</v>
      </c>
      <c r="L387">
        <v>41</v>
      </c>
      <c r="M387">
        <v>16695495.495495496</v>
      </c>
      <c r="N387">
        <v>27072972.97297297</v>
      </c>
      <c r="O387">
        <v>25875899.0990991</v>
      </c>
      <c r="P387">
        <v>31960792.792792793</v>
      </c>
      <c r="Q387">
        <v>12093153.153153153</v>
      </c>
      <c r="R387">
        <v>21248918.918918919</v>
      </c>
      <c r="S387">
        <v>4645</v>
      </c>
      <c r="T387">
        <v>4728</v>
      </c>
    </row>
    <row r="388" spans="1:20" x14ac:dyDescent="0.35">
      <c r="A388" s="7" t="s">
        <v>495</v>
      </c>
      <c r="B388" s="12" t="s">
        <v>77</v>
      </c>
      <c r="C388">
        <v>26900523.713913016</v>
      </c>
      <c r="D388">
        <v>38284690.075740308</v>
      </c>
      <c r="E388">
        <v>666666.66666666698</v>
      </c>
      <c r="F388">
        <v>135135.13513513599</v>
      </c>
      <c r="G388">
        <v>8</v>
      </c>
      <c r="H388">
        <v>11</v>
      </c>
      <c r="K388">
        <v>8</v>
      </c>
      <c r="L388">
        <v>12</v>
      </c>
      <c r="M388">
        <v>6100810.81081081</v>
      </c>
      <c r="N388">
        <v>7576576.5765765784</v>
      </c>
      <c r="O388">
        <v>10849754.954954956</v>
      </c>
      <c r="P388">
        <v>12976504.504504504</v>
      </c>
      <c r="Q388">
        <v>5862565.7657657638</v>
      </c>
      <c r="R388">
        <v>6605315.3153153146</v>
      </c>
      <c r="S388">
        <v>1441</v>
      </c>
      <c r="T388">
        <v>1536</v>
      </c>
    </row>
    <row r="389" spans="1:20" x14ac:dyDescent="0.35">
      <c r="A389" s="7" t="s">
        <v>496</v>
      </c>
      <c r="B389" s="12" t="s">
        <v>313</v>
      </c>
      <c r="C389">
        <v>229097985.11796537</v>
      </c>
      <c r="D389">
        <v>241881553.5307937</v>
      </c>
      <c r="E389">
        <v>2101801.8018018059</v>
      </c>
      <c r="F389">
        <v>1202252.252252253</v>
      </c>
      <c r="G389">
        <v>80</v>
      </c>
      <c r="H389">
        <v>39</v>
      </c>
      <c r="K389">
        <v>103</v>
      </c>
      <c r="L389">
        <v>48</v>
      </c>
      <c r="M389">
        <v>79238153.153153151</v>
      </c>
      <c r="N389">
        <v>61196621.621621616</v>
      </c>
      <c r="O389">
        <v>98373360.360360354</v>
      </c>
      <c r="P389">
        <v>103131882.88288288</v>
      </c>
      <c r="Q389">
        <v>44426261.261261262</v>
      </c>
      <c r="R389">
        <v>50315720.720720723</v>
      </c>
      <c r="S389">
        <v>12086</v>
      </c>
      <c r="T389">
        <v>11448</v>
      </c>
    </row>
    <row r="390" spans="1:20" x14ac:dyDescent="0.35">
      <c r="A390" s="7" t="s">
        <v>497</v>
      </c>
      <c r="B390" s="12" t="s">
        <v>321</v>
      </c>
      <c r="C390">
        <v>48747294.497169681</v>
      </c>
      <c r="D390">
        <v>49827019.028452635</v>
      </c>
      <c r="E390">
        <v>464864.86486486602</v>
      </c>
      <c r="F390">
        <v>493693.69369369402</v>
      </c>
      <c r="G390">
        <v>4</v>
      </c>
      <c r="H390">
        <v>5</v>
      </c>
      <c r="K390">
        <v>5</v>
      </c>
      <c r="L390">
        <v>5</v>
      </c>
      <c r="M390">
        <v>23262882.882882886</v>
      </c>
      <c r="N390">
        <v>12513333.333333332</v>
      </c>
      <c r="O390">
        <v>20425918.918918919</v>
      </c>
      <c r="P390">
        <v>19423090.090090089</v>
      </c>
      <c r="Q390">
        <v>21599279.27927928</v>
      </c>
      <c r="R390">
        <v>14264774.774774771</v>
      </c>
      <c r="S390">
        <v>1630</v>
      </c>
      <c r="T390">
        <v>1834</v>
      </c>
    </row>
    <row r="391" spans="1:20" x14ac:dyDescent="0.35">
      <c r="A391" s="7" t="s">
        <v>498</v>
      </c>
      <c r="B391" s="12" t="s">
        <v>183</v>
      </c>
      <c r="C391">
        <v>119971727.29793899</v>
      </c>
      <c r="D391">
        <v>134727395.09164023</v>
      </c>
      <c r="E391">
        <v>496846.84684684803</v>
      </c>
      <c r="F391">
        <v>295045.04504504497</v>
      </c>
      <c r="G391">
        <v>55</v>
      </c>
      <c r="H391">
        <v>41</v>
      </c>
      <c r="I391">
        <v>1</v>
      </c>
      <c r="K391">
        <v>80</v>
      </c>
      <c r="L391">
        <v>56</v>
      </c>
      <c r="M391">
        <v>7618018.0180180157</v>
      </c>
      <c r="N391">
        <v>11453603.603603601</v>
      </c>
      <c r="O391">
        <v>35914711.711711712</v>
      </c>
      <c r="P391">
        <v>41555819.819819815</v>
      </c>
      <c r="Q391">
        <v>9127747.7477477472</v>
      </c>
      <c r="R391">
        <v>12052792.792792792</v>
      </c>
      <c r="S391">
        <v>6995</v>
      </c>
      <c r="T391">
        <v>7025</v>
      </c>
    </row>
    <row r="392" spans="1:20" x14ac:dyDescent="0.35">
      <c r="A392" s="7" t="s">
        <v>499</v>
      </c>
      <c r="B392" s="12" t="s">
        <v>224</v>
      </c>
      <c r="C392">
        <v>67755757.235571966</v>
      </c>
      <c r="D392">
        <v>73894087.659279391</v>
      </c>
      <c r="E392">
        <v>18018.018018019</v>
      </c>
      <c r="G392">
        <v>22</v>
      </c>
      <c r="H392">
        <v>24</v>
      </c>
      <c r="K392">
        <v>31</v>
      </c>
      <c r="L392">
        <v>32</v>
      </c>
      <c r="M392">
        <v>1394594.5945945941</v>
      </c>
      <c r="N392">
        <v>554954.95495495503</v>
      </c>
      <c r="O392">
        <v>16636178.37837838</v>
      </c>
      <c r="P392">
        <v>20316648.648648649</v>
      </c>
      <c r="Q392">
        <v>614864.86486486497</v>
      </c>
      <c r="R392">
        <v>613513.51351351396</v>
      </c>
      <c r="S392">
        <v>3908</v>
      </c>
      <c r="T392">
        <v>4065</v>
      </c>
    </row>
    <row r="393" spans="1:20" x14ac:dyDescent="0.35">
      <c r="A393" s="7" t="s">
        <v>500</v>
      </c>
      <c r="B393" s="12" t="s">
        <v>224</v>
      </c>
      <c r="C393">
        <v>22788232.733407944</v>
      </c>
      <c r="D393">
        <v>18422513.120660827</v>
      </c>
      <c r="E393">
        <v>376723537.83783782</v>
      </c>
      <c r="F393">
        <v>249906313.51351351</v>
      </c>
      <c r="G393">
        <v>13</v>
      </c>
      <c r="H393">
        <v>3</v>
      </c>
      <c r="I393">
        <v>1</v>
      </c>
      <c r="K393">
        <v>14</v>
      </c>
      <c r="L393">
        <v>3</v>
      </c>
      <c r="M393">
        <v>18139639.639639638</v>
      </c>
      <c r="N393">
        <v>12957307.207207208</v>
      </c>
      <c r="O393">
        <v>6881981.9819819815</v>
      </c>
      <c r="P393">
        <v>7211711.7117117113</v>
      </c>
      <c r="Q393">
        <v>14365585.585585587</v>
      </c>
      <c r="R393">
        <v>10535135.135135137</v>
      </c>
      <c r="S393">
        <v>1117</v>
      </c>
      <c r="T393">
        <v>1195</v>
      </c>
    </row>
    <row r="394" spans="1:20" x14ac:dyDescent="0.35">
      <c r="A394" s="7" t="s">
        <v>501</v>
      </c>
      <c r="B394" s="12" t="s">
        <v>61</v>
      </c>
      <c r="C394">
        <v>78344008.248275578</v>
      </c>
      <c r="D394">
        <v>87382033.699253321</v>
      </c>
      <c r="E394">
        <v>2173873.8738738801</v>
      </c>
      <c r="F394">
        <v>1234234.234234235</v>
      </c>
      <c r="G394">
        <v>18</v>
      </c>
      <c r="H394">
        <v>3</v>
      </c>
      <c r="K394">
        <v>69</v>
      </c>
      <c r="L394">
        <v>8</v>
      </c>
      <c r="M394">
        <v>18125945.945945945</v>
      </c>
      <c r="N394">
        <v>14252252.252252247</v>
      </c>
      <c r="O394">
        <v>35673819.819819823</v>
      </c>
      <c r="P394">
        <v>40651828.828828834</v>
      </c>
      <c r="Q394">
        <v>15400720.72072072</v>
      </c>
      <c r="R394">
        <v>15826036.036036033</v>
      </c>
      <c r="S394">
        <v>3663</v>
      </c>
      <c r="T394">
        <v>3812</v>
      </c>
    </row>
    <row r="395" spans="1:20" x14ac:dyDescent="0.35">
      <c r="A395" s="7" t="s">
        <v>502</v>
      </c>
      <c r="B395" s="12" t="s">
        <v>456</v>
      </c>
      <c r="C395">
        <v>96369080.563125089</v>
      </c>
      <c r="D395">
        <v>99830506.979698315</v>
      </c>
      <c r="E395">
        <v>127027.027027027</v>
      </c>
      <c r="F395">
        <v>214414.41441441499</v>
      </c>
      <c r="G395">
        <v>72</v>
      </c>
      <c r="H395">
        <v>37</v>
      </c>
      <c r="K395">
        <v>76</v>
      </c>
      <c r="L395">
        <v>44</v>
      </c>
      <c r="M395">
        <v>8987387.3873873875</v>
      </c>
      <c r="N395">
        <v>8698873.8738738727</v>
      </c>
      <c r="O395">
        <v>34752369.369369365</v>
      </c>
      <c r="P395">
        <v>39080171.171171166</v>
      </c>
      <c r="Q395">
        <v>8515045.0450450461</v>
      </c>
      <c r="R395">
        <v>9046756.7567567583</v>
      </c>
      <c r="S395">
        <v>4919</v>
      </c>
      <c r="T395">
        <v>5032</v>
      </c>
    </row>
    <row r="396" spans="1:20" x14ac:dyDescent="0.35">
      <c r="A396" s="7" t="s">
        <v>7</v>
      </c>
      <c r="B396" s="12" t="s">
        <v>196</v>
      </c>
      <c r="C396">
        <v>80829384.800170839</v>
      </c>
      <c r="D396">
        <v>81108993.664583474</v>
      </c>
      <c r="E396">
        <v>210810.81081081199</v>
      </c>
      <c r="F396">
        <v>51351.351351350997</v>
      </c>
      <c r="G396">
        <v>26</v>
      </c>
      <c r="H396">
        <v>13</v>
      </c>
      <c r="K396">
        <v>33</v>
      </c>
      <c r="L396">
        <v>17</v>
      </c>
      <c r="M396">
        <v>16372972.972972972</v>
      </c>
      <c r="N396">
        <v>19704504.504504506</v>
      </c>
      <c r="O396">
        <v>57015081.081081077</v>
      </c>
      <c r="P396">
        <v>53612018.018018015</v>
      </c>
      <c r="Q396">
        <v>19149459.459459461</v>
      </c>
      <c r="R396">
        <v>20981711.711711712</v>
      </c>
      <c r="S396">
        <v>4794</v>
      </c>
      <c r="T396">
        <v>5016</v>
      </c>
    </row>
    <row r="397" spans="1:20" x14ac:dyDescent="0.35">
      <c r="A397" s="7" t="s">
        <v>503</v>
      </c>
      <c r="B397" s="12" t="s">
        <v>336</v>
      </c>
      <c r="C397">
        <v>94871573.602666035</v>
      </c>
      <c r="D397">
        <v>98992426.716188878</v>
      </c>
      <c r="E397">
        <v>181981.98198198201</v>
      </c>
      <c r="F397">
        <v>60360.360360361003</v>
      </c>
      <c r="G397">
        <v>41</v>
      </c>
      <c r="H397">
        <v>32</v>
      </c>
      <c r="K397">
        <v>56</v>
      </c>
      <c r="L397">
        <v>45</v>
      </c>
      <c r="M397">
        <v>4794594.5945945932</v>
      </c>
      <c r="N397">
        <v>5550450.4504504502</v>
      </c>
      <c r="O397">
        <v>23279882.882882886</v>
      </c>
      <c r="P397">
        <v>26478945.945945948</v>
      </c>
      <c r="Q397">
        <v>4703783.7837837841</v>
      </c>
      <c r="R397">
        <v>4942612.6126126116</v>
      </c>
      <c r="S397">
        <v>6089</v>
      </c>
      <c r="T397">
        <v>6045</v>
      </c>
    </row>
    <row r="398" spans="1:20" x14ac:dyDescent="0.35">
      <c r="A398" s="7" t="s">
        <v>504</v>
      </c>
      <c r="B398" s="12" t="s">
        <v>336</v>
      </c>
      <c r="C398">
        <v>162774906.74873367</v>
      </c>
      <c r="D398">
        <v>167168636.94094771</v>
      </c>
      <c r="E398">
        <v>814189.18918919296</v>
      </c>
      <c r="F398">
        <v>121621.62162162201</v>
      </c>
      <c r="G398">
        <v>82</v>
      </c>
      <c r="H398">
        <v>46</v>
      </c>
      <c r="K398">
        <v>92</v>
      </c>
      <c r="L398">
        <v>55</v>
      </c>
      <c r="M398">
        <v>4612612.6126126144</v>
      </c>
      <c r="N398">
        <v>5189189.1891891891</v>
      </c>
      <c r="O398">
        <v>39967837.837837838</v>
      </c>
      <c r="P398">
        <v>41360396.396396399</v>
      </c>
      <c r="Q398">
        <v>4220360.3603603616</v>
      </c>
      <c r="R398">
        <v>8353963.9639639631</v>
      </c>
      <c r="S398">
        <v>6899</v>
      </c>
      <c r="T398">
        <v>7260</v>
      </c>
    </row>
    <row r="399" spans="1:20" x14ac:dyDescent="0.35">
      <c r="A399" s="7" t="s">
        <v>505</v>
      </c>
      <c r="B399" s="12" t="s">
        <v>336</v>
      </c>
      <c r="C399">
        <v>161965126.24376765</v>
      </c>
      <c r="D399">
        <v>155809508.04263771</v>
      </c>
      <c r="E399">
        <v>2426801.8018018049</v>
      </c>
      <c r="F399">
        <v>1067567.567567568</v>
      </c>
      <c r="G399">
        <v>67</v>
      </c>
      <c r="H399">
        <v>53</v>
      </c>
      <c r="K399">
        <v>77</v>
      </c>
      <c r="L399">
        <v>79</v>
      </c>
      <c r="M399">
        <v>22420720.720720723</v>
      </c>
      <c r="N399">
        <v>14476396.396396397</v>
      </c>
      <c r="O399">
        <v>35792981.981981985</v>
      </c>
      <c r="P399">
        <v>38441234.234234229</v>
      </c>
      <c r="Q399">
        <v>22938648.648648649</v>
      </c>
      <c r="R399">
        <v>14971351.351351352</v>
      </c>
      <c r="S399">
        <v>8287</v>
      </c>
      <c r="T399">
        <v>8052</v>
      </c>
    </row>
    <row r="400" spans="1:20" x14ac:dyDescent="0.35">
      <c r="A400" s="7" t="s">
        <v>506</v>
      </c>
      <c r="B400" s="12" t="s">
        <v>336</v>
      </c>
      <c r="C400">
        <v>614360751.53597796</v>
      </c>
      <c r="D400">
        <v>611469426.05796146</v>
      </c>
      <c r="E400">
        <v>566708796.3963964</v>
      </c>
      <c r="F400">
        <v>2343243.2432432459</v>
      </c>
      <c r="G400">
        <v>294</v>
      </c>
      <c r="H400">
        <v>337</v>
      </c>
      <c r="K400">
        <v>360</v>
      </c>
      <c r="L400">
        <v>391</v>
      </c>
      <c r="M400">
        <v>168986486.48648649</v>
      </c>
      <c r="N400">
        <v>235030810.8108108</v>
      </c>
      <c r="O400">
        <v>130795603.6036036</v>
      </c>
      <c r="P400">
        <v>131308486.48648649</v>
      </c>
      <c r="Q400">
        <v>45802162.162162162</v>
      </c>
      <c r="R400">
        <v>166156756.75675678</v>
      </c>
      <c r="S400">
        <v>27872</v>
      </c>
      <c r="T400">
        <v>27144</v>
      </c>
    </row>
    <row r="401" spans="1:20" x14ac:dyDescent="0.35">
      <c r="A401" s="7" t="s">
        <v>507</v>
      </c>
      <c r="B401" s="12" t="s">
        <v>336</v>
      </c>
      <c r="C401">
        <v>496771772.76628888</v>
      </c>
      <c r="D401">
        <v>501736389.57235223</v>
      </c>
      <c r="E401">
        <v>3150900.9009009078</v>
      </c>
      <c r="F401">
        <v>1307657.6576576601</v>
      </c>
      <c r="G401">
        <v>183</v>
      </c>
      <c r="H401">
        <v>166</v>
      </c>
      <c r="I401">
        <v>1</v>
      </c>
      <c r="K401">
        <v>229</v>
      </c>
      <c r="L401">
        <v>213</v>
      </c>
      <c r="M401">
        <v>130920270.27027027</v>
      </c>
      <c r="N401">
        <v>57762612.612612605</v>
      </c>
      <c r="O401">
        <v>123442567.56756757</v>
      </c>
      <c r="P401">
        <v>130885762.16216215</v>
      </c>
      <c r="Q401">
        <v>44749099.099099107</v>
      </c>
      <c r="R401">
        <v>53285135.135135137</v>
      </c>
      <c r="S401">
        <v>26274</v>
      </c>
      <c r="T401">
        <v>26050</v>
      </c>
    </row>
    <row r="402" spans="1:20" x14ac:dyDescent="0.35">
      <c r="A402" s="7" t="s">
        <v>508</v>
      </c>
      <c r="B402" s="12" t="s">
        <v>145</v>
      </c>
      <c r="C402">
        <v>215383101.54448184</v>
      </c>
      <c r="D402">
        <v>221003652.25278601</v>
      </c>
      <c r="E402">
        <v>950675.675675679</v>
      </c>
      <c r="F402">
        <v>139639.63963964101</v>
      </c>
      <c r="G402">
        <v>47</v>
      </c>
      <c r="H402">
        <v>29</v>
      </c>
      <c r="K402">
        <v>58</v>
      </c>
      <c r="L402">
        <v>50</v>
      </c>
      <c r="M402">
        <v>22807207.207207207</v>
      </c>
      <c r="N402">
        <v>9385585.5855855867</v>
      </c>
      <c r="O402">
        <v>34932899.0990991</v>
      </c>
      <c r="P402">
        <v>40191891.891891889</v>
      </c>
      <c r="Q402">
        <v>13776306.306306304</v>
      </c>
      <c r="R402">
        <v>9791261.261261262</v>
      </c>
      <c r="S402">
        <v>8100</v>
      </c>
      <c r="T402">
        <v>8307</v>
      </c>
    </row>
    <row r="403" spans="1:20" x14ac:dyDescent="0.35">
      <c r="A403" s="7" t="s">
        <v>509</v>
      </c>
      <c r="B403" s="12" t="s">
        <v>224</v>
      </c>
      <c r="C403">
        <v>247873708.05370504</v>
      </c>
      <c r="D403">
        <v>266782573.93989989</v>
      </c>
      <c r="E403">
        <v>2927252.2522522602</v>
      </c>
      <c r="F403">
        <v>7128828.8288288312</v>
      </c>
      <c r="G403">
        <v>94</v>
      </c>
      <c r="H403">
        <v>112</v>
      </c>
      <c r="I403">
        <v>4</v>
      </c>
      <c r="K403">
        <v>126</v>
      </c>
      <c r="L403">
        <v>154</v>
      </c>
      <c r="M403">
        <v>138883513.51351351</v>
      </c>
      <c r="N403">
        <v>230626126.12612611</v>
      </c>
      <c r="O403">
        <v>75643310.810810819</v>
      </c>
      <c r="P403">
        <v>84175711.711711705</v>
      </c>
      <c r="Q403">
        <v>137891981.98198196</v>
      </c>
      <c r="R403">
        <v>216477657.65765765</v>
      </c>
      <c r="S403">
        <v>14454</v>
      </c>
      <c r="T403">
        <v>12010</v>
      </c>
    </row>
    <row r="404" spans="1:20" x14ac:dyDescent="0.35">
      <c r="A404" s="7" t="s">
        <v>510</v>
      </c>
      <c r="B404" s="12" t="s">
        <v>405</v>
      </c>
      <c r="C404">
        <v>710476444.41829085</v>
      </c>
      <c r="D404">
        <v>754946537.2776475</v>
      </c>
      <c r="E404">
        <v>6033964.8648648718</v>
      </c>
      <c r="F404">
        <v>138923761.26126125</v>
      </c>
      <c r="G404">
        <v>226</v>
      </c>
      <c r="H404">
        <v>105</v>
      </c>
      <c r="K404">
        <v>291</v>
      </c>
      <c r="L404">
        <v>151</v>
      </c>
      <c r="M404">
        <v>77196171.171171173</v>
      </c>
      <c r="N404">
        <v>80496846.846846849</v>
      </c>
      <c r="O404">
        <v>153117781.98198199</v>
      </c>
      <c r="P404">
        <v>169748185.58558559</v>
      </c>
      <c r="Q404">
        <v>67407972.972972974</v>
      </c>
      <c r="R404">
        <v>79553063.063063055</v>
      </c>
      <c r="S404">
        <v>27127</v>
      </c>
      <c r="T404">
        <v>27042</v>
      </c>
    </row>
    <row r="405" spans="1:20" x14ac:dyDescent="0.35">
      <c r="A405" s="7" t="s">
        <v>511</v>
      </c>
      <c r="B405" s="12" t="s">
        <v>71</v>
      </c>
      <c r="C405">
        <v>10683409.563473361</v>
      </c>
      <c r="D405">
        <v>11055717.657947743</v>
      </c>
      <c r="E405">
        <v>107207.207207208</v>
      </c>
      <c r="F405">
        <v>38738.738738738997</v>
      </c>
      <c r="G405">
        <v>2</v>
      </c>
      <c r="H405">
        <v>5</v>
      </c>
      <c r="K405">
        <v>3</v>
      </c>
      <c r="L405">
        <v>8</v>
      </c>
      <c r="M405">
        <v>382882.88288288401</v>
      </c>
      <c r="N405">
        <v>334234.23423423403</v>
      </c>
      <c r="O405">
        <v>7301522.5225225231</v>
      </c>
      <c r="P405">
        <v>8174459.4594594594</v>
      </c>
      <c r="Q405">
        <v>287837.83783783799</v>
      </c>
      <c r="R405">
        <v>334234.23423423403</v>
      </c>
      <c r="S405">
        <v>643</v>
      </c>
      <c r="T405">
        <v>677</v>
      </c>
    </row>
    <row r="406" spans="1:20" x14ac:dyDescent="0.35">
      <c r="A406" s="7" t="s">
        <v>512</v>
      </c>
      <c r="B406" s="12" t="s">
        <v>336</v>
      </c>
      <c r="C406">
        <v>292233420.26695114</v>
      </c>
      <c r="D406">
        <v>304172965.50484115</v>
      </c>
      <c r="E406">
        <v>2596171.1711711721</v>
      </c>
      <c r="F406">
        <v>9449549.5495495498</v>
      </c>
      <c r="G406">
        <v>101</v>
      </c>
      <c r="H406">
        <v>76</v>
      </c>
      <c r="K406">
        <v>122</v>
      </c>
      <c r="L406">
        <v>110</v>
      </c>
      <c r="M406">
        <v>29733558.558558561</v>
      </c>
      <c r="N406">
        <v>38289414.414414413</v>
      </c>
      <c r="O406">
        <v>75877326.576576576</v>
      </c>
      <c r="P406">
        <v>79847106.306306303</v>
      </c>
      <c r="Q406">
        <v>27974144.144144144</v>
      </c>
      <c r="R406">
        <v>34767477.477477476</v>
      </c>
      <c r="S406">
        <v>16335</v>
      </c>
      <c r="T406">
        <v>16116</v>
      </c>
    </row>
    <row r="407" spans="1:20" x14ac:dyDescent="0.35">
      <c r="A407" s="7" t="s">
        <v>513</v>
      </c>
      <c r="B407" s="12" t="s">
        <v>288</v>
      </c>
      <c r="C407">
        <v>94524342.268926948</v>
      </c>
      <c r="D407">
        <v>103511970.07367045</v>
      </c>
      <c r="E407">
        <v>73143243.243243247</v>
      </c>
      <c r="F407">
        <v>51197297.297297299</v>
      </c>
      <c r="G407">
        <v>11</v>
      </c>
      <c r="H407">
        <v>8</v>
      </c>
      <c r="K407">
        <v>14</v>
      </c>
      <c r="L407">
        <v>9</v>
      </c>
      <c r="M407">
        <v>9062162.1621621642</v>
      </c>
      <c r="N407">
        <v>10048648.648648648</v>
      </c>
      <c r="O407">
        <v>17476342.342342343</v>
      </c>
      <c r="P407">
        <v>19196882.882882886</v>
      </c>
      <c r="Q407">
        <v>9210180.1801801808</v>
      </c>
      <c r="R407">
        <v>9797477.477477476</v>
      </c>
      <c r="S407">
        <v>3036</v>
      </c>
      <c r="T407">
        <v>3011</v>
      </c>
    </row>
    <row r="408" spans="1:20" x14ac:dyDescent="0.35">
      <c r="A408" s="7" t="s">
        <v>514</v>
      </c>
      <c r="B408" s="12" t="s">
        <v>264</v>
      </c>
      <c r="C408">
        <v>54920064.638749667</v>
      </c>
      <c r="D408">
        <v>66778274.076669402</v>
      </c>
      <c r="E408">
        <v>40540.540540540998</v>
      </c>
      <c r="G408">
        <v>3</v>
      </c>
      <c r="H408">
        <v>9</v>
      </c>
      <c r="K408">
        <v>5</v>
      </c>
      <c r="L408">
        <v>12</v>
      </c>
      <c r="M408">
        <v>1842342.342342342</v>
      </c>
      <c r="N408">
        <v>2702702.702702703</v>
      </c>
      <c r="O408">
        <v>11339063.063063065</v>
      </c>
      <c r="P408">
        <v>19440538.738738742</v>
      </c>
      <c r="Q408">
        <v>1231081.0810810809</v>
      </c>
      <c r="R408">
        <v>3256756.7567567569</v>
      </c>
      <c r="S408">
        <v>2251</v>
      </c>
      <c r="T408">
        <v>2370</v>
      </c>
    </row>
    <row r="409" spans="1:20" x14ac:dyDescent="0.35">
      <c r="A409" s="7" t="s">
        <v>515</v>
      </c>
      <c r="B409" s="12" t="s">
        <v>240</v>
      </c>
      <c r="C409">
        <v>135345098.99194863</v>
      </c>
      <c r="D409">
        <v>144135926.63022026</v>
      </c>
      <c r="E409">
        <v>66470720.720720723</v>
      </c>
      <c r="F409">
        <v>34672522.522522539</v>
      </c>
      <c r="G409">
        <v>9</v>
      </c>
      <c r="H409">
        <v>49</v>
      </c>
      <c r="K409">
        <v>18</v>
      </c>
      <c r="L409">
        <v>144</v>
      </c>
      <c r="M409">
        <v>22385450.450450446</v>
      </c>
      <c r="N409">
        <v>19464414.414414413</v>
      </c>
      <c r="O409">
        <v>29169756.756756756</v>
      </c>
      <c r="P409">
        <v>33608990.990990989</v>
      </c>
      <c r="Q409">
        <v>22956396.396396395</v>
      </c>
      <c r="R409">
        <v>16250180.180180181</v>
      </c>
      <c r="S409">
        <v>4507</v>
      </c>
      <c r="T409">
        <v>4634</v>
      </c>
    </row>
    <row r="410" spans="1:20" x14ac:dyDescent="0.35">
      <c r="A410" s="7" t="s">
        <v>516</v>
      </c>
      <c r="B410" s="12" t="s">
        <v>136</v>
      </c>
      <c r="C410">
        <v>11381831.768409492</v>
      </c>
      <c r="D410">
        <v>23744092.44625096</v>
      </c>
      <c r="L410">
        <v>1</v>
      </c>
      <c r="O410">
        <v>2188414.4144144142</v>
      </c>
      <c r="P410">
        <v>3959576.576576577</v>
      </c>
      <c r="S410">
        <v>1280</v>
      </c>
      <c r="T410">
        <v>1225</v>
      </c>
    </row>
    <row r="411" spans="1:20" x14ac:dyDescent="0.35">
      <c r="A411" s="7" t="s">
        <v>517</v>
      </c>
      <c r="B411" s="12" t="s">
        <v>405</v>
      </c>
      <c r="C411">
        <v>141508460.69428015</v>
      </c>
      <c r="D411">
        <v>152147649.62921637</v>
      </c>
      <c r="E411">
        <v>500000</v>
      </c>
      <c r="F411">
        <v>28763513.513513517</v>
      </c>
      <c r="G411">
        <v>20</v>
      </c>
      <c r="H411">
        <v>26</v>
      </c>
      <c r="K411">
        <v>42</v>
      </c>
      <c r="L411">
        <v>33</v>
      </c>
      <c r="M411">
        <v>13880180.180180181</v>
      </c>
      <c r="N411">
        <v>15795495.495495496</v>
      </c>
      <c r="O411">
        <v>23119441.441441439</v>
      </c>
      <c r="P411">
        <v>23941918.918918919</v>
      </c>
      <c r="Q411">
        <v>12681081.081081079</v>
      </c>
      <c r="R411">
        <v>13237207.207207208</v>
      </c>
      <c r="S411">
        <v>4542</v>
      </c>
      <c r="T411">
        <v>4421</v>
      </c>
    </row>
    <row r="412" spans="1:20" x14ac:dyDescent="0.35">
      <c r="A412" s="7" t="s">
        <v>518</v>
      </c>
      <c r="B412" s="12" t="s">
        <v>136</v>
      </c>
      <c r="C412">
        <v>159989445.90168968</v>
      </c>
      <c r="D412">
        <v>177344533.287128</v>
      </c>
      <c r="E412">
        <v>980180.18018018396</v>
      </c>
      <c r="F412">
        <v>1010810.810810813</v>
      </c>
      <c r="G412">
        <v>44</v>
      </c>
      <c r="H412">
        <v>38</v>
      </c>
      <c r="K412">
        <v>51</v>
      </c>
      <c r="L412">
        <v>42</v>
      </c>
      <c r="M412">
        <v>16723423.423423424</v>
      </c>
      <c r="N412">
        <v>14979279.279279277</v>
      </c>
      <c r="O412">
        <v>25982871.62162162</v>
      </c>
      <c r="P412">
        <v>29948567.567567568</v>
      </c>
      <c r="Q412">
        <v>14257207.207207207</v>
      </c>
      <c r="R412">
        <v>14209189.189189188</v>
      </c>
      <c r="S412">
        <v>5470</v>
      </c>
      <c r="T412">
        <v>5648</v>
      </c>
    </row>
    <row r="413" spans="1:20" x14ac:dyDescent="0.35">
      <c r="A413" s="7" t="s">
        <v>519</v>
      </c>
      <c r="B413" s="12" t="s">
        <v>136</v>
      </c>
      <c r="C413">
        <v>439267286.42681032</v>
      </c>
      <c r="D413">
        <v>463119034.62683737</v>
      </c>
      <c r="E413">
        <v>2509909.9099099189</v>
      </c>
      <c r="F413">
        <v>2377477.4774774811</v>
      </c>
      <c r="G413">
        <v>88</v>
      </c>
      <c r="H413">
        <v>80</v>
      </c>
      <c r="K413">
        <v>129</v>
      </c>
      <c r="L413">
        <v>109</v>
      </c>
      <c r="M413">
        <v>31529729.729729727</v>
      </c>
      <c r="N413">
        <v>39763513.51351352</v>
      </c>
      <c r="O413">
        <v>45171099.0990991</v>
      </c>
      <c r="P413">
        <v>53156414.414414413</v>
      </c>
      <c r="Q413">
        <v>29958828.82882883</v>
      </c>
      <c r="R413">
        <v>32488918.918918919</v>
      </c>
      <c r="S413">
        <v>16463</v>
      </c>
      <c r="T413">
        <v>16874</v>
      </c>
    </row>
    <row r="414" spans="1:20" x14ac:dyDescent="0.35">
      <c r="A414" s="7" t="s">
        <v>8</v>
      </c>
      <c r="B414" s="12" t="s">
        <v>160</v>
      </c>
      <c r="C414">
        <v>110500181.54630375</v>
      </c>
      <c r="D414">
        <v>120452576.86823389</v>
      </c>
      <c r="E414">
        <v>1498198.1981982009</v>
      </c>
      <c r="F414">
        <v>1405405.405405405</v>
      </c>
      <c r="G414">
        <v>3</v>
      </c>
      <c r="H414">
        <v>24</v>
      </c>
      <c r="K414">
        <v>4</v>
      </c>
      <c r="L414">
        <v>26</v>
      </c>
      <c r="M414">
        <v>13322522.522522524</v>
      </c>
      <c r="N414">
        <v>23200000.000000004</v>
      </c>
      <c r="O414">
        <v>32106162.162162159</v>
      </c>
      <c r="P414">
        <v>35490432.432432435</v>
      </c>
      <c r="Q414">
        <v>12859909.909909908</v>
      </c>
      <c r="R414">
        <v>22290630.630630631</v>
      </c>
      <c r="S414">
        <v>4562</v>
      </c>
      <c r="T414">
        <v>3579</v>
      </c>
    </row>
    <row r="415" spans="1:20" x14ac:dyDescent="0.35">
      <c r="A415" s="7" t="s">
        <v>520</v>
      </c>
      <c r="B415" s="12" t="s">
        <v>136</v>
      </c>
      <c r="C415">
        <v>81080921.516805917</v>
      </c>
      <c r="D415">
        <v>110460605.79400128</v>
      </c>
      <c r="E415">
        <v>328828.82882882899</v>
      </c>
      <c r="F415">
        <v>360360.36036036001</v>
      </c>
      <c r="G415">
        <v>5</v>
      </c>
      <c r="K415">
        <v>6</v>
      </c>
      <c r="M415">
        <v>5734234.2342342352</v>
      </c>
      <c r="N415">
        <v>8018018.0180180166</v>
      </c>
      <c r="O415">
        <v>11543486.486486487</v>
      </c>
      <c r="P415">
        <v>16857180.180180181</v>
      </c>
      <c r="Q415">
        <v>2681891.8918918921</v>
      </c>
      <c r="R415">
        <v>4167387.3873873879</v>
      </c>
      <c r="S415">
        <v>3197</v>
      </c>
      <c r="T415">
        <v>3666</v>
      </c>
    </row>
    <row r="416" spans="1:20" x14ac:dyDescent="0.35">
      <c r="A416" s="7" t="s">
        <v>521</v>
      </c>
      <c r="B416" s="12" t="s">
        <v>63</v>
      </c>
      <c r="C416">
        <v>363223689.26467907</v>
      </c>
      <c r="D416">
        <v>358501332.98083794</v>
      </c>
      <c r="E416">
        <v>82440540.540540546</v>
      </c>
      <c r="F416">
        <v>55698198.198198199</v>
      </c>
      <c r="G416">
        <v>87</v>
      </c>
      <c r="H416">
        <v>39</v>
      </c>
      <c r="K416">
        <v>138</v>
      </c>
      <c r="L416">
        <v>54</v>
      </c>
      <c r="M416">
        <v>35005720.720720723</v>
      </c>
      <c r="N416">
        <v>17742882.882882886</v>
      </c>
      <c r="O416">
        <v>75402018.018018022</v>
      </c>
      <c r="P416">
        <v>79622601.801801801</v>
      </c>
      <c r="Q416">
        <v>22589009.009009007</v>
      </c>
      <c r="R416">
        <v>22065268.468468472</v>
      </c>
      <c r="S416">
        <v>14552</v>
      </c>
      <c r="T416">
        <v>15610</v>
      </c>
    </row>
    <row r="417" spans="1:20" x14ac:dyDescent="0.35">
      <c r="A417" s="7" t="s">
        <v>522</v>
      </c>
      <c r="B417" s="12" t="s">
        <v>119</v>
      </c>
      <c r="C417">
        <v>34659988.692321911</v>
      </c>
      <c r="D417">
        <v>30903420.445430104</v>
      </c>
      <c r="E417">
        <v>217117.11711711701</v>
      </c>
      <c r="F417">
        <v>130630.630630631</v>
      </c>
      <c r="G417">
        <v>22</v>
      </c>
      <c r="H417">
        <v>13</v>
      </c>
      <c r="K417">
        <v>24</v>
      </c>
      <c r="L417">
        <v>15</v>
      </c>
      <c r="M417">
        <v>1916306.306306307</v>
      </c>
      <c r="N417">
        <v>2351126.1261261259</v>
      </c>
      <c r="O417">
        <v>15079567.567567568</v>
      </c>
      <c r="P417">
        <v>14950756.756756756</v>
      </c>
      <c r="Q417">
        <v>1153693.6936936949</v>
      </c>
      <c r="R417">
        <v>1475090.0900900911</v>
      </c>
      <c r="S417">
        <v>2084</v>
      </c>
      <c r="T417">
        <v>1932</v>
      </c>
    </row>
    <row r="418" spans="1:20" x14ac:dyDescent="0.35">
      <c r="A418" s="7" t="s">
        <v>523</v>
      </c>
      <c r="B418" s="12" t="s">
        <v>309</v>
      </c>
      <c r="C418">
        <v>68653385.341883749</v>
      </c>
      <c r="D418">
        <v>64295781.847715862</v>
      </c>
      <c r="E418">
        <v>486486.48648648802</v>
      </c>
      <c r="F418">
        <v>238738.73873873899</v>
      </c>
      <c r="G418">
        <v>38</v>
      </c>
      <c r="H418">
        <v>41</v>
      </c>
      <c r="K418">
        <v>39</v>
      </c>
      <c r="L418">
        <v>50</v>
      </c>
      <c r="M418">
        <v>8256306.3063063063</v>
      </c>
      <c r="N418">
        <v>2674774.7747747749</v>
      </c>
      <c r="O418">
        <v>7322027.0270270268</v>
      </c>
      <c r="P418">
        <v>8613846.8468468469</v>
      </c>
      <c r="Q418">
        <v>8930450.4504504502</v>
      </c>
      <c r="R418">
        <v>2416666.666666667</v>
      </c>
      <c r="S418">
        <v>1413</v>
      </c>
      <c r="T418">
        <v>1355</v>
      </c>
    </row>
    <row r="419" spans="1:20" x14ac:dyDescent="0.35">
      <c r="A419" s="7" t="s">
        <v>524</v>
      </c>
      <c r="B419" s="12" t="s">
        <v>309</v>
      </c>
      <c r="E419">
        <v>60751190.990990989</v>
      </c>
      <c r="F419">
        <v>75295878.378378391</v>
      </c>
    </row>
    <row r="420" spans="1:20" x14ac:dyDescent="0.35">
      <c r="A420" s="7" t="s">
        <v>525</v>
      </c>
      <c r="B420" s="12" t="s">
        <v>309</v>
      </c>
      <c r="C420">
        <v>16442465.66097014</v>
      </c>
      <c r="D420">
        <v>23377706.092658754</v>
      </c>
      <c r="E420">
        <v>183783.78378378399</v>
      </c>
      <c r="F420">
        <v>261261.261261262</v>
      </c>
      <c r="G420">
        <v>4</v>
      </c>
      <c r="H420">
        <v>5</v>
      </c>
      <c r="K420">
        <v>5</v>
      </c>
      <c r="L420">
        <v>5</v>
      </c>
      <c r="M420">
        <v>1864864.8648648639</v>
      </c>
      <c r="N420">
        <v>3540540.5405405411</v>
      </c>
      <c r="O420">
        <v>2676630.6306306301</v>
      </c>
      <c r="P420">
        <v>3980936.9369369359</v>
      </c>
      <c r="Q420">
        <v>1349549.5495495489</v>
      </c>
      <c r="R420">
        <v>2322702.702702703</v>
      </c>
      <c r="S420">
        <v>1481</v>
      </c>
      <c r="T420">
        <v>578</v>
      </c>
    </row>
    <row r="421" spans="1:20" x14ac:dyDescent="0.35">
      <c r="A421" s="7" t="s">
        <v>526</v>
      </c>
      <c r="B421" s="12" t="s">
        <v>309</v>
      </c>
      <c r="C421">
        <v>42293198.678795405</v>
      </c>
      <c r="D421">
        <v>43308575.786590628</v>
      </c>
      <c r="E421">
        <v>599099.09909909801</v>
      </c>
      <c r="F421">
        <v>40540.540540540998</v>
      </c>
      <c r="G421">
        <v>26</v>
      </c>
      <c r="H421">
        <v>12</v>
      </c>
      <c r="K421">
        <v>26</v>
      </c>
      <c r="L421">
        <v>17</v>
      </c>
      <c r="M421">
        <v>2554954.9549549539</v>
      </c>
      <c r="N421">
        <v>2923423.423423422</v>
      </c>
      <c r="O421">
        <v>6537873.8738738736</v>
      </c>
      <c r="P421">
        <v>6247873.8738738736</v>
      </c>
      <c r="Q421">
        <v>2217477.4774774779</v>
      </c>
      <c r="R421">
        <v>2194144.1441441439</v>
      </c>
      <c r="S421">
        <v>1091</v>
      </c>
      <c r="T421">
        <v>1132</v>
      </c>
    </row>
    <row r="422" spans="1:20" x14ac:dyDescent="0.35">
      <c r="A422" s="7" t="s">
        <v>527</v>
      </c>
      <c r="B422" s="12" t="s">
        <v>309</v>
      </c>
      <c r="C422">
        <v>31589238.762100682</v>
      </c>
      <c r="D422">
        <v>31231804.008623108</v>
      </c>
      <c r="E422">
        <v>94594.594594594993</v>
      </c>
      <c r="G422">
        <v>13</v>
      </c>
      <c r="H422">
        <v>10</v>
      </c>
      <c r="K422">
        <v>13</v>
      </c>
      <c r="L422">
        <v>11</v>
      </c>
      <c r="M422">
        <v>635135.13513513503</v>
      </c>
      <c r="N422">
        <v>747747.74774774804</v>
      </c>
      <c r="O422">
        <v>4423018.0180180185</v>
      </c>
      <c r="P422">
        <v>4868999.9999999991</v>
      </c>
      <c r="Q422">
        <v>513783.78378378402</v>
      </c>
      <c r="R422">
        <v>449099.099099099</v>
      </c>
      <c r="S422">
        <v>864</v>
      </c>
      <c r="T422">
        <v>767</v>
      </c>
    </row>
    <row r="423" spans="1:20" x14ac:dyDescent="0.35">
      <c r="A423" s="7" t="s">
        <v>528</v>
      </c>
      <c r="B423" s="12" t="s">
        <v>456</v>
      </c>
      <c r="C423">
        <v>31190416.741481069</v>
      </c>
      <c r="D423">
        <v>32352398.768858414</v>
      </c>
      <c r="E423">
        <v>210810.81081081001</v>
      </c>
      <c r="F423">
        <v>597297.29729729798</v>
      </c>
      <c r="G423">
        <v>5</v>
      </c>
      <c r="H423">
        <v>11</v>
      </c>
      <c r="K423">
        <v>8</v>
      </c>
      <c r="L423">
        <v>14</v>
      </c>
      <c r="M423">
        <v>1477477.4774774769</v>
      </c>
      <c r="N423">
        <v>47413423.423423424</v>
      </c>
      <c r="O423">
        <v>10611840.09009009</v>
      </c>
      <c r="P423">
        <v>11422243.243243244</v>
      </c>
      <c r="Q423">
        <v>2058198.198198199</v>
      </c>
      <c r="R423">
        <v>47947297.297297299</v>
      </c>
      <c r="S423">
        <v>1667</v>
      </c>
      <c r="T423">
        <v>1705</v>
      </c>
    </row>
    <row r="424" spans="1:20" x14ac:dyDescent="0.35">
      <c r="A424" s="7" t="s">
        <v>529</v>
      </c>
      <c r="B424" s="12" t="s">
        <v>86</v>
      </c>
      <c r="C424">
        <v>99083182.173888236</v>
      </c>
      <c r="D424">
        <v>104890238.97853127</v>
      </c>
      <c r="E424">
        <v>792792.79279279395</v>
      </c>
      <c r="F424">
        <v>1364864.8648648681</v>
      </c>
      <c r="G424">
        <v>12</v>
      </c>
      <c r="H424">
        <v>5</v>
      </c>
      <c r="K424">
        <v>15</v>
      </c>
      <c r="L424">
        <v>7</v>
      </c>
      <c r="M424">
        <v>16918918.918918919</v>
      </c>
      <c r="N424">
        <v>38155045.045045048</v>
      </c>
      <c r="O424">
        <v>25251684.684684683</v>
      </c>
      <c r="P424">
        <v>31106792.792792793</v>
      </c>
      <c r="Q424">
        <v>16896980.180180181</v>
      </c>
      <c r="R424">
        <v>31544324.324324321</v>
      </c>
      <c r="S424">
        <v>4083</v>
      </c>
      <c r="T424">
        <v>4103</v>
      </c>
    </row>
    <row r="425" spans="1:20" x14ac:dyDescent="0.35">
      <c r="A425" s="7" t="s">
        <v>530</v>
      </c>
      <c r="B425" s="12" t="s">
        <v>309</v>
      </c>
      <c r="C425">
        <v>53665299.413428448</v>
      </c>
      <c r="D425">
        <v>55132971.696616448</v>
      </c>
      <c r="E425">
        <v>30630.630630631</v>
      </c>
      <c r="G425">
        <v>7</v>
      </c>
      <c r="H425">
        <v>7</v>
      </c>
      <c r="K425">
        <v>7</v>
      </c>
      <c r="L425">
        <v>7</v>
      </c>
      <c r="M425">
        <v>3851351.351351351</v>
      </c>
      <c r="N425">
        <v>3531531.5315315309</v>
      </c>
      <c r="O425">
        <v>8543009.0090090092</v>
      </c>
      <c r="P425">
        <v>10196837.837837838</v>
      </c>
      <c r="Q425">
        <v>1563783.783783783</v>
      </c>
      <c r="R425">
        <v>2206846.8468468469</v>
      </c>
      <c r="S425">
        <v>1413</v>
      </c>
      <c r="T425">
        <v>1370</v>
      </c>
    </row>
    <row r="426" spans="1:20" x14ac:dyDescent="0.35">
      <c r="A426" s="7" t="s">
        <v>531</v>
      </c>
      <c r="B426" s="12" t="s">
        <v>407</v>
      </c>
      <c r="C426">
        <v>353691355.11271423</v>
      </c>
      <c r="D426">
        <v>369563100.88251477</v>
      </c>
      <c r="E426">
        <v>117371091.89189188</v>
      </c>
      <c r="F426">
        <v>54651618.91891893</v>
      </c>
      <c r="G426">
        <v>67</v>
      </c>
      <c r="H426">
        <v>35</v>
      </c>
      <c r="I426">
        <v>1</v>
      </c>
      <c r="K426">
        <v>262</v>
      </c>
      <c r="L426">
        <v>63</v>
      </c>
      <c r="M426">
        <v>72900450.45045045</v>
      </c>
      <c r="N426">
        <v>120335360.36036035</v>
      </c>
      <c r="O426">
        <v>86339792.792792797</v>
      </c>
      <c r="P426">
        <v>90310288.288288295</v>
      </c>
      <c r="Q426">
        <v>59940270.270270273</v>
      </c>
      <c r="R426">
        <v>59435989.189189181</v>
      </c>
      <c r="S426">
        <v>13754</v>
      </c>
      <c r="T426">
        <v>13865</v>
      </c>
    </row>
    <row r="427" spans="1:20" x14ac:dyDescent="0.35">
      <c r="A427" s="7" t="s">
        <v>532</v>
      </c>
      <c r="B427" s="12" t="s">
        <v>145</v>
      </c>
      <c r="C427">
        <v>101808570.45582876</v>
      </c>
      <c r="D427">
        <v>108441714.23660973</v>
      </c>
      <c r="E427">
        <v>243243.243243245</v>
      </c>
      <c r="F427">
        <v>324324.32432432403</v>
      </c>
      <c r="G427">
        <v>28</v>
      </c>
      <c r="H427">
        <v>6</v>
      </c>
      <c r="K427">
        <v>32</v>
      </c>
      <c r="L427">
        <v>7</v>
      </c>
      <c r="M427">
        <v>4747747.7477477482</v>
      </c>
      <c r="N427">
        <v>5279279.2792792805</v>
      </c>
      <c r="O427">
        <v>13144846.846846849</v>
      </c>
      <c r="P427">
        <v>14378405.405405404</v>
      </c>
      <c r="Q427">
        <v>5291981.9819819815</v>
      </c>
      <c r="R427">
        <v>4705315.3153153164</v>
      </c>
      <c r="S427">
        <v>2997</v>
      </c>
      <c r="T427">
        <v>3721</v>
      </c>
    </row>
    <row r="428" spans="1:20" x14ac:dyDescent="0.35">
      <c r="A428" s="7" t="s">
        <v>533</v>
      </c>
      <c r="B428" s="12" t="s">
        <v>67</v>
      </c>
      <c r="C428">
        <v>67942491.758971483</v>
      </c>
      <c r="D428">
        <v>63700761.896417983</v>
      </c>
      <c r="E428">
        <v>1317117.117117119</v>
      </c>
      <c r="F428">
        <v>837837.83783783799</v>
      </c>
      <c r="G428">
        <v>13</v>
      </c>
      <c r="H428">
        <v>10</v>
      </c>
      <c r="K428">
        <v>19</v>
      </c>
      <c r="L428">
        <v>10</v>
      </c>
      <c r="M428">
        <v>54972612.612612605</v>
      </c>
      <c r="N428">
        <v>25382882.882882886</v>
      </c>
      <c r="O428">
        <v>32535207.207207207</v>
      </c>
      <c r="P428">
        <v>33545000</v>
      </c>
      <c r="Q428">
        <v>20681891.891891893</v>
      </c>
      <c r="R428">
        <v>14142882.882882884</v>
      </c>
      <c r="S428">
        <v>4054</v>
      </c>
      <c r="T428">
        <v>3824</v>
      </c>
    </row>
    <row r="429" spans="1:20" x14ac:dyDescent="0.35">
      <c r="A429" s="7" t="s">
        <v>534</v>
      </c>
      <c r="B429" s="12" t="s">
        <v>224</v>
      </c>
      <c r="C429">
        <v>88468161.156263873</v>
      </c>
      <c r="D429">
        <v>92459955.507351369</v>
      </c>
      <c r="E429">
        <v>414414.41441441397</v>
      </c>
      <c r="F429">
        <v>99099.099099098996</v>
      </c>
      <c r="G429">
        <v>24</v>
      </c>
      <c r="H429">
        <v>19</v>
      </c>
      <c r="K429">
        <v>29</v>
      </c>
      <c r="L429">
        <v>22</v>
      </c>
      <c r="M429">
        <v>5279279.2792792805</v>
      </c>
      <c r="N429">
        <v>6228828.8288288293</v>
      </c>
      <c r="O429">
        <v>21767882.882882878</v>
      </c>
      <c r="P429">
        <v>24564061.261261266</v>
      </c>
      <c r="Q429">
        <v>3264324.3243243238</v>
      </c>
      <c r="R429">
        <v>3228468.46846847</v>
      </c>
      <c r="S429">
        <v>4383</v>
      </c>
      <c r="T429">
        <v>4369</v>
      </c>
    </row>
    <row r="430" spans="1:20" x14ac:dyDescent="0.35">
      <c r="A430" s="7" t="s">
        <v>535</v>
      </c>
      <c r="B430" s="12" t="s">
        <v>421</v>
      </c>
      <c r="C430">
        <v>972933988.29968858</v>
      </c>
      <c r="D430">
        <v>1004567636.0127374</v>
      </c>
      <c r="E430">
        <v>204437332.43243244</v>
      </c>
      <c r="F430">
        <v>284270454.05405402</v>
      </c>
      <c r="G430">
        <v>126</v>
      </c>
      <c r="H430">
        <v>354</v>
      </c>
      <c r="I430">
        <v>1</v>
      </c>
      <c r="K430">
        <v>449</v>
      </c>
      <c r="L430">
        <v>625</v>
      </c>
      <c r="M430">
        <v>84171891.891891897</v>
      </c>
      <c r="N430">
        <v>109511171.17117117</v>
      </c>
      <c r="O430">
        <v>284655434.68468469</v>
      </c>
      <c r="P430">
        <v>318501408.1081081</v>
      </c>
      <c r="Q430">
        <v>81913963.963963971</v>
      </c>
      <c r="R430">
        <v>105552972.97297297</v>
      </c>
      <c r="S430">
        <v>35147</v>
      </c>
      <c r="T430">
        <v>32594</v>
      </c>
    </row>
    <row r="431" spans="1:20" x14ac:dyDescent="0.35">
      <c r="A431" s="7" t="s">
        <v>536</v>
      </c>
      <c r="B431" s="12" t="s">
        <v>421</v>
      </c>
      <c r="C431">
        <v>111046242.46461652</v>
      </c>
      <c r="D431">
        <v>117465659.23397377</v>
      </c>
      <c r="E431">
        <v>170495.495495496</v>
      </c>
      <c r="F431">
        <v>18018.018018018</v>
      </c>
      <c r="G431">
        <v>15</v>
      </c>
      <c r="H431">
        <v>9</v>
      </c>
      <c r="K431">
        <v>19</v>
      </c>
      <c r="L431">
        <v>10</v>
      </c>
      <c r="M431">
        <v>8025585.5855855867</v>
      </c>
      <c r="N431">
        <v>7081081.0810810803</v>
      </c>
      <c r="O431">
        <v>35680090.090090089</v>
      </c>
      <c r="P431">
        <v>38879400.9009009</v>
      </c>
      <c r="Q431">
        <v>5695945.9459459446</v>
      </c>
      <c r="R431">
        <v>5522522.5225225221</v>
      </c>
      <c r="S431">
        <v>4351</v>
      </c>
      <c r="T431">
        <v>4427</v>
      </c>
    </row>
    <row r="432" spans="1:20" x14ac:dyDescent="0.35">
      <c r="A432" s="7" t="s">
        <v>537</v>
      </c>
      <c r="B432" s="12" t="s">
        <v>149</v>
      </c>
      <c r="C432">
        <v>228900591.98692477</v>
      </c>
      <c r="D432">
        <v>213946605.04479241</v>
      </c>
      <c r="E432">
        <v>4509234.2342342352</v>
      </c>
      <c r="F432">
        <v>4170270.2702702722</v>
      </c>
      <c r="G432">
        <v>46</v>
      </c>
      <c r="H432">
        <v>63</v>
      </c>
      <c r="K432">
        <v>155</v>
      </c>
      <c r="L432">
        <v>66</v>
      </c>
      <c r="M432">
        <v>52820900.900900893</v>
      </c>
      <c r="N432">
        <v>62429382.882882878</v>
      </c>
      <c r="O432">
        <v>79961592.792792782</v>
      </c>
      <c r="P432">
        <v>85484801.801801801</v>
      </c>
      <c r="Q432">
        <v>51979549.54954955</v>
      </c>
      <c r="R432">
        <v>62115135.135135137</v>
      </c>
      <c r="S432">
        <v>9908</v>
      </c>
      <c r="T432">
        <v>10001</v>
      </c>
    </row>
    <row r="433" spans="1:20" x14ac:dyDescent="0.35">
      <c r="A433" s="7" t="s">
        <v>538</v>
      </c>
      <c r="B433" s="12" t="s">
        <v>123</v>
      </c>
      <c r="C433">
        <v>25241796.485190663</v>
      </c>
      <c r="D433">
        <v>22834339.056321669</v>
      </c>
      <c r="E433">
        <v>292792.79279279301</v>
      </c>
      <c r="F433">
        <v>100900.90090090199</v>
      </c>
      <c r="G433">
        <v>18</v>
      </c>
      <c r="H433">
        <v>9</v>
      </c>
      <c r="K433">
        <v>19</v>
      </c>
      <c r="L433">
        <v>9</v>
      </c>
      <c r="M433">
        <v>2522522.5225225231</v>
      </c>
      <c r="N433">
        <v>1272072.0720720729</v>
      </c>
      <c r="O433">
        <v>2988977.4774774769</v>
      </c>
      <c r="P433">
        <v>2807018.018018018</v>
      </c>
      <c r="Q433">
        <v>1727477.4774774769</v>
      </c>
      <c r="R433">
        <v>2069009.009009009</v>
      </c>
      <c r="S433">
        <v>965</v>
      </c>
      <c r="T433">
        <v>927</v>
      </c>
    </row>
    <row r="434" spans="1:20" x14ac:dyDescent="0.35">
      <c r="A434" s="7" t="s">
        <v>539</v>
      </c>
      <c r="B434" s="12" t="s">
        <v>456</v>
      </c>
      <c r="C434">
        <v>39996907.95156727</v>
      </c>
      <c r="D434">
        <v>62708080.888965987</v>
      </c>
      <c r="E434">
        <v>162649549.54954955</v>
      </c>
      <c r="F434">
        <v>25350450.45045045</v>
      </c>
      <c r="G434">
        <v>5</v>
      </c>
      <c r="H434">
        <v>8</v>
      </c>
      <c r="K434">
        <v>6</v>
      </c>
      <c r="L434">
        <v>12</v>
      </c>
      <c r="M434">
        <v>3052927.927927928</v>
      </c>
      <c r="N434">
        <v>4000675.6756756748</v>
      </c>
      <c r="O434">
        <v>19485308.558558561</v>
      </c>
      <c r="P434">
        <v>29916972.97297297</v>
      </c>
      <c r="Q434">
        <v>3054864.8648648658</v>
      </c>
      <c r="R434">
        <v>3885765.7657657661</v>
      </c>
      <c r="S434">
        <v>1893</v>
      </c>
      <c r="T434">
        <v>2113</v>
      </c>
    </row>
    <row r="435" spans="1:20" x14ac:dyDescent="0.35">
      <c r="A435" s="7" t="s">
        <v>540</v>
      </c>
      <c r="B435" s="12" t="s">
        <v>456</v>
      </c>
      <c r="C435">
        <v>104096841.94738224</v>
      </c>
      <c r="D435">
        <v>116067404.11526197</v>
      </c>
      <c r="E435">
        <v>353153.15315315401</v>
      </c>
      <c r="F435">
        <v>620720.72072072199</v>
      </c>
      <c r="G435">
        <v>37</v>
      </c>
      <c r="H435">
        <v>32</v>
      </c>
      <c r="K435">
        <v>41</v>
      </c>
      <c r="L435">
        <v>37</v>
      </c>
      <c r="M435">
        <v>5661711.7117117122</v>
      </c>
      <c r="N435">
        <v>3168243.243243244</v>
      </c>
      <c r="O435">
        <v>47291243.24324324</v>
      </c>
      <c r="P435">
        <v>55941495.495495498</v>
      </c>
      <c r="Q435">
        <v>5225045.0450450452</v>
      </c>
      <c r="R435">
        <v>4104189.18918919</v>
      </c>
      <c r="S435">
        <v>5216</v>
      </c>
      <c r="T435">
        <v>5314</v>
      </c>
    </row>
    <row r="436" spans="1:20" x14ac:dyDescent="0.35">
      <c r="A436" s="7" t="s">
        <v>541</v>
      </c>
      <c r="B436" s="12" t="s">
        <v>125</v>
      </c>
      <c r="C436">
        <v>284723097.16494757</v>
      </c>
      <c r="D436">
        <v>296145963.34123206</v>
      </c>
      <c r="E436">
        <v>234071246.84684685</v>
      </c>
      <c r="F436">
        <v>173997976.57657659</v>
      </c>
      <c r="G436">
        <v>96</v>
      </c>
      <c r="H436">
        <v>165</v>
      </c>
      <c r="I436">
        <v>3</v>
      </c>
      <c r="K436">
        <v>139</v>
      </c>
      <c r="L436">
        <v>346</v>
      </c>
      <c r="M436">
        <v>82254594.594594598</v>
      </c>
      <c r="N436">
        <v>68503153.153153166</v>
      </c>
      <c r="O436">
        <v>98730993.693693697</v>
      </c>
      <c r="P436">
        <v>103240885.58558558</v>
      </c>
      <c r="Q436">
        <v>85286306.306306303</v>
      </c>
      <c r="R436">
        <v>76434054.054054067</v>
      </c>
      <c r="S436">
        <v>11295</v>
      </c>
      <c r="T436">
        <v>11208</v>
      </c>
    </row>
    <row r="437" spans="1:20" x14ac:dyDescent="0.35">
      <c r="A437" s="7" t="s">
        <v>542</v>
      </c>
      <c r="B437" s="12" t="s">
        <v>86</v>
      </c>
      <c r="C437">
        <v>86859245.94779034</v>
      </c>
      <c r="D437">
        <v>95048587.061251506</v>
      </c>
      <c r="E437">
        <v>262406904.5045045</v>
      </c>
      <c r="F437">
        <v>320867735.13513511</v>
      </c>
      <c r="G437">
        <v>10</v>
      </c>
      <c r="H437">
        <v>3</v>
      </c>
      <c r="K437">
        <v>14</v>
      </c>
      <c r="L437">
        <v>4</v>
      </c>
      <c r="M437">
        <v>9978468.4684684705</v>
      </c>
      <c r="N437">
        <v>33366216.216216218</v>
      </c>
      <c r="O437">
        <v>19063828.828828827</v>
      </c>
      <c r="P437">
        <v>24926666.666666664</v>
      </c>
      <c r="Q437">
        <v>5854504.5045045046</v>
      </c>
      <c r="R437">
        <v>29057027.02702703</v>
      </c>
      <c r="S437">
        <v>3713</v>
      </c>
      <c r="T437">
        <v>3984</v>
      </c>
    </row>
    <row r="438" spans="1:20" x14ac:dyDescent="0.35">
      <c r="A438" s="7" t="s">
        <v>9</v>
      </c>
      <c r="B438" s="12" t="s">
        <v>160</v>
      </c>
      <c r="C438">
        <v>218240082.87085772</v>
      </c>
      <c r="D438">
        <v>213512694.5643537</v>
      </c>
      <c r="E438">
        <v>1790990.990990995</v>
      </c>
      <c r="F438">
        <v>1165315.315315316</v>
      </c>
      <c r="G438">
        <v>34</v>
      </c>
      <c r="H438">
        <v>56</v>
      </c>
      <c r="K438">
        <v>36</v>
      </c>
      <c r="L438">
        <v>74</v>
      </c>
      <c r="M438">
        <v>245900900.9009009</v>
      </c>
      <c r="N438">
        <v>314554414.41441441</v>
      </c>
      <c r="O438">
        <v>80019144.144144148</v>
      </c>
      <c r="P438">
        <v>78803655.855855852</v>
      </c>
      <c r="Q438">
        <v>231596936.93693691</v>
      </c>
      <c r="R438">
        <v>277176846.84684682</v>
      </c>
      <c r="S438">
        <v>6133</v>
      </c>
      <c r="T438">
        <v>7698</v>
      </c>
    </row>
    <row r="439" spans="1:20" x14ac:dyDescent="0.35">
      <c r="A439" s="7" t="s">
        <v>543</v>
      </c>
      <c r="B439" s="12" t="s">
        <v>95</v>
      </c>
      <c r="C439">
        <v>217186575.32687819</v>
      </c>
      <c r="D439">
        <v>233911316.63861445</v>
      </c>
      <c r="E439">
        <v>848648.64864865295</v>
      </c>
      <c r="F439">
        <v>319819.81981982099</v>
      </c>
      <c r="G439">
        <v>41</v>
      </c>
      <c r="H439">
        <v>54</v>
      </c>
      <c r="K439">
        <v>48</v>
      </c>
      <c r="L439">
        <v>63</v>
      </c>
      <c r="M439">
        <v>17019819.819819819</v>
      </c>
      <c r="N439">
        <v>25031531.531531528</v>
      </c>
      <c r="O439">
        <v>29477873.873873871</v>
      </c>
      <c r="P439">
        <v>35101636.036036037</v>
      </c>
      <c r="Q439">
        <v>13674144.144144144</v>
      </c>
      <c r="R439">
        <v>14351891.891891891</v>
      </c>
      <c r="S439">
        <v>6378</v>
      </c>
      <c r="T439">
        <v>6588</v>
      </c>
    </row>
    <row r="440" spans="1:20" x14ac:dyDescent="0.35">
      <c r="A440" s="7" t="s">
        <v>544</v>
      </c>
      <c r="B440" s="12" t="s">
        <v>309</v>
      </c>
      <c r="C440">
        <v>6867589.5581522584</v>
      </c>
      <c r="D440">
        <v>7989597.2539384458</v>
      </c>
      <c r="G440">
        <v>1</v>
      </c>
      <c r="H440">
        <v>5</v>
      </c>
      <c r="K440">
        <v>1</v>
      </c>
      <c r="L440">
        <v>5</v>
      </c>
      <c r="O440">
        <v>1066126.1261261259</v>
      </c>
      <c r="P440">
        <v>959504.50450450403</v>
      </c>
      <c r="S440">
        <v>382</v>
      </c>
      <c r="T440">
        <v>372</v>
      </c>
    </row>
    <row r="441" spans="1:20" x14ac:dyDescent="0.35">
      <c r="A441" s="7" t="s">
        <v>545</v>
      </c>
      <c r="B441" s="12" t="s">
        <v>309</v>
      </c>
      <c r="C441">
        <v>89125129.587302133</v>
      </c>
      <c r="D441">
        <v>86487094.932681635</v>
      </c>
      <c r="E441">
        <v>472972.97297297302</v>
      </c>
      <c r="F441">
        <v>1162162.1621621631</v>
      </c>
      <c r="G441">
        <v>9</v>
      </c>
      <c r="H441">
        <v>14</v>
      </c>
      <c r="K441">
        <v>11</v>
      </c>
      <c r="L441">
        <v>18</v>
      </c>
      <c r="M441">
        <v>8103603.6036036042</v>
      </c>
      <c r="N441">
        <v>7387387.3873873884</v>
      </c>
      <c r="O441">
        <v>8162702.702702702</v>
      </c>
      <c r="P441">
        <v>7832333.333333334</v>
      </c>
      <c r="Q441">
        <v>2983783.7837837832</v>
      </c>
      <c r="R441">
        <v>4441351.3513513505</v>
      </c>
      <c r="S441">
        <v>2700</v>
      </c>
      <c r="T441">
        <v>2710</v>
      </c>
    </row>
    <row r="442" spans="1:20" x14ac:dyDescent="0.35">
      <c r="A442" s="7" t="s">
        <v>546</v>
      </c>
      <c r="B442" s="12" t="s">
        <v>86</v>
      </c>
      <c r="C442">
        <v>75443290.239503413</v>
      </c>
      <c r="D442">
        <v>82503230.185902625</v>
      </c>
      <c r="E442">
        <v>471171.171171172</v>
      </c>
      <c r="F442">
        <v>681981.98198198504</v>
      </c>
      <c r="G442">
        <v>32</v>
      </c>
      <c r="H442">
        <v>37</v>
      </c>
      <c r="I442">
        <v>4</v>
      </c>
      <c r="K442">
        <v>40</v>
      </c>
      <c r="L442">
        <v>101</v>
      </c>
      <c r="M442">
        <v>24592252.252252255</v>
      </c>
      <c r="N442">
        <v>31986666.666666668</v>
      </c>
      <c r="O442">
        <v>36673153.153153151</v>
      </c>
      <c r="P442">
        <v>41229774.774774775</v>
      </c>
      <c r="Q442">
        <v>21711351.351351351</v>
      </c>
      <c r="R442">
        <v>31546306.306306303</v>
      </c>
      <c r="S442">
        <v>2673</v>
      </c>
      <c r="T442">
        <v>3276</v>
      </c>
    </row>
    <row r="443" spans="1:20" x14ac:dyDescent="0.35">
      <c r="A443" s="7" t="s">
        <v>547</v>
      </c>
      <c r="B443" s="12" t="s">
        <v>456</v>
      </c>
      <c r="C443">
        <v>104806812.90035723</v>
      </c>
      <c r="D443">
        <v>100521871.08270909</v>
      </c>
      <c r="E443">
        <v>280180.18018018</v>
      </c>
      <c r="F443">
        <v>206306.30630630601</v>
      </c>
      <c r="G443">
        <v>30</v>
      </c>
      <c r="H443">
        <v>25</v>
      </c>
      <c r="I443">
        <v>2</v>
      </c>
      <c r="K443">
        <v>84</v>
      </c>
      <c r="L443">
        <v>30</v>
      </c>
      <c r="M443">
        <v>1763963.963963964</v>
      </c>
      <c r="N443">
        <v>6529729.7297297288</v>
      </c>
      <c r="O443">
        <v>28827953.153153151</v>
      </c>
      <c r="P443">
        <v>31327585.585585583</v>
      </c>
      <c r="Q443">
        <v>2977477.477477476</v>
      </c>
      <c r="R443">
        <v>5435135.1351351356</v>
      </c>
      <c r="S443">
        <v>5041</v>
      </c>
      <c r="T443">
        <v>5146</v>
      </c>
    </row>
    <row r="444" spans="1:20" x14ac:dyDescent="0.35">
      <c r="A444" s="7" t="s">
        <v>548</v>
      </c>
      <c r="B444" s="12" t="s">
        <v>119</v>
      </c>
      <c r="C444">
        <v>240707704.39161348</v>
      </c>
      <c r="D444">
        <v>231143047.21462694</v>
      </c>
      <c r="E444">
        <v>4088288.2882882981</v>
      </c>
      <c r="F444">
        <v>2694144.1441441481</v>
      </c>
      <c r="G444">
        <v>51</v>
      </c>
      <c r="H444">
        <v>57</v>
      </c>
      <c r="K444">
        <v>92</v>
      </c>
      <c r="L444">
        <v>66</v>
      </c>
      <c r="M444">
        <v>48996305.40540541</v>
      </c>
      <c r="N444">
        <v>38004450.45045045</v>
      </c>
      <c r="O444">
        <v>131657018.01801802</v>
      </c>
      <c r="P444">
        <v>132272963.96396397</v>
      </c>
      <c r="Q444">
        <v>42562972.972972974</v>
      </c>
      <c r="R444">
        <v>32078333.333333336</v>
      </c>
      <c r="S444">
        <v>11220</v>
      </c>
      <c r="T444">
        <v>11257</v>
      </c>
    </row>
    <row r="445" spans="1:20" x14ac:dyDescent="0.35">
      <c r="A445" s="7" t="s">
        <v>549</v>
      </c>
      <c r="B445" s="12" t="s">
        <v>84</v>
      </c>
      <c r="C445">
        <v>760334048.02889037</v>
      </c>
      <c r="D445">
        <v>756403776.30440831</v>
      </c>
      <c r="E445">
        <v>3818468.4684684719</v>
      </c>
      <c r="F445">
        <v>46719369.369369373</v>
      </c>
      <c r="G445">
        <v>175</v>
      </c>
      <c r="H445">
        <v>82</v>
      </c>
      <c r="I445">
        <v>1</v>
      </c>
      <c r="K445">
        <v>201</v>
      </c>
      <c r="L445">
        <v>98</v>
      </c>
      <c r="M445">
        <v>55825675.675675683</v>
      </c>
      <c r="N445">
        <v>60359009.009009011</v>
      </c>
      <c r="O445">
        <v>81203309.459459454</v>
      </c>
      <c r="P445">
        <v>89488396.396396399</v>
      </c>
      <c r="Q445">
        <v>43592385.585585587</v>
      </c>
      <c r="R445">
        <v>43096666.666666672</v>
      </c>
      <c r="S445">
        <v>21749</v>
      </c>
      <c r="T445">
        <v>21448</v>
      </c>
    </row>
    <row r="446" spans="1:20" x14ac:dyDescent="0.35">
      <c r="A446" s="7" t="s">
        <v>550</v>
      </c>
      <c r="B446" s="12" t="s">
        <v>321</v>
      </c>
      <c r="C446">
        <v>92793415.767564818</v>
      </c>
      <c r="D446">
        <v>91163807.480937123</v>
      </c>
      <c r="E446">
        <v>1178603.603603604</v>
      </c>
      <c r="F446">
        <v>1358558.558558559</v>
      </c>
      <c r="G446">
        <v>15</v>
      </c>
      <c r="H446">
        <v>12</v>
      </c>
      <c r="K446">
        <v>17</v>
      </c>
      <c r="L446">
        <v>12</v>
      </c>
      <c r="M446">
        <v>4379729.7297297288</v>
      </c>
      <c r="N446">
        <v>12178378.378378378</v>
      </c>
      <c r="O446">
        <v>19741585.585585583</v>
      </c>
      <c r="P446">
        <v>18586711.711711712</v>
      </c>
      <c r="Q446">
        <v>4811801.8018018007</v>
      </c>
      <c r="R446">
        <v>12492162.162162162</v>
      </c>
      <c r="S446">
        <v>2577</v>
      </c>
      <c r="T446">
        <v>2697</v>
      </c>
    </row>
    <row r="447" spans="1:20" x14ac:dyDescent="0.35">
      <c r="A447" s="7" t="s">
        <v>551</v>
      </c>
      <c r="B447" s="12" t="s">
        <v>171</v>
      </c>
      <c r="C447">
        <v>627318089.70921052</v>
      </c>
      <c r="D447">
        <v>680246023.15776682</v>
      </c>
      <c r="E447">
        <v>1571171.1711711721</v>
      </c>
      <c r="F447">
        <v>1220720.7207207209</v>
      </c>
      <c r="G447">
        <v>73</v>
      </c>
      <c r="H447">
        <v>65</v>
      </c>
      <c r="I447">
        <v>1</v>
      </c>
      <c r="K447">
        <v>118</v>
      </c>
      <c r="L447">
        <v>81</v>
      </c>
      <c r="M447">
        <v>37126846.846846849</v>
      </c>
      <c r="N447">
        <v>38926665.765765756</v>
      </c>
      <c r="O447">
        <v>234288556.3063063</v>
      </c>
      <c r="P447">
        <v>264062054.05405405</v>
      </c>
      <c r="Q447">
        <v>38890000</v>
      </c>
      <c r="R447">
        <v>38621711.711711712</v>
      </c>
      <c r="S447">
        <v>21633</v>
      </c>
      <c r="T447">
        <v>24170</v>
      </c>
    </row>
    <row r="448" spans="1:20" x14ac:dyDescent="0.35">
      <c r="A448" s="7" t="s">
        <v>552</v>
      </c>
      <c r="B448" s="12" t="s">
        <v>488</v>
      </c>
      <c r="C448">
        <v>197524796.8955532</v>
      </c>
      <c r="D448">
        <v>192400261.15886903</v>
      </c>
      <c r="E448">
        <v>67567.567567570004</v>
      </c>
      <c r="F448">
        <v>1180180.1801801799</v>
      </c>
      <c r="G448">
        <v>18</v>
      </c>
      <c r="H448">
        <v>10</v>
      </c>
      <c r="K448">
        <v>23</v>
      </c>
      <c r="L448">
        <v>13</v>
      </c>
      <c r="M448">
        <v>76576.576576578998</v>
      </c>
      <c r="N448">
        <v>2108108.1081081079</v>
      </c>
      <c r="O448">
        <v>25684000</v>
      </c>
      <c r="P448">
        <v>34771324.324324325</v>
      </c>
      <c r="Q448">
        <v>45495.495495495001</v>
      </c>
      <c r="R448">
        <v>1359549.5495495501</v>
      </c>
      <c r="S448">
        <v>5447</v>
      </c>
      <c r="T448">
        <v>5391</v>
      </c>
    </row>
    <row r="449" spans="1:20" x14ac:dyDescent="0.35">
      <c r="A449" s="7" t="s">
        <v>553</v>
      </c>
      <c r="B449" s="12" t="s">
        <v>81</v>
      </c>
      <c r="C449">
        <v>45470772.224159941</v>
      </c>
      <c r="D449">
        <v>56242628.870576121</v>
      </c>
      <c r="E449">
        <v>186936.936936938</v>
      </c>
      <c r="F449">
        <v>700000</v>
      </c>
      <c r="G449">
        <v>16</v>
      </c>
      <c r="H449">
        <v>4</v>
      </c>
      <c r="K449">
        <v>20</v>
      </c>
      <c r="L449">
        <v>8</v>
      </c>
      <c r="M449">
        <v>5690090.0900900885</v>
      </c>
      <c r="N449">
        <v>3375675.6756756748</v>
      </c>
      <c r="O449">
        <v>16798684.684684683</v>
      </c>
      <c r="P449">
        <v>20355864.864864863</v>
      </c>
      <c r="Q449">
        <v>5323243.2432432426</v>
      </c>
      <c r="R449">
        <v>3958738.738738738</v>
      </c>
      <c r="S449">
        <v>2364</v>
      </c>
      <c r="T449">
        <v>2242</v>
      </c>
    </row>
    <row r="450" spans="1:20" x14ac:dyDescent="0.35">
      <c r="A450" s="7" t="s">
        <v>554</v>
      </c>
      <c r="B450" s="12" t="s">
        <v>171</v>
      </c>
      <c r="C450">
        <v>46509720.329797536</v>
      </c>
      <c r="D450">
        <v>78110814.099394858</v>
      </c>
      <c r="E450">
        <v>75158558.558558553</v>
      </c>
      <c r="F450">
        <v>100546846.84684685</v>
      </c>
      <c r="G450">
        <v>11</v>
      </c>
      <c r="K450">
        <v>11</v>
      </c>
      <c r="M450">
        <v>8536306.3063063044</v>
      </c>
      <c r="N450">
        <v>18376576.576576576</v>
      </c>
      <c r="O450">
        <v>20197198.198198199</v>
      </c>
      <c r="P450">
        <v>27403495.495495494</v>
      </c>
      <c r="Q450">
        <v>355135.13513513497</v>
      </c>
      <c r="R450">
        <v>669639.63963963895</v>
      </c>
      <c r="S450">
        <v>2020</v>
      </c>
      <c r="T450">
        <v>2528</v>
      </c>
    </row>
    <row r="451" spans="1:20" x14ac:dyDescent="0.35">
      <c r="A451" s="7" t="s">
        <v>555</v>
      </c>
      <c r="B451" s="12" t="s">
        <v>228</v>
      </c>
      <c r="C451">
        <v>1647.839754331</v>
      </c>
      <c r="D451">
        <v>42294.959052430997</v>
      </c>
      <c r="P451">
        <v>6081.0810810809999</v>
      </c>
    </row>
    <row r="452" spans="1:20" x14ac:dyDescent="0.35">
      <c r="A452" s="7" t="s">
        <v>556</v>
      </c>
      <c r="B452" s="12" t="s">
        <v>138</v>
      </c>
      <c r="C452">
        <v>128979521.46687718</v>
      </c>
      <c r="D452">
        <v>138406511.12506059</v>
      </c>
      <c r="E452">
        <v>528828.82882883097</v>
      </c>
      <c r="F452">
        <v>493693.69369369402</v>
      </c>
      <c r="G452">
        <v>41</v>
      </c>
      <c r="H452">
        <v>19</v>
      </c>
      <c r="K452">
        <v>49</v>
      </c>
      <c r="L452">
        <v>20</v>
      </c>
      <c r="M452">
        <v>26873873.873873871</v>
      </c>
      <c r="N452">
        <v>28601801.801801801</v>
      </c>
      <c r="O452">
        <v>41085975.675675683</v>
      </c>
      <c r="P452">
        <v>54201594.59459459</v>
      </c>
      <c r="Q452">
        <v>24077477.47747748</v>
      </c>
      <c r="R452">
        <v>22051441.441441439</v>
      </c>
      <c r="S452">
        <v>4434</v>
      </c>
      <c r="T452">
        <v>4335</v>
      </c>
    </row>
    <row r="453" spans="1:20" x14ac:dyDescent="0.35">
      <c r="A453" s="7" t="s">
        <v>557</v>
      </c>
      <c r="B453" s="12" t="s">
        <v>138</v>
      </c>
      <c r="C453">
        <v>248050261.80124706</v>
      </c>
      <c r="D453">
        <v>243924437.02977768</v>
      </c>
      <c r="E453">
        <v>146977711.7117117</v>
      </c>
      <c r="F453">
        <v>177816005.4054054</v>
      </c>
      <c r="G453">
        <v>120</v>
      </c>
      <c r="H453">
        <v>71</v>
      </c>
      <c r="I453">
        <v>5</v>
      </c>
      <c r="K453">
        <v>139</v>
      </c>
      <c r="L453">
        <v>104</v>
      </c>
      <c r="M453">
        <v>60293693.693693697</v>
      </c>
      <c r="N453">
        <v>50679279.279279269</v>
      </c>
      <c r="O453">
        <v>80776912.612612605</v>
      </c>
      <c r="P453">
        <v>84641225.22522521</v>
      </c>
      <c r="Q453">
        <v>53364007.20720721</v>
      </c>
      <c r="R453">
        <v>42895765.765765756</v>
      </c>
      <c r="S453">
        <v>12639</v>
      </c>
      <c r="T453">
        <v>12926</v>
      </c>
    </row>
    <row r="454" spans="1:20" x14ac:dyDescent="0.35">
      <c r="A454" s="7" t="s">
        <v>558</v>
      </c>
      <c r="B454" s="12" t="s">
        <v>138</v>
      </c>
      <c r="C454">
        <v>268988972.27378529</v>
      </c>
      <c r="D454">
        <v>291663338.31480783</v>
      </c>
      <c r="E454">
        <v>1763963.963963964</v>
      </c>
      <c r="F454">
        <v>1075675.675675675</v>
      </c>
      <c r="G454">
        <v>36</v>
      </c>
      <c r="H454">
        <v>63</v>
      </c>
      <c r="I454">
        <v>4</v>
      </c>
      <c r="K454">
        <v>40</v>
      </c>
      <c r="L454">
        <v>65</v>
      </c>
      <c r="M454">
        <v>11917117.117117116</v>
      </c>
      <c r="N454">
        <v>12607207.207207207</v>
      </c>
      <c r="O454">
        <v>45714286.486486487</v>
      </c>
      <c r="P454">
        <v>49137288.288288288</v>
      </c>
      <c r="Q454">
        <v>10398378.37837838</v>
      </c>
      <c r="R454">
        <v>9523153.1531531513</v>
      </c>
      <c r="S454">
        <v>8399</v>
      </c>
      <c r="T454">
        <v>8762</v>
      </c>
    </row>
    <row r="455" spans="1:20" x14ac:dyDescent="0.35">
      <c r="A455" s="7" t="s">
        <v>559</v>
      </c>
      <c r="B455" s="12" t="s">
        <v>138</v>
      </c>
      <c r="C455">
        <v>110312180.73514159</v>
      </c>
      <c r="D455">
        <v>110560904.51219593</v>
      </c>
      <c r="E455">
        <v>121621.621621623</v>
      </c>
      <c r="F455">
        <v>623423.42342342297</v>
      </c>
      <c r="G455">
        <v>18</v>
      </c>
      <c r="H455">
        <v>30</v>
      </c>
      <c r="K455">
        <v>18</v>
      </c>
      <c r="L455">
        <v>31</v>
      </c>
      <c r="M455">
        <v>9716216.2162162159</v>
      </c>
      <c r="N455">
        <v>8821621.6216216218</v>
      </c>
      <c r="O455">
        <v>19169081.081081081</v>
      </c>
      <c r="P455">
        <v>21525297.297297295</v>
      </c>
      <c r="Q455">
        <v>7029009.0090090092</v>
      </c>
      <c r="R455">
        <v>6550630.630630631</v>
      </c>
      <c r="S455">
        <v>3817</v>
      </c>
      <c r="T455">
        <v>3755</v>
      </c>
    </row>
    <row r="456" spans="1:20" x14ac:dyDescent="0.35">
      <c r="A456" s="7" t="s">
        <v>560</v>
      </c>
      <c r="B456" s="12" t="s">
        <v>88</v>
      </c>
      <c r="C456">
        <v>44820980.45648361</v>
      </c>
      <c r="D456">
        <v>47663164.129333325</v>
      </c>
      <c r="E456">
        <v>89189.189189188997</v>
      </c>
      <c r="F456">
        <v>13513.513513514001</v>
      </c>
      <c r="G456">
        <v>18</v>
      </c>
      <c r="H456">
        <v>11</v>
      </c>
      <c r="K456">
        <v>21</v>
      </c>
      <c r="L456">
        <v>13</v>
      </c>
      <c r="M456">
        <v>3018018.018018018</v>
      </c>
      <c r="N456">
        <v>2716216.2162162159</v>
      </c>
      <c r="O456">
        <v>7408414.4144144142</v>
      </c>
      <c r="P456">
        <v>8109000</v>
      </c>
      <c r="Q456">
        <v>2625585.5855855839</v>
      </c>
      <c r="R456">
        <v>1624864.8648648639</v>
      </c>
      <c r="S456">
        <v>1464</v>
      </c>
      <c r="T456">
        <v>1358</v>
      </c>
    </row>
    <row r="457" spans="1:20" x14ac:dyDescent="0.35">
      <c r="A457" s="7" t="s">
        <v>561</v>
      </c>
      <c r="B457" s="12" t="s">
        <v>88</v>
      </c>
      <c r="C457">
        <v>70451940.723166451</v>
      </c>
      <c r="D457">
        <v>72212547.247950703</v>
      </c>
      <c r="E457">
        <v>202702.702702704</v>
      </c>
      <c r="F457">
        <v>328828.82882882998</v>
      </c>
      <c r="G457">
        <v>30</v>
      </c>
      <c r="H457">
        <v>26</v>
      </c>
      <c r="K457">
        <v>38</v>
      </c>
      <c r="L457">
        <v>31</v>
      </c>
      <c r="M457">
        <v>3505405.4054054059</v>
      </c>
      <c r="N457">
        <v>3076576.576576578</v>
      </c>
      <c r="O457">
        <v>8375583.7837837832</v>
      </c>
      <c r="P457">
        <v>11219630.630630633</v>
      </c>
      <c r="Q457">
        <v>2757117.1171171172</v>
      </c>
      <c r="R457">
        <v>5085855.855855857</v>
      </c>
      <c r="S457">
        <v>2783</v>
      </c>
      <c r="T457">
        <v>2598</v>
      </c>
    </row>
    <row r="458" spans="1:20" x14ac:dyDescent="0.35">
      <c r="A458" s="7" t="s">
        <v>562</v>
      </c>
      <c r="B458" s="12" t="s">
        <v>67</v>
      </c>
      <c r="C458">
        <v>134448592.63629657</v>
      </c>
      <c r="D458">
        <v>146165584.72118431</v>
      </c>
      <c r="E458">
        <v>2954954.9549549562</v>
      </c>
      <c r="F458">
        <v>2785585.5855855909</v>
      </c>
      <c r="G458">
        <v>38</v>
      </c>
      <c r="H458">
        <v>23</v>
      </c>
      <c r="I458">
        <v>1</v>
      </c>
      <c r="K458">
        <v>46</v>
      </c>
      <c r="L458">
        <v>39</v>
      </c>
      <c r="M458">
        <v>172494864.86486486</v>
      </c>
      <c r="N458">
        <v>172325675.67567569</v>
      </c>
      <c r="O458">
        <v>56523768.018018015</v>
      </c>
      <c r="P458">
        <v>60952864.864864863</v>
      </c>
      <c r="Q458">
        <v>67281531.531531528</v>
      </c>
      <c r="R458">
        <v>46223063.063063063</v>
      </c>
      <c r="S458">
        <v>8879</v>
      </c>
      <c r="T458">
        <v>9432</v>
      </c>
    </row>
    <row r="459" spans="1:20" x14ac:dyDescent="0.35">
      <c r="A459" s="7" t="s">
        <v>563</v>
      </c>
      <c r="B459" s="12" t="s">
        <v>564</v>
      </c>
      <c r="C459">
        <v>271544495.79535186</v>
      </c>
      <c r="D459">
        <v>279459760.62206042</v>
      </c>
      <c r="E459">
        <v>90448917.117117122</v>
      </c>
      <c r="F459">
        <v>110821106.3063063</v>
      </c>
      <c r="G459">
        <v>37</v>
      </c>
      <c r="H459">
        <v>19</v>
      </c>
      <c r="I459">
        <v>4</v>
      </c>
      <c r="K459">
        <v>52</v>
      </c>
      <c r="L459">
        <v>26</v>
      </c>
      <c r="M459">
        <v>108392342.34234233</v>
      </c>
      <c r="N459">
        <v>123044144.14414415</v>
      </c>
      <c r="O459">
        <v>73466009.009009004</v>
      </c>
      <c r="P459">
        <v>88291540.540540546</v>
      </c>
      <c r="Q459">
        <v>103369279.27927928</v>
      </c>
      <c r="R459">
        <v>108246666.66666667</v>
      </c>
      <c r="S459">
        <v>9440</v>
      </c>
      <c r="T459">
        <v>9023</v>
      </c>
    </row>
    <row r="460" spans="1:20" x14ac:dyDescent="0.35">
      <c r="A460" s="7" t="s">
        <v>565</v>
      </c>
      <c r="B460" s="12" t="s">
        <v>564</v>
      </c>
      <c r="C460">
        <v>42265354.664291024</v>
      </c>
      <c r="D460">
        <v>43799837.183919825</v>
      </c>
      <c r="E460">
        <v>6216216.2162162168</v>
      </c>
      <c r="F460">
        <v>3574774.7747747749</v>
      </c>
      <c r="G460">
        <v>13</v>
      </c>
      <c r="H460">
        <v>5</v>
      </c>
      <c r="K460">
        <v>14</v>
      </c>
      <c r="L460">
        <v>8</v>
      </c>
      <c r="M460">
        <v>5178378.3783783792</v>
      </c>
      <c r="N460">
        <v>6970720.7207207214</v>
      </c>
      <c r="O460">
        <v>14988153.153153151</v>
      </c>
      <c r="P460">
        <v>18249180.180180181</v>
      </c>
      <c r="Q460">
        <v>4083423.423423422</v>
      </c>
      <c r="R460">
        <v>3114504.5045045051</v>
      </c>
      <c r="S460">
        <v>1540</v>
      </c>
      <c r="T460">
        <v>1568</v>
      </c>
    </row>
    <row r="461" spans="1:20" x14ac:dyDescent="0.35">
      <c r="A461" s="7" t="s">
        <v>566</v>
      </c>
      <c r="B461" s="12" t="s">
        <v>123</v>
      </c>
      <c r="C461">
        <v>32350379.397556007</v>
      </c>
      <c r="D461">
        <v>34223913.609693028</v>
      </c>
      <c r="E461">
        <v>180180.18018018</v>
      </c>
      <c r="F461">
        <v>67567.567567567996</v>
      </c>
      <c r="G461">
        <v>15</v>
      </c>
      <c r="H461">
        <v>13</v>
      </c>
      <c r="K461">
        <v>17</v>
      </c>
      <c r="L461">
        <v>15</v>
      </c>
      <c r="M461">
        <v>180180.18018018</v>
      </c>
      <c r="N461">
        <v>67567.567567567996</v>
      </c>
      <c r="O461">
        <v>2969720.72072072</v>
      </c>
      <c r="P461">
        <v>4012297.297297297</v>
      </c>
      <c r="Q461">
        <v>118918.91891891899</v>
      </c>
      <c r="R461">
        <v>105405.405405406</v>
      </c>
      <c r="S461">
        <v>1350</v>
      </c>
      <c r="T461">
        <v>2299</v>
      </c>
    </row>
    <row r="462" spans="1:20" x14ac:dyDescent="0.35">
      <c r="A462" s="7" t="s">
        <v>567</v>
      </c>
      <c r="B462" s="12" t="s">
        <v>71</v>
      </c>
      <c r="C462">
        <v>254983511.85338619</v>
      </c>
      <c r="D462">
        <v>256879729.59134814</v>
      </c>
      <c r="E462">
        <v>3147747.7477477528</v>
      </c>
      <c r="F462">
        <v>2359009.0090090078</v>
      </c>
      <c r="G462">
        <v>55</v>
      </c>
      <c r="H462">
        <v>43</v>
      </c>
      <c r="K462">
        <v>63</v>
      </c>
      <c r="L462">
        <v>65</v>
      </c>
      <c r="M462">
        <v>41036036.036036037</v>
      </c>
      <c r="N462">
        <v>50222972.972972974</v>
      </c>
      <c r="O462">
        <v>106187540.54054055</v>
      </c>
      <c r="P462">
        <v>107810207.2072072</v>
      </c>
      <c r="Q462">
        <v>30283153.153153151</v>
      </c>
      <c r="R462">
        <v>57323153.153153159</v>
      </c>
      <c r="S462">
        <v>11100</v>
      </c>
      <c r="T462">
        <v>10270</v>
      </c>
    </row>
    <row r="463" spans="1:20" x14ac:dyDescent="0.35">
      <c r="A463" s="7" t="s">
        <v>568</v>
      </c>
      <c r="B463" s="12" t="s">
        <v>63</v>
      </c>
      <c r="C463">
        <v>462635791.75961536</v>
      </c>
      <c r="D463">
        <v>470793458.1965732</v>
      </c>
      <c r="E463">
        <v>8157824.3243243285</v>
      </c>
      <c r="F463">
        <v>5397297.2972972989</v>
      </c>
      <c r="G463">
        <v>133</v>
      </c>
      <c r="H463">
        <v>114</v>
      </c>
      <c r="K463">
        <v>229</v>
      </c>
      <c r="L463">
        <v>590</v>
      </c>
      <c r="M463">
        <v>68547387.38738738</v>
      </c>
      <c r="N463">
        <v>55465585.585585587</v>
      </c>
      <c r="O463">
        <v>105196211.7117117</v>
      </c>
      <c r="P463">
        <v>122182974.77477477</v>
      </c>
      <c r="Q463">
        <v>65004414.414414406</v>
      </c>
      <c r="R463">
        <v>63006036.036036029</v>
      </c>
      <c r="S463">
        <v>18092</v>
      </c>
      <c r="T463">
        <v>19253</v>
      </c>
    </row>
    <row r="464" spans="1:20" x14ac:dyDescent="0.35">
      <c r="A464" s="7" t="s">
        <v>569</v>
      </c>
      <c r="B464" s="12" t="s">
        <v>488</v>
      </c>
      <c r="C464">
        <v>211610181.84184307</v>
      </c>
      <c r="D464">
        <v>223063511.85913107</v>
      </c>
      <c r="E464">
        <v>27277477.477477483</v>
      </c>
      <c r="F464">
        <v>49535585.585585587</v>
      </c>
      <c r="G464">
        <v>66</v>
      </c>
      <c r="H464">
        <v>33</v>
      </c>
      <c r="K464">
        <v>79</v>
      </c>
      <c r="L464">
        <v>49</v>
      </c>
      <c r="M464">
        <v>26519594.594594602</v>
      </c>
      <c r="N464">
        <v>29280630.630630627</v>
      </c>
      <c r="O464">
        <v>64219313.513513513</v>
      </c>
      <c r="P464">
        <v>67555648.648648649</v>
      </c>
      <c r="Q464">
        <v>26491621.621621624</v>
      </c>
      <c r="R464">
        <v>32280090.090090092</v>
      </c>
      <c r="S464">
        <v>7950</v>
      </c>
      <c r="T464">
        <v>7691</v>
      </c>
    </row>
    <row r="465" spans="1:20" x14ac:dyDescent="0.35">
      <c r="A465" s="7" t="s">
        <v>570</v>
      </c>
      <c r="B465" s="12" t="s">
        <v>240</v>
      </c>
      <c r="C465">
        <v>36237728.54917109</v>
      </c>
      <c r="D465">
        <v>41597009.690076448</v>
      </c>
      <c r="E465">
        <v>54054.054054054999</v>
      </c>
      <c r="F465">
        <v>463963.96396396402</v>
      </c>
      <c r="G465">
        <v>12</v>
      </c>
      <c r="H465">
        <v>14</v>
      </c>
      <c r="K465">
        <v>15</v>
      </c>
      <c r="L465">
        <v>14</v>
      </c>
      <c r="M465">
        <v>2084414.414414413</v>
      </c>
      <c r="N465">
        <v>1999099.099099098</v>
      </c>
      <c r="O465">
        <v>12668054.054054054</v>
      </c>
      <c r="P465">
        <v>16562387.387387387</v>
      </c>
      <c r="Q465">
        <v>3048738.7387387371</v>
      </c>
      <c r="R465">
        <v>1658018.018018018</v>
      </c>
      <c r="S465">
        <v>2237</v>
      </c>
      <c r="T465">
        <v>2261</v>
      </c>
    </row>
    <row r="466" spans="1:20" x14ac:dyDescent="0.35">
      <c r="A466" s="7" t="s">
        <v>571</v>
      </c>
      <c r="B466" s="12" t="s">
        <v>61</v>
      </c>
      <c r="C466">
        <v>35411747.602114648</v>
      </c>
      <c r="D466">
        <v>36504231.507702306</v>
      </c>
      <c r="E466">
        <v>1053153.153153151</v>
      </c>
      <c r="F466">
        <v>460360.360360361</v>
      </c>
      <c r="G466">
        <v>14</v>
      </c>
      <c r="H466">
        <v>17</v>
      </c>
      <c r="K466">
        <v>30</v>
      </c>
      <c r="L466">
        <v>37</v>
      </c>
      <c r="M466">
        <v>10800900.900900902</v>
      </c>
      <c r="N466">
        <v>9072972.9729729742</v>
      </c>
      <c r="O466">
        <v>13679522.522522522</v>
      </c>
      <c r="P466">
        <v>12846126.126126124</v>
      </c>
      <c r="Q466">
        <v>10601981.981981982</v>
      </c>
      <c r="R466">
        <v>8030450.4504504502</v>
      </c>
      <c r="S466">
        <v>1314</v>
      </c>
      <c r="T466">
        <v>1186</v>
      </c>
    </row>
    <row r="467" spans="1:20" x14ac:dyDescent="0.35">
      <c r="A467" s="7" t="s">
        <v>572</v>
      </c>
      <c r="B467" s="12" t="s">
        <v>573</v>
      </c>
      <c r="C467">
        <v>195350489.80145258</v>
      </c>
      <c r="D467">
        <v>225491274.88817927</v>
      </c>
      <c r="E467">
        <v>456014980.18018013</v>
      </c>
      <c r="F467">
        <v>151317872.07207206</v>
      </c>
      <c r="G467">
        <v>113</v>
      </c>
      <c r="H467">
        <v>143</v>
      </c>
      <c r="I467">
        <v>3</v>
      </c>
      <c r="K467">
        <v>441</v>
      </c>
      <c r="L467">
        <v>282</v>
      </c>
      <c r="M467">
        <v>313550218.01801807</v>
      </c>
      <c r="N467">
        <v>89180327.027027026</v>
      </c>
      <c r="O467">
        <v>85162828.828828827</v>
      </c>
      <c r="P467">
        <v>99178486.48648648</v>
      </c>
      <c r="Q467">
        <v>155220028.82882884</v>
      </c>
      <c r="R467">
        <v>188599190.99099097</v>
      </c>
      <c r="S467">
        <v>8859</v>
      </c>
      <c r="T467">
        <v>8459</v>
      </c>
    </row>
    <row r="468" spans="1:20" x14ac:dyDescent="0.35">
      <c r="A468" s="7" t="s">
        <v>574</v>
      </c>
      <c r="B468" s="12" t="s">
        <v>573</v>
      </c>
      <c r="C468">
        <v>261732749.91561186</v>
      </c>
      <c r="D468">
        <v>305740112.0142501</v>
      </c>
      <c r="E468">
        <v>2362162.162162168</v>
      </c>
      <c r="F468">
        <v>2274324.3243243322</v>
      </c>
      <c r="G468">
        <v>110</v>
      </c>
      <c r="H468">
        <v>57</v>
      </c>
      <c r="K468">
        <v>128</v>
      </c>
      <c r="L468">
        <v>178</v>
      </c>
      <c r="M468">
        <v>21428785.585585583</v>
      </c>
      <c r="N468">
        <v>30922297.297297299</v>
      </c>
      <c r="O468">
        <v>109193954.95495497</v>
      </c>
      <c r="P468">
        <v>129002612.61261261</v>
      </c>
      <c r="Q468">
        <v>21549954.954954956</v>
      </c>
      <c r="R468">
        <v>29234909.909909908</v>
      </c>
      <c r="S468">
        <v>11676</v>
      </c>
      <c r="T468">
        <v>12867</v>
      </c>
    </row>
    <row r="469" spans="1:20" x14ac:dyDescent="0.35">
      <c r="A469" s="7" t="s">
        <v>575</v>
      </c>
      <c r="B469" s="12" t="s">
        <v>573</v>
      </c>
      <c r="C469">
        <v>194098887.96926108</v>
      </c>
      <c r="D469">
        <v>217572789.093528</v>
      </c>
      <c r="E469">
        <v>2832664.8648648672</v>
      </c>
      <c r="F469">
        <v>1444982.882882884</v>
      </c>
      <c r="G469">
        <v>113</v>
      </c>
      <c r="H469">
        <v>86</v>
      </c>
      <c r="K469">
        <v>286</v>
      </c>
      <c r="L469">
        <v>153</v>
      </c>
      <c r="M469">
        <v>24548334.234234232</v>
      </c>
      <c r="N469">
        <v>33445856.75675676</v>
      </c>
      <c r="O469">
        <v>90483837.837837845</v>
      </c>
      <c r="P469">
        <v>102415477.47747748</v>
      </c>
      <c r="Q469">
        <v>21905855.855855856</v>
      </c>
      <c r="R469">
        <v>33528558.558558565</v>
      </c>
      <c r="S469">
        <v>11487</v>
      </c>
      <c r="T469">
        <v>11895</v>
      </c>
    </row>
    <row r="470" spans="1:20" x14ac:dyDescent="0.35">
      <c r="A470" s="7" t="s">
        <v>576</v>
      </c>
      <c r="B470" s="12" t="s">
        <v>573</v>
      </c>
      <c r="C470">
        <v>126411958.34261884</v>
      </c>
      <c r="D470">
        <v>137589821.94170424</v>
      </c>
      <c r="E470">
        <v>1932432.4324324371</v>
      </c>
      <c r="F470">
        <v>2382882.8828828838</v>
      </c>
      <c r="G470">
        <v>11</v>
      </c>
      <c r="H470">
        <v>11</v>
      </c>
      <c r="K470">
        <v>18</v>
      </c>
      <c r="L470">
        <v>12</v>
      </c>
      <c r="M470">
        <v>22176637.837837838</v>
      </c>
      <c r="N470">
        <v>33007882.882882886</v>
      </c>
      <c r="O470">
        <v>75137801.801801801</v>
      </c>
      <c r="P470">
        <v>77558189.189189181</v>
      </c>
      <c r="Q470">
        <v>15856396.396396397</v>
      </c>
      <c r="R470">
        <v>32147612.612612616</v>
      </c>
      <c r="S470">
        <v>6378</v>
      </c>
      <c r="T470">
        <v>7484</v>
      </c>
    </row>
    <row r="471" spans="1:20" x14ac:dyDescent="0.35">
      <c r="A471" s="7" t="s">
        <v>577</v>
      </c>
      <c r="B471" s="12" t="s">
        <v>573</v>
      </c>
      <c r="C471">
        <v>75326265.371378914</v>
      </c>
      <c r="D471">
        <v>79328683.779645026</v>
      </c>
      <c r="E471">
        <v>36286486.486486487</v>
      </c>
      <c r="F471">
        <v>90535585.585585579</v>
      </c>
      <c r="G471">
        <v>21</v>
      </c>
      <c r="H471">
        <v>24</v>
      </c>
      <c r="I471">
        <v>2</v>
      </c>
      <c r="K471">
        <v>26</v>
      </c>
      <c r="L471">
        <v>25</v>
      </c>
      <c r="M471">
        <v>28339407.207207207</v>
      </c>
      <c r="N471">
        <v>28770495.495495494</v>
      </c>
      <c r="O471">
        <v>31428081.081081081</v>
      </c>
      <c r="P471">
        <v>35723981.981981985</v>
      </c>
      <c r="Q471">
        <v>10769369.369369373</v>
      </c>
      <c r="R471">
        <v>23818423.423423424</v>
      </c>
      <c r="S471">
        <v>5120</v>
      </c>
      <c r="T471">
        <v>5016</v>
      </c>
    </row>
    <row r="472" spans="1:20" x14ac:dyDescent="0.35">
      <c r="A472" s="7" t="s">
        <v>578</v>
      </c>
      <c r="B472" s="12" t="s">
        <v>49</v>
      </c>
      <c r="C472">
        <v>168451261.81244943</v>
      </c>
      <c r="D472">
        <v>194317273.33048767</v>
      </c>
      <c r="E472">
        <v>379279.279279279</v>
      </c>
      <c r="F472">
        <v>460360.36036036001</v>
      </c>
      <c r="G472">
        <v>3</v>
      </c>
      <c r="H472">
        <v>5</v>
      </c>
      <c r="K472">
        <v>4</v>
      </c>
      <c r="L472">
        <v>5</v>
      </c>
      <c r="M472">
        <v>5784684.6846846836</v>
      </c>
      <c r="N472">
        <v>8118018.0180180185</v>
      </c>
      <c r="O472">
        <v>20293837.837837841</v>
      </c>
      <c r="P472">
        <v>24536412.612612613</v>
      </c>
      <c r="Q472">
        <v>6538378.3783783782</v>
      </c>
      <c r="R472">
        <v>8007610.81081081</v>
      </c>
      <c r="S472">
        <v>5987</v>
      </c>
      <c r="T472">
        <v>6109</v>
      </c>
    </row>
    <row r="473" spans="1:20" x14ac:dyDescent="0.35">
      <c r="A473" s="7" t="s">
        <v>579</v>
      </c>
      <c r="B473" s="12" t="s">
        <v>171</v>
      </c>
      <c r="C473">
        <v>2390056182.2130828</v>
      </c>
      <c r="D473">
        <v>1554443931.4051466</v>
      </c>
      <c r="E473">
        <v>1874692598.1981983</v>
      </c>
      <c r="F473">
        <v>1871072980.1801803</v>
      </c>
      <c r="G473">
        <v>837</v>
      </c>
      <c r="H473">
        <v>367</v>
      </c>
      <c r="I473">
        <v>7</v>
      </c>
      <c r="K473">
        <v>1058</v>
      </c>
      <c r="L473">
        <v>918</v>
      </c>
      <c r="M473">
        <v>339332612.61261261</v>
      </c>
      <c r="N473">
        <v>360836891.8918919</v>
      </c>
      <c r="O473">
        <v>1588594463.0630631</v>
      </c>
      <c r="P473">
        <v>1582293554.9549551</v>
      </c>
      <c r="Q473">
        <v>327869682.88288289</v>
      </c>
      <c r="R473">
        <v>358701980.18018013</v>
      </c>
      <c r="S473">
        <v>56860</v>
      </c>
      <c r="T473">
        <v>57142</v>
      </c>
    </row>
    <row r="474" spans="1:20" x14ac:dyDescent="0.35">
      <c r="A474" s="7" t="s">
        <v>580</v>
      </c>
      <c r="B474" s="12" t="s">
        <v>224</v>
      </c>
      <c r="C474">
        <v>151645135.9269996</v>
      </c>
      <c r="D474">
        <v>159331057.52319995</v>
      </c>
      <c r="E474">
        <v>639639.63963964104</v>
      </c>
      <c r="F474">
        <v>1625225.225225223</v>
      </c>
      <c r="G474">
        <v>13</v>
      </c>
      <c r="H474">
        <v>15</v>
      </c>
      <c r="K474">
        <v>14</v>
      </c>
      <c r="L474">
        <v>18</v>
      </c>
      <c r="M474">
        <v>5982612.6126126088</v>
      </c>
      <c r="N474">
        <v>17856756.756756753</v>
      </c>
      <c r="O474">
        <v>23919045.045045044</v>
      </c>
      <c r="P474">
        <v>29073601.801801801</v>
      </c>
      <c r="Q474">
        <v>4954234.2342342306</v>
      </c>
      <c r="R474">
        <v>16539189.189189186</v>
      </c>
      <c r="S474">
        <v>4445</v>
      </c>
      <c r="T474">
        <v>5062</v>
      </c>
    </row>
    <row r="475" spans="1:20" x14ac:dyDescent="0.35">
      <c r="A475" s="7" t="s">
        <v>581</v>
      </c>
      <c r="B475" s="12" t="s">
        <v>86</v>
      </c>
      <c r="C475">
        <v>183976754.9027203</v>
      </c>
      <c r="D475">
        <v>207643476.26369143</v>
      </c>
      <c r="E475">
        <v>225225.22522522701</v>
      </c>
      <c r="F475">
        <v>1829729.7297297299</v>
      </c>
      <c r="G475">
        <v>13</v>
      </c>
      <c r="H475">
        <v>6</v>
      </c>
      <c r="K475">
        <v>16</v>
      </c>
      <c r="L475">
        <v>6</v>
      </c>
      <c r="M475">
        <v>17761261.261261269</v>
      </c>
      <c r="N475">
        <v>55128918.918918923</v>
      </c>
      <c r="O475">
        <v>42475439.639639638</v>
      </c>
      <c r="P475">
        <v>52945172.972972974</v>
      </c>
      <c r="Q475">
        <v>14358468.468468472</v>
      </c>
      <c r="R475">
        <v>44542612.612612613</v>
      </c>
      <c r="S475">
        <v>5408</v>
      </c>
      <c r="T475">
        <v>5263</v>
      </c>
    </row>
    <row r="476" spans="1:20" x14ac:dyDescent="0.35">
      <c r="A476" s="7" t="s">
        <v>582</v>
      </c>
      <c r="B476" s="12" t="s">
        <v>488</v>
      </c>
      <c r="C476">
        <v>104008739.02783418</v>
      </c>
      <c r="D476">
        <v>92381284.533946291</v>
      </c>
      <c r="E476">
        <v>1835135.13513514</v>
      </c>
      <c r="F476">
        <v>2060360.360360364</v>
      </c>
      <c r="G476">
        <v>55</v>
      </c>
      <c r="H476">
        <v>41</v>
      </c>
      <c r="K476">
        <v>71</v>
      </c>
      <c r="L476">
        <v>51</v>
      </c>
      <c r="M476">
        <v>13107207.20720721</v>
      </c>
      <c r="N476">
        <v>24613513.513513513</v>
      </c>
      <c r="O476">
        <v>43893944.144144148</v>
      </c>
      <c r="P476">
        <v>41001846.846846849</v>
      </c>
      <c r="Q476">
        <v>14186936.936936937</v>
      </c>
      <c r="R476">
        <v>25249279.27927928</v>
      </c>
      <c r="S476">
        <v>5211</v>
      </c>
      <c r="T476">
        <v>5247</v>
      </c>
    </row>
    <row r="477" spans="1:20" x14ac:dyDescent="0.35">
      <c r="A477" s="7" t="s">
        <v>583</v>
      </c>
      <c r="B477" s="12" t="s">
        <v>95</v>
      </c>
      <c r="C477">
        <v>250514659.20874795</v>
      </c>
      <c r="D477">
        <v>282087155.93154216</v>
      </c>
      <c r="E477">
        <v>1582882.8828828849</v>
      </c>
      <c r="F477">
        <v>1872072.0720720741</v>
      </c>
      <c r="G477">
        <v>41</v>
      </c>
      <c r="H477">
        <v>55</v>
      </c>
      <c r="K477">
        <v>60</v>
      </c>
      <c r="L477">
        <v>224</v>
      </c>
      <c r="M477">
        <v>656537837.83783782</v>
      </c>
      <c r="N477">
        <v>19115315.315315317</v>
      </c>
      <c r="O477">
        <v>58536257.20720721</v>
      </c>
      <c r="P477">
        <v>68615124.324324325</v>
      </c>
      <c r="Q477">
        <v>23876306.306306303</v>
      </c>
      <c r="R477">
        <v>18907387.387387387</v>
      </c>
      <c r="S477">
        <v>9706</v>
      </c>
      <c r="T477">
        <v>9749</v>
      </c>
    </row>
    <row r="478" spans="1:20" x14ac:dyDescent="0.35">
      <c r="A478" s="7" t="s">
        <v>584</v>
      </c>
      <c r="B478" s="12" t="s">
        <v>313</v>
      </c>
      <c r="C478">
        <v>581912834.64923143</v>
      </c>
      <c r="D478">
        <v>618087229.442855</v>
      </c>
      <c r="E478">
        <v>7154954.9549549632</v>
      </c>
      <c r="F478">
        <v>6329279.2792792814</v>
      </c>
      <c r="G478">
        <v>160</v>
      </c>
      <c r="H478">
        <v>251</v>
      </c>
      <c r="I478">
        <v>4</v>
      </c>
      <c r="K478">
        <v>206</v>
      </c>
      <c r="L478">
        <v>351</v>
      </c>
      <c r="M478">
        <v>481821261.26126122</v>
      </c>
      <c r="N478">
        <v>211839819.81981981</v>
      </c>
      <c r="O478">
        <v>231567136.03603604</v>
      </c>
      <c r="P478">
        <v>262883621.62162164</v>
      </c>
      <c r="Q478">
        <v>102501801.8018018</v>
      </c>
      <c r="R478">
        <v>80143333.333333328</v>
      </c>
      <c r="S478">
        <v>32120</v>
      </c>
      <c r="T478">
        <v>33507</v>
      </c>
    </row>
    <row r="479" spans="1:20" x14ac:dyDescent="0.35">
      <c r="A479" s="7" t="s">
        <v>10</v>
      </c>
      <c r="B479" s="12" t="s">
        <v>196</v>
      </c>
      <c r="C479">
        <v>89894282.784444734</v>
      </c>
      <c r="D479">
        <v>96167397.773160249</v>
      </c>
      <c r="G479">
        <v>11</v>
      </c>
      <c r="H479">
        <v>3</v>
      </c>
      <c r="K479">
        <v>14</v>
      </c>
      <c r="L479">
        <v>5</v>
      </c>
      <c r="O479">
        <v>53496511.711711712</v>
      </c>
      <c r="P479">
        <v>58013909.909909911</v>
      </c>
      <c r="Q479">
        <v>19639.639639640001</v>
      </c>
      <c r="R479">
        <v>399009.009009008</v>
      </c>
      <c r="S479">
        <v>3562</v>
      </c>
      <c r="T479">
        <v>3778</v>
      </c>
    </row>
    <row r="480" spans="1:20" x14ac:dyDescent="0.35">
      <c r="A480" s="7" t="s">
        <v>585</v>
      </c>
      <c r="B480" s="12" t="s">
        <v>88</v>
      </c>
      <c r="C480">
        <v>2177024.5358572798</v>
      </c>
      <c r="D480">
        <v>2576020.253118535</v>
      </c>
      <c r="G480">
        <v>8</v>
      </c>
      <c r="H480">
        <v>1</v>
      </c>
      <c r="K480">
        <v>9</v>
      </c>
      <c r="L480">
        <v>2</v>
      </c>
      <c r="O480">
        <v>763349.54954955005</v>
      </c>
      <c r="P480">
        <v>813738.73873873905</v>
      </c>
      <c r="S480">
        <v>224</v>
      </c>
      <c r="T480">
        <v>196</v>
      </c>
    </row>
    <row r="481" spans="1:20" x14ac:dyDescent="0.35">
      <c r="A481" s="7" t="s">
        <v>586</v>
      </c>
      <c r="B481" s="12" t="s">
        <v>288</v>
      </c>
      <c r="C481">
        <v>131955829.14077225</v>
      </c>
      <c r="D481">
        <v>142349340.84951404</v>
      </c>
      <c r="E481">
        <v>242342.34234234199</v>
      </c>
      <c r="F481">
        <v>345945.94594594598</v>
      </c>
      <c r="G481">
        <v>13</v>
      </c>
      <c r="H481">
        <v>3</v>
      </c>
      <c r="K481">
        <v>14</v>
      </c>
      <c r="L481">
        <v>4</v>
      </c>
      <c r="M481">
        <v>14098198.198198197</v>
      </c>
      <c r="N481">
        <v>11697297.297297295</v>
      </c>
      <c r="O481">
        <v>21756558.558558561</v>
      </c>
      <c r="P481">
        <v>23488351.351351351</v>
      </c>
      <c r="Q481">
        <v>15124684.684684685</v>
      </c>
      <c r="R481">
        <v>10860090.090090092</v>
      </c>
      <c r="S481">
        <v>3512</v>
      </c>
      <c r="T481">
        <v>3511</v>
      </c>
    </row>
    <row r="482" spans="1:20" x14ac:dyDescent="0.35">
      <c r="A482" s="7" t="s">
        <v>587</v>
      </c>
      <c r="B482" s="12" t="s">
        <v>313</v>
      </c>
      <c r="C482">
        <v>550451756.51870811</v>
      </c>
      <c r="D482">
        <v>596978738.11418164</v>
      </c>
      <c r="E482">
        <v>5025675.6756756799</v>
      </c>
      <c r="F482">
        <v>3494144.1441441439</v>
      </c>
      <c r="G482">
        <v>206</v>
      </c>
      <c r="H482">
        <v>147</v>
      </c>
      <c r="K482">
        <v>259</v>
      </c>
      <c r="L482">
        <v>178</v>
      </c>
      <c r="M482">
        <v>96462792.792792797</v>
      </c>
      <c r="N482">
        <v>182011171.17117116</v>
      </c>
      <c r="O482">
        <v>233971738.73873875</v>
      </c>
      <c r="P482">
        <v>250824000</v>
      </c>
      <c r="Q482">
        <v>58239459.459459461</v>
      </c>
      <c r="R482">
        <v>58185405.405405402</v>
      </c>
      <c r="S482">
        <v>39349</v>
      </c>
      <c r="T482">
        <v>40435</v>
      </c>
    </row>
    <row r="483" spans="1:20" x14ac:dyDescent="0.35">
      <c r="A483" s="7" t="s">
        <v>588</v>
      </c>
      <c r="B483" s="12" t="s">
        <v>336</v>
      </c>
      <c r="C483">
        <v>515342261.21716648</v>
      </c>
      <c r="D483">
        <v>543510215.5070821</v>
      </c>
      <c r="E483">
        <v>4995045.0450450517</v>
      </c>
      <c r="F483">
        <v>3406756.7567567588</v>
      </c>
      <c r="G483">
        <v>198</v>
      </c>
      <c r="H483">
        <v>149</v>
      </c>
      <c r="I483">
        <v>11</v>
      </c>
      <c r="K483">
        <v>244</v>
      </c>
      <c r="L483">
        <v>204</v>
      </c>
      <c r="M483">
        <v>41799099.0990991</v>
      </c>
      <c r="N483">
        <v>56396396.396396399</v>
      </c>
      <c r="O483">
        <v>114597844.5945946</v>
      </c>
      <c r="P483">
        <v>122935340.54054055</v>
      </c>
      <c r="Q483">
        <v>42495225.225225225</v>
      </c>
      <c r="R483">
        <v>50673963.963963971</v>
      </c>
      <c r="S483">
        <v>27910</v>
      </c>
      <c r="T483">
        <v>29100</v>
      </c>
    </row>
    <row r="484" spans="1:20" x14ac:dyDescent="0.35">
      <c r="A484" s="7" t="s">
        <v>589</v>
      </c>
      <c r="B484" s="12" t="s">
        <v>67</v>
      </c>
      <c r="C484">
        <v>78210854.093432903</v>
      </c>
      <c r="D484">
        <v>81411474.805835798</v>
      </c>
      <c r="E484">
        <v>187807207.2072072</v>
      </c>
      <c r="F484">
        <v>194635135.13513514</v>
      </c>
      <c r="G484">
        <v>11</v>
      </c>
      <c r="H484">
        <v>3</v>
      </c>
      <c r="K484">
        <v>14</v>
      </c>
      <c r="L484">
        <v>4</v>
      </c>
      <c r="M484">
        <v>12634684.684684685</v>
      </c>
      <c r="N484">
        <v>6744684.6846846836</v>
      </c>
      <c r="O484">
        <v>19978855.855855856</v>
      </c>
      <c r="P484">
        <v>19875135.135135137</v>
      </c>
      <c r="Q484">
        <v>2218918.9189189202</v>
      </c>
      <c r="R484">
        <v>2028378.3783783771</v>
      </c>
      <c r="S484">
        <v>3271</v>
      </c>
      <c r="T484">
        <v>3431</v>
      </c>
    </row>
    <row r="485" spans="1:20" x14ac:dyDescent="0.35">
      <c r="A485" s="7" t="s">
        <v>590</v>
      </c>
      <c r="B485" s="12" t="s">
        <v>240</v>
      </c>
      <c r="C485">
        <v>12011.332970474001</v>
      </c>
      <c r="D485">
        <v>10054.489173591999</v>
      </c>
      <c r="P485">
        <v>34234.234234233998</v>
      </c>
    </row>
    <row r="486" spans="1:20" x14ac:dyDescent="0.35">
      <c r="A486" s="7" t="s">
        <v>591</v>
      </c>
      <c r="B486" s="12" t="s">
        <v>63</v>
      </c>
      <c r="C486">
        <v>205819779.60753554</v>
      </c>
      <c r="D486">
        <v>219885791.73190761</v>
      </c>
      <c r="E486">
        <v>1907207.207207215</v>
      </c>
      <c r="F486">
        <v>1196396.396396399</v>
      </c>
      <c r="G486">
        <v>121</v>
      </c>
      <c r="H486">
        <v>22</v>
      </c>
      <c r="K486">
        <v>124</v>
      </c>
      <c r="L486">
        <v>32</v>
      </c>
      <c r="M486">
        <v>17942702.702702705</v>
      </c>
      <c r="N486">
        <v>17483423.423423428</v>
      </c>
      <c r="O486">
        <v>45096567.567567565</v>
      </c>
      <c r="P486">
        <v>54668225.225225225</v>
      </c>
      <c r="Q486">
        <v>16514954.95495495</v>
      </c>
      <c r="R486">
        <v>16849189.189189196</v>
      </c>
      <c r="S486">
        <v>6661</v>
      </c>
      <c r="T486">
        <v>6800</v>
      </c>
    </row>
    <row r="487" spans="1:20" x14ac:dyDescent="0.35">
      <c r="A487" s="7" t="s">
        <v>592</v>
      </c>
      <c r="B487" s="12" t="s">
        <v>49</v>
      </c>
      <c r="C487">
        <v>192533230.52356386</v>
      </c>
      <c r="D487">
        <v>179825120.84977964</v>
      </c>
      <c r="E487">
        <v>419819.81981982</v>
      </c>
      <c r="F487">
        <v>3783783.7837837851</v>
      </c>
      <c r="G487">
        <v>24</v>
      </c>
      <c r="H487">
        <v>1</v>
      </c>
      <c r="K487">
        <v>24</v>
      </c>
      <c r="L487">
        <v>2</v>
      </c>
      <c r="M487">
        <v>43760810.810810804</v>
      </c>
      <c r="N487">
        <v>21486486.486486487</v>
      </c>
      <c r="O487">
        <v>27320036.036036037</v>
      </c>
      <c r="P487">
        <v>30282135.135135137</v>
      </c>
      <c r="Q487">
        <v>35524594.594594598</v>
      </c>
      <c r="R487">
        <v>48953243.243243247</v>
      </c>
      <c r="S487">
        <v>5198</v>
      </c>
      <c r="T487">
        <v>5249</v>
      </c>
    </row>
    <row r="488" spans="1:20" x14ac:dyDescent="0.35">
      <c r="A488" s="7" t="s">
        <v>593</v>
      </c>
      <c r="B488" s="12" t="s">
        <v>55</v>
      </c>
      <c r="C488">
        <v>36957572.121127211</v>
      </c>
      <c r="D488">
        <v>38459201.288813777</v>
      </c>
      <c r="E488">
        <v>384684.68468468398</v>
      </c>
      <c r="F488">
        <v>646396.39639639703</v>
      </c>
      <c r="G488">
        <v>11</v>
      </c>
      <c r="H488">
        <v>10</v>
      </c>
      <c r="K488">
        <v>20</v>
      </c>
      <c r="L488">
        <v>14</v>
      </c>
      <c r="M488">
        <v>7036126.1261261227</v>
      </c>
      <c r="N488">
        <v>7322612.6126126116</v>
      </c>
      <c r="O488">
        <v>9260693.6936936919</v>
      </c>
      <c r="P488">
        <v>10142099.0990991</v>
      </c>
      <c r="Q488">
        <v>6124054.0540540554</v>
      </c>
      <c r="R488">
        <v>6215585.5855855858</v>
      </c>
      <c r="S488">
        <v>2239</v>
      </c>
      <c r="T488">
        <v>2003</v>
      </c>
    </row>
    <row r="489" spans="1:20" x14ac:dyDescent="0.35">
      <c r="A489" s="7" t="s">
        <v>594</v>
      </c>
      <c r="B489" s="12" t="s">
        <v>71</v>
      </c>
      <c r="C489">
        <v>94756663.65508832</v>
      </c>
      <c r="D489">
        <v>93723214.10828352</v>
      </c>
      <c r="E489">
        <v>76576.576576577005</v>
      </c>
      <c r="F489">
        <v>18918.918918919</v>
      </c>
      <c r="G489">
        <v>21</v>
      </c>
      <c r="H489">
        <v>6</v>
      </c>
      <c r="I489">
        <v>2</v>
      </c>
      <c r="K489">
        <v>22</v>
      </c>
      <c r="L489">
        <v>8</v>
      </c>
      <c r="M489">
        <v>1035135.135135136</v>
      </c>
      <c r="N489">
        <v>361261.261261262</v>
      </c>
      <c r="O489">
        <v>42034657.657657653</v>
      </c>
      <c r="P489">
        <v>42370153.153153151</v>
      </c>
      <c r="Q489">
        <v>1140090.0900900911</v>
      </c>
      <c r="R489">
        <v>361261.261261262</v>
      </c>
      <c r="S489">
        <v>3684</v>
      </c>
      <c r="T489">
        <v>3660</v>
      </c>
    </row>
    <row r="490" spans="1:20" x14ac:dyDescent="0.35">
      <c r="A490" s="7" t="s">
        <v>595</v>
      </c>
      <c r="B490" s="12" t="s">
        <v>336</v>
      </c>
      <c r="C490">
        <v>351534069.32255733</v>
      </c>
      <c r="D490">
        <v>352258532.34566891</v>
      </c>
      <c r="E490">
        <v>3696396.3963963971</v>
      </c>
      <c r="F490">
        <v>1271171.171171173</v>
      </c>
      <c r="G490">
        <v>150</v>
      </c>
      <c r="H490">
        <v>138</v>
      </c>
      <c r="K490">
        <v>181</v>
      </c>
      <c r="L490">
        <v>170</v>
      </c>
      <c r="M490">
        <v>37287387.387387387</v>
      </c>
      <c r="N490">
        <v>29074549.54954955</v>
      </c>
      <c r="O490">
        <v>90289291.891891882</v>
      </c>
      <c r="P490">
        <v>94168825.225225225</v>
      </c>
      <c r="Q490">
        <v>33021441.441441439</v>
      </c>
      <c r="R490">
        <v>28782657.657657657</v>
      </c>
      <c r="S490">
        <v>21110</v>
      </c>
      <c r="T490">
        <v>19687</v>
      </c>
    </row>
    <row r="491" spans="1:20" x14ac:dyDescent="0.35">
      <c r="A491" s="7" t="s">
        <v>596</v>
      </c>
      <c r="B491" s="12" t="s">
        <v>67</v>
      </c>
      <c r="C491">
        <v>165788305.13689104</v>
      </c>
      <c r="D491">
        <v>188489782.79847413</v>
      </c>
      <c r="E491">
        <v>709844968.46846843</v>
      </c>
      <c r="F491">
        <v>649430513.51351345</v>
      </c>
      <c r="G491">
        <v>55</v>
      </c>
      <c r="H491">
        <v>46</v>
      </c>
      <c r="K491">
        <v>79</v>
      </c>
      <c r="L491">
        <v>54</v>
      </c>
      <c r="M491">
        <v>65755270.270270273</v>
      </c>
      <c r="N491">
        <v>150467478.37837836</v>
      </c>
      <c r="O491">
        <v>81721846.846846849</v>
      </c>
      <c r="P491">
        <v>95151558.558558553</v>
      </c>
      <c r="Q491">
        <v>31410405.405405402</v>
      </c>
      <c r="R491">
        <v>25040630.630630631</v>
      </c>
      <c r="S491">
        <v>10598</v>
      </c>
      <c r="T491">
        <v>10799</v>
      </c>
    </row>
    <row r="492" spans="1:20" x14ac:dyDescent="0.35">
      <c r="A492" s="7" t="s">
        <v>11</v>
      </c>
      <c r="B492" s="12" t="s">
        <v>196</v>
      </c>
      <c r="C492">
        <v>77677894.610638529</v>
      </c>
      <c r="D492">
        <v>77046275.15473333</v>
      </c>
      <c r="E492">
        <v>112612.612612615</v>
      </c>
      <c r="F492">
        <v>18018.018018018</v>
      </c>
      <c r="G492">
        <v>18</v>
      </c>
      <c r="H492">
        <v>13</v>
      </c>
      <c r="K492">
        <v>21</v>
      </c>
      <c r="L492">
        <v>15</v>
      </c>
      <c r="M492">
        <v>1914414.4144144161</v>
      </c>
      <c r="N492">
        <v>2450450.4504504511</v>
      </c>
      <c r="O492">
        <v>26382477.47747748</v>
      </c>
      <c r="P492">
        <v>31843855.855855856</v>
      </c>
      <c r="Q492">
        <v>1468468.4684684691</v>
      </c>
      <c r="R492">
        <v>1503333.333333334</v>
      </c>
      <c r="S492">
        <v>4975</v>
      </c>
      <c r="T492">
        <v>3937</v>
      </c>
    </row>
    <row r="493" spans="1:20" x14ac:dyDescent="0.35">
      <c r="A493" s="7" t="s">
        <v>12</v>
      </c>
      <c r="B493" s="12" t="s">
        <v>196</v>
      </c>
      <c r="C493">
        <v>50107956.770537518</v>
      </c>
      <c r="D493">
        <v>52826846.755047627</v>
      </c>
      <c r="E493">
        <v>2304504.5045045069</v>
      </c>
      <c r="F493">
        <v>109909.90990991</v>
      </c>
      <c r="G493">
        <v>6</v>
      </c>
      <c r="H493">
        <v>10</v>
      </c>
      <c r="K493">
        <v>7</v>
      </c>
      <c r="L493">
        <v>12</v>
      </c>
      <c r="M493">
        <v>5457657.6576576587</v>
      </c>
      <c r="N493">
        <v>560360.36036036001</v>
      </c>
      <c r="O493">
        <v>20235531.531531531</v>
      </c>
      <c r="P493">
        <v>23567234.234234232</v>
      </c>
      <c r="Q493">
        <v>6950180.1801801808</v>
      </c>
      <c r="R493">
        <v>2191891.8918918911</v>
      </c>
      <c r="S493">
        <v>3058</v>
      </c>
      <c r="T493">
        <v>2917</v>
      </c>
    </row>
    <row r="494" spans="1:20" x14ac:dyDescent="0.35">
      <c r="A494" s="7" t="s">
        <v>597</v>
      </c>
      <c r="B494" s="12" t="s">
        <v>61</v>
      </c>
      <c r="C494">
        <v>44090297.010551877</v>
      </c>
      <c r="D494">
        <v>45989715.472208597</v>
      </c>
      <c r="E494">
        <v>352252.25225225202</v>
      </c>
      <c r="F494">
        <v>704954.95495495596</v>
      </c>
      <c r="G494">
        <v>12</v>
      </c>
      <c r="H494">
        <v>5</v>
      </c>
      <c r="I494">
        <v>2</v>
      </c>
      <c r="K494">
        <v>23</v>
      </c>
      <c r="L494">
        <v>11</v>
      </c>
      <c r="M494">
        <v>7045945.9459459446</v>
      </c>
      <c r="N494">
        <v>7569819.8198198192</v>
      </c>
      <c r="O494">
        <v>16523921.17117117</v>
      </c>
      <c r="P494">
        <v>16797187.387387387</v>
      </c>
      <c r="Q494">
        <v>7302702.702702703</v>
      </c>
      <c r="R494">
        <v>6861935.1351351347</v>
      </c>
      <c r="S494">
        <v>1638</v>
      </c>
      <c r="T494">
        <v>1934</v>
      </c>
    </row>
    <row r="495" spans="1:20" x14ac:dyDescent="0.35">
      <c r="A495" s="7" t="s">
        <v>598</v>
      </c>
      <c r="B495" s="12" t="s">
        <v>313</v>
      </c>
      <c r="C495">
        <v>1198929913.7611699</v>
      </c>
      <c r="D495">
        <v>1262401590.8377187</v>
      </c>
      <c r="E495">
        <v>872352564.86486495</v>
      </c>
      <c r="F495">
        <v>1024823863.963964</v>
      </c>
      <c r="G495">
        <v>351</v>
      </c>
      <c r="H495">
        <v>302</v>
      </c>
      <c r="I495">
        <v>1</v>
      </c>
      <c r="K495">
        <v>446</v>
      </c>
      <c r="L495">
        <v>387</v>
      </c>
      <c r="M495">
        <v>418821891.8918919</v>
      </c>
      <c r="N495">
        <v>374608018.01801807</v>
      </c>
      <c r="O495">
        <v>387053959.45945948</v>
      </c>
      <c r="P495">
        <v>427063504.5045045</v>
      </c>
      <c r="Q495">
        <v>209345405.4054054</v>
      </c>
      <c r="R495">
        <v>187202342.34234235</v>
      </c>
      <c r="S495">
        <v>64415</v>
      </c>
      <c r="T495">
        <v>63960</v>
      </c>
    </row>
    <row r="496" spans="1:20" x14ac:dyDescent="0.35">
      <c r="A496" s="7" t="s">
        <v>599</v>
      </c>
      <c r="B496" s="12" t="s">
        <v>53</v>
      </c>
      <c r="C496">
        <v>286618222.10510373</v>
      </c>
      <c r="D496">
        <v>315180182.07934225</v>
      </c>
      <c r="E496">
        <v>123161261.26126127</v>
      </c>
      <c r="F496">
        <v>87748648.648648649</v>
      </c>
      <c r="G496">
        <v>82</v>
      </c>
      <c r="H496">
        <v>114</v>
      </c>
      <c r="K496">
        <v>167</v>
      </c>
      <c r="L496">
        <v>202</v>
      </c>
      <c r="M496">
        <v>84520675.675675675</v>
      </c>
      <c r="N496">
        <v>118874549.54954955</v>
      </c>
      <c r="O496">
        <v>116912666.66666667</v>
      </c>
      <c r="P496">
        <v>132458513.51351352</v>
      </c>
      <c r="Q496">
        <v>99167162.162162155</v>
      </c>
      <c r="R496">
        <v>116484864.86486487</v>
      </c>
      <c r="S496">
        <v>13945</v>
      </c>
      <c r="T496">
        <v>14240</v>
      </c>
    </row>
    <row r="497" spans="1:20" x14ac:dyDescent="0.35">
      <c r="A497" s="7" t="s">
        <v>600</v>
      </c>
      <c r="B497" s="12" t="s">
        <v>55</v>
      </c>
      <c r="C497">
        <v>24808725.960230052</v>
      </c>
      <c r="D497">
        <v>25326606.153155733</v>
      </c>
      <c r="E497">
        <v>23532432.432432432</v>
      </c>
      <c r="F497">
        <v>79845045.045045033</v>
      </c>
      <c r="G497">
        <v>9</v>
      </c>
      <c r="H497">
        <v>26</v>
      </c>
      <c r="K497">
        <v>11</v>
      </c>
      <c r="L497">
        <v>29</v>
      </c>
      <c r="M497">
        <v>4514414.4144144133</v>
      </c>
      <c r="N497">
        <v>4450900.9009009013</v>
      </c>
      <c r="O497">
        <v>7621369.369369369</v>
      </c>
      <c r="P497">
        <v>8870063.0630630627</v>
      </c>
      <c r="Q497">
        <v>4271711.7117117131</v>
      </c>
      <c r="R497">
        <v>5717117.1171171172</v>
      </c>
      <c r="S497">
        <v>1482</v>
      </c>
      <c r="T497">
        <v>1508</v>
      </c>
    </row>
    <row r="498" spans="1:20" x14ac:dyDescent="0.35">
      <c r="A498" s="7" t="s">
        <v>601</v>
      </c>
      <c r="B498" s="12" t="s">
        <v>171</v>
      </c>
      <c r="C498">
        <v>678801340.65706718</v>
      </c>
      <c r="D498">
        <v>719910548.88667202</v>
      </c>
      <c r="E498">
        <v>3876351.3513513552</v>
      </c>
      <c r="F498">
        <v>6644144.1441441458</v>
      </c>
      <c r="G498">
        <v>44</v>
      </c>
      <c r="H498">
        <v>38</v>
      </c>
      <c r="I498">
        <v>1</v>
      </c>
      <c r="K498">
        <v>60</v>
      </c>
      <c r="L498">
        <v>52</v>
      </c>
      <c r="M498">
        <v>162143603.6036036</v>
      </c>
      <c r="N498">
        <v>128627027.02702703</v>
      </c>
      <c r="O498">
        <v>232610912.16216218</v>
      </c>
      <c r="P498">
        <v>257045144.14414412</v>
      </c>
      <c r="Q498">
        <v>137436306.3063063</v>
      </c>
      <c r="R498">
        <v>110588018.01801802</v>
      </c>
      <c r="S498">
        <v>23017</v>
      </c>
      <c r="T498">
        <v>23477</v>
      </c>
    </row>
    <row r="499" spans="1:20" x14ac:dyDescent="0.35">
      <c r="A499" s="7" t="s">
        <v>602</v>
      </c>
      <c r="B499" s="12" t="s">
        <v>88</v>
      </c>
      <c r="C499">
        <v>3601308.2130768928</v>
      </c>
      <c r="D499">
        <v>3174531.0723864809</v>
      </c>
      <c r="G499">
        <v>2</v>
      </c>
      <c r="K499">
        <v>2</v>
      </c>
      <c r="O499">
        <v>790270.27027027099</v>
      </c>
      <c r="P499">
        <v>1353738.738738738</v>
      </c>
      <c r="S499">
        <v>274</v>
      </c>
      <c r="T499">
        <v>294</v>
      </c>
    </row>
    <row r="500" spans="1:20" x14ac:dyDescent="0.35">
      <c r="A500" s="7" t="s">
        <v>36</v>
      </c>
      <c r="B500" s="12" t="s">
        <v>160</v>
      </c>
      <c r="E500">
        <v>329297434.23423421</v>
      </c>
      <c r="F500">
        <v>329660094.5945946</v>
      </c>
      <c r="M500">
        <v>20090090.090090089</v>
      </c>
      <c r="N500">
        <v>28918918.918918919</v>
      </c>
    </row>
    <row r="501" spans="1:20" x14ac:dyDescent="0.35">
      <c r="A501" s="7" t="s">
        <v>603</v>
      </c>
      <c r="B501" s="12" t="s">
        <v>145</v>
      </c>
      <c r="C501">
        <v>51606259.16400905</v>
      </c>
      <c r="D501">
        <v>50591335.979571007</v>
      </c>
      <c r="E501">
        <v>156756.75675675899</v>
      </c>
      <c r="F501">
        <v>40540.540540540998</v>
      </c>
      <c r="G501">
        <v>20</v>
      </c>
      <c r="H501">
        <v>3</v>
      </c>
      <c r="K501">
        <v>21</v>
      </c>
      <c r="L501">
        <v>3</v>
      </c>
      <c r="M501">
        <v>5832432.4324324327</v>
      </c>
      <c r="N501">
        <v>4094594.594594595</v>
      </c>
      <c r="O501">
        <v>5437837.8378378376</v>
      </c>
      <c r="P501">
        <v>5569459.4594594603</v>
      </c>
      <c r="Q501">
        <v>2413693.6936936928</v>
      </c>
      <c r="R501">
        <v>2190090.0900900899</v>
      </c>
      <c r="S501">
        <v>2531</v>
      </c>
      <c r="T501">
        <v>1729</v>
      </c>
    </row>
    <row r="502" spans="1:20" x14ac:dyDescent="0.35">
      <c r="A502" s="7" t="s">
        <v>604</v>
      </c>
      <c r="B502" s="12" t="s">
        <v>295</v>
      </c>
      <c r="C502">
        <v>12575031.136571355</v>
      </c>
      <c r="D502">
        <v>12472703.700222852</v>
      </c>
      <c r="E502">
        <v>82796164.864864871</v>
      </c>
      <c r="F502">
        <v>86014218.018018022</v>
      </c>
      <c r="G502">
        <v>1</v>
      </c>
      <c r="H502">
        <v>7</v>
      </c>
      <c r="K502">
        <v>1</v>
      </c>
      <c r="L502">
        <v>10</v>
      </c>
      <c r="M502">
        <v>11637475.675675675</v>
      </c>
      <c r="N502">
        <v>11905643.243243244</v>
      </c>
      <c r="O502">
        <v>868918.91891891905</v>
      </c>
      <c r="P502">
        <v>571351.35135135101</v>
      </c>
      <c r="S502">
        <v>690</v>
      </c>
      <c r="T502">
        <v>745</v>
      </c>
    </row>
    <row r="503" spans="1:20" x14ac:dyDescent="0.35">
      <c r="A503" s="7" t="s">
        <v>605</v>
      </c>
      <c r="B503" s="12" t="s">
        <v>93</v>
      </c>
      <c r="C503">
        <v>16621791.879469896</v>
      </c>
      <c r="D503">
        <v>16643671.303393483</v>
      </c>
      <c r="E503">
        <v>907207.20720720699</v>
      </c>
      <c r="F503">
        <v>1213963.963963964</v>
      </c>
      <c r="G503">
        <v>6</v>
      </c>
      <c r="H503">
        <v>4</v>
      </c>
      <c r="K503">
        <v>6</v>
      </c>
      <c r="L503">
        <v>4</v>
      </c>
      <c r="M503">
        <v>1898198.1981981981</v>
      </c>
      <c r="N503">
        <v>4106756.7567567569</v>
      </c>
      <c r="O503">
        <v>3114630.6306306301</v>
      </c>
      <c r="P503">
        <v>3098324.3243243238</v>
      </c>
      <c r="Q503">
        <v>2123873.8738738741</v>
      </c>
      <c r="R503">
        <v>4097747.7477477482</v>
      </c>
      <c r="S503">
        <v>580</v>
      </c>
      <c r="T503">
        <v>851</v>
      </c>
    </row>
    <row r="504" spans="1:20" x14ac:dyDescent="0.35">
      <c r="A504" s="7" t="s">
        <v>606</v>
      </c>
      <c r="B504" s="12" t="s">
        <v>51</v>
      </c>
      <c r="C504">
        <v>58880149.302450672</v>
      </c>
      <c r="D504">
        <v>63512707.913664326</v>
      </c>
      <c r="E504">
        <v>1295270.2702702731</v>
      </c>
      <c r="F504">
        <v>450450.45045045001</v>
      </c>
      <c r="G504">
        <v>6</v>
      </c>
      <c r="H504">
        <v>4</v>
      </c>
      <c r="K504">
        <v>7</v>
      </c>
      <c r="L504">
        <v>4</v>
      </c>
      <c r="M504">
        <v>2711261.261261262</v>
      </c>
      <c r="N504">
        <v>2857297.2972972961</v>
      </c>
      <c r="O504">
        <v>12771915.315315315</v>
      </c>
      <c r="P504">
        <v>14246990.990990993</v>
      </c>
      <c r="Q504">
        <v>2728558.5585585572</v>
      </c>
      <c r="R504">
        <v>5939909.9099099087</v>
      </c>
      <c r="S504">
        <v>1625</v>
      </c>
      <c r="T504">
        <v>1601</v>
      </c>
    </row>
    <row r="505" spans="1:20" x14ac:dyDescent="0.35">
      <c r="A505" s="7" t="s">
        <v>607</v>
      </c>
      <c r="B505" s="12" t="s">
        <v>90</v>
      </c>
      <c r="C505">
        <v>93596597.695851579</v>
      </c>
      <c r="D505">
        <v>99106934.628893271</v>
      </c>
      <c r="E505">
        <v>137423423.42342341</v>
      </c>
      <c r="F505">
        <v>138632432.43243244</v>
      </c>
      <c r="G505">
        <v>18</v>
      </c>
      <c r="H505">
        <v>10</v>
      </c>
      <c r="I505">
        <v>1</v>
      </c>
      <c r="K505">
        <v>56</v>
      </c>
      <c r="L505">
        <v>12</v>
      </c>
      <c r="M505">
        <v>8408468.4684684649</v>
      </c>
      <c r="N505">
        <v>21817117.117117114</v>
      </c>
      <c r="O505">
        <v>22220243.243243244</v>
      </c>
      <c r="P505">
        <v>27444621.62162162</v>
      </c>
      <c r="Q505">
        <v>7595765.765765761</v>
      </c>
      <c r="R505">
        <v>20961261.261261258</v>
      </c>
      <c r="S505">
        <v>4699</v>
      </c>
      <c r="T505">
        <v>3371</v>
      </c>
    </row>
    <row r="506" spans="1:20" x14ac:dyDescent="0.35">
      <c r="A506" s="7" t="s">
        <v>608</v>
      </c>
      <c r="B506" s="12" t="s">
        <v>145</v>
      </c>
      <c r="C506">
        <v>36474270.690028392</v>
      </c>
      <c r="D506">
        <v>35162128.237548076</v>
      </c>
      <c r="E506">
        <v>229729.72972973</v>
      </c>
      <c r="F506">
        <v>85585.585585585999</v>
      </c>
      <c r="G506">
        <v>1</v>
      </c>
      <c r="H506">
        <v>2</v>
      </c>
      <c r="K506">
        <v>1</v>
      </c>
      <c r="L506">
        <v>3</v>
      </c>
      <c r="M506">
        <v>2932432.4324324331</v>
      </c>
      <c r="N506">
        <v>1436936.9369369361</v>
      </c>
      <c r="O506">
        <v>3119693.6936936942</v>
      </c>
      <c r="P506">
        <v>2889774.7747747749</v>
      </c>
      <c r="Q506">
        <v>2325495.4954954949</v>
      </c>
      <c r="R506">
        <v>1629459.4594594589</v>
      </c>
      <c r="S506">
        <v>1159</v>
      </c>
      <c r="T506">
        <v>1234</v>
      </c>
    </row>
    <row r="507" spans="1:20" x14ac:dyDescent="0.35">
      <c r="A507" s="7" t="s">
        <v>609</v>
      </c>
      <c r="B507" s="12" t="s">
        <v>127</v>
      </c>
      <c r="C507">
        <v>88811760.969889954</v>
      </c>
      <c r="D507">
        <v>97790444.089994073</v>
      </c>
      <c r="E507">
        <v>79279.279279281007</v>
      </c>
      <c r="F507">
        <v>97297.297297297002</v>
      </c>
      <c r="G507">
        <v>7</v>
      </c>
      <c r="H507">
        <v>9</v>
      </c>
      <c r="K507">
        <v>8</v>
      </c>
      <c r="L507">
        <v>11</v>
      </c>
      <c r="M507">
        <v>4855315.3153153174</v>
      </c>
      <c r="N507">
        <v>2363693.6936936919</v>
      </c>
      <c r="O507">
        <v>34179342.342342347</v>
      </c>
      <c r="P507">
        <v>36621963.963963971</v>
      </c>
      <c r="Q507">
        <v>4985135.1351351347</v>
      </c>
      <c r="R507">
        <v>2756036.036036035</v>
      </c>
      <c r="S507">
        <v>3454</v>
      </c>
      <c r="T507">
        <v>3675</v>
      </c>
    </row>
    <row r="508" spans="1:20" x14ac:dyDescent="0.35">
      <c r="A508" s="7" t="s">
        <v>610</v>
      </c>
      <c r="B508" s="12" t="s">
        <v>51</v>
      </c>
      <c r="C508">
        <v>224890557.00653732</v>
      </c>
      <c r="D508">
        <v>254115424.68806273</v>
      </c>
      <c r="E508">
        <v>2447747.7477477491</v>
      </c>
      <c r="F508">
        <v>1796396.3963963981</v>
      </c>
      <c r="G508">
        <v>20</v>
      </c>
      <c r="H508">
        <v>19</v>
      </c>
      <c r="I508">
        <v>1</v>
      </c>
      <c r="K508">
        <v>25</v>
      </c>
      <c r="L508">
        <v>19</v>
      </c>
      <c r="M508">
        <v>28661531.531531531</v>
      </c>
      <c r="N508">
        <v>19895045.045045044</v>
      </c>
      <c r="O508">
        <v>94795234.234234244</v>
      </c>
      <c r="P508">
        <v>105826864.86486487</v>
      </c>
      <c r="Q508">
        <v>27231981.981981985</v>
      </c>
      <c r="R508">
        <v>22248558.558558561</v>
      </c>
      <c r="S508">
        <v>7564</v>
      </c>
      <c r="T508">
        <v>7859</v>
      </c>
    </row>
    <row r="509" spans="1:20" x14ac:dyDescent="0.35">
      <c r="A509" s="7" t="s">
        <v>611</v>
      </c>
      <c r="B509" s="12" t="s">
        <v>90</v>
      </c>
      <c r="C509">
        <v>67028812.794229731</v>
      </c>
      <c r="D509">
        <v>68757585.597661018</v>
      </c>
      <c r="E509">
        <v>66666.666666669</v>
      </c>
      <c r="F509">
        <v>721621.62162162398</v>
      </c>
      <c r="G509">
        <v>7</v>
      </c>
      <c r="H509">
        <v>6</v>
      </c>
      <c r="K509">
        <v>7</v>
      </c>
      <c r="L509">
        <v>6</v>
      </c>
      <c r="M509">
        <v>22449009.009009007</v>
      </c>
      <c r="N509">
        <v>8558918.9189189188</v>
      </c>
      <c r="O509">
        <v>20481657.657657657</v>
      </c>
      <c r="P509">
        <v>22289090.090090089</v>
      </c>
      <c r="Q509">
        <v>22605405.40540541</v>
      </c>
      <c r="R509">
        <v>7605135.1351351356</v>
      </c>
      <c r="S509">
        <v>2422</v>
      </c>
      <c r="T509">
        <v>3147</v>
      </c>
    </row>
    <row r="510" spans="1:20" x14ac:dyDescent="0.35">
      <c r="A510" s="7" t="s">
        <v>612</v>
      </c>
      <c r="B510" s="12" t="s">
        <v>88</v>
      </c>
      <c r="C510">
        <v>61053031.784125455</v>
      </c>
      <c r="D510">
        <v>62360229.761971369</v>
      </c>
      <c r="E510">
        <v>220720.720720721</v>
      </c>
      <c r="F510">
        <v>90090.090090090001</v>
      </c>
      <c r="G510">
        <v>5</v>
      </c>
      <c r="H510">
        <v>3</v>
      </c>
      <c r="K510">
        <v>6</v>
      </c>
      <c r="L510">
        <v>4</v>
      </c>
      <c r="M510">
        <v>500000</v>
      </c>
      <c r="N510">
        <v>747747.74774774804</v>
      </c>
      <c r="O510">
        <v>4148738.7387387389</v>
      </c>
      <c r="P510">
        <v>6150855.8558558561</v>
      </c>
      <c r="Q510">
        <v>561711.71171171195</v>
      </c>
      <c r="R510">
        <v>844414.41441441502</v>
      </c>
      <c r="S510">
        <v>1270</v>
      </c>
      <c r="T510">
        <v>1264</v>
      </c>
    </row>
    <row r="511" spans="1:20" x14ac:dyDescent="0.35">
      <c r="A511" s="7" t="s">
        <v>613</v>
      </c>
      <c r="B511" s="12" t="s">
        <v>142</v>
      </c>
      <c r="C511">
        <v>477733318.16512996</v>
      </c>
      <c r="D511">
        <v>514494916.69896519</v>
      </c>
      <c r="E511">
        <v>249846571.17117116</v>
      </c>
      <c r="F511">
        <v>289010430.63063067</v>
      </c>
      <c r="G511">
        <v>145</v>
      </c>
      <c r="H511">
        <v>111</v>
      </c>
      <c r="I511">
        <v>6</v>
      </c>
      <c r="K511">
        <v>218</v>
      </c>
      <c r="L511">
        <v>231</v>
      </c>
      <c r="M511">
        <v>78013693.693693697</v>
      </c>
      <c r="N511">
        <v>91470585.585585579</v>
      </c>
      <c r="O511">
        <v>118948666.66666666</v>
      </c>
      <c r="P511">
        <v>127930754.95495497</v>
      </c>
      <c r="Q511">
        <v>82208468.468468457</v>
      </c>
      <c r="R511">
        <v>93343108.108108118</v>
      </c>
      <c r="S511">
        <v>18820</v>
      </c>
      <c r="T511">
        <v>19190</v>
      </c>
    </row>
    <row r="512" spans="1:20" x14ac:dyDescent="0.35">
      <c r="A512" s="7" t="s">
        <v>614</v>
      </c>
      <c r="B512" s="12" t="s">
        <v>228</v>
      </c>
      <c r="C512">
        <v>78916318.05639334</v>
      </c>
      <c r="D512">
        <v>92171933.968285397</v>
      </c>
      <c r="E512">
        <v>24324.324324323999</v>
      </c>
      <c r="F512">
        <v>981081.08108108095</v>
      </c>
      <c r="G512">
        <v>15</v>
      </c>
      <c r="H512">
        <v>11</v>
      </c>
      <c r="K512">
        <v>15</v>
      </c>
      <c r="L512">
        <v>14</v>
      </c>
      <c r="M512">
        <v>24324.324324323999</v>
      </c>
      <c r="N512">
        <v>3233333.333333333</v>
      </c>
      <c r="O512">
        <v>26343180.180180181</v>
      </c>
      <c r="P512">
        <v>32708072.072072074</v>
      </c>
      <c r="Q512">
        <v>2608648.6486486481</v>
      </c>
      <c r="R512">
        <v>3150810.8108108109</v>
      </c>
      <c r="S512">
        <v>3437</v>
      </c>
      <c r="T512">
        <v>3399</v>
      </c>
    </row>
    <row r="513" spans="1:20" x14ac:dyDescent="0.35">
      <c r="A513" s="7" t="s">
        <v>615</v>
      </c>
      <c r="B513" s="12" t="s">
        <v>228</v>
      </c>
      <c r="C513">
        <v>50877911.270264111</v>
      </c>
      <c r="D513">
        <v>58059662.129583769</v>
      </c>
      <c r="E513">
        <v>35135.135135135002</v>
      </c>
      <c r="F513">
        <v>9009.0090090089998</v>
      </c>
      <c r="G513">
        <v>11</v>
      </c>
      <c r="H513">
        <v>8</v>
      </c>
      <c r="K513">
        <v>11</v>
      </c>
      <c r="L513">
        <v>9</v>
      </c>
      <c r="M513">
        <v>2737837.8378378381</v>
      </c>
      <c r="N513">
        <v>3990090.0900900899</v>
      </c>
      <c r="O513">
        <v>14997135.135135137</v>
      </c>
      <c r="P513">
        <v>18784252.252252251</v>
      </c>
      <c r="Q513">
        <v>3139279.2792792791</v>
      </c>
      <c r="R513">
        <v>4506216.2162162159</v>
      </c>
      <c r="S513">
        <v>3210</v>
      </c>
      <c r="T513">
        <v>3090</v>
      </c>
    </row>
    <row r="514" spans="1:20" x14ac:dyDescent="0.35">
      <c r="A514" s="7" t="s">
        <v>616</v>
      </c>
      <c r="B514" s="12" t="s">
        <v>245</v>
      </c>
      <c r="C514">
        <v>44429056.602088086</v>
      </c>
      <c r="D514">
        <v>50312646.600972034</v>
      </c>
      <c r="E514">
        <v>39639.639639640001</v>
      </c>
      <c r="F514">
        <v>58558.558558559002</v>
      </c>
      <c r="G514">
        <v>27</v>
      </c>
      <c r="H514">
        <v>23</v>
      </c>
      <c r="K514">
        <v>28</v>
      </c>
      <c r="L514">
        <v>25</v>
      </c>
      <c r="M514">
        <v>2765765.7657657661</v>
      </c>
      <c r="N514">
        <v>1536936.9369369361</v>
      </c>
      <c r="O514">
        <v>13524270.270270269</v>
      </c>
      <c r="P514">
        <v>17059981.981981982</v>
      </c>
      <c r="Q514">
        <v>2512702.702702703</v>
      </c>
      <c r="R514">
        <v>1534414.4144144121</v>
      </c>
      <c r="S514">
        <v>2329</v>
      </c>
      <c r="T514">
        <v>2376</v>
      </c>
    </row>
    <row r="515" spans="1:20" x14ac:dyDescent="0.35">
      <c r="A515" s="7" t="s">
        <v>617</v>
      </c>
      <c r="B515" s="12" t="s">
        <v>142</v>
      </c>
      <c r="C515">
        <v>13498923.184648836</v>
      </c>
      <c r="D515">
        <v>13517489.82036962</v>
      </c>
      <c r="E515">
        <v>2702.7027027029999</v>
      </c>
      <c r="F515">
        <v>5405.4054054050002</v>
      </c>
      <c r="G515">
        <v>4</v>
      </c>
      <c r="K515">
        <v>4</v>
      </c>
      <c r="L515">
        <v>1</v>
      </c>
      <c r="M515">
        <v>2702.7027027029999</v>
      </c>
      <c r="N515">
        <v>720720.72072072094</v>
      </c>
      <c r="O515">
        <v>1452288.2882882881</v>
      </c>
      <c r="P515">
        <v>2130090.0900900899</v>
      </c>
      <c r="Q515">
        <v>364054.05405405402</v>
      </c>
      <c r="R515">
        <v>513603.60360360402</v>
      </c>
      <c r="S515">
        <v>363</v>
      </c>
      <c r="T515">
        <v>322</v>
      </c>
    </row>
    <row r="516" spans="1:20" x14ac:dyDescent="0.35">
      <c r="A516" s="7" t="s">
        <v>618</v>
      </c>
      <c r="B516" s="12" t="s">
        <v>192</v>
      </c>
      <c r="E516">
        <v>3603603.6036036038</v>
      </c>
      <c r="F516">
        <v>37972972.972972974</v>
      </c>
      <c r="M516">
        <v>14864.864864865</v>
      </c>
      <c r="S516">
        <v>1</v>
      </c>
    </row>
    <row r="517" spans="1:20" x14ac:dyDescent="0.35">
      <c r="A517" s="7" t="s">
        <v>619</v>
      </c>
      <c r="B517" s="12" t="s">
        <v>192</v>
      </c>
      <c r="C517">
        <v>50019397.774177566</v>
      </c>
      <c r="D517">
        <v>46568923.984480225</v>
      </c>
      <c r="E517">
        <v>680180.18018018</v>
      </c>
      <c r="F517">
        <v>22522.522522523999</v>
      </c>
      <c r="G517">
        <v>29</v>
      </c>
      <c r="H517">
        <v>12</v>
      </c>
      <c r="K517">
        <v>32</v>
      </c>
      <c r="L517">
        <v>14</v>
      </c>
      <c r="M517">
        <v>4148648.648648649</v>
      </c>
      <c r="N517">
        <v>3531531.5315315318</v>
      </c>
      <c r="O517">
        <v>13132211.711711712</v>
      </c>
      <c r="P517">
        <v>11547936.936936935</v>
      </c>
      <c r="Q517">
        <v>2761531.5315315309</v>
      </c>
      <c r="R517">
        <v>2282072.0720720729</v>
      </c>
      <c r="S517">
        <v>1646</v>
      </c>
      <c r="T517">
        <v>1438</v>
      </c>
    </row>
    <row r="518" spans="1:20" x14ac:dyDescent="0.35">
      <c r="A518" s="7" t="s">
        <v>620</v>
      </c>
      <c r="B518" s="12" t="s">
        <v>192</v>
      </c>
      <c r="C518">
        <v>148939505.41237587</v>
      </c>
      <c r="D518">
        <v>143985967.36751696</v>
      </c>
      <c r="E518">
        <v>121621.62162162201</v>
      </c>
      <c r="F518">
        <v>36036.036036037003</v>
      </c>
      <c r="G518">
        <v>39</v>
      </c>
      <c r="H518">
        <v>51</v>
      </c>
      <c r="K518">
        <v>42</v>
      </c>
      <c r="L518">
        <v>53</v>
      </c>
      <c r="M518">
        <v>6680180.1801801799</v>
      </c>
      <c r="N518">
        <v>9180180.1801801808</v>
      </c>
      <c r="O518">
        <v>26196027.02702703</v>
      </c>
      <c r="P518">
        <v>25469594.594594598</v>
      </c>
      <c r="Q518">
        <v>3705135.1351351342</v>
      </c>
      <c r="R518">
        <v>3775405.4054054059</v>
      </c>
      <c r="S518">
        <v>4930</v>
      </c>
      <c r="T518">
        <v>5046</v>
      </c>
    </row>
    <row r="519" spans="1:20" x14ac:dyDescent="0.35">
      <c r="A519" s="7" t="s">
        <v>621</v>
      </c>
      <c r="B519" s="12" t="s">
        <v>192</v>
      </c>
      <c r="C519">
        <v>57888234.107676834</v>
      </c>
      <c r="D519">
        <v>65841714.319476336</v>
      </c>
      <c r="E519">
        <v>28156238.738738745</v>
      </c>
      <c r="F519">
        <v>27688026.126126129</v>
      </c>
      <c r="G519">
        <v>12</v>
      </c>
      <c r="H519">
        <v>10</v>
      </c>
      <c r="K519">
        <v>14</v>
      </c>
      <c r="L519">
        <v>10</v>
      </c>
      <c r="M519">
        <v>21706527.02702703</v>
      </c>
      <c r="N519">
        <v>4639639.6396396393</v>
      </c>
      <c r="O519">
        <v>6343288.2882882887</v>
      </c>
      <c r="P519">
        <v>10609081.081081081</v>
      </c>
      <c r="Q519">
        <v>5679099.0990990987</v>
      </c>
      <c r="R519">
        <v>3634414.4144144151</v>
      </c>
      <c r="S519">
        <v>1710</v>
      </c>
      <c r="T519">
        <v>1757</v>
      </c>
    </row>
    <row r="520" spans="1:20" x14ac:dyDescent="0.35">
      <c r="A520" s="7" t="s">
        <v>622</v>
      </c>
      <c r="B520" s="12" t="s">
        <v>192</v>
      </c>
      <c r="C520">
        <v>22748876.617478803</v>
      </c>
      <c r="D520">
        <v>26270095.780150034</v>
      </c>
      <c r="E520">
        <v>323873.87387387501</v>
      </c>
      <c r="G520">
        <v>8</v>
      </c>
      <c r="H520">
        <v>21</v>
      </c>
      <c r="K520">
        <v>10</v>
      </c>
      <c r="L520">
        <v>35</v>
      </c>
      <c r="M520">
        <v>4067927.927927929</v>
      </c>
      <c r="N520">
        <v>2882882.8828828828</v>
      </c>
      <c r="O520">
        <v>4309792.7927927934</v>
      </c>
      <c r="P520">
        <v>5952693.6936936937</v>
      </c>
      <c r="Q520">
        <v>3338288.2882882878</v>
      </c>
      <c r="R520">
        <v>835315.31531531503</v>
      </c>
      <c r="S520">
        <v>900</v>
      </c>
      <c r="T520">
        <v>1002</v>
      </c>
    </row>
    <row r="521" spans="1:20" x14ac:dyDescent="0.35">
      <c r="A521" s="7" t="s">
        <v>623</v>
      </c>
      <c r="B521" s="12" t="s">
        <v>145</v>
      </c>
      <c r="C521">
        <v>166102383.84247297</v>
      </c>
      <c r="D521">
        <v>178109000.24596122</v>
      </c>
      <c r="E521">
        <v>774926.12612612604</v>
      </c>
      <c r="F521">
        <v>320978.37837837898</v>
      </c>
      <c r="G521">
        <v>42</v>
      </c>
      <c r="H521">
        <v>21</v>
      </c>
      <c r="K521">
        <v>51</v>
      </c>
      <c r="L521">
        <v>192</v>
      </c>
      <c r="M521">
        <v>7184684.6846846836</v>
      </c>
      <c r="N521">
        <v>7635135.1351351319</v>
      </c>
      <c r="O521">
        <v>20299833.333333332</v>
      </c>
      <c r="P521">
        <v>28681603.603603605</v>
      </c>
      <c r="Q521">
        <v>15366439.63963964</v>
      </c>
      <c r="R521">
        <v>16286756.756756756</v>
      </c>
      <c r="S521">
        <v>6747</v>
      </c>
      <c r="T521">
        <v>7370</v>
      </c>
    </row>
    <row r="522" spans="1:20" x14ac:dyDescent="0.35">
      <c r="A522" s="7" t="s">
        <v>624</v>
      </c>
      <c r="B522" s="12" t="s">
        <v>192</v>
      </c>
      <c r="C522">
        <v>189526076.06712827</v>
      </c>
      <c r="D522">
        <v>211537598.60451555</v>
      </c>
      <c r="E522">
        <v>1049324.3243243271</v>
      </c>
      <c r="F522">
        <v>761261.26126126398</v>
      </c>
      <c r="G522">
        <v>58</v>
      </c>
      <c r="H522">
        <v>81</v>
      </c>
      <c r="K522">
        <v>74</v>
      </c>
      <c r="L522">
        <v>131</v>
      </c>
      <c r="M522">
        <v>8109009.0090090083</v>
      </c>
      <c r="N522">
        <v>3076576.5765765761</v>
      </c>
      <c r="O522">
        <v>18127079.27927928</v>
      </c>
      <c r="P522">
        <v>23363585.585585583</v>
      </c>
      <c r="Q522">
        <v>7385538.7387387399</v>
      </c>
      <c r="R522">
        <v>2445135.135135137</v>
      </c>
      <c r="S522">
        <v>7455</v>
      </c>
      <c r="T522">
        <v>7524</v>
      </c>
    </row>
    <row r="523" spans="1:20" x14ac:dyDescent="0.35">
      <c r="A523" s="7" t="s">
        <v>625</v>
      </c>
      <c r="B523" s="12" t="s">
        <v>55</v>
      </c>
      <c r="C523">
        <v>132237949.12733804</v>
      </c>
      <c r="D523">
        <v>138307133.53364298</v>
      </c>
      <c r="E523">
        <v>2012612.6126126139</v>
      </c>
      <c r="F523">
        <v>2868468.4684684691</v>
      </c>
      <c r="G523">
        <v>37</v>
      </c>
      <c r="H523">
        <v>24</v>
      </c>
      <c r="K523">
        <v>45</v>
      </c>
      <c r="L523">
        <v>38</v>
      </c>
      <c r="M523">
        <v>23021621.621621624</v>
      </c>
      <c r="N523">
        <v>22850450.45045045</v>
      </c>
      <c r="O523">
        <v>42402873.873873875</v>
      </c>
      <c r="P523">
        <v>45601297.297297299</v>
      </c>
      <c r="Q523">
        <v>21475405.40540541</v>
      </c>
      <c r="R523">
        <v>22720900.900900904</v>
      </c>
      <c r="S523">
        <v>6179</v>
      </c>
      <c r="T523">
        <v>6506</v>
      </c>
    </row>
    <row r="524" spans="1:20" x14ac:dyDescent="0.35">
      <c r="A524" s="7" t="s">
        <v>626</v>
      </c>
      <c r="B524" s="12" t="s">
        <v>55</v>
      </c>
      <c r="C524">
        <v>71747787.068975106</v>
      </c>
      <c r="D524">
        <v>76980517.322374806</v>
      </c>
      <c r="E524">
        <v>90090.090090091006</v>
      </c>
      <c r="F524">
        <v>14414.414414413999</v>
      </c>
      <c r="G524">
        <v>8</v>
      </c>
      <c r="H524">
        <v>3</v>
      </c>
      <c r="I524">
        <v>1</v>
      </c>
      <c r="K524">
        <v>10</v>
      </c>
      <c r="L524">
        <v>4</v>
      </c>
      <c r="M524">
        <v>2522522.5225225231</v>
      </c>
      <c r="N524">
        <v>1390090.0900900899</v>
      </c>
      <c r="O524">
        <v>11907324.324324325</v>
      </c>
      <c r="P524">
        <v>14000981.981981983</v>
      </c>
      <c r="Q524">
        <v>1798918.9189189191</v>
      </c>
      <c r="R524">
        <v>1560990.9909909901</v>
      </c>
      <c r="S524">
        <v>2863</v>
      </c>
      <c r="T524">
        <v>2807</v>
      </c>
    </row>
    <row r="525" spans="1:20" x14ac:dyDescent="0.35">
      <c r="A525" s="7" t="s">
        <v>627</v>
      </c>
      <c r="B525" s="12" t="s">
        <v>61</v>
      </c>
      <c r="C525">
        <v>110577906.77869117</v>
      </c>
      <c r="D525">
        <v>122201608.09627171</v>
      </c>
      <c r="E525">
        <v>2094594.5945945999</v>
      </c>
      <c r="F525">
        <v>1402702.702702705</v>
      </c>
      <c r="G525">
        <v>45</v>
      </c>
      <c r="H525">
        <v>17</v>
      </c>
      <c r="K525">
        <v>107</v>
      </c>
      <c r="L525">
        <v>20</v>
      </c>
      <c r="M525">
        <v>17810630.630630631</v>
      </c>
      <c r="N525">
        <v>25168468.468468465</v>
      </c>
      <c r="O525">
        <v>35964126.126126125</v>
      </c>
      <c r="P525">
        <v>39656279.279279277</v>
      </c>
      <c r="Q525">
        <v>15561441.441441443</v>
      </c>
      <c r="R525">
        <v>23106486.486486487</v>
      </c>
      <c r="S525">
        <v>4385</v>
      </c>
      <c r="T525">
        <v>5264</v>
      </c>
    </row>
    <row r="526" spans="1:20" x14ac:dyDescent="0.35">
      <c r="A526" s="7" t="s">
        <v>628</v>
      </c>
      <c r="B526" s="12" t="s">
        <v>61</v>
      </c>
      <c r="C526">
        <v>117408542.30897745</v>
      </c>
      <c r="D526">
        <v>121457066.50726153</v>
      </c>
      <c r="E526">
        <v>722522.52252252295</v>
      </c>
      <c r="F526">
        <v>708108.10810810898</v>
      </c>
      <c r="G526">
        <v>34</v>
      </c>
      <c r="H526">
        <v>16</v>
      </c>
      <c r="K526">
        <v>38</v>
      </c>
      <c r="L526">
        <v>20</v>
      </c>
      <c r="M526">
        <v>13338738.73873874</v>
      </c>
      <c r="N526">
        <v>23437837.837837838</v>
      </c>
      <c r="O526">
        <v>60922396.396396399</v>
      </c>
      <c r="P526">
        <v>62634666.666666664</v>
      </c>
      <c r="Q526">
        <v>14377297.297297295</v>
      </c>
      <c r="R526">
        <v>20623963.963963963</v>
      </c>
      <c r="S526">
        <v>5344</v>
      </c>
      <c r="T526">
        <v>5391</v>
      </c>
    </row>
    <row r="527" spans="1:20" x14ac:dyDescent="0.35">
      <c r="A527" s="7" t="s">
        <v>629</v>
      </c>
      <c r="B527" s="12" t="s">
        <v>61</v>
      </c>
      <c r="C527">
        <v>150381965.10649195</v>
      </c>
      <c r="D527">
        <v>168375324.62338817</v>
      </c>
      <c r="E527">
        <v>1703603.6036036061</v>
      </c>
      <c r="F527">
        <v>2416216.2162162191</v>
      </c>
      <c r="G527">
        <v>24</v>
      </c>
      <c r="H527">
        <v>7</v>
      </c>
      <c r="K527">
        <v>29</v>
      </c>
      <c r="L527">
        <v>7</v>
      </c>
      <c r="M527">
        <v>24128828.82882883</v>
      </c>
      <c r="N527">
        <v>30326126.126126129</v>
      </c>
      <c r="O527">
        <v>48891178.378378376</v>
      </c>
      <c r="P527">
        <v>56837351.351351351</v>
      </c>
      <c r="Q527">
        <v>22538828.82882883</v>
      </c>
      <c r="R527">
        <v>27555765.765765764</v>
      </c>
      <c r="S527">
        <v>5788</v>
      </c>
      <c r="T527">
        <v>5691</v>
      </c>
    </row>
    <row r="528" spans="1:20" x14ac:dyDescent="0.35">
      <c r="A528" s="7" t="s">
        <v>630</v>
      </c>
      <c r="B528" s="12" t="s">
        <v>631</v>
      </c>
      <c r="C528">
        <v>183684840.20973089</v>
      </c>
      <c r="D528">
        <v>189983708.02382848</v>
      </c>
      <c r="E528">
        <v>2643018.0180180199</v>
      </c>
      <c r="F528">
        <v>1515315.315315322</v>
      </c>
      <c r="G528">
        <v>74</v>
      </c>
      <c r="H528">
        <v>36</v>
      </c>
      <c r="I528">
        <v>1</v>
      </c>
      <c r="K528">
        <v>165</v>
      </c>
      <c r="L528">
        <v>65</v>
      </c>
      <c r="M528">
        <v>8552252.2522522509</v>
      </c>
      <c r="N528">
        <v>11231531.531531535</v>
      </c>
      <c r="O528">
        <v>21493504.504504506</v>
      </c>
      <c r="P528">
        <v>26533423.423423424</v>
      </c>
      <c r="Q528">
        <v>12097027.027027028</v>
      </c>
      <c r="R528">
        <v>12676756.756756756</v>
      </c>
      <c r="S528">
        <v>7955</v>
      </c>
      <c r="T528">
        <v>7346</v>
      </c>
    </row>
    <row r="529" spans="1:20" x14ac:dyDescent="0.35">
      <c r="A529" s="7" t="s">
        <v>632</v>
      </c>
      <c r="B529" s="12" t="s">
        <v>631</v>
      </c>
      <c r="C529">
        <v>133930014.2136959</v>
      </c>
      <c r="D529">
        <v>137301442.10349137</v>
      </c>
      <c r="E529">
        <v>2881081.081081083</v>
      </c>
      <c r="F529">
        <v>2030630.6306306319</v>
      </c>
      <c r="G529">
        <v>44</v>
      </c>
      <c r="H529">
        <v>42</v>
      </c>
      <c r="I529">
        <v>1</v>
      </c>
      <c r="K529">
        <v>58</v>
      </c>
      <c r="L529">
        <v>55</v>
      </c>
      <c r="M529">
        <v>11628828.82882883</v>
      </c>
      <c r="N529">
        <v>10188288.288288288</v>
      </c>
      <c r="O529">
        <v>21639035.135135137</v>
      </c>
      <c r="P529">
        <v>22926923.423423424</v>
      </c>
      <c r="Q529">
        <v>10574864.864864865</v>
      </c>
      <c r="R529">
        <v>10589009.009009009</v>
      </c>
      <c r="S529">
        <v>5719</v>
      </c>
      <c r="T529">
        <v>5612</v>
      </c>
    </row>
    <row r="530" spans="1:20" x14ac:dyDescent="0.35">
      <c r="A530" s="7" t="s">
        <v>633</v>
      </c>
      <c r="B530" s="12" t="s">
        <v>631</v>
      </c>
      <c r="C530">
        <v>140477477.51933491</v>
      </c>
      <c r="D530">
        <v>140034886.1296562</v>
      </c>
      <c r="E530">
        <v>38212703.603603609</v>
      </c>
      <c r="F530">
        <v>47216271.171171173</v>
      </c>
      <c r="G530">
        <v>52</v>
      </c>
      <c r="H530">
        <v>48</v>
      </c>
      <c r="K530">
        <v>66</v>
      </c>
      <c r="L530">
        <v>57</v>
      </c>
      <c r="M530">
        <v>12247224.324324319</v>
      </c>
      <c r="N530">
        <v>16981081.081081085</v>
      </c>
      <c r="O530">
        <v>21753004.504504509</v>
      </c>
      <c r="P530">
        <v>24334180.180180181</v>
      </c>
      <c r="Q530">
        <v>6841891.8918918949</v>
      </c>
      <c r="R530">
        <v>7314864.8648648644</v>
      </c>
      <c r="S530">
        <v>5338</v>
      </c>
      <c r="T530">
        <v>5072</v>
      </c>
    </row>
    <row r="531" spans="1:20" x14ac:dyDescent="0.35">
      <c r="A531" s="7" t="s">
        <v>634</v>
      </c>
      <c r="B531" s="12" t="s">
        <v>631</v>
      </c>
      <c r="C531">
        <v>101512525.39878446</v>
      </c>
      <c r="D531">
        <v>105744510.24422756</v>
      </c>
      <c r="E531">
        <v>287387.38738738798</v>
      </c>
      <c r="F531">
        <v>849549.54954955098</v>
      </c>
      <c r="G531">
        <v>20</v>
      </c>
      <c r="H531">
        <v>56</v>
      </c>
      <c r="I531">
        <v>1</v>
      </c>
      <c r="K531">
        <v>35</v>
      </c>
      <c r="L531">
        <v>61</v>
      </c>
      <c r="M531">
        <v>8650450.4504504502</v>
      </c>
      <c r="N531">
        <v>9009459.4594594594</v>
      </c>
      <c r="O531">
        <v>13216707.207207208</v>
      </c>
      <c r="P531">
        <v>15329295.495495498</v>
      </c>
      <c r="Q531">
        <v>8512252.2522522528</v>
      </c>
      <c r="R531">
        <v>9439819.8198198173</v>
      </c>
      <c r="S531">
        <v>3660</v>
      </c>
      <c r="T531">
        <v>3663</v>
      </c>
    </row>
    <row r="532" spans="1:20" x14ac:dyDescent="0.35">
      <c r="A532" s="7" t="s">
        <v>635</v>
      </c>
      <c r="B532" s="12" t="s">
        <v>264</v>
      </c>
      <c r="C532">
        <v>53019272.23040951</v>
      </c>
      <c r="D532">
        <v>60038129.962665856</v>
      </c>
      <c r="E532">
        <v>49520720.720720723</v>
      </c>
      <c r="F532">
        <v>20800900.9009009</v>
      </c>
      <c r="G532">
        <v>8</v>
      </c>
      <c r="K532">
        <v>8</v>
      </c>
      <c r="M532">
        <v>1202702.702702703</v>
      </c>
      <c r="N532">
        <v>5054774.7747747749</v>
      </c>
      <c r="O532">
        <v>17070324.324324325</v>
      </c>
      <c r="P532">
        <v>20852837.837837841</v>
      </c>
      <c r="Q532">
        <v>4456216.2162162149</v>
      </c>
      <c r="R532">
        <v>7068288.2882882887</v>
      </c>
      <c r="S532">
        <v>2015</v>
      </c>
      <c r="T532">
        <v>2220</v>
      </c>
    </row>
    <row r="533" spans="1:20" x14ac:dyDescent="0.35">
      <c r="A533" s="7" t="s">
        <v>636</v>
      </c>
      <c r="B533" s="12" t="s">
        <v>53</v>
      </c>
      <c r="C533">
        <v>83148306.046811387</v>
      </c>
      <c r="D533">
        <v>88029303.799092889</v>
      </c>
      <c r="E533">
        <v>62162.162162162997</v>
      </c>
      <c r="F533">
        <v>290990.990990992</v>
      </c>
      <c r="G533">
        <v>26</v>
      </c>
      <c r="H533">
        <v>6</v>
      </c>
      <c r="K533">
        <v>48</v>
      </c>
      <c r="L533">
        <v>14</v>
      </c>
      <c r="M533">
        <v>1863963.963963964</v>
      </c>
      <c r="N533">
        <v>2300000.0000000009</v>
      </c>
      <c r="O533">
        <v>29537675.675675675</v>
      </c>
      <c r="P533">
        <v>29531315.315315317</v>
      </c>
      <c r="Q533">
        <v>1683963.963963964</v>
      </c>
      <c r="R533">
        <v>1404144.144144146</v>
      </c>
      <c r="S533">
        <v>4622</v>
      </c>
      <c r="T533">
        <v>4303</v>
      </c>
    </row>
    <row r="534" spans="1:20" x14ac:dyDescent="0.35">
      <c r="A534" s="7" t="s">
        <v>637</v>
      </c>
      <c r="B534" s="12" t="s">
        <v>97</v>
      </c>
      <c r="C534">
        <v>205185529.03920615</v>
      </c>
      <c r="D534">
        <v>189778814.1969119</v>
      </c>
      <c r="E534">
        <v>3604504.5045045088</v>
      </c>
      <c r="F534">
        <v>2274324.3243243261</v>
      </c>
      <c r="G534">
        <v>97</v>
      </c>
      <c r="H534">
        <v>86</v>
      </c>
      <c r="K534">
        <v>124</v>
      </c>
      <c r="L534">
        <v>92</v>
      </c>
      <c r="M534">
        <v>52482657.657657661</v>
      </c>
      <c r="N534">
        <v>37523198.198198199</v>
      </c>
      <c r="O534">
        <v>66680957.657657653</v>
      </c>
      <c r="P534">
        <v>67650927.927927926</v>
      </c>
      <c r="Q534">
        <v>38205675.675675683</v>
      </c>
      <c r="R534">
        <v>39886036.036036029</v>
      </c>
      <c r="S534">
        <v>10628</v>
      </c>
      <c r="T534">
        <v>10863</v>
      </c>
    </row>
    <row r="535" spans="1:20" x14ac:dyDescent="0.35">
      <c r="A535" s="7" t="s">
        <v>638</v>
      </c>
      <c r="B535" s="12" t="s">
        <v>97</v>
      </c>
      <c r="C535">
        <v>341427734.91833413</v>
      </c>
      <c r="D535">
        <v>344461459.88267159</v>
      </c>
      <c r="E535">
        <v>1678378.378378378</v>
      </c>
      <c r="F535">
        <v>2843243.2432432431</v>
      </c>
      <c r="G535">
        <v>60</v>
      </c>
      <c r="H535">
        <v>75</v>
      </c>
      <c r="I535">
        <v>2</v>
      </c>
      <c r="K535">
        <v>76</v>
      </c>
      <c r="L535">
        <v>96</v>
      </c>
      <c r="M535">
        <v>88433333.333333328</v>
      </c>
      <c r="N535">
        <v>69466891.891891882</v>
      </c>
      <c r="O535">
        <v>134618569.81981984</v>
      </c>
      <c r="P535">
        <v>141862819.81981984</v>
      </c>
      <c r="Q535">
        <v>84796036.036036029</v>
      </c>
      <c r="R535">
        <v>72882927.927927926</v>
      </c>
      <c r="S535">
        <v>13492</v>
      </c>
      <c r="T535">
        <v>13569</v>
      </c>
    </row>
    <row r="536" spans="1:20" x14ac:dyDescent="0.35">
      <c r="A536" s="7" t="s">
        <v>639</v>
      </c>
      <c r="B536" s="12" t="s">
        <v>456</v>
      </c>
      <c r="C536">
        <v>245125175.96316373</v>
      </c>
      <c r="D536">
        <v>245312468.96598679</v>
      </c>
      <c r="E536">
        <v>125212054.95495497</v>
      </c>
      <c r="F536">
        <v>147152657.65765765</v>
      </c>
      <c r="G536">
        <v>77</v>
      </c>
      <c r="H536">
        <v>65</v>
      </c>
      <c r="I536">
        <v>1</v>
      </c>
      <c r="K536">
        <v>95</v>
      </c>
      <c r="L536">
        <v>93</v>
      </c>
      <c r="M536">
        <v>61631036.036036029</v>
      </c>
      <c r="N536">
        <v>50750000</v>
      </c>
      <c r="O536">
        <v>74162475.675675675</v>
      </c>
      <c r="P536">
        <v>83217234.234234244</v>
      </c>
      <c r="Q536">
        <v>55396891.891891889</v>
      </c>
      <c r="R536">
        <v>41000450.45045045</v>
      </c>
      <c r="S536">
        <v>11115</v>
      </c>
      <c r="T536">
        <v>11284</v>
      </c>
    </row>
    <row r="537" spans="1:20" x14ac:dyDescent="0.35">
      <c r="A537" s="7" t="s">
        <v>640</v>
      </c>
      <c r="B537" s="12" t="s">
        <v>79</v>
      </c>
      <c r="C537">
        <v>11284793.489490816</v>
      </c>
      <c r="D537">
        <v>12575727.767463451</v>
      </c>
      <c r="E537">
        <v>291891.89189189201</v>
      </c>
      <c r="F537">
        <v>151351.35135135101</v>
      </c>
      <c r="G537">
        <v>2</v>
      </c>
      <c r="K537">
        <v>2</v>
      </c>
      <c r="M537">
        <v>922522.52252252202</v>
      </c>
      <c r="N537">
        <v>917117.11711711704</v>
      </c>
      <c r="O537">
        <v>3174441.441441441</v>
      </c>
      <c r="P537">
        <v>3806027.0270270272</v>
      </c>
      <c r="Q537">
        <v>735585.58558558498</v>
      </c>
      <c r="R537">
        <v>623783.78378378402</v>
      </c>
      <c r="S537">
        <v>357</v>
      </c>
      <c r="T537">
        <v>377</v>
      </c>
    </row>
    <row r="538" spans="1:20" x14ac:dyDescent="0.35">
      <c r="A538" s="7" t="s">
        <v>641</v>
      </c>
      <c r="B538" s="12" t="s">
        <v>245</v>
      </c>
      <c r="C538">
        <v>63156385.056062475</v>
      </c>
      <c r="D538">
        <v>61496731.194782369</v>
      </c>
      <c r="E538">
        <v>82509963.963963971</v>
      </c>
      <c r="F538">
        <v>77216521.621621609</v>
      </c>
      <c r="G538">
        <v>21</v>
      </c>
      <c r="H538">
        <v>9</v>
      </c>
      <c r="K538">
        <v>27</v>
      </c>
      <c r="L538">
        <v>13</v>
      </c>
      <c r="M538">
        <v>15835405.405405404</v>
      </c>
      <c r="N538">
        <v>14402252.252252255</v>
      </c>
      <c r="O538">
        <v>13787612.612612613</v>
      </c>
      <c r="P538">
        <v>15414486.486486483</v>
      </c>
      <c r="Q538">
        <v>6662432.432432428</v>
      </c>
      <c r="R538">
        <v>8951171.1711711735</v>
      </c>
      <c r="S538">
        <v>2814</v>
      </c>
      <c r="T538">
        <v>2723</v>
      </c>
    </row>
    <row r="539" spans="1:20" x14ac:dyDescent="0.35">
      <c r="A539" s="7" t="s">
        <v>642</v>
      </c>
      <c r="B539" s="12" t="s">
        <v>69</v>
      </c>
      <c r="C539">
        <v>290893870.60211736</v>
      </c>
      <c r="D539">
        <v>313501051.60897207</v>
      </c>
      <c r="E539">
        <v>2695720.7207207209</v>
      </c>
      <c r="F539">
        <v>1374774.7747747791</v>
      </c>
      <c r="G539">
        <v>72</v>
      </c>
      <c r="H539">
        <v>41</v>
      </c>
      <c r="K539">
        <v>142</v>
      </c>
      <c r="L539">
        <v>56</v>
      </c>
      <c r="M539">
        <v>28326126.126126129</v>
      </c>
      <c r="N539">
        <v>37404954.954954952</v>
      </c>
      <c r="O539">
        <v>51297182.882882878</v>
      </c>
      <c r="P539">
        <v>61170772.972972974</v>
      </c>
      <c r="Q539">
        <v>24372162.162162159</v>
      </c>
      <c r="R539">
        <v>25254144.144144144</v>
      </c>
      <c r="S539">
        <v>8957</v>
      </c>
      <c r="T539">
        <v>8813</v>
      </c>
    </row>
    <row r="540" spans="1:20" x14ac:dyDescent="0.35">
      <c r="A540" s="7" t="s">
        <v>643</v>
      </c>
      <c r="B540" s="12" t="s">
        <v>71</v>
      </c>
      <c r="C540">
        <v>2110090.2581929779</v>
      </c>
      <c r="D540">
        <v>2305652.7664005728</v>
      </c>
      <c r="E540">
        <v>40540.540540540998</v>
      </c>
      <c r="F540">
        <v>65315.315315314998</v>
      </c>
      <c r="K540">
        <v>1</v>
      </c>
      <c r="M540">
        <v>40540.540540540998</v>
      </c>
      <c r="N540">
        <v>110360.36036036001</v>
      </c>
      <c r="O540">
        <v>1228558.558558559</v>
      </c>
      <c r="P540">
        <v>1487837.8378378381</v>
      </c>
      <c r="Q540">
        <v>164864.864864865</v>
      </c>
      <c r="S540">
        <v>188</v>
      </c>
      <c r="T540">
        <v>203</v>
      </c>
    </row>
    <row r="541" spans="1:20" x14ac:dyDescent="0.35">
      <c r="A541" s="7" t="s">
        <v>644</v>
      </c>
      <c r="B541" s="12" t="s">
        <v>61</v>
      </c>
      <c r="C541">
        <v>22381109.085504554</v>
      </c>
      <c r="D541">
        <v>23505604.326932102</v>
      </c>
      <c r="E541">
        <v>2702.7027027029999</v>
      </c>
      <c r="F541">
        <v>117117.117117118</v>
      </c>
      <c r="G541">
        <v>6</v>
      </c>
      <c r="H541">
        <v>1</v>
      </c>
      <c r="K541">
        <v>6</v>
      </c>
      <c r="L541">
        <v>3</v>
      </c>
      <c r="M541">
        <v>1002702.702702702</v>
      </c>
      <c r="N541">
        <v>1360360.3603603609</v>
      </c>
      <c r="O541">
        <v>9429036.0360360369</v>
      </c>
      <c r="P541">
        <v>8944990.9909909908</v>
      </c>
      <c r="Q541">
        <v>140990.99099099101</v>
      </c>
      <c r="R541">
        <v>1526576.576576577</v>
      </c>
      <c r="S541">
        <v>1061</v>
      </c>
      <c r="T541">
        <v>1094</v>
      </c>
    </row>
    <row r="542" spans="1:20" x14ac:dyDescent="0.35">
      <c r="A542" s="7" t="s">
        <v>645</v>
      </c>
      <c r="B542" s="12" t="s">
        <v>81</v>
      </c>
      <c r="C542">
        <v>227872733.90261748</v>
      </c>
      <c r="D542">
        <v>246490933.95678359</v>
      </c>
      <c r="E542">
        <v>2297297.2972972989</v>
      </c>
      <c r="F542">
        <v>2118918.9189189202</v>
      </c>
      <c r="G542">
        <v>27</v>
      </c>
      <c r="H542">
        <v>22</v>
      </c>
      <c r="K542">
        <v>29</v>
      </c>
      <c r="L542">
        <v>28</v>
      </c>
      <c r="M542">
        <v>25868468.468468465</v>
      </c>
      <c r="N542">
        <v>35614414.414414413</v>
      </c>
      <c r="O542">
        <v>46221626.126126125</v>
      </c>
      <c r="P542">
        <v>53073207.20720721</v>
      </c>
      <c r="Q542">
        <v>23213693.693693697</v>
      </c>
      <c r="R542">
        <v>32306036.036036037</v>
      </c>
      <c r="S542">
        <v>6555</v>
      </c>
      <c r="T542">
        <v>6306</v>
      </c>
    </row>
    <row r="543" spans="1:20" x14ac:dyDescent="0.35">
      <c r="A543" s="7" t="s">
        <v>646</v>
      </c>
      <c r="B543" s="12" t="s">
        <v>136</v>
      </c>
      <c r="C543">
        <v>41016421.039138541</v>
      </c>
      <c r="D543">
        <v>44167149.554106049</v>
      </c>
      <c r="E543">
        <v>193693.69369369399</v>
      </c>
      <c r="G543">
        <v>7</v>
      </c>
      <c r="H543">
        <v>5</v>
      </c>
      <c r="K543">
        <v>7</v>
      </c>
      <c r="L543">
        <v>6</v>
      </c>
      <c r="M543">
        <v>4130630.630630631</v>
      </c>
      <c r="N543">
        <v>261261.26126126101</v>
      </c>
      <c r="O543">
        <v>2460720.7207207209</v>
      </c>
      <c r="P543">
        <v>3159594.594594595</v>
      </c>
      <c r="Q543">
        <v>4036666.666666666</v>
      </c>
      <c r="R543">
        <v>424414.41441441397</v>
      </c>
      <c r="S543">
        <v>1503</v>
      </c>
      <c r="T543">
        <v>1504</v>
      </c>
    </row>
    <row r="544" spans="1:20" x14ac:dyDescent="0.35">
      <c r="A544" s="7" t="s">
        <v>647</v>
      </c>
      <c r="B544" s="12" t="s">
        <v>488</v>
      </c>
      <c r="C544">
        <v>120534443.72715788</v>
      </c>
      <c r="D544">
        <v>124594453.45683217</v>
      </c>
      <c r="E544">
        <v>919819.81981982198</v>
      </c>
      <c r="F544">
        <v>904504.50450450496</v>
      </c>
      <c r="G544">
        <v>15</v>
      </c>
      <c r="H544">
        <v>19</v>
      </c>
      <c r="K544">
        <v>18</v>
      </c>
      <c r="L544">
        <v>22</v>
      </c>
      <c r="M544">
        <v>25178693.693693686</v>
      </c>
      <c r="N544">
        <v>28290945.945945945</v>
      </c>
      <c r="O544">
        <v>42005279.279279277</v>
      </c>
      <c r="P544">
        <v>46720522.522522517</v>
      </c>
      <c r="Q544">
        <v>28335720.72072072</v>
      </c>
      <c r="R544">
        <v>29208063.063063063</v>
      </c>
      <c r="S544">
        <v>5846</v>
      </c>
      <c r="T544">
        <v>5703</v>
      </c>
    </row>
    <row r="545" spans="1:20" x14ac:dyDescent="0.35">
      <c r="A545" s="7" t="s">
        <v>648</v>
      </c>
      <c r="B545" s="12" t="s">
        <v>145</v>
      </c>
      <c r="C545">
        <v>215025238.74603909</v>
      </c>
      <c r="D545">
        <v>232642188.16964126</v>
      </c>
      <c r="E545">
        <v>2743693.693693697</v>
      </c>
      <c r="F545">
        <v>978378.37837837904</v>
      </c>
      <c r="G545">
        <v>37</v>
      </c>
      <c r="H545">
        <v>10</v>
      </c>
      <c r="K545">
        <v>48</v>
      </c>
      <c r="L545">
        <v>13</v>
      </c>
      <c r="M545">
        <v>12414414.414414415</v>
      </c>
      <c r="N545">
        <v>13887387.387387384</v>
      </c>
      <c r="O545">
        <v>26331810.810810812</v>
      </c>
      <c r="P545">
        <v>27826693.693693697</v>
      </c>
      <c r="Q545">
        <v>9569729.7297297288</v>
      </c>
      <c r="R545">
        <v>11090900.900900899</v>
      </c>
      <c r="S545">
        <v>9592</v>
      </c>
      <c r="T545">
        <v>9486</v>
      </c>
    </row>
    <row r="546" spans="1:20" x14ac:dyDescent="0.35">
      <c r="A546" s="7" t="s">
        <v>649</v>
      </c>
      <c r="B546" s="12" t="s">
        <v>245</v>
      </c>
      <c r="C546">
        <v>222228215.12789845</v>
      </c>
      <c r="D546">
        <v>232411678.39089727</v>
      </c>
      <c r="E546">
        <v>1354054.0540540549</v>
      </c>
      <c r="F546">
        <v>972072.07207207498</v>
      </c>
      <c r="G546">
        <v>118</v>
      </c>
      <c r="H546">
        <v>100</v>
      </c>
      <c r="K546">
        <v>140</v>
      </c>
      <c r="L546">
        <v>118</v>
      </c>
      <c r="M546">
        <v>9849549.5495495461</v>
      </c>
      <c r="N546">
        <v>19041396.396396399</v>
      </c>
      <c r="O546">
        <v>71906421.621621624</v>
      </c>
      <c r="P546">
        <v>83228261.261261269</v>
      </c>
      <c r="Q546">
        <v>8340540.5405405397</v>
      </c>
      <c r="R546">
        <v>19092117.117117122</v>
      </c>
      <c r="S546">
        <v>12637</v>
      </c>
      <c r="T546">
        <v>14883</v>
      </c>
    </row>
    <row r="547" spans="1:20" x14ac:dyDescent="0.35">
      <c r="A547" s="7" t="s">
        <v>650</v>
      </c>
      <c r="B547" s="12" t="s">
        <v>134</v>
      </c>
      <c r="C547">
        <v>83169402.461614862</v>
      </c>
      <c r="D547">
        <v>93235638.801916316</v>
      </c>
      <c r="E547">
        <v>29397257.657657657</v>
      </c>
      <c r="F547">
        <v>38791460.360360362</v>
      </c>
      <c r="G547">
        <v>30</v>
      </c>
      <c r="H547">
        <v>26</v>
      </c>
      <c r="K547">
        <v>36</v>
      </c>
      <c r="L547">
        <v>33</v>
      </c>
      <c r="M547">
        <v>5167567.5675675683</v>
      </c>
      <c r="N547">
        <v>4892117.1171171172</v>
      </c>
      <c r="O547">
        <v>30338342.342342343</v>
      </c>
      <c r="P547">
        <v>33514421.621621624</v>
      </c>
      <c r="Q547">
        <v>2120990.9909909922</v>
      </c>
      <c r="R547">
        <v>1599504.5045045051</v>
      </c>
      <c r="S547">
        <v>4706</v>
      </c>
      <c r="T547">
        <v>5681</v>
      </c>
    </row>
    <row r="548" spans="1:20" x14ac:dyDescent="0.35">
      <c r="A548" s="7" t="s">
        <v>651</v>
      </c>
      <c r="B548" s="12" t="s">
        <v>136</v>
      </c>
      <c r="C548">
        <v>268023049.61794367</v>
      </c>
      <c r="D548">
        <v>300051007.72072005</v>
      </c>
      <c r="E548">
        <v>510810.81081081298</v>
      </c>
      <c r="F548">
        <v>728828.828828834</v>
      </c>
      <c r="G548">
        <v>36</v>
      </c>
      <c r="H548">
        <v>26</v>
      </c>
      <c r="K548">
        <v>41</v>
      </c>
      <c r="L548">
        <v>33</v>
      </c>
      <c r="M548">
        <v>20564144.144144144</v>
      </c>
      <c r="N548">
        <v>23977477.47747748</v>
      </c>
      <c r="O548">
        <v>33824272.972972974</v>
      </c>
      <c r="P548">
        <v>44232603.603603601</v>
      </c>
      <c r="Q548">
        <v>16008061.26126126</v>
      </c>
      <c r="R548">
        <v>18587747.747747749</v>
      </c>
      <c r="S548">
        <v>7434</v>
      </c>
      <c r="T548">
        <v>7616</v>
      </c>
    </row>
    <row r="549" spans="1:20" x14ac:dyDescent="0.35">
      <c r="A549" s="7" t="s">
        <v>652</v>
      </c>
      <c r="B549" s="12" t="s">
        <v>81</v>
      </c>
      <c r="C549">
        <v>142484001.78460544</v>
      </c>
      <c r="D549">
        <v>148133944.14988676</v>
      </c>
      <c r="E549">
        <v>446846.84684684803</v>
      </c>
      <c r="F549">
        <v>987387.38738738804</v>
      </c>
      <c r="G549">
        <v>26</v>
      </c>
      <c r="H549">
        <v>9</v>
      </c>
      <c r="K549">
        <v>30</v>
      </c>
      <c r="L549">
        <v>18</v>
      </c>
      <c r="M549">
        <v>10199099.0990991</v>
      </c>
      <c r="N549">
        <v>14298198.198198196</v>
      </c>
      <c r="O549">
        <v>50226761.261261262</v>
      </c>
      <c r="P549">
        <v>53712007.20720721</v>
      </c>
      <c r="Q549">
        <v>13219099.0990991</v>
      </c>
      <c r="R549">
        <v>14361531.53153153</v>
      </c>
      <c r="S549">
        <v>4901</v>
      </c>
      <c r="T549">
        <v>5052</v>
      </c>
    </row>
    <row r="550" spans="1:20" x14ac:dyDescent="0.35">
      <c r="A550" s="7" t="s">
        <v>653</v>
      </c>
      <c r="B550" s="12" t="s">
        <v>171</v>
      </c>
      <c r="C550">
        <v>225981049.37235513</v>
      </c>
      <c r="D550">
        <v>256431256.59582415</v>
      </c>
      <c r="E550">
        <v>1048648.6486486499</v>
      </c>
      <c r="F550">
        <v>1793693.6936936949</v>
      </c>
      <c r="G550">
        <v>24</v>
      </c>
      <c r="H550">
        <v>16</v>
      </c>
      <c r="I550">
        <v>1</v>
      </c>
      <c r="K550">
        <v>25</v>
      </c>
      <c r="L550">
        <v>20</v>
      </c>
      <c r="M550">
        <v>14877477.47747748</v>
      </c>
      <c r="N550">
        <v>23235135.135135137</v>
      </c>
      <c r="O550">
        <v>80842810.810810819</v>
      </c>
      <c r="P550">
        <v>95464108.108108118</v>
      </c>
      <c r="Q550">
        <v>18293063.063063063</v>
      </c>
      <c r="R550">
        <v>22749189.189189188</v>
      </c>
      <c r="S550">
        <v>8929</v>
      </c>
      <c r="T550">
        <v>8802</v>
      </c>
    </row>
    <row r="551" spans="1:20" x14ac:dyDescent="0.35">
      <c r="A551" s="7" t="s">
        <v>654</v>
      </c>
      <c r="B551" s="12" t="s">
        <v>59</v>
      </c>
      <c r="C551">
        <v>395131612.71143377</v>
      </c>
      <c r="D551">
        <v>415640141.01779974</v>
      </c>
      <c r="E551">
        <v>4248648.6486486495</v>
      </c>
      <c r="F551">
        <v>2206306.3063063091</v>
      </c>
      <c r="G551">
        <v>85</v>
      </c>
      <c r="H551">
        <v>69</v>
      </c>
      <c r="K551">
        <v>105</v>
      </c>
      <c r="L551">
        <v>87</v>
      </c>
      <c r="M551">
        <v>25459009.009009007</v>
      </c>
      <c r="N551">
        <v>59246846.846846849</v>
      </c>
      <c r="O551">
        <v>82623959.459459454</v>
      </c>
      <c r="P551">
        <v>86993034.234234244</v>
      </c>
      <c r="Q551">
        <v>27841171.17117117</v>
      </c>
      <c r="R551">
        <v>63069729.729729727</v>
      </c>
      <c r="S551">
        <v>17253</v>
      </c>
      <c r="T551">
        <v>17781</v>
      </c>
    </row>
    <row r="552" spans="1:20" x14ac:dyDescent="0.35">
      <c r="A552" s="7" t="s">
        <v>655</v>
      </c>
      <c r="B552" s="12" t="s">
        <v>59</v>
      </c>
      <c r="C552">
        <v>506750631.9296397</v>
      </c>
      <c r="D552">
        <v>534726142.36238521</v>
      </c>
      <c r="E552">
        <v>135162101.8018018</v>
      </c>
      <c r="F552">
        <v>199417556.75675678</v>
      </c>
      <c r="G552">
        <v>223</v>
      </c>
      <c r="H552">
        <v>159</v>
      </c>
      <c r="I552">
        <v>1</v>
      </c>
      <c r="K552">
        <v>347</v>
      </c>
      <c r="L552">
        <v>308</v>
      </c>
      <c r="M552">
        <v>77105405.405405402</v>
      </c>
      <c r="N552">
        <v>123425225.22522521</v>
      </c>
      <c r="O552">
        <v>143970887.38738739</v>
      </c>
      <c r="P552">
        <v>154768403.6036036</v>
      </c>
      <c r="Q552">
        <v>74028648.648648635</v>
      </c>
      <c r="R552">
        <v>136200266.66666669</v>
      </c>
      <c r="S552">
        <v>22812</v>
      </c>
      <c r="T552">
        <v>22235</v>
      </c>
    </row>
    <row r="553" spans="1:20" x14ac:dyDescent="0.35">
      <c r="A553" s="7" t="s">
        <v>656</v>
      </c>
      <c r="B553" s="12" t="s">
        <v>313</v>
      </c>
      <c r="C553">
        <v>162383126.05118698</v>
      </c>
      <c r="D553">
        <v>157018100.13047203</v>
      </c>
      <c r="E553">
        <v>992792.79279279301</v>
      </c>
      <c r="F553">
        <v>1039639.63963964</v>
      </c>
      <c r="G553">
        <v>11</v>
      </c>
      <c r="H553">
        <v>10</v>
      </c>
      <c r="K553">
        <v>14</v>
      </c>
      <c r="L553">
        <v>12</v>
      </c>
      <c r="M553">
        <v>3145045.0450450452</v>
      </c>
      <c r="N553">
        <v>2661261.2612612611</v>
      </c>
      <c r="O553">
        <v>27015797.297297295</v>
      </c>
      <c r="P553">
        <v>28129653.153153151</v>
      </c>
      <c r="Q553">
        <v>2722252.2522522509</v>
      </c>
      <c r="R553">
        <v>2722162.1621621619</v>
      </c>
      <c r="S553">
        <v>5113</v>
      </c>
      <c r="T553">
        <v>5197</v>
      </c>
    </row>
    <row r="554" spans="1:20" x14ac:dyDescent="0.35">
      <c r="A554" s="7" t="s">
        <v>13</v>
      </c>
      <c r="B554" s="12" t="s">
        <v>160</v>
      </c>
      <c r="C554">
        <v>181959391.72406322</v>
      </c>
      <c r="D554">
        <v>177666582.90322146</v>
      </c>
      <c r="E554">
        <v>1107207.207207208</v>
      </c>
      <c r="F554">
        <v>574774.774774777</v>
      </c>
      <c r="G554">
        <v>14</v>
      </c>
      <c r="H554">
        <v>58</v>
      </c>
      <c r="K554">
        <v>104</v>
      </c>
      <c r="L554">
        <v>86</v>
      </c>
      <c r="M554">
        <v>44812612.612612605</v>
      </c>
      <c r="N554">
        <v>42523873.873873875</v>
      </c>
      <c r="O554">
        <v>102467423.42342342</v>
      </c>
      <c r="P554">
        <v>103794117.11711712</v>
      </c>
      <c r="Q554">
        <v>42757207.20720721</v>
      </c>
      <c r="R554">
        <v>47467387.387387395</v>
      </c>
      <c r="S554">
        <v>7093</v>
      </c>
      <c r="T554">
        <v>7103</v>
      </c>
    </row>
    <row r="555" spans="1:20" x14ac:dyDescent="0.35">
      <c r="A555" s="7" t="s">
        <v>657</v>
      </c>
      <c r="B555" s="12" t="s">
        <v>123</v>
      </c>
      <c r="C555">
        <v>132665779.81797408</v>
      </c>
      <c r="D555">
        <v>137527471.03647223</v>
      </c>
      <c r="E555">
        <v>95495.495495495998</v>
      </c>
      <c r="F555">
        <v>18018.018018018</v>
      </c>
      <c r="G555">
        <v>28</v>
      </c>
      <c r="H555">
        <v>30</v>
      </c>
      <c r="K555">
        <v>29</v>
      </c>
      <c r="L555">
        <v>32</v>
      </c>
      <c r="M555">
        <v>909909.90990991006</v>
      </c>
      <c r="N555">
        <v>18018.018018018</v>
      </c>
      <c r="O555">
        <v>11195858.108108109</v>
      </c>
      <c r="P555">
        <v>14095279.27927928</v>
      </c>
      <c r="Q555">
        <v>483513.51351351402</v>
      </c>
      <c r="R555">
        <v>456306.30630630697</v>
      </c>
      <c r="S555">
        <v>3256</v>
      </c>
      <c r="T555">
        <v>3185</v>
      </c>
    </row>
    <row r="556" spans="1:20" x14ac:dyDescent="0.35">
      <c r="A556" s="7" t="s">
        <v>658</v>
      </c>
      <c r="B556" s="12" t="s">
        <v>321</v>
      </c>
      <c r="C556">
        <v>42557707.986335859</v>
      </c>
      <c r="D556">
        <v>39426748.238442555</v>
      </c>
      <c r="E556">
        <v>334234.23423423403</v>
      </c>
      <c r="F556">
        <v>920720.720720727</v>
      </c>
      <c r="G556">
        <v>10</v>
      </c>
      <c r="H556">
        <v>4</v>
      </c>
      <c r="K556">
        <v>11</v>
      </c>
      <c r="L556">
        <v>4</v>
      </c>
      <c r="M556">
        <v>7615315.3153153136</v>
      </c>
      <c r="N556">
        <v>14888738.73873874</v>
      </c>
      <c r="O556">
        <v>10359522.522522524</v>
      </c>
      <c r="P556">
        <v>11315216.216216216</v>
      </c>
      <c r="Q556">
        <v>6509729.7297297297</v>
      </c>
      <c r="R556">
        <v>12024324.324324325</v>
      </c>
      <c r="S556">
        <v>1229</v>
      </c>
      <c r="T556">
        <v>1262</v>
      </c>
    </row>
    <row r="557" spans="1:20" x14ac:dyDescent="0.35">
      <c r="A557" s="7" t="s">
        <v>659</v>
      </c>
      <c r="B557" s="12" t="s">
        <v>264</v>
      </c>
      <c r="C557">
        <v>117926941.36833328</v>
      </c>
      <c r="D557">
        <v>131723677.10910535</v>
      </c>
      <c r="E557">
        <v>729954.95495495503</v>
      </c>
      <c r="F557">
        <v>340540.54054054001</v>
      </c>
      <c r="G557">
        <v>24</v>
      </c>
      <c r="H557">
        <v>15</v>
      </c>
      <c r="K557">
        <v>29</v>
      </c>
      <c r="L557">
        <v>21</v>
      </c>
      <c r="M557">
        <v>19261261.261261258</v>
      </c>
      <c r="N557">
        <v>18646846.846846849</v>
      </c>
      <c r="O557">
        <v>37518279.279279277</v>
      </c>
      <c r="P557">
        <v>45480036.036036029</v>
      </c>
      <c r="Q557">
        <v>23133513.513513513</v>
      </c>
      <c r="R557">
        <v>24680810.810810812</v>
      </c>
      <c r="S557">
        <v>4482</v>
      </c>
      <c r="T557">
        <v>4842</v>
      </c>
    </row>
    <row r="558" spans="1:20" x14ac:dyDescent="0.35">
      <c r="A558" s="7" t="s">
        <v>660</v>
      </c>
      <c r="B558" s="12" t="s">
        <v>228</v>
      </c>
      <c r="C558">
        <v>106647397.31457281</v>
      </c>
      <c r="D558">
        <v>140924473.93650067</v>
      </c>
      <c r="E558">
        <v>526801.80180180306</v>
      </c>
      <c r="F558">
        <v>454954.95495495602</v>
      </c>
      <c r="G558">
        <v>24</v>
      </c>
      <c r="H558">
        <v>41</v>
      </c>
      <c r="K558">
        <v>32</v>
      </c>
      <c r="L558">
        <v>49</v>
      </c>
      <c r="M558">
        <v>7895855.8558558552</v>
      </c>
      <c r="N558">
        <v>6548648.6486486495</v>
      </c>
      <c r="O558">
        <v>25471756.756756756</v>
      </c>
      <c r="P558">
        <v>35041189.189189188</v>
      </c>
      <c r="Q558">
        <v>8889819.8198198192</v>
      </c>
      <c r="R558">
        <v>5544504.5045045055</v>
      </c>
      <c r="S558">
        <v>5473</v>
      </c>
      <c r="T558">
        <v>5836</v>
      </c>
    </row>
    <row r="559" spans="1:20" x14ac:dyDescent="0.35">
      <c r="A559" s="7" t="s">
        <v>661</v>
      </c>
      <c r="B559" s="12" t="s">
        <v>228</v>
      </c>
      <c r="C559">
        <v>86542218.264384165</v>
      </c>
      <c r="D559">
        <v>112077176.88590674</v>
      </c>
      <c r="E559">
        <v>36036.036036037003</v>
      </c>
      <c r="F559">
        <v>56756.756756757</v>
      </c>
      <c r="G559">
        <v>16</v>
      </c>
      <c r="H559">
        <v>17</v>
      </c>
      <c r="K559">
        <v>21</v>
      </c>
      <c r="L559">
        <v>18</v>
      </c>
      <c r="M559">
        <v>2999999.9999999991</v>
      </c>
      <c r="N559">
        <v>3382882.8828828819</v>
      </c>
      <c r="O559">
        <v>13703009.009009007</v>
      </c>
      <c r="P559">
        <v>17218504.504504506</v>
      </c>
      <c r="Q559">
        <v>2406126.1261261269</v>
      </c>
      <c r="R559">
        <v>2927387.387387387</v>
      </c>
      <c r="S559">
        <v>3062</v>
      </c>
      <c r="T559">
        <v>3090</v>
      </c>
    </row>
    <row r="560" spans="1:20" x14ac:dyDescent="0.35">
      <c r="A560" s="7" t="s">
        <v>662</v>
      </c>
      <c r="B560" s="12" t="s">
        <v>228</v>
      </c>
      <c r="C560">
        <v>330331504.94345218</v>
      </c>
      <c r="D560">
        <v>417138194.53725207</v>
      </c>
      <c r="E560">
        <v>69016645.945945948</v>
      </c>
      <c r="F560">
        <v>165774109.00900903</v>
      </c>
      <c r="G560">
        <v>96</v>
      </c>
      <c r="H560">
        <v>134</v>
      </c>
      <c r="K560">
        <v>132</v>
      </c>
      <c r="L560">
        <v>168</v>
      </c>
      <c r="M560">
        <v>56852792.79279279</v>
      </c>
      <c r="N560">
        <v>59896846.846846849</v>
      </c>
      <c r="O560">
        <v>84101585.585585579</v>
      </c>
      <c r="P560">
        <v>107905288.2882883</v>
      </c>
      <c r="Q560">
        <v>41939279.279279277</v>
      </c>
      <c r="R560">
        <v>46440630.630630642</v>
      </c>
      <c r="S560">
        <v>18326</v>
      </c>
      <c r="T560">
        <v>20096</v>
      </c>
    </row>
    <row r="561" spans="1:20" x14ac:dyDescent="0.35">
      <c r="A561" s="7" t="s">
        <v>663</v>
      </c>
      <c r="B561" s="12" t="s">
        <v>228</v>
      </c>
      <c r="C561">
        <v>43075027.506432958</v>
      </c>
      <c r="D561">
        <v>50283156.656594597</v>
      </c>
      <c r="E561">
        <v>207207.207207208</v>
      </c>
      <c r="F561">
        <v>18018.018018018</v>
      </c>
      <c r="G561">
        <v>11</v>
      </c>
      <c r="H561">
        <v>7</v>
      </c>
      <c r="K561">
        <v>12</v>
      </c>
      <c r="L561">
        <v>7</v>
      </c>
      <c r="M561">
        <v>657657.65765765798</v>
      </c>
      <c r="N561">
        <v>918918.918918918</v>
      </c>
      <c r="O561">
        <v>6848189.1891891891</v>
      </c>
      <c r="P561">
        <v>9479881.0810810793</v>
      </c>
      <c r="Q561">
        <v>606576.57657657599</v>
      </c>
      <c r="R561">
        <v>714144.14414414298</v>
      </c>
      <c r="S561">
        <v>1752</v>
      </c>
      <c r="T561">
        <v>1718</v>
      </c>
    </row>
    <row r="562" spans="1:20" x14ac:dyDescent="0.35">
      <c r="A562" s="7" t="s">
        <v>664</v>
      </c>
      <c r="B562" s="12" t="s">
        <v>97</v>
      </c>
      <c r="C562">
        <v>220970054.45140111</v>
      </c>
      <c r="D562">
        <v>221575744.09059653</v>
      </c>
      <c r="E562">
        <v>158098995.4954955</v>
      </c>
      <c r="F562">
        <v>150623153.15315315</v>
      </c>
      <c r="G562">
        <v>100</v>
      </c>
      <c r="H562">
        <v>37</v>
      </c>
      <c r="K562">
        <v>110</v>
      </c>
      <c r="L562">
        <v>43</v>
      </c>
      <c r="M562">
        <v>32855711.711711712</v>
      </c>
      <c r="N562">
        <v>9690090.0900900904</v>
      </c>
      <c r="O562">
        <v>29892018.018018015</v>
      </c>
      <c r="P562">
        <v>28917261.261261258</v>
      </c>
      <c r="Q562">
        <v>3294144.1441441448</v>
      </c>
      <c r="R562">
        <v>6545405.405405405</v>
      </c>
      <c r="S562">
        <v>9186</v>
      </c>
      <c r="T562">
        <v>8274</v>
      </c>
    </row>
    <row r="563" spans="1:20" x14ac:dyDescent="0.35">
      <c r="A563" s="7" t="s">
        <v>665</v>
      </c>
      <c r="B563" s="12" t="s">
        <v>67</v>
      </c>
      <c r="C563">
        <v>139156713.54017958</v>
      </c>
      <c r="D563">
        <v>132748781.69505408</v>
      </c>
      <c r="E563">
        <v>2517117.1171171162</v>
      </c>
      <c r="F563">
        <v>1630630.6306306319</v>
      </c>
      <c r="G563">
        <v>51</v>
      </c>
      <c r="H563">
        <v>17</v>
      </c>
      <c r="K563">
        <v>56</v>
      </c>
      <c r="L563">
        <v>18</v>
      </c>
      <c r="M563">
        <v>68933333.333333343</v>
      </c>
      <c r="N563">
        <v>44632387.387387395</v>
      </c>
      <c r="O563">
        <v>89770180.180180177</v>
      </c>
      <c r="P563">
        <v>85712864.864864871</v>
      </c>
      <c r="Q563">
        <v>35052252.252252258</v>
      </c>
      <c r="R563">
        <v>33889684.684684686</v>
      </c>
      <c r="S563">
        <v>5308</v>
      </c>
      <c r="T563">
        <v>4511</v>
      </c>
    </row>
    <row r="564" spans="1:20" x14ac:dyDescent="0.35">
      <c r="A564" s="7" t="s">
        <v>666</v>
      </c>
      <c r="B564" s="12" t="s">
        <v>69</v>
      </c>
      <c r="C564">
        <v>210629788.95809329</v>
      </c>
      <c r="D564">
        <v>232240491.27533248</v>
      </c>
      <c r="E564">
        <v>700000.00000000105</v>
      </c>
      <c r="F564">
        <v>96396.396396395998</v>
      </c>
      <c r="G564">
        <v>36</v>
      </c>
      <c r="H564">
        <v>24</v>
      </c>
      <c r="K564">
        <v>40</v>
      </c>
      <c r="L564">
        <v>33</v>
      </c>
      <c r="M564">
        <v>9155405.4054054078</v>
      </c>
      <c r="N564">
        <v>12682882.882882884</v>
      </c>
      <c r="O564">
        <v>30020711.711711712</v>
      </c>
      <c r="P564">
        <v>35404063.063063063</v>
      </c>
      <c r="Q564">
        <v>8395765.7657657675</v>
      </c>
      <c r="R564">
        <v>10496396.396396397</v>
      </c>
      <c r="S564">
        <v>6475</v>
      </c>
      <c r="T564">
        <v>6267</v>
      </c>
    </row>
    <row r="565" spans="1:20" x14ac:dyDescent="0.35">
      <c r="A565" s="7" t="s">
        <v>14</v>
      </c>
      <c r="B565" s="12" t="s">
        <v>160</v>
      </c>
      <c r="C565">
        <v>92239254.461155385</v>
      </c>
      <c r="D565">
        <v>102899116.54296325</v>
      </c>
      <c r="E565">
        <v>713513.513513515</v>
      </c>
      <c r="F565">
        <v>132432.43243243301</v>
      </c>
      <c r="G565">
        <v>15</v>
      </c>
      <c r="H565">
        <v>5</v>
      </c>
      <c r="K565">
        <v>18</v>
      </c>
      <c r="L565">
        <v>8</v>
      </c>
      <c r="M565">
        <v>26611711.711711712</v>
      </c>
      <c r="N565">
        <v>17792342.342342343</v>
      </c>
      <c r="O565">
        <v>31594396.396396399</v>
      </c>
      <c r="P565">
        <v>36140693.693693697</v>
      </c>
      <c r="Q565">
        <v>29439099.0990991</v>
      </c>
      <c r="R565">
        <v>16674414.414414413</v>
      </c>
      <c r="S565">
        <v>3106</v>
      </c>
      <c r="T565">
        <v>4027</v>
      </c>
    </row>
    <row r="566" spans="1:20" x14ac:dyDescent="0.35">
      <c r="A566" s="7" t="s">
        <v>667</v>
      </c>
      <c r="B566" s="12" t="s">
        <v>309</v>
      </c>
      <c r="C566">
        <v>105770167.15466614</v>
      </c>
      <c r="D566">
        <v>108430401.32689214</v>
      </c>
      <c r="E566">
        <v>548648.64864864701</v>
      </c>
      <c r="F566">
        <v>439639.639639639</v>
      </c>
      <c r="G566">
        <v>20</v>
      </c>
      <c r="H566">
        <v>28</v>
      </c>
      <c r="K566">
        <v>20</v>
      </c>
      <c r="L566">
        <v>34</v>
      </c>
      <c r="M566">
        <v>15812612.612612613</v>
      </c>
      <c r="N566">
        <v>22205405.40540541</v>
      </c>
      <c r="O566">
        <v>26123094.59459459</v>
      </c>
      <c r="P566">
        <v>36243747.747747742</v>
      </c>
      <c r="Q566">
        <v>14720990.990990991</v>
      </c>
      <c r="R566">
        <v>18025315.315315317</v>
      </c>
      <c r="S566">
        <v>3361</v>
      </c>
      <c r="T566">
        <v>3133</v>
      </c>
    </row>
    <row r="567" spans="1:20" x14ac:dyDescent="0.35">
      <c r="A567" s="7" t="s">
        <v>668</v>
      </c>
      <c r="B567" s="12" t="s">
        <v>49</v>
      </c>
      <c r="C567">
        <v>123295903.68649296</v>
      </c>
      <c r="D567">
        <v>132831460.06055707</v>
      </c>
      <c r="E567">
        <v>863963.96396396495</v>
      </c>
      <c r="F567">
        <v>1533333.333333336</v>
      </c>
      <c r="G567">
        <v>17</v>
      </c>
      <c r="H567">
        <v>3</v>
      </c>
      <c r="K567">
        <v>21</v>
      </c>
      <c r="L567">
        <v>5</v>
      </c>
      <c r="M567">
        <v>28799099.099099096</v>
      </c>
      <c r="N567">
        <v>8562162.1621621642</v>
      </c>
      <c r="O567">
        <v>37035288.288288288</v>
      </c>
      <c r="P567">
        <v>40087738.738738738</v>
      </c>
      <c r="Q567">
        <v>23373783.783783782</v>
      </c>
      <c r="R567">
        <v>6979279.2792792786</v>
      </c>
      <c r="S567">
        <v>3200</v>
      </c>
      <c r="T567">
        <v>3297</v>
      </c>
    </row>
    <row r="568" spans="1:20" x14ac:dyDescent="0.35">
      <c r="A568" s="7" t="s">
        <v>669</v>
      </c>
      <c r="B568" s="12" t="s">
        <v>55</v>
      </c>
      <c r="C568">
        <v>41972132.379553527</v>
      </c>
      <c r="D568">
        <v>43740470.824448831</v>
      </c>
      <c r="E568">
        <v>114414.41441441501</v>
      </c>
      <c r="F568">
        <v>2069369.3693693699</v>
      </c>
      <c r="H568">
        <v>5</v>
      </c>
      <c r="L568">
        <v>12</v>
      </c>
      <c r="M568">
        <v>3920720.7207207209</v>
      </c>
      <c r="N568">
        <v>4952252.2522522528</v>
      </c>
      <c r="O568">
        <v>9969594.5945945941</v>
      </c>
      <c r="P568">
        <v>10517918.918918919</v>
      </c>
      <c r="Q568">
        <v>3118828.8288288289</v>
      </c>
      <c r="R568">
        <v>3338648.648648649</v>
      </c>
      <c r="S568">
        <v>1516</v>
      </c>
      <c r="T568">
        <v>1575</v>
      </c>
    </row>
    <row r="569" spans="1:20" x14ac:dyDescent="0.35">
      <c r="A569" s="7" t="s">
        <v>670</v>
      </c>
      <c r="B569" s="12" t="s">
        <v>51</v>
      </c>
      <c r="C569">
        <v>182049405.67205125</v>
      </c>
      <c r="D569">
        <v>198300641.30497909</v>
      </c>
      <c r="E569">
        <v>606306.30630630697</v>
      </c>
      <c r="F569">
        <v>954054.05405405501</v>
      </c>
      <c r="G569">
        <v>31</v>
      </c>
      <c r="H569">
        <v>5</v>
      </c>
      <c r="K569">
        <v>37</v>
      </c>
      <c r="L569">
        <v>8</v>
      </c>
      <c r="M569">
        <v>43513693.693693697</v>
      </c>
      <c r="N569">
        <v>34264954.954954959</v>
      </c>
      <c r="O569">
        <v>87629279.279279277</v>
      </c>
      <c r="P569">
        <v>96843936.936936945</v>
      </c>
      <c r="Q569">
        <v>38868108.108108103</v>
      </c>
      <c r="R569">
        <v>36474954.954954952</v>
      </c>
      <c r="S569">
        <v>5582</v>
      </c>
      <c r="T569">
        <v>5793</v>
      </c>
    </row>
    <row r="570" spans="1:20" x14ac:dyDescent="0.35">
      <c r="A570" s="7" t="s">
        <v>671</v>
      </c>
      <c r="B570" s="12" t="s">
        <v>84</v>
      </c>
      <c r="C570">
        <v>224413244.76973143</v>
      </c>
      <c r="D570">
        <v>228902854.57636857</v>
      </c>
      <c r="E570">
        <v>1593693.6936936961</v>
      </c>
      <c r="F570">
        <v>1996396.3963963981</v>
      </c>
      <c r="G570">
        <v>61</v>
      </c>
      <c r="H570">
        <v>65</v>
      </c>
      <c r="K570">
        <v>74</v>
      </c>
      <c r="L570">
        <v>82</v>
      </c>
      <c r="M570">
        <v>44505180.180180177</v>
      </c>
      <c r="N570">
        <v>25332657.657657657</v>
      </c>
      <c r="O570">
        <v>58394702.702702701</v>
      </c>
      <c r="P570">
        <v>62116718.918918923</v>
      </c>
      <c r="Q570">
        <v>19934909.909909908</v>
      </c>
      <c r="R570">
        <v>21637612.612612613</v>
      </c>
      <c r="S570">
        <v>8971</v>
      </c>
      <c r="T570">
        <v>8843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2026-08-14T10:54:01Z</dcterms:modified>
</cp:coreProperties>
</file>