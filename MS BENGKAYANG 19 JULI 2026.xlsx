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W11" i="1" s="1"/>
  <c r="V12" i="1"/>
  <c r="W12" i="1" s="1"/>
  <c r="V13" i="1"/>
  <c r="W13" i="1" s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W9" i="1" s="1"/>
  <c r="U10" i="1"/>
  <c r="W10" i="1" s="1"/>
  <c r="U11" i="1"/>
  <c r="U12" i="1"/>
  <c r="U13" i="1"/>
  <c r="U14" i="1"/>
  <c r="U15" i="1"/>
  <c r="U16" i="1"/>
  <c r="U17" i="1"/>
  <c r="U18" i="1"/>
  <c r="U19" i="1"/>
  <c r="U20" i="1"/>
  <c r="U21" i="1"/>
  <c r="W21" i="1" s="1"/>
  <c r="U22" i="1"/>
  <c r="W22" i="1" s="1"/>
  <c r="U6" i="1"/>
  <c r="W6" i="1" s="1"/>
  <c r="W7" i="1"/>
  <c r="W8" i="1"/>
  <c r="W20" i="1" l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<sst xmlns="http://schemas.openxmlformats.org/spreadsheetml/2006/main" count="1239" uniqueCount="675">
  <si>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</si>
  <si>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</si>
  <si>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</si>
  <si>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</si>
  <si>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</si>
  <si>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</si>
  <si>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</si>
  <si>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</si>
  <si>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</si>
  <si>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</si>
  <si>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</si>
  <si>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</si>
  <si>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</si>
  <si>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</si>
  <si>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</si>
  <si>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</si>
  <si>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</si>
  <si>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</si>
  <si>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</si>
  <si>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</si>
  <si>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</si>
  <si>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</si>
  <si>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</si>
  <si>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</si>
  <si>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</si>
  <si>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</si>
  <si>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</si>
  <si>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</si>
  <si>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</si>
  <si>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</si>
  <si>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</si>
  <si>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</si>
  <si>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</si>
  <si>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</si>
  <si>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</si>
  <si>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</si>
  <si>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</si>
  <si>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</si>
  <si>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</si>
  <si>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</si>
  <si>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</si>
  <si>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</si>
  <si>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</si>
  <si>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</si>
  <si>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</si>
  <si>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</si>
  <si>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</si>
  <si>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</si>
  <si>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</si>
  <si>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</si>
  <si>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</si>
  <si>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</si>
  <si>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</si>
  <si>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</si>
  <si>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</si>
  <si>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</si>
  <si>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</si>
  <si>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</si>
  <si>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</si>
  <si>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</si>
  <si>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</si>
  <si>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</si>
  <si>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</si>
  <si>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</si>
  <si>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</si>
  <si>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</si>
  <si>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</si>
  <si>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</si>
  <si>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</si>
  <si>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</si>
  <si>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</si>
  <si>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</si>
  <si>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</si>
  <si>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</si>
  <si>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</si>
  <si>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</si>
  <si>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</si>
  <si>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</si>
  <si>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</si>
  <si>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</si>
  <si>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</si>
  <si>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</si>
  <si>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</si>
  <si>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</si>
  <si>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</si>
  <si>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</si>
  <si>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</si>
  <si>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</si>
  <si>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</si>
  <si>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</si>
  <si>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</si>
  <si>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</si>
  <si>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</si>
  <si>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</si>
  <si>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</si>
  <si>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</si>
  <si>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</si>
  <si>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</si>
  <si>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</si>
  <si>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</si>
  <si>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</si>
  <si>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</si>
  <si>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</si>
  <si>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</si>
  <si>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</si>
  <si>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</si>
  <si>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</si>
  <si>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</si>
  <si>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</si>
  <si>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</si>
  <si>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</si>
  <si>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</si>
  <si>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</si>
  <si>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</si>
  <si>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</si>
  <si>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</si>
  <si>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</si>
  <si>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</si>
  <si>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</si>
  <si>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</si>
  <si>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</si>
  <si>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</si>
  <si>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</si>
  <si>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</si>
  <si>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</si>
  <si>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</si>
  <si>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</si>
  <si>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</si>
  <si>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</si>
  <si>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</si>
  <si>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</si>
  <si>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</si>
  <si>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</si>
  <si>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</si>
  <si>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</si>
  <si>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</si>
  <si>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</si>
  <si>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</si>
  <si>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</si>
  <si>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</si>
  <si>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</si>
  <si>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</si>
  <si>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</si>
  <si>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</si>
  <si>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</si>
  <si>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</si>
  <si>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</si>
  <si>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</si>
  <si>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</si>
  <si>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</si>
  <si>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</si>
  <si>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</si>
  <si>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</si>
  <si>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</si>
  <si>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</si>
  <si>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</si>
  <si>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</si>
  <si>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</si>
  <si>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</si>
  <si>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</si>
  <si>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</si>
  <si>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</si>
  <si>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</si>
  <si>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</si>
  <si>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</si>
  <si>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</si>
  <si>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</si>
  <si>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</si>
  <si>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</si>
  <si>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</si>
  <si>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</si>
  <si>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</si>
  <si>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</si>
  <si>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</si>
  <si>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</si>
  <si>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</si>
  <si>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</si>
  <si>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</si>
  <si>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</si>
  <si>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</si>
  <si>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</si>
  <si>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</si>
  <si>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</si>
  <si>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</si>
  <si>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</si>
  <si>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</si>
  <si>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</si>
  <si>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</si>
  <si>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</si>
  <si>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</si>
  <si>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</si>
  <si>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</si>
  <si>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</si>
  <si>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</si>
  <si>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</si>
  <si>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</si>
  <si>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</si>
  <si>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</si>
  <si>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</si>
  <si>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</si>
  <si>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</si>
  <si>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</si>
  <si>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</si>
  <si>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</si>
  <si>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</si>
  <si>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</si>
  <si>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</si>
  <si>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</si>
  <si>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</si>
  <si>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</si>
  <si>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</si>
  <si>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</si>
  <si>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</si>
  <si>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</si>
  <si>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</si>
  <si>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</si>
  <si>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</si>
  <si>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</si>
  <si>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</si>
  <si>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</si>
  <si>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</si>
  <si>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</si>
  <si>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</si>
  <si>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</si>
  <si>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</si>
  <si>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</si>
  <si>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</si>
  <si>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</si>
  <si>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</si>
  <si>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</si>
  <si>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</si>
  <si>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</si>
  <si>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</si>
  <si>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</si>
  <si>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</si>
  <si>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</si>
  <si>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</si>
  <si>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</si>
  <si>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</si>
  <si>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</si>
  <si>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</si>
  <si>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</si>
  <si>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</si>
  <si>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</si>
  <si>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</si>
  <si>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</si>
  <si>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</si>
  <si>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</si>
  <si>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</si>
  <si>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</si>
  <si>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</si>
  <si>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</si>
  <si>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</si>
  <si>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</si>
  <si>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</si>
  <si>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</si>
  <si>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</si>
  <si>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</si>
  <si>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</si>
  <si>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</si>
  <si>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</si>
  <si>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</si>
  <si>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</si>
  <si>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</si>
  <si>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</si>
  <si>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</si>
  <si>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</si>
  <si>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</si>
  <si>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</si>
  <si>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</si>
  <si>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</si>
  <si>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</si>
  <si>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</si>
  <si>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</si>
  <si>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</si>
  <si>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</si>
  <si>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</si>
  <si>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</si>
  <si>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</si>
  <si>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</si>
  <si>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</si>
  <si>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</si>
  <si>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</si>
  <si>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</si>
  <si>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</si>
  <si>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</si>
  <si>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</si>
  <si>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</si>
  <si>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</si>
  <si>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</si>
  <si>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</si>
  <si>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</si>
  <si>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</si>
  <si>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</si>
  <si>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</si>
  <si>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</si>
  <si>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</si>
  <si>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</si>
  <si>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</si>
  <si>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</si>
  <si>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</si>
  <si>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</si>
  <si>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</si>
  <si>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</si>
  <si>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</si>
  <si>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</si>
  <si>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</si>
  <si>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</si>
  <si>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</si>
  <si>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</si>
  <si>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</si>
  <si>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</si>
  <si>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</si>
  <si>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</si>
  <si>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</si>
  <si>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</si>
  <si>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</si>
  <si>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</si>
  <si>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</si>
  <si>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</si>
  <si>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</si>
  <si>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</si>
  <si>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</si>
  <si>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</si>
  <si>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</si>
  <si>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</si>
  <si>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</si>
  <si>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</si>
  <si>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</si>
  <si>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</si>
  <si>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</si>
  <si>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</si>
  <si>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</si>
  <si>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</si>
  <si>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</si>
  <si>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</si>
  <si>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</si>
  <si>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</si>
  <si>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</si>
  <si>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</si>
  <si>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</si>
  <si>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</si>
  <si>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</si>
  <si>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</si>
  <si>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</si>
  <si>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</si>
  <si>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</si>
  <si>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</si>
  <si>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</si>
  <si>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</si>
  <si>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</si>
  <si>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</si>
  <si>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</si>
  <si>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</si>
  <si>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</si>
  <si>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</si>
  <si>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</si>
  <si>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</si>
  <si>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</si>
  <si>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</si>
  <si>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</si>
  <si>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</si>
  <si>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</si>
  <si>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</si>
  <si>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</si>
  <si>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</si>
  <si>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</si>
  <si>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</si>
  <si>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</si>
  <si>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</si>
  <si>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</si>
  <si>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</si>
  <si>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</si>
  <si>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</si>
  <si>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</si>
  <si>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</si>
  <si>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</si>
  <si>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</si>
  <si>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</si>
  <si>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</si>
  <si>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</si>
  <si>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</si>
  <si>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</si>
  <si>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</si>
  <si>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</si>
  <si>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</si>
  <si>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</si>
  <si>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</si>
  <si>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</si>
  <si>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</si>
  <si>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</si>
  <si>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</si>
  <si>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</si>
  <si>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</si>
  <si>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</si>
  <si>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</si>
  <si>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</si>
  <si>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</si>
  <si>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</si>
  <si>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</si>
  <si>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</si>
  <si>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</si>
  <si>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</si>
  <si>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</si>
  <si>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</si>
  <si>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</si>
  <si>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</si>
  <si>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</si>
  <si>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</si>
  <si>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</si>
  <si>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</si>
  <si>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</si>
  <si>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</si>
  <si>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</si>
  <si>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</si>
  <si>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</si>
  <si>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</si>
  <si>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</si>
  <si>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</si>
  <si>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</si>
  <si>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</si>
  <si>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</si>
  <si>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</si>
  <si>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</si>
  <si>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</si>
  <si>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</si>
  <si>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</si>
  <si>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</si>
  <si>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</si>
  <si>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</si>
  <si>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</si>
  <si>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</si>
  <si>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</si>
  <si>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</si>
  <si>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</si>
  <si>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</si>
  <si>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</si>
  <si>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</si>
  <si>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</si>
  <si>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</si>
  <si>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</si>
  <si>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</si>
  <si>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</si>
  <si>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</si>
  <si>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</si>
  <si>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</si>
  <si>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</si>
  <si>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</si>
  <si>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</si>
  <si>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</si>
  <si>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</si>
  <si>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</si>
  <si>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</si>
  <si>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</si>
  <si>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</si>
  <si>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</si>
  <si>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</si>
  <si>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</si>
  <si>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</si>
  <si>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</si>
  <si>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</si>
  <si>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</si>
  <si>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</si>
  <si>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</si>
  <si>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</si>
  <si>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</si>
  <si>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</si>
  <si>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</si>
  <si>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</si>
  <si>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</si>
  <si>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</si>
  <si>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</si>
  <si>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</si>
  <si>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</si>
  <si>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</si>
  <si>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</si>
  <si>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</si>
  <si>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</si>
  <si>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</si>
  <si>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</si>
  <si>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</si>
  <si>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</si>
  <si>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</si>
  <si>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</si>
  <si>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</si>
  <si>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</si>
  <si>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</si>
  <si>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</si>
  <si>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</si>
  <si>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</si>
  <si>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</si>
  <si>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</si>
  <si>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</si>
  <si>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</si>
  <si>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</si>
  <si>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</si>
  <si>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</si>
  <si>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</si>
  <si>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</si>
  <si>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</si>
  <si>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</si>
  <si>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</si>
  <si>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</si>
  <si>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</si>
  <si>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</si>
  <si>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</si>
  <si>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</si>
  <si>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</si>
  <si>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</si>
  <si>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</si>
  <si>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</si>
  <si>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</si>
  <si>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</si>
  <si>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</si>
  <si>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</si>
  <si>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</si>
  <si>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</si>
  <si>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</si>
  <si>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</si>
  <si>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</si>
  <si>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</si>
  <si>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</si>
  <si>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</si>
  <si>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</si>
  <si>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</si>
  <si>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</si>
  <si>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</si>
  <si>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</si>
  <si>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</si>
  <si>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</si>
  <si>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</si>
  <si>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</si>
  <si>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</si>
  <si>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</si>
  <si>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</si>
  <si>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</si>
  <si>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</si>
  <si>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</si>
  <si>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</si>
  <si>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</si>
  <si>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</si>
  <si>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</si>
  <si>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</si>
  <si>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</si>
  <si>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</si>
  <si>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</si>
  <si>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</si>
  <si>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</si>
  <si>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</si>
  <si>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</si>
  <si>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</si>
  <si>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</si>
  <si>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</si>
  <si>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</si>
  <si>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</si>
  <si>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</si>
  <si>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</si>
  <si>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</si>
  <si>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</si>
  <si>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</si>
  <si>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</si>
  <si>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</si>
  <si>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</si>
  <si>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</si>
  <si>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</si>
  <si>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</si>
  <si>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</si>
  <si>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</si>
  <si>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</si>
  <si>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</si>
  <si>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</si>
  <si>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</si>
  <si>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</si>
  <si>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</si>
  <si>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</si>
  <si>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</si>
  <si>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</si>
  <si>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</si>
  <si>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</si>
  <si>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</si>
  <si>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</si>
  <si>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</si>
  <si>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</si>
  <si>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</si>
  <si>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</si>
  <si>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</si>
  <si>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</si>
  <si>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</si>
  <si>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</si>
  <si>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</si>
  <si>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</si>
  <si>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</si>
  <si>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</si>
  <si>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</si>
  <si>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</si>
  <si>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</si>
  <si>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</si>
  <si>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</si>
  <si>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</si>
  <si>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</si>
  <si>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</si>
  <si>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</si>
  <si>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</si>
  <si>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</si>
  <si>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</si>
  <si>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</si>
  <si>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</si>
  <si>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</si>
  <si>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</si>
  <si>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</si>
  <si>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</si>
  <si>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</si>
  <si>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</si>
  <si>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</si>
  <si>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</si>
  <si>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</si>
  <si>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</si>
  <si>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</si>
  <si>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</si>
  <si>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</si>
  <si>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</si>
  <si>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</si>
  <si>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</si>
  <si>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</si>
  <si>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</si>
  <si>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</si>
  <si>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</si>
  <si>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</si>
  <si>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</si>
  <si>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</si>
  <si>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</si>
  <si>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</si>
  <si>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</si>
  <si>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</si>
  <si>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</si>
  <si>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</si>
  <si>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</si>
  <si>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</si>
  <si>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</si>
  <si>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</si>
  <si>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</si>
  <si>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</si>
  <si>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</si>
  <si>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</si>
  <si>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</si>
  <si>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</si>
  <si>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</si>
  <si>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</si>
  <si>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</si>
  <si>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</si>
  <si>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</si>
  <si>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</si>
  <si>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</si>
  <si>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</si>
  <si>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</si>
  <si>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</si>
  <si>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</si>
  <si>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</si>
  <si>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</si>
  <si>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</si>
  <si>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</si>
  <si>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</si>
  <si>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</si>
  <si>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</si>
  <si>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BUKIT SANTUAI|KOTAWARINGIN TIMUR</t>
  </si>
  <si>
    <t>SIMPANG DUA|KETAPANG</t>
  </si>
  <si>
    <t>MURUK RIAN|TANA TIDUNG</t>
  </si>
  <si>
    <t>RGUGA TRADE MTD</t>
  </si>
  <si>
    <t>RGUGA TRADE LMTD</t>
  </si>
  <si>
    <t>HAMPANG|KOTABARU</t>
  </si>
  <si>
    <t>KEPULAUAN KARIMATA|KAYONG UTARA</t>
  </si>
  <si>
    <t>LUMBIS OGONG|NUNUKAN</t>
  </si>
  <si>
    <t>MIRI MANASA|GUNUNG MAS</t>
  </si>
  <si>
    <t>PESO HILIR|BULUNGAN</t>
  </si>
  <si>
    <t>TIMPAH|KAPUAS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</si>
</sst>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P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667</v>
      </c>
      <c r="V5" s="3" t="s">
        <v>668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433511810.77037978</v>
      </c>
      <c r="D6" s="4">
        <f>IFERROR(VLOOKUP($A:$A,MASTER!$A:$T,4,0),0)</f>
        <v>432572086.19505638</v>
      </c>
      <c r="E6" s="9">
        <f>IFERROR(C6/D6-1,0)</f>
        <v>2.172411501605076E-3</v>
      </c>
      <c r="F6" s="4">
        <f>IFERROR(VLOOKUP(A:A,MASTER!A:E,5,0),0)</f>
        <v>3298198.1981982011</v>
      </c>
      <c r="G6" s="4">
        <f>IFERROR(VLOOKUP(A:A,MASTER!A:F,6,0),0)</f>
        <v>7139639.6396396412</v>
      </c>
      <c r="H6" s="9">
        <f>IFERROR(F6/G6-1,0)</f>
        <v>-0.5380441640378546</v>
      </c>
      <c r="I6" s="4">
        <f>IFERROR(VLOOKUP(A:A,MASTER!A:M,13,0),0)</f>
        <v>51921531.531531535</v>
      </c>
      <c r="J6" s="4">
        <f>IFERROR(VLOOKUP($A:$A,MASTER!$A:$T,14,0),0)</f>
        <v>74088513.51351352</v>
      </c>
      <c r="K6" s="9">
        <f>IFERROR(I6/J6-1,0)</f>
        <v>-0.29919593376561393</v>
      </c>
      <c r="L6" s="4">
        <f>IFERROR(VLOOKUP($A:$A,MASTER!$A:$T,15,0),0)</f>
        <v>205927819.81981981</v>
      </c>
      <c r="M6" s="4">
        <f>IFERROR(VLOOKUP($A:$A,MASTER!$A:$T,16,0),0)</f>
        <v>210293234.23423424</v>
      </c>
      <c r="N6" s="9">
        <f>IFERROR(L6/M6-1,0)</f>
        <v>-2.0758701202683638E-2</v>
      </c>
      <c r="O6" s="4">
        <f>IFERROR(VLOOKUP($A:$A,MASTER!$A:$T,17,0),0)</f>
        <v>48349459.459459461</v>
      </c>
      <c r="P6" s="4">
        <f>IFERROR(VLOOKUP($A:$A,MASTER!$A:$T,18,0),0)</f>
        <v>70719684.684684694</v>
      </c>
      <c r="Q6" s="9">
        <f>IFERROR(O6/P6-1,0)</f>
        <v>-0.31632246841832723</v>
      </c>
      <c r="R6" s="4">
        <f>IFERROR(VLOOKUP($A:$A,MASTER!$A:$T,19,0),0)</f>
        <v>8889</v>
      </c>
      <c r="S6" s="4">
        <f>IFERROR(VLOOKUP($A:$A,MASTER!$A:$T,20,0),0)</f>
        <v>8007</v>
      </c>
      <c r="T6" s="9">
        <f>IFERROR(R6/S6-1,0)</f>
        <v>0.11015361558636183</v>
      </c>
      <c r="U6" s="18">
        <f>IFERROR(VLOOKUP(A:A,MASTER!A:K,11,0),0)</f>
        <v>258</v>
      </c>
      <c r="V6" s="18">
        <f>IFERROR(VLOOKUP(A:A,MASTER!A:L,12,0),0)</f>
        <v>329</v>
      </c>
      <c r="W6" s="9">
        <f>IFERROR(U6/V6-1,0)</f>
        <v>-0.21580547112462001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42743188.946374118</v>
      </c>
      <c r="D7" s="4">
        <f>IFERROR(VLOOKUP($A:$A,MASTER!$A:$T,4,0),0)</f>
        <v>25219035.773216184</v>
      </c>
      <c r="E7" s="9">
        <f t="shared" ref="E7:E22" si="0">IFERROR(C7/D7-1,0)</f>
        <v>0.6948780013139686</v>
      </c>
      <c r="F7" s="4">
        <f>IFERROR(VLOOKUP(A:A,MASTER!A:E,5,0),0)</f>
        <v>310810.81081081199</v>
      </c>
      <c r="G7" s="4">
        <f>IFERROR(VLOOKUP(A:A,MASTER!A:F,6,0),0)</f>
        <v>373873.87387387402</v>
      </c>
      <c r="H7" s="9">
        <f t="shared" ref="H7:H22" si="1">IFERROR(F7/G7-1,0)</f>
        <v>-0.16867469879517794</v>
      </c>
      <c r="I7" s="4">
        <f>IFERROR(VLOOKUP(A:A,MASTER!A:M,13,0),0)</f>
        <v>6662162.1621621633</v>
      </c>
      <c r="J7" s="4">
        <f>IFERROR(VLOOKUP($A:$A,MASTER!$A:$T,14,0),0)</f>
        <v>3256756.7567567569</v>
      </c>
      <c r="K7" s="9">
        <f t="shared" ref="K7:K22" si="2">IFERROR(I7/J7-1,0)</f>
        <v>1.0456431535269712</v>
      </c>
      <c r="L7" s="4">
        <f>IFERROR(VLOOKUP($A:$A,MASTER!$A:$T,15,0),0)</f>
        <v>24370783.783783782</v>
      </c>
      <c r="M7" s="4">
        <f>IFERROR(VLOOKUP($A:$A,MASTER!$A:$T,16,0),0)</f>
        <v>15550036.036036037</v>
      </c>
      <c r="N7" s="9">
        <f t="shared" ref="N7:N22" si="3">IFERROR(L7/M7-1,0)</f>
        <v>0.56724934445851627</v>
      </c>
      <c r="O7" s="4">
        <f>IFERROR(VLOOKUP($A:$A,MASTER!$A:$T,17,0),0)</f>
        <v>6763063.0630630637</v>
      </c>
      <c r="P7" s="4">
        <f>IFERROR(VLOOKUP($A:$A,MASTER!$A:$T,18,0),0)</f>
        <v>3175225.2252252251</v>
      </c>
      <c r="Q7" s="9">
        <f t="shared" ref="Q7:Q22" si="4">IFERROR(O7/P7-1,0)</f>
        <v>1.1299475102851471</v>
      </c>
      <c r="R7" s="4">
        <f>IFERROR(VLOOKUP($A:$A,MASTER!$A:$T,19,0),0)</f>
        <v>1310</v>
      </c>
      <c r="S7" s="4">
        <f>IFERROR(VLOOKUP($A:$A,MASTER!$A:$T,20,0),0)</f>
        <v>1073</v>
      </c>
      <c r="T7" s="9">
        <f t="shared" ref="T7:T22" si="5">IFERROR(R7/S7-1,0)</f>
        <v>0.22087604846225539</v>
      </c>
      <c r="U7" s="18">
        <f>IFERROR(VLOOKUP(A:A,MASTER!A:K,11,0),0)</f>
        <v>4</v>
      </c>
      <c r="V7" s="18">
        <f>IFERROR(VLOOKUP(A:A,MASTER!A:L,12,0),0)</f>
        <v>0</v>
      </c>
      <c r="W7" s="9">
        <f t="shared" ref="W7:W22" si="6">IFERROR(U7/V7-1,0)</f>
        <v>0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323071275.70536774</v>
      </c>
      <c r="D8" s="4">
        <f>IFERROR(VLOOKUP($A:$A,MASTER!$A:$T,4,0),0)</f>
        <v>288055711.85931599</v>
      </c>
      <c r="E8" s="9">
        <f t="shared" si="0"/>
        <v>0.12155830419065961</v>
      </c>
      <c r="F8" s="4">
        <f>IFERROR(VLOOKUP(A:A,MASTER!A:E,5,0),0)</f>
        <v>4719594.5945945978</v>
      </c>
      <c r="G8" s="4">
        <f>IFERROR(VLOOKUP(A:A,MASTER!A:F,6,0),0)</f>
        <v>3883333.3333333349</v>
      </c>
      <c r="H8" s="9">
        <f t="shared" si="1"/>
        <v>0.21534624753508913</v>
      </c>
      <c r="I8" s="4">
        <f>IFERROR(VLOOKUP(A:A,MASTER!A:M,13,0),0)</f>
        <v>63159459.459459454</v>
      </c>
      <c r="J8" s="4">
        <f>IFERROR(VLOOKUP($A:$A,MASTER!$A:$T,14,0),0)</f>
        <v>90465765.765765756</v>
      </c>
      <c r="K8" s="9">
        <f t="shared" si="2"/>
        <v>-0.30184132168855871</v>
      </c>
      <c r="L8" s="4">
        <f>IFERROR(VLOOKUP($A:$A,MASTER!$A:$T,15,0),0)</f>
        <v>89465567.567567572</v>
      </c>
      <c r="M8" s="4">
        <f>IFERROR(VLOOKUP($A:$A,MASTER!$A:$T,16,0),0)</f>
        <v>83026936.936936945</v>
      </c>
      <c r="N8" s="9">
        <f t="shared" si="3"/>
        <v>7.7548695256830724E-2</v>
      </c>
      <c r="O8" s="4">
        <f>IFERROR(VLOOKUP($A:$A,MASTER!$A:$T,17,0),0)</f>
        <v>58155765.765765756</v>
      </c>
      <c r="P8" s="4">
        <f>IFERROR(VLOOKUP($A:$A,MASTER!$A:$T,18,0),0)</f>
        <v>85371261.261261269</v>
      </c>
      <c r="Q8" s="9">
        <f t="shared" si="4"/>
        <v>-0.31878989596051599</v>
      </c>
      <c r="R8" s="4">
        <f>IFERROR(VLOOKUP($A:$A,MASTER!$A:$T,19,0),0)</f>
        <v>3894</v>
      </c>
      <c r="S8" s="4">
        <f>IFERROR(VLOOKUP($A:$A,MASTER!$A:$T,20,0),0)</f>
        <v>3567</v>
      </c>
      <c r="T8" s="9">
        <f t="shared" si="5"/>
        <v>9.1673675357443196E-2</v>
      </c>
      <c r="U8" s="18">
        <f>IFERROR(VLOOKUP(A:A,MASTER!A:K,11,0),0)</f>
        <v>55</v>
      </c>
      <c r="V8" s="18">
        <f>IFERROR(VLOOKUP(A:A,MASTER!A:L,12,0),0)</f>
        <v>62</v>
      </c>
      <c r="W8" s="9">
        <f t="shared" si="6"/>
        <v>-0.11290322580645162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191953132.24286735</v>
      </c>
      <c r="D9" s="4">
        <f>IFERROR(VLOOKUP($A:$A,MASTER!$A:$T,4,0),0)</f>
        <v>185983083.41283593</v>
      </c>
      <c r="E9" s="9">
        <f t="shared" si="0"/>
        <v>3.2099956192141565E-2</v>
      </c>
      <c r="F9" s="4">
        <f>IFERROR(VLOOKUP(A:A,MASTER!A:E,5,0),0)</f>
        <v>3141441.4414414442</v>
      </c>
      <c r="G9" s="4">
        <f>IFERROR(VLOOKUP(A:A,MASTER!A:F,6,0),0)</f>
        <v>6231981.9819819815</v>
      </c>
      <c r="H9" s="9">
        <f t="shared" si="1"/>
        <v>-0.49591615468015848</v>
      </c>
      <c r="I9" s="4">
        <f>IFERROR(VLOOKUP(A:A,MASTER!A:M,13,0),0)</f>
        <v>32077477.477477476</v>
      </c>
      <c r="J9" s="4">
        <f>IFERROR(VLOOKUP($A:$A,MASTER!$A:$T,14,0),0)</f>
        <v>70630630.630630627</v>
      </c>
      <c r="K9" s="9">
        <f t="shared" si="2"/>
        <v>-0.54584183673469389</v>
      </c>
      <c r="L9" s="4">
        <f>IFERROR(VLOOKUP($A:$A,MASTER!$A:$T,15,0),0)</f>
        <v>68309711.711711705</v>
      </c>
      <c r="M9" s="4">
        <f>IFERROR(VLOOKUP($A:$A,MASTER!$A:$T,16,0),0)</f>
        <v>69159342.342342347</v>
      </c>
      <c r="N9" s="9">
        <f t="shared" si="3"/>
        <v>-1.2285117264778544E-2</v>
      </c>
      <c r="O9" s="4">
        <f>IFERROR(VLOOKUP($A:$A,MASTER!$A:$T,17,0),0)</f>
        <v>41214684.684684679</v>
      </c>
      <c r="P9" s="4">
        <f>IFERROR(VLOOKUP($A:$A,MASTER!$A:$T,18,0),0)</f>
        <v>59807747.747747742</v>
      </c>
      <c r="Q9" s="9">
        <f t="shared" si="4"/>
        <v>-0.31088050901838626</v>
      </c>
      <c r="R9" s="4">
        <f>IFERROR(VLOOKUP($A:$A,MASTER!$A:$T,19,0),0)</f>
        <v>4083</v>
      </c>
      <c r="S9" s="4">
        <f>IFERROR(VLOOKUP($A:$A,MASTER!$A:$T,20,0),0)</f>
        <v>3608</v>
      </c>
      <c r="T9" s="9">
        <f t="shared" si="5"/>
        <v>0.13165188470066513</v>
      </c>
      <c r="U9" s="18">
        <f>IFERROR(VLOOKUP(A:A,MASTER!A:K,11,0),0)</f>
        <v>20</v>
      </c>
      <c r="V9" s="18">
        <f>IFERROR(VLOOKUP(A:A,MASTER!A:L,12,0),0)</f>
        <v>42</v>
      </c>
      <c r="W9" s="9">
        <f t="shared" si="6"/>
        <v>-0.52380952380952384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8">
        <f>IFERROR(VLOOKUP(A:A,MASTER!A:K,11,0),0)</f>
        <v>0</v>
      </c>
      <c r="V10" s="18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202633118.13228464</v>
      </c>
      <c r="D11" s="4">
        <f>IFERROR(VLOOKUP($A:$A,MASTER!$A:$T,4,0),0)</f>
        <v>208277095.51184875</v>
      </c>
      <c r="E11" s="9">
        <f t="shared" si="0"/>
        <v>-2.7098406407549569E-2</v>
      </c>
      <c r="F11" s="4">
        <f>IFERROR(VLOOKUP(A:A,MASTER!A:E,5,0),0)</f>
        <v>1068468.4684684691</v>
      </c>
      <c r="G11" s="4">
        <f>IFERROR(VLOOKUP(A:A,MASTER!A:F,6,0),0)</f>
        <v>139639.63963963999</v>
      </c>
      <c r="H11" s="9">
        <f t="shared" si="1"/>
        <v>6.6516129032257911</v>
      </c>
      <c r="I11" s="4">
        <f>IFERROR(VLOOKUP(A:A,MASTER!A:M,13,0),0)</f>
        <v>14715315.315315314</v>
      </c>
      <c r="J11" s="4">
        <f>IFERROR(VLOOKUP($A:$A,MASTER!$A:$T,14,0),0)</f>
        <v>17772972.97297297</v>
      </c>
      <c r="K11" s="9">
        <f t="shared" si="2"/>
        <v>-0.17203974047039738</v>
      </c>
      <c r="L11" s="4">
        <f>IFERROR(VLOOKUP($A:$A,MASTER!$A:$T,15,0),0)</f>
        <v>86387153.153153151</v>
      </c>
      <c r="M11" s="4">
        <f>IFERROR(VLOOKUP($A:$A,MASTER!$A:$T,16,0),0)</f>
        <v>87972891.891891882</v>
      </c>
      <c r="N11" s="9">
        <f t="shared" si="3"/>
        <v>-1.8025311032032643E-2</v>
      </c>
      <c r="O11" s="4">
        <f>IFERROR(VLOOKUP($A:$A,MASTER!$A:$T,17,0),0)</f>
        <v>13244414.414414413</v>
      </c>
      <c r="P11" s="4">
        <f>IFERROR(VLOOKUP($A:$A,MASTER!$A:$T,18,0),0)</f>
        <v>16387387.387387387</v>
      </c>
      <c r="Q11" s="9">
        <f t="shared" si="4"/>
        <v>-0.19179219351291921</v>
      </c>
      <c r="R11" s="4">
        <f>IFERROR(VLOOKUP($A:$A,MASTER!$A:$T,19,0),0)</f>
        <v>3134</v>
      </c>
      <c r="S11" s="4">
        <f>IFERROR(VLOOKUP($A:$A,MASTER!$A:$T,20,0),0)</f>
        <v>3084</v>
      </c>
      <c r="T11" s="9">
        <f t="shared" si="5"/>
        <v>1.6212710765239891E-2</v>
      </c>
      <c r="U11" s="18">
        <f>IFERROR(VLOOKUP(A:A,MASTER!A:K,11,0),0)</f>
        <v>36</v>
      </c>
      <c r="V11" s="18">
        <f>IFERROR(VLOOKUP(A:A,MASTER!A:L,12,0),0)</f>
        <v>26</v>
      </c>
      <c r="W11" s="9">
        <f t="shared" si="6"/>
        <v>0.38461538461538458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741692822.74795043</v>
      </c>
      <c r="D12" s="4">
        <f>IFERROR(VLOOKUP($A:$A,MASTER!$A:$T,4,0),0)</f>
        <v>709725757.38983166</v>
      </c>
      <c r="E12" s="9">
        <f t="shared" si="0"/>
        <v>4.5041433293451894E-2</v>
      </c>
      <c r="F12" s="4">
        <f>IFERROR(VLOOKUP(A:A,MASTER!A:E,5,0),0)</f>
        <v>318233401.8018018</v>
      </c>
      <c r="G12" s="4">
        <f>IFERROR(VLOOKUP(A:A,MASTER!A:F,6,0),0)</f>
        <v>363884920.72072071</v>
      </c>
      <c r="H12" s="9">
        <f t="shared" si="1"/>
        <v>-0.12545592389071858</v>
      </c>
      <c r="I12" s="4">
        <f>IFERROR(VLOOKUP(A:A,MASTER!A:M,13,0),0)</f>
        <v>295171742.34234232</v>
      </c>
      <c r="J12" s="4">
        <f>IFERROR(VLOOKUP($A:$A,MASTER!$A:$T,14,0),0)</f>
        <v>489731184.68468469</v>
      </c>
      <c r="K12" s="9">
        <f t="shared" si="2"/>
        <v>-0.39727803420893082</v>
      </c>
      <c r="L12" s="4">
        <f>IFERROR(VLOOKUP($A:$A,MASTER!$A:$T,15,0),0)</f>
        <v>502304756.75675672</v>
      </c>
      <c r="M12" s="4">
        <f>IFERROR(VLOOKUP($A:$A,MASTER!$A:$T,16,0),0)</f>
        <v>493967936.93693697</v>
      </c>
      <c r="N12" s="9">
        <f t="shared" si="3"/>
        <v>1.6877248899019204E-2</v>
      </c>
      <c r="O12" s="4">
        <f>IFERROR(VLOOKUP($A:$A,MASTER!$A:$T,17,0),0)</f>
        <v>251463153.15315315</v>
      </c>
      <c r="P12" s="4">
        <f>IFERROR(VLOOKUP($A:$A,MASTER!$A:$T,18,0),0)</f>
        <v>453984774.77477479</v>
      </c>
      <c r="Q12" s="9">
        <f t="shared" si="4"/>
        <v>-0.44609782722800362</v>
      </c>
      <c r="R12" s="4">
        <f>IFERROR(VLOOKUP($A:$A,MASTER!$A:$T,19,0),0)</f>
        <v>13603</v>
      </c>
      <c r="S12" s="4">
        <f>IFERROR(VLOOKUP($A:$A,MASTER!$A:$T,20,0),0)</f>
        <v>13377</v>
      </c>
      <c r="T12" s="9">
        <f t="shared" si="5"/>
        <v>1.6894669955894503E-2</v>
      </c>
      <c r="U12" s="18">
        <f>IFERROR(VLOOKUP(A:A,MASTER!A:K,11,0),0)</f>
        <v>888</v>
      </c>
      <c r="V12" s="18">
        <f>IFERROR(VLOOKUP(A:A,MASTER!A:L,12,0),0)</f>
        <v>1309</v>
      </c>
      <c r="W12" s="9">
        <f t="shared" si="6"/>
        <v>-0.32161955691367461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174375067.95789215</v>
      </c>
      <c r="D13" s="4">
        <f>IFERROR(VLOOKUP($A:$A,MASTER!$A:$T,4,0),0)</f>
        <v>170662560.2826305</v>
      </c>
      <c r="E13" s="9">
        <f t="shared" si="0"/>
        <v>2.1753498067258903E-2</v>
      </c>
      <c r="F13" s="4">
        <f>IFERROR(VLOOKUP(A:A,MASTER!A:E,5,0),0)</f>
        <v>435135.13513513602</v>
      </c>
      <c r="G13" s="4">
        <f>IFERROR(VLOOKUP(A:A,MASTER!A:F,6,0),0)</f>
        <v>363963.96396396402</v>
      </c>
      <c r="H13" s="9">
        <f t="shared" si="1"/>
        <v>0.19554455445544772</v>
      </c>
      <c r="I13" s="4">
        <f>IFERROR(VLOOKUP(A:A,MASTER!A:M,13,0),0)</f>
        <v>38847297.297297299</v>
      </c>
      <c r="J13" s="4">
        <f>IFERROR(VLOOKUP($A:$A,MASTER!$A:$T,14,0),0)</f>
        <v>51640540.540540539</v>
      </c>
      <c r="K13" s="9">
        <f t="shared" si="2"/>
        <v>-0.24773643167425541</v>
      </c>
      <c r="L13" s="4">
        <f>IFERROR(VLOOKUP($A:$A,MASTER!$A:$T,15,0),0)</f>
        <v>121485504.50450452</v>
      </c>
      <c r="M13" s="4">
        <f>IFERROR(VLOOKUP($A:$A,MASTER!$A:$T,16,0),0)</f>
        <v>114250171.17117117</v>
      </c>
      <c r="N13" s="9">
        <f t="shared" si="3"/>
        <v>6.3328862085407778E-2</v>
      </c>
      <c r="O13" s="4">
        <f>IFERROR(VLOOKUP($A:$A,MASTER!$A:$T,17,0),0)</f>
        <v>36136396.396396399</v>
      </c>
      <c r="P13" s="4">
        <f>IFERROR(VLOOKUP($A:$A,MASTER!$A:$T,18,0),0)</f>
        <v>52073063.063063063</v>
      </c>
      <c r="Q13" s="9">
        <f t="shared" si="4"/>
        <v>-0.30604434863696361</v>
      </c>
      <c r="R13" s="4">
        <f>IFERROR(VLOOKUP($A:$A,MASTER!$A:$T,19,0),0)</f>
        <v>5080</v>
      </c>
      <c r="S13" s="4">
        <f>IFERROR(VLOOKUP($A:$A,MASTER!$A:$T,20,0),0)</f>
        <v>4686</v>
      </c>
      <c r="T13" s="9">
        <f t="shared" si="5"/>
        <v>8.4080239009816538E-2</v>
      </c>
      <c r="U13" s="18">
        <f>IFERROR(VLOOKUP(A:A,MASTER!A:K,11,0),0)</f>
        <v>58</v>
      </c>
      <c r="V13" s="18">
        <f>IFERROR(VLOOKUP(A:A,MASTER!A:L,12,0),0)</f>
        <v>57</v>
      </c>
      <c r="W13" s="9">
        <f t="shared" si="6"/>
        <v>1.7543859649122862E-2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242154147.6667397</v>
      </c>
      <c r="D14" s="4">
        <f>IFERROR(VLOOKUP($A:$A,MASTER!$A:$T,4,0),0)</f>
        <v>244607090.38995349</v>
      </c>
      <c r="E14" s="9">
        <f t="shared" si="0"/>
        <v>-1.002809329567389E-2</v>
      </c>
      <c r="F14" s="4">
        <f>IFERROR(VLOOKUP(A:A,MASTER!A:E,5,0),0)</f>
        <v>4654954.9549549557</v>
      </c>
      <c r="G14" s="4">
        <f>IFERROR(VLOOKUP(A:A,MASTER!A:F,6,0),0)</f>
        <v>4813513.5135135157</v>
      </c>
      <c r="H14" s="9">
        <f t="shared" si="1"/>
        <v>-3.2940295714018575E-2</v>
      </c>
      <c r="I14" s="4">
        <f>IFERROR(VLOOKUP(A:A,MASTER!A:M,13,0),0)</f>
        <v>42820720.720720723</v>
      </c>
      <c r="J14" s="4">
        <f>IFERROR(VLOOKUP($A:$A,MASTER!$A:$T,14,0),0)</f>
        <v>45877927.927927926</v>
      </c>
      <c r="K14" s="9">
        <f t="shared" si="2"/>
        <v>-6.6637865860244005E-2</v>
      </c>
      <c r="L14" s="4">
        <f>IFERROR(VLOOKUP($A:$A,MASTER!$A:$T,15,0),0)</f>
        <v>71488396.396396399</v>
      </c>
      <c r="M14" s="4">
        <f>IFERROR(VLOOKUP($A:$A,MASTER!$A:$T,16,0),0)</f>
        <v>73688090.090090096</v>
      </c>
      <c r="N14" s="9">
        <f t="shared" si="3"/>
        <v>-2.9851414129534071E-2</v>
      </c>
      <c r="O14" s="4">
        <f>IFERROR(VLOOKUP($A:$A,MASTER!$A:$T,17,0),0)</f>
        <v>39952522.522522517</v>
      </c>
      <c r="P14" s="4">
        <f>IFERROR(VLOOKUP($A:$A,MASTER!$A:$T,18,0),0)</f>
        <v>41827837.837837838</v>
      </c>
      <c r="Q14" s="9">
        <f t="shared" si="4"/>
        <v>-4.4834144250671559E-2</v>
      </c>
      <c r="R14" s="4">
        <f>IFERROR(VLOOKUP($A:$A,MASTER!$A:$T,19,0),0)</f>
        <v>4207</v>
      </c>
      <c r="S14" s="4">
        <f>IFERROR(VLOOKUP($A:$A,MASTER!$A:$T,20,0),0)</f>
        <v>3644</v>
      </c>
      <c r="T14" s="9">
        <f t="shared" si="5"/>
        <v>0.15450054884742048</v>
      </c>
      <c r="U14" s="18">
        <f>IFERROR(VLOOKUP(A:A,MASTER!A:K,11,0),0)</f>
        <v>23</v>
      </c>
      <c r="V14" s="18">
        <f>IFERROR(VLOOKUP(A:A,MASTER!A:L,12,0),0)</f>
        <v>54</v>
      </c>
      <c r="W14" s="9">
        <f t="shared" si="6"/>
        <v>-0.57407407407407407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469214710.14505798</v>
      </c>
      <c r="D15" s="4">
        <f>IFERROR(VLOOKUP($A:$A,MASTER!$A:$T,4,0),0)</f>
        <v>448416694.968696</v>
      </c>
      <c r="E15" s="9">
        <f t="shared" si="0"/>
        <v>4.6381000996882804E-2</v>
      </c>
      <c r="F15" s="4">
        <f>IFERROR(VLOOKUP(A:A,MASTER!A:E,5,0),0)</f>
        <v>371471490.0900901</v>
      </c>
      <c r="G15" s="4">
        <f>IFERROR(VLOOKUP(A:A,MASTER!A:F,6,0),0)</f>
        <v>323072685.58558559</v>
      </c>
      <c r="H15" s="9">
        <f t="shared" si="1"/>
        <v>0.14980778835195929</v>
      </c>
      <c r="I15" s="4">
        <f>IFERROR(VLOOKUP(A:A,MASTER!A:M,13,0),0)</f>
        <v>694565852.25225234</v>
      </c>
      <c r="J15" s="4">
        <f>IFERROR(VLOOKUP($A:$A,MASTER!$A:$T,14,0),0)</f>
        <v>687238811.71171176</v>
      </c>
      <c r="K15" s="9">
        <f t="shared" si="2"/>
        <v>1.0661563950806308E-2</v>
      </c>
      <c r="L15" s="4">
        <f>IFERROR(VLOOKUP($A:$A,MASTER!$A:$T,15,0),0)</f>
        <v>170756135.13513514</v>
      </c>
      <c r="M15" s="4">
        <f>IFERROR(VLOOKUP($A:$A,MASTER!$A:$T,16,0),0)</f>
        <v>164453151.35135135</v>
      </c>
      <c r="N15" s="9">
        <f t="shared" si="3"/>
        <v>3.8326926130576755E-2</v>
      </c>
      <c r="O15" s="4">
        <f>IFERROR(VLOOKUP($A:$A,MASTER!$A:$T,17,0),0)</f>
        <v>584052252.25225234</v>
      </c>
      <c r="P15" s="4">
        <f>IFERROR(VLOOKUP($A:$A,MASTER!$A:$T,18,0),0)</f>
        <v>577992207.2072072</v>
      </c>
      <c r="Q15" s="9">
        <f t="shared" si="4"/>
        <v>1.0484648355946868E-2</v>
      </c>
      <c r="R15" s="4">
        <f>IFERROR(VLOOKUP($A:$A,MASTER!$A:$T,19,0),0)</f>
        <v>7533</v>
      </c>
      <c r="S15" s="4">
        <f>IFERROR(VLOOKUP($A:$A,MASTER!$A:$T,20,0),0)</f>
        <v>7006</v>
      </c>
      <c r="T15" s="9">
        <f t="shared" si="5"/>
        <v>7.5221238938053103E-2</v>
      </c>
      <c r="U15" s="18">
        <f>IFERROR(VLOOKUP(A:A,MASTER!A:K,11,0),0)</f>
        <v>78</v>
      </c>
      <c r="V15" s="18">
        <f>IFERROR(VLOOKUP(A:A,MASTER!A:L,12,0),0)</f>
        <v>135</v>
      </c>
      <c r="W15" s="9">
        <f t="shared" si="6"/>
        <v>-0.42222222222222228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753030997.29729724</v>
      </c>
      <c r="G16" s="4">
        <f>IFERROR(VLOOKUP(A:A,MASTER!A:F,6,0),0)</f>
        <v>732227963.06306303</v>
      </c>
      <c r="H16" s="9">
        <f t="shared" si="1"/>
        <v>2.8410597906163959E-2</v>
      </c>
      <c r="I16" s="4">
        <f>IFERROR(VLOOKUP(A:A,MASTER!A:M,13,0),0)</f>
        <v>60180180.180180177</v>
      </c>
      <c r="J16" s="4">
        <f>IFERROR(VLOOKUP($A:$A,MASTER!$A:$T,14,0),0)</f>
        <v>59549549.54954955</v>
      </c>
      <c r="K16" s="9">
        <f t="shared" si="2"/>
        <v>1.0590015128592922E-2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8">
        <f>IFERROR(VLOOKUP(A:A,MASTER!A:K,11,0),0)</f>
        <v>0</v>
      </c>
      <c r="V16" s="18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197710333.08891955</v>
      </c>
      <c r="D17" s="4">
        <f>IFERROR(VLOOKUP($A:$A,MASTER!$A:$T,4,0),0)</f>
        <v>196454591.09283718</v>
      </c>
      <c r="E17" s="9">
        <f t="shared" si="0"/>
        <v>6.3920216325661361E-3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118216142.34234233</v>
      </c>
      <c r="M17" s="4">
        <f>IFERROR(VLOOKUP($A:$A,MASTER!$A:$T,16,0),0)</f>
        <v>116823747.74774775</v>
      </c>
      <c r="N17" s="9">
        <f t="shared" si="3"/>
        <v>1.1918763277489752E-2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3939</v>
      </c>
      <c r="S17" s="4">
        <f>IFERROR(VLOOKUP($A:$A,MASTER!$A:$T,20,0),0)</f>
        <v>3850</v>
      </c>
      <c r="T17" s="9">
        <f t="shared" si="5"/>
        <v>2.3116883116883091E-2</v>
      </c>
      <c r="U17" s="18">
        <f>IFERROR(VLOOKUP(A:A,MASTER!A:K,11,0),0)</f>
        <v>30</v>
      </c>
      <c r="V17" s="18">
        <f>IFERROR(VLOOKUP(A:A,MASTER!A:L,12,0),0)</f>
        <v>27</v>
      </c>
      <c r="W17" s="9">
        <f t="shared" si="6"/>
        <v>0.11111111111111116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173172250.88152787</v>
      </c>
      <c r="D18" s="4">
        <f>IFERROR(VLOOKUP($A:$A,MASTER!$A:$T,4,0),0)</f>
        <v>160926255.21323258</v>
      </c>
      <c r="E18" s="9">
        <f t="shared" si="0"/>
        <v>7.609694050277227E-2</v>
      </c>
      <c r="F18" s="4">
        <f>IFERROR(VLOOKUP(A:A,MASTER!A:E,5,0),0)</f>
        <v>600000.00000000198</v>
      </c>
      <c r="G18" s="4">
        <f>IFERROR(VLOOKUP(A:A,MASTER!A:F,6,0),0)</f>
        <v>651351.35135135101</v>
      </c>
      <c r="H18" s="9">
        <f t="shared" si="1"/>
        <v>-7.8838174273855421E-2</v>
      </c>
      <c r="I18" s="4">
        <f>IFERROR(VLOOKUP(A:A,MASTER!A:M,13,0),0)</f>
        <v>14518918.918918921</v>
      </c>
      <c r="J18" s="4">
        <f>IFERROR(VLOOKUP($A:$A,MASTER!$A:$T,14,0),0)</f>
        <v>13534234.234234236</v>
      </c>
      <c r="K18" s="9">
        <f t="shared" si="2"/>
        <v>7.2755108833122417E-2</v>
      </c>
      <c r="L18" s="4">
        <f>IFERROR(VLOOKUP($A:$A,MASTER!$A:$T,15,0),0)</f>
        <v>58553362.612612613</v>
      </c>
      <c r="M18" s="4">
        <f>IFERROR(VLOOKUP($A:$A,MASTER!$A:$T,16,0),0)</f>
        <v>61621531.531531535</v>
      </c>
      <c r="N18" s="9">
        <f t="shared" si="3"/>
        <v>-4.9790533319493235E-2</v>
      </c>
      <c r="O18" s="4">
        <f>IFERROR(VLOOKUP($A:$A,MASTER!$A:$T,17,0),0)</f>
        <v>15268198.198198197</v>
      </c>
      <c r="P18" s="4">
        <f>IFERROR(VLOOKUP($A:$A,MASTER!$A:$T,18,0),0)</f>
        <v>12930360.360360362</v>
      </c>
      <c r="Q18" s="9">
        <f t="shared" si="4"/>
        <v>0.18080221839793187</v>
      </c>
      <c r="R18" s="4">
        <f>IFERROR(VLOOKUP($A:$A,MASTER!$A:$T,19,0),0)</f>
        <v>5115</v>
      </c>
      <c r="S18" s="4">
        <f>IFERROR(VLOOKUP($A:$A,MASTER!$A:$T,20,0),0)</f>
        <v>3793</v>
      </c>
      <c r="T18" s="9">
        <f t="shared" si="5"/>
        <v>0.34853677827577112</v>
      </c>
      <c r="U18" s="18">
        <f>IFERROR(VLOOKUP(A:A,MASTER!A:K,11,0),0)</f>
        <v>44</v>
      </c>
      <c r="V18" s="18">
        <f>IFERROR(VLOOKUP(A:A,MASTER!A:L,12,0),0)</f>
        <v>38</v>
      </c>
      <c r="W18" s="9">
        <f t="shared" si="6"/>
        <v>0.15789473684210531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117295517.37248795</v>
      </c>
      <c r="D19" s="4">
        <f>IFERROR(VLOOKUP($A:$A,MASTER!$A:$T,4,0),0)</f>
        <v>104780669.25245151</v>
      </c>
      <c r="E19" s="9">
        <f t="shared" si="0"/>
        <v>0.11943852057180515</v>
      </c>
      <c r="F19" s="4">
        <f>IFERROR(VLOOKUP(A:A,MASTER!A:E,5,0),0)</f>
        <v>96102702.702702701</v>
      </c>
      <c r="G19" s="4">
        <f>IFERROR(VLOOKUP(A:A,MASTER!A:F,6,0),0)</f>
        <v>101803603.6036036</v>
      </c>
      <c r="H19" s="9">
        <f t="shared" si="1"/>
        <v>-5.5999008867099742E-2</v>
      </c>
      <c r="I19" s="4">
        <f>IFERROR(VLOOKUP(A:A,MASTER!A:M,13,0),0)</f>
        <v>25883108.108108107</v>
      </c>
      <c r="J19" s="4">
        <f>IFERROR(VLOOKUP($A:$A,MASTER!$A:$T,14,0),0)</f>
        <v>8184909.9099099115</v>
      </c>
      <c r="K19" s="9">
        <f t="shared" si="2"/>
        <v>2.1622960292782252</v>
      </c>
      <c r="L19" s="4">
        <f>IFERROR(VLOOKUP($A:$A,MASTER!$A:$T,15,0),0)</f>
        <v>46494657.657657653</v>
      </c>
      <c r="M19" s="4">
        <f>IFERROR(VLOOKUP($A:$A,MASTER!$A:$T,16,0),0)</f>
        <v>45172603.603603601</v>
      </c>
      <c r="N19" s="9">
        <f t="shared" si="3"/>
        <v>2.9266722495237874E-2</v>
      </c>
      <c r="O19" s="4">
        <f>IFERROR(VLOOKUP($A:$A,MASTER!$A:$T,17,0),0)</f>
        <v>25516396.396396395</v>
      </c>
      <c r="P19" s="4">
        <f>IFERROR(VLOOKUP($A:$A,MASTER!$A:$T,18,0),0)</f>
        <v>8347207.2072072094</v>
      </c>
      <c r="Q19" s="9">
        <f t="shared" si="4"/>
        <v>2.0568782783258133</v>
      </c>
      <c r="R19" s="4">
        <f>IFERROR(VLOOKUP($A:$A,MASTER!$A:$T,19,0),0)</f>
        <v>4123</v>
      </c>
      <c r="S19" s="4">
        <f>IFERROR(VLOOKUP($A:$A,MASTER!$A:$T,20,0),0)</f>
        <v>2867</v>
      </c>
      <c r="T19" s="9">
        <f t="shared" si="5"/>
        <v>0.43808859434949432</v>
      </c>
      <c r="U19" s="18">
        <f>IFERROR(VLOOKUP(A:A,MASTER!A:K,11,0),0)</f>
        <v>22</v>
      </c>
      <c r="V19" s="18">
        <f>IFERROR(VLOOKUP(A:A,MASTER!A:L,12,0),0)</f>
        <v>25</v>
      </c>
      <c r="W19" s="9">
        <f t="shared" si="6"/>
        <v>-0.12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8">
        <f>IFERROR(VLOOKUP(A:A,MASTER!A:K,11,0),0)</f>
        <v>0</v>
      </c>
      <c r="V20" s="18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395681643.14192796</v>
      </c>
      <c r="D21" s="4">
        <f>IFERROR(VLOOKUP($A:$A,MASTER!$A:$T,4,0),0)</f>
        <v>374636950.39142227</v>
      </c>
      <c r="E21" s="9">
        <f t="shared" si="0"/>
        <v>5.6173564109248009E-2</v>
      </c>
      <c r="F21" s="4">
        <f>IFERROR(VLOOKUP(A:A,MASTER!A:E,5,0),0)</f>
        <v>4309009.0090090176</v>
      </c>
      <c r="G21" s="4">
        <f>IFERROR(VLOOKUP(A:A,MASTER!A:F,6,0),0)</f>
        <v>6329279.2792792823</v>
      </c>
      <c r="H21" s="9">
        <f t="shared" si="1"/>
        <v>-0.319194363390505</v>
      </c>
      <c r="I21" s="4">
        <f>IFERROR(VLOOKUP(A:A,MASTER!A:M,13,0),0)</f>
        <v>89246531.531531543</v>
      </c>
      <c r="J21" s="4">
        <f>IFERROR(VLOOKUP($A:$A,MASTER!$A:$T,14,0),0)</f>
        <v>87177477.477477476</v>
      </c>
      <c r="K21" s="9">
        <f t="shared" si="2"/>
        <v>2.3733814213523274E-2</v>
      </c>
      <c r="L21" s="4">
        <f>IFERROR(VLOOKUP($A:$A,MASTER!$A:$T,15,0),0)</f>
        <v>228653558.55855855</v>
      </c>
      <c r="M21" s="4">
        <f>IFERROR(VLOOKUP($A:$A,MASTER!$A:$T,16,0),0)</f>
        <v>235504054.05405405</v>
      </c>
      <c r="N21" s="9">
        <f t="shared" si="3"/>
        <v>-2.9088652095658363E-2</v>
      </c>
      <c r="O21" s="4">
        <f>IFERROR(VLOOKUP($A:$A,MASTER!$A:$T,17,0),0)</f>
        <v>85148376.576576576</v>
      </c>
      <c r="P21" s="4">
        <f>IFERROR(VLOOKUP($A:$A,MASTER!$A:$T,18,0),0)</f>
        <v>91574594.594594598</v>
      </c>
      <c r="Q21" s="9">
        <f t="shared" si="4"/>
        <v>-7.0174681596650412E-2</v>
      </c>
      <c r="R21" s="4">
        <f>IFERROR(VLOOKUP($A:$A,MASTER!$A:$T,19,0),0)</f>
        <v>8503</v>
      </c>
      <c r="S21" s="4">
        <f>IFERROR(VLOOKUP($A:$A,MASTER!$A:$T,20,0),0)</f>
        <v>9830</v>
      </c>
      <c r="T21" s="9">
        <f t="shared" si="5"/>
        <v>-0.13499491353001014</v>
      </c>
      <c r="U21" s="18">
        <f>IFERROR(VLOOKUP(A:A,MASTER!A:K,11,0),0)</f>
        <v>214</v>
      </c>
      <c r="V21" s="18">
        <f>IFERROR(VLOOKUP(A:A,MASTER!A:L,12,0),0)</f>
        <v>818</v>
      </c>
      <c r="W21" s="9">
        <f t="shared" si="6"/>
        <v>-0.73838630806845962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199995226.63766715</v>
      </c>
      <c r="D22" s="4">
        <f>IFERROR(VLOOKUP($A:$A,MASTER!$A:$T,4,0),0)</f>
        <v>203277082.89155445</v>
      </c>
      <c r="E22" s="9">
        <f t="shared" si="0"/>
        <v>-1.6144742964646519E-2</v>
      </c>
      <c r="F22" s="4">
        <f>IFERROR(VLOOKUP(A:A,MASTER!A:E,5,0),0)</f>
        <v>941441.44144144503</v>
      </c>
      <c r="G22" s="4">
        <f>IFERROR(VLOOKUP(A:A,MASTER!A:F,6,0),0)</f>
        <v>850450.450450451</v>
      </c>
      <c r="H22" s="9">
        <f t="shared" si="1"/>
        <v>0.10699152542373236</v>
      </c>
      <c r="I22" s="4">
        <f>IFERROR(VLOOKUP(A:A,MASTER!A:M,13,0),0)</f>
        <v>42677477.477477483</v>
      </c>
      <c r="J22" s="4">
        <f>IFERROR(VLOOKUP($A:$A,MASTER!$A:$T,14,0),0)</f>
        <v>32150000</v>
      </c>
      <c r="K22" s="9">
        <f t="shared" si="2"/>
        <v>0.32744875513149241</v>
      </c>
      <c r="L22" s="4">
        <f>IFERROR(VLOOKUP($A:$A,MASTER!$A:$T,15,0),0)</f>
        <v>66660855.855855852</v>
      </c>
      <c r="M22" s="4">
        <f>IFERROR(VLOOKUP($A:$A,MASTER!$A:$T,16,0),0)</f>
        <v>71797009.009009004</v>
      </c>
      <c r="N22" s="9">
        <f t="shared" si="3"/>
        <v>-7.1537146519692341E-2</v>
      </c>
      <c r="O22" s="4">
        <f>IFERROR(VLOOKUP($A:$A,MASTER!$A:$T,17,0),0)</f>
        <v>41470270.270270273</v>
      </c>
      <c r="P22" s="4">
        <f>IFERROR(VLOOKUP($A:$A,MASTER!$A:$T,18,0),0)</f>
        <v>27495945.945945945</v>
      </c>
      <c r="Q22" s="9">
        <f t="shared" si="4"/>
        <v>0.50823217181894154</v>
      </c>
      <c r="R22" s="4">
        <f>IFERROR(VLOOKUP($A:$A,MASTER!$A:$T,19,0),0)</f>
        <v>3808</v>
      </c>
      <c r="S22" s="4">
        <f>IFERROR(VLOOKUP($A:$A,MASTER!$A:$T,20,0),0)</f>
        <v>4041</v>
      </c>
      <c r="T22" s="9">
        <f t="shared" si="5"/>
        <v>-5.7658995298193516E-2</v>
      </c>
      <c r="U22" s="18">
        <f>IFERROR(VLOOKUP(A:A,MASTER!A:K,11,0),0)</f>
        <v>29</v>
      </c>
      <c r="V22" s="18">
        <f>IFERROR(VLOOKUP(A:A,MASTER!A:L,12,0),0)</f>
        <v>34</v>
      </c>
      <c r="W22" s="9">
        <f t="shared" si="6"/>
        <v>-0.1470588235294118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A3" sqref="A3:T570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23.1796875" bestFit="1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627054836.61471605</v>
      </c>
      <c r="D4">
        <v>665903898.79287982</v>
      </c>
      <c r="E4">
        <v>107567117.11711712</v>
      </c>
      <c r="F4">
        <v>59172072.072072074</v>
      </c>
      <c r="G4">
        <v>69</v>
      </c>
      <c r="H4">
        <v>27</v>
      </c>
      <c r="K4">
        <v>133</v>
      </c>
      <c r="L4">
        <v>51</v>
      </c>
      <c r="M4">
        <v>59227207.20720721</v>
      </c>
      <c r="N4">
        <v>42790990.990990989</v>
      </c>
      <c r="O4">
        <v>79421592.792792797</v>
      </c>
      <c r="P4">
        <v>93773781.981981978</v>
      </c>
      <c r="Q4">
        <v>49062252.252252258</v>
      </c>
      <c r="R4">
        <v>32723063.063063063</v>
      </c>
      <c r="S4">
        <v>8570</v>
      </c>
      <c r="T4">
        <v>8362</v>
      </c>
    </row>
    <row r="5" spans="1:20" x14ac:dyDescent="0.35">
      <c r="A5" s="7" t="s">
        <v>50</v>
      </c>
      <c r="B5" s="12" t="s">
        <v>51</v>
      </c>
      <c r="C5">
        <v>941707827.3380152</v>
      </c>
      <c r="D5">
        <v>974452048.96137476</v>
      </c>
      <c r="E5">
        <v>943720630.63063061</v>
      </c>
      <c r="F5">
        <v>581451146.84684682</v>
      </c>
      <c r="G5">
        <v>549</v>
      </c>
      <c r="H5">
        <v>598</v>
      </c>
      <c r="I5">
        <v>2</v>
      </c>
      <c r="K5">
        <v>916</v>
      </c>
      <c r="L5">
        <v>823</v>
      </c>
      <c r="M5">
        <v>300910090.0900901</v>
      </c>
      <c r="N5">
        <v>293423288.2882883</v>
      </c>
      <c r="O5">
        <v>303238247.74774778</v>
      </c>
      <c r="P5">
        <v>315917765.76576579</v>
      </c>
      <c r="Q5">
        <v>288584144.14414412</v>
      </c>
      <c r="R5">
        <v>284926126.12612611</v>
      </c>
      <c r="S5">
        <v>21690</v>
      </c>
      <c r="T5">
        <v>19773</v>
      </c>
    </row>
    <row r="6" spans="1:20" x14ac:dyDescent="0.35">
      <c r="A6" s="7" t="s">
        <v>52</v>
      </c>
      <c r="B6" s="12" t="s">
        <v>53</v>
      </c>
      <c r="C6">
        <v>238873478.7478117</v>
      </c>
      <c r="D6">
        <v>250009376.32729122</v>
      </c>
      <c r="E6">
        <v>173365765.76576576</v>
      </c>
      <c r="F6">
        <v>341485585.58558559</v>
      </c>
      <c r="G6">
        <v>119</v>
      </c>
      <c r="H6">
        <v>154</v>
      </c>
      <c r="K6">
        <v>151</v>
      </c>
      <c r="L6">
        <v>168</v>
      </c>
      <c r="M6">
        <v>72101351.351351365</v>
      </c>
      <c r="N6">
        <v>49983198.198198199</v>
      </c>
      <c r="O6">
        <v>79870333.333333328</v>
      </c>
      <c r="P6">
        <v>84059522.522522524</v>
      </c>
      <c r="Q6">
        <v>58127837.837837838</v>
      </c>
      <c r="R6">
        <v>41367837.837837838</v>
      </c>
      <c r="S6">
        <v>4939</v>
      </c>
      <c r="T6">
        <v>5537</v>
      </c>
    </row>
    <row r="7" spans="1:20" x14ac:dyDescent="0.35">
      <c r="A7" s="7" t="s">
        <v>54</v>
      </c>
      <c r="B7" s="12" t="s">
        <v>55</v>
      </c>
      <c r="C7">
        <v>129186968.41533494</v>
      </c>
      <c r="D7">
        <v>120123733.57628043</v>
      </c>
      <c r="E7">
        <v>2568243.2432432482</v>
      </c>
      <c r="F7">
        <v>2730180.1801801831</v>
      </c>
      <c r="G7">
        <v>31</v>
      </c>
      <c r="H7">
        <v>64</v>
      </c>
      <c r="K7">
        <v>75</v>
      </c>
      <c r="L7">
        <v>101</v>
      </c>
      <c r="M7">
        <v>14388018.01801802</v>
      </c>
      <c r="N7">
        <v>18583603.603603609</v>
      </c>
      <c r="O7">
        <v>40782930.180180185</v>
      </c>
      <c r="P7">
        <v>39568531.531531528</v>
      </c>
      <c r="Q7">
        <v>15518108.108108109</v>
      </c>
      <c r="R7">
        <v>18170990.990990993</v>
      </c>
      <c r="S7">
        <v>4572</v>
      </c>
      <c r="T7">
        <v>3957</v>
      </c>
    </row>
    <row r="8" spans="1:20" x14ac:dyDescent="0.35">
      <c r="A8" s="7" t="s">
        <v>56</v>
      </c>
      <c r="B8" s="12" t="s">
        <v>55</v>
      </c>
      <c r="C8">
        <v>211810343.02304605</v>
      </c>
      <c r="D8">
        <v>221621930.19490543</v>
      </c>
      <c r="E8">
        <v>4659909.9099099115</v>
      </c>
      <c r="F8">
        <v>5463513.5135135157</v>
      </c>
      <c r="G8">
        <v>117</v>
      </c>
      <c r="H8">
        <v>170</v>
      </c>
      <c r="K8">
        <v>523</v>
      </c>
      <c r="L8">
        <v>452</v>
      </c>
      <c r="M8">
        <v>91373153.153153151</v>
      </c>
      <c r="N8">
        <v>144895135.13513514</v>
      </c>
      <c r="O8">
        <v>61492018.018018015</v>
      </c>
      <c r="P8">
        <v>69412043.243243247</v>
      </c>
      <c r="Q8">
        <v>80141441.441441447</v>
      </c>
      <c r="R8">
        <v>75872612.612612605</v>
      </c>
      <c r="S8">
        <v>5759</v>
      </c>
      <c r="T8">
        <v>4210</v>
      </c>
    </row>
    <row r="9" spans="1:20" x14ac:dyDescent="0.35">
      <c r="A9" s="7" t="s">
        <v>57</v>
      </c>
      <c r="B9" s="12" t="s">
        <v>55</v>
      </c>
      <c r="C9">
        <v>103907523.86183792</v>
      </c>
      <c r="D9">
        <v>110100894.10698679</v>
      </c>
      <c r="E9">
        <v>2184684.684684684</v>
      </c>
      <c r="F9">
        <v>3196396.3963963971</v>
      </c>
      <c r="G9">
        <v>27</v>
      </c>
      <c r="H9">
        <v>63</v>
      </c>
      <c r="K9">
        <v>30</v>
      </c>
      <c r="L9">
        <v>92</v>
      </c>
      <c r="M9">
        <v>16987927.927927926</v>
      </c>
      <c r="N9">
        <v>17584864.864864863</v>
      </c>
      <c r="O9">
        <v>31030828.828828827</v>
      </c>
      <c r="P9">
        <v>35229846.846846849</v>
      </c>
      <c r="Q9">
        <v>16326846.846846849</v>
      </c>
      <c r="R9">
        <v>15629639.63963964</v>
      </c>
      <c r="S9">
        <v>2563</v>
      </c>
      <c r="T9">
        <v>2049</v>
      </c>
    </row>
    <row r="10" spans="1:20" x14ac:dyDescent="0.35">
      <c r="A10" s="7" t="s">
        <v>58</v>
      </c>
      <c r="B10" s="12" t="s">
        <v>59</v>
      </c>
      <c r="C10">
        <v>276103816.54932117</v>
      </c>
      <c r="D10">
        <v>272925122.85550982</v>
      </c>
      <c r="E10">
        <v>1095495.4954954961</v>
      </c>
      <c r="F10">
        <v>436936.93693693797</v>
      </c>
      <c r="G10">
        <v>91</v>
      </c>
      <c r="H10">
        <v>71</v>
      </c>
      <c r="I10">
        <v>1</v>
      </c>
      <c r="K10">
        <v>96</v>
      </c>
      <c r="L10">
        <v>86</v>
      </c>
      <c r="M10">
        <v>4527927.9279279271</v>
      </c>
      <c r="N10">
        <v>7103603.6036036033</v>
      </c>
      <c r="O10">
        <v>51352178.378378376</v>
      </c>
      <c r="P10">
        <v>55213099.0990991</v>
      </c>
      <c r="Q10">
        <v>4262702.702702703</v>
      </c>
      <c r="R10">
        <v>6951081.081081083</v>
      </c>
      <c r="S10">
        <v>5691</v>
      </c>
      <c r="T10">
        <v>5482</v>
      </c>
    </row>
    <row r="11" spans="1:20" x14ac:dyDescent="0.35">
      <c r="A11" s="7" t="s">
        <v>60</v>
      </c>
      <c r="B11" s="12" t="s">
        <v>61</v>
      </c>
      <c r="C11">
        <v>120390889.76554881</v>
      </c>
      <c r="D11">
        <v>126060533.65552703</v>
      </c>
      <c r="E11">
        <v>1306306.306306307</v>
      </c>
      <c r="F11">
        <v>1411711.7117117119</v>
      </c>
      <c r="G11">
        <v>48</v>
      </c>
      <c r="H11">
        <v>39</v>
      </c>
      <c r="I11">
        <v>1</v>
      </c>
      <c r="K11">
        <v>123</v>
      </c>
      <c r="L11">
        <v>84</v>
      </c>
      <c r="M11">
        <v>17789793.693693694</v>
      </c>
      <c r="N11">
        <v>23132432.432432432</v>
      </c>
      <c r="O11">
        <v>55992711.711711712</v>
      </c>
      <c r="P11">
        <v>60176288.288288288</v>
      </c>
      <c r="Q11">
        <v>14867117.117117118</v>
      </c>
      <c r="R11">
        <v>15857027.027027028</v>
      </c>
      <c r="S11">
        <v>3204</v>
      </c>
      <c r="T11">
        <v>3407</v>
      </c>
    </row>
    <row r="12" spans="1:20" x14ac:dyDescent="0.35">
      <c r="A12" s="7" t="s">
        <v>62</v>
      </c>
      <c r="B12" s="12" t="s">
        <v>63</v>
      </c>
      <c r="C12">
        <v>548759857.60065103</v>
      </c>
      <c r="D12">
        <v>549794756.36647749</v>
      </c>
      <c r="E12">
        <v>5340990.9909909982</v>
      </c>
      <c r="F12">
        <v>5202702.7027027141</v>
      </c>
      <c r="G12">
        <v>79</v>
      </c>
      <c r="H12">
        <v>35</v>
      </c>
      <c r="K12">
        <v>83</v>
      </c>
      <c r="L12">
        <v>63</v>
      </c>
      <c r="M12">
        <v>71443603.603603601</v>
      </c>
      <c r="N12">
        <v>73900540.540540546</v>
      </c>
      <c r="O12">
        <v>58435178.378378376</v>
      </c>
      <c r="P12">
        <v>67751466.666666657</v>
      </c>
      <c r="Q12">
        <v>69969819.819819823</v>
      </c>
      <c r="R12">
        <v>75735045.045045033</v>
      </c>
      <c r="S12">
        <v>9012</v>
      </c>
      <c r="T12">
        <v>9047</v>
      </c>
    </row>
    <row r="13" spans="1:20" x14ac:dyDescent="0.35">
      <c r="A13" s="7" t="s">
        <v>64</v>
      </c>
      <c r="B13" s="12" t="s">
        <v>51</v>
      </c>
      <c r="C13">
        <v>290726859.05707389</v>
      </c>
      <c r="D13">
        <v>288853281.96671206</v>
      </c>
      <c r="E13">
        <v>3481081.0810810849</v>
      </c>
      <c r="F13">
        <v>4127477.4774774811</v>
      </c>
      <c r="G13">
        <v>85</v>
      </c>
      <c r="H13">
        <v>83</v>
      </c>
      <c r="K13">
        <v>123</v>
      </c>
      <c r="L13">
        <v>93</v>
      </c>
      <c r="M13">
        <v>94340900.9009009</v>
      </c>
      <c r="N13">
        <v>57029261.261261262</v>
      </c>
      <c r="O13">
        <v>112976630.63063063</v>
      </c>
      <c r="P13">
        <v>116893495.49549548</v>
      </c>
      <c r="Q13">
        <v>91264774.774774775</v>
      </c>
      <c r="R13">
        <v>56703963.963963963</v>
      </c>
      <c r="S13">
        <v>5730</v>
      </c>
      <c r="T13">
        <v>6320</v>
      </c>
    </row>
    <row r="14" spans="1:20" x14ac:dyDescent="0.35">
      <c r="A14" s="7" t="s">
        <v>65</v>
      </c>
      <c r="B14" s="12" t="s">
        <v>51</v>
      </c>
      <c r="C14">
        <v>297605912.33755785</v>
      </c>
      <c r="D14">
        <v>294851414.66783375</v>
      </c>
      <c r="E14">
        <v>4492792.7927927943</v>
      </c>
      <c r="F14">
        <v>4163963.9639639659</v>
      </c>
      <c r="G14">
        <v>67</v>
      </c>
      <c r="H14">
        <v>41</v>
      </c>
      <c r="K14">
        <v>84</v>
      </c>
      <c r="L14">
        <v>51</v>
      </c>
      <c r="M14">
        <v>42350810.810810819</v>
      </c>
      <c r="N14">
        <v>46833513.513513513</v>
      </c>
      <c r="O14">
        <v>113256171.17117117</v>
      </c>
      <c r="P14">
        <v>114197135.13513513</v>
      </c>
      <c r="Q14">
        <v>39284954.954954952</v>
      </c>
      <c r="R14">
        <v>37332792.79279279</v>
      </c>
      <c r="S14">
        <v>5706</v>
      </c>
      <c r="T14">
        <v>4841</v>
      </c>
    </row>
    <row r="15" spans="1:20" x14ac:dyDescent="0.35">
      <c r="A15" s="7" t="s">
        <v>66</v>
      </c>
      <c r="B15" s="12" t="s">
        <v>67</v>
      </c>
      <c r="C15">
        <v>302012448.99803352</v>
      </c>
      <c r="D15">
        <v>295533383.51500177</v>
      </c>
      <c r="E15">
        <v>9153603.6036036089</v>
      </c>
      <c r="F15">
        <v>14699549.549549552</v>
      </c>
      <c r="G15">
        <v>62</v>
      </c>
      <c r="H15">
        <v>85</v>
      </c>
      <c r="K15">
        <v>72</v>
      </c>
      <c r="L15">
        <v>99</v>
      </c>
      <c r="M15">
        <v>165648018.01801801</v>
      </c>
      <c r="N15">
        <v>202541891.8918919</v>
      </c>
      <c r="O15">
        <v>153414927.92792794</v>
      </c>
      <c r="P15">
        <v>149540486.48648649</v>
      </c>
      <c r="Q15">
        <v>155043603.6036036</v>
      </c>
      <c r="R15">
        <v>198294504.5045045</v>
      </c>
      <c r="S15">
        <v>7587</v>
      </c>
      <c r="T15">
        <v>5922</v>
      </c>
    </row>
    <row r="16" spans="1:20" x14ac:dyDescent="0.35">
      <c r="A16" s="7" t="s">
        <v>68</v>
      </c>
      <c r="B16" s="12" t="s">
        <v>69</v>
      </c>
      <c r="C16">
        <v>176283212.4973022</v>
      </c>
      <c r="D16">
        <v>175047936.72663245</v>
      </c>
      <c r="E16">
        <v>36321621.621621624</v>
      </c>
      <c r="F16">
        <v>30380180.180180181</v>
      </c>
      <c r="G16">
        <v>58</v>
      </c>
      <c r="H16">
        <v>38</v>
      </c>
      <c r="K16">
        <v>61</v>
      </c>
      <c r="L16">
        <v>43</v>
      </c>
      <c r="M16">
        <v>33266756.75675676</v>
      </c>
      <c r="N16">
        <v>30724279.27927928</v>
      </c>
      <c r="O16">
        <v>48560540.540540546</v>
      </c>
      <c r="P16">
        <v>51650261.261261262</v>
      </c>
      <c r="Q16">
        <v>22922522.52252252</v>
      </c>
      <c r="R16">
        <v>22541216.216216218</v>
      </c>
      <c r="S16">
        <v>3398</v>
      </c>
      <c r="T16">
        <v>3064</v>
      </c>
    </row>
    <row r="17" spans="1:20" x14ac:dyDescent="0.35">
      <c r="A17" s="7" t="s">
        <v>70</v>
      </c>
      <c r="B17" s="12" t="s">
        <v>71</v>
      </c>
      <c r="C17">
        <v>13727824.349211756</v>
      </c>
      <c r="D17">
        <v>13481403.609833136</v>
      </c>
      <c r="E17">
        <v>94479111.711711705</v>
      </c>
      <c r="F17">
        <v>162452166.66666666</v>
      </c>
      <c r="G17">
        <v>4</v>
      </c>
      <c r="H17">
        <v>3</v>
      </c>
      <c r="K17">
        <v>4</v>
      </c>
      <c r="L17">
        <v>4</v>
      </c>
      <c r="M17">
        <v>36299109.009009011</v>
      </c>
      <c r="N17">
        <v>44119055.855855852</v>
      </c>
      <c r="O17">
        <v>3937536.036036036</v>
      </c>
      <c r="P17">
        <v>4304315.3153153146</v>
      </c>
      <c r="Q17">
        <v>404054.05405405402</v>
      </c>
      <c r="R17">
        <v>1709909.9099099101</v>
      </c>
      <c r="S17">
        <v>390</v>
      </c>
      <c r="T17">
        <v>288</v>
      </c>
    </row>
    <row r="18" spans="1:20" x14ac:dyDescent="0.35">
      <c r="A18" s="7" t="s">
        <v>72</v>
      </c>
      <c r="B18" s="12" t="s">
        <v>73</v>
      </c>
      <c r="C18">
        <v>2323978265.1783695</v>
      </c>
      <c r="D18">
        <v>2396886772.3609004</v>
      </c>
      <c r="E18">
        <v>528583749.54954958</v>
      </c>
      <c r="F18">
        <v>799242084.68468463</v>
      </c>
      <c r="G18">
        <v>728</v>
      </c>
      <c r="H18">
        <v>940</v>
      </c>
      <c r="I18">
        <v>17</v>
      </c>
      <c r="K18">
        <v>1090</v>
      </c>
      <c r="L18">
        <v>1393</v>
      </c>
      <c r="M18">
        <v>261109466.66666666</v>
      </c>
      <c r="N18">
        <v>314488288.2882883</v>
      </c>
      <c r="O18">
        <v>478930547.74774778</v>
      </c>
      <c r="P18">
        <v>599478209.90990984</v>
      </c>
      <c r="Q18">
        <v>223899232.43243244</v>
      </c>
      <c r="R18">
        <v>260718241.44144145</v>
      </c>
      <c r="S18">
        <v>47644</v>
      </c>
      <c r="T18">
        <v>47477</v>
      </c>
    </row>
    <row r="19" spans="1:20" x14ac:dyDescent="0.35">
      <c r="A19" s="7" t="s">
        <v>74</v>
      </c>
      <c r="B19" s="12" t="s">
        <v>73</v>
      </c>
      <c r="C19">
        <v>220346736.24594367</v>
      </c>
      <c r="D19">
        <v>228121605.66087732</v>
      </c>
      <c r="E19">
        <v>254954.95495495599</v>
      </c>
      <c r="F19">
        <v>108108.108108108</v>
      </c>
      <c r="G19">
        <v>50</v>
      </c>
      <c r="H19">
        <v>39</v>
      </c>
      <c r="I19">
        <v>1</v>
      </c>
      <c r="K19">
        <v>53</v>
      </c>
      <c r="L19">
        <v>44</v>
      </c>
      <c r="M19">
        <v>5795495.4954954963</v>
      </c>
      <c r="N19">
        <v>6594594.5945945941</v>
      </c>
      <c r="O19">
        <v>32900918.918918919</v>
      </c>
      <c r="P19">
        <v>34365945.945945941</v>
      </c>
      <c r="Q19">
        <v>5801621.6216216218</v>
      </c>
      <c r="R19">
        <v>4878918.9189189179</v>
      </c>
      <c r="S19">
        <v>3725</v>
      </c>
      <c r="T19">
        <v>3814</v>
      </c>
    </row>
    <row r="20" spans="1:20" x14ac:dyDescent="0.35">
      <c r="A20" s="7" t="s">
        <v>75</v>
      </c>
      <c r="B20" s="12" t="s">
        <v>71</v>
      </c>
      <c r="C20">
        <v>241859421.50350025</v>
      </c>
      <c r="D20">
        <v>239031275.75625089</v>
      </c>
      <c r="E20">
        <v>6517117.11711712</v>
      </c>
      <c r="F20">
        <v>11786036.036036031</v>
      </c>
      <c r="G20">
        <v>70</v>
      </c>
      <c r="H20">
        <v>64</v>
      </c>
      <c r="I20">
        <v>1</v>
      </c>
      <c r="K20">
        <v>150</v>
      </c>
      <c r="L20">
        <v>110</v>
      </c>
      <c r="M20">
        <v>55215315.315315321</v>
      </c>
      <c r="N20">
        <v>353045495.4954955</v>
      </c>
      <c r="O20">
        <v>89250873.873873875</v>
      </c>
      <c r="P20">
        <v>88002333.333333328</v>
      </c>
      <c r="Q20">
        <v>53962612.612612613</v>
      </c>
      <c r="R20">
        <v>342474414.41441441</v>
      </c>
      <c r="S20">
        <v>5079</v>
      </c>
      <c r="T20">
        <v>5373</v>
      </c>
    </row>
    <row r="21" spans="1:20" x14ac:dyDescent="0.35">
      <c r="A21" s="7" t="s">
        <v>76</v>
      </c>
      <c r="B21" s="12" t="s">
        <v>77</v>
      </c>
      <c r="C21">
        <v>69484331.705081239</v>
      </c>
      <c r="D21">
        <v>72482010.930934876</v>
      </c>
      <c r="E21">
        <v>618918.91891891998</v>
      </c>
      <c r="F21">
        <v>454954.95495495503</v>
      </c>
      <c r="G21">
        <v>22</v>
      </c>
      <c r="H21">
        <v>33</v>
      </c>
      <c r="K21">
        <v>23</v>
      </c>
      <c r="L21">
        <v>34</v>
      </c>
      <c r="M21">
        <v>9308468.4684684686</v>
      </c>
      <c r="N21">
        <v>9961261.261261262</v>
      </c>
      <c r="O21">
        <v>17360324.324324325</v>
      </c>
      <c r="P21">
        <v>20876513.513513513</v>
      </c>
      <c r="Q21">
        <v>7093963.963963965</v>
      </c>
      <c r="R21">
        <v>8517567.5675675683</v>
      </c>
      <c r="S21">
        <v>1792</v>
      </c>
      <c r="T21">
        <v>1499</v>
      </c>
    </row>
    <row r="22" spans="1:20" x14ac:dyDescent="0.35">
      <c r="A22" s="7" t="s">
        <v>78</v>
      </c>
      <c r="B22" s="12" t="s">
        <v>79</v>
      </c>
      <c r="C22">
        <v>150154386.05606559</v>
      </c>
      <c r="D22">
        <v>155390956.85497648</v>
      </c>
      <c r="E22">
        <v>2407207.2072072062</v>
      </c>
      <c r="F22">
        <v>2855405.4054054059</v>
      </c>
      <c r="G22">
        <v>25</v>
      </c>
      <c r="H22">
        <v>60</v>
      </c>
      <c r="I22">
        <v>1</v>
      </c>
      <c r="K22">
        <v>27</v>
      </c>
      <c r="L22">
        <v>90</v>
      </c>
      <c r="M22">
        <v>19115315.315315314</v>
      </c>
      <c r="N22">
        <v>27724774.774774771</v>
      </c>
      <c r="O22">
        <v>49399954.954954959</v>
      </c>
      <c r="P22">
        <v>50690250.45045045</v>
      </c>
      <c r="Q22">
        <v>21123513.513513513</v>
      </c>
      <c r="R22">
        <v>25935855.855855852</v>
      </c>
      <c r="S22">
        <v>2616</v>
      </c>
      <c r="T22">
        <v>2465</v>
      </c>
    </row>
    <row r="23" spans="1:20" x14ac:dyDescent="0.35">
      <c r="A23" s="7" t="s">
        <v>80</v>
      </c>
      <c r="B23" s="12" t="s">
        <v>81</v>
      </c>
      <c r="C23">
        <v>1385477845.7407277</v>
      </c>
      <c r="D23">
        <v>1507716038.7432675</v>
      </c>
      <c r="E23">
        <v>9816891.8918919004</v>
      </c>
      <c r="F23">
        <v>16257657.657657668</v>
      </c>
      <c r="G23">
        <v>901</v>
      </c>
      <c r="H23">
        <v>955</v>
      </c>
      <c r="I23">
        <v>7</v>
      </c>
      <c r="K23">
        <v>1010</v>
      </c>
      <c r="L23">
        <v>1287</v>
      </c>
      <c r="M23">
        <v>205690090.09009007</v>
      </c>
      <c r="N23">
        <v>181539639.63963965</v>
      </c>
      <c r="O23">
        <v>361757835.58558559</v>
      </c>
      <c r="P23">
        <v>465786354.95495492</v>
      </c>
      <c r="Q23">
        <v>191145675.67567569</v>
      </c>
      <c r="R23">
        <v>163562432.43243244</v>
      </c>
      <c r="S23">
        <v>29414</v>
      </c>
      <c r="T23">
        <v>26772</v>
      </c>
    </row>
    <row r="24" spans="1:20" x14ac:dyDescent="0.35">
      <c r="A24" s="7" t="s">
        <v>82</v>
      </c>
      <c r="B24" s="12" t="s">
        <v>55</v>
      </c>
      <c r="C24">
        <v>43361862.453886904</v>
      </c>
      <c r="D24">
        <v>40879055.720852114</v>
      </c>
      <c r="E24">
        <v>446846.84684684902</v>
      </c>
      <c r="F24">
        <v>342342.34234234301</v>
      </c>
      <c r="G24">
        <v>12</v>
      </c>
      <c r="H24">
        <v>10</v>
      </c>
      <c r="K24">
        <v>17</v>
      </c>
      <c r="L24">
        <v>11</v>
      </c>
      <c r="M24">
        <v>3134054.054054054</v>
      </c>
      <c r="N24">
        <v>3550450.4504504502</v>
      </c>
      <c r="O24">
        <v>10264981.981981983</v>
      </c>
      <c r="P24">
        <v>11213279.27927928</v>
      </c>
      <c r="Q24">
        <v>2863783.7837837841</v>
      </c>
      <c r="R24">
        <v>2945315.315315315</v>
      </c>
      <c r="S24">
        <v>1465</v>
      </c>
      <c r="T24">
        <v>1371</v>
      </c>
    </row>
    <row r="25" spans="1:20" x14ac:dyDescent="0.35">
      <c r="A25" s="7" t="s">
        <v>83</v>
      </c>
      <c r="B25" s="12" t="s">
        <v>84</v>
      </c>
      <c r="C25">
        <v>997607923.68025255</v>
      </c>
      <c r="D25">
        <v>988805931.87204826</v>
      </c>
      <c r="E25">
        <v>11386711.711711712</v>
      </c>
      <c r="F25">
        <v>15678378.378378382</v>
      </c>
      <c r="G25">
        <v>197</v>
      </c>
      <c r="H25">
        <v>162</v>
      </c>
      <c r="I25">
        <v>2</v>
      </c>
      <c r="K25">
        <v>230</v>
      </c>
      <c r="L25">
        <v>226</v>
      </c>
      <c r="M25">
        <v>202860810.8108108</v>
      </c>
      <c r="N25">
        <v>223583333.33333334</v>
      </c>
      <c r="O25">
        <v>295055516.66666669</v>
      </c>
      <c r="P25">
        <v>307266927.92792791</v>
      </c>
      <c r="Q25">
        <v>151665855.85585585</v>
      </c>
      <c r="R25">
        <v>166243873.87387389</v>
      </c>
      <c r="S25">
        <v>15163</v>
      </c>
      <c r="T25">
        <v>14750</v>
      </c>
    </row>
    <row r="26" spans="1:20" x14ac:dyDescent="0.35">
      <c r="A26" s="7" t="s">
        <v>85</v>
      </c>
      <c r="B26" s="12" t="s">
        <v>86</v>
      </c>
      <c r="C26">
        <v>93457530.050307453</v>
      </c>
      <c r="D26">
        <v>90913572.018559083</v>
      </c>
      <c r="E26">
        <v>389181118.91891891</v>
      </c>
      <c r="F26">
        <v>474204292.7927928</v>
      </c>
      <c r="G26">
        <v>52</v>
      </c>
      <c r="H26">
        <v>148</v>
      </c>
      <c r="K26">
        <v>61</v>
      </c>
      <c r="L26">
        <v>163</v>
      </c>
      <c r="M26">
        <v>245114864.86486486</v>
      </c>
      <c r="N26">
        <v>170095045.04504505</v>
      </c>
      <c r="O26">
        <v>33080612.612612613</v>
      </c>
      <c r="P26">
        <v>43479603.603603601</v>
      </c>
      <c r="Q26">
        <v>189397657.65765765</v>
      </c>
      <c r="R26">
        <v>120539816.21621621</v>
      </c>
      <c r="S26">
        <v>2374</v>
      </c>
      <c r="T26">
        <v>2324</v>
      </c>
    </row>
    <row r="27" spans="1:20" x14ac:dyDescent="0.35">
      <c r="A27" s="7" t="s">
        <v>87</v>
      </c>
      <c r="B27" s="12" t="s">
        <v>88</v>
      </c>
      <c r="C27">
        <v>3540618.18878019</v>
      </c>
      <c r="D27">
        <v>4625883.3503518421</v>
      </c>
      <c r="G27">
        <v>3</v>
      </c>
      <c r="K27">
        <v>3</v>
      </c>
      <c r="O27">
        <v>1651135.1351351361</v>
      </c>
      <c r="P27">
        <v>2363603.6036036029</v>
      </c>
      <c r="S27">
        <v>175</v>
      </c>
      <c r="T27">
        <v>165</v>
      </c>
    </row>
    <row r="28" spans="1:20" x14ac:dyDescent="0.35">
      <c r="A28" s="7" t="s">
        <v>89</v>
      </c>
      <c r="B28" s="12" t="s">
        <v>90</v>
      </c>
      <c r="C28">
        <v>204291241.02369246</v>
      </c>
      <c r="D28">
        <v>219067690.7812016</v>
      </c>
      <c r="E28">
        <v>4557657.6576576568</v>
      </c>
      <c r="F28">
        <v>3241441.4414414461</v>
      </c>
      <c r="G28">
        <v>30</v>
      </c>
      <c r="H28">
        <v>39</v>
      </c>
      <c r="K28">
        <v>32</v>
      </c>
      <c r="L28">
        <v>53</v>
      </c>
      <c r="M28">
        <v>42832612.612612605</v>
      </c>
      <c r="N28">
        <v>35076396.396396399</v>
      </c>
      <c r="O28">
        <v>72710225.225225225</v>
      </c>
      <c r="P28">
        <v>77725432.432432428</v>
      </c>
      <c r="Q28">
        <v>41737927.927927926</v>
      </c>
      <c r="R28">
        <v>37600540.540540546</v>
      </c>
      <c r="S28">
        <v>3593</v>
      </c>
      <c r="T28">
        <v>3355</v>
      </c>
    </row>
    <row r="29" spans="1:20" x14ac:dyDescent="0.35">
      <c r="A29" s="7" t="s">
        <v>91</v>
      </c>
      <c r="B29" s="12" t="s">
        <v>61</v>
      </c>
      <c r="C29">
        <v>72716656.486024171</v>
      </c>
      <c r="D29">
        <v>74903678.513840094</v>
      </c>
      <c r="E29">
        <v>190990.99099099301</v>
      </c>
      <c r="F29">
        <v>1300000</v>
      </c>
      <c r="G29">
        <v>18</v>
      </c>
      <c r="H29">
        <v>50</v>
      </c>
      <c r="K29">
        <v>160</v>
      </c>
      <c r="L29">
        <v>158</v>
      </c>
      <c r="M29">
        <v>4668468.4684684696</v>
      </c>
      <c r="N29">
        <v>8741441.441441441</v>
      </c>
      <c r="O29">
        <v>43076378.378378376</v>
      </c>
      <c r="P29">
        <v>44578324.324324325</v>
      </c>
      <c r="Q29">
        <v>4849369.369369369</v>
      </c>
      <c r="R29">
        <v>9226936.9369369373</v>
      </c>
      <c r="S29">
        <v>1755</v>
      </c>
      <c r="T29">
        <v>1631</v>
      </c>
    </row>
    <row r="30" spans="1:20" x14ac:dyDescent="0.35">
      <c r="A30" s="7" t="s">
        <v>92</v>
      </c>
      <c r="B30" s="12" t="s">
        <v>93</v>
      </c>
      <c r="C30">
        <v>60571344.125975728</v>
      </c>
      <c r="D30">
        <v>55593337.943488859</v>
      </c>
      <c r="E30">
        <v>63849549.54954955</v>
      </c>
      <c r="F30">
        <v>12160360.36036036</v>
      </c>
      <c r="G30">
        <v>15</v>
      </c>
      <c r="H30">
        <v>7</v>
      </c>
      <c r="K30">
        <v>16</v>
      </c>
      <c r="L30">
        <v>8</v>
      </c>
      <c r="M30">
        <v>18330720.72072072</v>
      </c>
      <c r="N30">
        <v>19811261.261261258</v>
      </c>
      <c r="O30">
        <v>19717666.666666668</v>
      </c>
      <c r="P30">
        <v>20331486.486486487</v>
      </c>
      <c r="Q30">
        <v>16771711.711711712</v>
      </c>
      <c r="R30">
        <v>19377117.117117114</v>
      </c>
      <c r="S30">
        <v>1088</v>
      </c>
      <c r="T30">
        <v>726</v>
      </c>
    </row>
    <row r="31" spans="1:20" x14ac:dyDescent="0.35">
      <c r="A31" s="7" t="s">
        <v>94</v>
      </c>
      <c r="B31" s="12" t="s">
        <v>95</v>
      </c>
      <c r="C31">
        <v>256269617.44321102</v>
      </c>
      <c r="D31">
        <v>272473679.69152373</v>
      </c>
      <c r="E31">
        <v>520270.27027027099</v>
      </c>
      <c r="F31">
        <v>265765.76576576702</v>
      </c>
      <c r="G31">
        <v>43</v>
      </c>
      <c r="H31">
        <v>21</v>
      </c>
      <c r="K31">
        <v>50</v>
      </c>
      <c r="L31">
        <v>25</v>
      </c>
      <c r="M31">
        <v>33457207.207207207</v>
      </c>
      <c r="N31">
        <v>35067567.567567565</v>
      </c>
      <c r="O31">
        <v>37274890.090090089</v>
      </c>
      <c r="P31">
        <v>47062408.108108111</v>
      </c>
      <c r="Q31">
        <v>28072792.792792793</v>
      </c>
      <c r="R31">
        <v>33641621.621621624</v>
      </c>
      <c r="S31">
        <v>4530</v>
      </c>
      <c r="T31">
        <v>4636</v>
      </c>
    </row>
    <row r="32" spans="1:20" x14ac:dyDescent="0.35">
      <c r="A32" s="7" t="s">
        <v>96</v>
      </c>
      <c r="B32" s="12" t="s">
        <v>97</v>
      </c>
      <c r="C32">
        <v>276479371.93514502</v>
      </c>
      <c r="D32">
        <v>284664448.85396516</v>
      </c>
      <c r="E32">
        <v>185248067.56756759</v>
      </c>
      <c r="F32">
        <v>211378390.09009007</v>
      </c>
      <c r="G32">
        <v>64</v>
      </c>
      <c r="H32">
        <v>102</v>
      </c>
      <c r="I32">
        <v>4</v>
      </c>
      <c r="K32">
        <v>70</v>
      </c>
      <c r="L32">
        <v>117</v>
      </c>
      <c r="M32">
        <v>121375531.53153154</v>
      </c>
      <c r="N32">
        <v>48989639.639639638</v>
      </c>
      <c r="O32">
        <v>138554756.75675675</v>
      </c>
      <c r="P32">
        <v>143549009.009009</v>
      </c>
      <c r="Q32">
        <v>49443063.063063063</v>
      </c>
      <c r="R32">
        <v>48758288.288288288</v>
      </c>
      <c r="S32">
        <v>6616</v>
      </c>
      <c r="T32">
        <v>6182</v>
      </c>
    </row>
    <row r="33" spans="1:20" x14ac:dyDescent="0.35">
      <c r="A33" s="7" t="s">
        <v>98</v>
      </c>
      <c r="B33" s="12" t="s">
        <v>99</v>
      </c>
      <c r="C33">
        <v>960839337.18488562</v>
      </c>
      <c r="D33">
        <v>952749878.0895834</v>
      </c>
      <c r="E33">
        <v>10995270.270270271</v>
      </c>
      <c r="F33">
        <v>11640090.090090092</v>
      </c>
      <c r="G33">
        <v>384</v>
      </c>
      <c r="H33">
        <v>260</v>
      </c>
      <c r="K33">
        <v>480</v>
      </c>
      <c r="L33">
        <v>296</v>
      </c>
      <c r="M33">
        <v>183338288.2882883</v>
      </c>
      <c r="N33">
        <v>233585810.8108108</v>
      </c>
      <c r="O33">
        <v>249498795.94594595</v>
      </c>
      <c r="P33">
        <v>266904819.81981981</v>
      </c>
      <c r="Q33">
        <v>128773333.33333333</v>
      </c>
      <c r="R33">
        <v>181652927.92792794</v>
      </c>
      <c r="S33">
        <v>24605</v>
      </c>
      <c r="T33">
        <v>22849</v>
      </c>
    </row>
    <row r="34" spans="1:20" x14ac:dyDescent="0.35">
      <c r="A34" s="7" t="s">
        <v>100</v>
      </c>
      <c r="B34" s="12" t="s">
        <v>99</v>
      </c>
      <c r="C34">
        <v>1554183629.6149929</v>
      </c>
      <c r="D34">
        <v>1557175045.6399803</v>
      </c>
      <c r="E34">
        <v>186293677.47747746</v>
      </c>
      <c r="F34">
        <v>209719028.82882884</v>
      </c>
      <c r="G34">
        <v>469</v>
      </c>
      <c r="H34">
        <v>487</v>
      </c>
      <c r="I34">
        <v>9</v>
      </c>
      <c r="K34">
        <v>768</v>
      </c>
      <c r="L34">
        <v>622</v>
      </c>
      <c r="M34">
        <v>118002477.47747748</v>
      </c>
      <c r="N34">
        <v>296544414.41441441</v>
      </c>
      <c r="O34">
        <v>298987167.11711711</v>
      </c>
      <c r="P34">
        <v>316591097.2972973</v>
      </c>
      <c r="Q34">
        <v>87106396.396396399</v>
      </c>
      <c r="R34">
        <v>103434819.81981982</v>
      </c>
      <c r="S34">
        <v>33161</v>
      </c>
      <c r="T34">
        <v>27522</v>
      </c>
    </row>
    <row r="35" spans="1:20" x14ac:dyDescent="0.35">
      <c r="A35" s="7" t="s">
        <v>101</v>
      </c>
      <c r="B35" s="12" t="s">
        <v>99</v>
      </c>
      <c r="C35">
        <v>2156486921.6011357</v>
      </c>
      <c r="D35">
        <v>2099909300.1364787</v>
      </c>
      <c r="E35">
        <v>18332657.657657664</v>
      </c>
      <c r="F35">
        <v>17497830.630630631</v>
      </c>
      <c r="G35">
        <v>431</v>
      </c>
      <c r="H35">
        <v>593</v>
      </c>
      <c r="I35">
        <v>10</v>
      </c>
      <c r="K35">
        <v>1058</v>
      </c>
      <c r="L35">
        <v>746</v>
      </c>
      <c r="M35">
        <v>846392027.02702713</v>
      </c>
      <c r="N35">
        <v>273982740.54054052</v>
      </c>
      <c r="O35">
        <v>989522452.70270276</v>
      </c>
      <c r="P35">
        <v>909885673.87387395</v>
      </c>
      <c r="Q35">
        <v>205342207.2072072</v>
      </c>
      <c r="R35">
        <v>174776171.17117116</v>
      </c>
      <c r="S35">
        <v>38746</v>
      </c>
      <c r="T35">
        <v>34017</v>
      </c>
    </row>
    <row r="36" spans="1:20" x14ac:dyDescent="0.35">
      <c r="A36" s="7" t="s">
        <v>102</v>
      </c>
      <c r="B36" s="12" t="s">
        <v>99</v>
      </c>
      <c r="C36">
        <v>894847493.47751784</v>
      </c>
      <c r="D36">
        <v>901751064.12140608</v>
      </c>
      <c r="E36">
        <v>5580180.1801801827</v>
      </c>
      <c r="F36">
        <v>5702702.7027027067</v>
      </c>
      <c r="G36">
        <v>264</v>
      </c>
      <c r="H36">
        <v>203</v>
      </c>
      <c r="I36">
        <v>3</v>
      </c>
      <c r="K36">
        <v>313</v>
      </c>
      <c r="L36">
        <v>261</v>
      </c>
      <c r="M36">
        <v>76058558.558558553</v>
      </c>
      <c r="N36">
        <v>75315031.531531543</v>
      </c>
      <c r="O36">
        <v>197348729.72972974</v>
      </c>
      <c r="P36">
        <v>202097459.45945945</v>
      </c>
      <c r="Q36">
        <v>71546306.306306303</v>
      </c>
      <c r="R36">
        <v>73824594.594594598</v>
      </c>
      <c r="S36">
        <v>25100</v>
      </c>
      <c r="T36">
        <v>21728</v>
      </c>
    </row>
    <row r="37" spans="1:20" x14ac:dyDescent="0.35">
      <c r="A37" s="7" t="s">
        <v>103</v>
      </c>
      <c r="B37" s="12" t="s">
        <v>99</v>
      </c>
      <c r="C37">
        <v>1010989272.4949139</v>
      </c>
      <c r="D37">
        <v>1037285100.9880412</v>
      </c>
      <c r="E37">
        <v>10146846.846846852</v>
      </c>
      <c r="F37">
        <v>13086486.486486483</v>
      </c>
      <c r="G37">
        <v>226</v>
      </c>
      <c r="H37">
        <v>101</v>
      </c>
      <c r="I37">
        <v>1</v>
      </c>
      <c r="K37">
        <v>282</v>
      </c>
      <c r="L37">
        <v>172</v>
      </c>
      <c r="M37">
        <v>161572972.97297299</v>
      </c>
      <c r="N37">
        <v>221099369.36936939</v>
      </c>
      <c r="O37">
        <v>295760139.63963962</v>
      </c>
      <c r="P37">
        <v>300884286.48648643</v>
      </c>
      <c r="Q37">
        <v>187210990.99099097</v>
      </c>
      <c r="R37">
        <v>190099819.81981984</v>
      </c>
      <c r="S37">
        <v>29459</v>
      </c>
      <c r="T37">
        <v>25453</v>
      </c>
    </row>
    <row r="38" spans="1:20" x14ac:dyDescent="0.35">
      <c r="A38" s="7" t="s">
        <v>104</v>
      </c>
      <c r="B38" s="12" t="s">
        <v>99</v>
      </c>
      <c r="C38">
        <v>2601686925.855237</v>
      </c>
      <c r="D38">
        <v>2595667258.241117</v>
      </c>
      <c r="E38">
        <v>953020510.81081092</v>
      </c>
      <c r="F38">
        <v>1892858447.7477479</v>
      </c>
      <c r="G38">
        <v>747</v>
      </c>
      <c r="H38">
        <v>501</v>
      </c>
      <c r="I38">
        <v>8</v>
      </c>
      <c r="K38">
        <v>1123</v>
      </c>
      <c r="L38">
        <v>610</v>
      </c>
      <c r="M38">
        <v>280921469.36936939</v>
      </c>
      <c r="N38">
        <v>1200167117.1171172</v>
      </c>
      <c r="O38">
        <v>554715863.06306303</v>
      </c>
      <c r="P38">
        <v>566790358.55855858</v>
      </c>
      <c r="Q38">
        <v>256399099.0990991</v>
      </c>
      <c r="R38">
        <v>913912702.70270276</v>
      </c>
      <c r="S38">
        <v>63033</v>
      </c>
      <c r="T38">
        <v>54893</v>
      </c>
    </row>
    <row r="39" spans="1:20" x14ac:dyDescent="0.35">
      <c r="A39" s="7" t="s">
        <v>105</v>
      </c>
      <c r="B39" s="12" t="s">
        <v>106</v>
      </c>
      <c r="C39">
        <v>182056899.76527733</v>
      </c>
      <c r="D39">
        <v>172381131.21498406</v>
      </c>
      <c r="E39">
        <v>1263963.963963964</v>
      </c>
      <c r="F39">
        <v>165765.765765766</v>
      </c>
      <c r="G39">
        <v>36</v>
      </c>
      <c r="H39">
        <v>19</v>
      </c>
      <c r="K39">
        <v>39</v>
      </c>
      <c r="L39">
        <v>20</v>
      </c>
      <c r="M39">
        <v>1714414.414414414</v>
      </c>
      <c r="N39">
        <v>165765.765765766</v>
      </c>
      <c r="O39">
        <v>39215027.027027026</v>
      </c>
      <c r="P39">
        <v>41773648.648648649</v>
      </c>
      <c r="Q39">
        <v>1186846.8468468471</v>
      </c>
      <c r="R39">
        <v>283783.78378378402</v>
      </c>
      <c r="S39">
        <v>2585</v>
      </c>
      <c r="T39">
        <v>2557</v>
      </c>
    </row>
    <row r="40" spans="1:20" x14ac:dyDescent="0.35">
      <c r="A40" s="7" t="s">
        <v>107</v>
      </c>
      <c r="B40" s="12" t="s">
        <v>55</v>
      </c>
      <c r="C40">
        <v>62105142.136467904</v>
      </c>
      <c r="D40">
        <v>59713457.0324848</v>
      </c>
      <c r="E40">
        <v>59459.459459459002</v>
      </c>
      <c r="F40">
        <v>801801.80180180306</v>
      </c>
      <c r="G40">
        <v>34</v>
      </c>
      <c r="H40">
        <v>63</v>
      </c>
      <c r="I40">
        <v>10</v>
      </c>
      <c r="K40">
        <v>41</v>
      </c>
      <c r="L40">
        <v>73</v>
      </c>
      <c r="M40">
        <v>1801981.9819819829</v>
      </c>
      <c r="N40">
        <v>4016216.2162162159</v>
      </c>
      <c r="O40">
        <v>16091990.990990993</v>
      </c>
      <c r="P40">
        <v>16003711.711711712</v>
      </c>
      <c r="Q40">
        <v>2061441.441441441</v>
      </c>
      <c r="R40">
        <v>3335045.0450450452</v>
      </c>
      <c r="S40">
        <v>1573</v>
      </c>
      <c r="T40">
        <v>1404</v>
      </c>
    </row>
    <row r="41" spans="1:20" x14ac:dyDescent="0.35">
      <c r="A41" s="7" t="s">
        <v>108</v>
      </c>
      <c r="B41" s="12" t="s">
        <v>109</v>
      </c>
      <c r="C41">
        <v>502896866.79258293</v>
      </c>
      <c r="D41">
        <v>525923907.07645547</v>
      </c>
      <c r="E41">
        <v>5671621.6216216264</v>
      </c>
      <c r="F41">
        <v>8229729.7297297316</v>
      </c>
      <c r="G41">
        <v>139</v>
      </c>
      <c r="H41">
        <v>116</v>
      </c>
      <c r="I41">
        <v>1</v>
      </c>
      <c r="K41">
        <v>170</v>
      </c>
      <c r="L41">
        <v>142</v>
      </c>
      <c r="M41">
        <v>75974054.054054052</v>
      </c>
      <c r="N41">
        <v>72956756.756756753</v>
      </c>
      <c r="O41">
        <v>110108252.25225225</v>
      </c>
      <c r="P41">
        <v>114417054.05405405</v>
      </c>
      <c r="Q41">
        <v>67119369.369369373</v>
      </c>
      <c r="R41">
        <v>64284504.504504502</v>
      </c>
      <c r="S41">
        <v>11492</v>
      </c>
      <c r="T41">
        <v>9405</v>
      </c>
    </row>
    <row r="42" spans="1:20" x14ac:dyDescent="0.35">
      <c r="A42" s="7" t="s">
        <v>110</v>
      </c>
      <c r="B42" s="12" t="s">
        <v>109</v>
      </c>
      <c r="C42">
        <v>712266919.96175742</v>
      </c>
      <c r="D42">
        <v>732020034.63450587</v>
      </c>
      <c r="E42">
        <v>103341518.01801802</v>
      </c>
      <c r="F42">
        <v>718555261.26126134</v>
      </c>
      <c r="G42">
        <v>247</v>
      </c>
      <c r="H42">
        <v>218</v>
      </c>
      <c r="K42">
        <v>444</v>
      </c>
      <c r="L42">
        <v>430</v>
      </c>
      <c r="M42">
        <v>61417918.018018015</v>
      </c>
      <c r="N42">
        <v>352495801.8018018</v>
      </c>
      <c r="O42">
        <v>201750774.77477479</v>
      </c>
      <c r="P42">
        <v>201959585.58558559</v>
      </c>
      <c r="Q42">
        <v>177394864.86486486</v>
      </c>
      <c r="R42">
        <v>240258468.46846849</v>
      </c>
      <c r="S42">
        <v>16927</v>
      </c>
      <c r="T42">
        <v>15737</v>
      </c>
    </row>
    <row r="43" spans="1:20" x14ac:dyDescent="0.35">
      <c r="A43" s="7" t="s">
        <v>111</v>
      </c>
      <c r="B43" s="12" t="s">
        <v>112</v>
      </c>
      <c r="C43">
        <v>816924730.03551292</v>
      </c>
      <c r="D43">
        <v>846926855.58912897</v>
      </c>
      <c r="E43">
        <v>94031531.531531543</v>
      </c>
      <c r="F43">
        <v>1038373873.8738739</v>
      </c>
      <c r="G43">
        <v>271</v>
      </c>
      <c r="H43">
        <v>274</v>
      </c>
      <c r="K43">
        <v>567</v>
      </c>
      <c r="L43">
        <v>442</v>
      </c>
      <c r="M43">
        <v>87750654.954954937</v>
      </c>
      <c r="N43">
        <v>83232612.612612605</v>
      </c>
      <c r="O43">
        <v>288229000</v>
      </c>
      <c r="P43">
        <v>307621396.3963964</v>
      </c>
      <c r="Q43">
        <v>80704457.657657668</v>
      </c>
      <c r="R43">
        <v>77296756.756756768</v>
      </c>
      <c r="S43">
        <v>23313</v>
      </c>
      <c r="T43">
        <v>17914</v>
      </c>
    </row>
    <row r="44" spans="1:20" x14ac:dyDescent="0.35">
      <c r="A44" s="7" t="s">
        <v>113</v>
      </c>
      <c r="B44" s="12" t="s">
        <v>112</v>
      </c>
      <c r="C44">
        <v>1054554424.9172046</v>
      </c>
      <c r="D44">
        <v>1080140103.5169573</v>
      </c>
      <c r="E44">
        <v>14796396.396396399</v>
      </c>
      <c r="F44">
        <v>52388955.855855852</v>
      </c>
      <c r="G44">
        <v>393</v>
      </c>
      <c r="H44">
        <v>284</v>
      </c>
      <c r="I44">
        <v>1</v>
      </c>
      <c r="K44">
        <v>688</v>
      </c>
      <c r="L44">
        <v>419</v>
      </c>
      <c r="M44">
        <v>92838390.990990996</v>
      </c>
      <c r="N44">
        <v>138552829.72972974</v>
      </c>
      <c r="O44">
        <v>393303507.2072072</v>
      </c>
      <c r="P44">
        <v>400923243.24324328</v>
      </c>
      <c r="Q44">
        <v>92093153.153153151</v>
      </c>
      <c r="R44">
        <v>175541214.41441444</v>
      </c>
      <c r="S44">
        <v>33067</v>
      </c>
      <c r="T44">
        <v>30828</v>
      </c>
    </row>
    <row r="45" spans="1:20" x14ac:dyDescent="0.35">
      <c r="A45" s="7" t="s">
        <v>114</v>
      </c>
      <c r="B45" s="12" t="s">
        <v>112</v>
      </c>
      <c r="C45">
        <v>1147436527.1132679</v>
      </c>
      <c r="D45">
        <v>736383892.90345573</v>
      </c>
      <c r="E45">
        <v>8783783.7837837897</v>
      </c>
      <c r="F45">
        <v>18163072.972972974</v>
      </c>
      <c r="G45">
        <v>384</v>
      </c>
      <c r="H45">
        <v>273</v>
      </c>
      <c r="I45">
        <v>1</v>
      </c>
      <c r="K45">
        <v>607</v>
      </c>
      <c r="L45">
        <v>532</v>
      </c>
      <c r="M45">
        <v>501398393.6936937</v>
      </c>
      <c r="N45">
        <v>702996676.57657647</v>
      </c>
      <c r="O45">
        <v>663518466.66666663</v>
      </c>
      <c r="P45">
        <v>242814648.64864865</v>
      </c>
      <c r="Q45">
        <v>45468241.441441439</v>
      </c>
      <c r="R45">
        <v>104804954.95495497</v>
      </c>
      <c r="S45">
        <v>17273</v>
      </c>
      <c r="T45">
        <v>14696</v>
      </c>
    </row>
    <row r="46" spans="1:20" x14ac:dyDescent="0.35">
      <c r="A46" s="7" t="s">
        <v>115</v>
      </c>
      <c r="B46" s="12" t="s">
        <v>112</v>
      </c>
      <c r="C46">
        <v>842506701.451612</v>
      </c>
      <c r="D46">
        <v>1454986463.2067797</v>
      </c>
      <c r="E46">
        <v>12200675.675675685</v>
      </c>
      <c r="F46">
        <v>14104954.954954963</v>
      </c>
      <c r="G46">
        <v>474</v>
      </c>
      <c r="H46">
        <v>254</v>
      </c>
      <c r="I46">
        <v>11</v>
      </c>
      <c r="K46">
        <v>1182</v>
      </c>
      <c r="L46">
        <v>498</v>
      </c>
      <c r="M46">
        <v>102921621.62162164</v>
      </c>
      <c r="N46">
        <v>215546576.57657659</v>
      </c>
      <c r="O46">
        <v>251611837.83783782</v>
      </c>
      <c r="P46">
        <v>845871648.64864874</v>
      </c>
      <c r="Q46">
        <v>97428288.288288295</v>
      </c>
      <c r="R46">
        <v>207613513.51351351</v>
      </c>
      <c r="S46">
        <v>23951</v>
      </c>
      <c r="T46">
        <v>19361</v>
      </c>
    </row>
    <row r="47" spans="1:20" x14ac:dyDescent="0.35">
      <c r="A47" s="7" t="s">
        <v>116</v>
      </c>
      <c r="B47" s="12" t="s">
        <v>112</v>
      </c>
      <c r="C47">
        <v>1031146850.7512618</v>
      </c>
      <c r="D47">
        <v>1013905163.2474056</v>
      </c>
      <c r="E47">
        <v>1683140472.0720723</v>
      </c>
      <c r="F47">
        <v>1888657427.9279277</v>
      </c>
      <c r="G47">
        <v>441</v>
      </c>
      <c r="H47">
        <v>397</v>
      </c>
      <c r="K47">
        <v>741</v>
      </c>
      <c r="L47">
        <v>668</v>
      </c>
      <c r="M47">
        <v>827496495.49549556</v>
      </c>
      <c r="N47">
        <v>330229081.98198193</v>
      </c>
      <c r="O47">
        <v>305583196.84684682</v>
      </c>
      <c r="P47">
        <v>288525081.08108109</v>
      </c>
      <c r="Q47">
        <v>190436122.52252254</v>
      </c>
      <c r="R47">
        <v>219510270.27027026</v>
      </c>
      <c r="S47">
        <v>28975</v>
      </c>
      <c r="T47">
        <v>23941</v>
      </c>
    </row>
    <row r="48" spans="1:20" x14ac:dyDescent="0.35">
      <c r="A48" s="7" t="s">
        <v>117</v>
      </c>
      <c r="B48" s="12" t="s">
        <v>55</v>
      </c>
      <c r="C48">
        <v>57749525.79913158</v>
      </c>
      <c r="D48">
        <v>55804224.507163107</v>
      </c>
      <c r="E48">
        <v>1168243.2432432431</v>
      </c>
      <c r="F48">
        <v>1762162.1621621619</v>
      </c>
      <c r="G48">
        <v>10</v>
      </c>
      <c r="H48">
        <v>10</v>
      </c>
      <c r="K48">
        <v>10</v>
      </c>
      <c r="L48">
        <v>14</v>
      </c>
      <c r="M48">
        <v>4912162.1621621614</v>
      </c>
      <c r="N48">
        <v>8681081.0810810793</v>
      </c>
      <c r="O48">
        <v>14256504.504504504</v>
      </c>
      <c r="P48">
        <v>13802918.918918921</v>
      </c>
      <c r="Q48">
        <v>4456126.1261261264</v>
      </c>
      <c r="R48">
        <v>8258468.4684684696</v>
      </c>
      <c r="S48">
        <v>1171</v>
      </c>
      <c r="T48">
        <v>983</v>
      </c>
    </row>
    <row r="49" spans="1:20" x14ac:dyDescent="0.35">
      <c r="A49" s="7" t="s">
        <v>119</v>
      </c>
      <c r="B49" s="12" t="s">
        <v>79</v>
      </c>
      <c r="C49">
        <v>484807327.19854289</v>
      </c>
      <c r="D49">
        <v>524543881.87096781</v>
      </c>
      <c r="E49">
        <v>311164887.38738739</v>
      </c>
      <c r="F49">
        <v>936578972.07207203</v>
      </c>
      <c r="G49">
        <v>178</v>
      </c>
      <c r="H49">
        <v>293</v>
      </c>
      <c r="I49">
        <v>7</v>
      </c>
      <c r="K49">
        <v>229</v>
      </c>
      <c r="L49">
        <v>474</v>
      </c>
      <c r="M49">
        <v>110260810.81081082</v>
      </c>
      <c r="N49">
        <v>126247747.74774775</v>
      </c>
      <c r="O49">
        <v>195018297.74774775</v>
      </c>
      <c r="P49">
        <v>210940801.8018018</v>
      </c>
      <c r="Q49">
        <v>108707387.38738739</v>
      </c>
      <c r="R49">
        <v>120513513.51351352</v>
      </c>
      <c r="S49">
        <v>12539</v>
      </c>
      <c r="T49">
        <v>11731</v>
      </c>
    </row>
    <row r="50" spans="1:20" x14ac:dyDescent="0.35">
      <c r="A50" s="7" t="s">
        <v>120</v>
      </c>
      <c r="B50" s="12" t="s">
        <v>51</v>
      </c>
      <c r="C50">
        <v>154192037.55446821</v>
      </c>
      <c r="D50">
        <v>151676994.71054542</v>
      </c>
      <c r="E50">
        <v>4873873.8738738736</v>
      </c>
      <c r="F50">
        <v>1990090.0900900939</v>
      </c>
      <c r="G50">
        <v>46</v>
      </c>
      <c r="H50">
        <v>26</v>
      </c>
      <c r="K50">
        <v>51</v>
      </c>
      <c r="L50">
        <v>28</v>
      </c>
      <c r="M50">
        <v>89965225.225225225</v>
      </c>
      <c r="N50">
        <v>20881981.981981982</v>
      </c>
      <c r="O50">
        <v>55898774.774774775</v>
      </c>
      <c r="P50">
        <v>59180927.927927926</v>
      </c>
      <c r="Q50">
        <v>85014234.234234244</v>
      </c>
      <c r="R50">
        <v>23310990.990990993</v>
      </c>
      <c r="S50">
        <v>2477</v>
      </c>
      <c r="T50">
        <v>2167</v>
      </c>
    </row>
    <row r="51" spans="1:20" x14ac:dyDescent="0.35">
      <c r="A51" s="7" t="s">
        <v>121</v>
      </c>
      <c r="B51" s="12" t="s">
        <v>122</v>
      </c>
      <c r="C51">
        <v>522342462.01141429</v>
      </c>
      <c r="D51">
        <v>481525379.34709471</v>
      </c>
      <c r="E51">
        <v>4713063.0630630646</v>
      </c>
      <c r="F51">
        <v>2633333.3333333409</v>
      </c>
      <c r="G51">
        <v>195</v>
      </c>
      <c r="H51">
        <v>210</v>
      </c>
      <c r="K51">
        <v>217</v>
      </c>
      <c r="L51">
        <v>327</v>
      </c>
      <c r="M51">
        <v>21012612.612612616</v>
      </c>
      <c r="N51">
        <v>19670270.270270277</v>
      </c>
      <c r="O51">
        <v>43903324.324324325</v>
      </c>
      <c r="P51">
        <v>46546576.576576576</v>
      </c>
      <c r="Q51">
        <v>18703513.513513513</v>
      </c>
      <c r="R51">
        <v>18568288.288288288</v>
      </c>
      <c r="S51">
        <v>8258</v>
      </c>
      <c r="T51">
        <v>7995</v>
      </c>
    </row>
    <row r="52" spans="1:20" x14ac:dyDescent="0.35">
      <c r="A52" s="7" t="s">
        <v>123</v>
      </c>
      <c r="B52" s="12" t="s">
        <v>124</v>
      </c>
      <c r="C52">
        <v>273916511.44569188</v>
      </c>
      <c r="D52">
        <v>278598424.40604472</v>
      </c>
      <c r="E52">
        <v>1220045.0450450459</v>
      </c>
      <c r="F52">
        <v>2634234.2342342339</v>
      </c>
      <c r="G52">
        <v>36</v>
      </c>
      <c r="H52">
        <v>25</v>
      </c>
      <c r="K52">
        <v>44</v>
      </c>
      <c r="L52">
        <v>28</v>
      </c>
      <c r="M52">
        <v>58071261.261261262</v>
      </c>
      <c r="N52">
        <v>80550000</v>
      </c>
      <c r="O52">
        <v>124176558.55855855</v>
      </c>
      <c r="P52">
        <v>125948427.02702703</v>
      </c>
      <c r="Q52">
        <v>57837207.20720721</v>
      </c>
      <c r="R52">
        <v>61745174.774774775</v>
      </c>
      <c r="S52">
        <v>4703</v>
      </c>
      <c r="T52">
        <v>4787</v>
      </c>
    </row>
    <row r="53" spans="1:20" x14ac:dyDescent="0.35">
      <c r="A53" s="7" t="s">
        <v>125</v>
      </c>
      <c r="B53" s="12" t="s">
        <v>126</v>
      </c>
      <c r="C53">
        <v>357688242.7671622</v>
      </c>
      <c r="D53">
        <v>377309427.48792273</v>
      </c>
      <c r="E53">
        <v>3421621.621621626</v>
      </c>
      <c r="F53">
        <v>2842792.7927927971</v>
      </c>
      <c r="G53">
        <v>77</v>
      </c>
      <c r="H53">
        <v>72</v>
      </c>
      <c r="K53">
        <v>132</v>
      </c>
      <c r="L53">
        <v>78</v>
      </c>
      <c r="M53">
        <v>98209459.459459454</v>
      </c>
      <c r="N53">
        <v>75737927.927927926</v>
      </c>
      <c r="O53">
        <v>111334409.009009</v>
      </c>
      <c r="P53">
        <v>118777886.48648648</v>
      </c>
      <c r="Q53">
        <v>110827297.2972973</v>
      </c>
      <c r="R53">
        <v>80900180.180180177</v>
      </c>
      <c r="S53">
        <v>6474</v>
      </c>
      <c r="T53">
        <v>5639</v>
      </c>
    </row>
    <row r="54" spans="1:20" x14ac:dyDescent="0.35">
      <c r="A54" s="7" t="s">
        <v>127</v>
      </c>
      <c r="B54" s="12" t="s">
        <v>79</v>
      </c>
      <c r="C54">
        <v>235899822.18590218</v>
      </c>
      <c r="D54">
        <v>228715143.30003822</v>
      </c>
      <c r="E54">
        <v>4643243.2432432454</v>
      </c>
      <c r="F54">
        <v>6250450.4504504511</v>
      </c>
      <c r="G54">
        <v>72</v>
      </c>
      <c r="H54">
        <v>55</v>
      </c>
      <c r="I54">
        <v>1</v>
      </c>
      <c r="K54">
        <v>80</v>
      </c>
      <c r="L54">
        <v>57</v>
      </c>
      <c r="M54">
        <v>42562162.162162162</v>
      </c>
      <c r="N54">
        <v>44639639.639639638</v>
      </c>
      <c r="O54">
        <v>96511747.747747749</v>
      </c>
      <c r="P54">
        <v>94896702.702702701</v>
      </c>
      <c r="Q54">
        <v>40538468.468468472</v>
      </c>
      <c r="R54">
        <v>44899729.729729727</v>
      </c>
      <c r="S54">
        <v>5162</v>
      </c>
      <c r="T54">
        <v>6262</v>
      </c>
    </row>
    <row r="55" spans="1:20" x14ac:dyDescent="0.35">
      <c r="A55" s="7" t="s">
        <v>128</v>
      </c>
      <c r="B55" s="12" t="s">
        <v>79</v>
      </c>
      <c r="C55">
        <v>39236557.61197599</v>
      </c>
      <c r="D55">
        <v>38830597.22654897</v>
      </c>
      <c r="E55">
        <v>1324324.324324324</v>
      </c>
      <c r="F55">
        <v>712612.61261261394</v>
      </c>
      <c r="G55">
        <v>15</v>
      </c>
      <c r="H55">
        <v>9</v>
      </c>
      <c r="K55">
        <v>20</v>
      </c>
      <c r="L55">
        <v>11</v>
      </c>
      <c r="M55">
        <v>18216216.216216218</v>
      </c>
      <c r="N55">
        <v>16118018.01801802</v>
      </c>
      <c r="O55">
        <v>22997027.02702703</v>
      </c>
      <c r="P55">
        <v>21293405.405405402</v>
      </c>
      <c r="Q55">
        <v>19642702.702702705</v>
      </c>
      <c r="R55">
        <v>11703423.423423424</v>
      </c>
      <c r="S55">
        <v>1275</v>
      </c>
      <c r="T55">
        <v>1130</v>
      </c>
    </row>
    <row r="56" spans="1:20" x14ac:dyDescent="0.35">
      <c r="A56" s="7" t="s">
        <v>129</v>
      </c>
      <c r="B56" s="12" t="s">
        <v>79</v>
      </c>
      <c r="C56">
        <v>225810269.10177121</v>
      </c>
      <c r="D56">
        <v>228124734.42537335</v>
      </c>
      <c r="E56">
        <v>2789864.86486487</v>
      </c>
      <c r="F56">
        <v>3742792.7927927971</v>
      </c>
      <c r="G56">
        <v>156</v>
      </c>
      <c r="H56">
        <v>77</v>
      </c>
      <c r="K56">
        <v>194</v>
      </c>
      <c r="L56">
        <v>102</v>
      </c>
      <c r="M56">
        <v>32235135.135135137</v>
      </c>
      <c r="N56">
        <v>39562612.612612613</v>
      </c>
      <c r="O56">
        <v>87012827.027027026</v>
      </c>
      <c r="P56">
        <v>93147738.738738731</v>
      </c>
      <c r="Q56">
        <v>30104414.414414413</v>
      </c>
      <c r="R56">
        <v>40099729.729729727</v>
      </c>
      <c r="S56">
        <v>5887</v>
      </c>
      <c r="T56">
        <v>6189</v>
      </c>
    </row>
    <row r="57" spans="1:20" x14ac:dyDescent="0.35">
      <c r="A57" s="7" t="s">
        <v>130</v>
      </c>
      <c r="B57" s="12" t="s">
        <v>86</v>
      </c>
      <c r="C57">
        <v>66740960.33082246</v>
      </c>
      <c r="D57">
        <v>70063623.641429633</v>
      </c>
      <c r="E57">
        <v>136200900.9009009</v>
      </c>
      <c r="F57">
        <v>247212612.61261261</v>
      </c>
      <c r="G57">
        <v>14</v>
      </c>
      <c r="H57">
        <v>51</v>
      </c>
      <c r="K57">
        <v>16</v>
      </c>
      <c r="L57">
        <v>55</v>
      </c>
      <c r="M57">
        <v>83985315.315315306</v>
      </c>
      <c r="N57">
        <v>83240540.540540546</v>
      </c>
      <c r="O57">
        <v>31677369.369369369</v>
      </c>
      <c r="P57">
        <v>39634414.414414413</v>
      </c>
      <c r="Q57">
        <v>66595585.585585587</v>
      </c>
      <c r="R57">
        <v>71510000</v>
      </c>
      <c r="S57">
        <v>1353</v>
      </c>
      <c r="T57">
        <v>1203</v>
      </c>
    </row>
    <row r="58" spans="1:20" x14ac:dyDescent="0.35">
      <c r="A58" s="7" t="s">
        <v>131</v>
      </c>
      <c r="B58" s="12" t="s">
        <v>90</v>
      </c>
      <c r="C58">
        <v>617996513.11211336</v>
      </c>
      <c r="D58">
        <v>616000662.05775464</v>
      </c>
      <c r="E58">
        <v>4795945.9459459521</v>
      </c>
      <c r="F58">
        <v>8206306.3063063156</v>
      </c>
      <c r="G58">
        <v>77</v>
      </c>
      <c r="H58">
        <v>95</v>
      </c>
      <c r="K58">
        <v>107</v>
      </c>
      <c r="L58">
        <v>105</v>
      </c>
      <c r="M58">
        <v>45511261.261261262</v>
      </c>
      <c r="N58">
        <v>56079909.909909911</v>
      </c>
      <c r="O58">
        <v>193270809.00900903</v>
      </c>
      <c r="P58">
        <v>198193693.6936937</v>
      </c>
      <c r="Q58">
        <v>44140763.963963963</v>
      </c>
      <c r="R58">
        <v>57113693.693693697</v>
      </c>
      <c r="S58">
        <v>11593</v>
      </c>
      <c r="T58">
        <v>10393</v>
      </c>
    </row>
    <row r="59" spans="1:20" x14ac:dyDescent="0.35">
      <c r="A59" s="7" t="s">
        <v>132</v>
      </c>
      <c r="B59" s="12" t="s">
        <v>133</v>
      </c>
      <c r="C59">
        <v>340916847.14372921</v>
      </c>
      <c r="D59">
        <v>327782760.15894318</v>
      </c>
      <c r="E59">
        <v>66550436.936936937</v>
      </c>
      <c r="F59">
        <v>90816105.405405402</v>
      </c>
      <c r="G59">
        <v>189</v>
      </c>
      <c r="H59">
        <v>134</v>
      </c>
      <c r="K59">
        <v>201</v>
      </c>
      <c r="L59">
        <v>147</v>
      </c>
      <c r="M59">
        <v>43238963.963963971</v>
      </c>
      <c r="N59">
        <v>65682882.882882878</v>
      </c>
      <c r="O59">
        <v>107523682.43243243</v>
      </c>
      <c r="P59">
        <v>110754324.32432432</v>
      </c>
      <c r="Q59">
        <v>31892072.072072074</v>
      </c>
      <c r="R59">
        <v>51740630.630630635</v>
      </c>
      <c r="S59">
        <v>7449</v>
      </c>
      <c r="T59">
        <v>7336</v>
      </c>
    </row>
    <row r="60" spans="1:20" x14ac:dyDescent="0.35">
      <c r="A60" s="7" t="s">
        <v>134</v>
      </c>
      <c r="B60" s="12" t="s">
        <v>135</v>
      </c>
      <c r="C60">
        <v>38443048.327956721</v>
      </c>
      <c r="D60">
        <v>56378215.297431305</v>
      </c>
      <c r="G60">
        <v>3</v>
      </c>
      <c r="H60">
        <v>4</v>
      </c>
      <c r="K60">
        <v>3</v>
      </c>
      <c r="L60">
        <v>6</v>
      </c>
      <c r="O60">
        <v>6375619.8198198201</v>
      </c>
      <c r="P60">
        <v>9122972.9729729723</v>
      </c>
      <c r="S60">
        <v>2262</v>
      </c>
      <c r="T60">
        <v>2238</v>
      </c>
    </row>
    <row r="61" spans="1:20" x14ac:dyDescent="0.35">
      <c r="A61" s="7" t="s">
        <v>136</v>
      </c>
      <c r="B61" s="12" t="s">
        <v>137</v>
      </c>
      <c r="C61">
        <v>277990816.25318736</v>
      </c>
      <c r="D61">
        <v>277980169.99978459</v>
      </c>
      <c r="E61">
        <v>1007207.20720721</v>
      </c>
      <c r="F61">
        <v>1459459.459459462</v>
      </c>
      <c r="G61">
        <v>74</v>
      </c>
      <c r="H61">
        <v>58</v>
      </c>
      <c r="I61">
        <v>3</v>
      </c>
      <c r="K61">
        <v>78</v>
      </c>
      <c r="L61">
        <v>61</v>
      </c>
      <c r="M61">
        <v>25286486.486486487</v>
      </c>
      <c r="N61">
        <v>28058558.558558561</v>
      </c>
      <c r="O61">
        <v>43308396.396396391</v>
      </c>
      <c r="P61">
        <v>49632547.747747742</v>
      </c>
      <c r="Q61">
        <v>20271981.981981985</v>
      </c>
      <c r="R61">
        <v>24080360.360360362</v>
      </c>
      <c r="S61">
        <v>3691</v>
      </c>
      <c r="T61">
        <v>3420</v>
      </c>
    </row>
    <row r="62" spans="1:20" x14ac:dyDescent="0.35">
      <c r="A62" s="7" t="s">
        <v>138</v>
      </c>
      <c r="B62" s="12" t="s">
        <v>90</v>
      </c>
      <c r="C62">
        <v>303857733.47450769</v>
      </c>
      <c r="D62">
        <v>312896845.90554214</v>
      </c>
      <c r="E62">
        <v>147172747.74774775</v>
      </c>
      <c r="F62">
        <v>421086936.93693697</v>
      </c>
      <c r="G62">
        <v>62</v>
      </c>
      <c r="H62">
        <v>36</v>
      </c>
      <c r="I62">
        <v>10</v>
      </c>
      <c r="K62">
        <v>257</v>
      </c>
      <c r="L62">
        <v>52</v>
      </c>
      <c r="M62">
        <v>57350990.990990989</v>
      </c>
      <c r="N62">
        <v>64265225.225225225</v>
      </c>
      <c r="O62">
        <v>109252349.54954955</v>
      </c>
      <c r="P62">
        <v>116669720.72072072</v>
      </c>
      <c r="Q62">
        <v>52293423.423423424</v>
      </c>
      <c r="R62">
        <v>63112972.972972974</v>
      </c>
      <c r="S62">
        <v>4819</v>
      </c>
      <c r="T62">
        <v>4805</v>
      </c>
    </row>
    <row r="63" spans="1:20" x14ac:dyDescent="0.35">
      <c r="A63" s="7" t="s">
        <v>139</v>
      </c>
      <c r="B63" s="12" t="s">
        <v>79</v>
      </c>
      <c r="C63">
        <v>219838239.16151342</v>
      </c>
      <c r="D63">
        <v>220894669.67035323</v>
      </c>
      <c r="E63">
        <v>5999099.0990990996</v>
      </c>
      <c r="F63">
        <v>5650900.900900905</v>
      </c>
      <c r="G63">
        <v>101</v>
      </c>
      <c r="H63">
        <v>97</v>
      </c>
      <c r="I63">
        <v>2</v>
      </c>
      <c r="K63">
        <v>121</v>
      </c>
      <c r="L63">
        <v>109</v>
      </c>
      <c r="M63">
        <v>32008108.108108103</v>
      </c>
      <c r="N63">
        <v>37380630.630630635</v>
      </c>
      <c r="O63">
        <v>95228768.018018022</v>
      </c>
      <c r="P63">
        <v>97151270.270270273</v>
      </c>
      <c r="Q63">
        <v>32058558.558558561</v>
      </c>
      <c r="R63">
        <v>34213333.333333336</v>
      </c>
      <c r="S63">
        <v>5476</v>
      </c>
      <c r="T63">
        <v>5102</v>
      </c>
    </row>
    <row r="64" spans="1:20" x14ac:dyDescent="0.35">
      <c r="A64" s="7" t="s">
        <v>140</v>
      </c>
      <c r="B64" s="12" t="s">
        <v>141</v>
      </c>
      <c r="C64">
        <v>303176012.80777681</v>
      </c>
      <c r="D64">
        <v>331838412.87096053</v>
      </c>
      <c r="E64">
        <v>113436036.03603603</v>
      </c>
      <c r="F64">
        <v>105762342.34234233</v>
      </c>
      <c r="G64">
        <v>25</v>
      </c>
      <c r="H64">
        <v>28</v>
      </c>
      <c r="K64">
        <v>26</v>
      </c>
      <c r="L64">
        <v>33</v>
      </c>
      <c r="M64">
        <v>33260180.180180177</v>
      </c>
      <c r="N64">
        <v>30689639.639639638</v>
      </c>
      <c r="O64">
        <v>54019855.855855852</v>
      </c>
      <c r="P64">
        <v>59409868.468468472</v>
      </c>
      <c r="Q64">
        <v>26715945.945945948</v>
      </c>
      <c r="R64">
        <v>25748468.468468469</v>
      </c>
      <c r="S64">
        <v>4625</v>
      </c>
      <c r="T64">
        <v>5568</v>
      </c>
    </row>
    <row r="65" spans="1:20" x14ac:dyDescent="0.35">
      <c r="A65" s="7" t="s">
        <v>142</v>
      </c>
      <c r="B65" s="12" t="s">
        <v>63</v>
      </c>
      <c r="C65">
        <v>200998528.90888259</v>
      </c>
      <c r="D65">
        <v>210663853.32191059</v>
      </c>
      <c r="E65">
        <v>3450335.1351351361</v>
      </c>
      <c r="F65">
        <v>9328374.7747747768</v>
      </c>
      <c r="G65">
        <v>95</v>
      </c>
      <c r="H65">
        <v>28</v>
      </c>
      <c r="I65">
        <v>4</v>
      </c>
      <c r="K65">
        <v>114</v>
      </c>
      <c r="L65">
        <v>45</v>
      </c>
      <c r="M65">
        <v>109580803.6036036</v>
      </c>
      <c r="N65">
        <v>236586046.84684685</v>
      </c>
      <c r="O65">
        <v>44434990.990990989</v>
      </c>
      <c r="P65">
        <v>48688936.936936937</v>
      </c>
      <c r="Q65">
        <v>111782522.52252252</v>
      </c>
      <c r="R65">
        <v>240718828.82882884</v>
      </c>
      <c r="S65">
        <v>4067</v>
      </c>
      <c r="T65">
        <v>4285</v>
      </c>
    </row>
    <row r="66" spans="1:20" x14ac:dyDescent="0.35">
      <c r="A66" s="7" t="s">
        <v>143</v>
      </c>
      <c r="B66" s="12" t="s">
        <v>144</v>
      </c>
      <c r="C66">
        <v>2027930.7346241251</v>
      </c>
      <c r="D66">
        <v>2251176.0300589111</v>
      </c>
      <c r="G66">
        <v>1</v>
      </c>
      <c r="K66">
        <v>1</v>
      </c>
      <c r="O66">
        <v>164504.50450450499</v>
      </c>
      <c r="P66">
        <v>273693.69369369402</v>
      </c>
      <c r="S66">
        <v>176</v>
      </c>
      <c r="T66">
        <v>129</v>
      </c>
    </row>
    <row r="67" spans="1:20" x14ac:dyDescent="0.35">
      <c r="A67" s="7" t="s">
        <v>145</v>
      </c>
      <c r="B67" s="12" t="s">
        <v>141</v>
      </c>
      <c r="C67">
        <v>429472889.46736377</v>
      </c>
      <c r="D67">
        <v>432708785.24397343</v>
      </c>
      <c r="E67">
        <v>3111261.2612612629</v>
      </c>
      <c r="F67">
        <v>3378378.378378382</v>
      </c>
      <c r="G67">
        <v>102</v>
      </c>
      <c r="H67">
        <v>50</v>
      </c>
      <c r="K67">
        <v>120</v>
      </c>
      <c r="L67">
        <v>61</v>
      </c>
      <c r="M67">
        <v>48181441.441441439</v>
      </c>
      <c r="N67">
        <v>56277927.927927926</v>
      </c>
      <c r="O67">
        <v>80671054.054054052</v>
      </c>
      <c r="P67">
        <v>86901702.702702701</v>
      </c>
      <c r="Q67">
        <v>46560090.090090089</v>
      </c>
      <c r="R67">
        <v>55565945.945945941</v>
      </c>
      <c r="S67">
        <v>7735</v>
      </c>
      <c r="T67">
        <v>7621</v>
      </c>
    </row>
    <row r="68" spans="1:20" x14ac:dyDescent="0.35">
      <c r="A68" s="7" t="s">
        <v>146</v>
      </c>
      <c r="B68" s="12" t="s">
        <v>79</v>
      </c>
      <c r="C68">
        <v>307009533.55213273</v>
      </c>
      <c r="D68">
        <v>308699588.30212593</v>
      </c>
      <c r="E68">
        <v>4372072.0720720729</v>
      </c>
      <c r="F68">
        <v>4139639.6396396449</v>
      </c>
      <c r="G68">
        <v>95</v>
      </c>
      <c r="H68">
        <v>76</v>
      </c>
      <c r="K68">
        <v>109</v>
      </c>
      <c r="L68">
        <v>86</v>
      </c>
      <c r="M68">
        <v>32339639.639639635</v>
      </c>
      <c r="N68">
        <v>34400900.9009009</v>
      </c>
      <c r="O68">
        <v>87420333.333333328</v>
      </c>
      <c r="P68">
        <v>89010574.774774775</v>
      </c>
      <c r="Q68">
        <v>33203423.423423421</v>
      </c>
      <c r="R68">
        <v>32753333.333333336</v>
      </c>
      <c r="S68">
        <v>6459</v>
      </c>
      <c r="T68">
        <v>6483</v>
      </c>
    </row>
    <row r="69" spans="1:20" x14ac:dyDescent="0.35">
      <c r="A69" s="7" t="s">
        <v>147</v>
      </c>
      <c r="B69" s="12" t="s">
        <v>148</v>
      </c>
      <c r="C69">
        <v>202323392.74438781</v>
      </c>
      <c r="D69">
        <v>198118112.07215145</v>
      </c>
      <c r="E69">
        <v>4275675.6756756781</v>
      </c>
      <c r="F69">
        <v>4534234.2342342371</v>
      </c>
      <c r="G69">
        <v>40</v>
      </c>
      <c r="H69">
        <v>28</v>
      </c>
      <c r="K69">
        <v>42</v>
      </c>
      <c r="L69">
        <v>30</v>
      </c>
      <c r="M69">
        <v>66451885.585585587</v>
      </c>
      <c r="N69">
        <v>78178378.378378391</v>
      </c>
      <c r="O69">
        <v>64989135.135135137</v>
      </c>
      <c r="P69">
        <v>64640809.009009011</v>
      </c>
      <c r="Q69">
        <v>65814864.864864863</v>
      </c>
      <c r="R69">
        <v>77423153.153153151</v>
      </c>
      <c r="S69">
        <v>3959</v>
      </c>
      <c r="T69">
        <v>3721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22.077324659999999</v>
      </c>
    </row>
    <row r="71" spans="1:20" x14ac:dyDescent="0.35">
      <c r="A71" s="7" t="s">
        <v>150</v>
      </c>
      <c r="B71" s="12" t="s">
        <v>51</v>
      </c>
      <c r="C71">
        <v>179307114.23200339</v>
      </c>
      <c r="D71">
        <v>179652214.98844978</v>
      </c>
      <c r="E71">
        <v>785585.58558558603</v>
      </c>
      <c r="F71">
        <v>1024324.3243243271</v>
      </c>
      <c r="G71">
        <v>58</v>
      </c>
      <c r="H71">
        <v>24</v>
      </c>
      <c r="K71">
        <v>59</v>
      </c>
      <c r="L71">
        <v>28</v>
      </c>
      <c r="M71">
        <v>11454504.504504504</v>
      </c>
      <c r="N71">
        <v>16083243.243243244</v>
      </c>
      <c r="O71">
        <v>80074279.279279277</v>
      </c>
      <c r="P71">
        <v>82778783.783783779</v>
      </c>
      <c r="Q71">
        <v>11409639.639639638</v>
      </c>
      <c r="R71">
        <v>15143603.603603603</v>
      </c>
      <c r="S71">
        <v>3552</v>
      </c>
      <c r="T71">
        <v>3251</v>
      </c>
    </row>
    <row r="72" spans="1:20" x14ac:dyDescent="0.35">
      <c r="A72" s="7" t="s">
        <v>151</v>
      </c>
      <c r="B72" s="12" t="s">
        <v>152</v>
      </c>
      <c r="C72">
        <v>54373028.703228831</v>
      </c>
      <c r="D72">
        <v>51154211.885208175</v>
      </c>
      <c r="E72">
        <v>631567356.75675678</v>
      </c>
      <c r="F72">
        <v>522445887.38738739</v>
      </c>
      <c r="G72">
        <v>7</v>
      </c>
      <c r="H72">
        <v>5</v>
      </c>
      <c r="K72">
        <v>8</v>
      </c>
      <c r="L72">
        <v>5</v>
      </c>
      <c r="M72">
        <v>108425450.45045045</v>
      </c>
      <c r="N72">
        <v>67911711.711711705</v>
      </c>
      <c r="O72">
        <v>15215126.126126125</v>
      </c>
      <c r="P72">
        <v>14385306.306306306</v>
      </c>
      <c r="Q72">
        <v>25477927.927927926</v>
      </c>
      <c r="R72">
        <v>32268738.738738742</v>
      </c>
      <c r="S72">
        <v>799</v>
      </c>
      <c r="T72">
        <v>663</v>
      </c>
    </row>
    <row r="73" spans="1:20" x14ac:dyDescent="0.35">
      <c r="A73" s="7" t="s">
        <v>153</v>
      </c>
      <c r="B73" s="12" t="s">
        <v>152</v>
      </c>
      <c r="C73">
        <v>531904576.0405094</v>
      </c>
      <c r="D73">
        <v>517635131.28079307</v>
      </c>
      <c r="E73">
        <v>8790765.7657657601</v>
      </c>
      <c r="F73">
        <v>5056787.3873873968</v>
      </c>
      <c r="G73">
        <v>292</v>
      </c>
      <c r="H73">
        <v>149</v>
      </c>
      <c r="I73">
        <v>2</v>
      </c>
      <c r="K73">
        <v>302</v>
      </c>
      <c r="L73">
        <v>163</v>
      </c>
      <c r="M73">
        <v>349227099.0990991</v>
      </c>
      <c r="N73">
        <v>379449580.18018013</v>
      </c>
      <c r="O73">
        <v>190930981.98198199</v>
      </c>
      <c r="P73">
        <v>188664045.04504505</v>
      </c>
      <c r="Q73">
        <v>289178908.1081081</v>
      </c>
      <c r="R73">
        <v>295279953.15315318</v>
      </c>
      <c r="S73">
        <v>8418</v>
      </c>
      <c r="T73">
        <v>8121</v>
      </c>
    </row>
    <row r="74" spans="1:20" x14ac:dyDescent="0.35">
      <c r="A74" s="7" t="s">
        <v>154</v>
      </c>
      <c r="B74" s="12" t="s">
        <v>155</v>
      </c>
      <c r="C74">
        <v>452392697.96034819</v>
      </c>
      <c r="D74">
        <v>436710543.77236426</v>
      </c>
      <c r="E74">
        <v>243807802.70270273</v>
      </c>
      <c r="F74">
        <v>241087725.22522521</v>
      </c>
      <c r="G74">
        <v>66</v>
      </c>
      <c r="H74">
        <v>36</v>
      </c>
      <c r="K74">
        <v>74</v>
      </c>
      <c r="L74">
        <v>48</v>
      </c>
      <c r="M74">
        <v>87390540.540540546</v>
      </c>
      <c r="N74">
        <v>109645495.49549548</v>
      </c>
      <c r="O74">
        <v>188995585.58558559</v>
      </c>
      <c r="P74">
        <v>196104000</v>
      </c>
      <c r="Q74">
        <v>55098738.738738738</v>
      </c>
      <c r="R74">
        <v>86708018.018018022</v>
      </c>
      <c r="S74">
        <v>7067</v>
      </c>
      <c r="T74">
        <v>7033</v>
      </c>
    </row>
    <row r="75" spans="1:20" x14ac:dyDescent="0.35">
      <c r="A75" s="7" t="s">
        <v>156</v>
      </c>
      <c r="B75" s="12" t="s">
        <v>155</v>
      </c>
      <c r="C75">
        <v>45854752.410271361</v>
      </c>
      <c r="D75">
        <v>52890776.074136235</v>
      </c>
      <c r="E75">
        <v>244144.144144144</v>
      </c>
      <c r="F75">
        <v>1184684.684684685</v>
      </c>
      <c r="G75">
        <v>11</v>
      </c>
      <c r="H75">
        <v>8</v>
      </c>
      <c r="K75">
        <v>12</v>
      </c>
      <c r="L75">
        <v>8</v>
      </c>
      <c r="M75">
        <v>5353153.1531531531</v>
      </c>
      <c r="N75">
        <v>23759459.459459461</v>
      </c>
      <c r="O75">
        <v>12299000</v>
      </c>
      <c r="P75">
        <v>16352639.63963964</v>
      </c>
      <c r="Q75">
        <v>4642522.5225225221</v>
      </c>
      <c r="R75">
        <v>17724954.954954956</v>
      </c>
      <c r="S75">
        <v>1907</v>
      </c>
      <c r="T75">
        <v>1985</v>
      </c>
    </row>
    <row r="76" spans="1:20" x14ac:dyDescent="0.35">
      <c r="A76" s="7" t="s">
        <v>157</v>
      </c>
      <c r="B76" s="12" t="s">
        <v>155</v>
      </c>
      <c r="C76">
        <v>516051451.82578146</v>
      </c>
      <c r="D76">
        <v>500934535.04828411</v>
      </c>
      <c r="E76">
        <v>4959684.6846846864</v>
      </c>
      <c r="F76">
        <v>12271171.171171175</v>
      </c>
      <c r="G76">
        <v>41</v>
      </c>
      <c r="H76">
        <v>41</v>
      </c>
      <c r="K76">
        <v>134</v>
      </c>
      <c r="L76">
        <v>50</v>
      </c>
      <c r="M76">
        <v>97475225.22522521</v>
      </c>
      <c r="N76">
        <v>163165405.4054054</v>
      </c>
      <c r="O76">
        <v>200300648.64864865</v>
      </c>
      <c r="P76">
        <v>212482495.4954955</v>
      </c>
      <c r="Q76">
        <v>112257657.65765767</v>
      </c>
      <c r="R76">
        <v>136225405.4054054</v>
      </c>
      <c r="S76">
        <v>8902</v>
      </c>
      <c r="T76">
        <v>7897</v>
      </c>
    </row>
    <row r="77" spans="1:20" x14ac:dyDescent="0.35">
      <c r="A77" s="7" t="s">
        <v>158</v>
      </c>
      <c r="B77" s="12" t="s">
        <v>135</v>
      </c>
      <c r="C77">
        <v>240658884.31886604</v>
      </c>
      <c r="D77">
        <v>230569350.81131756</v>
      </c>
      <c r="E77">
        <v>1120720.720720724</v>
      </c>
      <c r="F77">
        <v>2988288.2882882911</v>
      </c>
      <c r="G77">
        <v>45</v>
      </c>
      <c r="H77">
        <v>54</v>
      </c>
      <c r="K77">
        <v>48</v>
      </c>
      <c r="L77">
        <v>99</v>
      </c>
      <c r="M77">
        <v>29404512.612612613</v>
      </c>
      <c r="N77">
        <v>25591891.891891893</v>
      </c>
      <c r="O77">
        <v>23705090.090090089</v>
      </c>
      <c r="P77">
        <v>25219324.324324325</v>
      </c>
      <c r="Q77">
        <v>16121081.081081079</v>
      </c>
      <c r="R77">
        <v>16364954.954954956</v>
      </c>
      <c r="S77">
        <v>4639</v>
      </c>
      <c r="T77">
        <v>4545</v>
      </c>
    </row>
    <row r="78" spans="1:20" x14ac:dyDescent="0.35">
      <c r="A78" s="7" t="s">
        <v>1</v>
      </c>
      <c r="B78" s="12" t="s">
        <v>159</v>
      </c>
      <c r="C78">
        <v>433511810.77037978</v>
      </c>
      <c r="D78">
        <v>432572086.19505638</v>
      </c>
      <c r="E78">
        <v>3298198.1981982011</v>
      </c>
      <c r="F78">
        <v>7139639.6396396412</v>
      </c>
      <c r="G78">
        <v>159</v>
      </c>
      <c r="H78">
        <v>79</v>
      </c>
      <c r="I78">
        <v>1</v>
      </c>
      <c r="K78">
        <v>258</v>
      </c>
      <c r="L78">
        <v>329</v>
      </c>
      <c r="M78">
        <v>51921531.531531535</v>
      </c>
      <c r="N78">
        <v>74088513.51351352</v>
      </c>
      <c r="O78">
        <v>205927819.81981981</v>
      </c>
      <c r="P78">
        <v>210293234.23423424</v>
      </c>
      <c r="Q78">
        <v>48349459.459459461</v>
      </c>
      <c r="R78">
        <v>70719684.684684694</v>
      </c>
      <c r="S78">
        <v>8889</v>
      </c>
      <c r="T78">
        <v>8007</v>
      </c>
    </row>
    <row r="79" spans="1:20" x14ac:dyDescent="0.35">
      <c r="A79" s="7" t="s">
        <v>160</v>
      </c>
      <c r="B79" s="12" t="s">
        <v>122</v>
      </c>
      <c r="C79">
        <v>15922225.217500821</v>
      </c>
      <c r="D79">
        <v>13367598.046838356</v>
      </c>
      <c r="G79">
        <v>8</v>
      </c>
      <c r="H79">
        <v>9</v>
      </c>
      <c r="K79">
        <v>8</v>
      </c>
      <c r="L79">
        <v>11</v>
      </c>
      <c r="O79">
        <v>1491036.036036036</v>
      </c>
      <c r="P79">
        <v>1762252.2522522521</v>
      </c>
      <c r="Q79">
        <v>29729.729729729999</v>
      </c>
      <c r="R79">
        <v>116216.21621621599</v>
      </c>
      <c r="S79">
        <v>587</v>
      </c>
      <c r="T79">
        <v>475</v>
      </c>
    </row>
    <row r="80" spans="1:20" x14ac:dyDescent="0.35">
      <c r="A80" s="7" t="s">
        <v>161</v>
      </c>
      <c r="B80" s="12" t="s">
        <v>162</v>
      </c>
      <c r="C80">
        <v>229696112.3415072</v>
      </c>
      <c r="D80">
        <v>240812480.89370868</v>
      </c>
      <c r="E80">
        <v>6254054.054054061</v>
      </c>
      <c r="F80">
        <v>4579729.7297297334</v>
      </c>
      <c r="G80">
        <v>132</v>
      </c>
      <c r="H80">
        <v>300</v>
      </c>
      <c r="K80">
        <v>226</v>
      </c>
      <c r="L80">
        <v>492</v>
      </c>
      <c r="M80">
        <v>80238134.234234229</v>
      </c>
      <c r="N80">
        <v>79744369.369369373</v>
      </c>
      <c r="O80">
        <v>100825225.22522523</v>
      </c>
      <c r="P80">
        <v>108020666.66666667</v>
      </c>
      <c r="Q80">
        <v>80351981.981981978</v>
      </c>
      <c r="R80">
        <v>79968333.333333343</v>
      </c>
      <c r="S80">
        <v>10749</v>
      </c>
      <c r="T80">
        <v>6477</v>
      </c>
    </row>
    <row r="81" spans="1:20" x14ac:dyDescent="0.35">
      <c r="A81" s="7" t="s">
        <v>163</v>
      </c>
      <c r="B81" s="12" t="s">
        <v>77</v>
      </c>
      <c r="C81">
        <v>102666857.04226434</v>
      </c>
      <c r="D81">
        <v>105276115.89447045</v>
      </c>
      <c r="E81">
        <v>367567.56756756798</v>
      </c>
      <c r="F81">
        <v>216216.21621621601</v>
      </c>
      <c r="G81">
        <v>46</v>
      </c>
      <c r="H81">
        <v>15</v>
      </c>
      <c r="K81">
        <v>49</v>
      </c>
      <c r="L81">
        <v>15</v>
      </c>
      <c r="M81">
        <v>1691891.8918918921</v>
      </c>
      <c r="N81">
        <v>1459459.4594594589</v>
      </c>
      <c r="O81">
        <v>5654756.7567567574</v>
      </c>
      <c r="P81">
        <v>5609801.8018018017</v>
      </c>
      <c r="Q81">
        <v>1483513.5135135141</v>
      </c>
      <c r="R81">
        <v>1450270.2702702701</v>
      </c>
      <c r="S81">
        <v>972</v>
      </c>
      <c r="T81">
        <v>963</v>
      </c>
    </row>
    <row r="82" spans="1:20" x14ac:dyDescent="0.35">
      <c r="A82" s="7" t="s">
        <v>164</v>
      </c>
      <c r="B82" s="12" t="s">
        <v>53</v>
      </c>
      <c r="C82">
        <v>79751569.244662419</v>
      </c>
      <c r="D82">
        <v>75461112.960543871</v>
      </c>
      <c r="E82">
        <v>1254954.954954956</v>
      </c>
      <c r="F82">
        <v>1506306.3063063079</v>
      </c>
      <c r="G82">
        <v>23</v>
      </c>
      <c r="H82">
        <v>7</v>
      </c>
      <c r="K82">
        <v>25</v>
      </c>
      <c r="L82">
        <v>9</v>
      </c>
      <c r="M82">
        <v>1507207.207207208</v>
      </c>
      <c r="N82">
        <v>3400000.0000000009</v>
      </c>
      <c r="O82">
        <v>38924099.0990991</v>
      </c>
      <c r="P82">
        <v>35342189.189189188</v>
      </c>
      <c r="Q82">
        <v>1642972.9729729739</v>
      </c>
      <c r="R82">
        <v>3196396.3963963962</v>
      </c>
      <c r="S82">
        <v>1742</v>
      </c>
      <c r="T82">
        <v>1370</v>
      </c>
    </row>
    <row r="83" spans="1:20" x14ac:dyDescent="0.35">
      <c r="A83" s="7" t="s">
        <v>165</v>
      </c>
      <c r="B83" s="12" t="s">
        <v>88</v>
      </c>
      <c r="C83">
        <v>42017992.533509113</v>
      </c>
      <c r="D83">
        <v>55448844.616611943</v>
      </c>
      <c r="E83">
        <v>422522.52252252301</v>
      </c>
      <c r="F83">
        <v>65765.765765766002</v>
      </c>
      <c r="G83">
        <v>13</v>
      </c>
      <c r="H83">
        <v>17</v>
      </c>
      <c r="K83">
        <v>14</v>
      </c>
      <c r="L83">
        <v>17</v>
      </c>
      <c r="M83">
        <v>3480180.1801801799</v>
      </c>
      <c r="N83">
        <v>1971171.1711711721</v>
      </c>
      <c r="O83">
        <v>4179549.5495495498</v>
      </c>
      <c r="P83">
        <v>8324684.6846846854</v>
      </c>
      <c r="Q83">
        <v>3067657.6576576582</v>
      </c>
      <c r="R83">
        <v>2046126.1261261271</v>
      </c>
      <c r="S83">
        <v>1201</v>
      </c>
      <c r="T83">
        <v>1225</v>
      </c>
    </row>
    <row r="84" spans="1:20" x14ac:dyDescent="0.35">
      <c r="A84" s="7" t="s">
        <v>166</v>
      </c>
      <c r="B84" s="12" t="s">
        <v>144</v>
      </c>
      <c r="C84">
        <v>13754925.050595175</v>
      </c>
      <c r="D84">
        <v>13407791.694766823</v>
      </c>
      <c r="E84">
        <v>130630.630630631</v>
      </c>
      <c r="F84">
        <v>297297.29729729798</v>
      </c>
      <c r="G84">
        <v>10</v>
      </c>
      <c r="K84">
        <v>10</v>
      </c>
      <c r="M84">
        <v>1635135.1351351349</v>
      </c>
      <c r="N84">
        <v>747747.74774774804</v>
      </c>
      <c r="O84">
        <v>1532720.7207207209</v>
      </c>
      <c r="P84">
        <v>1479126.1261261259</v>
      </c>
      <c r="Q84">
        <v>875855.85585585597</v>
      </c>
      <c r="R84">
        <v>962972.97297297302</v>
      </c>
      <c r="S84">
        <v>362</v>
      </c>
      <c r="T84">
        <v>343</v>
      </c>
    </row>
    <row r="85" spans="1:20" x14ac:dyDescent="0.35">
      <c r="A85" s="7" t="s">
        <v>167</v>
      </c>
      <c r="B85" s="12" t="s">
        <v>168</v>
      </c>
      <c r="C85">
        <v>55480001.806738608</v>
      </c>
      <c r="D85">
        <v>51558687.867306843</v>
      </c>
      <c r="E85">
        <v>754054.05405405397</v>
      </c>
      <c r="F85">
        <v>2478378.3783783782</v>
      </c>
      <c r="G85">
        <v>15</v>
      </c>
      <c r="H85">
        <v>10</v>
      </c>
      <c r="K85">
        <v>17</v>
      </c>
      <c r="L85">
        <v>12</v>
      </c>
      <c r="M85">
        <v>6121171.1711711716</v>
      </c>
      <c r="N85">
        <v>8994594.594594596</v>
      </c>
      <c r="O85">
        <v>26669421.621621624</v>
      </c>
      <c r="P85">
        <v>27596981.981981985</v>
      </c>
      <c r="Q85">
        <v>4839639.6396396384</v>
      </c>
      <c r="R85">
        <v>4272612.6126126125</v>
      </c>
      <c r="S85">
        <v>1452</v>
      </c>
      <c r="T85">
        <v>1415</v>
      </c>
    </row>
    <row r="86" spans="1:20" x14ac:dyDescent="0.35">
      <c r="A86" s="7" t="s">
        <v>169</v>
      </c>
      <c r="B86" s="12" t="s">
        <v>170</v>
      </c>
      <c r="C86">
        <v>260989071.44369483</v>
      </c>
      <c r="D86">
        <v>274563992.75661963</v>
      </c>
      <c r="E86">
        <v>1763063.0630630651</v>
      </c>
      <c r="F86">
        <v>4178378.378378381</v>
      </c>
      <c r="G86">
        <v>35</v>
      </c>
      <c r="H86">
        <v>42</v>
      </c>
      <c r="K86">
        <v>40</v>
      </c>
      <c r="L86">
        <v>51</v>
      </c>
      <c r="M86">
        <v>40429979.279279277</v>
      </c>
      <c r="N86">
        <v>60057657.657657661</v>
      </c>
      <c r="O86">
        <v>80696659.909909904</v>
      </c>
      <c r="P86">
        <v>88412630.630630627</v>
      </c>
      <c r="Q86">
        <v>41416576.576576576</v>
      </c>
      <c r="R86">
        <v>56524864.864864863</v>
      </c>
      <c r="S86">
        <v>7477</v>
      </c>
      <c r="T86">
        <v>6538</v>
      </c>
    </row>
    <row r="87" spans="1:20" x14ac:dyDescent="0.35">
      <c r="A87" s="7" t="s">
        <v>171</v>
      </c>
      <c r="B87" s="12" t="s">
        <v>55</v>
      </c>
      <c r="C87">
        <v>38534511.212141909</v>
      </c>
      <c r="D87">
        <v>46800931.838536292</v>
      </c>
      <c r="E87">
        <v>381981.98198198201</v>
      </c>
      <c r="F87">
        <v>156756.75675675701</v>
      </c>
      <c r="G87">
        <v>3</v>
      </c>
      <c r="H87">
        <v>4</v>
      </c>
      <c r="K87">
        <v>3</v>
      </c>
      <c r="L87">
        <v>5</v>
      </c>
      <c r="M87">
        <v>4393243.2432432426</v>
      </c>
      <c r="N87">
        <v>5904504.5045045055</v>
      </c>
      <c r="O87">
        <v>6274369.369369369</v>
      </c>
      <c r="P87">
        <v>7615810.8108108109</v>
      </c>
      <c r="Q87">
        <v>3750720.72072072</v>
      </c>
      <c r="R87">
        <v>5697657.6576576577</v>
      </c>
      <c r="S87">
        <v>778</v>
      </c>
      <c r="T87">
        <v>735</v>
      </c>
    </row>
    <row r="88" spans="1:20" x14ac:dyDescent="0.35">
      <c r="A88" s="7" t="s">
        <v>172</v>
      </c>
      <c r="B88" s="12" t="s">
        <v>61</v>
      </c>
      <c r="C88">
        <v>815718672.84114027</v>
      </c>
      <c r="D88">
        <v>798724997.65485537</v>
      </c>
      <c r="E88">
        <v>10152927.927927932</v>
      </c>
      <c r="F88">
        <v>6578378.3783783857</v>
      </c>
      <c r="G88">
        <v>217</v>
      </c>
      <c r="H88">
        <v>63</v>
      </c>
      <c r="K88">
        <v>251</v>
      </c>
      <c r="L88">
        <v>82</v>
      </c>
      <c r="M88">
        <v>40464864.864864863</v>
      </c>
      <c r="N88">
        <v>44172972.972972974</v>
      </c>
      <c r="O88">
        <v>301675954.95495492</v>
      </c>
      <c r="P88">
        <v>292047176.57657659</v>
      </c>
      <c r="Q88">
        <v>39392432.432432435</v>
      </c>
      <c r="R88">
        <v>39793963.963963971</v>
      </c>
      <c r="S88">
        <v>12894</v>
      </c>
      <c r="T88">
        <v>12782</v>
      </c>
    </row>
    <row r="89" spans="1:20" x14ac:dyDescent="0.35">
      <c r="A89" s="7" t="s">
        <v>173</v>
      </c>
      <c r="B89" s="12" t="s">
        <v>122</v>
      </c>
      <c r="C89">
        <v>336438257.33029515</v>
      </c>
      <c r="D89">
        <v>311741481.5496636</v>
      </c>
      <c r="E89">
        <v>2552252.2522522518</v>
      </c>
      <c r="F89">
        <v>1427927.927927936</v>
      </c>
      <c r="G89">
        <v>151</v>
      </c>
      <c r="H89">
        <v>124</v>
      </c>
      <c r="K89">
        <v>162</v>
      </c>
      <c r="L89">
        <v>147</v>
      </c>
      <c r="M89">
        <v>23349549.54954955</v>
      </c>
      <c r="N89">
        <v>23770270.270270273</v>
      </c>
      <c r="O89">
        <v>46054763.513513513</v>
      </c>
      <c r="P89">
        <v>51768702.702702701</v>
      </c>
      <c r="Q89">
        <v>15875495.495495496</v>
      </c>
      <c r="R89">
        <v>15660090.090090089</v>
      </c>
      <c r="S89">
        <v>5892</v>
      </c>
      <c r="T89">
        <v>5742</v>
      </c>
    </row>
    <row r="90" spans="1:20" x14ac:dyDescent="0.35">
      <c r="A90" s="7" t="s">
        <v>174</v>
      </c>
      <c r="B90" s="12" t="s">
        <v>175</v>
      </c>
      <c r="C90">
        <v>238264521.17001736</v>
      </c>
      <c r="D90">
        <v>249815745.80543399</v>
      </c>
      <c r="E90">
        <v>6054729.7297297297</v>
      </c>
      <c r="F90">
        <v>4314414.4144144179</v>
      </c>
      <c r="G90">
        <v>51</v>
      </c>
      <c r="H90">
        <v>45</v>
      </c>
      <c r="K90">
        <v>68</v>
      </c>
      <c r="L90">
        <v>66</v>
      </c>
      <c r="M90">
        <v>39311261.261261262</v>
      </c>
      <c r="N90">
        <v>38594144.144144148</v>
      </c>
      <c r="O90">
        <v>30941531.531531531</v>
      </c>
      <c r="P90">
        <v>33143495.495495494</v>
      </c>
      <c r="Q90">
        <v>36263243.243243247</v>
      </c>
      <c r="R90">
        <v>34067117.117117122</v>
      </c>
      <c r="S90">
        <v>5221</v>
      </c>
      <c r="T90">
        <v>4846</v>
      </c>
    </row>
    <row r="91" spans="1:20" x14ac:dyDescent="0.35">
      <c r="A91" s="7" t="s">
        <v>176</v>
      </c>
      <c r="B91" s="12" t="s">
        <v>175</v>
      </c>
      <c r="C91">
        <v>373385929.47648793</v>
      </c>
      <c r="D91">
        <v>387106388.4101668</v>
      </c>
      <c r="E91">
        <v>2970045.0450450489</v>
      </c>
      <c r="F91">
        <v>4034234.2342342432</v>
      </c>
      <c r="G91">
        <v>141</v>
      </c>
      <c r="H91">
        <v>180</v>
      </c>
      <c r="I91">
        <v>1</v>
      </c>
      <c r="K91">
        <v>169</v>
      </c>
      <c r="L91">
        <v>222</v>
      </c>
      <c r="M91">
        <v>52718018.018018015</v>
      </c>
      <c r="N91">
        <v>55624324.324324325</v>
      </c>
      <c r="O91">
        <v>62532504.504504502</v>
      </c>
      <c r="P91">
        <v>63664936.936936937</v>
      </c>
      <c r="Q91">
        <v>46494007.20720721</v>
      </c>
      <c r="R91">
        <v>42238198.198198199</v>
      </c>
      <c r="S91">
        <v>10263</v>
      </c>
      <c r="T91">
        <v>8607</v>
      </c>
    </row>
    <row r="92" spans="1:20" x14ac:dyDescent="0.35">
      <c r="A92" s="7" t="s">
        <v>177</v>
      </c>
      <c r="B92" s="12" t="s">
        <v>175</v>
      </c>
      <c r="C92">
        <v>510169843.32225275</v>
      </c>
      <c r="D92">
        <v>515954933.58849388</v>
      </c>
      <c r="E92">
        <v>137971815.31531534</v>
      </c>
      <c r="F92">
        <v>139158113.51351351</v>
      </c>
      <c r="G92">
        <v>238</v>
      </c>
      <c r="H92">
        <v>250</v>
      </c>
      <c r="K92">
        <v>282</v>
      </c>
      <c r="L92">
        <v>320</v>
      </c>
      <c r="M92">
        <v>71041891.891891897</v>
      </c>
      <c r="N92">
        <v>72449689.189189196</v>
      </c>
      <c r="O92">
        <v>77195390.090090096</v>
      </c>
      <c r="P92">
        <v>82186300.9009009</v>
      </c>
      <c r="Q92">
        <v>44054504.504504502</v>
      </c>
      <c r="R92">
        <v>52424684.684684686</v>
      </c>
      <c r="S92">
        <v>14700</v>
      </c>
      <c r="T92">
        <v>12013</v>
      </c>
    </row>
    <row r="93" spans="1:20" x14ac:dyDescent="0.35">
      <c r="A93" s="7" t="s">
        <v>178</v>
      </c>
      <c r="B93" s="12" t="s">
        <v>179</v>
      </c>
      <c r="C93">
        <v>174635305.39642134</v>
      </c>
      <c r="D93">
        <v>157983646.4947173</v>
      </c>
      <c r="E93">
        <v>508108.10810810799</v>
      </c>
      <c r="F93">
        <v>2254954.9549549548</v>
      </c>
      <c r="G93">
        <v>32</v>
      </c>
      <c r="H93">
        <v>36</v>
      </c>
      <c r="K93">
        <v>38</v>
      </c>
      <c r="L93">
        <v>95</v>
      </c>
      <c r="M93">
        <v>9901666.6666666679</v>
      </c>
      <c r="N93">
        <v>11268018.018018017</v>
      </c>
      <c r="O93">
        <v>69322511.711711705</v>
      </c>
      <c r="P93">
        <v>63376963.963963971</v>
      </c>
      <c r="Q93">
        <v>9519054.0540540535</v>
      </c>
      <c r="R93">
        <v>9285675.6756756753</v>
      </c>
      <c r="S93">
        <v>3794</v>
      </c>
      <c r="T93">
        <v>3472</v>
      </c>
    </row>
    <row r="94" spans="1:20" x14ac:dyDescent="0.35">
      <c r="A94" s="7" t="s">
        <v>180</v>
      </c>
      <c r="B94" s="12" t="s">
        <v>168</v>
      </c>
      <c r="C94">
        <v>204280759.28775373</v>
      </c>
      <c r="D94">
        <v>224445897.08901441</v>
      </c>
      <c r="E94">
        <v>2315090.0900900899</v>
      </c>
      <c r="F94">
        <v>7379729.7297297288</v>
      </c>
      <c r="G94">
        <v>28</v>
      </c>
      <c r="H94">
        <v>21</v>
      </c>
      <c r="K94">
        <v>36</v>
      </c>
      <c r="L94">
        <v>23</v>
      </c>
      <c r="M94">
        <v>5534234.2342342352</v>
      </c>
      <c r="N94">
        <v>22988288.288288288</v>
      </c>
      <c r="O94">
        <v>50916630.630630635</v>
      </c>
      <c r="P94">
        <v>70858360.360360354</v>
      </c>
      <c r="Q94">
        <v>3740090.0900900932</v>
      </c>
      <c r="R94">
        <v>17544234.234234236</v>
      </c>
      <c r="S94">
        <v>4614</v>
      </c>
      <c r="T94">
        <v>4375</v>
      </c>
    </row>
    <row r="95" spans="1:20" x14ac:dyDescent="0.35">
      <c r="A95" s="7" t="s">
        <v>181</v>
      </c>
      <c r="B95" s="12" t="s">
        <v>182</v>
      </c>
      <c r="C95">
        <v>163640505.20533299</v>
      </c>
      <c r="D95">
        <v>173193040.06048295</v>
      </c>
      <c r="E95">
        <v>65849549.54954955</v>
      </c>
      <c r="F95">
        <v>220610810.8108108</v>
      </c>
      <c r="G95">
        <v>21</v>
      </c>
      <c r="H95">
        <v>34</v>
      </c>
      <c r="K95">
        <v>25</v>
      </c>
      <c r="L95">
        <v>38</v>
      </c>
      <c r="M95">
        <v>10220540.540540537</v>
      </c>
      <c r="N95">
        <v>30063513.513513513</v>
      </c>
      <c r="O95">
        <v>40713245.495495498</v>
      </c>
      <c r="P95">
        <v>42098333.333333336</v>
      </c>
      <c r="Q95">
        <v>11024144.14414414</v>
      </c>
      <c r="R95">
        <v>29465135.135135133</v>
      </c>
      <c r="S95">
        <v>3209</v>
      </c>
      <c r="T95">
        <v>5258</v>
      </c>
    </row>
    <row r="96" spans="1:20" x14ac:dyDescent="0.35">
      <c r="A96" s="7" t="s">
        <v>664</v>
      </c>
      <c r="B96" s="12" t="s">
        <v>69</v>
      </c>
      <c r="T96">
        <v>1</v>
      </c>
    </row>
    <row r="97" spans="1:20" x14ac:dyDescent="0.35">
      <c r="A97" s="7" t="s">
        <v>183</v>
      </c>
      <c r="B97" s="12" t="s">
        <v>95</v>
      </c>
      <c r="C97">
        <v>158209180.45463166</v>
      </c>
      <c r="D97">
        <v>169458021.76546764</v>
      </c>
      <c r="E97">
        <v>54054.054054054002</v>
      </c>
      <c r="F97">
        <v>90090.090090090001</v>
      </c>
      <c r="G97">
        <v>46</v>
      </c>
      <c r="H97">
        <v>48</v>
      </c>
      <c r="K97">
        <v>54</v>
      </c>
      <c r="L97">
        <v>55</v>
      </c>
      <c r="M97">
        <v>4477477.4774774769</v>
      </c>
      <c r="N97">
        <v>1891891.8918918921</v>
      </c>
      <c r="O97">
        <v>16791297.297297295</v>
      </c>
      <c r="P97">
        <v>25156927.927927926</v>
      </c>
      <c r="Q97">
        <v>1819459.4594594589</v>
      </c>
      <c r="R97">
        <v>827027.02702702698</v>
      </c>
      <c r="S97">
        <v>3861</v>
      </c>
      <c r="T97">
        <v>3719</v>
      </c>
    </row>
    <row r="98" spans="1:20" x14ac:dyDescent="0.35">
      <c r="A98" s="7" t="s">
        <v>184</v>
      </c>
      <c r="B98" s="12" t="s">
        <v>95</v>
      </c>
      <c r="C98">
        <v>976435399.92070889</v>
      </c>
      <c r="D98">
        <v>1045781920.1498938</v>
      </c>
      <c r="E98">
        <v>1066928718.918919</v>
      </c>
      <c r="F98">
        <v>207227788.2882883</v>
      </c>
      <c r="G98">
        <v>197</v>
      </c>
      <c r="H98">
        <v>279</v>
      </c>
      <c r="K98">
        <v>235</v>
      </c>
      <c r="L98">
        <v>345</v>
      </c>
      <c r="M98">
        <v>66560360.360360354</v>
      </c>
      <c r="N98">
        <v>67337027.027027026</v>
      </c>
      <c r="O98">
        <v>119491923.87387387</v>
      </c>
      <c r="P98">
        <v>152731288.2882883</v>
      </c>
      <c r="Q98">
        <v>54591261.261261262</v>
      </c>
      <c r="R98">
        <v>52925135.135135137</v>
      </c>
      <c r="S98">
        <v>16592</v>
      </c>
      <c r="T98">
        <v>17576</v>
      </c>
    </row>
    <row r="99" spans="1:20" x14ac:dyDescent="0.35">
      <c r="A99" s="7" t="s">
        <v>185</v>
      </c>
      <c r="B99" s="12" t="s">
        <v>90</v>
      </c>
      <c r="C99">
        <v>88911285.207322165</v>
      </c>
      <c r="D99">
        <v>79634743.083941147</v>
      </c>
      <c r="E99">
        <v>1059234.2342342341</v>
      </c>
      <c r="F99">
        <v>2290990.9909909898</v>
      </c>
      <c r="G99">
        <v>18</v>
      </c>
      <c r="H99">
        <v>10</v>
      </c>
      <c r="K99">
        <v>18</v>
      </c>
      <c r="L99">
        <v>10</v>
      </c>
      <c r="M99">
        <v>4846306.3063063063</v>
      </c>
      <c r="N99">
        <v>5926126.1261261273</v>
      </c>
      <c r="O99">
        <v>30087909.909909911</v>
      </c>
      <c r="P99">
        <v>30424450.45045045</v>
      </c>
      <c r="Q99">
        <v>4512162.1621621633</v>
      </c>
      <c r="R99">
        <v>5622612.6126126125</v>
      </c>
      <c r="S99">
        <v>1710</v>
      </c>
      <c r="T99">
        <v>1680</v>
      </c>
    </row>
    <row r="100" spans="1:20" x14ac:dyDescent="0.35">
      <c r="A100" s="7" t="s">
        <v>186</v>
      </c>
      <c r="B100" s="12" t="s">
        <v>61</v>
      </c>
      <c r="C100">
        <v>53758365.888136126</v>
      </c>
      <c r="D100">
        <v>57340619.664784297</v>
      </c>
      <c r="E100">
        <v>264864.86486486701</v>
      </c>
      <c r="F100">
        <v>1141441.4414414419</v>
      </c>
      <c r="G100">
        <v>12</v>
      </c>
      <c r="H100">
        <v>7</v>
      </c>
      <c r="K100">
        <v>12</v>
      </c>
      <c r="L100">
        <v>9</v>
      </c>
      <c r="M100">
        <v>1751351.3513513531</v>
      </c>
      <c r="N100">
        <v>2826126.1261261269</v>
      </c>
      <c r="O100">
        <v>18587272.522522524</v>
      </c>
      <c r="P100">
        <v>20127963.963963963</v>
      </c>
      <c r="Q100">
        <v>1066666.666666667</v>
      </c>
      <c r="R100">
        <v>3563693.6936936928</v>
      </c>
      <c r="S100">
        <v>851</v>
      </c>
      <c r="T100">
        <v>825</v>
      </c>
    </row>
    <row r="101" spans="1:20" x14ac:dyDescent="0.35">
      <c r="A101" s="7" t="s">
        <v>187</v>
      </c>
      <c r="B101" s="12" t="s">
        <v>168</v>
      </c>
      <c r="C101">
        <v>132665480.68470666</v>
      </c>
      <c r="D101">
        <v>126981362.07311037</v>
      </c>
      <c r="E101">
        <v>1630405.4054054059</v>
      </c>
      <c r="F101">
        <v>4675675.6756756753</v>
      </c>
      <c r="G101">
        <v>5</v>
      </c>
      <c r="H101">
        <v>6</v>
      </c>
      <c r="K101">
        <v>5</v>
      </c>
      <c r="L101">
        <v>10</v>
      </c>
      <c r="M101">
        <v>1968468.4684684691</v>
      </c>
      <c r="N101">
        <v>8989189.1891891882</v>
      </c>
      <c r="O101">
        <v>35089306.306306303</v>
      </c>
      <c r="P101">
        <v>37904718.918918923</v>
      </c>
      <c r="Q101">
        <v>268828.82882882899</v>
      </c>
      <c r="R101">
        <v>6972432.4324324317</v>
      </c>
      <c r="S101">
        <v>2881</v>
      </c>
      <c r="T101">
        <v>2763</v>
      </c>
    </row>
    <row r="102" spans="1:20" x14ac:dyDescent="0.35">
      <c r="A102" s="7" t="s">
        <v>188</v>
      </c>
      <c r="B102" s="12" t="s">
        <v>168</v>
      </c>
      <c r="C102">
        <v>350129615.65007555</v>
      </c>
      <c r="D102">
        <v>376062937.44169474</v>
      </c>
      <c r="E102">
        <v>1312612.6126126151</v>
      </c>
      <c r="F102">
        <v>3772072.0720720692</v>
      </c>
      <c r="G102">
        <v>46</v>
      </c>
      <c r="H102">
        <v>19</v>
      </c>
      <c r="K102">
        <v>52</v>
      </c>
      <c r="L102">
        <v>23</v>
      </c>
      <c r="M102">
        <v>14511292.792792792</v>
      </c>
      <c r="N102">
        <v>24207207.207207207</v>
      </c>
      <c r="O102">
        <v>71790990.990990996</v>
      </c>
      <c r="P102">
        <v>89078565.765765756</v>
      </c>
      <c r="Q102">
        <v>11042612.612612613</v>
      </c>
      <c r="R102">
        <v>20127657.657657661</v>
      </c>
      <c r="S102">
        <v>6215</v>
      </c>
      <c r="T102">
        <v>5705</v>
      </c>
    </row>
    <row r="103" spans="1:20" x14ac:dyDescent="0.35">
      <c r="A103" s="7" t="s">
        <v>189</v>
      </c>
      <c r="B103" s="12" t="s">
        <v>190</v>
      </c>
      <c r="C103">
        <v>154707691.69871658</v>
      </c>
      <c r="D103">
        <v>160000580.74229309</v>
      </c>
      <c r="E103">
        <v>270270.27027027</v>
      </c>
      <c r="F103">
        <v>270270.27027027</v>
      </c>
      <c r="G103">
        <v>19</v>
      </c>
      <c r="H103">
        <v>36</v>
      </c>
      <c r="I103">
        <v>1</v>
      </c>
      <c r="K103">
        <v>19</v>
      </c>
      <c r="L103">
        <v>37</v>
      </c>
      <c r="M103">
        <v>2072072.072072072</v>
      </c>
      <c r="N103">
        <v>2657657.6576576582</v>
      </c>
      <c r="O103">
        <v>11255936.936936935</v>
      </c>
      <c r="P103">
        <v>13683747.747747747</v>
      </c>
      <c r="Q103">
        <v>2043243.2432432431</v>
      </c>
      <c r="R103">
        <v>2100720.7207207209</v>
      </c>
      <c r="S103">
        <v>1767</v>
      </c>
      <c r="T103">
        <v>1681</v>
      </c>
    </row>
    <row r="104" spans="1:20" x14ac:dyDescent="0.35">
      <c r="A104" s="7" t="s">
        <v>191</v>
      </c>
      <c r="B104" s="12" t="s">
        <v>135</v>
      </c>
      <c r="C104">
        <v>37166762.030654348</v>
      </c>
      <c r="D104">
        <v>34352087.570206583</v>
      </c>
      <c r="E104">
        <v>13513.513513514001</v>
      </c>
      <c r="G104">
        <v>21</v>
      </c>
      <c r="H104">
        <v>32</v>
      </c>
      <c r="K104">
        <v>23</v>
      </c>
      <c r="L104">
        <v>34</v>
      </c>
      <c r="M104">
        <v>58558.558558559002</v>
      </c>
      <c r="O104">
        <v>2587522.5225225221</v>
      </c>
      <c r="P104">
        <v>2885666.666666667</v>
      </c>
      <c r="Q104">
        <v>200900.900900901</v>
      </c>
      <c r="S104">
        <v>1122</v>
      </c>
      <c r="T104">
        <v>1672</v>
      </c>
    </row>
    <row r="105" spans="1:20" x14ac:dyDescent="0.35">
      <c r="A105" s="7" t="s">
        <v>192</v>
      </c>
      <c r="B105" s="12" t="s">
        <v>61</v>
      </c>
      <c r="C105">
        <v>223445207.70624632</v>
      </c>
      <c r="D105">
        <v>225907804.90322459</v>
      </c>
      <c r="E105">
        <v>3292567.5675675659</v>
      </c>
      <c r="F105">
        <v>3072972.9729729742</v>
      </c>
      <c r="G105">
        <v>22</v>
      </c>
      <c r="H105">
        <v>50</v>
      </c>
      <c r="K105">
        <v>30</v>
      </c>
      <c r="L105">
        <v>98</v>
      </c>
      <c r="M105">
        <v>18509009.009009007</v>
      </c>
      <c r="N105">
        <v>26047747.747747749</v>
      </c>
      <c r="O105">
        <v>74749981.981981978</v>
      </c>
      <c r="P105">
        <v>77704621.621621609</v>
      </c>
      <c r="Q105">
        <v>18169909.909909911</v>
      </c>
      <c r="R105">
        <v>26381801.801801804</v>
      </c>
      <c r="S105">
        <v>4118</v>
      </c>
      <c r="T105">
        <v>2871</v>
      </c>
    </row>
    <row r="106" spans="1:20" x14ac:dyDescent="0.35">
      <c r="A106" s="7" t="s">
        <v>193</v>
      </c>
      <c r="B106" s="12" t="s">
        <v>61</v>
      </c>
      <c r="C106">
        <v>386552596.49991179</v>
      </c>
      <c r="D106">
        <v>388551634.50353307</v>
      </c>
      <c r="E106">
        <v>3737837.8378378372</v>
      </c>
      <c r="F106">
        <v>3654504.5045045051</v>
      </c>
      <c r="G106">
        <v>32</v>
      </c>
      <c r="H106">
        <v>43</v>
      </c>
      <c r="I106">
        <v>2</v>
      </c>
      <c r="K106">
        <v>40</v>
      </c>
      <c r="L106">
        <v>59</v>
      </c>
      <c r="M106">
        <v>22278378.378378376</v>
      </c>
      <c r="N106">
        <v>31996846.846846849</v>
      </c>
      <c r="O106">
        <v>91101837.837837845</v>
      </c>
      <c r="P106">
        <v>92159286.48648648</v>
      </c>
      <c r="Q106">
        <v>20450630.630630631</v>
      </c>
      <c r="R106">
        <v>31795268.468468469</v>
      </c>
      <c r="S106">
        <v>6601</v>
      </c>
      <c r="T106">
        <v>6836</v>
      </c>
    </row>
    <row r="107" spans="1:20" x14ac:dyDescent="0.35">
      <c r="A107" s="7" t="s">
        <v>2</v>
      </c>
      <c r="B107" s="12" t="s">
        <v>194</v>
      </c>
      <c r="C107">
        <v>42743188.946374118</v>
      </c>
      <c r="D107">
        <v>25219035.773216184</v>
      </c>
      <c r="E107">
        <v>310810.81081081199</v>
      </c>
      <c r="F107">
        <v>373873.87387387402</v>
      </c>
      <c r="G107">
        <v>4</v>
      </c>
      <c r="K107">
        <v>4</v>
      </c>
      <c r="M107">
        <v>6662162.1621621633</v>
      </c>
      <c r="N107">
        <v>3256756.7567567569</v>
      </c>
      <c r="O107">
        <v>24370783.783783782</v>
      </c>
      <c r="P107">
        <v>15550036.036036037</v>
      </c>
      <c r="Q107">
        <v>6763063.0630630637</v>
      </c>
      <c r="R107">
        <v>3175225.2252252251</v>
      </c>
      <c r="S107">
        <v>1310</v>
      </c>
      <c r="T107">
        <v>1073</v>
      </c>
    </row>
    <row r="108" spans="1:20" x14ac:dyDescent="0.35">
      <c r="A108" s="7" t="s">
        <v>195</v>
      </c>
      <c r="B108" s="12" t="s">
        <v>196</v>
      </c>
      <c r="C108">
        <v>1337383627.2089996</v>
      </c>
      <c r="D108">
        <v>1379430110.4087234</v>
      </c>
      <c r="E108">
        <v>4116891.8918918921</v>
      </c>
      <c r="F108">
        <v>5311711.711711715</v>
      </c>
      <c r="G108">
        <v>311</v>
      </c>
      <c r="H108">
        <v>144</v>
      </c>
      <c r="I108">
        <v>2</v>
      </c>
      <c r="K108">
        <v>331</v>
      </c>
      <c r="L108">
        <v>195</v>
      </c>
      <c r="M108">
        <v>61111531.531531535</v>
      </c>
      <c r="N108">
        <v>59996396.396396399</v>
      </c>
      <c r="O108">
        <v>258812918.91891891</v>
      </c>
      <c r="P108">
        <v>275147855.85585588</v>
      </c>
      <c r="Q108">
        <v>52786486.486486487</v>
      </c>
      <c r="R108">
        <v>57631261.261261262</v>
      </c>
      <c r="S108">
        <v>18539</v>
      </c>
      <c r="T108">
        <v>18486</v>
      </c>
    </row>
    <row r="109" spans="1:20" x14ac:dyDescent="0.35">
      <c r="A109" s="7" t="s">
        <v>197</v>
      </c>
      <c r="B109" s="12" t="s">
        <v>81</v>
      </c>
      <c r="C109">
        <v>410220102.45866811</v>
      </c>
      <c r="D109">
        <v>396514815.8468169</v>
      </c>
      <c r="E109">
        <v>2136036.0360360369</v>
      </c>
      <c r="F109">
        <v>3399999.9999999991</v>
      </c>
      <c r="G109">
        <v>101</v>
      </c>
      <c r="H109">
        <v>64</v>
      </c>
      <c r="K109">
        <v>111</v>
      </c>
      <c r="L109">
        <v>84</v>
      </c>
      <c r="M109">
        <v>53283783.783783779</v>
      </c>
      <c r="N109">
        <v>61104054.054054059</v>
      </c>
      <c r="O109">
        <v>111586522.52252252</v>
      </c>
      <c r="P109">
        <v>110686810.81081082</v>
      </c>
      <c r="Q109">
        <v>53790990.990990989</v>
      </c>
      <c r="R109">
        <v>61702072.072072074</v>
      </c>
      <c r="S109">
        <v>6962</v>
      </c>
      <c r="T109">
        <v>7054</v>
      </c>
    </row>
    <row r="110" spans="1:20" x14ac:dyDescent="0.35">
      <c r="A110" s="7" t="s">
        <v>198</v>
      </c>
      <c r="B110" s="12" t="s">
        <v>109</v>
      </c>
      <c r="C110">
        <v>328133582.04632449</v>
      </c>
      <c r="D110">
        <v>335277418.37222767</v>
      </c>
      <c r="E110">
        <v>2827927.927927928</v>
      </c>
      <c r="F110">
        <v>4492342.3423423478</v>
      </c>
      <c r="G110">
        <v>113</v>
      </c>
      <c r="H110">
        <v>83</v>
      </c>
      <c r="I110">
        <v>1</v>
      </c>
      <c r="K110">
        <v>132</v>
      </c>
      <c r="L110">
        <v>117</v>
      </c>
      <c r="M110">
        <v>19009009.009009007</v>
      </c>
      <c r="N110">
        <v>25679729.729729731</v>
      </c>
      <c r="O110">
        <v>100620990.990991</v>
      </c>
      <c r="P110">
        <v>102193171.17117117</v>
      </c>
      <c r="Q110">
        <v>17459189.189189184</v>
      </c>
      <c r="R110">
        <v>24107477.477477476</v>
      </c>
      <c r="S110">
        <v>7737</v>
      </c>
      <c r="T110">
        <v>7646</v>
      </c>
    </row>
    <row r="111" spans="1:20" x14ac:dyDescent="0.35">
      <c r="A111" s="7" t="s">
        <v>199</v>
      </c>
      <c r="B111" s="12" t="s">
        <v>93</v>
      </c>
      <c r="C111">
        <v>176764254.39152014</v>
      </c>
      <c r="D111">
        <v>181922094.42378777</v>
      </c>
      <c r="E111">
        <v>162581618.91891891</v>
      </c>
      <c r="F111">
        <v>130936235.13513513</v>
      </c>
      <c r="G111">
        <v>169</v>
      </c>
      <c r="H111">
        <v>32</v>
      </c>
      <c r="K111">
        <v>198</v>
      </c>
      <c r="L111">
        <v>34</v>
      </c>
      <c r="M111">
        <v>71539189.189189196</v>
      </c>
      <c r="N111">
        <v>44311621.621621624</v>
      </c>
      <c r="O111">
        <v>48615486.486486487</v>
      </c>
      <c r="P111">
        <v>48008369.369369365</v>
      </c>
      <c r="Q111">
        <v>60872342.342342347</v>
      </c>
      <c r="R111">
        <v>38546036.036036029</v>
      </c>
      <c r="S111">
        <v>2878</v>
      </c>
      <c r="T111">
        <v>2610</v>
      </c>
    </row>
    <row r="112" spans="1:20" x14ac:dyDescent="0.35">
      <c r="A112" s="7" t="s">
        <v>200</v>
      </c>
      <c r="B112" s="12" t="s">
        <v>124</v>
      </c>
      <c r="C112">
        <v>165001517.94914156</v>
      </c>
      <c r="D112">
        <v>135512621.04621974</v>
      </c>
      <c r="E112">
        <v>590990.99099098996</v>
      </c>
      <c r="F112">
        <v>1637837.8378378381</v>
      </c>
      <c r="G112">
        <v>55</v>
      </c>
      <c r="H112">
        <v>22</v>
      </c>
      <c r="K112">
        <v>57</v>
      </c>
      <c r="L112">
        <v>25</v>
      </c>
      <c r="M112">
        <v>5537297.297297298</v>
      </c>
      <c r="N112">
        <v>9202522.5225225221</v>
      </c>
      <c r="O112">
        <v>31248828.828828827</v>
      </c>
      <c r="P112">
        <v>31217639.639639638</v>
      </c>
      <c r="Q112">
        <v>6680360.3603603607</v>
      </c>
      <c r="R112">
        <v>7228558.5585585581</v>
      </c>
      <c r="S112">
        <v>2546</v>
      </c>
      <c r="T112">
        <v>2126</v>
      </c>
    </row>
    <row r="113" spans="1:20" x14ac:dyDescent="0.35">
      <c r="A113" s="7" t="s">
        <v>201</v>
      </c>
      <c r="B113" s="12" t="s">
        <v>61</v>
      </c>
      <c r="C113">
        <v>120401392.73779207</v>
      </c>
      <c r="D113">
        <v>121953703.35340497</v>
      </c>
      <c r="E113">
        <v>2657657.6576576582</v>
      </c>
      <c r="F113">
        <v>1404054.0540540579</v>
      </c>
      <c r="G113">
        <v>28</v>
      </c>
      <c r="H113">
        <v>8</v>
      </c>
      <c r="I113">
        <v>1</v>
      </c>
      <c r="K113">
        <v>32</v>
      </c>
      <c r="L113">
        <v>19</v>
      </c>
      <c r="M113">
        <v>16576576.576576576</v>
      </c>
      <c r="N113">
        <v>16935585.585585587</v>
      </c>
      <c r="O113">
        <v>22214247.747747749</v>
      </c>
      <c r="P113">
        <v>22626009.009009007</v>
      </c>
      <c r="Q113">
        <v>17802522.522522524</v>
      </c>
      <c r="R113">
        <v>7977387.3873873893</v>
      </c>
      <c r="S113">
        <v>3838</v>
      </c>
      <c r="T113">
        <v>2758</v>
      </c>
    </row>
    <row r="114" spans="1:20" x14ac:dyDescent="0.35">
      <c r="A114" s="7" t="s">
        <v>202</v>
      </c>
      <c r="B114" s="12" t="s">
        <v>61</v>
      </c>
      <c r="C114">
        <v>40025231.715708248</v>
      </c>
      <c r="D114">
        <v>39731207.373400316</v>
      </c>
      <c r="E114">
        <v>247747.74774774999</v>
      </c>
      <c r="F114">
        <v>517117.11711711797</v>
      </c>
      <c r="G114">
        <v>15</v>
      </c>
      <c r="H114">
        <v>8</v>
      </c>
      <c r="K114">
        <v>17</v>
      </c>
      <c r="L114">
        <v>10</v>
      </c>
      <c r="M114">
        <v>2500000.0000000009</v>
      </c>
      <c r="N114">
        <v>2724324.3243243238</v>
      </c>
      <c r="O114">
        <v>7126018.0180180194</v>
      </c>
      <c r="P114">
        <v>8341900.9009009004</v>
      </c>
      <c r="Q114">
        <v>1133243.2432432431</v>
      </c>
      <c r="R114">
        <v>1489549.5495495501</v>
      </c>
      <c r="S114">
        <v>1290</v>
      </c>
      <c r="T114">
        <v>1868</v>
      </c>
    </row>
    <row r="115" spans="1:20" x14ac:dyDescent="0.35">
      <c r="A115" s="7" t="s">
        <v>203</v>
      </c>
      <c r="B115" s="12" t="s">
        <v>122</v>
      </c>
      <c r="C115">
        <v>76337397.328136846</v>
      </c>
      <c r="D115">
        <v>69084313.510247335</v>
      </c>
      <c r="E115">
        <v>594594.59459459502</v>
      </c>
      <c r="F115">
        <v>846846.84684684896</v>
      </c>
      <c r="G115">
        <v>41</v>
      </c>
      <c r="H115">
        <v>29</v>
      </c>
      <c r="K115">
        <v>46</v>
      </c>
      <c r="L115">
        <v>33</v>
      </c>
      <c r="M115">
        <v>1950450.4504504511</v>
      </c>
      <c r="N115">
        <v>1252252.2522522539</v>
      </c>
      <c r="O115">
        <v>7354981.9819819815</v>
      </c>
      <c r="P115">
        <v>6774450.4504504511</v>
      </c>
      <c r="Q115">
        <v>1427477.4774774781</v>
      </c>
      <c r="R115">
        <v>472972.97297297302</v>
      </c>
      <c r="S115">
        <v>1501</v>
      </c>
      <c r="T115">
        <v>1394</v>
      </c>
    </row>
    <row r="116" spans="1:20" x14ac:dyDescent="0.35">
      <c r="A116" s="7" t="s">
        <v>204</v>
      </c>
      <c r="B116" s="12" t="s">
        <v>55</v>
      </c>
      <c r="C116">
        <v>122768215.57560787</v>
      </c>
      <c r="D116">
        <v>129151189.15655893</v>
      </c>
      <c r="E116">
        <v>1164864.8648648651</v>
      </c>
      <c r="F116">
        <v>1594144.1441441451</v>
      </c>
      <c r="G116">
        <v>28</v>
      </c>
      <c r="H116">
        <v>20</v>
      </c>
      <c r="K116">
        <v>29</v>
      </c>
      <c r="L116">
        <v>21</v>
      </c>
      <c r="M116">
        <v>6313513.513513512</v>
      </c>
      <c r="N116">
        <v>7697747.7477477482</v>
      </c>
      <c r="O116">
        <v>31631648.648648649</v>
      </c>
      <c r="P116">
        <v>33656486.486486487</v>
      </c>
      <c r="Q116">
        <v>6909099.0990990978</v>
      </c>
      <c r="R116">
        <v>8242252.2522522518</v>
      </c>
      <c r="S116">
        <v>4090</v>
      </c>
      <c r="T116">
        <v>4005</v>
      </c>
    </row>
    <row r="117" spans="1:20" x14ac:dyDescent="0.35">
      <c r="A117" s="7" t="s">
        <v>205</v>
      </c>
      <c r="B117" s="12" t="s">
        <v>137</v>
      </c>
      <c r="C117">
        <v>440136639.77064335</v>
      </c>
      <c r="D117">
        <v>422971431.56111377</v>
      </c>
      <c r="E117">
        <v>967567.56756756897</v>
      </c>
      <c r="F117">
        <v>2909009.0090090162</v>
      </c>
      <c r="G117">
        <v>62</v>
      </c>
      <c r="H117">
        <v>67</v>
      </c>
      <c r="K117">
        <v>71</v>
      </c>
      <c r="L117">
        <v>72</v>
      </c>
      <c r="M117">
        <v>36436036.036036029</v>
      </c>
      <c r="N117">
        <v>39409009.009009011</v>
      </c>
      <c r="O117">
        <v>76705689.189189181</v>
      </c>
      <c r="P117">
        <v>81419855.855855852</v>
      </c>
      <c r="Q117">
        <v>30680090.090090089</v>
      </c>
      <c r="R117">
        <v>35841351.351351351</v>
      </c>
      <c r="S117">
        <v>5953</v>
      </c>
      <c r="T117">
        <v>5672</v>
      </c>
    </row>
    <row r="118" spans="1:20" x14ac:dyDescent="0.35">
      <c r="A118" s="7" t="s">
        <v>206</v>
      </c>
      <c r="B118" s="12" t="s">
        <v>137</v>
      </c>
      <c r="C118">
        <v>218302479.67812231</v>
      </c>
      <c r="D118">
        <v>210808260.61135298</v>
      </c>
      <c r="E118">
        <v>659459.45945945999</v>
      </c>
      <c r="F118">
        <v>338738.73873873899</v>
      </c>
      <c r="G118">
        <v>40</v>
      </c>
      <c r="H118">
        <v>30</v>
      </c>
      <c r="K118">
        <v>44</v>
      </c>
      <c r="L118">
        <v>31</v>
      </c>
      <c r="M118">
        <v>7308108.108108107</v>
      </c>
      <c r="N118">
        <v>7599999.9999999991</v>
      </c>
      <c r="O118">
        <v>42358349.54954955</v>
      </c>
      <c r="P118">
        <v>47744981.981981985</v>
      </c>
      <c r="Q118">
        <v>4023153.1531531531</v>
      </c>
      <c r="R118">
        <v>4095315.315315315</v>
      </c>
      <c r="S118">
        <v>3213</v>
      </c>
      <c r="T118">
        <v>3160</v>
      </c>
    </row>
    <row r="119" spans="1:20" x14ac:dyDescent="0.35">
      <c r="A119" s="7" t="s">
        <v>207</v>
      </c>
      <c r="B119" s="12" t="s">
        <v>170</v>
      </c>
      <c r="C119">
        <v>511989375.02397352</v>
      </c>
      <c r="D119">
        <v>534222866.21911383</v>
      </c>
      <c r="E119">
        <v>76611711.711711705</v>
      </c>
      <c r="F119">
        <v>368018203.6036036</v>
      </c>
      <c r="G119">
        <v>20</v>
      </c>
      <c r="H119">
        <v>25</v>
      </c>
      <c r="K119">
        <v>22</v>
      </c>
      <c r="L119">
        <v>28</v>
      </c>
      <c r="M119">
        <v>2479337950.4504504</v>
      </c>
      <c r="N119">
        <v>957849662.16216218</v>
      </c>
      <c r="O119">
        <v>241848828.82882884</v>
      </c>
      <c r="P119">
        <v>259489693.6936937</v>
      </c>
      <c r="Q119">
        <v>758375596.3963964</v>
      </c>
      <c r="R119">
        <v>262362666.66666666</v>
      </c>
      <c r="S119">
        <v>7602</v>
      </c>
      <c r="T119">
        <v>7798</v>
      </c>
    </row>
    <row r="120" spans="1:20" x14ac:dyDescent="0.35">
      <c r="A120" s="7" t="s">
        <v>208</v>
      </c>
      <c r="B120" s="12" t="s">
        <v>162</v>
      </c>
      <c r="C120">
        <v>570544668.49192727</v>
      </c>
      <c r="D120">
        <v>585136601.08667159</v>
      </c>
      <c r="E120">
        <v>154973964.86486486</v>
      </c>
      <c r="F120">
        <v>170376674.77477479</v>
      </c>
      <c r="G120">
        <v>352</v>
      </c>
      <c r="H120">
        <v>145</v>
      </c>
      <c r="K120">
        <v>518</v>
      </c>
      <c r="L120">
        <v>398</v>
      </c>
      <c r="M120">
        <v>98519270.270270273</v>
      </c>
      <c r="N120">
        <v>99386361.261261255</v>
      </c>
      <c r="O120">
        <v>165958166.66666666</v>
      </c>
      <c r="P120">
        <v>189393216.21621624</v>
      </c>
      <c r="Q120">
        <v>75714900.9009009</v>
      </c>
      <c r="R120">
        <v>74689542.342342332</v>
      </c>
      <c r="S120">
        <v>23137</v>
      </c>
      <c r="T120">
        <v>12484</v>
      </c>
    </row>
    <row r="121" spans="1:20" x14ac:dyDescent="0.35">
      <c r="A121" s="7" t="s">
        <v>209</v>
      </c>
      <c r="B121" s="12" t="s">
        <v>77</v>
      </c>
      <c r="C121">
        <v>17367459.626930289</v>
      </c>
      <c r="D121">
        <v>18803220.129579548</v>
      </c>
      <c r="H121">
        <v>3</v>
      </c>
      <c r="L121">
        <v>3</v>
      </c>
      <c r="O121">
        <v>1136711.7117117119</v>
      </c>
      <c r="P121">
        <v>1384459.4594594589</v>
      </c>
      <c r="S121">
        <v>546</v>
      </c>
      <c r="T121">
        <v>573</v>
      </c>
    </row>
    <row r="122" spans="1:20" x14ac:dyDescent="0.35">
      <c r="A122" s="7" t="s">
        <v>210</v>
      </c>
      <c r="B122" s="12" t="s">
        <v>77</v>
      </c>
      <c r="C122">
        <v>257362575.33385938</v>
      </c>
      <c r="D122">
        <v>250758553.66640729</v>
      </c>
      <c r="E122">
        <v>267271949.54954958</v>
      </c>
      <c r="F122">
        <v>215666242.34234235</v>
      </c>
      <c r="G122">
        <v>138</v>
      </c>
      <c r="H122">
        <v>147</v>
      </c>
      <c r="I122">
        <v>4</v>
      </c>
      <c r="K122">
        <v>251</v>
      </c>
      <c r="L122">
        <v>211</v>
      </c>
      <c r="M122">
        <v>33372432.432432432</v>
      </c>
      <c r="N122">
        <v>29326945.045045044</v>
      </c>
      <c r="O122">
        <v>39353162.162162162</v>
      </c>
      <c r="P122">
        <v>42811441.441441439</v>
      </c>
      <c r="Q122">
        <v>31882252.252252251</v>
      </c>
      <c r="R122">
        <v>27493243.243243244</v>
      </c>
      <c r="S122">
        <v>5079</v>
      </c>
      <c r="T122">
        <v>5487</v>
      </c>
    </row>
    <row r="123" spans="1:20" x14ac:dyDescent="0.35">
      <c r="A123" s="7" t="s">
        <v>211</v>
      </c>
      <c r="B123" s="12" t="s">
        <v>77</v>
      </c>
      <c r="C123">
        <v>320311191.00673991</v>
      </c>
      <c r="D123">
        <v>349236114.28847569</v>
      </c>
      <c r="E123">
        <v>5099774.7747747777</v>
      </c>
      <c r="F123">
        <v>8500900.900900906</v>
      </c>
      <c r="G123">
        <v>182</v>
      </c>
      <c r="H123">
        <v>362</v>
      </c>
      <c r="I123">
        <v>1</v>
      </c>
      <c r="K123">
        <v>250</v>
      </c>
      <c r="L123">
        <v>407</v>
      </c>
      <c r="M123">
        <v>140980990.990991</v>
      </c>
      <c r="N123">
        <v>130060630.63063064</v>
      </c>
      <c r="O123">
        <v>97820052.252252251</v>
      </c>
      <c r="P123">
        <v>120328792.7927928</v>
      </c>
      <c r="Q123">
        <v>115878511.7117117</v>
      </c>
      <c r="R123">
        <v>106783513.51351352</v>
      </c>
      <c r="S123">
        <v>7144</v>
      </c>
      <c r="T123">
        <v>7003</v>
      </c>
    </row>
    <row r="124" spans="1:20" x14ac:dyDescent="0.35">
      <c r="A124" s="7" t="s">
        <v>212</v>
      </c>
      <c r="B124" s="12" t="s">
        <v>77</v>
      </c>
      <c r="C124">
        <v>233917853.08055711</v>
      </c>
      <c r="D124">
        <v>226043394.3456552</v>
      </c>
      <c r="E124">
        <v>77425900.900900915</v>
      </c>
      <c r="F124">
        <v>91997297.297297299</v>
      </c>
      <c r="G124">
        <v>98</v>
      </c>
      <c r="H124">
        <v>151</v>
      </c>
      <c r="K124">
        <v>115</v>
      </c>
      <c r="L124">
        <v>162</v>
      </c>
      <c r="M124">
        <v>25600810.810810816</v>
      </c>
      <c r="N124">
        <v>32051359.459459461</v>
      </c>
      <c r="O124">
        <v>35776452.702702701</v>
      </c>
      <c r="P124">
        <v>37334981.981981985</v>
      </c>
      <c r="Q124">
        <v>23493513.513513513</v>
      </c>
      <c r="R124">
        <v>28426576.576576576</v>
      </c>
      <c r="S124">
        <v>4275</v>
      </c>
      <c r="T124">
        <v>4414</v>
      </c>
    </row>
    <row r="125" spans="1:20" x14ac:dyDescent="0.35">
      <c r="A125" s="7" t="s">
        <v>213</v>
      </c>
      <c r="B125" s="12" t="s">
        <v>77</v>
      </c>
      <c r="C125">
        <v>84023341.753895268</v>
      </c>
      <c r="D125">
        <v>96485096.643456772</v>
      </c>
      <c r="E125">
        <v>65765.765765764998</v>
      </c>
      <c r="F125">
        <v>120720.720720721</v>
      </c>
      <c r="G125">
        <v>16</v>
      </c>
      <c r="H125">
        <v>11</v>
      </c>
      <c r="K125">
        <v>18</v>
      </c>
      <c r="L125">
        <v>12</v>
      </c>
      <c r="M125">
        <v>1540720.7207207191</v>
      </c>
      <c r="N125">
        <v>4512612.6126126116</v>
      </c>
      <c r="O125">
        <v>13224738.738738738</v>
      </c>
      <c r="P125">
        <v>15328378.37837838</v>
      </c>
      <c r="Q125">
        <v>2026486.4864864859</v>
      </c>
      <c r="R125">
        <v>3899279.27927928</v>
      </c>
      <c r="S125">
        <v>1848</v>
      </c>
      <c r="T125">
        <v>1971</v>
      </c>
    </row>
    <row r="126" spans="1:20" x14ac:dyDescent="0.35">
      <c r="A126" s="7" t="s">
        <v>214</v>
      </c>
      <c r="B126" s="12" t="s">
        <v>215</v>
      </c>
      <c r="C126">
        <v>120356878.92226721</v>
      </c>
      <c r="D126">
        <v>122768896.95993143</v>
      </c>
      <c r="E126">
        <v>811711.71171171195</v>
      </c>
      <c r="F126">
        <v>1256306.306306307</v>
      </c>
      <c r="G126">
        <v>35</v>
      </c>
      <c r="H126">
        <v>18</v>
      </c>
      <c r="I126">
        <v>1</v>
      </c>
      <c r="K126">
        <v>40</v>
      </c>
      <c r="L126">
        <v>18</v>
      </c>
      <c r="M126">
        <v>13513981.981981983</v>
      </c>
      <c r="N126">
        <v>27032882.882882886</v>
      </c>
      <c r="O126">
        <v>54652063.063063063</v>
      </c>
      <c r="P126">
        <v>60506198.198198199</v>
      </c>
      <c r="Q126">
        <v>12201711.711711712</v>
      </c>
      <c r="R126">
        <v>26420630.630630631</v>
      </c>
      <c r="S126">
        <v>2592</v>
      </c>
      <c r="T126">
        <v>2299</v>
      </c>
    </row>
    <row r="127" spans="1:20" x14ac:dyDescent="0.35">
      <c r="A127" s="7" t="s">
        <v>216</v>
      </c>
      <c r="B127" s="12" t="s">
        <v>168</v>
      </c>
      <c r="C127">
        <v>129669106.53882322</v>
      </c>
      <c r="D127">
        <v>126710984.11199434</v>
      </c>
      <c r="E127">
        <v>1842342.342342342</v>
      </c>
      <c r="F127">
        <v>2540540.5405405401</v>
      </c>
      <c r="G127">
        <v>7</v>
      </c>
      <c r="H127">
        <v>1</v>
      </c>
      <c r="K127">
        <v>7</v>
      </c>
      <c r="L127">
        <v>1</v>
      </c>
      <c r="M127">
        <v>2471171.1711711711</v>
      </c>
      <c r="N127">
        <v>5432432.4324324317</v>
      </c>
      <c r="O127">
        <v>22570810.810810808</v>
      </c>
      <c r="P127">
        <v>34245819.819819823</v>
      </c>
      <c r="Q127">
        <v>240090.09009009099</v>
      </c>
      <c r="R127">
        <v>2796846.8468468459</v>
      </c>
      <c r="S127">
        <v>1882</v>
      </c>
      <c r="T127">
        <v>1806</v>
      </c>
    </row>
    <row r="128" spans="1:20" x14ac:dyDescent="0.35">
      <c r="A128" s="7" t="s">
        <v>217</v>
      </c>
      <c r="B128" s="12" t="s">
        <v>86</v>
      </c>
      <c r="C128">
        <v>30170971.350936353</v>
      </c>
      <c r="D128">
        <v>33584205.728733934</v>
      </c>
      <c r="E128">
        <v>1018018.018018018</v>
      </c>
      <c r="F128">
        <v>2922522.5225225231</v>
      </c>
      <c r="G128">
        <v>10</v>
      </c>
      <c r="H128">
        <v>6</v>
      </c>
      <c r="K128">
        <v>12</v>
      </c>
      <c r="L128">
        <v>6</v>
      </c>
      <c r="M128">
        <v>59337387.387387387</v>
      </c>
      <c r="N128">
        <v>43596396.396396399</v>
      </c>
      <c r="O128">
        <v>9613720.7207207195</v>
      </c>
      <c r="P128">
        <v>11250700.9009009</v>
      </c>
      <c r="Q128">
        <v>51453243.243243247</v>
      </c>
      <c r="R128">
        <v>37386396.396396399</v>
      </c>
      <c r="S128">
        <v>666</v>
      </c>
      <c r="T128">
        <v>629</v>
      </c>
    </row>
    <row r="129" spans="1:20" x14ac:dyDescent="0.35">
      <c r="A129" s="7" t="s">
        <v>218</v>
      </c>
      <c r="B129" s="12" t="s">
        <v>86</v>
      </c>
      <c r="C129">
        <v>117613985.94835083</v>
      </c>
      <c r="D129">
        <v>120818938.29576126</v>
      </c>
      <c r="E129">
        <v>561261.261261262</v>
      </c>
      <c r="F129">
        <v>734234.23423423397</v>
      </c>
      <c r="G129">
        <v>43</v>
      </c>
      <c r="H129">
        <v>17</v>
      </c>
      <c r="K129">
        <v>47</v>
      </c>
      <c r="L129">
        <v>22</v>
      </c>
      <c r="M129">
        <v>35015045.045045048</v>
      </c>
      <c r="N129">
        <v>29966224.324324325</v>
      </c>
      <c r="O129">
        <v>22617288.288288288</v>
      </c>
      <c r="P129">
        <v>25411090.090090089</v>
      </c>
      <c r="Q129">
        <v>30097657.657657661</v>
      </c>
      <c r="R129">
        <v>22323243.243243244</v>
      </c>
      <c r="S129">
        <v>2585</v>
      </c>
      <c r="T129">
        <v>2354</v>
      </c>
    </row>
    <row r="130" spans="1:20" x14ac:dyDescent="0.35">
      <c r="A130" s="7" t="s">
        <v>219</v>
      </c>
      <c r="B130" s="12" t="s">
        <v>148</v>
      </c>
      <c r="C130">
        <v>114700240.24493586</v>
      </c>
      <c r="D130">
        <v>106799346.4648304</v>
      </c>
      <c r="E130">
        <v>8565765.7657657657</v>
      </c>
      <c r="F130">
        <v>9081081.0810810812</v>
      </c>
      <c r="G130">
        <v>70</v>
      </c>
      <c r="H130">
        <v>22</v>
      </c>
      <c r="K130">
        <v>81</v>
      </c>
      <c r="L130">
        <v>31</v>
      </c>
      <c r="M130">
        <v>73945972.072072074</v>
      </c>
      <c r="N130">
        <v>97969516.216216207</v>
      </c>
      <c r="O130">
        <v>36280585.585585587</v>
      </c>
      <c r="P130">
        <v>32088144.144144144</v>
      </c>
      <c r="Q130">
        <v>74399459.459459454</v>
      </c>
      <c r="R130">
        <v>96314684.684684694</v>
      </c>
      <c r="S130">
        <v>2960</v>
      </c>
      <c r="T130">
        <v>2466</v>
      </c>
    </row>
    <row r="131" spans="1:20" x14ac:dyDescent="0.35">
      <c r="A131" s="7" t="s">
        <v>220</v>
      </c>
      <c r="B131" s="12" t="s">
        <v>221</v>
      </c>
      <c r="C131">
        <v>226721080.83614534</v>
      </c>
      <c r="D131">
        <v>220046705.04414052</v>
      </c>
      <c r="E131">
        <v>6219883.7837837851</v>
      </c>
      <c r="F131">
        <v>8430077.4774774779</v>
      </c>
      <c r="G131">
        <v>71</v>
      </c>
      <c r="H131">
        <v>97</v>
      </c>
      <c r="K131">
        <v>81</v>
      </c>
      <c r="L131">
        <v>144</v>
      </c>
      <c r="M131">
        <v>192124149.54954958</v>
      </c>
      <c r="N131">
        <v>409049272.07207209</v>
      </c>
      <c r="O131">
        <v>58099002.252252258</v>
      </c>
      <c r="P131">
        <v>62428522.522522517</v>
      </c>
      <c r="Q131">
        <v>318630720.72072071</v>
      </c>
      <c r="R131">
        <v>355501801.8018018</v>
      </c>
      <c r="S131">
        <v>6462</v>
      </c>
      <c r="T131">
        <v>6298</v>
      </c>
    </row>
    <row r="132" spans="1:20" x14ac:dyDescent="0.35">
      <c r="A132" s="7" t="s">
        <v>222</v>
      </c>
      <c r="B132" s="12" t="s">
        <v>53</v>
      </c>
      <c r="C132">
        <v>535116851.47688019</v>
      </c>
      <c r="D132">
        <v>564528623.90532553</v>
      </c>
      <c r="E132">
        <v>5137612.6126126153</v>
      </c>
      <c r="F132">
        <v>9451801.8018018082</v>
      </c>
      <c r="G132">
        <v>111</v>
      </c>
      <c r="H132">
        <v>120</v>
      </c>
      <c r="K132">
        <v>142</v>
      </c>
      <c r="L132">
        <v>176</v>
      </c>
      <c r="M132">
        <v>41281981.981981985</v>
      </c>
      <c r="N132">
        <v>64233153.153153151</v>
      </c>
      <c r="O132">
        <v>172398738.73873875</v>
      </c>
      <c r="P132">
        <v>182587720.72072071</v>
      </c>
      <c r="Q132">
        <v>51341351.351351351</v>
      </c>
      <c r="R132">
        <v>55470270.270270266</v>
      </c>
      <c r="S132">
        <v>12299</v>
      </c>
      <c r="T132">
        <v>11119</v>
      </c>
    </row>
    <row r="133" spans="1:20" x14ac:dyDescent="0.35">
      <c r="A133" s="7" t="s">
        <v>223</v>
      </c>
      <c r="B133" s="12" t="s">
        <v>77</v>
      </c>
      <c r="C133">
        <v>415542172.7414549</v>
      </c>
      <c r="D133">
        <v>423197829.43730605</v>
      </c>
      <c r="E133">
        <v>1345270.270270277</v>
      </c>
      <c r="F133">
        <v>1693693.6936937009</v>
      </c>
      <c r="G133">
        <v>115</v>
      </c>
      <c r="H133">
        <v>104</v>
      </c>
      <c r="K133">
        <v>123</v>
      </c>
      <c r="L133">
        <v>111</v>
      </c>
      <c r="M133">
        <v>29125495.495495494</v>
      </c>
      <c r="N133">
        <v>38442342.342342347</v>
      </c>
      <c r="O133">
        <v>80214741.441441447</v>
      </c>
      <c r="P133">
        <v>89760144.144144148</v>
      </c>
      <c r="Q133">
        <v>23502792.79279279</v>
      </c>
      <c r="R133">
        <v>33691081.081081077</v>
      </c>
      <c r="S133">
        <v>7146</v>
      </c>
      <c r="T133">
        <v>7006</v>
      </c>
    </row>
    <row r="134" spans="1:20" x14ac:dyDescent="0.35">
      <c r="A134" s="7" t="s">
        <v>224</v>
      </c>
      <c r="B134" s="12" t="s">
        <v>225</v>
      </c>
      <c r="C134">
        <v>36332662.338210307</v>
      </c>
      <c r="D134">
        <v>35360212.308709532</v>
      </c>
      <c r="E134">
        <v>5405.4054054050002</v>
      </c>
      <c r="F134">
        <v>13513.513513514001</v>
      </c>
      <c r="G134">
        <v>3</v>
      </c>
      <c r="H134">
        <v>2</v>
      </c>
      <c r="K134">
        <v>3</v>
      </c>
      <c r="L134">
        <v>2</v>
      </c>
      <c r="M134">
        <v>5405.4054054050002</v>
      </c>
      <c r="N134">
        <v>413513.51351351402</v>
      </c>
      <c r="O134">
        <v>9003360.3603603598</v>
      </c>
      <c r="P134">
        <v>8654477.4774774779</v>
      </c>
      <c r="Q134">
        <v>837567.56756756804</v>
      </c>
      <c r="R134">
        <v>954234.23423423397</v>
      </c>
      <c r="S134">
        <v>817</v>
      </c>
      <c r="T134">
        <v>779</v>
      </c>
    </row>
    <row r="135" spans="1:20" x14ac:dyDescent="0.35">
      <c r="A135" s="7" t="s">
        <v>226</v>
      </c>
      <c r="B135" s="12" t="s">
        <v>144</v>
      </c>
      <c r="C135">
        <v>336531581.86113822</v>
      </c>
      <c r="D135">
        <v>349266002.89843291</v>
      </c>
      <c r="E135">
        <v>3718918.9189189211</v>
      </c>
      <c r="F135">
        <v>1842342.3423423499</v>
      </c>
      <c r="G135">
        <v>99</v>
      </c>
      <c r="H135">
        <v>30</v>
      </c>
      <c r="K135">
        <v>110</v>
      </c>
      <c r="L135">
        <v>41</v>
      </c>
      <c r="M135">
        <v>22091891.891891897</v>
      </c>
      <c r="N135">
        <v>21527027.02702703</v>
      </c>
      <c r="O135">
        <v>42454095.945945941</v>
      </c>
      <c r="P135">
        <v>50693675.675675683</v>
      </c>
      <c r="Q135">
        <v>13590810.810810812</v>
      </c>
      <c r="R135">
        <v>15343693.693693696</v>
      </c>
      <c r="S135">
        <v>6134</v>
      </c>
      <c r="T135">
        <v>6316</v>
      </c>
    </row>
    <row r="136" spans="1:20" x14ac:dyDescent="0.35">
      <c r="A136" s="7" t="s">
        <v>227</v>
      </c>
      <c r="B136" s="12" t="s">
        <v>225</v>
      </c>
      <c r="C136">
        <v>39528558.102919817</v>
      </c>
      <c r="D136">
        <v>38424906.129194498</v>
      </c>
      <c r="E136">
        <v>121621.62162162201</v>
      </c>
      <c r="F136">
        <v>117117.117117117</v>
      </c>
      <c r="G136">
        <v>13</v>
      </c>
      <c r="H136">
        <v>9</v>
      </c>
      <c r="K136">
        <v>15</v>
      </c>
      <c r="L136">
        <v>10</v>
      </c>
      <c r="M136">
        <v>4954054.0540540544</v>
      </c>
      <c r="N136">
        <v>10424774.774774777</v>
      </c>
      <c r="O136">
        <v>10410166.666666668</v>
      </c>
      <c r="P136">
        <v>9061243.2432432435</v>
      </c>
      <c r="Q136">
        <v>4508108.1081081089</v>
      </c>
      <c r="R136">
        <v>8832432.4324324317</v>
      </c>
      <c r="S136">
        <v>839</v>
      </c>
      <c r="T136">
        <v>720</v>
      </c>
    </row>
    <row r="137" spans="1:20" x14ac:dyDescent="0.35">
      <c r="A137" s="7" t="s">
        <v>228</v>
      </c>
      <c r="B137" s="12" t="s">
        <v>79</v>
      </c>
      <c r="C137">
        <v>316539457.07141215</v>
      </c>
      <c r="D137">
        <v>334820058.04747283</v>
      </c>
      <c r="E137">
        <v>3560360.3603603621</v>
      </c>
      <c r="F137">
        <v>3145045.0450450489</v>
      </c>
      <c r="G137">
        <v>66</v>
      </c>
      <c r="H137">
        <v>34</v>
      </c>
      <c r="K137">
        <v>75</v>
      </c>
      <c r="L137">
        <v>41</v>
      </c>
      <c r="M137">
        <v>33238198.198198196</v>
      </c>
      <c r="N137">
        <v>29856126.126126129</v>
      </c>
      <c r="O137">
        <v>126770369.36936937</v>
      </c>
      <c r="P137">
        <v>136729306.3063063</v>
      </c>
      <c r="Q137">
        <v>29059099.099099096</v>
      </c>
      <c r="R137">
        <v>27062745.945945945</v>
      </c>
      <c r="S137">
        <v>4647</v>
      </c>
      <c r="T137">
        <v>5913</v>
      </c>
    </row>
    <row r="138" spans="1:20" x14ac:dyDescent="0.35">
      <c r="A138" s="7" t="s">
        <v>669</v>
      </c>
      <c r="B138" s="12" t="s">
        <v>284</v>
      </c>
      <c r="E138">
        <v>134819819.81981984</v>
      </c>
      <c r="F138">
        <v>56914414.414414413</v>
      </c>
      <c r="M138">
        <v>2681081.0810810812</v>
      </c>
      <c r="N138">
        <v>27027.027027027001</v>
      </c>
    </row>
    <row r="139" spans="1:20" x14ac:dyDescent="0.35">
      <c r="A139" s="7" t="s">
        <v>229</v>
      </c>
      <c r="B139" s="12" t="s">
        <v>137</v>
      </c>
      <c r="C139">
        <v>417746036.42560738</v>
      </c>
      <c r="D139">
        <v>437152828.41100895</v>
      </c>
      <c r="E139">
        <v>3229954.9549549581</v>
      </c>
      <c r="F139">
        <v>2981981.9819819871</v>
      </c>
      <c r="G139">
        <v>105</v>
      </c>
      <c r="H139">
        <v>77</v>
      </c>
      <c r="I139">
        <v>1</v>
      </c>
      <c r="K139">
        <v>122</v>
      </c>
      <c r="L139">
        <v>93</v>
      </c>
      <c r="M139">
        <v>46471171.171171166</v>
      </c>
      <c r="N139">
        <v>65024324.324324325</v>
      </c>
      <c r="O139">
        <v>97976445.945945948</v>
      </c>
      <c r="P139">
        <v>106372437.83783785</v>
      </c>
      <c r="Q139">
        <v>38282612.612612605</v>
      </c>
      <c r="R139">
        <v>60142522.522522531</v>
      </c>
      <c r="S139">
        <v>7790</v>
      </c>
      <c r="T139">
        <v>7859</v>
      </c>
    </row>
    <row r="140" spans="1:20" x14ac:dyDescent="0.35">
      <c r="A140" s="7" t="s">
        <v>230</v>
      </c>
      <c r="B140" s="12" t="s">
        <v>79</v>
      </c>
      <c r="C140">
        <v>119336847.1853416</v>
      </c>
      <c r="D140">
        <v>130586856.70645094</v>
      </c>
      <c r="E140">
        <v>4403153.1531531522</v>
      </c>
      <c r="F140">
        <v>5445045.0450450461</v>
      </c>
      <c r="G140">
        <v>46</v>
      </c>
      <c r="H140">
        <v>37</v>
      </c>
      <c r="I140">
        <v>2</v>
      </c>
      <c r="K140">
        <v>49</v>
      </c>
      <c r="L140">
        <v>45</v>
      </c>
      <c r="M140">
        <v>24316216.216216218</v>
      </c>
      <c r="N140">
        <v>28354954.954954956</v>
      </c>
      <c r="O140">
        <v>57346827.027027026</v>
      </c>
      <c r="P140">
        <v>63267583.783783786</v>
      </c>
      <c r="Q140">
        <v>25994277.47747748</v>
      </c>
      <c r="R140">
        <v>25796890.090090089</v>
      </c>
      <c r="S140">
        <v>2552</v>
      </c>
      <c r="T140">
        <v>2541</v>
      </c>
    </row>
    <row r="141" spans="1:20" x14ac:dyDescent="0.35">
      <c r="A141" s="7" t="s">
        <v>231</v>
      </c>
      <c r="B141" s="12" t="s">
        <v>55</v>
      </c>
      <c r="C141">
        <v>346825258.89710784</v>
      </c>
      <c r="D141">
        <v>353745137.37557155</v>
      </c>
      <c r="E141">
        <v>993693.69369369396</v>
      </c>
      <c r="F141">
        <v>1054054.0540540549</v>
      </c>
      <c r="G141">
        <v>36</v>
      </c>
      <c r="H141">
        <v>50</v>
      </c>
      <c r="K141">
        <v>39</v>
      </c>
      <c r="L141">
        <v>59</v>
      </c>
      <c r="M141">
        <v>23568468.468468472</v>
      </c>
      <c r="N141">
        <v>20757117.117117114</v>
      </c>
      <c r="O141">
        <v>85455491.891891882</v>
      </c>
      <c r="P141">
        <v>89345603.603603601</v>
      </c>
      <c r="Q141">
        <v>26369099.0990991</v>
      </c>
      <c r="R141">
        <v>14024414.414414415</v>
      </c>
      <c r="S141">
        <v>7007</v>
      </c>
      <c r="T141">
        <v>6902</v>
      </c>
    </row>
    <row r="142" spans="1:20" x14ac:dyDescent="0.35">
      <c r="A142" s="7" t="s">
        <v>232</v>
      </c>
      <c r="B142" s="12" t="s">
        <v>79</v>
      </c>
      <c r="C142">
        <v>133574990.48804931</v>
      </c>
      <c r="D142">
        <v>135710499.08780456</v>
      </c>
      <c r="E142">
        <v>3396396.3963963971</v>
      </c>
      <c r="F142">
        <v>6702252.2522522556</v>
      </c>
      <c r="G142">
        <v>64</v>
      </c>
      <c r="H142">
        <v>49</v>
      </c>
      <c r="I142">
        <v>1</v>
      </c>
      <c r="K142">
        <v>76</v>
      </c>
      <c r="L142">
        <v>61</v>
      </c>
      <c r="M142">
        <v>31474774.774774775</v>
      </c>
      <c r="N142">
        <v>39796846.846846849</v>
      </c>
      <c r="O142">
        <v>63360846.846846849</v>
      </c>
      <c r="P142">
        <v>64289162.162162162</v>
      </c>
      <c r="Q142">
        <v>33717027.027027026</v>
      </c>
      <c r="R142">
        <v>40328378.378378376</v>
      </c>
      <c r="S142">
        <v>4072</v>
      </c>
      <c r="T142">
        <v>3793</v>
      </c>
    </row>
    <row r="143" spans="1:20" x14ac:dyDescent="0.35">
      <c r="A143" s="7" t="s">
        <v>233</v>
      </c>
      <c r="B143" s="12" t="s">
        <v>61</v>
      </c>
      <c r="C143">
        <v>120516575.12001613</v>
      </c>
      <c r="D143">
        <v>120498574.2003248</v>
      </c>
      <c r="G143">
        <v>43</v>
      </c>
      <c r="H143">
        <v>2</v>
      </c>
      <c r="K143">
        <v>47</v>
      </c>
      <c r="L143">
        <v>4</v>
      </c>
      <c r="O143">
        <v>49996216.216216214</v>
      </c>
      <c r="P143">
        <v>50748207.20720721</v>
      </c>
      <c r="S143">
        <v>2008</v>
      </c>
      <c r="T143">
        <v>1943</v>
      </c>
    </row>
    <row r="144" spans="1:20" x14ac:dyDescent="0.35">
      <c r="A144" s="7" t="s">
        <v>234</v>
      </c>
      <c r="B144" s="12" t="s">
        <v>55</v>
      </c>
      <c r="C144">
        <v>58290322.073706485</v>
      </c>
      <c r="D144">
        <v>57350205.89691525</v>
      </c>
      <c r="E144">
        <v>99099.0990991</v>
      </c>
      <c r="F144">
        <v>1925225.2252252251</v>
      </c>
      <c r="G144">
        <v>42</v>
      </c>
      <c r="H144">
        <v>6</v>
      </c>
      <c r="K144">
        <v>61</v>
      </c>
      <c r="L144">
        <v>7</v>
      </c>
      <c r="M144">
        <v>2337207.2072072071</v>
      </c>
      <c r="N144">
        <v>6210270.2702702712</v>
      </c>
      <c r="O144">
        <v>12847963.963963963</v>
      </c>
      <c r="P144">
        <v>14536360.36036036</v>
      </c>
      <c r="Q144">
        <v>2580270.2702702698</v>
      </c>
      <c r="R144">
        <v>5019819.8198198201</v>
      </c>
      <c r="S144">
        <v>1490</v>
      </c>
      <c r="T144">
        <v>1234</v>
      </c>
    </row>
    <row r="145" spans="1:20" x14ac:dyDescent="0.35">
      <c r="A145" s="7" t="s">
        <v>235</v>
      </c>
      <c r="B145" s="12" t="s">
        <v>168</v>
      </c>
      <c r="C145">
        <v>268320009.51768461</v>
      </c>
      <c r="D145">
        <v>257273145.09836835</v>
      </c>
      <c r="E145">
        <v>391891.89189189201</v>
      </c>
      <c r="F145">
        <v>2053153.153153151</v>
      </c>
      <c r="G145">
        <v>15</v>
      </c>
      <c r="H145">
        <v>23</v>
      </c>
      <c r="K145">
        <v>19</v>
      </c>
      <c r="L145">
        <v>27</v>
      </c>
      <c r="M145">
        <v>32601249.54954955</v>
      </c>
      <c r="N145">
        <v>41730630.630630635</v>
      </c>
      <c r="O145">
        <v>74573157.657657668</v>
      </c>
      <c r="P145">
        <v>88530009.009009004</v>
      </c>
      <c r="Q145">
        <v>14622072.072072072</v>
      </c>
      <c r="R145">
        <v>22946396.396396395</v>
      </c>
      <c r="S145">
        <v>5138</v>
      </c>
      <c r="T145">
        <v>4984</v>
      </c>
    </row>
    <row r="146" spans="1:20" x14ac:dyDescent="0.35">
      <c r="A146" s="7" t="s">
        <v>236</v>
      </c>
      <c r="B146" s="12" t="s">
        <v>237</v>
      </c>
      <c r="C146">
        <v>2169.56322808</v>
      </c>
      <c r="D146">
        <v>1110.2576550389999</v>
      </c>
      <c r="O146">
        <v>4504.5045045050001</v>
      </c>
      <c r="T146">
        <v>48</v>
      </c>
    </row>
    <row r="147" spans="1:20" x14ac:dyDescent="0.35">
      <c r="A147" s="7" t="s">
        <v>238</v>
      </c>
      <c r="B147" s="12" t="s">
        <v>106</v>
      </c>
      <c r="C147">
        <v>157391039.82674298</v>
      </c>
      <c r="D147">
        <v>159034444.28248084</v>
      </c>
      <c r="E147">
        <v>935135.13513513503</v>
      </c>
      <c r="F147">
        <v>504504.50450450601</v>
      </c>
      <c r="G147">
        <v>21</v>
      </c>
      <c r="H147">
        <v>22</v>
      </c>
      <c r="K147">
        <v>22</v>
      </c>
      <c r="L147">
        <v>23</v>
      </c>
      <c r="M147">
        <v>27026666.666666668</v>
      </c>
      <c r="N147">
        <v>22321621.621621624</v>
      </c>
      <c r="O147">
        <v>46253720.720720723</v>
      </c>
      <c r="P147">
        <v>50408801.801801801</v>
      </c>
      <c r="Q147">
        <v>25167837.837837838</v>
      </c>
      <c r="R147">
        <v>19908288.288288288</v>
      </c>
      <c r="S147">
        <v>2039</v>
      </c>
      <c r="T147">
        <v>1917</v>
      </c>
    </row>
    <row r="148" spans="1:20" x14ac:dyDescent="0.35">
      <c r="A148" s="7" t="s">
        <v>3</v>
      </c>
      <c r="B148" s="12" t="s">
        <v>159</v>
      </c>
      <c r="C148">
        <v>323071275.70536774</v>
      </c>
      <c r="D148">
        <v>288055711.85931599</v>
      </c>
      <c r="E148">
        <v>4719594.5945945978</v>
      </c>
      <c r="F148">
        <v>3883333.3333333349</v>
      </c>
      <c r="G148">
        <v>51</v>
      </c>
      <c r="H148">
        <v>54</v>
      </c>
      <c r="K148">
        <v>55</v>
      </c>
      <c r="L148">
        <v>62</v>
      </c>
      <c r="M148">
        <v>63159459.459459454</v>
      </c>
      <c r="N148">
        <v>90465765.765765756</v>
      </c>
      <c r="O148">
        <v>89465567.567567572</v>
      </c>
      <c r="P148">
        <v>83026936.936936945</v>
      </c>
      <c r="Q148">
        <v>58155765.765765756</v>
      </c>
      <c r="R148">
        <v>85371261.261261269</v>
      </c>
      <c r="S148">
        <v>3894</v>
      </c>
      <c r="T148">
        <v>3567</v>
      </c>
    </row>
    <row r="149" spans="1:20" x14ac:dyDescent="0.35">
      <c r="A149" s="7" t="s">
        <v>239</v>
      </c>
      <c r="B149" s="12" t="s">
        <v>179</v>
      </c>
      <c r="C149">
        <v>248203394.34890985</v>
      </c>
      <c r="D149">
        <v>265574184.10119167</v>
      </c>
      <c r="E149">
        <v>528828.82882882899</v>
      </c>
      <c r="F149">
        <v>5231531.5315315332</v>
      </c>
      <c r="G149">
        <v>51</v>
      </c>
      <c r="H149">
        <v>54</v>
      </c>
      <c r="K149">
        <v>61</v>
      </c>
      <c r="L149">
        <v>68</v>
      </c>
      <c r="M149">
        <v>34357657.657657653</v>
      </c>
      <c r="N149">
        <v>45261261.261261262</v>
      </c>
      <c r="O149">
        <v>79054513.51351352</v>
      </c>
      <c r="P149">
        <v>86534585.585585579</v>
      </c>
      <c r="Q149">
        <v>30047387.387387387</v>
      </c>
      <c r="R149">
        <v>42240540.540540546</v>
      </c>
      <c r="S149">
        <v>5467</v>
      </c>
      <c r="T149">
        <v>8172</v>
      </c>
    </row>
    <row r="150" spans="1:20" x14ac:dyDescent="0.35">
      <c r="A150" s="7" t="s">
        <v>240</v>
      </c>
      <c r="B150" s="12" t="s">
        <v>55</v>
      </c>
      <c r="C150">
        <v>179513188.87029895</v>
      </c>
      <c r="D150">
        <v>191214256.21561465</v>
      </c>
      <c r="E150">
        <v>3918018.0180180189</v>
      </c>
      <c r="F150">
        <v>1976576.576576577</v>
      </c>
      <c r="G150">
        <v>32</v>
      </c>
      <c r="H150">
        <v>54</v>
      </c>
      <c r="K150">
        <v>33</v>
      </c>
      <c r="L150">
        <v>77</v>
      </c>
      <c r="M150">
        <v>23161621.62162162</v>
      </c>
      <c r="N150">
        <v>23416126.126126129</v>
      </c>
      <c r="O150">
        <v>50554572.972972974</v>
      </c>
      <c r="P150">
        <v>56879372.972972974</v>
      </c>
      <c r="Q150">
        <v>21759906.306306303</v>
      </c>
      <c r="R150">
        <v>24042432.432432432</v>
      </c>
      <c r="S150">
        <v>3563</v>
      </c>
      <c r="T150">
        <v>3438</v>
      </c>
    </row>
    <row r="151" spans="1:20" x14ac:dyDescent="0.35">
      <c r="A151" s="7" t="s">
        <v>241</v>
      </c>
      <c r="B151" s="12" t="s">
        <v>242</v>
      </c>
      <c r="C151">
        <v>154674150.40841785</v>
      </c>
      <c r="D151">
        <v>148001785.12551597</v>
      </c>
      <c r="E151">
        <v>1344144.144144142</v>
      </c>
      <c r="F151">
        <v>1770720.7207207209</v>
      </c>
      <c r="G151">
        <v>68</v>
      </c>
      <c r="H151">
        <v>50</v>
      </c>
      <c r="K151">
        <v>73</v>
      </c>
      <c r="L151">
        <v>61</v>
      </c>
      <c r="M151">
        <v>32690270.270270273</v>
      </c>
      <c r="N151">
        <v>23061351.351351351</v>
      </c>
      <c r="O151">
        <v>36237565.765765771</v>
      </c>
      <c r="P151">
        <v>39627684.684684686</v>
      </c>
      <c r="Q151">
        <v>25983153.153153151</v>
      </c>
      <c r="R151">
        <v>20804594.594594598</v>
      </c>
      <c r="S151">
        <v>2958</v>
      </c>
      <c r="T151">
        <v>2821</v>
      </c>
    </row>
    <row r="152" spans="1:20" x14ac:dyDescent="0.35">
      <c r="A152" s="7" t="s">
        <v>243</v>
      </c>
      <c r="B152" s="12" t="s">
        <v>242</v>
      </c>
      <c r="C152">
        <v>401675254.08594394</v>
      </c>
      <c r="D152">
        <v>358324624.11318618</v>
      </c>
      <c r="E152">
        <v>327354600</v>
      </c>
      <c r="F152">
        <v>186803496.3963964</v>
      </c>
      <c r="G152">
        <v>156</v>
      </c>
      <c r="H152">
        <v>138</v>
      </c>
      <c r="K152">
        <v>177</v>
      </c>
      <c r="L152">
        <v>153</v>
      </c>
      <c r="M152">
        <v>145911801.8018018</v>
      </c>
      <c r="N152">
        <v>135376846.84684685</v>
      </c>
      <c r="O152">
        <v>119084135.13513513</v>
      </c>
      <c r="P152">
        <v>116805063.06306306</v>
      </c>
      <c r="Q152">
        <v>123299099.0990991</v>
      </c>
      <c r="R152">
        <v>117178108.10810812</v>
      </c>
      <c r="S152">
        <v>7464</v>
      </c>
      <c r="T152">
        <v>6928</v>
      </c>
    </row>
    <row r="153" spans="1:20" x14ac:dyDescent="0.35">
      <c r="A153" s="7" t="s">
        <v>244</v>
      </c>
      <c r="B153" s="12" t="s">
        <v>51</v>
      </c>
      <c r="C153">
        <v>70922904.763448</v>
      </c>
      <c r="D153">
        <v>64232745.355884768</v>
      </c>
      <c r="E153">
        <v>3511711.711711714</v>
      </c>
      <c r="F153">
        <v>2277477.4774774788</v>
      </c>
      <c r="G153">
        <v>13</v>
      </c>
      <c r="H153">
        <v>9</v>
      </c>
      <c r="K153">
        <v>13</v>
      </c>
      <c r="L153">
        <v>10</v>
      </c>
      <c r="M153">
        <v>17975135.135135137</v>
      </c>
      <c r="N153">
        <v>5546171.1711711697</v>
      </c>
      <c r="O153">
        <v>23140819.819819819</v>
      </c>
      <c r="P153">
        <v>22607819.819819819</v>
      </c>
      <c r="Q153">
        <v>15487027.027027028</v>
      </c>
      <c r="R153">
        <v>4396801.8018018026</v>
      </c>
      <c r="S153">
        <v>1229</v>
      </c>
      <c r="T153">
        <v>1608</v>
      </c>
    </row>
    <row r="154" spans="1:20" x14ac:dyDescent="0.35">
      <c r="A154" s="7" t="s">
        <v>245</v>
      </c>
      <c r="B154" s="12" t="s">
        <v>182</v>
      </c>
      <c r="C154">
        <v>2175207644.4742217</v>
      </c>
      <c r="D154">
        <v>2084947635.3421443</v>
      </c>
      <c r="E154">
        <v>230095576.57657659</v>
      </c>
      <c r="F154">
        <v>275830829.72972971</v>
      </c>
      <c r="G154">
        <v>901</v>
      </c>
      <c r="H154">
        <v>861</v>
      </c>
      <c r="I154">
        <v>15</v>
      </c>
      <c r="K154">
        <v>1425</v>
      </c>
      <c r="L154">
        <v>1063</v>
      </c>
      <c r="M154">
        <v>321675585.58558559</v>
      </c>
      <c r="N154">
        <v>544375195.49549544</v>
      </c>
      <c r="O154">
        <v>475940771.17117113</v>
      </c>
      <c r="P154">
        <v>485905547.74774778</v>
      </c>
      <c r="Q154">
        <v>345054954.95495492</v>
      </c>
      <c r="R154">
        <v>534793828.82882881</v>
      </c>
      <c r="S154">
        <v>50566</v>
      </c>
      <c r="T154">
        <v>39077</v>
      </c>
    </row>
    <row r="155" spans="1:20" x14ac:dyDescent="0.35">
      <c r="A155" s="7" t="s">
        <v>246</v>
      </c>
      <c r="B155" s="12" t="s">
        <v>49</v>
      </c>
      <c r="C155">
        <v>95247652.572833106</v>
      </c>
      <c r="D155">
        <v>95615286.640046492</v>
      </c>
      <c r="E155">
        <v>2002027.0270270279</v>
      </c>
      <c r="F155">
        <v>141441.441441442</v>
      </c>
      <c r="G155">
        <v>7</v>
      </c>
      <c r="H155">
        <v>7</v>
      </c>
      <c r="K155">
        <v>10</v>
      </c>
      <c r="L155">
        <v>7</v>
      </c>
      <c r="M155">
        <v>22070450.450450446</v>
      </c>
      <c r="N155">
        <v>9849549.5495495517</v>
      </c>
      <c r="O155">
        <v>22861675.675675675</v>
      </c>
      <c r="P155">
        <v>26197180.180180181</v>
      </c>
      <c r="Q155">
        <v>23357477.47747748</v>
      </c>
      <c r="R155">
        <v>9589189.18918919</v>
      </c>
      <c r="S155">
        <v>2025</v>
      </c>
      <c r="T155">
        <v>1799</v>
      </c>
    </row>
    <row r="156" spans="1:20" x14ac:dyDescent="0.35">
      <c r="A156" s="7" t="s">
        <v>247</v>
      </c>
      <c r="B156" s="12" t="s">
        <v>95</v>
      </c>
      <c r="C156">
        <v>28562013.152469538</v>
      </c>
      <c r="D156">
        <v>24655159.085281081</v>
      </c>
      <c r="G156">
        <v>5</v>
      </c>
      <c r="K156">
        <v>5</v>
      </c>
      <c r="O156">
        <v>5602441.441441441</v>
      </c>
      <c r="P156">
        <v>4944099.0990990987</v>
      </c>
      <c r="S156">
        <v>720</v>
      </c>
      <c r="T156">
        <v>709</v>
      </c>
    </row>
    <row r="157" spans="1:20" x14ac:dyDescent="0.35">
      <c r="A157" s="7" t="s">
        <v>248</v>
      </c>
      <c r="B157" s="12" t="s">
        <v>118</v>
      </c>
      <c r="C157">
        <v>89333291.407474965</v>
      </c>
      <c r="D157">
        <v>82869695.321453378</v>
      </c>
      <c r="E157">
        <v>1746672.0720720729</v>
      </c>
      <c r="F157">
        <v>2426030.630630631</v>
      </c>
      <c r="G157">
        <v>11</v>
      </c>
      <c r="H157">
        <v>19</v>
      </c>
      <c r="K157">
        <v>13</v>
      </c>
      <c r="L157">
        <v>23</v>
      </c>
      <c r="M157">
        <v>12710630.630630633</v>
      </c>
      <c r="N157">
        <v>107596346.84684685</v>
      </c>
      <c r="O157">
        <v>42493756.75675676</v>
      </c>
      <c r="P157">
        <v>42944882.882882878</v>
      </c>
      <c r="Q157">
        <v>13585945.945945946</v>
      </c>
      <c r="R157">
        <v>11794774.774774771</v>
      </c>
      <c r="S157">
        <v>1803</v>
      </c>
      <c r="T157">
        <v>1765</v>
      </c>
    </row>
    <row r="158" spans="1:20" x14ac:dyDescent="0.35">
      <c r="A158" s="7" t="s">
        <v>249</v>
      </c>
      <c r="B158" s="12" t="s">
        <v>122</v>
      </c>
      <c r="C158">
        <v>145557561.15022132</v>
      </c>
      <c r="D158">
        <v>131287734.89150554</v>
      </c>
      <c r="E158">
        <v>901801.80180180201</v>
      </c>
      <c r="F158">
        <v>265765.76576576999</v>
      </c>
      <c r="G158">
        <v>86</v>
      </c>
      <c r="H158">
        <v>78</v>
      </c>
      <c r="K158">
        <v>91</v>
      </c>
      <c r="L158">
        <v>84</v>
      </c>
      <c r="M158">
        <v>6815315.3153153136</v>
      </c>
      <c r="N158">
        <v>7904054.0540540563</v>
      </c>
      <c r="O158">
        <v>16873702.702702705</v>
      </c>
      <c r="P158">
        <v>14434909.90990991</v>
      </c>
      <c r="Q158">
        <v>4895765.7657657648</v>
      </c>
      <c r="R158">
        <v>5594594.5945945932</v>
      </c>
      <c r="S158">
        <v>2439</v>
      </c>
      <c r="T158">
        <v>2336</v>
      </c>
    </row>
    <row r="159" spans="1:20" x14ac:dyDescent="0.35">
      <c r="A159" s="7" t="s">
        <v>250</v>
      </c>
      <c r="B159" s="12" t="s">
        <v>77</v>
      </c>
      <c r="C159">
        <v>63399525.737624258</v>
      </c>
      <c r="D159">
        <v>60355329.3811692</v>
      </c>
      <c r="G159">
        <v>5</v>
      </c>
      <c r="K159">
        <v>6</v>
      </c>
      <c r="O159">
        <v>6295270.2702702703</v>
      </c>
      <c r="P159">
        <v>7136864.8648648653</v>
      </c>
      <c r="S159">
        <v>1748</v>
      </c>
      <c r="T159">
        <v>1688</v>
      </c>
    </row>
    <row r="160" spans="1:20" x14ac:dyDescent="0.35">
      <c r="A160" s="7" t="s">
        <v>251</v>
      </c>
      <c r="B160" s="12" t="s">
        <v>168</v>
      </c>
      <c r="C160">
        <v>205182375.21996284</v>
      </c>
      <c r="D160">
        <v>207873909.8200222</v>
      </c>
      <c r="F160">
        <v>900900.90090090001</v>
      </c>
      <c r="G160">
        <v>14</v>
      </c>
      <c r="H160">
        <v>9</v>
      </c>
      <c r="K160">
        <v>14</v>
      </c>
      <c r="L160">
        <v>11</v>
      </c>
      <c r="M160">
        <v>3909909.9099099059</v>
      </c>
      <c r="N160">
        <v>9091441.4414414391</v>
      </c>
      <c r="O160">
        <v>38310216.216216214</v>
      </c>
      <c r="P160">
        <v>53415189.189189196</v>
      </c>
      <c r="Q160">
        <v>3117297.2972972952</v>
      </c>
      <c r="R160">
        <v>5543243.2432432426</v>
      </c>
      <c r="S160">
        <v>3717</v>
      </c>
      <c r="T160">
        <v>3596</v>
      </c>
    </row>
    <row r="161" spans="1:20" x14ac:dyDescent="0.35">
      <c r="A161" s="7" t="s">
        <v>252</v>
      </c>
      <c r="B161" s="12" t="s">
        <v>90</v>
      </c>
      <c r="C161">
        <v>602566811.91756344</v>
      </c>
      <c r="D161">
        <v>623729353.6861788</v>
      </c>
      <c r="E161">
        <v>5190540.5405405434</v>
      </c>
      <c r="F161">
        <v>4951351.3513513599</v>
      </c>
      <c r="G161">
        <v>110</v>
      </c>
      <c r="H161">
        <v>49</v>
      </c>
      <c r="I161">
        <v>1</v>
      </c>
      <c r="K161">
        <v>121</v>
      </c>
      <c r="L161">
        <v>70</v>
      </c>
      <c r="M161">
        <v>53766756.756756753</v>
      </c>
      <c r="N161">
        <v>51549549.54954955</v>
      </c>
      <c r="O161">
        <v>148153063.06306309</v>
      </c>
      <c r="P161">
        <v>164789351.35135135</v>
      </c>
      <c r="Q161">
        <v>50551801.801801801</v>
      </c>
      <c r="R161">
        <v>51422612.612612605</v>
      </c>
      <c r="S161">
        <v>10251</v>
      </c>
      <c r="T161">
        <v>10986</v>
      </c>
    </row>
    <row r="162" spans="1:20" x14ac:dyDescent="0.35">
      <c r="A162" s="7" t="s">
        <v>253</v>
      </c>
      <c r="B162" s="12" t="s">
        <v>79</v>
      </c>
      <c r="C162">
        <v>177798419.45132381</v>
      </c>
      <c r="D162">
        <v>180806485.26934132</v>
      </c>
      <c r="E162">
        <v>3157657.6576576601</v>
      </c>
      <c r="F162">
        <v>1861261.261261265</v>
      </c>
      <c r="G162">
        <v>27</v>
      </c>
      <c r="H162">
        <v>17</v>
      </c>
      <c r="K162">
        <v>30</v>
      </c>
      <c r="L162">
        <v>18</v>
      </c>
      <c r="M162">
        <v>42041981.981981985</v>
      </c>
      <c r="N162">
        <v>30001441.441441443</v>
      </c>
      <c r="O162">
        <v>50111486.486486487</v>
      </c>
      <c r="P162">
        <v>52037450.45045045</v>
      </c>
      <c r="Q162">
        <v>38877387.387387387</v>
      </c>
      <c r="R162">
        <v>29939099.0990991</v>
      </c>
      <c r="S162">
        <v>3642</v>
      </c>
      <c r="T162">
        <v>2818</v>
      </c>
    </row>
    <row r="163" spans="1:20" x14ac:dyDescent="0.35">
      <c r="A163" s="7" t="s">
        <v>254</v>
      </c>
      <c r="B163" s="12" t="s">
        <v>106</v>
      </c>
      <c r="C163">
        <v>348811954.743159</v>
      </c>
      <c r="D163">
        <v>362298596.40275168</v>
      </c>
      <c r="E163">
        <v>178161679.27927929</v>
      </c>
      <c r="F163">
        <v>338442023.42342341</v>
      </c>
      <c r="G163">
        <v>152</v>
      </c>
      <c r="H163">
        <v>89</v>
      </c>
      <c r="I163">
        <v>1</v>
      </c>
      <c r="K163">
        <v>191</v>
      </c>
      <c r="L163">
        <v>108</v>
      </c>
      <c r="M163">
        <v>68154774.774774775</v>
      </c>
      <c r="N163">
        <v>177405270.27027026</v>
      </c>
      <c r="O163">
        <v>102071954.95495497</v>
      </c>
      <c r="P163">
        <v>109000369.36936937</v>
      </c>
      <c r="Q163">
        <v>66814774.774774775</v>
      </c>
      <c r="R163">
        <v>176896711.7117117</v>
      </c>
      <c r="S163">
        <v>5642</v>
      </c>
      <c r="T163">
        <v>5185</v>
      </c>
    </row>
    <row r="164" spans="1:20" x14ac:dyDescent="0.35">
      <c r="A164" s="7" t="s">
        <v>255</v>
      </c>
      <c r="B164" s="12" t="s">
        <v>106</v>
      </c>
      <c r="C164">
        <v>230896565.90765604</v>
      </c>
      <c r="D164">
        <v>209455415.96091363</v>
      </c>
      <c r="E164">
        <v>2497972.972972976</v>
      </c>
      <c r="F164">
        <v>1703603.603603604</v>
      </c>
      <c r="G164">
        <v>27</v>
      </c>
      <c r="H164">
        <v>35</v>
      </c>
      <c r="I164">
        <v>1</v>
      </c>
      <c r="K164">
        <v>33</v>
      </c>
      <c r="L164">
        <v>38</v>
      </c>
      <c r="M164">
        <v>20424684.684684683</v>
      </c>
      <c r="N164">
        <v>24310360.360360362</v>
      </c>
      <c r="O164">
        <v>72405558.558558553</v>
      </c>
      <c r="P164">
        <v>72797207.207207203</v>
      </c>
      <c r="Q164">
        <v>17723693.693693694</v>
      </c>
      <c r="R164">
        <v>21343963.963963963</v>
      </c>
      <c r="S164">
        <v>4096</v>
      </c>
      <c r="T164">
        <v>4206</v>
      </c>
    </row>
    <row r="165" spans="1:20" x14ac:dyDescent="0.35">
      <c r="A165" s="7" t="s">
        <v>256</v>
      </c>
      <c r="B165" s="12" t="s">
        <v>106</v>
      </c>
      <c r="C165">
        <v>190434334.68397862</v>
      </c>
      <c r="D165">
        <v>207055946.18538985</v>
      </c>
      <c r="E165">
        <v>133333.33333333401</v>
      </c>
      <c r="F165">
        <v>69369.369369370004</v>
      </c>
      <c r="G165">
        <v>33</v>
      </c>
      <c r="H165">
        <v>25</v>
      </c>
      <c r="I165">
        <v>4</v>
      </c>
      <c r="K165">
        <v>34</v>
      </c>
      <c r="L165">
        <v>29</v>
      </c>
      <c r="M165">
        <v>2385585.5855855858</v>
      </c>
      <c r="N165">
        <v>2096396.3963963969</v>
      </c>
      <c r="O165">
        <v>40853304.504504502</v>
      </c>
      <c r="P165">
        <v>49319279.279279277</v>
      </c>
      <c r="Q165">
        <v>2519909.9099099101</v>
      </c>
      <c r="R165">
        <v>1904774.7747747749</v>
      </c>
      <c r="S165">
        <v>2455</v>
      </c>
      <c r="T165">
        <v>2218</v>
      </c>
    </row>
    <row r="166" spans="1:20" x14ac:dyDescent="0.35">
      <c r="A166" s="7" t="s">
        <v>257</v>
      </c>
      <c r="B166" s="12" t="s">
        <v>135</v>
      </c>
      <c r="C166">
        <v>296558372.92079014</v>
      </c>
      <c r="D166">
        <v>316637481.91989332</v>
      </c>
      <c r="E166">
        <v>909909.90990991099</v>
      </c>
      <c r="F166">
        <v>801801.80180180201</v>
      </c>
      <c r="G166">
        <v>22</v>
      </c>
      <c r="H166">
        <v>15</v>
      </c>
      <c r="K166">
        <v>23</v>
      </c>
      <c r="L166">
        <v>19</v>
      </c>
      <c r="M166">
        <v>3531531.5315315318</v>
      </c>
      <c r="N166">
        <v>6702702.702702703</v>
      </c>
      <c r="O166">
        <v>20746135.135135137</v>
      </c>
      <c r="P166">
        <v>31539774.774774775</v>
      </c>
      <c r="Q166">
        <v>4376576.5765765766</v>
      </c>
      <c r="R166">
        <v>5556036.036036036</v>
      </c>
      <c r="S166">
        <v>4313</v>
      </c>
      <c r="T166">
        <v>4276</v>
      </c>
    </row>
    <row r="167" spans="1:20" x14ac:dyDescent="0.35">
      <c r="A167" s="7" t="s">
        <v>258</v>
      </c>
      <c r="B167" s="12" t="s">
        <v>168</v>
      </c>
      <c r="C167">
        <v>105354833.13134858</v>
      </c>
      <c r="D167">
        <v>118543617.78242908</v>
      </c>
      <c r="E167">
        <v>1184684.684684685</v>
      </c>
      <c r="F167">
        <v>874774.77477477503</v>
      </c>
      <c r="G167">
        <v>25</v>
      </c>
      <c r="H167">
        <v>8</v>
      </c>
      <c r="K167">
        <v>27</v>
      </c>
      <c r="L167">
        <v>10</v>
      </c>
      <c r="M167">
        <v>5740332.4324324317</v>
      </c>
      <c r="N167">
        <v>9245045.045045048</v>
      </c>
      <c r="O167">
        <v>35560124.324324325</v>
      </c>
      <c r="P167">
        <v>45680612.612612605</v>
      </c>
      <c r="Q167">
        <v>5212252.2522522518</v>
      </c>
      <c r="R167">
        <v>8686036.0360360388</v>
      </c>
      <c r="S167">
        <v>2660</v>
      </c>
      <c r="T167">
        <v>2557</v>
      </c>
    </row>
    <row r="168" spans="1:20" x14ac:dyDescent="0.35">
      <c r="A168" s="7" t="s">
        <v>259</v>
      </c>
      <c r="B168" s="12" t="s">
        <v>61</v>
      </c>
      <c r="C168">
        <v>41375339.614822268</v>
      </c>
      <c r="D168">
        <v>42129704.401654482</v>
      </c>
      <c r="E168">
        <v>35835135.135135129</v>
      </c>
      <c r="F168">
        <v>602344594.5945946</v>
      </c>
      <c r="G168">
        <v>19</v>
      </c>
      <c r="H168">
        <v>15</v>
      </c>
      <c r="I168">
        <v>3</v>
      </c>
      <c r="K168">
        <v>27</v>
      </c>
      <c r="L168">
        <v>24</v>
      </c>
      <c r="M168">
        <v>10015315.315315315</v>
      </c>
      <c r="N168">
        <v>13650900.9009009</v>
      </c>
      <c r="O168">
        <v>14816468.468468469</v>
      </c>
      <c r="P168">
        <v>15385000</v>
      </c>
      <c r="Q168">
        <v>8220450.4504504511</v>
      </c>
      <c r="R168">
        <v>11003333.333333334</v>
      </c>
      <c r="S168">
        <v>714</v>
      </c>
      <c r="T168">
        <v>638</v>
      </c>
    </row>
    <row r="169" spans="1:20" x14ac:dyDescent="0.35">
      <c r="A169" s="7" t="s">
        <v>260</v>
      </c>
      <c r="B169" s="12" t="s">
        <v>261</v>
      </c>
      <c r="C169">
        <v>24873155.869870439</v>
      </c>
      <c r="D169">
        <v>26200316.121775694</v>
      </c>
      <c r="E169">
        <v>16216.216216216</v>
      </c>
      <c r="F169">
        <v>1090090.0900900899</v>
      </c>
      <c r="G169">
        <v>7</v>
      </c>
      <c r="H169">
        <v>2</v>
      </c>
      <c r="K169">
        <v>11</v>
      </c>
      <c r="L169">
        <v>2</v>
      </c>
      <c r="M169">
        <v>4104054.054054054</v>
      </c>
      <c r="N169">
        <v>2891891.8918918921</v>
      </c>
      <c r="O169">
        <v>4439531.5315315314</v>
      </c>
      <c r="P169">
        <v>6344846.8468468469</v>
      </c>
      <c r="Q169">
        <v>2701441.441441441</v>
      </c>
      <c r="R169">
        <v>1537927.927927928</v>
      </c>
      <c r="S169">
        <v>596</v>
      </c>
      <c r="T169">
        <v>605</v>
      </c>
    </row>
    <row r="170" spans="1:20" x14ac:dyDescent="0.35">
      <c r="A170" s="7" t="s">
        <v>262</v>
      </c>
      <c r="B170" s="12" t="s">
        <v>61</v>
      </c>
      <c r="C170">
        <v>386736334.5523085</v>
      </c>
      <c r="D170">
        <v>388116038.42756706</v>
      </c>
      <c r="E170">
        <v>236955499.0990991</v>
      </c>
      <c r="F170">
        <v>794679145.04504502</v>
      </c>
      <c r="G170">
        <v>253</v>
      </c>
      <c r="H170">
        <v>244</v>
      </c>
      <c r="I170">
        <v>3</v>
      </c>
      <c r="K170">
        <v>750</v>
      </c>
      <c r="L170">
        <v>367</v>
      </c>
      <c r="M170">
        <v>78783333.333333343</v>
      </c>
      <c r="N170">
        <v>104233827.92792794</v>
      </c>
      <c r="O170">
        <v>143375768.01801801</v>
      </c>
      <c r="P170">
        <v>142406720.72072071</v>
      </c>
      <c r="Q170">
        <v>88188828.828828827</v>
      </c>
      <c r="R170">
        <v>100005315.31531531</v>
      </c>
      <c r="S170">
        <v>7511</v>
      </c>
      <c r="T170">
        <v>5923</v>
      </c>
    </row>
    <row r="171" spans="1:20" x14ac:dyDescent="0.35">
      <c r="A171" s="7" t="s">
        <v>263</v>
      </c>
      <c r="B171" s="12" t="s">
        <v>124</v>
      </c>
      <c r="C171">
        <v>298515046.94495249</v>
      </c>
      <c r="D171">
        <v>280364926.12715691</v>
      </c>
      <c r="E171">
        <v>455855.85585585702</v>
      </c>
      <c r="F171">
        <v>936036.03603603796</v>
      </c>
      <c r="G171">
        <v>82</v>
      </c>
      <c r="H171">
        <v>77</v>
      </c>
      <c r="I171">
        <v>1</v>
      </c>
      <c r="K171">
        <v>106</v>
      </c>
      <c r="L171">
        <v>96</v>
      </c>
      <c r="M171">
        <v>27685855.855855856</v>
      </c>
      <c r="N171">
        <v>22785135.135135137</v>
      </c>
      <c r="O171">
        <v>117060693.6936937</v>
      </c>
      <c r="P171">
        <v>114306070.27027027</v>
      </c>
      <c r="Q171">
        <v>25496756.756756756</v>
      </c>
      <c r="R171">
        <v>23001891.891891893</v>
      </c>
      <c r="S171">
        <v>5603</v>
      </c>
      <c r="T171">
        <v>5489</v>
      </c>
    </row>
    <row r="172" spans="1:20" x14ac:dyDescent="0.35">
      <c r="A172" s="7" t="s">
        <v>264</v>
      </c>
      <c r="B172" s="12" t="s">
        <v>124</v>
      </c>
      <c r="C172">
        <v>126873176.47432539</v>
      </c>
      <c r="D172">
        <v>131689931.66354994</v>
      </c>
      <c r="E172">
        <v>2886711.711711714</v>
      </c>
      <c r="F172">
        <v>5351351.3513513552</v>
      </c>
      <c r="G172">
        <v>82</v>
      </c>
      <c r="H172">
        <v>78</v>
      </c>
      <c r="I172">
        <v>2</v>
      </c>
      <c r="K172">
        <v>302</v>
      </c>
      <c r="L172">
        <v>271</v>
      </c>
      <c r="M172">
        <v>64734684.684684679</v>
      </c>
      <c r="N172">
        <v>39308468.468468472</v>
      </c>
      <c r="O172">
        <v>53295351.351351351</v>
      </c>
      <c r="P172">
        <v>60210684.684684686</v>
      </c>
      <c r="Q172">
        <v>65947117.117117122</v>
      </c>
      <c r="R172">
        <v>38071171.171171166</v>
      </c>
      <c r="S172">
        <v>2706</v>
      </c>
      <c r="T172">
        <v>2505</v>
      </c>
    </row>
    <row r="173" spans="1:20" x14ac:dyDescent="0.35">
      <c r="A173" s="7" t="s">
        <v>265</v>
      </c>
      <c r="B173" s="12" t="s">
        <v>126</v>
      </c>
      <c r="C173">
        <v>320166460.46629292</v>
      </c>
      <c r="D173">
        <v>319581109.26075095</v>
      </c>
      <c r="E173">
        <v>3784234.2342342329</v>
      </c>
      <c r="F173">
        <v>3458108.1081081121</v>
      </c>
      <c r="G173">
        <v>90</v>
      </c>
      <c r="H173">
        <v>47</v>
      </c>
      <c r="K173">
        <v>90</v>
      </c>
      <c r="L173">
        <v>49</v>
      </c>
      <c r="M173">
        <v>29009009.009009007</v>
      </c>
      <c r="N173">
        <v>31880630.630630627</v>
      </c>
      <c r="O173">
        <v>116734996.3963964</v>
      </c>
      <c r="P173">
        <v>114995936.93693694</v>
      </c>
      <c r="Q173">
        <v>30743286.486486483</v>
      </c>
      <c r="R173">
        <v>26134594.594594598</v>
      </c>
      <c r="S173">
        <v>4505</v>
      </c>
      <c r="T173">
        <v>3887</v>
      </c>
    </row>
    <row r="174" spans="1:20" x14ac:dyDescent="0.35">
      <c r="A174" s="7" t="s">
        <v>266</v>
      </c>
      <c r="B174" s="12" t="s">
        <v>124</v>
      </c>
      <c r="C174">
        <v>306994918.81348687</v>
      </c>
      <c r="D174">
        <v>296911285.30981123</v>
      </c>
      <c r="E174">
        <v>2116216.2162162168</v>
      </c>
      <c r="F174">
        <v>2159909.9099099129</v>
      </c>
      <c r="G174">
        <v>49</v>
      </c>
      <c r="H174">
        <v>49</v>
      </c>
      <c r="I174">
        <v>1</v>
      </c>
      <c r="K174">
        <v>51</v>
      </c>
      <c r="L174">
        <v>53</v>
      </c>
      <c r="M174">
        <v>35557747.747747749</v>
      </c>
      <c r="N174">
        <v>36796486.486486487</v>
      </c>
      <c r="O174">
        <v>108375742.34234233</v>
      </c>
      <c r="P174">
        <v>113851971.17117117</v>
      </c>
      <c r="Q174">
        <v>35405585.585585587</v>
      </c>
      <c r="R174">
        <v>37337927.927927926</v>
      </c>
      <c r="S174">
        <v>4986</v>
      </c>
      <c r="T174">
        <v>4349</v>
      </c>
    </row>
    <row r="175" spans="1:20" x14ac:dyDescent="0.35">
      <c r="A175" s="7" t="s">
        <v>267</v>
      </c>
      <c r="B175" s="12" t="s">
        <v>124</v>
      </c>
      <c r="C175">
        <v>319579616.01466161</v>
      </c>
      <c r="D175">
        <v>326470596.13695842</v>
      </c>
      <c r="E175">
        <v>2986036.036036036</v>
      </c>
      <c r="F175">
        <v>3308558.5585585642</v>
      </c>
      <c r="G175">
        <v>65</v>
      </c>
      <c r="H175">
        <v>80</v>
      </c>
      <c r="K175">
        <v>71</v>
      </c>
      <c r="L175">
        <v>87</v>
      </c>
      <c r="M175">
        <v>53973783.783783786</v>
      </c>
      <c r="N175">
        <v>40448648.648648649</v>
      </c>
      <c r="O175">
        <v>130460926.12612613</v>
      </c>
      <c r="P175">
        <v>130592601.8018018</v>
      </c>
      <c r="Q175">
        <v>53310090.090090089</v>
      </c>
      <c r="R175">
        <v>39288108.108108103</v>
      </c>
      <c r="S175">
        <v>5752</v>
      </c>
      <c r="T175">
        <v>5891</v>
      </c>
    </row>
    <row r="176" spans="1:20" x14ac:dyDescent="0.35">
      <c r="A176" s="7" t="s">
        <v>268</v>
      </c>
      <c r="B176" s="12" t="s">
        <v>179</v>
      </c>
      <c r="C176">
        <v>1623665011.3015616</v>
      </c>
      <c r="D176">
        <v>1621426408.5951769</v>
      </c>
      <c r="E176">
        <v>995493036.93693697</v>
      </c>
      <c r="F176">
        <v>1031997704.5045044</v>
      </c>
      <c r="G176">
        <v>791</v>
      </c>
      <c r="H176">
        <v>624</v>
      </c>
      <c r="I176">
        <v>1</v>
      </c>
      <c r="K176">
        <v>1199</v>
      </c>
      <c r="L176">
        <v>1350</v>
      </c>
      <c r="M176">
        <v>236924618.01801801</v>
      </c>
      <c r="N176">
        <v>470136936.93693697</v>
      </c>
      <c r="O176">
        <v>488843417.11711711</v>
      </c>
      <c r="P176">
        <v>521431571.17117119</v>
      </c>
      <c r="Q176">
        <v>216488018.01801801</v>
      </c>
      <c r="R176">
        <v>244800315.31531534</v>
      </c>
      <c r="S176">
        <v>35411</v>
      </c>
      <c r="T176">
        <v>33109</v>
      </c>
    </row>
    <row r="177" spans="1:20" x14ac:dyDescent="0.35">
      <c r="A177" s="7" t="s">
        <v>269</v>
      </c>
      <c r="B177" s="12" t="s">
        <v>63</v>
      </c>
      <c r="C177">
        <v>263747529.38613352</v>
      </c>
      <c r="D177">
        <v>275589901.0284875</v>
      </c>
      <c r="E177">
        <v>6421621.6216216227</v>
      </c>
      <c r="F177">
        <v>8726666.6666666679</v>
      </c>
      <c r="G177">
        <v>56</v>
      </c>
      <c r="H177">
        <v>194</v>
      </c>
      <c r="K177">
        <v>61</v>
      </c>
      <c r="L177">
        <v>254</v>
      </c>
      <c r="M177">
        <v>81536666.666666657</v>
      </c>
      <c r="N177">
        <v>88416756.756756753</v>
      </c>
      <c r="O177">
        <v>87651711.711711705</v>
      </c>
      <c r="P177">
        <v>100998304.50450452</v>
      </c>
      <c r="Q177">
        <v>76486576.576576576</v>
      </c>
      <c r="R177">
        <v>92502612.612612605</v>
      </c>
      <c r="S177">
        <v>4932</v>
      </c>
      <c r="T177">
        <v>4894</v>
      </c>
    </row>
    <row r="178" spans="1:20" x14ac:dyDescent="0.35">
      <c r="A178" s="7" t="s">
        <v>270</v>
      </c>
      <c r="B178" s="12" t="s">
        <v>71</v>
      </c>
      <c r="C178">
        <v>341183825.81730044</v>
      </c>
      <c r="D178">
        <v>328900346.66494447</v>
      </c>
      <c r="E178">
        <v>6289774.7747747796</v>
      </c>
      <c r="F178">
        <v>13811711.711711716</v>
      </c>
      <c r="G178">
        <v>124</v>
      </c>
      <c r="H178">
        <v>154</v>
      </c>
      <c r="K178">
        <v>423</v>
      </c>
      <c r="L178">
        <v>207</v>
      </c>
      <c r="M178">
        <v>32208108.108108111</v>
      </c>
      <c r="N178">
        <v>65500667.567567565</v>
      </c>
      <c r="O178">
        <v>159761603.6036036</v>
      </c>
      <c r="P178">
        <v>159968603.6036036</v>
      </c>
      <c r="Q178">
        <v>23679909.909909911</v>
      </c>
      <c r="R178">
        <v>52623153.153153151</v>
      </c>
      <c r="S178">
        <v>7359</v>
      </c>
      <c r="T178">
        <v>6813</v>
      </c>
    </row>
    <row r="179" spans="1:20" x14ac:dyDescent="0.35">
      <c r="A179" s="7" t="s">
        <v>271</v>
      </c>
      <c r="B179" s="12" t="s">
        <v>135</v>
      </c>
      <c r="C179">
        <v>5016794.7970414311</v>
      </c>
      <c r="D179">
        <v>5221136.4017273411</v>
      </c>
      <c r="L179">
        <v>1</v>
      </c>
      <c r="O179">
        <v>388018.01801801799</v>
      </c>
      <c r="P179">
        <v>355720.720720721</v>
      </c>
      <c r="S179">
        <v>237</v>
      </c>
      <c r="T179">
        <v>256</v>
      </c>
    </row>
    <row r="180" spans="1:20" x14ac:dyDescent="0.35">
      <c r="A180" s="7" t="s">
        <v>272</v>
      </c>
      <c r="B180" s="12" t="s">
        <v>77</v>
      </c>
      <c r="C180">
        <v>157854803.04545733</v>
      </c>
      <c r="D180">
        <v>149602501.6218172</v>
      </c>
      <c r="E180">
        <v>76576.576576577005</v>
      </c>
      <c r="F180">
        <v>515315.31531531498</v>
      </c>
      <c r="G180">
        <v>19</v>
      </c>
      <c r="H180">
        <v>20</v>
      </c>
      <c r="K180">
        <v>21</v>
      </c>
      <c r="L180">
        <v>20</v>
      </c>
      <c r="M180">
        <v>166666.66666666701</v>
      </c>
      <c r="N180">
        <v>731531.53153153101</v>
      </c>
      <c r="O180">
        <v>9257247.7477477472</v>
      </c>
      <c r="P180">
        <v>10821270.270270269</v>
      </c>
      <c r="Q180">
        <v>271171.17117117101</v>
      </c>
      <c r="R180">
        <v>646846.84684684698</v>
      </c>
      <c r="S180">
        <v>2480</v>
      </c>
      <c r="T180">
        <v>2445</v>
      </c>
    </row>
    <row r="181" spans="1:20" x14ac:dyDescent="0.35">
      <c r="A181" s="7" t="s">
        <v>273</v>
      </c>
      <c r="B181" s="12" t="s">
        <v>77</v>
      </c>
      <c r="C181">
        <v>55470892.456966542</v>
      </c>
      <c r="D181">
        <v>62934271.57756786</v>
      </c>
      <c r="E181">
        <v>169369.36936936999</v>
      </c>
      <c r="F181">
        <v>327027.02702702698</v>
      </c>
      <c r="G181">
        <v>5</v>
      </c>
      <c r="H181">
        <v>16</v>
      </c>
      <c r="K181">
        <v>6</v>
      </c>
      <c r="L181">
        <v>18</v>
      </c>
      <c r="M181">
        <v>12794774.774774777</v>
      </c>
      <c r="N181">
        <v>13672972.972972974</v>
      </c>
      <c r="O181">
        <v>13785729.729729731</v>
      </c>
      <c r="P181">
        <v>18298872.072072074</v>
      </c>
      <c r="Q181">
        <v>10149009.009009007</v>
      </c>
      <c r="R181">
        <v>12783063.063063065</v>
      </c>
      <c r="S181">
        <v>795</v>
      </c>
      <c r="T181">
        <v>799</v>
      </c>
    </row>
    <row r="182" spans="1:20" x14ac:dyDescent="0.35">
      <c r="A182" s="7" t="s">
        <v>274</v>
      </c>
      <c r="B182" s="12" t="s">
        <v>261</v>
      </c>
      <c r="C182">
        <v>1142687090.4885502</v>
      </c>
      <c r="D182">
        <v>1180351474.9509132</v>
      </c>
      <c r="E182">
        <v>14222522.522522524</v>
      </c>
      <c r="F182">
        <v>17102702.702702712</v>
      </c>
      <c r="G182">
        <v>325</v>
      </c>
      <c r="H182">
        <v>507</v>
      </c>
      <c r="K182">
        <v>424</v>
      </c>
      <c r="L182">
        <v>675</v>
      </c>
      <c r="M182">
        <v>238245045.04504505</v>
      </c>
      <c r="N182">
        <v>292021126.12612617</v>
      </c>
      <c r="O182">
        <v>351587004.5045045</v>
      </c>
      <c r="P182">
        <v>396282178.37837839</v>
      </c>
      <c r="Q182">
        <v>211567657.65765765</v>
      </c>
      <c r="R182">
        <v>263970045.04504505</v>
      </c>
      <c r="S182">
        <v>20089</v>
      </c>
      <c r="T182">
        <v>19038</v>
      </c>
    </row>
    <row r="183" spans="1:20" x14ac:dyDescent="0.35">
      <c r="A183" s="7" t="s">
        <v>275</v>
      </c>
      <c r="B183" s="12" t="s">
        <v>261</v>
      </c>
      <c r="C183">
        <v>255379783.80254674</v>
      </c>
      <c r="D183">
        <v>247306982.22287533</v>
      </c>
      <c r="E183">
        <v>1474774.7747747761</v>
      </c>
      <c r="F183">
        <v>619819.81981982396</v>
      </c>
      <c r="G183">
        <v>14</v>
      </c>
      <c r="H183">
        <v>35</v>
      </c>
      <c r="K183">
        <v>18</v>
      </c>
      <c r="L183">
        <v>36</v>
      </c>
      <c r="M183">
        <v>18222072.072072074</v>
      </c>
      <c r="N183">
        <v>23802702.702702705</v>
      </c>
      <c r="O183">
        <v>52063810.810810804</v>
      </c>
      <c r="P183">
        <v>56970720.720720723</v>
      </c>
      <c r="Q183">
        <v>15534504.5045045</v>
      </c>
      <c r="R183">
        <v>21460673.873873875</v>
      </c>
      <c r="S183">
        <v>3848</v>
      </c>
      <c r="T183">
        <v>3768</v>
      </c>
    </row>
    <row r="184" spans="1:20" x14ac:dyDescent="0.35">
      <c r="A184" s="7" t="s">
        <v>276</v>
      </c>
      <c r="B184" s="12" t="s">
        <v>261</v>
      </c>
      <c r="C184">
        <v>283842155.17716426</v>
      </c>
      <c r="D184">
        <v>318407175.20863384</v>
      </c>
      <c r="E184">
        <v>7619459.4594594566</v>
      </c>
      <c r="F184">
        <v>8600859.4594594631</v>
      </c>
      <c r="G184">
        <v>40</v>
      </c>
      <c r="H184">
        <v>49</v>
      </c>
      <c r="K184">
        <v>43</v>
      </c>
      <c r="L184">
        <v>52</v>
      </c>
      <c r="M184">
        <v>51763963.963963971</v>
      </c>
      <c r="N184">
        <v>42416030.630630635</v>
      </c>
      <c r="O184">
        <v>66287855.855855852</v>
      </c>
      <c r="P184">
        <v>86107790.990990996</v>
      </c>
      <c r="Q184">
        <v>52499459.459459461</v>
      </c>
      <c r="R184">
        <v>41897927.927927926</v>
      </c>
      <c r="S184">
        <v>6268</v>
      </c>
      <c r="T184">
        <v>5906</v>
      </c>
    </row>
    <row r="185" spans="1:20" x14ac:dyDescent="0.35">
      <c r="A185" s="7" t="s">
        <v>277</v>
      </c>
      <c r="B185" s="12" t="s">
        <v>135</v>
      </c>
      <c r="C185">
        <v>358012483.76522058</v>
      </c>
      <c r="D185">
        <v>379808438.99989098</v>
      </c>
      <c r="E185">
        <v>2263963.963963965</v>
      </c>
      <c r="F185">
        <v>2270270.2702702712</v>
      </c>
      <c r="G185">
        <v>65</v>
      </c>
      <c r="H185">
        <v>35</v>
      </c>
      <c r="K185">
        <v>73</v>
      </c>
      <c r="L185">
        <v>38</v>
      </c>
      <c r="M185">
        <v>17581081.081081081</v>
      </c>
      <c r="N185">
        <v>18936936.936936937</v>
      </c>
      <c r="O185">
        <v>32581671.171171173</v>
      </c>
      <c r="P185">
        <v>39084475.675675675</v>
      </c>
      <c r="Q185">
        <v>8283693.6936936928</v>
      </c>
      <c r="R185">
        <v>9450990.9909909926</v>
      </c>
      <c r="S185">
        <v>5646</v>
      </c>
      <c r="T185">
        <v>5365</v>
      </c>
    </row>
    <row r="186" spans="1:20" x14ac:dyDescent="0.35">
      <c r="A186" s="7" t="s">
        <v>278</v>
      </c>
      <c r="B186" s="12" t="s">
        <v>170</v>
      </c>
      <c r="C186">
        <v>207110207.20370099</v>
      </c>
      <c r="D186">
        <v>195755084.20296365</v>
      </c>
      <c r="E186">
        <v>1551351.351351351</v>
      </c>
      <c r="F186">
        <v>2718018.0180180199</v>
      </c>
      <c r="G186">
        <v>35</v>
      </c>
      <c r="H186">
        <v>13</v>
      </c>
      <c r="K186">
        <v>38</v>
      </c>
      <c r="L186">
        <v>14</v>
      </c>
      <c r="M186">
        <v>18706756.756756756</v>
      </c>
      <c r="N186">
        <v>13907207.20720721</v>
      </c>
      <c r="O186">
        <v>94545295.045045033</v>
      </c>
      <c r="P186">
        <v>90169313.51351352</v>
      </c>
      <c r="Q186">
        <v>13995765.765765764</v>
      </c>
      <c r="R186">
        <v>11828378.378378378</v>
      </c>
      <c r="S186">
        <v>5860</v>
      </c>
      <c r="T186">
        <v>3260</v>
      </c>
    </row>
    <row r="187" spans="1:20" x14ac:dyDescent="0.35">
      <c r="A187" s="7" t="s">
        <v>279</v>
      </c>
      <c r="B187" s="12" t="s">
        <v>170</v>
      </c>
      <c r="C187">
        <v>123927384.612296</v>
      </c>
      <c r="D187">
        <v>110507691.68225175</v>
      </c>
      <c r="E187">
        <v>59459.459459459002</v>
      </c>
      <c r="F187">
        <v>8108.1081081080001</v>
      </c>
      <c r="G187">
        <v>20</v>
      </c>
      <c r="H187">
        <v>46</v>
      </c>
      <c r="K187">
        <v>21</v>
      </c>
      <c r="L187">
        <v>47</v>
      </c>
      <c r="M187">
        <v>8651013.5135135148</v>
      </c>
      <c r="N187">
        <v>6854954.9549549557</v>
      </c>
      <c r="O187">
        <v>54500022.522522517</v>
      </c>
      <c r="P187">
        <v>57208630.630630635</v>
      </c>
      <c r="Q187">
        <v>7186036.036036036</v>
      </c>
      <c r="R187">
        <v>5811171.1711711697</v>
      </c>
      <c r="S187">
        <v>2129</v>
      </c>
      <c r="T187">
        <v>2040</v>
      </c>
    </row>
    <row r="188" spans="1:20" x14ac:dyDescent="0.35">
      <c r="A188" s="7" t="s">
        <v>280</v>
      </c>
      <c r="B188" s="12" t="s">
        <v>88</v>
      </c>
      <c r="C188">
        <v>2906710.0167282778</v>
      </c>
      <c r="D188">
        <v>3126535.1704604109</v>
      </c>
      <c r="E188">
        <v>3603603.6036036038</v>
      </c>
      <c r="F188">
        <v>23063063.063063063</v>
      </c>
      <c r="G188">
        <v>6</v>
      </c>
      <c r="H188">
        <v>1</v>
      </c>
      <c r="K188">
        <v>7</v>
      </c>
      <c r="L188">
        <v>1</v>
      </c>
      <c r="M188">
        <v>118918.91891891899</v>
      </c>
      <c r="O188">
        <v>1068567.567567568</v>
      </c>
      <c r="P188">
        <v>1327801.8018018019</v>
      </c>
      <c r="S188">
        <v>205</v>
      </c>
      <c r="T188">
        <v>168</v>
      </c>
    </row>
    <row r="189" spans="1:20" x14ac:dyDescent="0.35">
      <c r="A189" s="7" t="s">
        <v>281</v>
      </c>
      <c r="B189" s="12" t="s">
        <v>170</v>
      </c>
      <c r="C189">
        <v>203628173.1071142</v>
      </c>
      <c r="D189">
        <v>234247307.06864598</v>
      </c>
      <c r="E189">
        <v>1070045.045045045</v>
      </c>
      <c r="F189">
        <v>2014864.8648648651</v>
      </c>
      <c r="G189">
        <v>28</v>
      </c>
      <c r="H189">
        <v>95</v>
      </c>
      <c r="K189">
        <v>30</v>
      </c>
      <c r="L189">
        <v>109</v>
      </c>
      <c r="M189">
        <v>27105225.225225225</v>
      </c>
      <c r="N189">
        <v>23975945.945945945</v>
      </c>
      <c r="O189">
        <v>81869693.693693697</v>
      </c>
      <c r="P189">
        <v>98790747.747747749</v>
      </c>
      <c r="Q189">
        <v>25683603.603603605</v>
      </c>
      <c r="R189">
        <v>22427837.837837841</v>
      </c>
      <c r="S189">
        <v>4444</v>
      </c>
      <c r="T189">
        <v>4356</v>
      </c>
    </row>
    <row r="190" spans="1:20" x14ac:dyDescent="0.35">
      <c r="A190" s="7" t="s">
        <v>282</v>
      </c>
      <c r="B190" s="12" t="s">
        <v>55</v>
      </c>
      <c r="C190">
        <v>156032726.48531184</v>
      </c>
      <c r="D190">
        <v>160261359.86631161</v>
      </c>
      <c r="E190">
        <v>2536936.9369369391</v>
      </c>
      <c r="F190">
        <v>2455855.8558558612</v>
      </c>
      <c r="G190">
        <v>59</v>
      </c>
      <c r="H190">
        <v>70</v>
      </c>
      <c r="K190">
        <v>68</v>
      </c>
      <c r="L190">
        <v>83</v>
      </c>
      <c r="M190">
        <v>18165765.765765764</v>
      </c>
      <c r="N190">
        <v>24913513.513513517</v>
      </c>
      <c r="O190">
        <v>33494801.801801801</v>
      </c>
      <c r="P190">
        <v>37903304.504504502</v>
      </c>
      <c r="Q190">
        <v>17463963.963963963</v>
      </c>
      <c r="R190">
        <v>22034818.018018018</v>
      </c>
      <c r="S190">
        <v>3821</v>
      </c>
      <c r="T190">
        <v>3803</v>
      </c>
    </row>
    <row r="191" spans="1:20" x14ac:dyDescent="0.35">
      <c r="A191" s="7" t="s">
        <v>283</v>
      </c>
      <c r="B191" s="12" t="s">
        <v>284</v>
      </c>
      <c r="C191">
        <v>223473408.43754295</v>
      </c>
      <c r="D191">
        <v>251193993.27297541</v>
      </c>
      <c r="E191">
        <v>386486.48648648697</v>
      </c>
      <c r="F191">
        <v>1016216.216216219</v>
      </c>
      <c r="G191">
        <v>113</v>
      </c>
      <c r="H191">
        <v>51</v>
      </c>
      <c r="K191">
        <v>122</v>
      </c>
      <c r="L191">
        <v>56</v>
      </c>
      <c r="M191">
        <v>10272972.972972972</v>
      </c>
      <c r="N191">
        <v>8205405.4054054078</v>
      </c>
      <c r="O191">
        <v>35153954.954954959</v>
      </c>
      <c r="P191">
        <v>37938189.189189196</v>
      </c>
      <c r="Q191">
        <v>10581261.26126126</v>
      </c>
      <c r="R191">
        <v>7190180.1801801799</v>
      </c>
      <c r="S191">
        <v>3335</v>
      </c>
      <c r="T191">
        <v>3944</v>
      </c>
    </row>
    <row r="192" spans="1:20" x14ac:dyDescent="0.35">
      <c r="A192" s="7" t="s">
        <v>285</v>
      </c>
      <c r="B192" s="12" t="s">
        <v>284</v>
      </c>
      <c r="C192">
        <v>437883452.39369029</v>
      </c>
      <c r="D192">
        <v>445314953.76168418</v>
      </c>
      <c r="E192">
        <v>3636486.486486489</v>
      </c>
      <c r="F192">
        <v>7066666.666666667</v>
      </c>
      <c r="G192">
        <v>82</v>
      </c>
      <c r="H192">
        <v>278</v>
      </c>
      <c r="K192">
        <v>140</v>
      </c>
      <c r="L192">
        <v>384</v>
      </c>
      <c r="M192">
        <v>53108648.648648649</v>
      </c>
      <c r="N192">
        <v>68659099.0990991</v>
      </c>
      <c r="O192">
        <v>93057990.990990996</v>
      </c>
      <c r="P192">
        <v>99693360.360360354</v>
      </c>
      <c r="Q192">
        <v>47867477.477477483</v>
      </c>
      <c r="R192">
        <v>56266036.036036037</v>
      </c>
      <c r="S192">
        <v>8188</v>
      </c>
      <c r="T192">
        <v>8327</v>
      </c>
    </row>
    <row r="193" spans="1:20" x14ac:dyDescent="0.35">
      <c r="A193" s="7" t="s">
        <v>286</v>
      </c>
      <c r="B193" s="12" t="s">
        <v>284</v>
      </c>
      <c r="C193">
        <v>231608274.93314782</v>
      </c>
      <c r="D193">
        <v>245456049.83311146</v>
      </c>
      <c r="E193">
        <v>2185495.4954954949</v>
      </c>
      <c r="F193">
        <v>2987387.3873873879</v>
      </c>
      <c r="G193">
        <v>37</v>
      </c>
      <c r="H193">
        <v>60</v>
      </c>
      <c r="K193">
        <v>76</v>
      </c>
      <c r="L193">
        <v>92</v>
      </c>
      <c r="M193">
        <v>61279099.0990991</v>
      </c>
      <c r="N193">
        <v>69732972.972972974</v>
      </c>
      <c r="O193">
        <v>72445792.792792797</v>
      </c>
      <c r="P193">
        <v>77426513.51351352</v>
      </c>
      <c r="Q193">
        <v>53423333.333333328</v>
      </c>
      <c r="R193">
        <v>61690360.360360362</v>
      </c>
      <c r="S193">
        <v>4840</v>
      </c>
      <c r="T193">
        <v>4746</v>
      </c>
    </row>
    <row r="194" spans="1:20" x14ac:dyDescent="0.35">
      <c r="A194" s="7" t="s">
        <v>287</v>
      </c>
      <c r="B194" s="12" t="s">
        <v>284</v>
      </c>
      <c r="C194">
        <v>174268391.90508792</v>
      </c>
      <c r="D194">
        <v>181698980.66406637</v>
      </c>
      <c r="E194">
        <v>690990.99099099205</v>
      </c>
      <c r="F194">
        <v>886486.48648648697</v>
      </c>
      <c r="G194">
        <v>14</v>
      </c>
      <c r="H194">
        <v>12</v>
      </c>
      <c r="K194">
        <v>16</v>
      </c>
      <c r="L194">
        <v>12</v>
      </c>
      <c r="M194">
        <v>32508288.288288288</v>
      </c>
      <c r="N194">
        <v>13591891.891891891</v>
      </c>
      <c r="O194">
        <v>33316513.513513513</v>
      </c>
      <c r="P194">
        <v>35374009.009009011</v>
      </c>
      <c r="Q194">
        <v>32657567.567567568</v>
      </c>
      <c r="R194">
        <v>13010270.270270269</v>
      </c>
      <c r="S194">
        <v>2564</v>
      </c>
      <c r="T194">
        <v>1807</v>
      </c>
    </row>
    <row r="195" spans="1:20" x14ac:dyDescent="0.35">
      <c r="A195" s="7" t="s">
        <v>288</v>
      </c>
      <c r="B195" s="12" t="s">
        <v>284</v>
      </c>
      <c r="C195">
        <v>86667370.836570367</v>
      </c>
      <c r="D195">
        <v>90430547.194961563</v>
      </c>
      <c r="E195">
        <v>233884476.57657659</v>
      </c>
      <c r="F195">
        <v>153248173.87387389</v>
      </c>
      <c r="H195">
        <v>1</v>
      </c>
      <c r="K195">
        <v>1</v>
      </c>
      <c r="L195">
        <v>1</v>
      </c>
      <c r="M195">
        <v>37466643.24324324</v>
      </c>
      <c r="N195">
        <v>32921526.126126129</v>
      </c>
      <c r="O195">
        <v>15401144.144144144</v>
      </c>
      <c r="P195">
        <v>18688648.648648649</v>
      </c>
      <c r="Q195">
        <v>13586576.576576576</v>
      </c>
      <c r="R195">
        <v>11781711.711711712</v>
      </c>
      <c r="S195">
        <v>1379</v>
      </c>
      <c r="T195">
        <v>1419</v>
      </c>
    </row>
    <row r="196" spans="1:20" x14ac:dyDescent="0.35">
      <c r="A196" s="7" t="s">
        <v>289</v>
      </c>
      <c r="B196" s="12" t="s">
        <v>284</v>
      </c>
      <c r="C196">
        <v>13753604.138251033</v>
      </c>
      <c r="D196">
        <v>13195204.527383173</v>
      </c>
      <c r="E196">
        <v>393693.69369369402</v>
      </c>
      <c r="F196">
        <v>718918.91891891905</v>
      </c>
      <c r="M196">
        <v>19871171.171171173</v>
      </c>
      <c r="N196">
        <v>9154954.9549549557</v>
      </c>
      <c r="O196">
        <v>2359288.2882882878</v>
      </c>
      <c r="P196">
        <v>2886342.3423423418</v>
      </c>
      <c r="Q196">
        <v>19748648.648648649</v>
      </c>
      <c r="R196">
        <v>8422522.5225225221</v>
      </c>
      <c r="S196">
        <v>292</v>
      </c>
      <c r="T196">
        <v>278</v>
      </c>
    </row>
    <row r="197" spans="1:20" x14ac:dyDescent="0.35">
      <c r="A197" s="7" t="s">
        <v>290</v>
      </c>
      <c r="B197" s="12" t="s">
        <v>291</v>
      </c>
      <c r="C197">
        <v>171888756.86444336</v>
      </c>
      <c r="D197">
        <v>180552160.941239</v>
      </c>
      <c r="E197">
        <v>133333.33333333401</v>
      </c>
      <c r="F197">
        <v>166666.666666668</v>
      </c>
      <c r="G197">
        <v>43</v>
      </c>
      <c r="H197">
        <v>24</v>
      </c>
      <c r="K197">
        <v>49</v>
      </c>
      <c r="L197">
        <v>26</v>
      </c>
      <c r="M197">
        <v>639639.63963963999</v>
      </c>
      <c r="N197">
        <v>2346846.8468468478</v>
      </c>
      <c r="O197">
        <v>16321749.549549548</v>
      </c>
      <c r="P197">
        <v>20617940.540540539</v>
      </c>
      <c r="Q197">
        <v>1150630.630630631</v>
      </c>
      <c r="R197">
        <v>1650000.0000000009</v>
      </c>
      <c r="S197">
        <v>4442</v>
      </c>
      <c r="T197">
        <v>5008</v>
      </c>
    </row>
    <row r="198" spans="1:20" x14ac:dyDescent="0.35">
      <c r="A198" s="7" t="s">
        <v>292</v>
      </c>
      <c r="B198" s="12" t="s">
        <v>148</v>
      </c>
      <c r="C198">
        <v>417055944.47765338</v>
      </c>
      <c r="D198">
        <v>379568979.44057107</v>
      </c>
      <c r="E198">
        <v>6649729.7297297306</v>
      </c>
      <c r="F198">
        <v>7612892.7927927971</v>
      </c>
      <c r="G198">
        <v>99</v>
      </c>
      <c r="H198">
        <v>139</v>
      </c>
      <c r="I198">
        <v>1</v>
      </c>
      <c r="K198">
        <v>208</v>
      </c>
      <c r="L198">
        <v>369</v>
      </c>
      <c r="M198">
        <v>164039335.13513514</v>
      </c>
      <c r="N198">
        <v>169348121.62162164</v>
      </c>
      <c r="O198">
        <v>164674792.7927928</v>
      </c>
      <c r="P198">
        <v>153249270.27027026</v>
      </c>
      <c r="Q198">
        <v>157263603.6036036</v>
      </c>
      <c r="R198">
        <v>162947792.7927928</v>
      </c>
      <c r="S198">
        <v>8441</v>
      </c>
      <c r="T198">
        <v>7695</v>
      </c>
    </row>
    <row r="199" spans="1:20" x14ac:dyDescent="0.35">
      <c r="A199" s="7" t="s">
        <v>293</v>
      </c>
      <c r="B199" s="12" t="s">
        <v>294</v>
      </c>
      <c r="C199">
        <v>203425793.64309663</v>
      </c>
      <c r="D199">
        <v>209852390.88836312</v>
      </c>
      <c r="E199">
        <v>147730536.03603604</v>
      </c>
      <c r="F199">
        <v>137806063.06306306</v>
      </c>
      <c r="G199">
        <v>24</v>
      </c>
      <c r="H199">
        <v>12</v>
      </c>
      <c r="K199">
        <v>27</v>
      </c>
      <c r="L199">
        <v>16</v>
      </c>
      <c r="M199">
        <v>55271261.261261262</v>
      </c>
      <c r="N199">
        <v>57368018.018018022</v>
      </c>
      <c r="O199">
        <v>28090387.387387387</v>
      </c>
      <c r="P199">
        <v>29952045.045045048</v>
      </c>
      <c r="Q199">
        <v>46102792.792792797</v>
      </c>
      <c r="R199">
        <v>46205405.40540541</v>
      </c>
      <c r="S199">
        <v>5985</v>
      </c>
      <c r="T199">
        <v>3663</v>
      </c>
    </row>
    <row r="200" spans="1:20" x14ac:dyDescent="0.35">
      <c r="A200" s="7" t="s">
        <v>295</v>
      </c>
      <c r="B200" s="12" t="s">
        <v>291</v>
      </c>
      <c r="C200">
        <v>45379778.51215443</v>
      </c>
      <c r="D200">
        <v>50468582.26370801</v>
      </c>
      <c r="E200">
        <v>977477.47747747705</v>
      </c>
      <c r="F200">
        <v>945945.94594594697</v>
      </c>
      <c r="G200">
        <v>9</v>
      </c>
      <c r="H200">
        <v>8</v>
      </c>
      <c r="K200">
        <v>9</v>
      </c>
      <c r="L200">
        <v>9</v>
      </c>
      <c r="M200">
        <v>2825225.2252252251</v>
      </c>
      <c r="N200">
        <v>1914414.4144144149</v>
      </c>
      <c r="O200">
        <v>6216529.7297297297</v>
      </c>
      <c r="P200">
        <v>6065432.4324324317</v>
      </c>
      <c r="Q200">
        <v>2557567.5675675678</v>
      </c>
      <c r="R200">
        <v>2192252.2522522518</v>
      </c>
      <c r="S200">
        <v>1274</v>
      </c>
      <c r="T200">
        <v>1238</v>
      </c>
    </row>
    <row r="201" spans="1:20" x14ac:dyDescent="0.35">
      <c r="A201" s="7" t="s">
        <v>670</v>
      </c>
      <c r="B201" s="12" t="s">
        <v>480</v>
      </c>
      <c r="E201">
        <v>194167746.84684685</v>
      </c>
      <c r="F201">
        <v>223405003.6036036</v>
      </c>
      <c r="M201">
        <v>7928743.2432432435</v>
      </c>
      <c r="N201">
        <v>2231756.7567567569</v>
      </c>
    </row>
    <row r="202" spans="1:20" x14ac:dyDescent="0.35">
      <c r="A202" s="7" t="s">
        <v>296</v>
      </c>
      <c r="B202" s="12" t="s">
        <v>53</v>
      </c>
      <c r="C202">
        <v>578732526.253093</v>
      </c>
      <c r="D202">
        <v>590508897.30394125</v>
      </c>
      <c r="E202">
        <v>7957657.6576576633</v>
      </c>
      <c r="F202">
        <v>10604252.252252256</v>
      </c>
      <c r="G202">
        <v>189</v>
      </c>
      <c r="H202">
        <v>241</v>
      </c>
      <c r="K202">
        <v>330</v>
      </c>
      <c r="L202">
        <v>373</v>
      </c>
      <c r="M202">
        <v>312084504.5045045</v>
      </c>
      <c r="N202">
        <v>111643171.17117117</v>
      </c>
      <c r="O202">
        <v>157548754.95495495</v>
      </c>
      <c r="P202">
        <v>163333288.2882883</v>
      </c>
      <c r="Q202">
        <v>320528468.46846849</v>
      </c>
      <c r="R202">
        <v>109782522.52252252</v>
      </c>
      <c r="S202">
        <v>13827</v>
      </c>
      <c r="T202">
        <v>11489</v>
      </c>
    </row>
    <row r="203" spans="1:20" x14ac:dyDescent="0.35">
      <c r="A203" s="7" t="s">
        <v>297</v>
      </c>
      <c r="B203" s="12" t="s">
        <v>170</v>
      </c>
      <c r="C203">
        <v>151543212.45246625</v>
      </c>
      <c r="D203">
        <v>194816955.84234083</v>
      </c>
      <c r="E203">
        <v>127027.027027028</v>
      </c>
      <c r="F203">
        <v>124324.324324324</v>
      </c>
      <c r="G203">
        <v>20</v>
      </c>
      <c r="H203">
        <v>20</v>
      </c>
      <c r="K203">
        <v>24</v>
      </c>
      <c r="L203">
        <v>21</v>
      </c>
      <c r="M203">
        <v>13244144.144144144</v>
      </c>
      <c r="N203">
        <v>7394594.594594595</v>
      </c>
      <c r="O203">
        <v>33382243.243243244</v>
      </c>
      <c r="P203">
        <v>50268954.954954952</v>
      </c>
      <c r="Q203">
        <v>11769729.729729732</v>
      </c>
      <c r="R203">
        <v>10721081.081081079</v>
      </c>
      <c r="S203">
        <v>2984</v>
      </c>
      <c r="T203">
        <v>4355</v>
      </c>
    </row>
    <row r="204" spans="1:20" x14ac:dyDescent="0.35">
      <c r="A204" s="7" t="s">
        <v>298</v>
      </c>
      <c r="B204" s="12" t="s">
        <v>170</v>
      </c>
      <c r="C204">
        <v>216452958.92380652</v>
      </c>
      <c r="D204">
        <v>180924316.77514863</v>
      </c>
      <c r="E204">
        <v>729396.39639639703</v>
      </c>
      <c r="F204">
        <v>135585.58558558699</v>
      </c>
      <c r="G204">
        <v>26</v>
      </c>
      <c r="H204">
        <v>24</v>
      </c>
      <c r="K204">
        <v>29</v>
      </c>
      <c r="L204">
        <v>28</v>
      </c>
      <c r="M204">
        <v>1841384189.1891892</v>
      </c>
      <c r="N204">
        <v>1832586036.036036</v>
      </c>
      <c r="O204">
        <v>77723522.522522524</v>
      </c>
      <c r="P204">
        <v>75388801.801801801</v>
      </c>
      <c r="Q204">
        <v>1830816929.7297299</v>
      </c>
      <c r="R204">
        <v>1822976922.5225227</v>
      </c>
      <c r="S204">
        <v>2959</v>
      </c>
      <c r="T204">
        <v>2749</v>
      </c>
    </row>
    <row r="205" spans="1:20" x14ac:dyDescent="0.35">
      <c r="A205" s="7" t="s">
        <v>299</v>
      </c>
      <c r="B205" s="12" t="s">
        <v>90</v>
      </c>
      <c r="C205">
        <v>664093696.23744261</v>
      </c>
      <c r="D205">
        <v>678729745.44188058</v>
      </c>
      <c r="E205">
        <v>9938604.5045045111</v>
      </c>
      <c r="F205">
        <v>5642342.3423423497</v>
      </c>
      <c r="G205">
        <v>132</v>
      </c>
      <c r="H205">
        <v>73</v>
      </c>
      <c r="I205">
        <v>2</v>
      </c>
      <c r="K205">
        <v>236</v>
      </c>
      <c r="L205">
        <v>99</v>
      </c>
      <c r="M205">
        <v>48672916.216216214</v>
      </c>
      <c r="N205">
        <v>593178603.6036036</v>
      </c>
      <c r="O205">
        <v>129778702.7027027</v>
      </c>
      <c r="P205">
        <v>143069441.44144145</v>
      </c>
      <c r="Q205">
        <v>46783153.153153159</v>
      </c>
      <c r="R205">
        <v>506272387.38738739</v>
      </c>
      <c r="S205">
        <v>11134</v>
      </c>
      <c r="T205">
        <v>10535</v>
      </c>
    </row>
    <row r="206" spans="1:20" x14ac:dyDescent="0.35">
      <c r="A206" s="7" t="s">
        <v>300</v>
      </c>
      <c r="B206" s="12" t="s">
        <v>135</v>
      </c>
      <c r="C206">
        <v>367933529.14848399</v>
      </c>
      <c r="D206">
        <v>402452257.80122364</v>
      </c>
      <c r="E206">
        <v>3896396.396396399</v>
      </c>
      <c r="F206">
        <v>3210810.8108108169</v>
      </c>
      <c r="G206">
        <v>81</v>
      </c>
      <c r="H206">
        <v>80</v>
      </c>
      <c r="K206">
        <v>101</v>
      </c>
      <c r="L206">
        <v>117</v>
      </c>
      <c r="M206">
        <v>27045045.045045044</v>
      </c>
      <c r="N206">
        <v>42357657.657657653</v>
      </c>
      <c r="O206">
        <v>46425198.198198199</v>
      </c>
      <c r="P206">
        <v>58195331.531531535</v>
      </c>
      <c r="Q206">
        <v>23193153.153153151</v>
      </c>
      <c r="R206">
        <v>36060720.720720723</v>
      </c>
      <c r="S206">
        <v>7106</v>
      </c>
      <c r="T206">
        <v>7082</v>
      </c>
    </row>
    <row r="207" spans="1:20" x14ac:dyDescent="0.35">
      <c r="A207" s="7" t="s">
        <v>301</v>
      </c>
      <c r="B207" s="12" t="s">
        <v>291</v>
      </c>
      <c r="C207">
        <v>249842800.86801913</v>
      </c>
      <c r="D207">
        <v>250660813.68397927</v>
      </c>
      <c r="E207">
        <v>4313513.5135135148</v>
      </c>
      <c r="F207">
        <v>3126126.126126132</v>
      </c>
      <c r="G207">
        <v>71</v>
      </c>
      <c r="H207">
        <v>78</v>
      </c>
      <c r="K207">
        <v>84</v>
      </c>
      <c r="L207">
        <v>87</v>
      </c>
      <c r="M207">
        <v>39546854.054054059</v>
      </c>
      <c r="N207">
        <v>23711711.711711712</v>
      </c>
      <c r="O207">
        <v>35657257.657657653</v>
      </c>
      <c r="P207">
        <v>40179828.828828834</v>
      </c>
      <c r="Q207">
        <v>38728558.558558561</v>
      </c>
      <c r="R207">
        <v>28312702.702702705</v>
      </c>
      <c r="S207">
        <v>4554</v>
      </c>
      <c r="T207">
        <v>4396</v>
      </c>
    </row>
    <row r="208" spans="1:20" x14ac:dyDescent="0.35">
      <c r="A208" s="7" t="s">
        <v>302</v>
      </c>
      <c r="B208" s="12" t="s">
        <v>81</v>
      </c>
      <c r="C208">
        <v>367807675.66648936</v>
      </c>
      <c r="D208">
        <v>364669604.69529992</v>
      </c>
      <c r="E208">
        <v>4607882.8828828828</v>
      </c>
      <c r="F208">
        <v>6360360.3603603644</v>
      </c>
      <c r="G208">
        <v>58</v>
      </c>
      <c r="H208">
        <v>37</v>
      </c>
      <c r="I208">
        <v>5</v>
      </c>
      <c r="K208">
        <v>64</v>
      </c>
      <c r="L208">
        <v>51</v>
      </c>
      <c r="M208">
        <v>55600000</v>
      </c>
      <c r="N208">
        <v>42935142.342342339</v>
      </c>
      <c r="O208">
        <v>76958881.081081092</v>
      </c>
      <c r="P208">
        <v>83332504.504504517</v>
      </c>
      <c r="Q208">
        <v>53464414.414414413</v>
      </c>
      <c r="R208">
        <v>37162882.882882878</v>
      </c>
      <c r="S208">
        <v>6146</v>
      </c>
      <c r="T208">
        <v>5750</v>
      </c>
    </row>
    <row r="209" spans="1:20" x14ac:dyDescent="0.35">
      <c r="A209" s="7" t="s">
        <v>303</v>
      </c>
      <c r="B209" s="12" t="s">
        <v>73</v>
      </c>
      <c r="C209">
        <v>551680123.06406164</v>
      </c>
      <c r="D209">
        <v>583651737.70773017</v>
      </c>
      <c r="E209">
        <v>1458558.5585585609</v>
      </c>
      <c r="F209">
        <v>2125225.2252252321</v>
      </c>
      <c r="G209">
        <v>127</v>
      </c>
      <c r="H209">
        <v>71</v>
      </c>
      <c r="I209">
        <v>2</v>
      </c>
      <c r="K209">
        <v>134</v>
      </c>
      <c r="L209">
        <v>81</v>
      </c>
      <c r="M209">
        <v>28254054.054054055</v>
      </c>
      <c r="N209">
        <v>48080180.180180177</v>
      </c>
      <c r="O209">
        <v>81443810.810810819</v>
      </c>
      <c r="P209">
        <v>92883700.9009009</v>
      </c>
      <c r="Q209">
        <v>28249639.639639638</v>
      </c>
      <c r="R209">
        <v>33632162.162162162</v>
      </c>
      <c r="S209">
        <v>9229</v>
      </c>
      <c r="T209">
        <v>8815</v>
      </c>
    </row>
    <row r="210" spans="1:20" x14ac:dyDescent="0.35">
      <c r="A210" s="7" t="s">
        <v>304</v>
      </c>
      <c r="B210" s="12" t="s">
        <v>305</v>
      </c>
      <c r="C210">
        <v>1918319.4987211539</v>
      </c>
      <c r="D210">
        <v>2255403.1248238999</v>
      </c>
      <c r="O210">
        <v>725315.31531531503</v>
      </c>
      <c r="P210">
        <v>666072.07207207195</v>
      </c>
      <c r="S210">
        <v>73</v>
      </c>
      <c r="T210">
        <v>69</v>
      </c>
    </row>
    <row r="211" spans="1:20" x14ac:dyDescent="0.35">
      <c r="A211" s="7" t="s">
        <v>306</v>
      </c>
      <c r="B211" s="12" t="s">
        <v>118</v>
      </c>
      <c r="C211">
        <v>72917595.995200053</v>
      </c>
      <c r="D211">
        <v>73594929.749674171</v>
      </c>
      <c r="E211">
        <v>4927027.0270270249</v>
      </c>
      <c r="F211">
        <v>141438918.91891891</v>
      </c>
      <c r="G211">
        <v>26</v>
      </c>
      <c r="H211">
        <v>15</v>
      </c>
      <c r="K211">
        <v>40</v>
      </c>
      <c r="L211">
        <v>63</v>
      </c>
      <c r="M211">
        <v>6254414.4144144151</v>
      </c>
      <c r="N211">
        <v>100240990.990991</v>
      </c>
      <c r="O211">
        <v>31581531.531531531</v>
      </c>
      <c r="P211">
        <v>30141279.27927928</v>
      </c>
      <c r="Q211">
        <v>3429459.4594594599</v>
      </c>
      <c r="R211">
        <v>4109279.2792792781</v>
      </c>
      <c r="S211">
        <v>1925</v>
      </c>
      <c r="T211">
        <v>1675</v>
      </c>
    </row>
    <row r="212" spans="1:20" x14ac:dyDescent="0.35">
      <c r="A212" s="7" t="s">
        <v>307</v>
      </c>
      <c r="B212" s="12" t="s">
        <v>308</v>
      </c>
      <c r="C212">
        <v>91670841.214870915</v>
      </c>
      <c r="D212">
        <v>89277725.934837669</v>
      </c>
      <c r="E212">
        <v>392792.79279279598</v>
      </c>
      <c r="F212">
        <v>500000</v>
      </c>
      <c r="G212">
        <v>41</v>
      </c>
      <c r="H212">
        <v>38</v>
      </c>
      <c r="K212">
        <v>48</v>
      </c>
      <c r="L212">
        <v>43</v>
      </c>
      <c r="M212">
        <v>1361261.2612612641</v>
      </c>
      <c r="N212">
        <v>1837657.657657658</v>
      </c>
      <c r="O212">
        <v>49717198.198198199</v>
      </c>
      <c r="P212">
        <v>47066189.189189196</v>
      </c>
      <c r="Q212">
        <v>1260720.7207207209</v>
      </c>
      <c r="R212">
        <v>1921801.8018018031</v>
      </c>
      <c r="S212">
        <v>4698</v>
      </c>
      <c r="T212">
        <v>4557</v>
      </c>
    </row>
    <row r="213" spans="1:20" x14ac:dyDescent="0.35">
      <c r="A213" s="7" t="s">
        <v>309</v>
      </c>
      <c r="B213" s="12" t="s">
        <v>141</v>
      </c>
      <c r="C213">
        <v>587542551.6827935</v>
      </c>
      <c r="D213">
        <v>616013868.9964292</v>
      </c>
      <c r="E213">
        <v>2988288.2882882929</v>
      </c>
      <c r="F213">
        <v>4592792.7927927971</v>
      </c>
      <c r="G213">
        <v>87</v>
      </c>
      <c r="H213">
        <v>58</v>
      </c>
      <c r="I213">
        <v>5</v>
      </c>
      <c r="K213">
        <v>102</v>
      </c>
      <c r="L213">
        <v>66</v>
      </c>
      <c r="M213">
        <v>105715765.76576576</v>
      </c>
      <c r="N213">
        <v>111544414.41441442</v>
      </c>
      <c r="O213">
        <v>130878617.11711712</v>
      </c>
      <c r="P213">
        <v>141666989.1891892</v>
      </c>
      <c r="Q213">
        <v>63449279.279279277</v>
      </c>
      <c r="R213">
        <v>65254324.324324317</v>
      </c>
      <c r="S213">
        <v>8178</v>
      </c>
      <c r="T213">
        <v>8138</v>
      </c>
    </row>
    <row r="214" spans="1:20" x14ac:dyDescent="0.35">
      <c r="A214" s="7" t="s">
        <v>310</v>
      </c>
      <c r="B214" s="12" t="s">
        <v>133</v>
      </c>
      <c r="C214">
        <v>584980312.26072395</v>
      </c>
      <c r="D214">
        <v>566514629.96021879</v>
      </c>
      <c r="E214">
        <v>3940540.540540542</v>
      </c>
      <c r="F214">
        <v>3163063.0630630641</v>
      </c>
      <c r="G214">
        <v>155</v>
      </c>
      <c r="H214">
        <v>115</v>
      </c>
      <c r="K214">
        <v>170</v>
      </c>
      <c r="L214">
        <v>128</v>
      </c>
      <c r="M214">
        <v>24733333.333333336</v>
      </c>
      <c r="N214">
        <v>24220945.945945945</v>
      </c>
      <c r="O214">
        <v>156738018.01801801</v>
      </c>
      <c r="P214">
        <v>165643720.72072074</v>
      </c>
      <c r="Q214">
        <v>18964144.144144148</v>
      </c>
      <c r="R214">
        <v>17126891.891891893</v>
      </c>
      <c r="S214">
        <v>12743</v>
      </c>
      <c r="T214">
        <v>12158</v>
      </c>
    </row>
    <row r="215" spans="1:20" x14ac:dyDescent="0.35">
      <c r="A215" s="7" t="s">
        <v>311</v>
      </c>
      <c r="B215" s="12" t="s">
        <v>73</v>
      </c>
      <c r="C215">
        <v>939399631.98280036</v>
      </c>
      <c r="D215">
        <v>1053613227.9724637</v>
      </c>
      <c r="E215">
        <v>7442117.1171171246</v>
      </c>
      <c r="F215">
        <v>6545045.0450450573</v>
      </c>
      <c r="G215">
        <v>223</v>
      </c>
      <c r="H215">
        <v>116</v>
      </c>
      <c r="I215">
        <v>3</v>
      </c>
      <c r="K215">
        <v>254</v>
      </c>
      <c r="L215">
        <v>131</v>
      </c>
      <c r="M215">
        <v>141318018.01801801</v>
      </c>
      <c r="N215">
        <v>160183783.78378376</v>
      </c>
      <c r="O215">
        <v>238372379.27927926</v>
      </c>
      <c r="P215">
        <v>343053744.14414412</v>
      </c>
      <c r="Q215">
        <v>124068601.8018018</v>
      </c>
      <c r="R215">
        <v>140802432.43243244</v>
      </c>
      <c r="S215">
        <v>17750</v>
      </c>
      <c r="T215">
        <v>16308</v>
      </c>
    </row>
    <row r="216" spans="1:20" x14ac:dyDescent="0.35">
      <c r="A216" s="7" t="s">
        <v>312</v>
      </c>
      <c r="B216" s="12" t="s">
        <v>63</v>
      </c>
      <c r="C216">
        <v>167061799.99324304</v>
      </c>
      <c r="D216">
        <v>162310236.97611117</v>
      </c>
      <c r="E216">
        <v>1772972.9729729739</v>
      </c>
      <c r="F216">
        <v>2109009.0090090078</v>
      </c>
      <c r="G216">
        <v>18</v>
      </c>
      <c r="H216">
        <v>14</v>
      </c>
      <c r="K216">
        <v>19</v>
      </c>
      <c r="L216">
        <v>16</v>
      </c>
      <c r="M216">
        <v>34275855.855855852</v>
      </c>
      <c r="N216">
        <v>33957657.657657661</v>
      </c>
      <c r="O216">
        <v>46012324.324324317</v>
      </c>
      <c r="P216">
        <v>46607720.720720723</v>
      </c>
      <c r="Q216">
        <v>28959639.639639638</v>
      </c>
      <c r="R216">
        <v>33400270.270270273</v>
      </c>
      <c r="S216">
        <v>2309</v>
      </c>
      <c r="T216">
        <v>2166</v>
      </c>
    </row>
    <row r="217" spans="1:20" x14ac:dyDescent="0.35">
      <c r="A217" s="7" t="s">
        <v>313</v>
      </c>
      <c r="B217" s="12" t="s">
        <v>90</v>
      </c>
      <c r="C217">
        <v>57554099.52888681</v>
      </c>
      <c r="D217">
        <v>60826197.597896419</v>
      </c>
      <c r="E217">
        <v>1020720.720720719</v>
      </c>
      <c r="F217">
        <v>3318918.9189189221</v>
      </c>
      <c r="G217">
        <v>13</v>
      </c>
      <c r="H217">
        <v>11</v>
      </c>
      <c r="I217">
        <v>1</v>
      </c>
      <c r="K217">
        <v>18</v>
      </c>
      <c r="L217">
        <v>13</v>
      </c>
      <c r="M217">
        <v>8541081.0810810812</v>
      </c>
      <c r="N217">
        <v>13232792.792792793</v>
      </c>
      <c r="O217">
        <v>19620702.702702705</v>
      </c>
      <c r="P217">
        <v>21458288.288288288</v>
      </c>
      <c r="Q217">
        <v>8867117.1171171181</v>
      </c>
      <c r="R217">
        <v>11967927.927927928</v>
      </c>
      <c r="S217">
        <v>1207</v>
      </c>
      <c r="T217">
        <v>1381</v>
      </c>
    </row>
    <row r="218" spans="1:20" x14ac:dyDescent="0.35">
      <c r="A218" s="7" t="s">
        <v>314</v>
      </c>
      <c r="B218" s="12" t="s">
        <v>93</v>
      </c>
      <c r="C218">
        <v>25483889.836961139</v>
      </c>
      <c r="D218">
        <v>20755393.104699276</v>
      </c>
      <c r="E218">
        <v>144144.144144144</v>
      </c>
      <c r="F218">
        <v>117117.117117117</v>
      </c>
      <c r="G218">
        <v>4</v>
      </c>
      <c r="H218">
        <v>5</v>
      </c>
      <c r="K218">
        <v>5</v>
      </c>
      <c r="L218">
        <v>5</v>
      </c>
      <c r="M218">
        <v>1360360.36036036</v>
      </c>
      <c r="N218">
        <v>2234242.3423423418</v>
      </c>
      <c r="O218">
        <v>1930765.7657657659</v>
      </c>
      <c r="P218">
        <v>2240981.981981982</v>
      </c>
      <c r="Q218">
        <v>1361261.2612612611</v>
      </c>
      <c r="R218">
        <v>2153153.1531531531</v>
      </c>
      <c r="S218">
        <v>612</v>
      </c>
      <c r="T218">
        <v>435</v>
      </c>
    </row>
    <row r="219" spans="1:20" x14ac:dyDescent="0.35">
      <c r="A219" s="7" t="s">
        <v>315</v>
      </c>
      <c r="B219" s="12" t="s">
        <v>316</v>
      </c>
      <c r="C219">
        <v>193417833.10227385</v>
      </c>
      <c r="D219">
        <v>190214689.48841551</v>
      </c>
      <c r="E219">
        <v>828378.37837837799</v>
      </c>
      <c r="F219">
        <v>3177477.4774774802</v>
      </c>
      <c r="G219">
        <v>37</v>
      </c>
      <c r="H219">
        <v>45</v>
      </c>
      <c r="K219">
        <v>42</v>
      </c>
      <c r="L219">
        <v>50</v>
      </c>
      <c r="M219">
        <v>24743243.243243244</v>
      </c>
      <c r="N219">
        <v>39418018.018018015</v>
      </c>
      <c r="O219">
        <v>29992511.711711712</v>
      </c>
      <c r="P219">
        <v>33476423.423423424</v>
      </c>
      <c r="Q219">
        <v>24250900.900900904</v>
      </c>
      <c r="R219">
        <v>29559819.819819819</v>
      </c>
      <c r="S219">
        <v>3723</v>
      </c>
      <c r="T219">
        <v>3672</v>
      </c>
    </row>
    <row r="220" spans="1:20" x14ac:dyDescent="0.35">
      <c r="A220" s="7" t="s">
        <v>317</v>
      </c>
      <c r="B220" s="12" t="s">
        <v>63</v>
      </c>
      <c r="C220">
        <v>327588808.71729106</v>
      </c>
      <c r="D220">
        <v>351673168.45379359</v>
      </c>
      <c r="E220">
        <v>6617117.1171171218</v>
      </c>
      <c r="F220">
        <v>6990990.9909909973</v>
      </c>
      <c r="G220">
        <v>160</v>
      </c>
      <c r="H220">
        <v>95</v>
      </c>
      <c r="K220">
        <v>222</v>
      </c>
      <c r="L220">
        <v>179</v>
      </c>
      <c r="M220">
        <v>55169909.909909911</v>
      </c>
      <c r="N220">
        <v>65885664.864864863</v>
      </c>
      <c r="O220">
        <v>114614846.84684685</v>
      </c>
      <c r="P220">
        <v>127721673.87387387</v>
      </c>
      <c r="Q220">
        <v>52191351.351351343</v>
      </c>
      <c r="R220">
        <v>71997927.927927926</v>
      </c>
      <c r="S220">
        <v>8848</v>
      </c>
      <c r="T220">
        <v>8838</v>
      </c>
    </row>
    <row r="221" spans="1:20" x14ac:dyDescent="0.35">
      <c r="A221" s="7" t="s">
        <v>318</v>
      </c>
      <c r="B221" s="12" t="s">
        <v>63</v>
      </c>
      <c r="C221">
        <v>303188336.25231695</v>
      </c>
      <c r="D221">
        <v>332142270.91141874</v>
      </c>
      <c r="E221">
        <v>739573227.02702713</v>
      </c>
      <c r="F221">
        <v>854538874.77477479</v>
      </c>
      <c r="G221">
        <v>50</v>
      </c>
      <c r="H221">
        <v>14</v>
      </c>
      <c r="K221">
        <v>58</v>
      </c>
      <c r="L221">
        <v>24</v>
      </c>
      <c r="M221">
        <v>116062652.25225225</v>
      </c>
      <c r="N221">
        <v>107833745.94594595</v>
      </c>
      <c r="O221">
        <v>105742630.63063063</v>
      </c>
      <c r="P221">
        <v>117947684.68468469</v>
      </c>
      <c r="Q221">
        <v>40389369.369369365</v>
      </c>
      <c r="R221">
        <v>58717387.387387395</v>
      </c>
      <c r="S221">
        <v>5633</v>
      </c>
      <c r="T221">
        <v>5676</v>
      </c>
    </row>
    <row r="222" spans="1:20" x14ac:dyDescent="0.35">
      <c r="A222" s="7" t="s">
        <v>319</v>
      </c>
      <c r="B222" s="12" t="s">
        <v>79</v>
      </c>
      <c r="C222">
        <v>317957176.86595839</v>
      </c>
      <c r="D222">
        <v>322823259.90852576</v>
      </c>
      <c r="E222">
        <v>6223198.1981982021</v>
      </c>
      <c r="F222">
        <v>7634684.6846846882</v>
      </c>
      <c r="G222">
        <v>138</v>
      </c>
      <c r="H222">
        <v>116</v>
      </c>
      <c r="I222">
        <v>2</v>
      </c>
      <c r="K222">
        <v>175</v>
      </c>
      <c r="L222">
        <v>133</v>
      </c>
      <c r="M222">
        <v>86894144.144144148</v>
      </c>
      <c r="N222">
        <v>87029279.279279277</v>
      </c>
      <c r="O222">
        <v>138380391.8918919</v>
      </c>
      <c r="P222">
        <v>142021268.46846846</v>
      </c>
      <c r="Q222">
        <v>84779819.819819823</v>
      </c>
      <c r="R222">
        <v>85027027.027027026</v>
      </c>
      <c r="S222">
        <v>8962</v>
      </c>
      <c r="T222">
        <v>9349</v>
      </c>
    </row>
    <row r="223" spans="1:20" x14ac:dyDescent="0.35">
      <c r="A223" s="7" t="s">
        <v>320</v>
      </c>
      <c r="B223" s="12" t="s">
        <v>79</v>
      </c>
      <c r="C223">
        <v>192385707.13351363</v>
      </c>
      <c r="D223">
        <v>190240053.57516986</v>
      </c>
      <c r="E223">
        <v>3552252.2522522528</v>
      </c>
      <c r="F223">
        <v>4199099.0990991024</v>
      </c>
      <c r="G223">
        <v>95</v>
      </c>
      <c r="H223">
        <v>77</v>
      </c>
      <c r="K223">
        <v>146</v>
      </c>
      <c r="L223">
        <v>122</v>
      </c>
      <c r="M223">
        <v>17552252.252252251</v>
      </c>
      <c r="N223">
        <v>20550450.45045045</v>
      </c>
      <c r="O223">
        <v>72252558.558558553</v>
      </c>
      <c r="P223">
        <v>76342963.963963971</v>
      </c>
      <c r="Q223">
        <v>16048018.01801802</v>
      </c>
      <c r="R223">
        <v>19230180.180180185</v>
      </c>
      <c r="S223">
        <v>5821</v>
      </c>
      <c r="T223">
        <v>5647</v>
      </c>
    </row>
    <row r="224" spans="1:20" x14ac:dyDescent="0.35">
      <c r="A224" s="7" t="s">
        <v>321</v>
      </c>
      <c r="B224" s="12" t="s">
        <v>122</v>
      </c>
      <c r="C224">
        <v>1465978.2344186541</v>
      </c>
      <c r="D224">
        <v>1159159.763749355</v>
      </c>
      <c r="H224">
        <v>2</v>
      </c>
      <c r="L224">
        <v>2</v>
      </c>
      <c r="O224">
        <v>150090.09009009</v>
      </c>
      <c r="P224">
        <v>353108.10810810799</v>
      </c>
      <c r="S224">
        <v>76</v>
      </c>
      <c r="T224">
        <v>135</v>
      </c>
    </row>
    <row r="225" spans="1:20" x14ac:dyDescent="0.35">
      <c r="A225" s="7" t="s">
        <v>322</v>
      </c>
      <c r="B225" s="12" t="s">
        <v>225</v>
      </c>
      <c r="C225">
        <v>219948576.83382246</v>
      </c>
      <c r="D225">
        <v>222584959.75592005</v>
      </c>
      <c r="E225">
        <v>69369.369369370004</v>
      </c>
      <c r="F225">
        <v>28828.828828828999</v>
      </c>
      <c r="G225">
        <v>44</v>
      </c>
      <c r="H225">
        <v>32</v>
      </c>
      <c r="I225">
        <v>2</v>
      </c>
      <c r="K225">
        <v>49</v>
      </c>
      <c r="L225">
        <v>34</v>
      </c>
      <c r="M225">
        <v>9117297.2972973008</v>
      </c>
      <c r="N225">
        <v>11005405.405405406</v>
      </c>
      <c r="O225">
        <v>88956286.48648648</v>
      </c>
      <c r="P225">
        <v>94798585.585585579</v>
      </c>
      <c r="Q225">
        <v>9671711.7117117122</v>
      </c>
      <c r="R225">
        <v>11074504.504504504</v>
      </c>
      <c r="S225">
        <v>4197</v>
      </c>
      <c r="T225">
        <v>3896</v>
      </c>
    </row>
    <row r="226" spans="1:20" x14ac:dyDescent="0.35">
      <c r="A226" s="7" t="s">
        <v>323</v>
      </c>
      <c r="B226" s="12" t="s">
        <v>225</v>
      </c>
      <c r="C226">
        <v>156788326.21617037</v>
      </c>
      <c r="D226">
        <v>168061456.38983938</v>
      </c>
      <c r="E226">
        <v>85585.585585587003</v>
      </c>
      <c r="F226">
        <v>70720.720720722995</v>
      </c>
      <c r="G226">
        <v>11</v>
      </c>
      <c r="H226">
        <v>32</v>
      </c>
      <c r="K226">
        <v>12</v>
      </c>
      <c r="L226">
        <v>45</v>
      </c>
      <c r="M226">
        <v>19454234.234234236</v>
      </c>
      <c r="N226">
        <v>16976126.126126125</v>
      </c>
      <c r="O226">
        <v>48035409.909909911</v>
      </c>
      <c r="P226">
        <v>52108684.684684686</v>
      </c>
      <c r="Q226">
        <v>14044234.234234236</v>
      </c>
      <c r="R226">
        <v>14047297.297297295</v>
      </c>
      <c r="S226">
        <v>2261</v>
      </c>
      <c r="T226">
        <v>2135</v>
      </c>
    </row>
    <row r="227" spans="1:20" x14ac:dyDescent="0.35">
      <c r="A227" s="7" t="s">
        <v>324</v>
      </c>
      <c r="B227" s="12" t="s">
        <v>79</v>
      </c>
      <c r="C227">
        <v>238773020.09457067</v>
      </c>
      <c r="D227">
        <v>236612558.21231741</v>
      </c>
      <c r="E227">
        <v>1273873.8738738771</v>
      </c>
      <c r="F227">
        <v>2400900.900900906</v>
      </c>
      <c r="G227">
        <v>100</v>
      </c>
      <c r="H227">
        <v>121</v>
      </c>
      <c r="I227">
        <v>2</v>
      </c>
      <c r="K227">
        <v>122</v>
      </c>
      <c r="L227">
        <v>141</v>
      </c>
      <c r="M227">
        <v>25463063.063063063</v>
      </c>
      <c r="N227">
        <v>30437837.837837841</v>
      </c>
      <c r="O227">
        <v>70976765.765765771</v>
      </c>
      <c r="P227">
        <v>71398639.639639646</v>
      </c>
      <c r="Q227">
        <v>25180360.360360362</v>
      </c>
      <c r="R227">
        <v>27089729.729729727</v>
      </c>
      <c r="S227">
        <v>4781</v>
      </c>
      <c r="T227">
        <v>4717</v>
      </c>
    </row>
    <row r="228" spans="1:20" x14ac:dyDescent="0.35">
      <c r="A228" s="7" t="s">
        <v>325</v>
      </c>
      <c r="B228" s="12" t="s">
        <v>109</v>
      </c>
      <c r="C228">
        <v>1545266086.1793818</v>
      </c>
      <c r="D228">
        <v>1583269609.2137675</v>
      </c>
      <c r="E228">
        <v>1826575766.6666667</v>
      </c>
      <c r="F228">
        <v>1342416636.9369369</v>
      </c>
      <c r="G228">
        <v>419</v>
      </c>
      <c r="H228">
        <v>492</v>
      </c>
      <c r="I228">
        <v>4</v>
      </c>
      <c r="K228">
        <v>648</v>
      </c>
      <c r="L228">
        <v>681</v>
      </c>
      <c r="M228">
        <v>584511261.26126134</v>
      </c>
      <c r="N228">
        <v>164097747.74774775</v>
      </c>
      <c r="O228">
        <v>734242567.56756759</v>
      </c>
      <c r="P228">
        <v>746063598.1981982</v>
      </c>
      <c r="Q228">
        <v>135143963.96396396</v>
      </c>
      <c r="R228">
        <v>149677207.2072072</v>
      </c>
      <c r="S228">
        <v>25995</v>
      </c>
      <c r="T228">
        <v>22251</v>
      </c>
    </row>
    <row r="229" spans="1:20" x14ac:dyDescent="0.35">
      <c r="A229" s="7" t="s">
        <v>326</v>
      </c>
      <c r="B229" s="12" t="s">
        <v>225</v>
      </c>
      <c r="C229">
        <v>222679685.91868365</v>
      </c>
      <c r="D229">
        <v>242786408.07191053</v>
      </c>
      <c r="E229">
        <v>709009.00900900899</v>
      </c>
      <c r="F229">
        <v>889189.18918919004</v>
      </c>
      <c r="G229">
        <v>36</v>
      </c>
      <c r="H229">
        <v>46</v>
      </c>
      <c r="K229">
        <v>36</v>
      </c>
      <c r="L229">
        <v>61</v>
      </c>
      <c r="M229">
        <v>18369909.909909908</v>
      </c>
      <c r="N229">
        <v>19997297.297297295</v>
      </c>
      <c r="O229">
        <v>47448585.585585587</v>
      </c>
      <c r="P229">
        <v>56797873.873873875</v>
      </c>
      <c r="Q229">
        <v>18482072.072072074</v>
      </c>
      <c r="R229">
        <v>21243783.783783782</v>
      </c>
      <c r="S229">
        <v>4391</v>
      </c>
      <c r="T229">
        <v>4527</v>
      </c>
    </row>
    <row r="230" spans="1:20" x14ac:dyDescent="0.35">
      <c r="A230" s="7" t="s">
        <v>4</v>
      </c>
      <c r="B230" s="12" t="s">
        <v>159</v>
      </c>
      <c r="C230">
        <v>191953132.24286735</v>
      </c>
      <c r="D230">
        <v>185983083.41283593</v>
      </c>
      <c r="E230">
        <v>3141441.4414414442</v>
      </c>
      <c r="F230">
        <v>6231981.9819819815</v>
      </c>
      <c r="G230">
        <v>16</v>
      </c>
      <c r="H230">
        <v>34</v>
      </c>
      <c r="I230">
        <v>1</v>
      </c>
      <c r="K230">
        <v>20</v>
      </c>
      <c r="L230">
        <v>42</v>
      </c>
      <c r="M230">
        <v>32077477.477477476</v>
      </c>
      <c r="N230">
        <v>70630630.630630627</v>
      </c>
      <c r="O230">
        <v>68309711.711711705</v>
      </c>
      <c r="P230">
        <v>69159342.342342347</v>
      </c>
      <c r="Q230">
        <v>41214684.684684679</v>
      </c>
      <c r="R230">
        <v>59807747.747747742</v>
      </c>
      <c r="S230">
        <v>4083</v>
      </c>
      <c r="T230">
        <v>3608</v>
      </c>
    </row>
    <row r="231" spans="1:20" x14ac:dyDescent="0.35">
      <c r="A231" s="7" t="s">
        <v>327</v>
      </c>
      <c r="B231" s="12" t="s">
        <v>109</v>
      </c>
      <c r="C231">
        <v>898786004.69668531</v>
      </c>
      <c r="D231">
        <v>913920602.43182123</v>
      </c>
      <c r="E231">
        <v>15788894.5945946</v>
      </c>
      <c r="F231">
        <v>72915917.117117122</v>
      </c>
      <c r="G231">
        <v>319</v>
      </c>
      <c r="H231">
        <v>341</v>
      </c>
      <c r="I231">
        <v>1</v>
      </c>
      <c r="K231">
        <v>825</v>
      </c>
      <c r="L231">
        <v>574</v>
      </c>
      <c r="M231">
        <v>588834255.85585582</v>
      </c>
      <c r="N231">
        <v>370818141.44144148</v>
      </c>
      <c r="O231">
        <v>278158623.87387389</v>
      </c>
      <c r="P231">
        <v>282236117.11711711</v>
      </c>
      <c r="Q231">
        <v>130490810.81081082</v>
      </c>
      <c r="R231">
        <v>318847837.83783782</v>
      </c>
      <c r="S231">
        <v>21840</v>
      </c>
      <c r="T231">
        <v>19776</v>
      </c>
    </row>
    <row r="232" spans="1:20" x14ac:dyDescent="0.35">
      <c r="A232" s="7" t="s">
        <v>328</v>
      </c>
      <c r="B232" s="12" t="s">
        <v>79</v>
      </c>
      <c r="C232">
        <v>94898030.728050262</v>
      </c>
      <c r="D232">
        <v>92522345.108010948</v>
      </c>
      <c r="E232">
        <v>89304504.504504517</v>
      </c>
      <c r="F232">
        <v>215033333.33333334</v>
      </c>
      <c r="G232">
        <v>29</v>
      </c>
      <c r="H232">
        <v>34</v>
      </c>
      <c r="K232">
        <v>31</v>
      </c>
      <c r="L232">
        <v>34</v>
      </c>
      <c r="M232">
        <v>10211711.711711712</v>
      </c>
      <c r="N232">
        <v>12241441.441441443</v>
      </c>
      <c r="O232">
        <v>29761621.621621624</v>
      </c>
      <c r="P232">
        <v>32010990.990990993</v>
      </c>
      <c r="Q232">
        <v>8132252.2522522518</v>
      </c>
      <c r="R232">
        <v>9342162.1621621624</v>
      </c>
      <c r="S232">
        <v>2165</v>
      </c>
      <c r="T232">
        <v>1841</v>
      </c>
    </row>
    <row r="233" spans="1:20" x14ac:dyDescent="0.35">
      <c r="A233" s="7" t="s">
        <v>329</v>
      </c>
      <c r="B233" s="12" t="s">
        <v>122</v>
      </c>
      <c r="C233">
        <v>242946887.64169917</v>
      </c>
      <c r="D233">
        <v>229829547.10990396</v>
      </c>
      <c r="E233">
        <v>6617342.3423423413</v>
      </c>
      <c r="F233">
        <v>27635135.13513514</v>
      </c>
      <c r="G233">
        <v>75</v>
      </c>
      <c r="H233">
        <v>84</v>
      </c>
      <c r="I233">
        <v>9</v>
      </c>
      <c r="K233">
        <v>80</v>
      </c>
      <c r="L233">
        <v>90</v>
      </c>
      <c r="M233">
        <v>21553153.153153151</v>
      </c>
      <c r="N233">
        <v>16013513.513513517</v>
      </c>
      <c r="O233">
        <v>38069257.657657653</v>
      </c>
      <c r="P233">
        <v>41136621.621621624</v>
      </c>
      <c r="Q233">
        <v>16715855.855855856</v>
      </c>
      <c r="R233">
        <v>14180000</v>
      </c>
      <c r="S233">
        <v>7362</v>
      </c>
      <c r="T233">
        <v>3588</v>
      </c>
    </row>
    <row r="234" spans="1:20" x14ac:dyDescent="0.35">
      <c r="A234" s="7" t="s">
        <v>330</v>
      </c>
      <c r="B234" s="12" t="s">
        <v>331</v>
      </c>
      <c r="C234">
        <v>586776114.09353793</v>
      </c>
      <c r="D234">
        <v>563475974.65487838</v>
      </c>
      <c r="E234">
        <v>10233333.333333332</v>
      </c>
      <c r="F234">
        <v>4218468.4684684789</v>
      </c>
      <c r="G234">
        <v>217</v>
      </c>
      <c r="H234">
        <v>267</v>
      </c>
      <c r="I234">
        <v>25</v>
      </c>
      <c r="K234">
        <v>356</v>
      </c>
      <c r="L234">
        <v>331</v>
      </c>
      <c r="M234">
        <v>92346126.126126125</v>
      </c>
      <c r="N234">
        <v>101123243.24324325</v>
      </c>
      <c r="O234">
        <v>151684099.54954955</v>
      </c>
      <c r="P234">
        <v>130382827.02702703</v>
      </c>
      <c r="Q234">
        <v>84812205.405405402</v>
      </c>
      <c r="R234">
        <v>107002072.07207206</v>
      </c>
      <c r="S234">
        <v>16476</v>
      </c>
      <c r="T234">
        <v>13963</v>
      </c>
    </row>
    <row r="235" spans="1:20" x14ac:dyDescent="0.35">
      <c r="A235" s="7" t="s">
        <v>332</v>
      </c>
      <c r="B235" s="12" t="s">
        <v>291</v>
      </c>
      <c r="C235">
        <v>862862354.14931762</v>
      </c>
      <c r="D235">
        <v>863132119.0396024</v>
      </c>
      <c r="E235">
        <v>9036036.0360360369</v>
      </c>
      <c r="F235">
        <v>4159909.909909924</v>
      </c>
      <c r="G235">
        <v>338</v>
      </c>
      <c r="H235">
        <v>346</v>
      </c>
      <c r="K235">
        <v>426</v>
      </c>
      <c r="L235">
        <v>399</v>
      </c>
      <c r="M235">
        <v>158940540.54054055</v>
      </c>
      <c r="N235">
        <v>82700450.45045045</v>
      </c>
      <c r="O235">
        <v>157167809.00900903</v>
      </c>
      <c r="P235">
        <v>161641493.6936937</v>
      </c>
      <c r="Q235">
        <v>140265765.76576579</v>
      </c>
      <c r="R235">
        <v>92883873.873873875</v>
      </c>
      <c r="S235">
        <v>18133</v>
      </c>
      <c r="T235">
        <v>17455</v>
      </c>
    </row>
    <row r="236" spans="1:20" x14ac:dyDescent="0.35">
      <c r="A236" s="7" t="s">
        <v>333</v>
      </c>
      <c r="B236" s="12" t="s">
        <v>291</v>
      </c>
      <c r="C236">
        <v>655575496.99679279</v>
      </c>
      <c r="D236">
        <v>673080995.37951708</v>
      </c>
      <c r="E236">
        <v>10041216.216216221</v>
      </c>
      <c r="F236">
        <v>5654954.9549549622</v>
      </c>
      <c r="G236">
        <v>173</v>
      </c>
      <c r="H236">
        <v>231</v>
      </c>
      <c r="I236">
        <v>2</v>
      </c>
      <c r="K236">
        <v>206</v>
      </c>
      <c r="L236">
        <v>366</v>
      </c>
      <c r="M236">
        <v>136164864.86486486</v>
      </c>
      <c r="N236">
        <v>96459009.009009004</v>
      </c>
      <c r="O236">
        <v>178223891.8918919</v>
      </c>
      <c r="P236">
        <v>189234574.77477479</v>
      </c>
      <c r="Q236">
        <v>135923063.06306306</v>
      </c>
      <c r="R236">
        <v>149406486.48648649</v>
      </c>
      <c r="S236">
        <v>15806</v>
      </c>
      <c r="T236">
        <v>14756</v>
      </c>
    </row>
    <row r="237" spans="1:20" x14ac:dyDescent="0.35">
      <c r="A237" s="7" t="s">
        <v>334</v>
      </c>
      <c r="B237" s="12" t="s">
        <v>61</v>
      </c>
      <c r="C237">
        <v>90017382.752424389</v>
      </c>
      <c r="D237">
        <v>91379150.934541106</v>
      </c>
      <c r="E237">
        <v>3070270.2702702722</v>
      </c>
      <c r="F237">
        <v>2044144.1441441439</v>
      </c>
      <c r="G237">
        <v>90</v>
      </c>
      <c r="H237">
        <v>49</v>
      </c>
      <c r="I237">
        <v>2</v>
      </c>
      <c r="K237">
        <v>147</v>
      </c>
      <c r="L237">
        <v>71</v>
      </c>
      <c r="M237">
        <v>39332432.432432435</v>
      </c>
      <c r="N237">
        <v>7584684.6846846864</v>
      </c>
      <c r="O237">
        <v>31409621.62162162</v>
      </c>
      <c r="P237">
        <v>31618756.756756756</v>
      </c>
      <c r="Q237">
        <v>37279009.009009011</v>
      </c>
      <c r="R237">
        <v>5833063.0630630627</v>
      </c>
      <c r="S237">
        <v>2098</v>
      </c>
      <c r="T237">
        <v>2135</v>
      </c>
    </row>
    <row r="238" spans="1:20" x14ac:dyDescent="0.35">
      <c r="A238" s="7" t="s">
        <v>335</v>
      </c>
      <c r="B238" s="12" t="s">
        <v>61</v>
      </c>
      <c r="C238">
        <v>17686483.575978208</v>
      </c>
      <c r="D238">
        <v>20641946.062534176</v>
      </c>
      <c r="E238">
        <v>243243.24324324299</v>
      </c>
      <c r="F238">
        <v>490090.09009009099</v>
      </c>
      <c r="G238">
        <v>5</v>
      </c>
      <c r="H238">
        <v>11</v>
      </c>
      <c r="K238">
        <v>6</v>
      </c>
      <c r="L238">
        <v>12</v>
      </c>
      <c r="M238">
        <v>631981.98198198201</v>
      </c>
      <c r="N238">
        <v>938738.73873873998</v>
      </c>
      <c r="O238">
        <v>9893108.1081081089</v>
      </c>
      <c r="P238">
        <v>10327585.585585587</v>
      </c>
      <c r="Q238">
        <v>850720.72072072094</v>
      </c>
      <c r="R238">
        <v>999459.45945945894</v>
      </c>
      <c r="S238">
        <v>1014</v>
      </c>
      <c r="T238">
        <v>899</v>
      </c>
    </row>
    <row r="239" spans="1:20" x14ac:dyDescent="0.35">
      <c r="A239" s="7" t="s">
        <v>336</v>
      </c>
      <c r="B239" s="12" t="s">
        <v>122</v>
      </c>
      <c r="C239">
        <v>1879221.756999037</v>
      </c>
      <c r="D239">
        <v>2388641.5142180682</v>
      </c>
      <c r="L239">
        <v>1</v>
      </c>
      <c r="O239">
        <v>97747.747747747999</v>
      </c>
      <c r="P239">
        <v>529504.50450450496</v>
      </c>
      <c r="S239">
        <v>165</v>
      </c>
      <c r="T239">
        <v>171</v>
      </c>
    </row>
    <row r="240" spans="1:20" x14ac:dyDescent="0.35">
      <c r="A240" s="7" t="s">
        <v>337</v>
      </c>
      <c r="B240" s="12" t="s">
        <v>122</v>
      </c>
      <c r="C240">
        <v>3161178.9844148709</v>
      </c>
      <c r="D240">
        <v>3325285.7798044509</v>
      </c>
      <c r="E240">
        <v>73964913.51351352</v>
      </c>
      <c r="F240">
        <v>73316594.594594598</v>
      </c>
      <c r="G240">
        <v>2</v>
      </c>
      <c r="H240">
        <v>2</v>
      </c>
      <c r="K240">
        <v>2</v>
      </c>
      <c r="L240">
        <v>2</v>
      </c>
      <c r="M240">
        <v>14220375.675675675</v>
      </c>
      <c r="N240">
        <v>935135.13513513503</v>
      </c>
      <c r="O240">
        <v>567612.61261261301</v>
      </c>
      <c r="P240">
        <v>1109594.594594595</v>
      </c>
      <c r="S240">
        <v>103</v>
      </c>
      <c r="T240">
        <v>88</v>
      </c>
    </row>
    <row r="241" spans="1:20" x14ac:dyDescent="0.35">
      <c r="A241" s="7" t="s">
        <v>338</v>
      </c>
      <c r="B241" s="12" t="s">
        <v>122</v>
      </c>
      <c r="C241">
        <v>2519282.6233478612</v>
      </c>
      <c r="D241">
        <v>2723897.0273019602</v>
      </c>
      <c r="G241">
        <v>1</v>
      </c>
      <c r="K241">
        <v>1</v>
      </c>
      <c r="O241">
        <v>29504.504504504999</v>
      </c>
      <c r="P241">
        <v>372297.29729729699</v>
      </c>
      <c r="S241">
        <v>148</v>
      </c>
      <c r="T241">
        <v>121</v>
      </c>
    </row>
    <row r="242" spans="1:20" x14ac:dyDescent="0.35">
      <c r="A242" s="7" t="s">
        <v>339</v>
      </c>
      <c r="B242" s="12" t="s">
        <v>141</v>
      </c>
      <c r="C242">
        <v>986105078.98129725</v>
      </c>
      <c r="D242">
        <v>1002383240.116173</v>
      </c>
      <c r="E242">
        <v>4354054.05405406</v>
      </c>
      <c r="F242">
        <v>4391441.4414414456</v>
      </c>
      <c r="G242">
        <v>307</v>
      </c>
      <c r="H242">
        <v>157</v>
      </c>
      <c r="I242">
        <v>1</v>
      </c>
      <c r="K242">
        <v>346</v>
      </c>
      <c r="L242">
        <v>234</v>
      </c>
      <c r="M242">
        <v>99029549.54954955</v>
      </c>
      <c r="N242">
        <v>106369287.38738739</v>
      </c>
      <c r="O242">
        <v>198026331.53153151</v>
      </c>
      <c r="P242">
        <v>225531436.03603604</v>
      </c>
      <c r="Q242">
        <v>88328198.198198199</v>
      </c>
      <c r="R242">
        <v>92638198.198198214</v>
      </c>
      <c r="S242">
        <v>16361</v>
      </c>
      <c r="T242">
        <v>16320</v>
      </c>
    </row>
    <row r="243" spans="1:20" x14ac:dyDescent="0.35">
      <c r="A243" s="7" t="s">
        <v>340</v>
      </c>
      <c r="B243" s="12" t="s">
        <v>122</v>
      </c>
      <c r="C243">
        <v>149314053.16076592</v>
      </c>
      <c r="D243">
        <v>147324277.89074224</v>
      </c>
      <c r="G243">
        <v>47</v>
      </c>
      <c r="H243">
        <v>59</v>
      </c>
      <c r="K243">
        <v>49</v>
      </c>
      <c r="L243">
        <v>66</v>
      </c>
      <c r="O243">
        <v>9685801.8018018026</v>
      </c>
      <c r="P243">
        <v>10878574.774774775</v>
      </c>
      <c r="S243">
        <v>2503</v>
      </c>
      <c r="T243">
        <v>2375</v>
      </c>
    </row>
    <row r="244" spans="1:20" x14ac:dyDescent="0.35">
      <c r="A244" s="7" t="s">
        <v>341</v>
      </c>
      <c r="B244" s="12" t="s">
        <v>141</v>
      </c>
      <c r="C244">
        <v>520567081.19937634</v>
      </c>
      <c r="D244">
        <v>549337868.27147603</v>
      </c>
      <c r="E244">
        <v>3727027.02702703</v>
      </c>
      <c r="F244">
        <v>2811711.711711714</v>
      </c>
      <c r="G244">
        <v>101</v>
      </c>
      <c r="H244">
        <v>66</v>
      </c>
      <c r="I244">
        <v>4</v>
      </c>
      <c r="K244">
        <v>136</v>
      </c>
      <c r="L244">
        <v>94</v>
      </c>
      <c r="M244">
        <v>95371351.351351365</v>
      </c>
      <c r="N244">
        <v>99398603.603603601</v>
      </c>
      <c r="O244">
        <v>155870595.04504505</v>
      </c>
      <c r="P244">
        <v>166267612.61261261</v>
      </c>
      <c r="Q244">
        <v>88851981.981981978</v>
      </c>
      <c r="R244">
        <v>87192027.027027026</v>
      </c>
      <c r="S244">
        <v>8947</v>
      </c>
      <c r="T244">
        <v>9458</v>
      </c>
    </row>
    <row r="245" spans="1:20" x14ac:dyDescent="0.35">
      <c r="A245" s="7" t="s">
        <v>342</v>
      </c>
      <c r="B245" s="12" t="s">
        <v>135</v>
      </c>
      <c r="C245">
        <v>59495522.928596281</v>
      </c>
      <c r="D245">
        <v>53035269.209135443</v>
      </c>
      <c r="E245">
        <v>54054.054054054002</v>
      </c>
      <c r="F245">
        <v>40540.540540540998</v>
      </c>
      <c r="G245">
        <v>13</v>
      </c>
      <c r="H245">
        <v>13</v>
      </c>
      <c r="I245">
        <v>1</v>
      </c>
      <c r="K245">
        <v>13</v>
      </c>
      <c r="L245">
        <v>16</v>
      </c>
      <c r="M245">
        <v>1765765.7657657659</v>
      </c>
      <c r="N245">
        <v>2472972.9729729728</v>
      </c>
      <c r="O245">
        <v>5644603.6036036042</v>
      </c>
      <c r="P245">
        <v>6375774.7747747749</v>
      </c>
      <c r="Q245">
        <v>1479189.1891891891</v>
      </c>
      <c r="R245">
        <v>1000180.1801801811</v>
      </c>
      <c r="S245">
        <v>1394</v>
      </c>
      <c r="T245">
        <v>1302</v>
      </c>
    </row>
    <row r="246" spans="1:20" x14ac:dyDescent="0.35">
      <c r="A246" s="7" t="s">
        <v>343</v>
      </c>
      <c r="B246" s="12" t="s">
        <v>122</v>
      </c>
      <c r="C246">
        <v>2547549.21042486</v>
      </c>
      <c r="D246">
        <v>3436525.2302760221</v>
      </c>
      <c r="G246">
        <v>10</v>
      </c>
      <c r="H246">
        <v>3</v>
      </c>
      <c r="K246">
        <v>13</v>
      </c>
      <c r="L246">
        <v>5</v>
      </c>
      <c r="O246">
        <v>1035315.315315315</v>
      </c>
      <c r="P246">
        <v>2269459.4594594589</v>
      </c>
      <c r="S246">
        <v>389</v>
      </c>
      <c r="T246">
        <v>378</v>
      </c>
    </row>
    <row r="247" spans="1:20" x14ac:dyDescent="0.35">
      <c r="A247" s="7" t="s">
        <v>5</v>
      </c>
      <c r="B247" s="12" t="s">
        <v>159</v>
      </c>
      <c r="C247">
        <v>202633118.13228464</v>
      </c>
      <c r="D247">
        <v>208277095.51184875</v>
      </c>
      <c r="E247">
        <v>1068468.4684684691</v>
      </c>
      <c r="F247">
        <v>139639.63963963999</v>
      </c>
      <c r="G247">
        <v>34</v>
      </c>
      <c r="H247">
        <v>22</v>
      </c>
      <c r="I247">
        <v>1</v>
      </c>
      <c r="K247">
        <v>36</v>
      </c>
      <c r="L247">
        <v>26</v>
      </c>
      <c r="M247">
        <v>14715315.315315314</v>
      </c>
      <c r="N247">
        <v>17772972.97297297</v>
      </c>
      <c r="O247">
        <v>86387153.153153151</v>
      </c>
      <c r="P247">
        <v>87972891.891891882</v>
      </c>
      <c r="Q247">
        <v>13244414.414414413</v>
      </c>
      <c r="R247">
        <v>16387387.387387387</v>
      </c>
      <c r="S247">
        <v>3134</v>
      </c>
      <c r="T247">
        <v>3084</v>
      </c>
    </row>
    <row r="248" spans="1:20" x14ac:dyDescent="0.35">
      <c r="A248" s="7" t="s">
        <v>671</v>
      </c>
      <c r="B248" s="12" t="s">
        <v>305</v>
      </c>
      <c r="E248">
        <v>127984828.82882883</v>
      </c>
      <c r="F248">
        <v>119039723.42342342</v>
      </c>
      <c r="N248">
        <v>21711711.711711712</v>
      </c>
    </row>
    <row r="249" spans="1:20" x14ac:dyDescent="0.35">
      <c r="A249" s="7" t="s">
        <v>344</v>
      </c>
      <c r="B249" s="12" t="s">
        <v>305</v>
      </c>
      <c r="C249">
        <v>19815425.113705065</v>
      </c>
      <c r="D249">
        <v>32458758.648439098</v>
      </c>
      <c r="E249">
        <v>900900.90090090095</v>
      </c>
      <c r="F249">
        <v>360360.36036036001</v>
      </c>
      <c r="G249">
        <v>16</v>
      </c>
      <c r="H249">
        <v>49</v>
      </c>
      <c r="K249">
        <v>21</v>
      </c>
      <c r="L249">
        <v>60</v>
      </c>
      <c r="M249">
        <v>1351351.351351351</v>
      </c>
      <c r="N249">
        <v>360360.36036036001</v>
      </c>
      <c r="O249">
        <v>3378342.3423423418</v>
      </c>
      <c r="P249">
        <v>6415133.333333333</v>
      </c>
      <c r="Q249">
        <v>294954.95495495503</v>
      </c>
      <c r="R249">
        <v>395495.49549549498</v>
      </c>
      <c r="S249">
        <v>614</v>
      </c>
      <c r="T249">
        <v>558</v>
      </c>
    </row>
    <row r="250" spans="1:20" x14ac:dyDescent="0.35">
      <c r="A250" s="7" t="s">
        <v>345</v>
      </c>
      <c r="B250" s="12" t="s">
        <v>106</v>
      </c>
      <c r="C250">
        <v>412096999.68396056</v>
      </c>
      <c r="D250">
        <v>426566241.2491554</v>
      </c>
      <c r="E250">
        <v>2833783.7837837851</v>
      </c>
      <c r="F250">
        <v>1987387.3873873891</v>
      </c>
      <c r="G250">
        <v>93</v>
      </c>
      <c r="H250">
        <v>104</v>
      </c>
      <c r="K250">
        <v>116</v>
      </c>
      <c r="L250">
        <v>112</v>
      </c>
      <c r="M250">
        <v>58188468.468468465</v>
      </c>
      <c r="N250">
        <v>114206981.98198198</v>
      </c>
      <c r="O250">
        <v>101815837.83783785</v>
      </c>
      <c r="P250">
        <v>109536639.63963965</v>
      </c>
      <c r="Q250">
        <v>53468738.738738738</v>
      </c>
      <c r="R250">
        <v>112607612.61261261</v>
      </c>
      <c r="S250">
        <v>5990</v>
      </c>
      <c r="T250">
        <v>6696</v>
      </c>
    </row>
    <row r="251" spans="1:20" x14ac:dyDescent="0.35">
      <c r="A251" s="7" t="s">
        <v>346</v>
      </c>
      <c r="B251" s="12" t="s">
        <v>88</v>
      </c>
      <c r="C251">
        <v>120268104.37096134</v>
      </c>
      <c r="D251">
        <v>121434480.58310398</v>
      </c>
      <c r="E251">
        <v>941441.44144144002</v>
      </c>
      <c r="F251">
        <v>928828.82882882899</v>
      </c>
      <c r="G251">
        <v>54</v>
      </c>
      <c r="H251">
        <v>56</v>
      </c>
      <c r="K251">
        <v>57</v>
      </c>
      <c r="L251">
        <v>62</v>
      </c>
      <c r="M251">
        <v>32746846.846846849</v>
      </c>
      <c r="N251">
        <v>31298198.198198199</v>
      </c>
      <c r="O251">
        <v>32494072.97297297</v>
      </c>
      <c r="P251">
        <v>37498403.603603601</v>
      </c>
      <c r="Q251">
        <v>25180807.207207207</v>
      </c>
      <c r="R251">
        <v>21912432.432432432</v>
      </c>
      <c r="S251">
        <v>2547</v>
      </c>
      <c r="T251">
        <v>2278</v>
      </c>
    </row>
    <row r="252" spans="1:20" x14ac:dyDescent="0.35">
      <c r="A252" s="7" t="s">
        <v>347</v>
      </c>
      <c r="B252" s="12" t="s">
        <v>88</v>
      </c>
      <c r="C252">
        <v>348193737.50340426</v>
      </c>
      <c r="D252">
        <v>320619620.01342261</v>
      </c>
      <c r="E252">
        <v>3793018.0180180199</v>
      </c>
      <c r="F252">
        <v>2004504.50450451</v>
      </c>
      <c r="G252">
        <v>196</v>
      </c>
      <c r="H252">
        <v>204</v>
      </c>
      <c r="I252">
        <v>4</v>
      </c>
      <c r="K252">
        <v>239</v>
      </c>
      <c r="L252">
        <v>253</v>
      </c>
      <c r="M252">
        <v>30463963.963963967</v>
      </c>
      <c r="N252">
        <v>34058558.558558553</v>
      </c>
      <c r="O252">
        <v>56947070.270270273</v>
      </c>
      <c r="P252">
        <v>63224081.081081077</v>
      </c>
      <c r="Q252">
        <v>23689189.189189192</v>
      </c>
      <c r="R252">
        <v>28594144.144144144</v>
      </c>
      <c r="S252">
        <v>6772</v>
      </c>
      <c r="T252">
        <v>6397</v>
      </c>
    </row>
    <row r="253" spans="1:20" x14ac:dyDescent="0.35">
      <c r="A253" s="7" t="s">
        <v>348</v>
      </c>
      <c r="B253" s="12" t="s">
        <v>88</v>
      </c>
      <c r="C253">
        <v>10259778.697394071</v>
      </c>
      <c r="D253">
        <v>10542946.458700337</v>
      </c>
      <c r="G253">
        <v>20</v>
      </c>
      <c r="H253">
        <v>10</v>
      </c>
      <c r="K253">
        <v>22</v>
      </c>
      <c r="L253">
        <v>10</v>
      </c>
      <c r="O253">
        <v>4346207.2072072076</v>
      </c>
      <c r="P253">
        <v>5812342.3423423432</v>
      </c>
      <c r="S253">
        <v>828</v>
      </c>
      <c r="T253">
        <v>854</v>
      </c>
    </row>
    <row r="254" spans="1:20" x14ac:dyDescent="0.35">
      <c r="A254" s="7" t="s">
        <v>349</v>
      </c>
      <c r="B254" s="12" t="s">
        <v>88</v>
      </c>
      <c r="C254">
        <v>4627094.3522241982</v>
      </c>
      <c r="D254">
        <v>3838266.0648716809</v>
      </c>
      <c r="G254">
        <v>3</v>
      </c>
      <c r="K254">
        <v>3</v>
      </c>
      <c r="O254">
        <v>1663288.2882882881</v>
      </c>
      <c r="P254">
        <v>1374504.5045045051</v>
      </c>
      <c r="S254">
        <v>193</v>
      </c>
      <c r="T254">
        <v>187</v>
      </c>
    </row>
    <row r="255" spans="1:20" x14ac:dyDescent="0.35">
      <c r="A255" s="7" t="s">
        <v>350</v>
      </c>
      <c r="B255" s="12" t="s">
        <v>88</v>
      </c>
      <c r="C255">
        <v>3818443.679772723</v>
      </c>
      <c r="D255">
        <v>1935486.6666093541</v>
      </c>
      <c r="F255">
        <v>567066.66666666698</v>
      </c>
      <c r="G255">
        <v>6</v>
      </c>
      <c r="H255">
        <v>5</v>
      </c>
      <c r="K255">
        <v>10</v>
      </c>
      <c r="L255">
        <v>9</v>
      </c>
      <c r="M255">
        <v>1081081.0810810809</v>
      </c>
      <c r="N255">
        <v>4459459.4594594603</v>
      </c>
      <c r="O255">
        <v>2133027.0270270272</v>
      </c>
      <c r="P255">
        <v>1220540.5405405399</v>
      </c>
      <c r="S255">
        <v>649</v>
      </c>
      <c r="T255">
        <v>489</v>
      </c>
    </row>
    <row r="256" spans="1:20" x14ac:dyDescent="0.35">
      <c r="A256" s="7" t="s">
        <v>351</v>
      </c>
      <c r="B256" s="12" t="s">
        <v>88</v>
      </c>
      <c r="C256">
        <v>112246869.52889773</v>
      </c>
      <c r="D256">
        <v>112710919.89634</v>
      </c>
      <c r="E256">
        <v>93675217.117117122</v>
      </c>
      <c r="F256">
        <v>83210061.261261269</v>
      </c>
      <c r="G256">
        <v>91</v>
      </c>
      <c r="H256">
        <v>54</v>
      </c>
      <c r="I256">
        <v>1</v>
      </c>
      <c r="K256">
        <v>95</v>
      </c>
      <c r="L256">
        <v>66</v>
      </c>
      <c r="M256">
        <v>7989189.1891891891</v>
      </c>
      <c r="N256">
        <v>13191891.891891891</v>
      </c>
      <c r="O256">
        <v>21515608.108108107</v>
      </c>
      <c r="P256">
        <v>27164639.639639638</v>
      </c>
      <c r="Q256">
        <v>6687297.297297297</v>
      </c>
      <c r="R256">
        <v>10789189.18918919</v>
      </c>
      <c r="S256">
        <v>2124</v>
      </c>
      <c r="T256">
        <v>2081</v>
      </c>
    </row>
    <row r="257" spans="1:20" x14ac:dyDescent="0.35">
      <c r="A257" s="7" t="s">
        <v>352</v>
      </c>
      <c r="B257" s="12" t="s">
        <v>51</v>
      </c>
      <c r="C257">
        <v>300074168.22081977</v>
      </c>
      <c r="D257">
        <v>281115458.05886018</v>
      </c>
      <c r="E257">
        <v>3760135.135135137</v>
      </c>
      <c r="F257">
        <v>2822522.5225225249</v>
      </c>
      <c r="G257">
        <v>75</v>
      </c>
      <c r="H257">
        <v>125</v>
      </c>
      <c r="K257">
        <v>81</v>
      </c>
      <c r="L257">
        <v>155</v>
      </c>
      <c r="M257">
        <v>52096756.75675676</v>
      </c>
      <c r="N257">
        <v>49793828.828828834</v>
      </c>
      <c r="O257">
        <v>117363833.33333333</v>
      </c>
      <c r="P257">
        <v>117035486.48648648</v>
      </c>
      <c r="Q257">
        <v>49661621.621621624</v>
      </c>
      <c r="R257">
        <v>47932927.927927919</v>
      </c>
      <c r="S257">
        <v>5553</v>
      </c>
      <c r="T257">
        <v>5257</v>
      </c>
    </row>
    <row r="258" spans="1:20" x14ac:dyDescent="0.35">
      <c r="A258" s="7" t="s">
        <v>353</v>
      </c>
      <c r="B258" s="12" t="s">
        <v>124</v>
      </c>
      <c r="C258">
        <v>1802493.0548538519</v>
      </c>
      <c r="D258">
        <v>3025296.951935675</v>
      </c>
      <c r="G258">
        <v>1</v>
      </c>
      <c r="H258">
        <v>1</v>
      </c>
      <c r="K258">
        <v>1</v>
      </c>
      <c r="L258">
        <v>1</v>
      </c>
      <c r="O258">
        <v>653918.91891891905</v>
      </c>
      <c r="P258">
        <v>928099.09909909905</v>
      </c>
      <c r="S258">
        <v>121</v>
      </c>
      <c r="T258">
        <v>119</v>
      </c>
    </row>
    <row r="259" spans="1:20" x14ac:dyDescent="0.35">
      <c r="A259" s="7" t="s">
        <v>354</v>
      </c>
      <c r="B259" s="12" t="s">
        <v>355</v>
      </c>
      <c r="C259">
        <v>518421919.68558168</v>
      </c>
      <c r="D259">
        <v>549042911.24898696</v>
      </c>
      <c r="E259">
        <v>397153753.15315318</v>
      </c>
      <c r="F259">
        <v>432208626.12612617</v>
      </c>
      <c r="G259">
        <v>395</v>
      </c>
      <c r="H259">
        <v>456</v>
      </c>
      <c r="I259">
        <v>1</v>
      </c>
      <c r="K259">
        <v>475</v>
      </c>
      <c r="L259">
        <v>472</v>
      </c>
      <c r="M259">
        <v>319308423.42342341</v>
      </c>
      <c r="N259">
        <v>304941505.4054054</v>
      </c>
      <c r="O259">
        <v>308727783.78378379</v>
      </c>
      <c r="P259">
        <v>329249432.43243247</v>
      </c>
      <c r="Q259">
        <v>325273243.24324328</v>
      </c>
      <c r="R259">
        <v>263692522.52252254</v>
      </c>
      <c r="S259">
        <v>9592</v>
      </c>
      <c r="T259">
        <v>9991</v>
      </c>
    </row>
    <row r="260" spans="1:20" x14ac:dyDescent="0.35">
      <c r="A260" s="7" t="s">
        <v>356</v>
      </c>
      <c r="B260" s="12" t="s">
        <v>49</v>
      </c>
      <c r="C260">
        <v>362509424.88658571</v>
      </c>
      <c r="D260">
        <v>401134918.63723534</v>
      </c>
      <c r="E260">
        <v>1198198.198198199</v>
      </c>
      <c r="F260">
        <v>450450.45045045199</v>
      </c>
      <c r="G260">
        <v>34</v>
      </c>
      <c r="H260">
        <v>12</v>
      </c>
      <c r="K260">
        <v>36</v>
      </c>
      <c r="L260">
        <v>15</v>
      </c>
      <c r="M260">
        <v>5583783.7837837832</v>
      </c>
      <c r="N260">
        <v>596396.39639639796</v>
      </c>
      <c r="O260">
        <v>27626774.774774775</v>
      </c>
      <c r="P260">
        <v>32715990.990990993</v>
      </c>
      <c r="Q260">
        <v>5746576.5765765747</v>
      </c>
      <c r="R260">
        <v>869189.18918919202</v>
      </c>
      <c r="S260">
        <v>5711</v>
      </c>
      <c r="T260">
        <v>5632</v>
      </c>
    </row>
    <row r="261" spans="1:20" x14ac:dyDescent="0.35">
      <c r="A261" s="7" t="s">
        <v>357</v>
      </c>
      <c r="B261" s="12" t="s">
        <v>124</v>
      </c>
      <c r="C261">
        <v>398587335.94455343</v>
      </c>
      <c r="D261">
        <v>392833820.5173673</v>
      </c>
      <c r="E261">
        <v>180180.18018018099</v>
      </c>
      <c r="F261">
        <v>727927.92792792898</v>
      </c>
      <c r="G261">
        <v>88</v>
      </c>
      <c r="H261">
        <v>66</v>
      </c>
      <c r="K261">
        <v>91</v>
      </c>
      <c r="L261">
        <v>71</v>
      </c>
      <c r="M261">
        <v>11222792.792792792</v>
      </c>
      <c r="N261">
        <v>13851531.53153153</v>
      </c>
      <c r="O261">
        <v>84802720.720720723</v>
      </c>
      <c r="P261">
        <v>94209198.198198199</v>
      </c>
      <c r="Q261">
        <v>9694864.8648648635</v>
      </c>
      <c r="R261">
        <v>13710270.270270269</v>
      </c>
      <c r="S261">
        <v>6386</v>
      </c>
      <c r="T261">
        <v>5850</v>
      </c>
    </row>
    <row r="262" spans="1:20" x14ac:dyDescent="0.35">
      <c r="A262" s="7" t="s">
        <v>358</v>
      </c>
      <c r="B262" s="12" t="s">
        <v>63</v>
      </c>
      <c r="C262">
        <v>215593795.06368342</v>
      </c>
      <c r="D262">
        <v>223349112.44274053</v>
      </c>
      <c r="E262">
        <v>2520720.7207207209</v>
      </c>
      <c r="F262">
        <v>1689189.1891891931</v>
      </c>
      <c r="G262">
        <v>48</v>
      </c>
      <c r="H262">
        <v>7</v>
      </c>
      <c r="K262">
        <v>50</v>
      </c>
      <c r="L262">
        <v>9</v>
      </c>
      <c r="M262">
        <v>35192972.972972974</v>
      </c>
      <c r="N262">
        <v>46453963.963963971</v>
      </c>
      <c r="O262">
        <v>60817405.40540541</v>
      </c>
      <c r="P262">
        <v>70218450.45045045</v>
      </c>
      <c r="Q262">
        <v>34973603.603603601</v>
      </c>
      <c r="R262">
        <v>29737657.657657657</v>
      </c>
      <c r="S262">
        <v>3967</v>
      </c>
      <c r="T262">
        <v>3860</v>
      </c>
    </row>
    <row r="263" spans="1:20" x14ac:dyDescent="0.35">
      <c r="A263" s="7" t="s">
        <v>359</v>
      </c>
      <c r="B263" s="12" t="s">
        <v>316</v>
      </c>
      <c r="C263">
        <v>5703699.0290193195</v>
      </c>
      <c r="D263">
        <v>13511462.014499541</v>
      </c>
      <c r="G263">
        <v>10</v>
      </c>
      <c r="H263">
        <v>15</v>
      </c>
      <c r="K263">
        <v>11</v>
      </c>
      <c r="L263">
        <v>15</v>
      </c>
      <c r="O263">
        <v>2316846.8468468469</v>
      </c>
      <c r="P263">
        <v>6959414.4144144142</v>
      </c>
      <c r="S263">
        <v>1</v>
      </c>
      <c r="T263">
        <v>502</v>
      </c>
    </row>
    <row r="264" spans="1:20" x14ac:dyDescent="0.35">
      <c r="A264" s="7" t="s">
        <v>360</v>
      </c>
      <c r="B264" s="12" t="s">
        <v>316</v>
      </c>
      <c r="C264">
        <v>218444885.9189795</v>
      </c>
      <c r="D264">
        <v>169589711.33739099</v>
      </c>
      <c r="E264">
        <v>1373873.8738738741</v>
      </c>
      <c r="F264">
        <v>402702.70270270499</v>
      </c>
      <c r="G264">
        <v>49</v>
      </c>
      <c r="H264">
        <v>24</v>
      </c>
      <c r="K264">
        <v>57</v>
      </c>
      <c r="L264">
        <v>29</v>
      </c>
      <c r="M264">
        <v>46940000</v>
      </c>
      <c r="N264">
        <v>52006756.75675676</v>
      </c>
      <c r="O264">
        <v>79390027.027027026</v>
      </c>
      <c r="P264">
        <v>69599927.927927926</v>
      </c>
      <c r="Q264">
        <v>46164504.504504502</v>
      </c>
      <c r="R264">
        <v>46819099.0990991</v>
      </c>
      <c r="S264">
        <v>3353</v>
      </c>
      <c r="T264">
        <v>2542</v>
      </c>
    </row>
    <row r="265" spans="1:20" x14ac:dyDescent="0.35">
      <c r="A265" s="7" t="s">
        <v>361</v>
      </c>
      <c r="B265" s="12" t="s">
        <v>93</v>
      </c>
      <c r="C265">
        <v>397885768.68289167</v>
      </c>
      <c r="D265">
        <v>392810515.12078518</v>
      </c>
      <c r="E265">
        <v>8160360.3603603607</v>
      </c>
      <c r="F265">
        <v>5805855.855855858</v>
      </c>
      <c r="G265">
        <v>87</v>
      </c>
      <c r="H265">
        <v>83</v>
      </c>
      <c r="I265">
        <v>2</v>
      </c>
      <c r="K265">
        <v>95</v>
      </c>
      <c r="L265">
        <v>121</v>
      </c>
      <c r="M265">
        <v>103570270.27027027</v>
      </c>
      <c r="N265">
        <v>77130630.630630627</v>
      </c>
      <c r="O265">
        <v>116988430.63063063</v>
      </c>
      <c r="P265">
        <v>117674162.16216215</v>
      </c>
      <c r="Q265">
        <v>98878421.621621609</v>
      </c>
      <c r="R265">
        <v>74663963.963963971</v>
      </c>
      <c r="S265">
        <v>6987</v>
      </c>
      <c r="T265">
        <v>7705</v>
      </c>
    </row>
    <row r="266" spans="1:20" x14ac:dyDescent="0.35">
      <c r="A266" s="7" t="s">
        <v>362</v>
      </c>
      <c r="B266" s="12" t="s">
        <v>59</v>
      </c>
      <c r="C266">
        <v>774414102.23132372</v>
      </c>
      <c r="D266">
        <v>802979072.56757247</v>
      </c>
      <c r="E266">
        <v>1650225.225225226</v>
      </c>
      <c r="F266">
        <v>3626126.1261261301</v>
      </c>
      <c r="G266">
        <v>125</v>
      </c>
      <c r="H266">
        <v>242</v>
      </c>
      <c r="K266">
        <v>134</v>
      </c>
      <c r="L266">
        <v>267</v>
      </c>
      <c r="M266">
        <v>35171171.171171173</v>
      </c>
      <c r="N266">
        <v>78081081.081081092</v>
      </c>
      <c r="O266">
        <v>122600441.44144145</v>
      </c>
      <c r="P266">
        <v>145490675.67567569</v>
      </c>
      <c r="Q266">
        <v>30693333.333333336</v>
      </c>
      <c r="R266">
        <v>72075945.945945948</v>
      </c>
      <c r="S266">
        <v>13464</v>
      </c>
      <c r="T266">
        <v>13068</v>
      </c>
    </row>
    <row r="267" spans="1:20" x14ac:dyDescent="0.35">
      <c r="A267" s="7" t="s">
        <v>363</v>
      </c>
      <c r="B267" s="12" t="s">
        <v>49</v>
      </c>
      <c r="C267">
        <v>274958043.25300705</v>
      </c>
      <c r="D267">
        <v>282672617.55739206</v>
      </c>
      <c r="E267">
        <v>1383783.7837837839</v>
      </c>
      <c r="F267">
        <v>1227027.0270270279</v>
      </c>
      <c r="G267">
        <v>8</v>
      </c>
      <c r="H267">
        <v>9</v>
      </c>
      <c r="K267">
        <v>9</v>
      </c>
      <c r="L267">
        <v>10</v>
      </c>
      <c r="M267">
        <v>49525765.765765771</v>
      </c>
      <c r="N267">
        <v>16412612.612612616</v>
      </c>
      <c r="O267">
        <v>44868045.045045041</v>
      </c>
      <c r="P267">
        <v>52967162.162162162</v>
      </c>
      <c r="Q267">
        <v>42289189.189189196</v>
      </c>
      <c r="R267">
        <v>16938018.018018018</v>
      </c>
      <c r="S267">
        <v>4040</v>
      </c>
      <c r="T267">
        <v>3843</v>
      </c>
    </row>
    <row r="268" spans="1:20" x14ac:dyDescent="0.35">
      <c r="A268" s="7" t="s">
        <v>364</v>
      </c>
      <c r="B268" s="12" t="s">
        <v>53</v>
      </c>
      <c r="C268">
        <v>116895663.43331385</v>
      </c>
      <c r="D268">
        <v>115645007.64919275</v>
      </c>
      <c r="E268">
        <v>342342.34234234301</v>
      </c>
      <c r="F268">
        <v>1021621.621621625</v>
      </c>
      <c r="G268">
        <v>64</v>
      </c>
      <c r="H268">
        <v>22</v>
      </c>
      <c r="K268">
        <v>68</v>
      </c>
      <c r="L268">
        <v>28</v>
      </c>
      <c r="M268">
        <v>2612612.612612613</v>
      </c>
      <c r="N268">
        <v>5839639.6396396393</v>
      </c>
      <c r="O268">
        <v>56229909.909909911</v>
      </c>
      <c r="P268">
        <v>55315881.081081077</v>
      </c>
      <c r="Q268">
        <v>2528558.5585585581</v>
      </c>
      <c r="R268">
        <v>5950270.2702702684</v>
      </c>
      <c r="S268">
        <v>2914</v>
      </c>
      <c r="T268">
        <v>2923</v>
      </c>
    </row>
    <row r="269" spans="1:20" x14ac:dyDescent="0.35">
      <c r="A269" s="7" t="s">
        <v>365</v>
      </c>
      <c r="B269" s="12" t="s">
        <v>53</v>
      </c>
      <c r="C269">
        <v>89639173.139858171</v>
      </c>
      <c r="D269">
        <v>89694296.617229164</v>
      </c>
      <c r="E269">
        <v>3237837.8378378409</v>
      </c>
      <c r="F269">
        <v>2642792.7927927929</v>
      </c>
      <c r="G269">
        <v>99</v>
      </c>
      <c r="H269">
        <v>46</v>
      </c>
      <c r="I269">
        <v>1</v>
      </c>
      <c r="K269">
        <v>408</v>
      </c>
      <c r="L269">
        <v>139</v>
      </c>
      <c r="M269">
        <v>8652252.2522522546</v>
      </c>
      <c r="N269">
        <v>16219369.369369371</v>
      </c>
      <c r="O269">
        <v>49845972.972972974</v>
      </c>
      <c r="P269">
        <v>50546513.513513513</v>
      </c>
      <c r="Q269">
        <v>13608018.018018017</v>
      </c>
      <c r="R269">
        <v>14504234.234234234</v>
      </c>
      <c r="S269">
        <v>2888</v>
      </c>
      <c r="T269">
        <v>2306</v>
      </c>
    </row>
    <row r="270" spans="1:20" x14ac:dyDescent="0.35">
      <c r="A270" s="7" t="s">
        <v>366</v>
      </c>
      <c r="B270" s="12" t="s">
        <v>53</v>
      </c>
      <c r="C270">
        <v>1015004493.1515795</v>
      </c>
      <c r="D270">
        <v>1015465123.5868369</v>
      </c>
      <c r="E270">
        <v>339393898.1981982</v>
      </c>
      <c r="F270">
        <v>360093618.91891891</v>
      </c>
      <c r="G270">
        <v>333</v>
      </c>
      <c r="H270">
        <v>601</v>
      </c>
      <c r="I270">
        <v>3</v>
      </c>
      <c r="K270">
        <v>585</v>
      </c>
      <c r="L270">
        <v>1032</v>
      </c>
      <c r="M270">
        <v>66890097.297297299</v>
      </c>
      <c r="N270">
        <v>560670720.72072065</v>
      </c>
      <c r="O270">
        <v>371067724.32432437</v>
      </c>
      <c r="P270">
        <v>383305963.96396399</v>
      </c>
      <c r="Q270">
        <v>83932342.342342332</v>
      </c>
      <c r="R270">
        <v>101826306.3063063</v>
      </c>
      <c r="S270">
        <v>26202</v>
      </c>
      <c r="T270">
        <v>21523</v>
      </c>
    </row>
    <row r="271" spans="1:20" x14ac:dyDescent="0.35">
      <c r="A271" s="7" t="s">
        <v>367</v>
      </c>
      <c r="B271" s="12" t="s">
        <v>294</v>
      </c>
      <c r="C271">
        <v>586808845.76549613</v>
      </c>
      <c r="D271">
        <v>584128138.6467365</v>
      </c>
      <c r="E271">
        <v>4183783.783783779</v>
      </c>
      <c r="F271">
        <v>8657657.6576576568</v>
      </c>
      <c r="G271">
        <v>161</v>
      </c>
      <c r="H271">
        <v>89</v>
      </c>
      <c r="K271">
        <v>194</v>
      </c>
      <c r="L271">
        <v>298</v>
      </c>
      <c r="M271">
        <v>65722972.972972974</v>
      </c>
      <c r="N271">
        <v>93803243.243243247</v>
      </c>
      <c r="O271">
        <v>190062038.73873875</v>
      </c>
      <c r="P271">
        <v>194343753.15315315</v>
      </c>
      <c r="Q271">
        <v>69125945.945945948</v>
      </c>
      <c r="R271">
        <v>91838198.198198214</v>
      </c>
      <c r="S271">
        <v>14522</v>
      </c>
      <c r="T271">
        <v>11187</v>
      </c>
    </row>
    <row r="272" spans="1:20" x14ac:dyDescent="0.35">
      <c r="A272" s="7" t="s">
        <v>368</v>
      </c>
      <c r="B272" s="12" t="s">
        <v>369</v>
      </c>
      <c r="C272">
        <v>247691876.78331873</v>
      </c>
      <c r="D272">
        <v>241027480.54145223</v>
      </c>
      <c r="E272">
        <v>126183290.990991</v>
      </c>
      <c r="F272">
        <v>168929461.26126125</v>
      </c>
      <c r="G272">
        <v>58</v>
      </c>
      <c r="H272">
        <v>33</v>
      </c>
      <c r="K272">
        <v>74</v>
      </c>
      <c r="L272">
        <v>40</v>
      </c>
      <c r="M272">
        <v>67504684.684684679</v>
      </c>
      <c r="N272">
        <v>117978918.91891892</v>
      </c>
      <c r="O272">
        <v>105234720.72072072</v>
      </c>
      <c r="P272">
        <v>104836673.87387387</v>
      </c>
      <c r="Q272">
        <v>66440720.720720723</v>
      </c>
      <c r="R272">
        <v>109122072.07207206</v>
      </c>
      <c r="S272">
        <v>5126</v>
      </c>
      <c r="T272">
        <v>3732</v>
      </c>
    </row>
    <row r="273" spans="1:20" x14ac:dyDescent="0.35">
      <c r="A273" s="7" t="s">
        <v>370</v>
      </c>
      <c r="B273" s="12" t="s">
        <v>71</v>
      </c>
      <c r="C273">
        <v>71713871.999180391</v>
      </c>
      <c r="D273">
        <v>72688770.909061536</v>
      </c>
      <c r="E273">
        <v>2182882.8828828838</v>
      </c>
      <c r="F273">
        <v>2010810.8108108109</v>
      </c>
      <c r="G273">
        <v>47</v>
      </c>
      <c r="H273">
        <v>32</v>
      </c>
      <c r="K273">
        <v>63</v>
      </c>
      <c r="L273">
        <v>49</v>
      </c>
      <c r="M273">
        <v>15741441.441441439</v>
      </c>
      <c r="N273">
        <v>16263963.963963963</v>
      </c>
      <c r="O273">
        <v>23465234.234234232</v>
      </c>
      <c r="P273">
        <v>24034297.297297295</v>
      </c>
      <c r="Q273">
        <v>14371981.981981983</v>
      </c>
      <c r="R273">
        <v>14027657.657657657</v>
      </c>
      <c r="S273">
        <v>1258</v>
      </c>
      <c r="T273">
        <v>1109</v>
      </c>
    </row>
    <row r="274" spans="1:20" x14ac:dyDescent="0.35">
      <c r="A274" s="7" t="s">
        <v>371</v>
      </c>
      <c r="B274" s="12" t="s">
        <v>51</v>
      </c>
      <c r="C274">
        <v>150432623.20466396</v>
      </c>
      <c r="D274">
        <v>131114455.00151332</v>
      </c>
      <c r="E274">
        <v>1270270.2702702719</v>
      </c>
      <c r="F274">
        <v>1630630.630630631</v>
      </c>
      <c r="G274">
        <v>34</v>
      </c>
      <c r="H274">
        <v>22</v>
      </c>
      <c r="K274">
        <v>39</v>
      </c>
      <c r="L274">
        <v>24</v>
      </c>
      <c r="M274">
        <v>13740090.090090089</v>
      </c>
      <c r="N274">
        <v>12871711.711711712</v>
      </c>
      <c r="O274">
        <v>68704270.270270273</v>
      </c>
      <c r="P274">
        <v>59420000</v>
      </c>
      <c r="Q274">
        <v>12545945.945945946</v>
      </c>
      <c r="R274">
        <v>11468828.828828828</v>
      </c>
      <c r="S274">
        <v>2549</v>
      </c>
      <c r="T274">
        <v>2630</v>
      </c>
    </row>
    <row r="275" spans="1:20" x14ac:dyDescent="0.35">
      <c r="A275" s="7" t="s">
        <v>372</v>
      </c>
      <c r="B275" s="12" t="s">
        <v>122</v>
      </c>
      <c r="C275">
        <v>148218597.36596334</v>
      </c>
      <c r="D275">
        <v>136443692.08271602</v>
      </c>
      <c r="E275">
        <v>981081.08108108095</v>
      </c>
      <c r="F275">
        <v>878378.378378383</v>
      </c>
      <c r="G275">
        <v>63</v>
      </c>
      <c r="H275">
        <v>75</v>
      </c>
      <c r="K275">
        <v>71</v>
      </c>
      <c r="L275">
        <v>89</v>
      </c>
      <c r="M275">
        <v>6364864.8648648644</v>
      </c>
      <c r="N275">
        <v>4256756.7567567592</v>
      </c>
      <c r="O275">
        <v>14635261.26126126</v>
      </c>
      <c r="P275">
        <v>15683981.98198198</v>
      </c>
      <c r="Q275">
        <v>4889819.8198198192</v>
      </c>
      <c r="R275">
        <v>3953963.963963964</v>
      </c>
      <c r="S275">
        <v>2928</v>
      </c>
      <c r="T275">
        <v>2788</v>
      </c>
    </row>
    <row r="276" spans="1:20" x14ac:dyDescent="0.35">
      <c r="A276" s="7" t="s">
        <v>373</v>
      </c>
      <c r="B276" s="12" t="s">
        <v>374</v>
      </c>
      <c r="C276">
        <v>336986651.52070087</v>
      </c>
      <c r="D276">
        <v>342297595.50412649</v>
      </c>
      <c r="E276">
        <v>50782582.882882886</v>
      </c>
      <c r="F276">
        <v>88205095.495495498</v>
      </c>
      <c r="G276">
        <v>46</v>
      </c>
      <c r="H276">
        <v>28</v>
      </c>
      <c r="K276">
        <v>48</v>
      </c>
      <c r="L276">
        <v>35</v>
      </c>
      <c r="M276">
        <v>73906126.126126125</v>
      </c>
      <c r="N276">
        <v>107694279.27927928</v>
      </c>
      <c r="O276">
        <v>128469486.48648649</v>
      </c>
      <c r="P276">
        <v>138679761.26126125</v>
      </c>
      <c r="Q276">
        <v>61500630.630630635</v>
      </c>
      <c r="R276">
        <v>72188693.693693697</v>
      </c>
      <c r="S276">
        <v>10858</v>
      </c>
      <c r="T276">
        <v>10461</v>
      </c>
    </row>
    <row r="277" spans="1:20" x14ac:dyDescent="0.35">
      <c r="A277" s="7" t="s">
        <v>375</v>
      </c>
      <c r="B277" s="12" t="s">
        <v>67</v>
      </c>
      <c r="C277">
        <v>251382258.16756591</v>
      </c>
      <c r="D277">
        <v>265845880.13989073</v>
      </c>
      <c r="E277">
        <v>11149549.549549552</v>
      </c>
      <c r="F277">
        <v>14240090.090090094</v>
      </c>
      <c r="G277">
        <v>93</v>
      </c>
      <c r="H277">
        <v>53</v>
      </c>
      <c r="K277">
        <v>111</v>
      </c>
      <c r="L277">
        <v>61</v>
      </c>
      <c r="M277">
        <v>189680630.63063061</v>
      </c>
      <c r="N277">
        <v>336747522.52252251</v>
      </c>
      <c r="O277">
        <v>92171009.009009004</v>
      </c>
      <c r="P277">
        <v>101522477.47747748</v>
      </c>
      <c r="Q277">
        <v>174512972.97297296</v>
      </c>
      <c r="R277">
        <v>220424279.27927926</v>
      </c>
      <c r="S277">
        <v>9472</v>
      </c>
      <c r="T277">
        <v>7055</v>
      </c>
    </row>
    <row r="278" spans="1:20" x14ac:dyDescent="0.35">
      <c r="A278" s="7" t="s">
        <v>376</v>
      </c>
      <c r="B278" s="12" t="s">
        <v>355</v>
      </c>
      <c r="C278">
        <v>375095854.11156934</v>
      </c>
      <c r="D278">
        <v>380825829.46993518</v>
      </c>
      <c r="E278">
        <v>3055630.6306306329</v>
      </c>
      <c r="F278">
        <v>7149549.5495495517</v>
      </c>
      <c r="G278">
        <v>431</v>
      </c>
      <c r="H278">
        <v>459</v>
      </c>
      <c r="K278">
        <v>443</v>
      </c>
      <c r="L278">
        <v>477</v>
      </c>
      <c r="M278">
        <v>87910720.720720723</v>
      </c>
      <c r="N278">
        <v>86421711.711711705</v>
      </c>
      <c r="O278">
        <v>230783081.08108109</v>
      </c>
      <c r="P278">
        <v>226959216.21621624</v>
      </c>
      <c r="Q278">
        <v>94194504.504504502</v>
      </c>
      <c r="R278">
        <v>76204594.594594598</v>
      </c>
      <c r="S278">
        <v>7646</v>
      </c>
      <c r="T278">
        <v>6757</v>
      </c>
    </row>
    <row r="279" spans="1:20" x14ac:dyDescent="0.35">
      <c r="A279" s="7" t="s">
        <v>377</v>
      </c>
      <c r="B279" s="12" t="s">
        <v>67</v>
      </c>
      <c r="C279">
        <v>144908908.73746428</v>
      </c>
      <c r="D279">
        <v>149620163.00431111</v>
      </c>
      <c r="E279">
        <v>1303603.6036036049</v>
      </c>
      <c r="F279">
        <v>3037387.3873873889</v>
      </c>
      <c r="G279">
        <v>60</v>
      </c>
      <c r="H279">
        <v>27</v>
      </c>
      <c r="K279">
        <v>66</v>
      </c>
      <c r="L279">
        <v>32</v>
      </c>
      <c r="M279">
        <v>12212432.432432432</v>
      </c>
      <c r="N279">
        <v>99282657.657657668</v>
      </c>
      <c r="O279">
        <v>68825581.081081077</v>
      </c>
      <c r="P279">
        <v>68398756.756756753</v>
      </c>
      <c r="Q279">
        <v>16559279.27927928</v>
      </c>
      <c r="R279">
        <v>92452927.927927926</v>
      </c>
      <c r="S279">
        <v>6106</v>
      </c>
      <c r="T279">
        <v>5340</v>
      </c>
    </row>
    <row r="280" spans="1:20" x14ac:dyDescent="0.35">
      <c r="A280" s="7" t="s">
        <v>378</v>
      </c>
      <c r="B280" s="12" t="s">
        <v>261</v>
      </c>
      <c r="C280">
        <v>120292074.91278662</v>
      </c>
      <c r="D280">
        <v>120842570.52559881</v>
      </c>
      <c r="E280">
        <v>74363063.063063055</v>
      </c>
      <c r="F280">
        <v>59261261.261261262</v>
      </c>
      <c r="G280">
        <v>10</v>
      </c>
      <c r="H280">
        <v>27</v>
      </c>
      <c r="K280">
        <v>10</v>
      </c>
      <c r="L280">
        <v>33</v>
      </c>
      <c r="M280">
        <v>9353828.8288288284</v>
      </c>
      <c r="N280">
        <v>8609909.9099099096</v>
      </c>
      <c r="O280">
        <v>20026864.864864863</v>
      </c>
      <c r="P280">
        <v>26966662.162162162</v>
      </c>
      <c r="Q280">
        <v>3148738.7387387389</v>
      </c>
      <c r="R280">
        <v>5510990.9909909908</v>
      </c>
      <c r="S280">
        <v>1673</v>
      </c>
      <c r="T280">
        <v>1680</v>
      </c>
    </row>
    <row r="281" spans="1:20" x14ac:dyDescent="0.35">
      <c r="A281" s="7" t="s">
        <v>379</v>
      </c>
      <c r="B281" s="12" t="s">
        <v>355</v>
      </c>
      <c r="C281">
        <v>314103905.09285223</v>
      </c>
      <c r="D281">
        <v>305708722.281156</v>
      </c>
      <c r="E281">
        <v>4908108.108108107</v>
      </c>
      <c r="F281">
        <v>7756306.3063063072</v>
      </c>
      <c r="G281">
        <v>57</v>
      </c>
      <c r="H281">
        <v>117</v>
      </c>
      <c r="K281">
        <v>60</v>
      </c>
      <c r="L281">
        <v>124</v>
      </c>
      <c r="M281">
        <v>55712522.522522531</v>
      </c>
      <c r="N281">
        <v>75122972.972972974</v>
      </c>
      <c r="O281">
        <v>174543924.32432431</v>
      </c>
      <c r="P281">
        <v>170268882.88288289</v>
      </c>
      <c r="Q281">
        <v>55385225.225225225</v>
      </c>
      <c r="R281">
        <v>69344414.414414421</v>
      </c>
      <c r="S281">
        <v>4949</v>
      </c>
      <c r="T281">
        <v>4826</v>
      </c>
    </row>
    <row r="282" spans="1:20" x14ac:dyDescent="0.35">
      <c r="A282" s="7" t="s">
        <v>380</v>
      </c>
      <c r="B282" s="12" t="s">
        <v>88</v>
      </c>
      <c r="C282">
        <v>8092349.1010272941</v>
      </c>
      <c r="D282">
        <v>8127054.4952347251</v>
      </c>
      <c r="G282">
        <v>1</v>
      </c>
      <c r="H282">
        <v>6</v>
      </c>
      <c r="K282">
        <v>2</v>
      </c>
      <c r="L282">
        <v>6</v>
      </c>
      <c r="O282">
        <v>450360.360360361</v>
      </c>
      <c r="P282">
        <v>1473873.8738738741</v>
      </c>
      <c r="S282">
        <v>133</v>
      </c>
      <c r="T282">
        <v>221</v>
      </c>
    </row>
    <row r="283" spans="1:20" x14ac:dyDescent="0.35">
      <c r="A283" s="7" t="s">
        <v>381</v>
      </c>
      <c r="B283" s="12" t="s">
        <v>88</v>
      </c>
      <c r="C283">
        <v>11106164.629884996</v>
      </c>
      <c r="D283">
        <v>10331197.145188283</v>
      </c>
      <c r="G283">
        <v>21</v>
      </c>
      <c r="H283">
        <v>29</v>
      </c>
      <c r="K283">
        <v>23</v>
      </c>
      <c r="L283">
        <v>34</v>
      </c>
      <c r="O283">
        <v>1385414.414414414</v>
      </c>
      <c r="P283">
        <v>1896666.666666667</v>
      </c>
      <c r="S283">
        <v>89</v>
      </c>
      <c r="T283">
        <v>336</v>
      </c>
    </row>
    <row r="284" spans="1:20" x14ac:dyDescent="0.35">
      <c r="A284" s="7" t="s">
        <v>382</v>
      </c>
      <c r="B284" s="12" t="s">
        <v>81</v>
      </c>
      <c r="C284">
        <v>2107167611.8060942</v>
      </c>
      <c r="D284">
        <v>2135809864.8970997</v>
      </c>
      <c r="E284">
        <v>1381500451.3513513</v>
      </c>
      <c r="F284">
        <v>902012799.09909916</v>
      </c>
      <c r="G284">
        <v>757</v>
      </c>
      <c r="H284">
        <v>580</v>
      </c>
      <c r="I284">
        <v>8</v>
      </c>
      <c r="K284">
        <v>890</v>
      </c>
      <c r="L284">
        <v>857</v>
      </c>
      <c r="M284">
        <v>346386936.93693691</v>
      </c>
      <c r="N284">
        <v>580992545.04504502</v>
      </c>
      <c r="O284">
        <v>550132135.58558559</v>
      </c>
      <c r="P284">
        <v>610699615.31531537</v>
      </c>
      <c r="Q284">
        <v>312179009.009009</v>
      </c>
      <c r="R284">
        <v>281829772.97297299</v>
      </c>
      <c r="S284">
        <v>40356</v>
      </c>
      <c r="T284">
        <v>37840</v>
      </c>
    </row>
    <row r="285" spans="1:20" x14ac:dyDescent="0.35">
      <c r="A285" s="7" t="s">
        <v>383</v>
      </c>
      <c r="B285" s="12" t="s">
        <v>81</v>
      </c>
      <c r="C285">
        <v>579454478.69600916</v>
      </c>
      <c r="D285">
        <v>561021826.8785454</v>
      </c>
      <c r="E285">
        <v>7577702.7027027057</v>
      </c>
      <c r="F285">
        <v>5968468.4684684733</v>
      </c>
      <c r="G285">
        <v>178</v>
      </c>
      <c r="H285">
        <v>202</v>
      </c>
      <c r="I285">
        <v>1</v>
      </c>
      <c r="K285">
        <v>210</v>
      </c>
      <c r="L285">
        <v>312</v>
      </c>
      <c r="M285">
        <v>117924324.32432432</v>
      </c>
      <c r="N285">
        <v>133391891.8918919</v>
      </c>
      <c r="O285">
        <v>239763942.7927928</v>
      </c>
      <c r="P285">
        <v>245131539.63963965</v>
      </c>
      <c r="Q285">
        <v>105061390.990991</v>
      </c>
      <c r="R285">
        <v>120408151.35135135</v>
      </c>
      <c r="S285">
        <v>10520</v>
      </c>
      <c r="T285">
        <v>13633</v>
      </c>
    </row>
    <row r="286" spans="1:20" x14ac:dyDescent="0.35">
      <c r="A286" s="7" t="s">
        <v>384</v>
      </c>
      <c r="B286" s="12" t="s">
        <v>81</v>
      </c>
      <c r="C286">
        <v>729451056.28052032</v>
      </c>
      <c r="D286">
        <v>751305508.06682062</v>
      </c>
      <c r="E286">
        <v>758177.47747747996</v>
      </c>
      <c r="F286">
        <v>1900900.900900902</v>
      </c>
      <c r="G286">
        <v>104</v>
      </c>
      <c r="H286">
        <v>57</v>
      </c>
      <c r="I286">
        <v>2</v>
      </c>
      <c r="K286">
        <v>115</v>
      </c>
      <c r="L286">
        <v>70</v>
      </c>
      <c r="M286">
        <v>54832031.531531535</v>
      </c>
      <c r="N286">
        <v>41223423.423423424</v>
      </c>
      <c r="O286">
        <v>148036351.35135135</v>
      </c>
      <c r="P286">
        <v>162312971.17117116</v>
      </c>
      <c r="Q286">
        <v>57874504.504504502</v>
      </c>
      <c r="R286">
        <v>47722072.072072074</v>
      </c>
      <c r="S286">
        <v>9929</v>
      </c>
      <c r="T286">
        <v>9497</v>
      </c>
    </row>
    <row r="287" spans="1:20" x14ac:dyDescent="0.35">
      <c r="A287" s="7" t="s">
        <v>385</v>
      </c>
      <c r="B287" s="12" t="s">
        <v>69</v>
      </c>
      <c r="C287">
        <v>315534916.25375545</v>
      </c>
      <c r="D287">
        <v>308458362.58692694</v>
      </c>
      <c r="E287">
        <v>1378378.378378381</v>
      </c>
      <c r="F287">
        <v>2272972.972972977</v>
      </c>
      <c r="G287">
        <v>63</v>
      </c>
      <c r="H287">
        <v>43</v>
      </c>
      <c r="K287">
        <v>70</v>
      </c>
      <c r="L287">
        <v>52</v>
      </c>
      <c r="M287">
        <v>12457207.207207208</v>
      </c>
      <c r="N287">
        <v>15188288.288288292</v>
      </c>
      <c r="O287">
        <v>45015513.513513513</v>
      </c>
      <c r="P287">
        <v>45172282.882882886</v>
      </c>
      <c r="Q287">
        <v>11920090.09009009</v>
      </c>
      <c r="R287">
        <v>14381441.441441439</v>
      </c>
      <c r="S287">
        <v>5400</v>
      </c>
      <c r="T287">
        <v>5180</v>
      </c>
    </row>
    <row r="288" spans="1:20" x14ac:dyDescent="0.35">
      <c r="A288" s="7" t="s">
        <v>386</v>
      </c>
      <c r="B288" s="12" t="s">
        <v>168</v>
      </c>
      <c r="C288">
        <v>106132039.57968429</v>
      </c>
      <c r="D288">
        <v>126083355.11296536</v>
      </c>
      <c r="E288">
        <v>1752252.2522522551</v>
      </c>
      <c r="F288">
        <v>4229729.7297297269</v>
      </c>
      <c r="G288">
        <v>37</v>
      </c>
      <c r="H288">
        <v>22</v>
      </c>
      <c r="K288">
        <v>46</v>
      </c>
      <c r="L288">
        <v>29</v>
      </c>
      <c r="M288">
        <v>25198263.963963963</v>
      </c>
      <c r="N288">
        <v>23483783.783783782</v>
      </c>
      <c r="O288">
        <v>45108801.801801801</v>
      </c>
      <c r="P288">
        <v>58404610.810810804</v>
      </c>
      <c r="Q288">
        <v>21941081.081081081</v>
      </c>
      <c r="R288">
        <v>25369819.819819819</v>
      </c>
      <c r="S288">
        <v>2565</v>
      </c>
      <c r="T288">
        <v>2441</v>
      </c>
    </row>
    <row r="289" spans="1:20" x14ac:dyDescent="0.35">
      <c r="A289" s="7" t="s">
        <v>387</v>
      </c>
      <c r="B289" s="12" t="s">
        <v>95</v>
      </c>
      <c r="C289">
        <v>625377516.15465677</v>
      </c>
      <c r="D289">
        <v>649334825.99214101</v>
      </c>
      <c r="E289">
        <v>779279.27927927999</v>
      </c>
      <c r="F289">
        <v>1635135.135135137</v>
      </c>
      <c r="G289">
        <v>143</v>
      </c>
      <c r="H289">
        <v>140</v>
      </c>
      <c r="I289">
        <v>2</v>
      </c>
      <c r="K289">
        <v>151</v>
      </c>
      <c r="L289">
        <v>159</v>
      </c>
      <c r="M289">
        <v>23669369.369369369</v>
      </c>
      <c r="N289">
        <v>24202702.702702705</v>
      </c>
      <c r="O289">
        <v>73909054.054054052</v>
      </c>
      <c r="P289">
        <v>95087927.927927941</v>
      </c>
      <c r="Q289">
        <v>18334864.864864863</v>
      </c>
      <c r="R289">
        <v>15873513.513513513</v>
      </c>
      <c r="S289">
        <v>8347</v>
      </c>
      <c r="T289">
        <v>9216</v>
      </c>
    </row>
    <row r="290" spans="1:20" x14ac:dyDescent="0.35">
      <c r="A290" s="7" t="s">
        <v>388</v>
      </c>
      <c r="B290" s="12" t="s">
        <v>215</v>
      </c>
      <c r="C290">
        <v>117019970.88160287</v>
      </c>
      <c r="D290">
        <v>122586092.60318241</v>
      </c>
      <c r="E290">
        <v>1428828.8288288291</v>
      </c>
      <c r="F290">
        <v>1246846.8468468471</v>
      </c>
      <c r="G290">
        <v>42</v>
      </c>
      <c r="H290">
        <v>6</v>
      </c>
      <c r="K290">
        <v>47</v>
      </c>
      <c r="L290">
        <v>8</v>
      </c>
      <c r="M290">
        <v>3230630.630630631</v>
      </c>
      <c r="N290">
        <v>5469369.369369369</v>
      </c>
      <c r="O290">
        <v>56133045.045045048</v>
      </c>
      <c r="P290">
        <v>57593585.585585587</v>
      </c>
      <c r="Q290">
        <v>2842882.8828828828</v>
      </c>
      <c r="R290">
        <v>4484054.0540540526</v>
      </c>
      <c r="S290">
        <v>2466</v>
      </c>
      <c r="T290">
        <v>2379</v>
      </c>
    </row>
    <row r="291" spans="1:20" x14ac:dyDescent="0.35">
      <c r="A291" s="7" t="s">
        <v>389</v>
      </c>
      <c r="B291" s="12" t="s">
        <v>118</v>
      </c>
      <c r="C291">
        <v>46308307.967239358</v>
      </c>
      <c r="D291">
        <v>45047159.056292653</v>
      </c>
      <c r="E291">
        <v>799099.09909909801</v>
      </c>
      <c r="F291">
        <v>468468.46846846899</v>
      </c>
      <c r="G291">
        <v>32</v>
      </c>
      <c r="H291">
        <v>30</v>
      </c>
      <c r="K291">
        <v>40</v>
      </c>
      <c r="L291">
        <v>34</v>
      </c>
      <c r="M291">
        <v>15438854.054054054</v>
      </c>
      <c r="N291">
        <v>8648590.0900900885</v>
      </c>
      <c r="O291">
        <v>21783972.97297297</v>
      </c>
      <c r="P291">
        <v>20101099.0990991</v>
      </c>
      <c r="Q291">
        <v>13387207.207207208</v>
      </c>
      <c r="R291">
        <v>8734234.2342342343</v>
      </c>
      <c r="S291">
        <v>1963</v>
      </c>
      <c r="T291">
        <v>1830</v>
      </c>
    </row>
    <row r="292" spans="1:20" x14ac:dyDescent="0.35">
      <c r="A292" s="7" t="s">
        <v>390</v>
      </c>
      <c r="B292" s="12" t="s">
        <v>316</v>
      </c>
      <c r="C292">
        <v>202832998.0338636</v>
      </c>
      <c r="D292">
        <v>200124505.47862568</v>
      </c>
      <c r="E292">
        <v>675675.67567567597</v>
      </c>
      <c r="F292">
        <v>42342.342342342999</v>
      </c>
      <c r="G292">
        <v>19</v>
      </c>
      <c r="H292">
        <v>12</v>
      </c>
      <c r="I292">
        <v>2</v>
      </c>
      <c r="K292">
        <v>19</v>
      </c>
      <c r="L292">
        <v>13</v>
      </c>
      <c r="M292">
        <v>8243243.2432432426</v>
      </c>
      <c r="N292">
        <v>9963063.0630630646</v>
      </c>
      <c r="O292">
        <v>41728117.117117122</v>
      </c>
      <c r="P292">
        <v>42330189.189189196</v>
      </c>
      <c r="Q292">
        <v>8907657.6576576587</v>
      </c>
      <c r="R292">
        <v>9988018.0180180185</v>
      </c>
      <c r="S292">
        <v>2674</v>
      </c>
      <c r="T292">
        <v>2880</v>
      </c>
    </row>
    <row r="293" spans="1:20" x14ac:dyDescent="0.35">
      <c r="A293" s="7" t="s">
        <v>672</v>
      </c>
      <c r="B293" s="12" t="s">
        <v>182</v>
      </c>
      <c r="M293">
        <v>1073873.8738738741</v>
      </c>
      <c r="N293">
        <v>3324324.3243243238</v>
      </c>
    </row>
    <row r="294" spans="1:20" x14ac:dyDescent="0.35">
      <c r="A294" s="7" t="s">
        <v>391</v>
      </c>
      <c r="B294" s="12" t="s">
        <v>225</v>
      </c>
      <c r="C294">
        <v>82649383.244549885</v>
      </c>
      <c r="D294">
        <v>79994164.817645013</v>
      </c>
      <c r="G294">
        <v>9</v>
      </c>
      <c r="H294">
        <v>5</v>
      </c>
      <c r="K294">
        <v>9</v>
      </c>
      <c r="L294">
        <v>6</v>
      </c>
      <c r="O294">
        <v>15872072.072072072</v>
      </c>
      <c r="P294">
        <v>15312234.234234234</v>
      </c>
      <c r="S294">
        <v>1499</v>
      </c>
      <c r="T294">
        <v>1423</v>
      </c>
    </row>
    <row r="295" spans="1:20" x14ac:dyDescent="0.35">
      <c r="A295" s="7" t="s">
        <v>6</v>
      </c>
      <c r="B295" s="12" t="s">
        <v>194</v>
      </c>
      <c r="C295">
        <v>741692822.74795043</v>
      </c>
      <c r="D295">
        <v>709725757.38983166</v>
      </c>
      <c r="E295">
        <v>318233401.8018018</v>
      </c>
      <c r="F295">
        <v>363884920.72072071</v>
      </c>
      <c r="G295">
        <v>479</v>
      </c>
      <c r="H295">
        <v>674</v>
      </c>
      <c r="K295">
        <v>888</v>
      </c>
      <c r="L295">
        <v>1309</v>
      </c>
      <c r="M295">
        <v>295171742.34234232</v>
      </c>
      <c r="N295">
        <v>489731184.68468469</v>
      </c>
      <c r="O295">
        <v>502304756.75675672</v>
      </c>
      <c r="P295">
        <v>493967936.93693697</v>
      </c>
      <c r="Q295">
        <v>251463153.15315315</v>
      </c>
      <c r="R295">
        <v>453984774.77477479</v>
      </c>
      <c r="S295">
        <v>13603</v>
      </c>
      <c r="T295">
        <v>13377</v>
      </c>
    </row>
    <row r="296" spans="1:20" x14ac:dyDescent="0.35">
      <c r="A296" s="7" t="s">
        <v>392</v>
      </c>
      <c r="B296" s="12" t="s">
        <v>122</v>
      </c>
      <c r="C296">
        <v>32404812.539839879</v>
      </c>
      <c r="D296">
        <v>31216093.357442521</v>
      </c>
      <c r="G296">
        <v>10</v>
      </c>
      <c r="H296">
        <v>24</v>
      </c>
      <c r="K296">
        <v>11</v>
      </c>
      <c r="L296">
        <v>26</v>
      </c>
      <c r="O296">
        <v>1575567.567567568</v>
      </c>
      <c r="P296">
        <v>2240639.6396396402</v>
      </c>
      <c r="S296">
        <v>537</v>
      </c>
      <c r="T296">
        <v>546</v>
      </c>
    </row>
    <row r="297" spans="1:20" x14ac:dyDescent="0.35">
      <c r="A297" s="7" t="s">
        <v>393</v>
      </c>
      <c r="B297" s="12" t="s">
        <v>135</v>
      </c>
      <c r="C297">
        <v>98251519.971277758</v>
      </c>
      <c r="D297">
        <v>104864263.21282944</v>
      </c>
      <c r="E297">
        <v>67567.567567567996</v>
      </c>
      <c r="F297">
        <v>582882.88288288296</v>
      </c>
      <c r="G297">
        <v>31</v>
      </c>
      <c r="H297">
        <v>16</v>
      </c>
      <c r="K297">
        <v>35</v>
      </c>
      <c r="L297">
        <v>22</v>
      </c>
      <c r="M297">
        <v>6662162.1621621614</v>
      </c>
      <c r="N297">
        <v>9963513.5135135129</v>
      </c>
      <c r="O297">
        <v>19642781.981981985</v>
      </c>
      <c r="P297">
        <v>28300594.594594598</v>
      </c>
      <c r="Q297">
        <v>2123153.1531531541</v>
      </c>
      <c r="R297">
        <v>3458378.3783783782</v>
      </c>
      <c r="S297">
        <v>3612</v>
      </c>
      <c r="T297">
        <v>5298</v>
      </c>
    </row>
    <row r="298" spans="1:20" x14ac:dyDescent="0.35">
      <c r="A298" s="7" t="s">
        <v>394</v>
      </c>
      <c r="B298" s="12" t="s">
        <v>59</v>
      </c>
      <c r="C298">
        <v>480515922.13430518</v>
      </c>
      <c r="D298">
        <v>503077011.08639389</v>
      </c>
      <c r="E298">
        <v>12855405.405405408</v>
      </c>
      <c r="F298">
        <v>8036936.9369369401</v>
      </c>
      <c r="G298">
        <v>132</v>
      </c>
      <c r="H298">
        <v>140</v>
      </c>
      <c r="K298">
        <v>145</v>
      </c>
      <c r="L298">
        <v>155</v>
      </c>
      <c r="M298">
        <v>45381981.981981985</v>
      </c>
      <c r="N298">
        <v>89856756.756756753</v>
      </c>
      <c r="O298">
        <v>77329261.261261269</v>
      </c>
      <c r="P298">
        <v>89904477.477477476</v>
      </c>
      <c r="Q298">
        <v>48498378.378378384</v>
      </c>
      <c r="R298">
        <v>86932702.702702701</v>
      </c>
      <c r="S298">
        <v>9381</v>
      </c>
      <c r="T298">
        <v>9736</v>
      </c>
    </row>
    <row r="299" spans="1:20" x14ac:dyDescent="0.35">
      <c r="A299" s="7" t="s">
        <v>395</v>
      </c>
      <c r="B299" s="12" t="s">
        <v>135</v>
      </c>
      <c r="C299">
        <v>166359312.88594788</v>
      </c>
      <c r="D299">
        <v>176356839.15345728</v>
      </c>
      <c r="E299">
        <v>1098648.6486486499</v>
      </c>
      <c r="F299">
        <v>949549.54954955005</v>
      </c>
      <c r="G299">
        <v>26</v>
      </c>
      <c r="H299">
        <v>19</v>
      </c>
      <c r="K299">
        <v>29</v>
      </c>
      <c r="L299">
        <v>22</v>
      </c>
      <c r="M299">
        <v>25256756.756756756</v>
      </c>
      <c r="N299">
        <v>24761261.261261258</v>
      </c>
      <c r="O299">
        <v>30496549.549549554</v>
      </c>
      <c r="P299">
        <v>37337891.891891889</v>
      </c>
      <c r="Q299">
        <v>17606216.216216218</v>
      </c>
      <c r="R299">
        <v>15668198.198198199</v>
      </c>
      <c r="S299">
        <v>4124</v>
      </c>
      <c r="T299">
        <v>3968</v>
      </c>
    </row>
    <row r="300" spans="1:20" x14ac:dyDescent="0.35">
      <c r="A300" s="7" t="s">
        <v>396</v>
      </c>
      <c r="B300" s="12" t="s">
        <v>55</v>
      </c>
      <c r="C300">
        <v>69952181.32758677</v>
      </c>
      <c r="D300">
        <v>67649878.709931016</v>
      </c>
      <c r="E300">
        <v>55855.855855856003</v>
      </c>
      <c r="F300">
        <v>1173873.8738738741</v>
      </c>
      <c r="G300">
        <v>19</v>
      </c>
      <c r="H300">
        <v>18</v>
      </c>
      <c r="K300">
        <v>20</v>
      </c>
      <c r="L300">
        <v>19</v>
      </c>
      <c r="M300">
        <v>3281081.0810810812</v>
      </c>
      <c r="N300">
        <v>6101801.8018018007</v>
      </c>
      <c r="O300">
        <v>11487324.324324325</v>
      </c>
      <c r="P300">
        <v>12307243.243243244</v>
      </c>
      <c r="Q300">
        <v>3460360.3603603598</v>
      </c>
      <c r="R300">
        <v>4947027.0270270268</v>
      </c>
      <c r="S300">
        <v>1654</v>
      </c>
      <c r="T300">
        <v>1435</v>
      </c>
    </row>
    <row r="301" spans="1:20" x14ac:dyDescent="0.35">
      <c r="A301" s="7" t="s">
        <v>397</v>
      </c>
      <c r="B301" s="12" t="s">
        <v>398</v>
      </c>
      <c r="C301">
        <v>493320777.85168296</v>
      </c>
      <c r="D301">
        <v>487091806.13612795</v>
      </c>
      <c r="E301">
        <v>4537387.3873873847</v>
      </c>
      <c r="F301">
        <v>6281981.9819819843</v>
      </c>
      <c r="G301">
        <v>228</v>
      </c>
      <c r="H301">
        <v>267</v>
      </c>
      <c r="I301">
        <v>1</v>
      </c>
      <c r="K301">
        <v>385</v>
      </c>
      <c r="L301">
        <v>348</v>
      </c>
      <c r="M301">
        <v>55098198.198198199</v>
      </c>
      <c r="N301">
        <v>58628828.828828834</v>
      </c>
      <c r="O301">
        <v>99556596.396396399</v>
      </c>
      <c r="P301">
        <v>105525630.63063063</v>
      </c>
      <c r="Q301">
        <v>51136396.396396399</v>
      </c>
      <c r="R301">
        <v>50536756.75675676</v>
      </c>
      <c r="S301">
        <v>11518</v>
      </c>
      <c r="T301">
        <v>9527</v>
      </c>
    </row>
    <row r="302" spans="1:20" x14ac:dyDescent="0.35">
      <c r="A302" s="7" t="s">
        <v>399</v>
      </c>
      <c r="B302" s="12" t="s">
        <v>400</v>
      </c>
      <c r="C302">
        <v>536099254.68333316</v>
      </c>
      <c r="D302">
        <v>535050239.67966926</v>
      </c>
      <c r="E302">
        <v>6895495.4954954972</v>
      </c>
      <c r="F302">
        <v>5581081.0810810849</v>
      </c>
      <c r="G302">
        <v>115</v>
      </c>
      <c r="H302">
        <v>109</v>
      </c>
      <c r="K302">
        <v>129</v>
      </c>
      <c r="L302">
        <v>129</v>
      </c>
      <c r="M302">
        <v>51508108.108108103</v>
      </c>
      <c r="N302">
        <v>59509430.630630635</v>
      </c>
      <c r="O302">
        <v>98988576.576576576</v>
      </c>
      <c r="P302">
        <v>108737639.63963965</v>
      </c>
      <c r="Q302">
        <v>50342252.252252258</v>
      </c>
      <c r="R302">
        <v>53255135.135135137</v>
      </c>
      <c r="S302">
        <v>12051</v>
      </c>
      <c r="T302">
        <v>11575</v>
      </c>
    </row>
    <row r="303" spans="1:20" x14ac:dyDescent="0.35">
      <c r="A303" s="7" t="s">
        <v>401</v>
      </c>
      <c r="B303" s="12" t="s">
        <v>141</v>
      </c>
      <c r="C303">
        <v>172709848.18753964</v>
      </c>
      <c r="D303">
        <v>176309246.02872106</v>
      </c>
      <c r="E303">
        <v>2537837.837837839</v>
      </c>
      <c r="F303">
        <v>2313513.5135135138</v>
      </c>
      <c r="G303">
        <v>47</v>
      </c>
      <c r="H303">
        <v>30</v>
      </c>
      <c r="K303">
        <v>52</v>
      </c>
      <c r="L303">
        <v>36</v>
      </c>
      <c r="M303">
        <v>38190270.270270273</v>
      </c>
      <c r="N303">
        <v>36903603.603603609</v>
      </c>
      <c r="O303">
        <v>54067067.567567565</v>
      </c>
      <c r="P303">
        <v>58101477.477477483</v>
      </c>
      <c r="Q303">
        <v>35603153.153153151</v>
      </c>
      <c r="R303">
        <v>37061621.621621624</v>
      </c>
      <c r="S303">
        <v>3527</v>
      </c>
      <c r="T303">
        <v>3189</v>
      </c>
    </row>
    <row r="304" spans="1:20" x14ac:dyDescent="0.35">
      <c r="A304" s="7" t="s">
        <v>402</v>
      </c>
      <c r="B304" s="12" t="s">
        <v>122</v>
      </c>
      <c r="C304">
        <v>47839497.945308737</v>
      </c>
      <c r="D304">
        <v>41469314.302862875</v>
      </c>
      <c r="E304">
        <v>414414.41441441502</v>
      </c>
      <c r="F304">
        <v>133333.33333333401</v>
      </c>
      <c r="G304">
        <v>17</v>
      </c>
      <c r="H304">
        <v>32</v>
      </c>
      <c r="K304">
        <v>22</v>
      </c>
      <c r="L304">
        <v>39</v>
      </c>
      <c r="M304">
        <v>2216216.2162162168</v>
      </c>
      <c r="N304">
        <v>1935135.1351351361</v>
      </c>
      <c r="O304">
        <v>4530056.3063063063</v>
      </c>
      <c r="P304">
        <v>6000279.2792792786</v>
      </c>
      <c r="Q304">
        <v>1126756.7567567569</v>
      </c>
      <c r="R304">
        <v>1968018.018018018</v>
      </c>
      <c r="S304">
        <v>1158</v>
      </c>
      <c r="T304">
        <v>1033</v>
      </c>
    </row>
    <row r="305" spans="1:20" x14ac:dyDescent="0.35">
      <c r="A305" s="7" t="s">
        <v>403</v>
      </c>
      <c r="B305" s="12" t="s">
        <v>291</v>
      </c>
      <c r="C305">
        <v>74841269.021618247</v>
      </c>
      <c r="D305">
        <v>73892687.882021353</v>
      </c>
      <c r="E305">
        <v>466216.21621621703</v>
      </c>
      <c r="F305">
        <v>153153.15315315299</v>
      </c>
      <c r="G305">
        <v>16</v>
      </c>
      <c r="H305">
        <v>11</v>
      </c>
      <c r="K305">
        <v>20</v>
      </c>
      <c r="L305">
        <v>16</v>
      </c>
      <c r="M305">
        <v>3507207.207207208</v>
      </c>
      <c r="N305">
        <v>4527027.0270270268</v>
      </c>
      <c r="O305">
        <v>10189675.675675675</v>
      </c>
      <c r="P305">
        <v>10987216.216216216</v>
      </c>
      <c r="Q305">
        <v>3876666.666666666</v>
      </c>
      <c r="R305">
        <v>2940630.630630631</v>
      </c>
      <c r="S305">
        <v>1948</v>
      </c>
      <c r="T305">
        <v>1664</v>
      </c>
    </row>
    <row r="306" spans="1:20" x14ac:dyDescent="0.35">
      <c r="A306" s="7" t="s">
        <v>404</v>
      </c>
      <c r="B306" s="12" t="s">
        <v>122</v>
      </c>
      <c r="C306">
        <v>83059388.551919013</v>
      </c>
      <c r="D306">
        <v>75734492.905420035</v>
      </c>
      <c r="E306">
        <v>57432.432432431997</v>
      </c>
      <c r="F306">
        <v>9009.0090090100002</v>
      </c>
      <c r="G306">
        <v>12</v>
      </c>
      <c r="H306">
        <v>11</v>
      </c>
      <c r="K306">
        <v>13</v>
      </c>
      <c r="L306">
        <v>11</v>
      </c>
      <c r="M306">
        <v>60360.360360359999</v>
      </c>
      <c r="N306">
        <v>144144.14414414499</v>
      </c>
      <c r="O306">
        <v>6271027.0270270268</v>
      </c>
      <c r="P306">
        <v>8294315.3153153146</v>
      </c>
      <c r="Q306">
        <v>13513.513513514001</v>
      </c>
      <c r="R306">
        <v>162162.16216216201</v>
      </c>
      <c r="S306">
        <v>1150</v>
      </c>
      <c r="T306">
        <v>984</v>
      </c>
    </row>
    <row r="307" spans="1:20" x14ac:dyDescent="0.35">
      <c r="A307" s="7" t="s">
        <v>405</v>
      </c>
      <c r="B307" s="12" t="s">
        <v>369</v>
      </c>
      <c r="C307">
        <v>183804827.43223757</v>
      </c>
      <c r="D307">
        <v>189391854.70669717</v>
      </c>
      <c r="E307">
        <v>2312162.162162161</v>
      </c>
      <c r="F307">
        <v>3297747.7477477528</v>
      </c>
      <c r="G307">
        <v>108</v>
      </c>
      <c r="H307">
        <v>12</v>
      </c>
      <c r="K307">
        <v>128</v>
      </c>
      <c r="L307">
        <v>48</v>
      </c>
      <c r="M307">
        <v>45633783.783783786</v>
      </c>
      <c r="N307">
        <v>64067297.297297299</v>
      </c>
      <c r="O307">
        <v>66135698.198198199</v>
      </c>
      <c r="P307">
        <v>64560212.612612605</v>
      </c>
      <c r="Q307">
        <v>43085135.135135137</v>
      </c>
      <c r="R307">
        <v>58384414.414414413</v>
      </c>
      <c r="S307">
        <v>6006</v>
      </c>
      <c r="T307">
        <v>3679</v>
      </c>
    </row>
    <row r="308" spans="1:20" x14ac:dyDescent="0.35">
      <c r="A308" s="7" t="s">
        <v>406</v>
      </c>
      <c r="B308" s="12" t="s">
        <v>141</v>
      </c>
      <c r="C308">
        <v>90033546.983096227</v>
      </c>
      <c r="D308">
        <v>91778971.162528485</v>
      </c>
      <c r="E308">
        <v>255630.63063063001</v>
      </c>
      <c r="F308">
        <v>81981.981981983001</v>
      </c>
      <c r="G308">
        <v>18</v>
      </c>
      <c r="H308">
        <v>8</v>
      </c>
      <c r="K308">
        <v>19</v>
      </c>
      <c r="L308">
        <v>9</v>
      </c>
      <c r="M308">
        <v>12286846.846846849</v>
      </c>
      <c r="N308">
        <v>17483063.063063063</v>
      </c>
      <c r="O308">
        <v>24398412.612612613</v>
      </c>
      <c r="P308">
        <v>28556387.387387387</v>
      </c>
      <c r="Q308">
        <v>13092342.342342341</v>
      </c>
      <c r="R308">
        <v>17226936.936936937</v>
      </c>
      <c r="S308">
        <v>1495</v>
      </c>
      <c r="T308">
        <v>1423</v>
      </c>
    </row>
    <row r="309" spans="1:20" x14ac:dyDescent="0.35">
      <c r="A309" s="7" t="s">
        <v>407</v>
      </c>
      <c r="B309" s="12" t="s">
        <v>55</v>
      </c>
      <c r="C309">
        <v>125017999.97461443</v>
      </c>
      <c r="D309">
        <v>126360962.59229746</v>
      </c>
      <c r="E309">
        <v>2574774.7747747758</v>
      </c>
      <c r="F309">
        <v>5320270.2702702694</v>
      </c>
      <c r="G309">
        <v>76</v>
      </c>
      <c r="H309">
        <v>86</v>
      </c>
      <c r="I309">
        <v>1</v>
      </c>
      <c r="K309">
        <v>155</v>
      </c>
      <c r="L309">
        <v>139</v>
      </c>
      <c r="M309">
        <v>11420180.180180183</v>
      </c>
      <c r="N309">
        <v>14579189.189189188</v>
      </c>
      <c r="O309">
        <v>28328009.009009007</v>
      </c>
      <c r="P309">
        <v>31168144.144144144</v>
      </c>
      <c r="Q309">
        <v>12084414.414414411</v>
      </c>
      <c r="R309">
        <v>13526846.846846849</v>
      </c>
      <c r="S309">
        <v>2221</v>
      </c>
      <c r="T309">
        <v>2204</v>
      </c>
    </row>
    <row r="310" spans="1:20" x14ac:dyDescent="0.35">
      <c r="A310" s="7" t="s">
        <v>408</v>
      </c>
      <c r="B310" s="12" t="s">
        <v>135</v>
      </c>
      <c r="C310">
        <v>56182353.068976216</v>
      </c>
      <c r="D310">
        <v>60413270.163560458</v>
      </c>
      <c r="E310">
        <v>26603603.603603605</v>
      </c>
      <c r="F310">
        <v>21861261.261261258</v>
      </c>
      <c r="G310">
        <v>7</v>
      </c>
      <c r="H310">
        <v>1</v>
      </c>
      <c r="K310">
        <v>7</v>
      </c>
      <c r="L310">
        <v>2</v>
      </c>
      <c r="M310">
        <v>1873873.8738738729</v>
      </c>
      <c r="N310">
        <v>3572972.9729729728</v>
      </c>
      <c r="O310">
        <v>5001504.5045045037</v>
      </c>
      <c r="P310">
        <v>7150981.9819819815</v>
      </c>
      <c r="Q310">
        <v>1409369.369369369</v>
      </c>
      <c r="R310">
        <v>3452252.2522522528</v>
      </c>
      <c r="S310">
        <v>938</v>
      </c>
      <c r="T310">
        <v>950</v>
      </c>
    </row>
    <row r="311" spans="1:20" x14ac:dyDescent="0.35">
      <c r="A311" s="7" t="s">
        <v>409</v>
      </c>
      <c r="B311" s="12" t="s">
        <v>291</v>
      </c>
      <c r="C311">
        <v>31010974.450106047</v>
      </c>
      <c r="D311">
        <v>31799002.360187225</v>
      </c>
      <c r="E311">
        <v>631531.53153153195</v>
      </c>
      <c r="F311">
        <v>310810.810810811</v>
      </c>
      <c r="G311">
        <v>11</v>
      </c>
      <c r="H311">
        <v>13</v>
      </c>
      <c r="K311">
        <v>13</v>
      </c>
      <c r="L311">
        <v>17</v>
      </c>
      <c r="M311">
        <v>9174774.7747747768</v>
      </c>
      <c r="N311">
        <v>4432432.4324324317</v>
      </c>
      <c r="O311">
        <v>6205522.5225225231</v>
      </c>
      <c r="P311">
        <v>7077855.8558558552</v>
      </c>
      <c r="Q311">
        <v>7101801.8018018017</v>
      </c>
      <c r="R311">
        <v>2298108.1081081089</v>
      </c>
      <c r="S311">
        <v>937</v>
      </c>
      <c r="T311">
        <v>929</v>
      </c>
    </row>
    <row r="312" spans="1:20" x14ac:dyDescent="0.35">
      <c r="A312" s="7" t="s">
        <v>410</v>
      </c>
      <c r="B312" s="12" t="s">
        <v>179</v>
      </c>
      <c r="C312">
        <v>556921269.17348886</v>
      </c>
      <c r="D312">
        <v>530911312.79718316</v>
      </c>
      <c r="E312">
        <v>4001801.801801804</v>
      </c>
      <c r="F312">
        <v>5409009.009009012</v>
      </c>
      <c r="G312">
        <v>131</v>
      </c>
      <c r="H312">
        <v>184</v>
      </c>
      <c r="K312">
        <v>284</v>
      </c>
      <c r="L312">
        <v>385</v>
      </c>
      <c r="M312">
        <v>63615216.216216214</v>
      </c>
      <c r="N312">
        <v>66871621.621621616</v>
      </c>
      <c r="O312">
        <v>190291490.99099097</v>
      </c>
      <c r="P312">
        <v>207383836.03603604</v>
      </c>
      <c r="Q312">
        <v>56172252.252252258</v>
      </c>
      <c r="R312">
        <v>64836396.396396391</v>
      </c>
      <c r="S312">
        <v>10634</v>
      </c>
      <c r="T312">
        <v>8853</v>
      </c>
    </row>
    <row r="313" spans="1:20" x14ac:dyDescent="0.35">
      <c r="A313" s="7" t="s">
        <v>666</v>
      </c>
      <c r="B313" s="12" t="s">
        <v>88</v>
      </c>
      <c r="S313">
        <v>3</v>
      </c>
    </row>
    <row r="314" spans="1:20" x14ac:dyDescent="0.35">
      <c r="A314" s="7" t="s">
        <v>411</v>
      </c>
      <c r="B314" s="12" t="s">
        <v>55</v>
      </c>
      <c r="C314">
        <v>1018313246.7445792</v>
      </c>
      <c r="D314">
        <v>1009934685.0523307</v>
      </c>
      <c r="E314">
        <v>120509634.23423424</v>
      </c>
      <c r="F314">
        <v>229870090.09009013</v>
      </c>
      <c r="G314">
        <v>327</v>
      </c>
      <c r="H314">
        <v>367</v>
      </c>
      <c r="K314">
        <v>564</v>
      </c>
      <c r="L314">
        <v>778</v>
      </c>
      <c r="M314">
        <v>80142792.792792797</v>
      </c>
      <c r="N314">
        <v>103476666.66666667</v>
      </c>
      <c r="O314">
        <v>210305216.21621624</v>
      </c>
      <c r="P314">
        <v>221434845.04504505</v>
      </c>
      <c r="Q314">
        <v>75189819.819819823</v>
      </c>
      <c r="R314">
        <v>91843286.486486495</v>
      </c>
      <c r="S314">
        <v>20317</v>
      </c>
      <c r="T314">
        <v>19335</v>
      </c>
    </row>
    <row r="315" spans="1:20" x14ac:dyDescent="0.35">
      <c r="A315" s="7" t="s">
        <v>412</v>
      </c>
      <c r="B315" s="12" t="s">
        <v>225</v>
      </c>
      <c r="C315">
        <v>518099348.36235851</v>
      </c>
      <c r="D315">
        <v>590763309.5194062</v>
      </c>
      <c r="E315">
        <v>2027027.0270270321</v>
      </c>
      <c r="F315">
        <v>4237837.8378378414</v>
      </c>
      <c r="G315">
        <v>199</v>
      </c>
      <c r="H315">
        <v>155</v>
      </c>
      <c r="K315">
        <v>218</v>
      </c>
      <c r="L315">
        <v>181</v>
      </c>
      <c r="M315">
        <v>65830450.45045045</v>
      </c>
      <c r="N315">
        <v>106477387.38738739</v>
      </c>
      <c r="O315">
        <v>148247782.88288289</v>
      </c>
      <c r="P315">
        <v>183595781.98198199</v>
      </c>
      <c r="Q315">
        <v>70740313.513513505</v>
      </c>
      <c r="R315">
        <v>93616666.666666672</v>
      </c>
      <c r="S315">
        <v>13843</v>
      </c>
      <c r="T315">
        <v>14662</v>
      </c>
    </row>
    <row r="316" spans="1:20" x14ac:dyDescent="0.35">
      <c r="A316" s="7" t="s">
        <v>413</v>
      </c>
      <c r="B316" s="12" t="s">
        <v>414</v>
      </c>
      <c r="C316">
        <v>202724246.88992855</v>
      </c>
      <c r="D316">
        <v>199014747.04648614</v>
      </c>
      <c r="E316">
        <v>585135.13513513806</v>
      </c>
      <c r="F316">
        <v>1254054.0540540579</v>
      </c>
      <c r="G316">
        <v>18</v>
      </c>
      <c r="H316">
        <v>13</v>
      </c>
      <c r="K316">
        <v>18</v>
      </c>
      <c r="L316">
        <v>26</v>
      </c>
      <c r="M316">
        <v>3603603.603603607</v>
      </c>
      <c r="N316">
        <v>143324774.77477476</v>
      </c>
      <c r="O316">
        <v>81449693.693693697</v>
      </c>
      <c r="P316">
        <v>90234297.297297299</v>
      </c>
      <c r="Q316">
        <v>4079639.6396396388</v>
      </c>
      <c r="R316">
        <v>5419099.0990990987</v>
      </c>
      <c r="S316">
        <v>4439</v>
      </c>
      <c r="T316">
        <v>4469</v>
      </c>
    </row>
    <row r="317" spans="1:20" x14ac:dyDescent="0.35">
      <c r="A317" s="7" t="s">
        <v>415</v>
      </c>
      <c r="B317" s="12" t="s">
        <v>215</v>
      </c>
      <c r="C317">
        <v>1315864866.6442292</v>
      </c>
      <c r="D317">
        <v>1218775342.5804791</v>
      </c>
      <c r="E317">
        <v>613728930.63063061</v>
      </c>
      <c r="F317">
        <v>488087659.45945948</v>
      </c>
      <c r="G317">
        <v>1060</v>
      </c>
      <c r="H317">
        <v>646</v>
      </c>
      <c r="I317">
        <v>3</v>
      </c>
      <c r="K317">
        <v>1138</v>
      </c>
      <c r="L317">
        <v>893</v>
      </c>
      <c r="M317">
        <v>189504099.0990991</v>
      </c>
      <c r="N317">
        <v>175519369.36936936</v>
      </c>
      <c r="O317">
        <v>586743628.82882881</v>
      </c>
      <c r="P317">
        <v>553219747.74774778</v>
      </c>
      <c r="Q317">
        <v>169850900.9009009</v>
      </c>
      <c r="R317">
        <v>175905495.4954955</v>
      </c>
      <c r="S317">
        <v>25033</v>
      </c>
      <c r="T317">
        <v>27879</v>
      </c>
    </row>
    <row r="318" spans="1:20" x14ac:dyDescent="0.35">
      <c r="A318" s="7" t="s">
        <v>416</v>
      </c>
      <c r="B318" s="12" t="s">
        <v>414</v>
      </c>
      <c r="C318">
        <v>113583018.0915239</v>
      </c>
      <c r="D318">
        <v>109816247.11816181</v>
      </c>
      <c r="E318">
        <v>777027.02702702896</v>
      </c>
      <c r="F318">
        <v>1832432.4324324341</v>
      </c>
      <c r="G318">
        <v>35</v>
      </c>
      <c r="H318">
        <v>25</v>
      </c>
      <c r="K318">
        <v>42</v>
      </c>
      <c r="L318">
        <v>26</v>
      </c>
      <c r="M318">
        <v>18400218.018018015</v>
      </c>
      <c r="N318">
        <v>18231081.081081081</v>
      </c>
      <c r="O318">
        <v>41978191.441441439</v>
      </c>
      <c r="P318">
        <v>44285162.162162162</v>
      </c>
      <c r="Q318">
        <v>16277567.567567566</v>
      </c>
      <c r="R318">
        <v>16588738.738738738</v>
      </c>
      <c r="S318">
        <v>2900</v>
      </c>
      <c r="T318">
        <v>2999</v>
      </c>
    </row>
    <row r="319" spans="1:20" x14ac:dyDescent="0.35">
      <c r="A319" s="7" t="s">
        <v>417</v>
      </c>
      <c r="B319" s="12" t="s">
        <v>237</v>
      </c>
      <c r="C319">
        <v>820492111.37503588</v>
      </c>
      <c r="D319">
        <v>809979952.64844382</v>
      </c>
      <c r="E319">
        <v>3798198.1981981988</v>
      </c>
      <c r="F319">
        <v>3653153.153153155</v>
      </c>
      <c r="G319">
        <v>160</v>
      </c>
      <c r="H319">
        <v>211</v>
      </c>
      <c r="I319">
        <v>5</v>
      </c>
      <c r="K319">
        <v>229</v>
      </c>
      <c r="L319">
        <v>340</v>
      </c>
      <c r="M319">
        <v>113316306.3063063</v>
      </c>
      <c r="N319">
        <v>82958558.558558553</v>
      </c>
      <c r="O319">
        <v>192353423.42342341</v>
      </c>
      <c r="P319">
        <v>207038935.13513514</v>
      </c>
      <c r="Q319">
        <v>109151531.53153154</v>
      </c>
      <c r="R319">
        <v>74354414.414414421</v>
      </c>
      <c r="S319">
        <v>11310</v>
      </c>
      <c r="T319">
        <v>10642</v>
      </c>
    </row>
    <row r="320" spans="1:20" x14ac:dyDescent="0.35">
      <c r="A320" s="7" t="s">
        <v>418</v>
      </c>
      <c r="B320" s="12" t="s">
        <v>118</v>
      </c>
      <c r="C320">
        <v>792116826.42208004</v>
      </c>
      <c r="D320">
        <v>802420552.16505051</v>
      </c>
      <c r="E320">
        <v>647910641.44144142</v>
      </c>
      <c r="F320">
        <v>558478426.12612617</v>
      </c>
      <c r="G320">
        <v>636</v>
      </c>
      <c r="H320">
        <v>642</v>
      </c>
      <c r="I320">
        <v>2</v>
      </c>
      <c r="K320">
        <v>1003</v>
      </c>
      <c r="L320">
        <v>1617</v>
      </c>
      <c r="M320">
        <v>190518009.00900903</v>
      </c>
      <c r="N320">
        <v>430730227.92792791</v>
      </c>
      <c r="O320">
        <v>361749029.72972971</v>
      </c>
      <c r="P320">
        <v>406748243.24324328</v>
      </c>
      <c r="Q320">
        <v>194518108.10810813</v>
      </c>
      <c r="R320">
        <v>225854549.54954958</v>
      </c>
      <c r="S320">
        <v>19353</v>
      </c>
      <c r="T320">
        <v>17601</v>
      </c>
    </row>
    <row r="321" spans="1:20" x14ac:dyDescent="0.35">
      <c r="A321" s="7" t="s">
        <v>419</v>
      </c>
      <c r="B321" s="12" t="s">
        <v>148</v>
      </c>
      <c r="C321">
        <v>19372650.843544107</v>
      </c>
      <c r="D321">
        <v>20626341.587999281</v>
      </c>
      <c r="G321">
        <v>3</v>
      </c>
      <c r="H321">
        <v>4</v>
      </c>
      <c r="K321">
        <v>3</v>
      </c>
      <c r="L321">
        <v>4</v>
      </c>
      <c r="O321">
        <v>6672963.963963964</v>
      </c>
      <c r="P321">
        <v>6713954.9549549557</v>
      </c>
      <c r="S321">
        <v>509</v>
      </c>
      <c r="T321">
        <v>458</v>
      </c>
    </row>
    <row r="322" spans="1:20" x14ac:dyDescent="0.35">
      <c r="A322" s="7" t="s">
        <v>420</v>
      </c>
      <c r="B322" s="12" t="s">
        <v>305</v>
      </c>
      <c r="C322">
        <v>173990169.09765211</v>
      </c>
      <c r="D322">
        <v>159473245.75052193</v>
      </c>
      <c r="E322">
        <v>4638513.5135135129</v>
      </c>
      <c r="F322">
        <v>3311711.7117117168</v>
      </c>
      <c r="G322">
        <v>109</v>
      </c>
      <c r="H322">
        <v>74</v>
      </c>
      <c r="K322">
        <v>119</v>
      </c>
      <c r="L322">
        <v>96</v>
      </c>
      <c r="M322">
        <v>32013513.513513517</v>
      </c>
      <c r="N322">
        <v>38850450.45045045</v>
      </c>
      <c r="O322">
        <v>39230588.288288288</v>
      </c>
      <c r="P322">
        <v>36533189.189189196</v>
      </c>
      <c r="Q322">
        <v>30744144.144144144</v>
      </c>
      <c r="R322">
        <v>36378558.558558561</v>
      </c>
      <c r="S322">
        <v>3494</v>
      </c>
      <c r="T322">
        <v>2297</v>
      </c>
    </row>
    <row r="323" spans="1:20" x14ac:dyDescent="0.35">
      <c r="A323" s="7" t="s">
        <v>421</v>
      </c>
      <c r="B323" s="12" t="s">
        <v>305</v>
      </c>
      <c r="C323">
        <v>195153039.97996005</v>
      </c>
      <c r="D323">
        <v>192959967.55519137</v>
      </c>
      <c r="E323">
        <v>7776351.3513513478</v>
      </c>
      <c r="F323">
        <v>5173873.8738738904</v>
      </c>
      <c r="G323">
        <v>128</v>
      </c>
      <c r="H323">
        <v>314</v>
      </c>
      <c r="K323">
        <v>205</v>
      </c>
      <c r="L323">
        <v>670</v>
      </c>
      <c r="M323">
        <v>36899999.999999993</v>
      </c>
      <c r="N323">
        <v>42360360.360360369</v>
      </c>
      <c r="O323">
        <v>60684953.153153151</v>
      </c>
      <c r="P323">
        <v>63563336.936936937</v>
      </c>
      <c r="Q323">
        <v>29247567.567567568</v>
      </c>
      <c r="R323">
        <v>38160043.24324324</v>
      </c>
      <c r="S323">
        <v>5658</v>
      </c>
      <c r="T323">
        <v>3876</v>
      </c>
    </row>
    <row r="324" spans="1:20" x14ac:dyDescent="0.35">
      <c r="A324" s="7" t="s">
        <v>422</v>
      </c>
      <c r="B324" s="12" t="s">
        <v>122</v>
      </c>
      <c r="C324">
        <v>8840094.1949210931</v>
      </c>
      <c r="D324">
        <v>8952107.5024339166</v>
      </c>
      <c r="E324">
        <v>123648.648648649</v>
      </c>
      <c r="F324">
        <v>54054.054054054002</v>
      </c>
      <c r="G324">
        <v>4</v>
      </c>
      <c r="H324">
        <v>5</v>
      </c>
      <c r="K324">
        <v>4</v>
      </c>
      <c r="L324">
        <v>5</v>
      </c>
      <c r="M324">
        <v>127927.927927928</v>
      </c>
      <c r="N324">
        <v>234234.234234234</v>
      </c>
      <c r="O324">
        <v>1051567.567567568</v>
      </c>
      <c r="P324">
        <v>877747.74774774804</v>
      </c>
      <c r="Q324">
        <v>169369.369369369</v>
      </c>
      <c r="R324">
        <v>262612.61261261202</v>
      </c>
      <c r="S324">
        <v>381</v>
      </c>
      <c r="T324">
        <v>317</v>
      </c>
    </row>
    <row r="325" spans="1:20" x14ac:dyDescent="0.35">
      <c r="A325" s="7" t="s">
        <v>423</v>
      </c>
      <c r="B325" s="12" t="s">
        <v>61</v>
      </c>
      <c r="C325">
        <v>102727196.36970109</v>
      </c>
      <c r="D325">
        <v>98394308.330133855</v>
      </c>
      <c r="E325">
        <v>1226126.1261261271</v>
      </c>
      <c r="F325">
        <v>1258558.558558559</v>
      </c>
      <c r="G325">
        <v>41</v>
      </c>
      <c r="H325">
        <v>46</v>
      </c>
      <c r="I325">
        <v>5</v>
      </c>
      <c r="K325">
        <v>46</v>
      </c>
      <c r="L325">
        <v>61</v>
      </c>
      <c r="M325">
        <v>24300000</v>
      </c>
      <c r="N325">
        <v>20502702.702702705</v>
      </c>
      <c r="O325">
        <v>36425774.774774775</v>
      </c>
      <c r="P325">
        <v>36985189.189189196</v>
      </c>
      <c r="Q325">
        <v>24350810.810810808</v>
      </c>
      <c r="R325">
        <v>22009819.819819819</v>
      </c>
      <c r="S325">
        <v>2252</v>
      </c>
      <c r="T325">
        <v>2257</v>
      </c>
    </row>
    <row r="326" spans="1:20" x14ac:dyDescent="0.35">
      <c r="A326" s="7" t="s">
        <v>424</v>
      </c>
      <c r="B326" s="12" t="s">
        <v>182</v>
      </c>
      <c r="C326">
        <v>1003053505.0149029</v>
      </c>
      <c r="D326">
        <v>1036254481.6703128</v>
      </c>
      <c r="E326">
        <v>12964414.414414411</v>
      </c>
      <c r="F326">
        <v>13580630.63063064</v>
      </c>
      <c r="G326">
        <v>384</v>
      </c>
      <c r="H326">
        <v>373</v>
      </c>
      <c r="I326">
        <v>4</v>
      </c>
      <c r="K326">
        <v>547</v>
      </c>
      <c r="L326">
        <v>459</v>
      </c>
      <c r="M326">
        <v>183060900.9009009</v>
      </c>
      <c r="N326">
        <v>239622747.74774775</v>
      </c>
      <c r="O326">
        <v>290622618.01801807</v>
      </c>
      <c r="P326">
        <v>309042144.14414412</v>
      </c>
      <c r="Q326">
        <v>178778558.55855855</v>
      </c>
      <c r="R326">
        <v>236677297.2972973</v>
      </c>
      <c r="S326">
        <v>26574</v>
      </c>
      <c r="T326">
        <v>22194</v>
      </c>
    </row>
    <row r="327" spans="1:20" x14ac:dyDescent="0.35">
      <c r="A327" s="7" t="s">
        <v>425</v>
      </c>
      <c r="B327" s="12" t="s">
        <v>77</v>
      </c>
      <c r="C327">
        <v>33206453.31719666</v>
      </c>
      <c r="D327">
        <v>29466616.516799901</v>
      </c>
      <c r="E327">
        <v>81081.081081081997</v>
      </c>
      <c r="F327">
        <v>157657.65765765801</v>
      </c>
      <c r="G327">
        <v>7</v>
      </c>
      <c r="H327">
        <v>3</v>
      </c>
      <c r="K327">
        <v>8</v>
      </c>
      <c r="L327">
        <v>5</v>
      </c>
      <c r="M327">
        <v>2450450.4504504502</v>
      </c>
      <c r="N327">
        <v>3581081.0810810812</v>
      </c>
      <c r="O327">
        <v>2982495.4954954949</v>
      </c>
      <c r="P327">
        <v>4682198.1981981983</v>
      </c>
      <c r="Q327">
        <v>2419909.9099099091</v>
      </c>
      <c r="R327">
        <v>2612702.702702703</v>
      </c>
      <c r="S327">
        <v>1002</v>
      </c>
      <c r="T327">
        <v>905</v>
      </c>
    </row>
    <row r="328" spans="1:20" x14ac:dyDescent="0.35">
      <c r="A328" s="7" t="s">
        <v>426</v>
      </c>
      <c r="B328" s="12" t="s">
        <v>77</v>
      </c>
      <c r="C328">
        <v>116474668.18493517</v>
      </c>
      <c r="D328">
        <v>117464676.76917514</v>
      </c>
      <c r="E328">
        <v>185585.585585586</v>
      </c>
      <c r="F328">
        <v>1020720.7207207209</v>
      </c>
      <c r="G328">
        <v>28</v>
      </c>
      <c r="H328">
        <v>27</v>
      </c>
      <c r="K328">
        <v>30</v>
      </c>
      <c r="L328">
        <v>30</v>
      </c>
      <c r="M328">
        <v>13928918.918918919</v>
      </c>
      <c r="N328">
        <v>25074054.054054052</v>
      </c>
      <c r="O328">
        <v>25994477.47747748</v>
      </c>
      <c r="P328">
        <v>27290261.261261258</v>
      </c>
      <c r="Q328">
        <v>11134954.954954954</v>
      </c>
      <c r="R328">
        <v>19328828.828828827</v>
      </c>
      <c r="S328">
        <v>1513</v>
      </c>
      <c r="T328">
        <v>1476</v>
      </c>
    </row>
    <row r="329" spans="1:20" x14ac:dyDescent="0.35">
      <c r="A329" s="7" t="s">
        <v>427</v>
      </c>
      <c r="B329" s="12" t="s">
        <v>331</v>
      </c>
      <c r="C329">
        <v>609153820.19059241</v>
      </c>
      <c r="D329">
        <v>551701551.49425149</v>
      </c>
      <c r="E329">
        <v>4949324.3243243247</v>
      </c>
      <c r="F329">
        <v>2437387.387387393</v>
      </c>
      <c r="G329">
        <v>199</v>
      </c>
      <c r="H329">
        <v>227</v>
      </c>
      <c r="K329">
        <v>222</v>
      </c>
      <c r="L329">
        <v>269</v>
      </c>
      <c r="M329">
        <v>37159279.279279277</v>
      </c>
      <c r="N329">
        <v>93279279.279279277</v>
      </c>
      <c r="O329">
        <v>158028137.38738739</v>
      </c>
      <c r="P329">
        <v>105446034.23423424</v>
      </c>
      <c r="Q329">
        <v>33134414.414414413</v>
      </c>
      <c r="R329">
        <v>91646036.036036029</v>
      </c>
      <c r="S329">
        <v>13917</v>
      </c>
      <c r="T329">
        <v>11851</v>
      </c>
    </row>
    <row r="330" spans="1:20" x14ac:dyDescent="0.35">
      <c r="A330" s="7" t="s">
        <v>428</v>
      </c>
      <c r="B330" s="12" t="s">
        <v>242</v>
      </c>
      <c r="C330">
        <v>155073491.52605292</v>
      </c>
      <c r="D330">
        <v>146731416.62929425</v>
      </c>
      <c r="E330">
        <v>1177477.477477479</v>
      </c>
      <c r="F330">
        <v>1781081.0810810821</v>
      </c>
      <c r="G330">
        <v>55</v>
      </c>
      <c r="H330">
        <v>52</v>
      </c>
      <c r="K330">
        <v>65</v>
      </c>
      <c r="L330">
        <v>59</v>
      </c>
      <c r="M330">
        <v>26262612.612612613</v>
      </c>
      <c r="N330">
        <v>22990090.090090089</v>
      </c>
      <c r="O330">
        <v>59503459.459459454</v>
      </c>
      <c r="P330">
        <v>60135612.612612613</v>
      </c>
      <c r="Q330">
        <v>24922612.612612616</v>
      </c>
      <c r="R330">
        <v>25222612.612612616</v>
      </c>
      <c r="S330">
        <v>5513</v>
      </c>
      <c r="T330">
        <v>5482</v>
      </c>
    </row>
    <row r="331" spans="1:20" x14ac:dyDescent="0.35">
      <c r="A331" s="7" t="s">
        <v>429</v>
      </c>
      <c r="B331" s="12" t="s">
        <v>284</v>
      </c>
      <c r="C331">
        <v>65926618.845074914</v>
      </c>
      <c r="D331">
        <v>81077752.651482195</v>
      </c>
      <c r="E331">
        <v>700900.90090090199</v>
      </c>
      <c r="F331">
        <v>2152252.2522522528</v>
      </c>
      <c r="G331">
        <v>10</v>
      </c>
      <c r="H331">
        <v>67</v>
      </c>
      <c r="K331">
        <v>47</v>
      </c>
      <c r="L331">
        <v>99</v>
      </c>
      <c r="M331">
        <v>26614774.774774775</v>
      </c>
      <c r="N331">
        <v>18323423.423423424</v>
      </c>
      <c r="O331">
        <v>12368045.045045044</v>
      </c>
      <c r="P331">
        <v>19579909.909909911</v>
      </c>
      <c r="Q331">
        <v>27890720.720720723</v>
      </c>
      <c r="R331">
        <v>15644864.864864863</v>
      </c>
      <c r="S331">
        <v>1297</v>
      </c>
      <c r="T331">
        <v>1384</v>
      </c>
    </row>
    <row r="332" spans="1:20" x14ac:dyDescent="0.35">
      <c r="A332" s="7" t="s">
        <v>430</v>
      </c>
      <c r="B332" s="12" t="s">
        <v>284</v>
      </c>
      <c r="C332">
        <v>20354809.761859011</v>
      </c>
      <c r="D332">
        <v>19866306.787171587</v>
      </c>
      <c r="E332">
        <v>255855.85585585501</v>
      </c>
      <c r="F332">
        <v>531531.53153153195</v>
      </c>
      <c r="H332">
        <v>1</v>
      </c>
      <c r="L332">
        <v>2</v>
      </c>
      <c r="M332">
        <v>3138738.7387387389</v>
      </c>
      <c r="N332">
        <v>5198198.1981981983</v>
      </c>
      <c r="O332">
        <v>1509495.4954954961</v>
      </c>
      <c r="P332">
        <v>2105153.1531531541</v>
      </c>
      <c r="Q332">
        <v>3806576.576576577</v>
      </c>
      <c r="R332">
        <v>4732612.6126126116</v>
      </c>
      <c r="S332">
        <v>548</v>
      </c>
      <c r="T332">
        <v>474</v>
      </c>
    </row>
    <row r="333" spans="1:20" x14ac:dyDescent="0.35">
      <c r="A333" s="7" t="s">
        <v>431</v>
      </c>
      <c r="B333" s="12" t="s">
        <v>284</v>
      </c>
      <c r="C333">
        <v>43802738.365715764</v>
      </c>
      <c r="D333">
        <v>46883397.006533094</v>
      </c>
      <c r="E333">
        <v>265765.76576576597</v>
      </c>
      <c r="F333">
        <v>608108.10810810898</v>
      </c>
      <c r="G333">
        <v>5</v>
      </c>
      <c r="H333">
        <v>2</v>
      </c>
      <c r="K333">
        <v>5</v>
      </c>
      <c r="L333">
        <v>4</v>
      </c>
      <c r="M333">
        <v>355855.85585585597</v>
      </c>
      <c r="N333">
        <v>608108.10810810898</v>
      </c>
      <c r="O333">
        <v>3766306.3063063058</v>
      </c>
      <c r="P333">
        <v>4604540.5405405406</v>
      </c>
      <c r="Q333">
        <v>173423.423423423</v>
      </c>
      <c r="R333">
        <v>340720.720720721</v>
      </c>
      <c r="S333">
        <v>820</v>
      </c>
      <c r="T333">
        <v>787</v>
      </c>
    </row>
    <row r="334" spans="1:20" x14ac:dyDescent="0.35">
      <c r="A334" s="7" t="s">
        <v>432</v>
      </c>
      <c r="B334" s="12" t="s">
        <v>79</v>
      </c>
      <c r="C334">
        <v>262647914.82958412</v>
      </c>
      <c r="D334">
        <v>263898877.08586162</v>
      </c>
      <c r="E334">
        <v>4041441.4414414442</v>
      </c>
      <c r="F334">
        <v>6908108.1081081089</v>
      </c>
      <c r="G334">
        <v>240</v>
      </c>
      <c r="H334">
        <v>165</v>
      </c>
      <c r="K334">
        <v>320</v>
      </c>
      <c r="L334">
        <v>227</v>
      </c>
      <c r="M334">
        <v>27392792.792792793</v>
      </c>
      <c r="N334">
        <v>38079279.279279277</v>
      </c>
      <c r="O334">
        <v>116179360.36036037</v>
      </c>
      <c r="P334">
        <v>116076918.91891891</v>
      </c>
      <c r="Q334">
        <v>26815495.495495494</v>
      </c>
      <c r="R334">
        <v>32627207.207207207</v>
      </c>
      <c r="S334">
        <v>6595</v>
      </c>
      <c r="T334">
        <v>6376</v>
      </c>
    </row>
    <row r="335" spans="1:20" x14ac:dyDescent="0.35">
      <c r="A335" s="7" t="s">
        <v>433</v>
      </c>
      <c r="B335" s="12" t="s">
        <v>106</v>
      </c>
      <c r="C335">
        <v>236432115.28892672</v>
      </c>
      <c r="D335">
        <v>218733751.70358598</v>
      </c>
      <c r="E335">
        <v>1048648.6486486499</v>
      </c>
      <c r="F335">
        <v>1262162.1621621631</v>
      </c>
      <c r="G335">
        <v>22</v>
      </c>
      <c r="H335">
        <v>46</v>
      </c>
      <c r="I335">
        <v>1</v>
      </c>
      <c r="K335">
        <v>25</v>
      </c>
      <c r="L335">
        <v>51</v>
      </c>
      <c r="M335">
        <v>29611846.846846849</v>
      </c>
      <c r="N335">
        <v>37328378.378378376</v>
      </c>
      <c r="O335">
        <v>56599297.297297299</v>
      </c>
      <c r="P335">
        <v>60404936.936936937</v>
      </c>
      <c r="Q335">
        <v>30302117.117117122</v>
      </c>
      <c r="R335">
        <v>40218378.378378376</v>
      </c>
      <c r="S335">
        <v>3825</v>
      </c>
      <c r="T335">
        <v>2840</v>
      </c>
    </row>
    <row r="336" spans="1:20" x14ac:dyDescent="0.35">
      <c r="A336" s="7" t="s">
        <v>434</v>
      </c>
      <c r="B336" s="12" t="s">
        <v>73</v>
      </c>
      <c r="C336">
        <v>1252274505.2525055</v>
      </c>
      <c r="D336">
        <v>1241803863.8295336</v>
      </c>
      <c r="E336">
        <v>60510000.000000015</v>
      </c>
      <c r="F336">
        <v>93243513.51351352</v>
      </c>
      <c r="G336">
        <v>340</v>
      </c>
      <c r="H336">
        <v>308</v>
      </c>
      <c r="I336">
        <v>3</v>
      </c>
      <c r="K336">
        <v>448</v>
      </c>
      <c r="L336">
        <v>366</v>
      </c>
      <c r="M336">
        <v>188090990.990991</v>
      </c>
      <c r="N336">
        <v>205702927.92792794</v>
      </c>
      <c r="O336">
        <v>263787988.73873875</v>
      </c>
      <c r="P336">
        <v>287022072.07207209</v>
      </c>
      <c r="Q336">
        <v>140897657.65765765</v>
      </c>
      <c r="R336">
        <v>149785045.04504505</v>
      </c>
      <c r="S336">
        <v>18590</v>
      </c>
      <c r="T336">
        <v>17160</v>
      </c>
    </row>
    <row r="337" spans="1:20" x14ac:dyDescent="0.35">
      <c r="A337" s="7" t="s">
        <v>435</v>
      </c>
      <c r="B337" s="12" t="s">
        <v>73</v>
      </c>
      <c r="C337">
        <v>856254584.04949069</v>
      </c>
      <c r="D337">
        <v>882409861.80213201</v>
      </c>
      <c r="E337">
        <v>5479504.504504513</v>
      </c>
      <c r="F337">
        <v>6467567.5675675804</v>
      </c>
      <c r="G337">
        <v>185</v>
      </c>
      <c r="H337">
        <v>146</v>
      </c>
      <c r="I337">
        <v>1</v>
      </c>
      <c r="K337">
        <v>209</v>
      </c>
      <c r="L337">
        <v>164</v>
      </c>
      <c r="M337">
        <v>93089189.189189181</v>
      </c>
      <c r="N337">
        <v>106539639.63963965</v>
      </c>
      <c r="O337">
        <v>161609639.63963965</v>
      </c>
      <c r="P337">
        <v>186847279.27927929</v>
      </c>
      <c r="Q337">
        <v>71814594.594594598</v>
      </c>
      <c r="R337">
        <v>75840540.540540546</v>
      </c>
      <c r="S337">
        <v>13807</v>
      </c>
      <c r="T337">
        <v>14102</v>
      </c>
    </row>
    <row r="338" spans="1:20" x14ac:dyDescent="0.35">
      <c r="A338" s="7" t="s">
        <v>436</v>
      </c>
      <c r="B338" s="12" t="s">
        <v>95</v>
      </c>
      <c r="C338">
        <v>59747858.327618927</v>
      </c>
      <c r="D338">
        <v>63408720.967237785</v>
      </c>
      <c r="E338">
        <v>13513.513513514001</v>
      </c>
      <c r="G338">
        <v>3</v>
      </c>
      <c r="H338">
        <v>6</v>
      </c>
      <c r="K338">
        <v>3</v>
      </c>
      <c r="L338">
        <v>8</v>
      </c>
      <c r="M338">
        <v>554054.05405405397</v>
      </c>
      <c r="N338">
        <v>450450.45045045001</v>
      </c>
      <c r="O338">
        <v>14581684.684684685</v>
      </c>
      <c r="P338">
        <v>17357054.054054055</v>
      </c>
      <c r="Q338">
        <v>427567.56756756798</v>
      </c>
      <c r="R338">
        <v>308558.55855855899</v>
      </c>
      <c r="S338">
        <v>897</v>
      </c>
      <c r="T338">
        <v>891</v>
      </c>
    </row>
    <row r="339" spans="1:20" x14ac:dyDescent="0.35">
      <c r="A339" s="7" t="s">
        <v>437</v>
      </c>
      <c r="B339" s="12" t="s">
        <v>90</v>
      </c>
      <c r="C339">
        <v>316878679.98837292</v>
      </c>
      <c r="D339">
        <v>334947636.29431206</v>
      </c>
      <c r="E339">
        <v>4670270.2702702787</v>
      </c>
      <c r="F339">
        <v>8009909.9099099142</v>
      </c>
      <c r="G339">
        <v>86</v>
      </c>
      <c r="H339">
        <v>58</v>
      </c>
      <c r="K339">
        <v>95</v>
      </c>
      <c r="L339">
        <v>69</v>
      </c>
      <c r="M339">
        <v>46222342.342342347</v>
      </c>
      <c r="N339">
        <v>50276846.846846849</v>
      </c>
      <c r="O339">
        <v>144345806.3063063</v>
      </c>
      <c r="P339">
        <v>155171225.22522521</v>
      </c>
      <c r="Q339">
        <v>45004774.774774775</v>
      </c>
      <c r="R339">
        <v>54565315.315315314</v>
      </c>
      <c r="S339">
        <v>5549</v>
      </c>
      <c r="T339">
        <v>5588</v>
      </c>
    </row>
    <row r="340" spans="1:20" x14ac:dyDescent="0.35">
      <c r="A340" s="7" t="s">
        <v>438</v>
      </c>
      <c r="B340" s="12" t="s">
        <v>71</v>
      </c>
      <c r="C340">
        <v>9954877.6373592634</v>
      </c>
      <c r="D340">
        <v>9246600.8511349801</v>
      </c>
      <c r="G340">
        <v>7</v>
      </c>
      <c r="H340">
        <v>5</v>
      </c>
      <c r="K340">
        <v>7</v>
      </c>
      <c r="L340">
        <v>5</v>
      </c>
      <c r="O340">
        <v>6793324.3243243229</v>
      </c>
      <c r="P340">
        <v>6296441.4414414419</v>
      </c>
      <c r="S340">
        <v>1998</v>
      </c>
      <c r="T340">
        <v>2306</v>
      </c>
    </row>
    <row r="341" spans="1:20" x14ac:dyDescent="0.35">
      <c r="A341" s="7" t="s">
        <v>439</v>
      </c>
      <c r="B341" s="12" t="s">
        <v>196</v>
      </c>
      <c r="C341">
        <v>1499549695.4215434</v>
      </c>
      <c r="D341">
        <v>1496358139.4609027</v>
      </c>
      <c r="E341">
        <v>251563924.32432431</v>
      </c>
      <c r="F341">
        <v>324645253.15315318</v>
      </c>
      <c r="G341">
        <v>395</v>
      </c>
      <c r="H341">
        <v>249</v>
      </c>
      <c r="K341">
        <v>464</v>
      </c>
      <c r="L341">
        <v>341</v>
      </c>
      <c r="M341">
        <v>143741531.53153154</v>
      </c>
      <c r="N341">
        <v>140326126.12612614</v>
      </c>
      <c r="O341">
        <v>256433846.84684685</v>
      </c>
      <c r="P341">
        <v>266141079.27927929</v>
      </c>
      <c r="Q341">
        <v>120231621.62162164</v>
      </c>
      <c r="R341">
        <v>118130000</v>
      </c>
      <c r="S341">
        <v>20997</v>
      </c>
      <c r="T341">
        <v>20646</v>
      </c>
    </row>
    <row r="342" spans="1:20" x14ac:dyDescent="0.35">
      <c r="A342" s="7" t="s">
        <v>440</v>
      </c>
      <c r="B342" s="12" t="s">
        <v>179</v>
      </c>
      <c r="C342">
        <v>746908847.02116716</v>
      </c>
      <c r="D342">
        <v>742867845.09025359</v>
      </c>
      <c r="E342">
        <v>4801801.8018018017</v>
      </c>
      <c r="F342">
        <v>9506306.3063063119</v>
      </c>
      <c r="G342">
        <v>192</v>
      </c>
      <c r="H342">
        <v>101</v>
      </c>
      <c r="I342">
        <v>1</v>
      </c>
      <c r="K342">
        <v>254</v>
      </c>
      <c r="L342">
        <v>130</v>
      </c>
      <c r="M342">
        <v>133738683.78378378</v>
      </c>
      <c r="N342">
        <v>131273873.87387387</v>
      </c>
      <c r="O342">
        <v>301854860.36036038</v>
      </c>
      <c r="P342">
        <v>314305513.51351357</v>
      </c>
      <c r="Q342">
        <v>117065630.63063064</v>
      </c>
      <c r="R342">
        <v>121036216.21621621</v>
      </c>
      <c r="S342">
        <v>14782</v>
      </c>
      <c r="T342">
        <v>15149</v>
      </c>
    </row>
    <row r="343" spans="1:20" x14ac:dyDescent="0.35">
      <c r="A343" s="7" t="s">
        <v>441</v>
      </c>
      <c r="B343" s="12" t="s">
        <v>79</v>
      </c>
      <c r="C343">
        <v>320166186.33827323</v>
      </c>
      <c r="D343">
        <v>318384004.00320828</v>
      </c>
      <c r="E343">
        <v>4097972.9729729751</v>
      </c>
      <c r="F343">
        <v>6745945.9459459484</v>
      </c>
      <c r="G343">
        <v>60</v>
      </c>
      <c r="H343">
        <v>141</v>
      </c>
      <c r="I343">
        <v>2</v>
      </c>
      <c r="K343">
        <v>131</v>
      </c>
      <c r="L343">
        <v>208</v>
      </c>
      <c r="M343">
        <v>31770270.270270269</v>
      </c>
      <c r="N343">
        <v>40723423.423423424</v>
      </c>
      <c r="O343">
        <v>65860981.981981985</v>
      </c>
      <c r="P343">
        <v>71433099.0990991</v>
      </c>
      <c r="Q343">
        <v>33088018.018018015</v>
      </c>
      <c r="R343">
        <v>36214954.954954952</v>
      </c>
      <c r="S343">
        <v>5278</v>
      </c>
      <c r="T343">
        <v>4851</v>
      </c>
    </row>
    <row r="344" spans="1:20" x14ac:dyDescent="0.35">
      <c r="A344" s="7" t="s">
        <v>442</v>
      </c>
      <c r="B344" s="12" t="s">
        <v>79</v>
      </c>
      <c r="C344">
        <v>135556768.81015274</v>
      </c>
      <c r="D344">
        <v>142620572.58714718</v>
      </c>
      <c r="E344">
        <v>2433333.333333334</v>
      </c>
      <c r="F344">
        <v>2170270.2702702722</v>
      </c>
      <c r="G344">
        <v>39</v>
      </c>
      <c r="H344">
        <v>29</v>
      </c>
      <c r="I344">
        <v>2</v>
      </c>
      <c r="K344">
        <v>44</v>
      </c>
      <c r="L344">
        <v>30</v>
      </c>
      <c r="M344">
        <v>30102432.432432432</v>
      </c>
      <c r="N344">
        <v>26438558.558558557</v>
      </c>
      <c r="O344">
        <v>29584972.97297297</v>
      </c>
      <c r="P344">
        <v>30218558.558558557</v>
      </c>
      <c r="Q344">
        <v>28143243.24324324</v>
      </c>
      <c r="R344">
        <v>23907027.027027026</v>
      </c>
      <c r="S344">
        <v>2391</v>
      </c>
      <c r="T344">
        <v>2398</v>
      </c>
    </row>
    <row r="345" spans="1:20" x14ac:dyDescent="0.35">
      <c r="A345" s="7" t="s">
        <v>443</v>
      </c>
      <c r="B345" s="12" t="s">
        <v>124</v>
      </c>
      <c r="C345">
        <v>1877617.356971062</v>
      </c>
      <c r="D345">
        <v>1451138.047270613</v>
      </c>
      <c r="O345">
        <v>721531.53153153195</v>
      </c>
      <c r="P345">
        <v>667828.82882882899</v>
      </c>
      <c r="S345">
        <v>1</v>
      </c>
      <c r="T345">
        <v>356</v>
      </c>
    </row>
    <row r="346" spans="1:20" x14ac:dyDescent="0.35">
      <c r="A346" s="7" t="s">
        <v>444</v>
      </c>
      <c r="B346" s="12" t="s">
        <v>141</v>
      </c>
      <c r="C346">
        <v>325731125.6155411</v>
      </c>
      <c r="D346">
        <v>329090735.25615788</v>
      </c>
      <c r="E346">
        <v>3297747.7477477482</v>
      </c>
      <c r="F346">
        <v>5103603.603603608</v>
      </c>
      <c r="G346">
        <v>52</v>
      </c>
      <c r="H346">
        <v>82</v>
      </c>
      <c r="I346">
        <v>10</v>
      </c>
      <c r="K346">
        <v>102</v>
      </c>
      <c r="L346">
        <v>109</v>
      </c>
      <c r="M346">
        <v>38815225.225225225</v>
      </c>
      <c r="N346">
        <v>46291261.261261255</v>
      </c>
      <c r="O346">
        <v>88286864.864864871</v>
      </c>
      <c r="P346">
        <v>94213576.576576576</v>
      </c>
      <c r="Q346">
        <v>32587657.657657657</v>
      </c>
      <c r="R346">
        <v>38677387.387387387</v>
      </c>
      <c r="S346">
        <v>5699</v>
      </c>
      <c r="T346">
        <v>5561</v>
      </c>
    </row>
    <row r="347" spans="1:20" x14ac:dyDescent="0.35">
      <c r="A347" s="7" t="s">
        <v>445</v>
      </c>
      <c r="B347" s="12" t="s">
        <v>77</v>
      </c>
      <c r="C347">
        <v>36719087.702038266</v>
      </c>
      <c r="D347">
        <v>34232938.098038226</v>
      </c>
      <c r="E347">
        <v>289189.189189189</v>
      </c>
      <c r="F347">
        <v>172972.97297297299</v>
      </c>
      <c r="G347">
        <v>6</v>
      </c>
      <c r="H347">
        <v>3</v>
      </c>
      <c r="K347">
        <v>6</v>
      </c>
      <c r="L347">
        <v>3</v>
      </c>
      <c r="M347">
        <v>5428828.8288288293</v>
      </c>
      <c r="N347">
        <v>9672072.072072072</v>
      </c>
      <c r="O347">
        <v>8120063.0630630627</v>
      </c>
      <c r="P347">
        <v>8344909.9099099096</v>
      </c>
      <c r="Q347">
        <v>5283513.5135135129</v>
      </c>
      <c r="R347">
        <v>7757027.0270270268</v>
      </c>
      <c r="S347">
        <v>2109</v>
      </c>
      <c r="T347">
        <v>567</v>
      </c>
    </row>
    <row r="348" spans="1:20" x14ac:dyDescent="0.35">
      <c r="A348" s="7" t="s">
        <v>446</v>
      </c>
      <c r="B348" s="12" t="s">
        <v>90</v>
      </c>
      <c r="C348">
        <v>1005411657.1308955</v>
      </c>
      <c r="D348">
        <v>1001989399.953149</v>
      </c>
      <c r="E348">
        <v>417928049.54954958</v>
      </c>
      <c r="F348">
        <v>753347160.36036026</v>
      </c>
      <c r="G348">
        <v>592</v>
      </c>
      <c r="H348">
        <v>365</v>
      </c>
      <c r="I348">
        <v>7</v>
      </c>
      <c r="K348">
        <v>1540</v>
      </c>
      <c r="L348">
        <v>707</v>
      </c>
      <c r="M348">
        <v>321515045.04504508</v>
      </c>
      <c r="N348">
        <v>145087747.74774775</v>
      </c>
      <c r="O348">
        <v>334097025.22522521</v>
      </c>
      <c r="P348">
        <v>332151990.990991</v>
      </c>
      <c r="Q348">
        <v>224134504.5045045</v>
      </c>
      <c r="R348">
        <v>146168918.91891891</v>
      </c>
      <c r="S348">
        <v>18160</v>
      </c>
      <c r="T348">
        <v>16591</v>
      </c>
    </row>
    <row r="349" spans="1:20" x14ac:dyDescent="0.35">
      <c r="A349" s="7" t="s">
        <v>447</v>
      </c>
      <c r="B349" s="12" t="s">
        <v>49</v>
      </c>
      <c r="C349">
        <v>99934906.041364983</v>
      </c>
      <c r="D349">
        <v>98071071.532362089</v>
      </c>
      <c r="E349">
        <v>228319424.32432431</v>
      </c>
      <c r="F349">
        <v>105184052.25225225</v>
      </c>
      <c r="G349">
        <v>10</v>
      </c>
      <c r="H349">
        <v>4</v>
      </c>
      <c r="K349">
        <v>11</v>
      </c>
      <c r="L349">
        <v>5</v>
      </c>
      <c r="M349">
        <v>38189240.540540546</v>
      </c>
      <c r="N349">
        <v>32493883.783783782</v>
      </c>
      <c r="O349">
        <v>33886468.468468465</v>
      </c>
      <c r="P349">
        <v>36479666.666666664</v>
      </c>
      <c r="Q349">
        <v>22943963.963963963</v>
      </c>
      <c r="R349">
        <v>16945855.855855856</v>
      </c>
      <c r="S349">
        <v>1160</v>
      </c>
      <c r="T349">
        <v>1113</v>
      </c>
    </row>
    <row r="350" spans="1:20" x14ac:dyDescent="0.35">
      <c r="A350" s="7" t="s">
        <v>448</v>
      </c>
      <c r="B350" s="12" t="s">
        <v>449</v>
      </c>
      <c r="C350">
        <v>199928766.79908362</v>
      </c>
      <c r="D350">
        <v>210298690.24345571</v>
      </c>
      <c r="E350">
        <v>4608108.1081081061</v>
      </c>
      <c r="F350">
        <v>7478828.8288288293</v>
      </c>
      <c r="G350">
        <v>105</v>
      </c>
      <c r="H350">
        <v>405</v>
      </c>
      <c r="K350">
        <v>121</v>
      </c>
      <c r="L350">
        <v>431</v>
      </c>
      <c r="M350">
        <v>24579099.0990991</v>
      </c>
      <c r="N350">
        <v>104910135.13513513</v>
      </c>
      <c r="O350">
        <v>80674639.639639646</v>
      </c>
      <c r="P350">
        <v>87143396.396396399</v>
      </c>
      <c r="Q350">
        <v>25075855.855855856</v>
      </c>
      <c r="R350">
        <v>104774279.27927928</v>
      </c>
      <c r="S350">
        <v>8101</v>
      </c>
      <c r="T350">
        <v>5672</v>
      </c>
    </row>
    <row r="351" spans="1:20" x14ac:dyDescent="0.35">
      <c r="A351" s="7" t="s">
        <v>450</v>
      </c>
      <c r="B351" s="12" t="s">
        <v>77</v>
      </c>
      <c r="C351">
        <v>48265333.103313059</v>
      </c>
      <c r="D351">
        <v>51919785.442873955</v>
      </c>
      <c r="E351">
        <v>600000.00000000198</v>
      </c>
      <c r="F351">
        <v>468468.46846847102</v>
      </c>
      <c r="G351">
        <v>28</v>
      </c>
      <c r="H351">
        <v>23</v>
      </c>
      <c r="I351">
        <v>1</v>
      </c>
      <c r="K351">
        <v>29</v>
      </c>
      <c r="L351">
        <v>29</v>
      </c>
      <c r="M351">
        <v>13129999.999999998</v>
      </c>
      <c r="N351">
        <v>15203603.603603603</v>
      </c>
      <c r="O351">
        <v>17580223.423423424</v>
      </c>
      <c r="P351">
        <v>18058855.855855856</v>
      </c>
      <c r="Q351">
        <v>10340540.540540541</v>
      </c>
      <c r="R351">
        <v>11682702.702702701</v>
      </c>
      <c r="S351">
        <v>1902</v>
      </c>
      <c r="T351">
        <v>1889</v>
      </c>
    </row>
    <row r="352" spans="1:20" x14ac:dyDescent="0.35">
      <c r="A352" s="7" t="s">
        <v>451</v>
      </c>
      <c r="B352" s="12" t="s">
        <v>84</v>
      </c>
      <c r="C352">
        <v>1785049441.0693789</v>
      </c>
      <c r="D352">
        <v>1833203648.0276358</v>
      </c>
      <c r="E352">
        <v>574242489.1891892</v>
      </c>
      <c r="F352">
        <v>684601970.27027035</v>
      </c>
      <c r="G352">
        <v>660</v>
      </c>
      <c r="H352">
        <v>433</v>
      </c>
      <c r="I352">
        <v>4</v>
      </c>
      <c r="K352">
        <v>801</v>
      </c>
      <c r="L352">
        <v>683</v>
      </c>
      <c r="M352">
        <v>224051036.03603604</v>
      </c>
      <c r="N352">
        <v>277595450.45045042</v>
      </c>
      <c r="O352">
        <v>384825605.85585588</v>
      </c>
      <c r="P352">
        <v>425507313.51351357</v>
      </c>
      <c r="Q352">
        <v>218730945.94594595</v>
      </c>
      <c r="R352">
        <v>257720675.67567569</v>
      </c>
      <c r="S352">
        <v>33070</v>
      </c>
      <c r="T352">
        <v>32135</v>
      </c>
    </row>
    <row r="353" spans="1:20" x14ac:dyDescent="0.35">
      <c r="A353" s="7" t="s">
        <v>452</v>
      </c>
      <c r="B353" s="12" t="s">
        <v>71</v>
      </c>
      <c r="C353">
        <v>119492481.7362885</v>
      </c>
      <c r="D353">
        <v>113300201.4182758</v>
      </c>
      <c r="E353">
        <v>513513.51351351402</v>
      </c>
      <c r="F353">
        <v>2064414.414414414</v>
      </c>
      <c r="G353">
        <v>26</v>
      </c>
      <c r="H353">
        <v>12</v>
      </c>
      <c r="K353">
        <v>29</v>
      </c>
      <c r="L353">
        <v>16</v>
      </c>
      <c r="M353">
        <v>3722522.5225225221</v>
      </c>
      <c r="N353">
        <v>191887837.83783782</v>
      </c>
      <c r="O353">
        <v>73387738.738738731</v>
      </c>
      <c r="P353">
        <v>66520729.729729727</v>
      </c>
      <c r="Q353">
        <v>3384144.144144142</v>
      </c>
      <c r="R353">
        <v>189802882.88288289</v>
      </c>
      <c r="S353">
        <v>2959</v>
      </c>
      <c r="T353">
        <v>2802</v>
      </c>
    </row>
    <row r="354" spans="1:20" x14ac:dyDescent="0.35">
      <c r="A354" s="7" t="s">
        <v>453</v>
      </c>
      <c r="B354" s="12" t="s">
        <v>168</v>
      </c>
      <c r="C354">
        <v>141961066.08181894</v>
      </c>
      <c r="D354">
        <v>145312739.99008343</v>
      </c>
      <c r="E354">
        <v>3198198.1981981979</v>
      </c>
      <c r="F354">
        <v>4035135.1351351342</v>
      </c>
      <c r="G354">
        <v>4</v>
      </c>
      <c r="H354">
        <v>22</v>
      </c>
      <c r="K354">
        <v>4</v>
      </c>
      <c r="L354">
        <v>28</v>
      </c>
      <c r="M354">
        <v>8234684.6846846864</v>
      </c>
      <c r="N354">
        <v>9512612.6126126125</v>
      </c>
      <c r="O354">
        <v>27600954.954954956</v>
      </c>
      <c r="P354">
        <v>35510657.657657653</v>
      </c>
      <c r="Q354">
        <v>7024324.3243243229</v>
      </c>
      <c r="R354">
        <v>7958288.288288286</v>
      </c>
      <c r="S354">
        <v>2737</v>
      </c>
      <c r="T354">
        <v>2866</v>
      </c>
    </row>
    <row r="355" spans="1:20" x14ac:dyDescent="0.35">
      <c r="A355" s="7" t="s">
        <v>454</v>
      </c>
      <c r="B355" s="12" t="s">
        <v>122</v>
      </c>
      <c r="C355">
        <v>5705807.8817188004</v>
      </c>
      <c r="D355">
        <v>6442819.8117403165</v>
      </c>
      <c r="E355">
        <v>34234.234234233998</v>
      </c>
      <c r="F355">
        <v>9009.0090090100002</v>
      </c>
      <c r="G355">
        <v>2</v>
      </c>
      <c r="K355">
        <v>2</v>
      </c>
      <c r="M355">
        <v>36036.036036035999</v>
      </c>
      <c r="N355">
        <v>99099.0990991</v>
      </c>
      <c r="O355">
        <v>591801.80180180201</v>
      </c>
      <c r="P355">
        <v>545531.53153153195</v>
      </c>
      <c r="R355">
        <v>90090.090090090001</v>
      </c>
      <c r="S355">
        <v>138</v>
      </c>
      <c r="T355">
        <v>102</v>
      </c>
    </row>
    <row r="356" spans="1:20" x14ac:dyDescent="0.35">
      <c r="A356" s="7" t="s">
        <v>455</v>
      </c>
      <c r="B356" s="12" t="s">
        <v>225</v>
      </c>
      <c r="C356">
        <v>48240120.756198414</v>
      </c>
      <c r="D356">
        <v>49698230.27089832</v>
      </c>
      <c r="F356">
        <v>13513.513513514001</v>
      </c>
      <c r="G356">
        <v>1</v>
      </c>
      <c r="K356">
        <v>2</v>
      </c>
      <c r="N356">
        <v>914414.41441441397</v>
      </c>
      <c r="O356">
        <v>9329675.6756756753</v>
      </c>
      <c r="P356">
        <v>13752117.117117116</v>
      </c>
      <c r="Q356">
        <v>194864.864864865</v>
      </c>
      <c r="R356">
        <v>258738.73873873899</v>
      </c>
      <c r="S356">
        <v>1437</v>
      </c>
      <c r="T356">
        <v>1312</v>
      </c>
    </row>
    <row r="357" spans="1:20" x14ac:dyDescent="0.35">
      <c r="A357" s="7" t="s">
        <v>456</v>
      </c>
      <c r="B357" s="12" t="s">
        <v>95</v>
      </c>
      <c r="C357">
        <v>72393645.931233481</v>
      </c>
      <c r="D357">
        <v>90466034.663504586</v>
      </c>
      <c r="E357">
        <v>57355855.855855852</v>
      </c>
      <c r="F357">
        <v>66031531.531531535</v>
      </c>
      <c r="G357">
        <v>21</v>
      </c>
      <c r="H357">
        <v>33</v>
      </c>
      <c r="K357">
        <v>24</v>
      </c>
      <c r="L357">
        <v>37</v>
      </c>
      <c r="M357">
        <v>40566666.666666672</v>
      </c>
      <c r="N357">
        <v>25394594.59459459</v>
      </c>
      <c r="O357">
        <v>16779472.97297297</v>
      </c>
      <c r="P357">
        <v>23272635.135135137</v>
      </c>
      <c r="Q357">
        <v>28546306.306306306</v>
      </c>
      <c r="R357">
        <v>16769639.639639637</v>
      </c>
      <c r="S357">
        <v>2070</v>
      </c>
      <c r="T357">
        <v>2191</v>
      </c>
    </row>
    <row r="358" spans="1:20" x14ac:dyDescent="0.35">
      <c r="A358" s="7" t="s">
        <v>673</v>
      </c>
      <c r="B358" s="12" t="s">
        <v>190</v>
      </c>
      <c r="E358">
        <v>29953745.045045044</v>
      </c>
      <c r="F358">
        <v>54769125.225225225</v>
      </c>
      <c r="M358">
        <v>14729049.54954955</v>
      </c>
    </row>
    <row r="359" spans="1:20" x14ac:dyDescent="0.35">
      <c r="A359" s="7" t="s">
        <v>457</v>
      </c>
      <c r="B359" s="12" t="s">
        <v>61</v>
      </c>
      <c r="C359">
        <v>10470551.484757489</v>
      </c>
      <c r="D359">
        <v>12492146.344968395</v>
      </c>
      <c r="E359">
        <v>190990.99099099101</v>
      </c>
      <c r="F359">
        <v>46846.846846847002</v>
      </c>
      <c r="G359">
        <v>5</v>
      </c>
      <c r="H359">
        <v>4</v>
      </c>
      <c r="K359">
        <v>6</v>
      </c>
      <c r="L359">
        <v>5</v>
      </c>
      <c r="M359">
        <v>1227027.0270270279</v>
      </c>
      <c r="N359">
        <v>947747.74774774804</v>
      </c>
      <c r="O359">
        <v>4721612.6126126125</v>
      </c>
      <c r="P359">
        <v>6486684.6846846854</v>
      </c>
      <c r="Q359">
        <v>753063.06306306296</v>
      </c>
      <c r="R359">
        <v>979189.189189189</v>
      </c>
      <c r="S359">
        <v>657</v>
      </c>
      <c r="T359">
        <v>554</v>
      </c>
    </row>
    <row r="360" spans="1:20" x14ac:dyDescent="0.35">
      <c r="A360" s="7" t="s">
        <v>458</v>
      </c>
      <c r="B360" s="12" t="s">
        <v>215</v>
      </c>
      <c r="C360">
        <v>197283312.87011507</v>
      </c>
      <c r="D360">
        <v>190727206.30013222</v>
      </c>
      <c r="E360">
        <v>2951351.351351351</v>
      </c>
      <c r="F360">
        <v>119054054.05405405</v>
      </c>
      <c r="G360">
        <v>30</v>
      </c>
      <c r="H360">
        <v>11</v>
      </c>
      <c r="K360">
        <v>31</v>
      </c>
      <c r="L360">
        <v>14</v>
      </c>
      <c r="M360">
        <v>2736936.9369369368</v>
      </c>
      <c r="N360">
        <v>411036.03603603598</v>
      </c>
      <c r="O360">
        <v>100974873.87387387</v>
      </c>
      <c r="P360">
        <v>101070090.0900901</v>
      </c>
      <c r="Q360">
        <v>1759909.9099099101</v>
      </c>
      <c r="R360">
        <v>427117.11711711698</v>
      </c>
      <c r="S360">
        <v>3172</v>
      </c>
      <c r="T360">
        <v>3246</v>
      </c>
    </row>
    <row r="361" spans="1:20" x14ac:dyDescent="0.35">
      <c r="A361" s="7" t="s">
        <v>459</v>
      </c>
      <c r="B361" s="12" t="s">
        <v>460</v>
      </c>
      <c r="C361">
        <v>771718826.64189291</v>
      </c>
      <c r="D361">
        <v>804299528.1656667</v>
      </c>
      <c r="E361">
        <v>20965090.090090103</v>
      </c>
      <c r="F361">
        <v>25602252.252252266</v>
      </c>
      <c r="G361">
        <v>438</v>
      </c>
      <c r="H361">
        <v>357</v>
      </c>
      <c r="I361">
        <v>1</v>
      </c>
      <c r="K361">
        <v>555</v>
      </c>
      <c r="L361">
        <v>506</v>
      </c>
      <c r="M361">
        <v>265912252.25225225</v>
      </c>
      <c r="N361">
        <v>272851261.26126122</v>
      </c>
      <c r="O361">
        <v>274717569.81981981</v>
      </c>
      <c r="P361">
        <v>300630545.94594592</v>
      </c>
      <c r="Q361">
        <v>212748378.37837836</v>
      </c>
      <c r="R361">
        <v>226624054.05405408</v>
      </c>
      <c r="S361">
        <v>32864</v>
      </c>
      <c r="T361">
        <v>24735</v>
      </c>
    </row>
    <row r="362" spans="1:20" x14ac:dyDescent="0.35">
      <c r="A362" s="7" t="s">
        <v>461</v>
      </c>
      <c r="B362" s="12" t="s">
        <v>460</v>
      </c>
      <c r="C362">
        <v>2507897982.2188282</v>
      </c>
      <c r="D362">
        <v>2659474448.8254347</v>
      </c>
      <c r="E362">
        <v>18690990.990991</v>
      </c>
      <c r="F362">
        <v>22703603.603603616</v>
      </c>
      <c r="G362">
        <v>538</v>
      </c>
      <c r="H362">
        <v>593</v>
      </c>
      <c r="I362">
        <v>3</v>
      </c>
      <c r="K362">
        <v>631</v>
      </c>
      <c r="L362">
        <v>836</v>
      </c>
      <c r="M362">
        <v>136671666.66666666</v>
      </c>
      <c r="N362">
        <v>223792387.38738739</v>
      </c>
      <c r="O362">
        <v>1572431176.1261261</v>
      </c>
      <c r="P362">
        <v>1713916558.5585585</v>
      </c>
      <c r="Q362">
        <v>129653828.82882881</v>
      </c>
      <c r="R362">
        <v>171642657.65765765</v>
      </c>
      <c r="S362">
        <v>42380</v>
      </c>
      <c r="T362">
        <v>30682</v>
      </c>
    </row>
    <row r="363" spans="1:20" x14ac:dyDescent="0.35">
      <c r="A363" s="7" t="s">
        <v>462</v>
      </c>
      <c r="B363" s="12" t="s">
        <v>460</v>
      </c>
      <c r="C363">
        <v>1214922874.3057649</v>
      </c>
      <c r="D363">
        <v>1211876530.3002276</v>
      </c>
      <c r="E363">
        <v>28535523.423423436</v>
      </c>
      <c r="F363">
        <v>37478977.477477483</v>
      </c>
      <c r="G363">
        <v>457</v>
      </c>
      <c r="H363">
        <v>519</v>
      </c>
      <c r="I363">
        <v>6</v>
      </c>
      <c r="K363">
        <v>547</v>
      </c>
      <c r="L363">
        <v>737</v>
      </c>
      <c r="M363">
        <v>1531548010.8108108</v>
      </c>
      <c r="N363">
        <v>1104670689.1891892</v>
      </c>
      <c r="O363">
        <v>336038157.65765768</v>
      </c>
      <c r="P363">
        <v>360021998.1981982</v>
      </c>
      <c r="Q363">
        <v>1508390585.5855856</v>
      </c>
      <c r="R363">
        <v>227127027.02702701</v>
      </c>
      <c r="S363">
        <v>32505</v>
      </c>
      <c r="T363">
        <v>22733</v>
      </c>
    </row>
    <row r="364" spans="1:20" x14ac:dyDescent="0.35">
      <c r="A364" s="7" t="s">
        <v>463</v>
      </c>
      <c r="B364" s="12" t="s">
        <v>460</v>
      </c>
      <c r="C364">
        <v>887893988.5304538</v>
      </c>
      <c r="D364">
        <v>800881629.37991941</v>
      </c>
      <c r="E364">
        <v>6004954.9549549688</v>
      </c>
      <c r="F364">
        <v>10585585.585585587</v>
      </c>
      <c r="G364">
        <v>326</v>
      </c>
      <c r="H364">
        <v>177</v>
      </c>
      <c r="I364">
        <v>2</v>
      </c>
      <c r="K364">
        <v>383</v>
      </c>
      <c r="L364">
        <v>212</v>
      </c>
      <c r="M364">
        <v>140549459.45945945</v>
      </c>
      <c r="N364">
        <v>130337099.0990991</v>
      </c>
      <c r="O364">
        <v>200875639.63963965</v>
      </c>
      <c r="P364">
        <v>201539944.14414412</v>
      </c>
      <c r="Q364">
        <v>93842252.252252251</v>
      </c>
      <c r="R364">
        <v>112629189.18918918</v>
      </c>
      <c r="S364">
        <v>25231</v>
      </c>
      <c r="T364">
        <v>17513</v>
      </c>
    </row>
    <row r="365" spans="1:20" x14ac:dyDescent="0.35">
      <c r="A365" s="7" t="s">
        <v>464</v>
      </c>
      <c r="B365" s="12" t="s">
        <v>460</v>
      </c>
      <c r="C365">
        <v>850062804.84724343</v>
      </c>
      <c r="D365">
        <v>885436017.4498421</v>
      </c>
      <c r="E365">
        <v>490835000</v>
      </c>
      <c r="F365">
        <v>512382432.43243247</v>
      </c>
      <c r="G365">
        <v>971</v>
      </c>
      <c r="H365">
        <v>690</v>
      </c>
      <c r="I365">
        <v>1</v>
      </c>
      <c r="K365">
        <v>1101</v>
      </c>
      <c r="L365">
        <v>1274</v>
      </c>
      <c r="M365">
        <v>194914099.0990991</v>
      </c>
      <c r="N365">
        <v>360129909.9099099</v>
      </c>
      <c r="O365">
        <v>345888664.41441441</v>
      </c>
      <c r="P365">
        <v>362870414.41441441</v>
      </c>
      <c r="Q365">
        <v>167433333.33333331</v>
      </c>
      <c r="R365">
        <v>270259054.05405402</v>
      </c>
      <c r="S365">
        <v>33114</v>
      </c>
      <c r="T365">
        <v>26846</v>
      </c>
    </row>
    <row r="366" spans="1:20" x14ac:dyDescent="0.35">
      <c r="A366" s="7" t="s">
        <v>465</v>
      </c>
      <c r="B366" s="12" t="s">
        <v>460</v>
      </c>
      <c r="C366">
        <v>989104194.17706859</v>
      </c>
      <c r="D366">
        <v>967776822.53326619</v>
      </c>
      <c r="E366">
        <v>1972265445.0450449</v>
      </c>
      <c r="F366">
        <v>1395994975.6756756</v>
      </c>
      <c r="G366">
        <v>370</v>
      </c>
      <c r="H366">
        <v>261</v>
      </c>
      <c r="K366">
        <v>420</v>
      </c>
      <c r="L366">
        <v>358</v>
      </c>
      <c r="M366">
        <v>142126557.65765765</v>
      </c>
      <c r="N366">
        <v>220387972.97297299</v>
      </c>
      <c r="O366">
        <v>424802347.2972973</v>
      </c>
      <c r="P366">
        <v>439603963.96396399</v>
      </c>
      <c r="Q366">
        <v>140179639.63963965</v>
      </c>
      <c r="R366">
        <v>216200495.4954955</v>
      </c>
      <c r="S366">
        <v>37650</v>
      </c>
      <c r="T366">
        <v>30626</v>
      </c>
    </row>
    <row r="367" spans="1:20" x14ac:dyDescent="0.35">
      <c r="A367" s="7" t="s">
        <v>466</v>
      </c>
      <c r="B367" s="12" t="s">
        <v>55</v>
      </c>
      <c r="C367">
        <v>65385997.881708257</v>
      </c>
      <c r="D367">
        <v>64458278.238320842</v>
      </c>
      <c r="E367">
        <v>887387.38738738699</v>
      </c>
      <c r="F367">
        <v>642342.342342344</v>
      </c>
      <c r="G367">
        <v>17</v>
      </c>
      <c r="H367">
        <v>12</v>
      </c>
      <c r="K367">
        <v>19</v>
      </c>
      <c r="L367">
        <v>53</v>
      </c>
      <c r="M367">
        <v>7368288.2882882887</v>
      </c>
      <c r="N367">
        <v>6755495.4954954963</v>
      </c>
      <c r="O367">
        <v>13787018.018018018</v>
      </c>
      <c r="P367">
        <v>13946369.369369367</v>
      </c>
      <c r="Q367">
        <v>6726666.666666666</v>
      </c>
      <c r="R367">
        <v>6472432.4324324308</v>
      </c>
      <c r="S367">
        <v>1363</v>
      </c>
      <c r="T367">
        <v>998</v>
      </c>
    </row>
    <row r="368" spans="1:20" x14ac:dyDescent="0.35">
      <c r="A368" s="7" t="s">
        <v>467</v>
      </c>
      <c r="B368" s="12" t="s">
        <v>88</v>
      </c>
      <c r="C368">
        <v>2416250.9243303048</v>
      </c>
      <c r="D368">
        <v>2815786.4316743198</v>
      </c>
      <c r="H368">
        <v>1</v>
      </c>
      <c r="L368">
        <v>1</v>
      </c>
      <c r="O368">
        <v>389864.86486486503</v>
      </c>
      <c r="P368">
        <v>1116666.666666667</v>
      </c>
      <c r="S368">
        <v>94</v>
      </c>
      <c r="T368">
        <v>88</v>
      </c>
    </row>
    <row r="369" spans="1:20" x14ac:dyDescent="0.35">
      <c r="A369" s="7" t="s">
        <v>468</v>
      </c>
      <c r="B369" s="12" t="s">
        <v>144</v>
      </c>
      <c r="C369">
        <v>306342105.81440359</v>
      </c>
      <c r="D369">
        <v>336173526.1028583</v>
      </c>
      <c r="E369">
        <v>289189.18918918999</v>
      </c>
      <c r="F369">
        <v>346846.84684684803</v>
      </c>
      <c r="G369">
        <v>57</v>
      </c>
      <c r="H369">
        <v>15</v>
      </c>
      <c r="K369">
        <v>60</v>
      </c>
      <c r="L369">
        <v>16</v>
      </c>
      <c r="M369">
        <v>17667567.567567568</v>
      </c>
      <c r="N369">
        <v>18319819.819819819</v>
      </c>
      <c r="O369">
        <v>48335176.576576576</v>
      </c>
      <c r="P369">
        <v>62970556.75675676</v>
      </c>
      <c r="Q369">
        <v>14181621.62162162</v>
      </c>
      <c r="R369">
        <v>15704187.387387389</v>
      </c>
      <c r="S369">
        <v>5144</v>
      </c>
      <c r="T369">
        <v>5097</v>
      </c>
    </row>
    <row r="370" spans="1:20" x14ac:dyDescent="0.35">
      <c r="A370" s="7" t="s">
        <v>469</v>
      </c>
      <c r="B370" s="12" t="s">
        <v>81</v>
      </c>
      <c r="C370">
        <v>263017563.43874106</v>
      </c>
      <c r="D370">
        <v>256358339.30390483</v>
      </c>
      <c r="E370">
        <v>85057927.927927941</v>
      </c>
      <c r="F370">
        <v>92610540.540540546</v>
      </c>
      <c r="G370">
        <v>41</v>
      </c>
      <c r="H370">
        <v>30</v>
      </c>
      <c r="K370">
        <v>45</v>
      </c>
      <c r="L370">
        <v>32</v>
      </c>
      <c r="M370">
        <v>9051351.3513513524</v>
      </c>
      <c r="N370">
        <v>10686306.306306308</v>
      </c>
      <c r="O370">
        <v>99634459.459459454</v>
      </c>
      <c r="P370">
        <v>98804362.162162155</v>
      </c>
      <c r="Q370">
        <v>6015855.8558558561</v>
      </c>
      <c r="R370">
        <v>6330720.7207207195</v>
      </c>
      <c r="S370">
        <v>5254</v>
      </c>
      <c r="T370">
        <v>3864</v>
      </c>
    </row>
    <row r="371" spans="1:20" x14ac:dyDescent="0.35">
      <c r="A371" s="7" t="s">
        <v>470</v>
      </c>
      <c r="B371" s="12" t="s">
        <v>471</v>
      </c>
      <c r="C371">
        <v>317203441.88549215</v>
      </c>
      <c r="D371">
        <v>310471739.93439263</v>
      </c>
      <c r="E371">
        <v>2641441.4414414428</v>
      </c>
      <c r="F371">
        <v>2419819.819819821</v>
      </c>
      <c r="G371">
        <v>35</v>
      </c>
      <c r="H371">
        <v>38</v>
      </c>
      <c r="K371">
        <v>38</v>
      </c>
      <c r="L371">
        <v>54</v>
      </c>
      <c r="M371">
        <v>28100450.450450446</v>
      </c>
      <c r="N371">
        <v>17446846.846846849</v>
      </c>
      <c r="O371">
        <v>99988538.738738731</v>
      </c>
      <c r="P371">
        <v>103178960.36036035</v>
      </c>
      <c r="Q371">
        <v>27313736.936936937</v>
      </c>
      <c r="R371">
        <v>33728180.180180177</v>
      </c>
      <c r="S371">
        <v>5527</v>
      </c>
      <c r="T371">
        <v>5359</v>
      </c>
    </row>
    <row r="372" spans="1:20" x14ac:dyDescent="0.35">
      <c r="A372" s="7" t="s">
        <v>472</v>
      </c>
      <c r="B372" s="12" t="s">
        <v>471</v>
      </c>
      <c r="C372">
        <v>26536875.670351524</v>
      </c>
      <c r="D372">
        <v>27279254.615773436</v>
      </c>
      <c r="E372">
        <v>207207.20720720699</v>
      </c>
      <c r="F372">
        <v>117117.117117117</v>
      </c>
      <c r="G372">
        <v>3</v>
      </c>
      <c r="H372">
        <v>1</v>
      </c>
      <c r="K372">
        <v>4</v>
      </c>
      <c r="L372">
        <v>1</v>
      </c>
      <c r="M372">
        <v>3036036.036036036</v>
      </c>
      <c r="N372">
        <v>387387.38738738699</v>
      </c>
      <c r="O372">
        <v>2334549.5495495498</v>
      </c>
      <c r="P372">
        <v>3382954.9549549548</v>
      </c>
      <c r="Q372">
        <v>3069909.9099099091</v>
      </c>
      <c r="R372">
        <v>218918.91891891899</v>
      </c>
      <c r="S372">
        <v>634</v>
      </c>
      <c r="T372">
        <v>656</v>
      </c>
    </row>
    <row r="373" spans="1:20" x14ac:dyDescent="0.35">
      <c r="A373" s="7" t="s">
        <v>473</v>
      </c>
      <c r="B373" s="12" t="s">
        <v>471</v>
      </c>
      <c r="C373">
        <v>3194136.779811928</v>
      </c>
      <c r="D373">
        <v>3385040.730897048</v>
      </c>
      <c r="E373">
        <v>184644378.37837836</v>
      </c>
      <c r="F373">
        <v>126469119.81981982</v>
      </c>
      <c r="M373">
        <v>26524920.72072072</v>
      </c>
      <c r="N373">
        <v>17378827.927927926</v>
      </c>
      <c r="O373">
        <v>763873.87387387396</v>
      </c>
      <c r="P373">
        <v>839369.369369369</v>
      </c>
      <c r="Q373">
        <v>2703603.6036036038</v>
      </c>
      <c r="R373">
        <v>4247207.2072072066</v>
      </c>
      <c r="S373">
        <v>424</v>
      </c>
      <c r="T373">
        <v>445</v>
      </c>
    </row>
    <row r="374" spans="1:20" x14ac:dyDescent="0.35">
      <c r="A374" s="7" t="s">
        <v>474</v>
      </c>
      <c r="B374" s="12" t="s">
        <v>471</v>
      </c>
      <c r="C374">
        <v>111897083.49205193</v>
      </c>
      <c r="D374">
        <v>109009507.39910451</v>
      </c>
      <c r="E374">
        <v>916216.21621621703</v>
      </c>
      <c r="F374">
        <v>1412518.0180180189</v>
      </c>
      <c r="G374">
        <v>14</v>
      </c>
      <c r="H374">
        <v>24</v>
      </c>
      <c r="K374">
        <v>14</v>
      </c>
      <c r="L374">
        <v>43</v>
      </c>
      <c r="M374">
        <v>26395945.945945945</v>
      </c>
      <c r="N374">
        <v>16625315.315315315</v>
      </c>
      <c r="O374">
        <v>15389765.765765766</v>
      </c>
      <c r="P374">
        <v>19133079.27927928</v>
      </c>
      <c r="Q374">
        <v>32010810.810810808</v>
      </c>
      <c r="R374">
        <v>19499189.189189188</v>
      </c>
      <c r="S374">
        <v>2337</v>
      </c>
      <c r="T374">
        <v>2118</v>
      </c>
    </row>
    <row r="375" spans="1:20" x14ac:dyDescent="0.35">
      <c r="A375" s="7" t="s">
        <v>475</v>
      </c>
      <c r="B375" s="12" t="s">
        <v>471</v>
      </c>
      <c r="C375">
        <v>156830265.24421927</v>
      </c>
      <c r="D375">
        <v>155291173.82643041</v>
      </c>
      <c r="E375">
        <v>108045045.04504503</v>
      </c>
      <c r="F375">
        <v>64924324.324324325</v>
      </c>
      <c r="G375">
        <v>30</v>
      </c>
      <c r="H375">
        <v>16</v>
      </c>
      <c r="K375">
        <v>31</v>
      </c>
      <c r="L375">
        <v>24</v>
      </c>
      <c r="M375">
        <v>16792882.882882882</v>
      </c>
      <c r="N375">
        <v>8941801.8018018045</v>
      </c>
      <c r="O375">
        <v>33672396.396396399</v>
      </c>
      <c r="P375">
        <v>37870585.585585587</v>
      </c>
      <c r="Q375">
        <v>12648558.558558561</v>
      </c>
      <c r="R375">
        <v>12673603.603603603</v>
      </c>
      <c r="S375">
        <v>2453</v>
      </c>
      <c r="T375">
        <v>2502</v>
      </c>
    </row>
    <row r="376" spans="1:20" x14ac:dyDescent="0.35">
      <c r="A376" s="7" t="s">
        <v>476</v>
      </c>
      <c r="B376" s="12" t="s">
        <v>471</v>
      </c>
      <c r="C376">
        <v>58128251.772452459</v>
      </c>
      <c r="D376">
        <v>57734857.769889757</v>
      </c>
      <c r="E376">
        <v>385585.58558558702</v>
      </c>
      <c r="F376">
        <v>467567.56756757002</v>
      </c>
      <c r="G376">
        <v>6</v>
      </c>
      <c r="H376">
        <v>6</v>
      </c>
      <c r="K376">
        <v>6</v>
      </c>
      <c r="L376">
        <v>8</v>
      </c>
      <c r="M376">
        <v>8115315.3153153146</v>
      </c>
      <c r="N376">
        <v>3418018.0180180189</v>
      </c>
      <c r="O376">
        <v>12186772.972972972</v>
      </c>
      <c r="P376">
        <v>14851288.288288288</v>
      </c>
      <c r="Q376">
        <v>6886036.036036036</v>
      </c>
      <c r="R376">
        <v>7805405.4054054059</v>
      </c>
      <c r="S376">
        <v>1420</v>
      </c>
      <c r="T376">
        <v>1284</v>
      </c>
    </row>
    <row r="377" spans="1:20" x14ac:dyDescent="0.35">
      <c r="A377" s="7" t="s">
        <v>477</v>
      </c>
      <c r="B377" s="12" t="s">
        <v>471</v>
      </c>
      <c r="C377">
        <v>596037975.74544179</v>
      </c>
      <c r="D377">
        <v>626356034.06069744</v>
      </c>
      <c r="E377">
        <v>11931531.531531539</v>
      </c>
      <c r="F377">
        <v>12224324.324324332</v>
      </c>
      <c r="G377">
        <v>224</v>
      </c>
      <c r="H377">
        <v>450</v>
      </c>
      <c r="K377">
        <v>477</v>
      </c>
      <c r="L377">
        <v>573</v>
      </c>
      <c r="M377">
        <v>200622342.34234235</v>
      </c>
      <c r="N377">
        <v>150714144.14414412</v>
      </c>
      <c r="O377">
        <v>157594800</v>
      </c>
      <c r="P377">
        <v>175949190.99099097</v>
      </c>
      <c r="Q377">
        <v>197989729.72972974</v>
      </c>
      <c r="R377">
        <v>151770673.87387389</v>
      </c>
      <c r="S377">
        <v>17526</v>
      </c>
      <c r="T377">
        <v>17306</v>
      </c>
    </row>
    <row r="378" spans="1:20" x14ac:dyDescent="0.35">
      <c r="A378" s="7" t="s">
        <v>478</v>
      </c>
      <c r="B378" s="12" t="s">
        <v>261</v>
      </c>
      <c r="C378">
        <v>702726667.44088304</v>
      </c>
      <c r="D378">
        <v>698316054.77005875</v>
      </c>
      <c r="E378">
        <v>416543995.4954955</v>
      </c>
      <c r="F378">
        <v>463914171.17117119</v>
      </c>
      <c r="G378">
        <v>155</v>
      </c>
      <c r="H378">
        <v>87</v>
      </c>
      <c r="I378">
        <v>1</v>
      </c>
      <c r="K378">
        <v>164</v>
      </c>
      <c r="L378">
        <v>98</v>
      </c>
      <c r="M378">
        <v>148822522.52252254</v>
      </c>
      <c r="N378">
        <v>153095495.4954955</v>
      </c>
      <c r="O378">
        <v>187757950.45045045</v>
      </c>
      <c r="P378">
        <v>200416738.73873875</v>
      </c>
      <c r="Q378">
        <v>89501351.351351365</v>
      </c>
      <c r="R378">
        <v>102028288.2882883</v>
      </c>
      <c r="S378">
        <v>11375</v>
      </c>
      <c r="T378">
        <v>12480</v>
      </c>
    </row>
    <row r="379" spans="1:20" x14ac:dyDescent="0.35">
      <c r="A379" s="7" t="s">
        <v>479</v>
      </c>
      <c r="B379" s="12" t="s">
        <v>480</v>
      </c>
      <c r="C379">
        <v>51961840.082274266</v>
      </c>
      <c r="D379">
        <v>51434691.014992289</v>
      </c>
      <c r="E379">
        <v>816216.21621621703</v>
      </c>
      <c r="F379">
        <v>699099.09909909905</v>
      </c>
      <c r="G379">
        <v>14</v>
      </c>
      <c r="H379">
        <v>16</v>
      </c>
      <c r="K379">
        <v>14</v>
      </c>
      <c r="L379">
        <v>17</v>
      </c>
      <c r="M379">
        <v>17840540.540540542</v>
      </c>
      <c r="N379">
        <v>16307747.747747747</v>
      </c>
      <c r="O379">
        <v>12379549.549549548</v>
      </c>
      <c r="P379">
        <v>13840169.369369371</v>
      </c>
      <c r="Q379">
        <v>17698018.018018018</v>
      </c>
      <c r="R379">
        <v>16586576.576576576</v>
      </c>
      <c r="S379">
        <v>1174</v>
      </c>
      <c r="T379">
        <v>899</v>
      </c>
    </row>
    <row r="380" spans="1:20" x14ac:dyDescent="0.35">
      <c r="A380" s="7" t="s">
        <v>481</v>
      </c>
      <c r="B380" s="12" t="s">
        <v>124</v>
      </c>
      <c r="C380">
        <v>380122533.81309414</v>
      </c>
      <c r="D380">
        <v>366640531.67342961</v>
      </c>
      <c r="E380">
        <v>4428828.8288288303</v>
      </c>
      <c r="F380">
        <v>2548648.6486486509</v>
      </c>
      <c r="G380">
        <v>79</v>
      </c>
      <c r="H380">
        <v>55</v>
      </c>
      <c r="K380">
        <v>84</v>
      </c>
      <c r="L380">
        <v>60</v>
      </c>
      <c r="M380">
        <v>31938918.918918919</v>
      </c>
      <c r="N380">
        <v>27482342.342342343</v>
      </c>
      <c r="O380">
        <v>143312680.18018016</v>
      </c>
      <c r="P380">
        <v>149039023.42342341</v>
      </c>
      <c r="Q380">
        <v>29173153.153153151</v>
      </c>
      <c r="R380">
        <v>25374727.927927926</v>
      </c>
      <c r="S380">
        <v>5898</v>
      </c>
      <c r="T380">
        <v>6146</v>
      </c>
    </row>
    <row r="381" spans="1:20" x14ac:dyDescent="0.35">
      <c r="A381" s="7" t="s">
        <v>482</v>
      </c>
      <c r="B381" s="12" t="s">
        <v>471</v>
      </c>
      <c r="C381">
        <v>30023589.004982967</v>
      </c>
      <c r="D381">
        <v>30138144.100145016</v>
      </c>
      <c r="E381">
        <v>95495.495495495998</v>
      </c>
      <c r="F381">
        <v>327027.02702702698</v>
      </c>
      <c r="G381">
        <v>3</v>
      </c>
      <c r="H381">
        <v>3</v>
      </c>
      <c r="K381">
        <v>4</v>
      </c>
      <c r="L381">
        <v>3</v>
      </c>
      <c r="M381">
        <v>1897297.297297297</v>
      </c>
      <c r="N381">
        <v>790990.99099099101</v>
      </c>
      <c r="O381">
        <v>3987603.6036036038</v>
      </c>
      <c r="P381">
        <v>4061612.612612613</v>
      </c>
      <c r="Q381">
        <v>1041351.351351351</v>
      </c>
      <c r="R381">
        <v>1151351.351351351</v>
      </c>
      <c r="S381">
        <v>572</v>
      </c>
      <c r="T381">
        <v>566</v>
      </c>
    </row>
    <row r="382" spans="1:20" x14ac:dyDescent="0.35">
      <c r="A382" s="7" t="s">
        <v>483</v>
      </c>
      <c r="B382" s="12" t="s">
        <v>168</v>
      </c>
      <c r="C382">
        <v>313001544.07111043</v>
      </c>
      <c r="D382">
        <v>329384985.16218156</v>
      </c>
      <c r="E382">
        <v>8503603.603603607</v>
      </c>
      <c r="F382">
        <v>111374774.77477477</v>
      </c>
      <c r="G382">
        <v>239</v>
      </c>
      <c r="H382">
        <v>76</v>
      </c>
      <c r="I382">
        <v>1</v>
      </c>
      <c r="K382">
        <v>306</v>
      </c>
      <c r="L382">
        <v>198</v>
      </c>
      <c r="M382">
        <v>24685622.522522524</v>
      </c>
      <c r="N382">
        <v>42603378.378378376</v>
      </c>
      <c r="O382">
        <v>129851297.2972973</v>
      </c>
      <c r="P382">
        <v>144956891.8918919</v>
      </c>
      <c r="Q382">
        <v>23834864.864864863</v>
      </c>
      <c r="R382">
        <v>39129774.774774767</v>
      </c>
      <c r="S382">
        <v>9345</v>
      </c>
      <c r="T382">
        <v>8867</v>
      </c>
    </row>
    <row r="383" spans="1:20" x14ac:dyDescent="0.35">
      <c r="A383" s="7" t="s">
        <v>484</v>
      </c>
      <c r="B383" s="12" t="s">
        <v>168</v>
      </c>
      <c r="C383">
        <v>358462792.53300655</v>
      </c>
      <c r="D383">
        <v>376700449.3687036</v>
      </c>
      <c r="E383">
        <v>478484066.66666669</v>
      </c>
      <c r="F383">
        <v>539893792.7927928</v>
      </c>
      <c r="G383">
        <v>531</v>
      </c>
      <c r="H383">
        <v>321</v>
      </c>
      <c r="I383">
        <v>1</v>
      </c>
      <c r="K383">
        <v>1019</v>
      </c>
      <c r="L383">
        <v>1133</v>
      </c>
      <c r="M383">
        <v>56632658.558558561</v>
      </c>
      <c r="N383">
        <v>97224774.774774775</v>
      </c>
      <c r="O383">
        <v>140651471.17117116</v>
      </c>
      <c r="P383">
        <v>171355167.56756756</v>
      </c>
      <c r="Q383">
        <v>53152745.945945941</v>
      </c>
      <c r="R383">
        <v>88088061.261261269</v>
      </c>
      <c r="S383">
        <v>9668</v>
      </c>
      <c r="T383">
        <v>10005</v>
      </c>
    </row>
    <row r="384" spans="1:20" x14ac:dyDescent="0.35">
      <c r="A384" s="7" t="s">
        <v>485</v>
      </c>
      <c r="B384" s="12" t="s">
        <v>51</v>
      </c>
      <c r="C384">
        <v>212046789.49405235</v>
      </c>
      <c r="D384">
        <v>215283315.30648604</v>
      </c>
      <c r="E384">
        <v>3673873.8738738759</v>
      </c>
      <c r="F384">
        <v>3387387.3873873912</v>
      </c>
      <c r="G384">
        <v>56</v>
      </c>
      <c r="H384">
        <v>35</v>
      </c>
      <c r="K384">
        <v>59</v>
      </c>
      <c r="L384">
        <v>39</v>
      </c>
      <c r="M384">
        <v>43367477.477477483</v>
      </c>
      <c r="N384">
        <v>39184234.234234229</v>
      </c>
      <c r="O384">
        <v>93738115.315315306</v>
      </c>
      <c r="P384">
        <v>99180549.54954955</v>
      </c>
      <c r="Q384">
        <v>41876936.936936937</v>
      </c>
      <c r="R384">
        <v>37183153.153153151</v>
      </c>
      <c r="S384">
        <v>3684</v>
      </c>
      <c r="T384">
        <v>4604</v>
      </c>
    </row>
    <row r="385" spans="1:20" x14ac:dyDescent="0.35">
      <c r="A385" s="7" t="s">
        <v>486</v>
      </c>
      <c r="B385" s="12" t="s">
        <v>135</v>
      </c>
      <c r="C385">
        <v>283554981.23799187</v>
      </c>
      <c r="D385">
        <v>282639874.28075236</v>
      </c>
      <c r="E385">
        <v>2864189.1891891882</v>
      </c>
      <c r="F385">
        <v>2018918.9189189209</v>
      </c>
      <c r="G385">
        <v>45</v>
      </c>
      <c r="H385">
        <v>61</v>
      </c>
      <c r="K385">
        <v>46</v>
      </c>
      <c r="L385">
        <v>70</v>
      </c>
      <c r="M385">
        <v>42280180.180180177</v>
      </c>
      <c r="N385">
        <v>42145945.945945941</v>
      </c>
      <c r="O385">
        <v>55013971.171171173</v>
      </c>
      <c r="P385">
        <v>61676090.090090089</v>
      </c>
      <c r="Q385">
        <v>30506846.846846845</v>
      </c>
      <c r="R385">
        <v>34594414.414414413</v>
      </c>
      <c r="S385">
        <v>4725</v>
      </c>
      <c r="T385">
        <v>4753</v>
      </c>
    </row>
    <row r="386" spans="1:20" x14ac:dyDescent="0.35">
      <c r="A386" s="7" t="s">
        <v>487</v>
      </c>
      <c r="B386" s="12" t="s">
        <v>77</v>
      </c>
      <c r="C386">
        <v>61432528.398075633</v>
      </c>
      <c r="D386">
        <v>76548380.789289236</v>
      </c>
      <c r="E386">
        <v>1355855.8558558561</v>
      </c>
      <c r="F386">
        <v>963963.96396396495</v>
      </c>
      <c r="G386">
        <v>18</v>
      </c>
      <c r="H386">
        <v>24</v>
      </c>
      <c r="K386">
        <v>18</v>
      </c>
      <c r="L386">
        <v>26</v>
      </c>
      <c r="M386">
        <v>13431621.621621622</v>
      </c>
      <c r="N386">
        <v>16939639.639639638</v>
      </c>
      <c r="O386">
        <v>23820744.144144144</v>
      </c>
      <c r="P386">
        <v>27819286.486486487</v>
      </c>
      <c r="Q386">
        <v>12582248.648648649</v>
      </c>
      <c r="R386">
        <v>15032655.855855856</v>
      </c>
      <c r="S386">
        <v>1643</v>
      </c>
      <c r="T386">
        <v>1594</v>
      </c>
    </row>
    <row r="387" spans="1:20" x14ac:dyDescent="0.35">
      <c r="A387" s="7" t="s">
        <v>488</v>
      </c>
      <c r="B387" s="12" t="s">
        <v>308</v>
      </c>
      <c r="C387">
        <v>484807919.45402533</v>
      </c>
      <c r="D387">
        <v>483405363.34353924</v>
      </c>
      <c r="E387">
        <v>587052252.25225234</v>
      </c>
      <c r="F387">
        <v>726421891.89189184</v>
      </c>
      <c r="G387">
        <v>121</v>
      </c>
      <c r="H387">
        <v>143</v>
      </c>
      <c r="K387">
        <v>127</v>
      </c>
      <c r="L387">
        <v>165</v>
      </c>
      <c r="M387">
        <v>114884549.54954955</v>
      </c>
      <c r="N387">
        <v>129625090.0900901</v>
      </c>
      <c r="O387">
        <v>205357180.18018019</v>
      </c>
      <c r="P387">
        <v>212451315.31531534</v>
      </c>
      <c r="Q387">
        <v>109607837.83783785</v>
      </c>
      <c r="R387">
        <v>124685090.0900901</v>
      </c>
      <c r="S387">
        <v>13502</v>
      </c>
      <c r="T387">
        <v>11713</v>
      </c>
    </row>
    <row r="388" spans="1:20" x14ac:dyDescent="0.35">
      <c r="A388" s="7" t="s">
        <v>489</v>
      </c>
      <c r="B388" s="12" t="s">
        <v>316</v>
      </c>
      <c r="C388">
        <v>111047993.92015946</v>
      </c>
      <c r="D388">
        <v>106708498.65511899</v>
      </c>
      <c r="E388">
        <v>1481981.9819819811</v>
      </c>
      <c r="F388">
        <v>1058558.558558563</v>
      </c>
      <c r="G388">
        <v>9</v>
      </c>
      <c r="H388">
        <v>7</v>
      </c>
      <c r="K388">
        <v>10</v>
      </c>
      <c r="L388">
        <v>7</v>
      </c>
      <c r="M388">
        <v>49134144.144144148</v>
      </c>
      <c r="N388">
        <v>64970360.360360362</v>
      </c>
      <c r="O388">
        <v>47888909.909909911</v>
      </c>
      <c r="P388">
        <v>43693612.612612605</v>
      </c>
      <c r="Q388">
        <v>44881261.261261255</v>
      </c>
      <c r="R388">
        <v>67218198.198198199</v>
      </c>
      <c r="S388">
        <v>1662</v>
      </c>
      <c r="T388">
        <v>1817</v>
      </c>
    </row>
    <row r="389" spans="1:20" x14ac:dyDescent="0.35">
      <c r="A389" s="7" t="s">
        <v>490</v>
      </c>
      <c r="B389" s="12" t="s">
        <v>182</v>
      </c>
      <c r="C389">
        <v>256607541.92711607</v>
      </c>
      <c r="D389">
        <v>264867909.24448127</v>
      </c>
      <c r="E389">
        <v>1504054.0540540549</v>
      </c>
      <c r="F389">
        <v>2804954.9549549529</v>
      </c>
      <c r="G389">
        <v>137</v>
      </c>
      <c r="H389">
        <v>100</v>
      </c>
      <c r="I389">
        <v>1</v>
      </c>
      <c r="K389">
        <v>177</v>
      </c>
      <c r="L389">
        <v>124</v>
      </c>
      <c r="M389">
        <v>25501441.441441439</v>
      </c>
      <c r="N389">
        <v>36539909.909909911</v>
      </c>
      <c r="O389">
        <v>75320072.072072059</v>
      </c>
      <c r="P389">
        <v>84974917.117117122</v>
      </c>
      <c r="Q389">
        <v>26574864.864864863</v>
      </c>
      <c r="R389">
        <v>36055225.225225225</v>
      </c>
      <c r="S389">
        <v>7328</v>
      </c>
      <c r="T389">
        <v>6747</v>
      </c>
    </row>
    <row r="390" spans="1:20" x14ac:dyDescent="0.35">
      <c r="A390" s="7" t="s">
        <v>491</v>
      </c>
      <c r="B390" s="12" t="s">
        <v>221</v>
      </c>
      <c r="C390">
        <v>149879509.51512566</v>
      </c>
      <c r="D390">
        <v>149867306.95171183</v>
      </c>
      <c r="E390">
        <v>464320783.78378379</v>
      </c>
      <c r="F390">
        <v>296876179.27927929</v>
      </c>
      <c r="G390">
        <v>51</v>
      </c>
      <c r="H390">
        <v>53</v>
      </c>
      <c r="K390">
        <v>58</v>
      </c>
      <c r="L390">
        <v>81</v>
      </c>
      <c r="M390">
        <v>22273333.333333332</v>
      </c>
      <c r="N390">
        <v>14555762.162162164</v>
      </c>
      <c r="O390">
        <v>36968421.621621624</v>
      </c>
      <c r="P390">
        <v>40397610.810810804</v>
      </c>
      <c r="Q390">
        <v>1726756.7567567569</v>
      </c>
      <c r="R390">
        <v>865855.85585585702</v>
      </c>
      <c r="S390">
        <v>4194</v>
      </c>
      <c r="T390">
        <v>4010</v>
      </c>
    </row>
    <row r="391" spans="1:20" x14ac:dyDescent="0.35">
      <c r="A391" s="7" t="s">
        <v>492</v>
      </c>
      <c r="B391" s="12" t="s">
        <v>221</v>
      </c>
      <c r="C391">
        <v>50303098.241561361</v>
      </c>
      <c r="D391">
        <v>36895060.441652343</v>
      </c>
      <c r="E391">
        <v>492792.79279279301</v>
      </c>
      <c r="F391">
        <v>90090.090090091006</v>
      </c>
      <c r="G391">
        <v>27</v>
      </c>
      <c r="H391">
        <v>11</v>
      </c>
      <c r="I391">
        <v>1</v>
      </c>
      <c r="K391">
        <v>29</v>
      </c>
      <c r="L391">
        <v>12</v>
      </c>
      <c r="M391">
        <v>15706756.756756758</v>
      </c>
      <c r="N391">
        <v>11432432.432432432</v>
      </c>
      <c r="O391">
        <v>14686972.972972972</v>
      </c>
      <c r="P391">
        <v>13599989.18918919</v>
      </c>
      <c r="Q391">
        <v>15420810.810810812</v>
      </c>
      <c r="R391">
        <v>11431981.981981983</v>
      </c>
      <c r="S391">
        <v>1327</v>
      </c>
      <c r="T391">
        <v>1122</v>
      </c>
    </row>
    <row r="392" spans="1:20" x14ac:dyDescent="0.35">
      <c r="A392" s="7" t="s">
        <v>493</v>
      </c>
      <c r="B392" s="12" t="s">
        <v>61</v>
      </c>
      <c r="C392">
        <v>170836532.46790713</v>
      </c>
      <c r="D392">
        <v>177286043.18144768</v>
      </c>
      <c r="E392">
        <v>2889189.1891891952</v>
      </c>
      <c r="F392">
        <v>3258558.5585585628</v>
      </c>
      <c r="G392">
        <v>44</v>
      </c>
      <c r="H392">
        <v>20</v>
      </c>
      <c r="K392">
        <v>88</v>
      </c>
      <c r="L392">
        <v>30</v>
      </c>
      <c r="M392">
        <v>36100630.630630635</v>
      </c>
      <c r="N392">
        <v>35301351.351351351</v>
      </c>
      <c r="O392">
        <v>76847792.792792797</v>
      </c>
      <c r="P392">
        <v>82197279.279279277</v>
      </c>
      <c r="Q392">
        <v>32949189.189189188</v>
      </c>
      <c r="R392">
        <v>33863783.783783779</v>
      </c>
      <c r="S392">
        <v>3799</v>
      </c>
      <c r="T392">
        <v>3701</v>
      </c>
    </row>
    <row r="393" spans="1:20" x14ac:dyDescent="0.35">
      <c r="A393" s="7" t="s">
        <v>494</v>
      </c>
      <c r="B393" s="12" t="s">
        <v>449</v>
      </c>
      <c r="C393">
        <v>206331161.12914923</v>
      </c>
      <c r="D393">
        <v>199504997.95996293</v>
      </c>
      <c r="E393">
        <v>738738.73873874103</v>
      </c>
      <c r="F393">
        <v>3536936.9369369382</v>
      </c>
      <c r="G393">
        <v>128</v>
      </c>
      <c r="H393">
        <v>95</v>
      </c>
      <c r="K393">
        <v>208</v>
      </c>
      <c r="L393">
        <v>159</v>
      </c>
      <c r="M393">
        <v>24718018.018018015</v>
      </c>
      <c r="N393">
        <v>38448873.873873875</v>
      </c>
      <c r="O393">
        <v>74095486.48648648</v>
      </c>
      <c r="P393">
        <v>78700405.405405402</v>
      </c>
      <c r="Q393">
        <v>23657567.567567568</v>
      </c>
      <c r="R393">
        <v>38868468.468468472</v>
      </c>
      <c r="S393">
        <v>5412</v>
      </c>
      <c r="T393">
        <v>4996</v>
      </c>
    </row>
    <row r="394" spans="1:20" x14ac:dyDescent="0.35">
      <c r="A394" s="7" t="s">
        <v>7</v>
      </c>
      <c r="B394" s="12" t="s">
        <v>194</v>
      </c>
      <c r="C394">
        <v>174375067.95789215</v>
      </c>
      <c r="D394">
        <v>170662560.2826305</v>
      </c>
      <c r="E394">
        <v>435135.13513513602</v>
      </c>
      <c r="F394">
        <v>363963.96396396402</v>
      </c>
      <c r="G394">
        <v>49</v>
      </c>
      <c r="H394">
        <v>51</v>
      </c>
      <c r="K394">
        <v>58</v>
      </c>
      <c r="L394">
        <v>57</v>
      </c>
      <c r="M394">
        <v>38847297.297297299</v>
      </c>
      <c r="N394">
        <v>51640540.540540539</v>
      </c>
      <c r="O394">
        <v>121485504.50450452</v>
      </c>
      <c r="P394">
        <v>114250171.17117117</v>
      </c>
      <c r="Q394">
        <v>36136396.396396399</v>
      </c>
      <c r="R394">
        <v>52073063.063063063</v>
      </c>
      <c r="S394">
        <v>5080</v>
      </c>
      <c r="T394">
        <v>4686</v>
      </c>
    </row>
    <row r="395" spans="1:20" x14ac:dyDescent="0.35">
      <c r="A395" s="7" t="s">
        <v>495</v>
      </c>
      <c r="B395" s="12" t="s">
        <v>331</v>
      </c>
      <c r="C395">
        <v>200554811.28434634</v>
      </c>
      <c r="D395">
        <v>200211669.43400958</v>
      </c>
      <c r="E395">
        <v>831531.53153153101</v>
      </c>
      <c r="F395">
        <v>222522.522522524</v>
      </c>
      <c r="G395">
        <v>93</v>
      </c>
      <c r="H395">
        <v>99</v>
      </c>
      <c r="K395">
        <v>161</v>
      </c>
      <c r="L395">
        <v>119</v>
      </c>
      <c r="M395">
        <v>12666126.126126127</v>
      </c>
      <c r="N395">
        <v>12013873.873873875</v>
      </c>
      <c r="O395">
        <v>49465747.747747742</v>
      </c>
      <c r="P395">
        <v>52213162.162162162</v>
      </c>
      <c r="Q395">
        <v>11407207.207207205</v>
      </c>
      <c r="R395">
        <v>10858378.378378378</v>
      </c>
      <c r="S395">
        <v>7093</v>
      </c>
      <c r="T395">
        <v>6001</v>
      </c>
    </row>
    <row r="396" spans="1:20" x14ac:dyDescent="0.35">
      <c r="A396" s="7" t="s">
        <v>496</v>
      </c>
      <c r="B396" s="12" t="s">
        <v>331</v>
      </c>
      <c r="C396">
        <v>338457905.43690056</v>
      </c>
      <c r="D396">
        <v>341856173.72547144</v>
      </c>
      <c r="E396">
        <v>3409459.4594594599</v>
      </c>
      <c r="F396">
        <v>818011441.44144142</v>
      </c>
      <c r="G396">
        <v>139</v>
      </c>
      <c r="H396">
        <v>131</v>
      </c>
      <c r="K396">
        <v>157</v>
      </c>
      <c r="L396">
        <v>172</v>
      </c>
      <c r="M396">
        <v>20075180.180180185</v>
      </c>
      <c r="N396">
        <v>18115180.180180181</v>
      </c>
      <c r="O396">
        <v>77914509.009009004</v>
      </c>
      <c r="P396">
        <v>83252639.639639646</v>
      </c>
      <c r="Q396">
        <v>18367027.02702703</v>
      </c>
      <c r="R396">
        <v>18840090.090090096</v>
      </c>
      <c r="S396">
        <v>8254</v>
      </c>
      <c r="T396">
        <v>6980</v>
      </c>
    </row>
    <row r="397" spans="1:20" x14ac:dyDescent="0.35">
      <c r="A397" s="7" t="s">
        <v>497</v>
      </c>
      <c r="B397" s="12" t="s">
        <v>331</v>
      </c>
      <c r="C397">
        <v>341317912.19297904</v>
      </c>
      <c r="D397">
        <v>313156821.45289052</v>
      </c>
      <c r="E397">
        <v>6250000</v>
      </c>
      <c r="F397">
        <v>3081981.9819819862</v>
      </c>
      <c r="G397">
        <v>163</v>
      </c>
      <c r="H397">
        <v>167</v>
      </c>
      <c r="K397">
        <v>231</v>
      </c>
      <c r="L397">
        <v>210</v>
      </c>
      <c r="M397">
        <v>43770990.990990989</v>
      </c>
      <c r="N397">
        <v>39920360.360360362</v>
      </c>
      <c r="O397">
        <v>76227045.045045033</v>
      </c>
      <c r="P397">
        <v>76364855.855855852</v>
      </c>
      <c r="Q397">
        <v>40601891.891891897</v>
      </c>
      <c r="R397">
        <v>40852072.072072074</v>
      </c>
      <c r="S397">
        <v>10081</v>
      </c>
      <c r="T397">
        <v>8063</v>
      </c>
    </row>
    <row r="398" spans="1:20" x14ac:dyDescent="0.35">
      <c r="A398" s="7" t="s">
        <v>498</v>
      </c>
      <c r="B398" s="12" t="s">
        <v>331</v>
      </c>
      <c r="C398">
        <v>1413056442.7678227</v>
      </c>
      <c r="D398">
        <v>1234867871.1214359</v>
      </c>
      <c r="E398">
        <v>1337566389.1891892</v>
      </c>
      <c r="F398">
        <v>15959221.621621635</v>
      </c>
      <c r="G398">
        <v>799</v>
      </c>
      <c r="H398">
        <v>625</v>
      </c>
      <c r="K398">
        <v>1777</v>
      </c>
      <c r="L398">
        <v>751</v>
      </c>
      <c r="M398">
        <v>627700510.8108108</v>
      </c>
      <c r="N398">
        <v>432774987.38738739</v>
      </c>
      <c r="O398">
        <v>397030783.78378379</v>
      </c>
      <c r="P398">
        <v>266180252.25225225</v>
      </c>
      <c r="Q398">
        <v>225900630.63063061</v>
      </c>
      <c r="R398">
        <v>356290090.0900901</v>
      </c>
      <c r="S398">
        <v>31902</v>
      </c>
      <c r="T398">
        <v>26574</v>
      </c>
    </row>
    <row r="399" spans="1:20" x14ac:dyDescent="0.35">
      <c r="A399" s="7" t="s">
        <v>499</v>
      </c>
      <c r="B399" s="12" t="s">
        <v>331</v>
      </c>
      <c r="C399">
        <v>1082970438.1702878</v>
      </c>
      <c r="D399">
        <v>1010742677.8910024</v>
      </c>
      <c r="E399">
        <v>13804504.504504509</v>
      </c>
      <c r="F399">
        <v>4366666.6666666791</v>
      </c>
      <c r="G399">
        <v>397</v>
      </c>
      <c r="H399">
        <v>425</v>
      </c>
      <c r="I399">
        <v>1</v>
      </c>
      <c r="K399">
        <v>541</v>
      </c>
      <c r="L399">
        <v>517</v>
      </c>
      <c r="M399">
        <v>247057117.11711711</v>
      </c>
      <c r="N399">
        <v>126382612.61261261</v>
      </c>
      <c r="O399">
        <v>314541281.53153151</v>
      </c>
      <c r="P399">
        <v>269950154.95495492</v>
      </c>
      <c r="Q399">
        <v>239877747.74774775</v>
      </c>
      <c r="R399">
        <v>129516396.3963964</v>
      </c>
      <c r="S399">
        <v>28465</v>
      </c>
      <c r="T399">
        <v>27593</v>
      </c>
    </row>
    <row r="400" spans="1:20" x14ac:dyDescent="0.35">
      <c r="A400" s="7" t="s">
        <v>500</v>
      </c>
      <c r="B400" s="12" t="s">
        <v>144</v>
      </c>
      <c r="C400">
        <v>446205081.8126843</v>
      </c>
      <c r="D400">
        <v>450683917.88166004</v>
      </c>
      <c r="E400">
        <v>39196621.621621624</v>
      </c>
      <c r="F400">
        <v>25265765.765765771</v>
      </c>
      <c r="G400">
        <v>131</v>
      </c>
      <c r="H400">
        <v>77</v>
      </c>
      <c r="K400">
        <v>143</v>
      </c>
      <c r="L400">
        <v>95</v>
      </c>
      <c r="M400">
        <v>41746846.846846849</v>
      </c>
      <c r="N400">
        <v>40709909.909909911</v>
      </c>
      <c r="O400">
        <v>68179565.765765771</v>
      </c>
      <c r="P400">
        <v>82247225.22522521</v>
      </c>
      <c r="Q400">
        <v>26364054.054054052</v>
      </c>
      <c r="R400">
        <v>30401801.801801801</v>
      </c>
      <c r="S400">
        <v>7993</v>
      </c>
      <c r="T400">
        <v>8180</v>
      </c>
    </row>
    <row r="401" spans="1:20" x14ac:dyDescent="0.35">
      <c r="A401" s="7" t="s">
        <v>501</v>
      </c>
      <c r="B401" s="12" t="s">
        <v>221</v>
      </c>
      <c r="C401">
        <v>524924718.70993292</v>
      </c>
      <c r="D401">
        <v>549692714.28387213</v>
      </c>
      <c r="E401">
        <v>5619144.1441441486</v>
      </c>
      <c r="F401">
        <v>13051351.351351356</v>
      </c>
      <c r="G401">
        <v>230</v>
      </c>
      <c r="H401">
        <v>272</v>
      </c>
      <c r="I401">
        <v>2</v>
      </c>
      <c r="K401">
        <v>291</v>
      </c>
      <c r="L401">
        <v>389</v>
      </c>
      <c r="M401">
        <v>178647297.2972973</v>
      </c>
      <c r="N401">
        <v>324739729.72972971</v>
      </c>
      <c r="O401">
        <v>161981346.84684685</v>
      </c>
      <c r="P401">
        <v>174495549.54954955</v>
      </c>
      <c r="Q401">
        <v>179864774.77477479</v>
      </c>
      <c r="R401">
        <v>308996756.75675672</v>
      </c>
      <c r="S401">
        <v>16200</v>
      </c>
      <c r="T401">
        <v>12218</v>
      </c>
    </row>
    <row r="402" spans="1:20" x14ac:dyDescent="0.35">
      <c r="A402" s="7" t="s">
        <v>502</v>
      </c>
      <c r="B402" s="12" t="s">
        <v>398</v>
      </c>
      <c r="C402">
        <v>1481803136.9266098</v>
      </c>
      <c r="D402">
        <v>1510602448.2778611</v>
      </c>
      <c r="E402">
        <v>263343152.25225225</v>
      </c>
      <c r="F402">
        <v>333401302.7027027</v>
      </c>
      <c r="G402">
        <v>453</v>
      </c>
      <c r="H402">
        <v>389</v>
      </c>
      <c r="K402">
        <v>563</v>
      </c>
      <c r="L402">
        <v>507</v>
      </c>
      <c r="M402">
        <v>170355180.18018019</v>
      </c>
      <c r="N402">
        <v>196129819.81981981</v>
      </c>
      <c r="O402">
        <v>313811708.1081081</v>
      </c>
      <c r="P402">
        <v>337668904.5045045</v>
      </c>
      <c r="Q402">
        <v>156309234.23423424</v>
      </c>
      <c r="R402">
        <v>173163243.24324322</v>
      </c>
      <c r="S402">
        <v>27455</v>
      </c>
      <c r="T402">
        <v>27358</v>
      </c>
    </row>
    <row r="403" spans="1:20" x14ac:dyDescent="0.35">
      <c r="A403" s="7" t="s">
        <v>503</v>
      </c>
      <c r="B403" s="12" t="s">
        <v>71</v>
      </c>
      <c r="C403">
        <v>22964811.211217806</v>
      </c>
      <c r="D403">
        <v>23556046.718175415</v>
      </c>
      <c r="E403">
        <v>242342.34234234301</v>
      </c>
      <c r="F403">
        <v>1323423.423423423</v>
      </c>
      <c r="G403">
        <v>10</v>
      </c>
      <c r="H403">
        <v>8</v>
      </c>
      <c r="K403">
        <v>10</v>
      </c>
      <c r="L403">
        <v>9</v>
      </c>
      <c r="M403">
        <v>1101801.801801801</v>
      </c>
      <c r="N403">
        <v>4458558.558558559</v>
      </c>
      <c r="O403">
        <v>16291927.927927928</v>
      </c>
      <c r="P403">
        <v>18279369.369369369</v>
      </c>
      <c r="Q403">
        <v>907027.02702702605</v>
      </c>
      <c r="R403">
        <v>3186396.3963963971</v>
      </c>
      <c r="S403">
        <v>605</v>
      </c>
      <c r="T403">
        <v>729</v>
      </c>
    </row>
    <row r="404" spans="1:20" x14ac:dyDescent="0.35">
      <c r="A404" s="7" t="s">
        <v>504</v>
      </c>
      <c r="B404" s="12" t="s">
        <v>331</v>
      </c>
      <c r="C404">
        <v>624750549.6153301</v>
      </c>
      <c r="D404">
        <v>616795676.53889787</v>
      </c>
      <c r="E404">
        <v>5920945.9459459474</v>
      </c>
      <c r="F404">
        <v>4672072.0720720775</v>
      </c>
      <c r="G404">
        <v>219</v>
      </c>
      <c r="H404">
        <v>199</v>
      </c>
      <c r="K404">
        <v>338</v>
      </c>
      <c r="L404">
        <v>231</v>
      </c>
      <c r="M404">
        <v>72454054.054054052</v>
      </c>
      <c r="N404">
        <v>80436036.036036029</v>
      </c>
      <c r="O404">
        <v>195601849.0990991</v>
      </c>
      <c r="P404">
        <v>163999412.61261261</v>
      </c>
      <c r="Q404">
        <v>73015225.225225225</v>
      </c>
      <c r="R404">
        <v>84655405.405405402</v>
      </c>
      <c r="S404">
        <v>17199</v>
      </c>
      <c r="T404">
        <v>16489</v>
      </c>
    </row>
    <row r="405" spans="1:20" x14ac:dyDescent="0.35">
      <c r="A405" s="7" t="s">
        <v>505</v>
      </c>
      <c r="B405" s="12" t="s">
        <v>284</v>
      </c>
      <c r="C405">
        <v>191220283.22220197</v>
      </c>
      <c r="D405">
        <v>194185686.34059834</v>
      </c>
      <c r="E405">
        <v>336036.03603603598</v>
      </c>
      <c r="F405">
        <v>1800900.900900902</v>
      </c>
      <c r="G405">
        <v>36</v>
      </c>
      <c r="H405">
        <v>12</v>
      </c>
      <c r="K405">
        <v>37</v>
      </c>
      <c r="L405">
        <v>18</v>
      </c>
      <c r="M405">
        <v>14588288.288288288</v>
      </c>
      <c r="N405">
        <v>16296396.396396397</v>
      </c>
      <c r="O405">
        <v>33177864.864864863</v>
      </c>
      <c r="P405">
        <v>37991576.576576576</v>
      </c>
      <c r="Q405">
        <v>13976486.486486485</v>
      </c>
      <c r="R405">
        <v>13973153.153153151</v>
      </c>
      <c r="S405">
        <v>3136</v>
      </c>
      <c r="T405">
        <v>2893</v>
      </c>
    </row>
    <row r="406" spans="1:20" x14ac:dyDescent="0.35">
      <c r="A406" s="7" t="s">
        <v>506</v>
      </c>
      <c r="B406" s="12" t="s">
        <v>261</v>
      </c>
      <c r="C406">
        <v>117732406.64817485</v>
      </c>
      <c r="D406">
        <v>130037633.09077904</v>
      </c>
      <c r="E406">
        <v>107207.207207207</v>
      </c>
      <c r="F406">
        <v>13513.513513514001</v>
      </c>
      <c r="G406">
        <v>6</v>
      </c>
      <c r="H406">
        <v>12</v>
      </c>
      <c r="K406">
        <v>8</v>
      </c>
      <c r="L406">
        <v>16</v>
      </c>
      <c r="M406">
        <v>2039639.6396396409</v>
      </c>
      <c r="N406">
        <v>2716216.2162162168</v>
      </c>
      <c r="O406">
        <v>26188000</v>
      </c>
      <c r="P406">
        <v>36296781.981981985</v>
      </c>
      <c r="Q406">
        <v>2305945.945945947</v>
      </c>
      <c r="R406">
        <v>3436036.036036036</v>
      </c>
      <c r="S406">
        <v>2267</v>
      </c>
      <c r="T406">
        <v>2240</v>
      </c>
    </row>
    <row r="407" spans="1:20" x14ac:dyDescent="0.35">
      <c r="A407" s="7" t="s">
        <v>507</v>
      </c>
      <c r="B407" s="12" t="s">
        <v>237</v>
      </c>
      <c r="C407">
        <v>288256327.37899208</v>
      </c>
      <c r="D407">
        <v>280496010.53953534</v>
      </c>
      <c r="E407">
        <v>2833783.7837837832</v>
      </c>
      <c r="F407">
        <v>3083333.3333333428</v>
      </c>
      <c r="G407">
        <v>40</v>
      </c>
      <c r="H407">
        <v>112</v>
      </c>
      <c r="I407">
        <v>1</v>
      </c>
      <c r="K407">
        <v>144</v>
      </c>
      <c r="L407">
        <v>159</v>
      </c>
      <c r="M407">
        <v>68375090.090090081</v>
      </c>
      <c r="N407">
        <v>52318918.918918923</v>
      </c>
      <c r="O407">
        <v>65140815.315315314</v>
      </c>
      <c r="P407">
        <v>67824396.396396399</v>
      </c>
      <c r="Q407">
        <v>63016621.621621624</v>
      </c>
      <c r="R407">
        <v>50307297.297297299</v>
      </c>
      <c r="S407">
        <v>4953</v>
      </c>
      <c r="T407">
        <v>4553</v>
      </c>
    </row>
    <row r="408" spans="1:20" x14ac:dyDescent="0.35">
      <c r="A408" s="7" t="s">
        <v>508</v>
      </c>
      <c r="B408" s="12" t="s">
        <v>135</v>
      </c>
      <c r="C408">
        <v>34116011.511576094</v>
      </c>
      <c r="D408">
        <v>49133559.316943243</v>
      </c>
      <c r="G408">
        <v>2</v>
      </c>
      <c r="H408">
        <v>2</v>
      </c>
      <c r="K408">
        <v>2</v>
      </c>
      <c r="L408">
        <v>3</v>
      </c>
      <c r="O408">
        <v>5971162.1621621624</v>
      </c>
      <c r="P408">
        <v>8781963.9639639631</v>
      </c>
      <c r="S408">
        <v>1313</v>
      </c>
      <c r="T408">
        <v>1189</v>
      </c>
    </row>
    <row r="409" spans="1:20" x14ac:dyDescent="0.35">
      <c r="A409" s="7" t="s">
        <v>509</v>
      </c>
      <c r="B409" s="12" t="s">
        <v>398</v>
      </c>
      <c r="C409">
        <v>301916089.46537012</v>
      </c>
      <c r="D409">
        <v>308668239.57008719</v>
      </c>
      <c r="E409">
        <v>1695045.0450450459</v>
      </c>
      <c r="F409">
        <v>1066666.6666666679</v>
      </c>
      <c r="G409">
        <v>55</v>
      </c>
      <c r="H409">
        <v>57</v>
      </c>
      <c r="K409">
        <v>80</v>
      </c>
      <c r="L409">
        <v>71</v>
      </c>
      <c r="M409">
        <v>34035585.585585587</v>
      </c>
      <c r="N409">
        <v>30819819.819819819</v>
      </c>
      <c r="O409">
        <v>45550855.855855852</v>
      </c>
      <c r="P409">
        <v>47582846.846846849</v>
      </c>
      <c r="Q409">
        <v>33012522.522522524</v>
      </c>
      <c r="R409">
        <v>29009819.819819819</v>
      </c>
      <c r="S409">
        <v>4572</v>
      </c>
      <c r="T409">
        <v>4417</v>
      </c>
    </row>
    <row r="410" spans="1:20" x14ac:dyDescent="0.35">
      <c r="A410" s="7" t="s">
        <v>510</v>
      </c>
      <c r="B410" s="12" t="s">
        <v>135</v>
      </c>
      <c r="C410">
        <v>333309156.20526391</v>
      </c>
      <c r="D410">
        <v>353834992.22555315</v>
      </c>
      <c r="E410">
        <v>293349228.82882881</v>
      </c>
      <c r="F410">
        <v>318917937.83783782</v>
      </c>
      <c r="G410">
        <v>72</v>
      </c>
      <c r="H410">
        <v>77</v>
      </c>
      <c r="K410">
        <v>81</v>
      </c>
      <c r="L410">
        <v>82</v>
      </c>
      <c r="M410">
        <v>79105405.405405402</v>
      </c>
      <c r="N410">
        <v>80879925.22522521</v>
      </c>
      <c r="O410">
        <v>53780259.009009011</v>
      </c>
      <c r="P410">
        <v>61187504.504504502</v>
      </c>
      <c r="Q410">
        <v>26567837.837837838</v>
      </c>
      <c r="R410">
        <v>29312882.882882878</v>
      </c>
      <c r="S410">
        <v>5565</v>
      </c>
      <c r="T410">
        <v>5523</v>
      </c>
    </row>
    <row r="411" spans="1:20" x14ac:dyDescent="0.35">
      <c r="A411" s="7" t="s">
        <v>511</v>
      </c>
      <c r="B411" s="12" t="s">
        <v>135</v>
      </c>
      <c r="C411">
        <v>919385302.18997085</v>
      </c>
      <c r="D411">
        <v>947420649.28021085</v>
      </c>
      <c r="E411">
        <v>5832657.6576576652</v>
      </c>
      <c r="F411">
        <v>8263963.9639639696</v>
      </c>
      <c r="G411">
        <v>170</v>
      </c>
      <c r="H411">
        <v>189</v>
      </c>
      <c r="K411">
        <v>216</v>
      </c>
      <c r="L411">
        <v>292</v>
      </c>
      <c r="M411">
        <v>75199099.0990991</v>
      </c>
      <c r="N411">
        <v>86720720.720720723</v>
      </c>
      <c r="O411">
        <v>96203846.846846849</v>
      </c>
      <c r="P411">
        <v>109040117.11711712</v>
      </c>
      <c r="Q411">
        <v>72225315.315315306</v>
      </c>
      <c r="R411">
        <v>78430180.180180177</v>
      </c>
      <c r="S411">
        <v>18075</v>
      </c>
      <c r="T411">
        <v>16665</v>
      </c>
    </row>
    <row r="412" spans="1:20" x14ac:dyDescent="0.35">
      <c r="A412" s="7" t="s">
        <v>8</v>
      </c>
      <c r="B412" s="12" t="s">
        <v>159</v>
      </c>
      <c r="C412">
        <v>242154147.6667397</v>
      </c>
      <c r="D412">
        <v>244607090.38995349</v>
      </c>
      <c r="E412">
        <v>4654954.9549549557</v>
      </c>
      <c r="F412">
        <v>4813513.5135135157</v>
      </c>
      <c r="G412">
        <v>21</v>
      </c>
      <c r="H412">
        <v>53</v>
      </c>
      <c r="K412">
        <v>23</v>
      </c>
      <c r="L412">
        <v>54</v>
      </c>
      <c r="M412">
        <v>42820720.720720723</v>
      </c>
      <c r="N412">
        <v>45877927.927927926</v>
      </c>
      <c r="O412">
        <v>71488396.396396399</v>
      </c>
      <c r="P412">
        <v>73688090.090090096</v>
      </c>
      <c r="Q412">
        <v>39952522.522522517</v>
      </c>
      <c r="R412">
        <v>41827837.837837838</v>
      </c>
      <c r="S412">
        <v>4207</v>
      </c>
      <c r="T412">
        <v>3644</v>
      </c>
    </row>
    <row r="413" spans="1:20" x14ac:dyDescent="0.35">
      <c r="A413" s="7" t="s">
        <v>512</v>
      </c>
      <c r="B413" s="12" t="s">
        <v>135</v>
      </c>
      <c r="C413">
        <v>177657206.28827357</v>
      </c>
      <c r="D413">
        <v>203354494.60641596</v>
      </c>
      <c r="E413">
        <v>743243.24324324296</v>
      </c>
      <c r="F413">
        <v>747747.74774774897</v>
      </c>
      <c r="G413">
        <v>13</v>
      </c>
      <c r="H413">
        <v>1</v>
      </c>
      <c r="K413">
        <v>15</v>
      </c>
      <c r="L413">
        <v>2</v>
      </c>
      <c r="M413">
        <v>6148648.6486486495</v>
      </c>
      <c r="N413">
        <v>14261261.261261262</v>
      </c>
      <c r="O413">
        <v>24539432.432432432</v>
      </c>
      <c r="P413">
        <v>30221144.144144144</v>
      </c>
      <c r="Q413">
        <v>4919459.4594594603</v>
      </c>
      <c r="R413">
        <v>6254594.594594596</v>
      </c>
      <c r="S413">
        <v>4010</v>
      </c>
      <c r="T413">
        <v>4014</v>
      </c>
    </row>
    <row r="414" spans="1:20" x14ac:dyDescent="0.35">
      <c r="A414" s="7" t="s">
        <v>513</v>
      </c>
      <c r="B414" s="12" t="s">
        <v>63</v>
      </c>
      <c r="C414">
        <v>774077960.85110509</v>
      </c>
      <c r="D414">
        <v>758442629.34324813</v>
      </c>
      <c r="E414">
        <v>5298198.1981982039</v>
      </c>
      <c r="F414">
        <v>5409009.009009012</v>
      </c>
      <c r="G414">
        <v>184</v>
      </c>
      <c r="H414">
        <v>125</v>
      </c>
      <c r="K414">
        <v>250</v>
      </c>
      <c r="L414">
        <v>228</v>
      </c>
      <c r="M414">
        <v>111851981.98198198</v>
      </c>
      <c r="N414">
        <v>54770810.810810804</v>
      </c>
      <c r="O414">
        <v>160411136.03603604</v>
      </c>
      <c r="P414">
        <v>168173237.83783782</v>
      </c>
      <c r="Q414">
        <v>110399639.63963965</v>
      </c>
      <c r="R414">
        <v>61145718.918918915</v>
      </c>
      <c r="S414">
        <v>15043</v>
      </c>
      <c r="T414">
        <v>14495</v>
      </c>
    </row>
    <row r="415" spans="1:20" x14ac:dyDescent="0.35">
      <c r="A415" s="7" t="s">
        <v>514</v>
      </c>
      <c r="B415" s="12" t="s">
        <v>118</v>
      </c>
      <c r="C415">
        <v>79536926.154261455</v>
      </c>
      <c r="D415">
        <v>70300884.285061374</v>
      </c>
      <c r="E415">
        <v>302702.70270270301</v>
      </c>
      <c r="F415">
        <v>1689189.189189191</v>
      </c>
      <c r="G415">
        <v>33</v>
      </c>
      <c r="H415">
        <v>36</v>
      </c>
      <c r="K415">
        <v>33</v>
      </c>
      <c r="L415">
        <v>38</v>
      </c>
      <c r="M415">
        <v>3747117.1171171172</v>
      </c>
      <c r="N415">
        <v>5806531.5315315332</v>
      </c>
      <c r="O415">
        <v>34570288.288288288</v>
      </c>
      <c r="P415">
        <v>32137684.684684683</v>
      </c>
      <c r="Q415">
        <v>3123963.963963965</v>
      </c>
      <c r="R415">
        <v>5184549.5495495489</v>
      </c>
      <c r="S415">
        <v>2043</v>
      </c>
      <c r="T415">
        <v>1959</v>
      </c>
    </row>
    <row r="416" spans="1:20" x14ac:dyDescent="0.35">
      <c r="A416" s="7" t="s">
        <v>515</v>
      </c>
      <c r="B416" s="12" t="s">
        <v>305</v>
      </c>
      <c r="C416">
        <v>144103150.63218433</v>
      </c>
      <c r="D416">
        <v>138268239.72964269</v>
      </c>
      <c r="E416">
        <v>8946846.8468468469</v>
      </c>
      <c r="F416">
        <v>27824324.324324325</v>
      </c>
      <c r="G416">
        <v>77</v>
      </c>
      <c r="H416">
        <v>82</v>
      </c>
      <c r="I416">
        <v>2</v>
      </c>
      <c r="K416">
        <v>79</v>
      </c>
      <c r="L416">
        <v>88</v>
      </c>
      <c r="M416">
        <v>12230630.630630633</v>
      </c>
      <c r="N416">
        <v>6300900.9009009013</v>
      </c>
      <c r="O416">
        <v>14458423.423423424</v>
      </c>
      <c r="P416">
        <v>15646513.513513515</v>
      </c>
      <c r="Q416">
        <v>11783423.423423424</v>
      </c>
      <c r="R416">
        <v>5795405.4054054068</v>
      </c>
      <c r="S416">
        <v>1761</v>
      </c>
      <c r="T416">
        <v>1391</v>
      </c>
    </row>
    <row r="417" spans="1:20" x14ac:dyDescent="0.35">
      <c r="A417" s="7" t="s">
        <v>516</v>
      </c>
      <c r="B417" s="12" t="s">
        <v>305</v>
      </c>
      <c r="C417">
        <v>39881839.611576222</v>
      </c>
      <c r="D417">
        <v>45980078.596011959</v>
      </c>
      <c r="E417">
        <v>442342.34234234202</v>
      </c>
      <c r="F417">
        <v>391891.89189189498</v>
      </c>
      <c r="G417">
        <v>10</v>
      </c>
      <c r="H417">
        <v>11</v>
      </c>
      <c r="K417">
        <v>10</v>
      </c>
      <c r="L417">
        <v>11</v>
      </c>
      <c r="M417">
        <v>4493693.6936936928</v>
      </c>
      <c r="N417">
        <v>6797297.2972972989</v>
      </c>
      <c r="O417">
        <v>5824153.1531531541</v>
      </c>
      <c r="P417">
        <v>7342693.6936936937</v>
      </c>
      <c r="Q417">
        <v>3433063.0630630618</v>
      </c>
      <c r="R417">
        <v>5245405.405405404</v>
      </c>
      <c r="S417">
        <v>765</v>
      </c>
      <c r="T417">
        <v>336</v>
      </c>
    </row>
    <row r="418" spans="1:20" x14ac:dyDescent="0.35">
      <c r="A418" s="7" t="s">
        <v>517</v>
      </c>
      <c r="B418" s="12" t="s">
        <v>305</v>
      </c>
      <c r="C418">
        <v>84713251.333214208</v>
      </c>
      <c r="D418">
        <v>87379605.273567602</v>
      </c>
      <c r="E418">
        <v>754954.95495495305</v>
      </c>
      <c r="F418">
        <v>270270.27027027402</v>
      </c>
      <c r="G418">
        <v>40</v>
      </c>
      <c r="H418">
        <v>26</v>
      </c>
      <c r="K418">
        <v>45</v>
      </c>
      <c r="L418">
        <v>41</v>
      </c>
      <c r="M418">
        <v>4923423.4234234244</v>
      </c>
      <c r="N418">
        <v>6990990.9909909926</v>
      </c>
      <c r="O418">
        <v>13056900.9009009</v>
      </c>
      <c r="P418">
        <v>13404252.252252253</v>
      </c>
      <c r="Q418">
        <v>4327387.3873873875</v>
      </c>
      <c r="R418">
        <v>6532792.7927927924</v>
      </c>
      <c r="S418">
        <v>1393</v>
      </c>
      <c r="T418">
        <v>1317</v>
      </c>
    </row>
    <row r="419" spans="1:20" x14ac:dyDescent="0.35">
      <c r="A419" s="7" t="s">
        <v>518</v>
      </c>
      <c r="B419" s="12" t="s">
        <v>305</v>
      </c>
      <c r="C419">
        <v>66604601.073214822</v>
      </c>
      <c r="D419">
        <v>65514268.923805133</v>
      </c>
      <c r="E419">
        <v>94594.594594594993</v>
      </c>
      <c r="F419">
        <v>76576.576576577994</v>
      </c>
      <c r="G419">
        <v>24</v>
      </c>
      <c r="H419">
        <v>25</v>
      </c>
      <c r="K419">
        <v>24</v>
      </c>
      <c r="L419">
        <v>26</v>
      </c>
      <c r="M419">
        <v>1445945.945945946</v>
      </c>
      <c r="N419">
        <v>2630630.6306306301</v>
      </c>
      <c r="O419">
        <v>8758099.0990990996</v>
      </c>
      <c r="P419">
        <v>9824585.5855855849</v>
      </c>
      <c r="Q419">
        <v>1197207.2072072059</v>
      </c>
      <c r="R419">
        <v>1640990.9909909901</v>
      </c>
      <c r="S419">
        <v>1021</v>
      </c>
      <c r="T419">
        <v>746</v>
      </c>
    </row>
    <row r="420" spans="1:20" x14ac:dyDescent="0.35">
      <c r="A420" s="7" t="s">
        <v>519</v>
      </c>
      <c r="B420" s="12" t="s">
        <v>449</v>
      </c>
      <c r="C420">
        <v>68358543.452565685</v>
      </c>
      <c r="D420">
        <v>67571519.650356308</v>
      </c>
      <c r="E420">
        <v>350450.450450451</v>
      </c>
      <c r="F420">
        <v>1595495.495495497</v>
      </c>
      <c r="G420">
        <v>16</v>
      </c>
      <c r="H420">
        <v>30</v>
      </c>
      <c r="K420">
        <v>18</v>
      </c>
      <c r="L420">
        <v>39</v>
      </c>
      <c r="M420">
        <v>4164414.4144144151</v>
      </c>
      <c r="N420">
        <v>67849819.819819823</v>
      </c>
      <c r="O420">
        <v>23332425.675675675</v>
      </c>
      <c r="P420">
        <v>23563432.432432432</v>
      </c>
      <c r="Q420">
        <v>4675315.3153153146</v>
      </c>
      <c r="R420">
        <v>67625405.405405402</v>
      </c>
      <c r="S420">
        <v>2809</v>
      </c>
      <c r="T420">
        <v>1851</v>
      </c>
    </row>
    <row r="421" spans="1:20" x14ac:dyDescent="0.35">
      <c r="A421" s="7" t="s">
        <v>520</v>
      </c>
      <c r="B421" s="12" t="s">
        <v>86</v>
      </c>
      <c r="C421">
        <v>212155716.63123691</v>
      </c>
      <c r="D421">
        <v>216898715.57626873</v>
      </c>
      <c r="E421">
        <v>1959459.459459461</v>
      </c>
      <c r="F421">
        <v>3198198.1981982011</v>
      </c>
      <c r="G421">
        <v>32</v>
      </c>
      <c r="H421">
        <v>17</v>
      </c>
      <c r="K421">
        <v>37</v>
      </c>
      <c r="L421">
        <v>22</v>
      </c>
      <c r="M421">
        <v>47600450.45045045</v>
      </c>
      <c r="N421">
        <v>77725135.135135129</v>
      </c>
      <c r="O421">
        <v>52168295.495495498</v>
      </c>
      <c r="P421">
        <v>60303738.738738738</v>
      </c>
      <c r="Q421">
        <v>42316529.729729727</v>
      </c>
      <c r="R421">
        <v>65972342.342342347</v>
      </c>
      <c r="S421">
        <v>4189</v>
      </c>
      <c r="T421">
        <v>4046</v>
      </c>
    </row>
    <row r="422" spans="1:20" x14ac:dyDescent="0.35">
      <c r="A422" s="7" t="s">
        <v>521</v>
      </c>
      <c r="B422" s="12" t="s">
        <v>305</v>
      </c>
      <c r="C422">
        <v>105448781.57944338</v>
      </c>
      <c r="D422">
        <v>107368435.2868273</v>
      </c>
      <c r="E422">
        <v>44144.144144143997</v>
      </c>
      <c r="F422">
        <v>18018.018018019</v>
      </c>
      <c r="G422">
        <v>12</v>
      </c>
      <c r="H422">
        <v>16</v>
      </c>
      <c r="K422">
        <v>13</v>
      </c>
      <c r="L422">
        <v>17</v>
      </c>
      <c r="M422">
        <v>6027027.0270270268</v>
      </c>
      <c r="N422">
        <v>5045045.0450450461</v>
      </c>
      <c r="O422">
        <v>18108527.02702703</v>
      </c>
      <c r="P422">
        <v>19776387.387387387</v>
      </c>
      <c r="Q422">
        <v>3419189.1891891891</v>
      </c>
      <c r="R422">
        <v>4472162.1621621614</v>
      </c>
      <c r="S422">
        <v>1411</v>
      </c>
      <c r="T422">
        <v>1360</v>
      </c>
    </row>
    <row r="423" spans="1:20" x14ac:dyDescent="0.35">
      <c r="A423" s="7" t="s">
        <v>522</v>
      </c>
      <c r="B423" s="12" t="s">
        <v>400</v>
      </c>
      <c r="C423">
        <v>749960035.88775504</v>
      </c>
      <c r="D423">
        <v>749443454.98884821</v>
      </c>
      <c r="E423">
        <v>183887923.42342341</v>
      </c>
      <c r="F423">
        <v>164323104.5045045</v>
      </c>
      <c r="G423">
        <v>162</v>
      </c>
      <c r="H423">
        <v>193</v>
      </c>
      <c r="I423">
        <v>1</v>
      </c>
      <c r="K423">
        <v>457</v>
      </c>
      <c r="L423">
        <v>866</v>
      </c>
      <c r="M423">
        <v>140473648.64864865</v>
      </c>
      <c r="N423">
        <v>221462612.61261261</v>
      </c>
      <c r="O423">
        <v>189414027.02702704</v>
      </c>
      <c r="P423">
        <v>199543423.42342341</v>
      </c>
      <c r="Q423">
        <v>115488468.46846846</v>
      </c>
      <c r="R423">
        <v>150728781.98198199</v>
      </c>
      <c r="S423">
        <v>14977</v>
      </c>
      <c r="T423">
        <v>13838</v>
      </c>
    </row>
    <row r="424" spans="1:20" x14ac:dyDescent="0.35">
      <c r="A424" s="7" t="s">
        <v>523</v>
      </c>
      <c r="B424" s="12" t="s">
        <v>144</v>
      </c>
      <c r="C424">
        <v>210841205.18701509</v>
      </c>
      <c r="D424">
        <v>220627390.30116665</v>
      </c>
      <c r="E424">
        <v>573873.87387387396</v>
      </c>
      <c r="F424">
        <v>391891.89189189201</v>
      </c>
      <c r="G424">
        <v>58</v>
      </c>
      <c r="H424">
        <v>17</v>
      </c>
      <c r="K424">
        <v>59</v>
      </c>
      <c r="L424">
        <v>18</v>
      </c>
      <c r="M424">
        <v>12555855.855855856</v>
      </c>
      <c r="N424">
        <v>9851351.3513513524</v>
      </c>
      <c r="O424">
        <v>26915270.270270273</v>
      </c>
      <c r="P424">
        <v>28141816.216216218</v>
      </c>
      <c r="Q424">
        <v>12084864.864864863</v>
      </c>
      <c r="R424">
        <v>10430000</v>
      </c>
      <c r="S424">
        <v>3061</v>
      </c>
      <c r="T424">
        <v>3044</v>
      </c>
    </row>
    <row r="425" spans="1:20" x14ac:dyDescent="0.35">
      <c r="A425" s="7" t="s">
        <v>524</v>
      </c>
      <c r="B425" s="12" t="s">
        <v>67</v>
      </c>
      <c r="C425">
        <v>146954869.9278402</v>
      </c>
      <c r="D425">
        <v>137149680.63556916</v>
      </c>
      <c r="E425">
        <v>3684684.6846846868</v>
      </c>
      <c r="F425">
        <v>3765765.7657657661</v>
      </c>
      <c r="G425">
        <v>34</v>
      </c>
      <c r="H425">
        <v>36</v>
      </c>
      <c r="K425">
        <v>39</v>
      </c>
      <c r="L425">
        <v>39</v>
      </c>
      <c r="M425">
        <v>62103063.063063063</v>
      </c>
      <c r="N425">
        <v>56834009.009009011</v>
      </c>
      <c r="O425">
        <v>69952027.027027026</v>
      </c>
      <c r="P425">
        <v>68529243.243243247</v>
      </c>
      <c r="Q425">
        <v>57313153.153153151</v>
      </c>
      <c r="R425">
        <v>56045810.810810804</v>
      </c>
      <c r="S425">
        <v>4657</v>
      </c>
      <c r="T425">
        <v>3807</v>
      </c>
    </row>
    <row r="426" spans="1:20" x14ac:dyDescent="0.35">
      <c r="A426" s="7" t="s">
        <v>525</v>
      </c>
      <c r="B426" s="12" t="s">
        <v>221</v>
      </c>
      <c r="C426">
        <v>188780007.58795065</v>
      </c>
      <c r="D426">
        <v>189678724.32587245</v>
      </c>
      <c r="E426">
        <v>716216.21621621598</v>
      </c>
      <c r="F426">
        <v>382882.88288288401</v>
      </c>
      <c r="G426">
        <v>69</v>
      </c>
      <c r="H426">
        <v>59</v>
      </c>
      <c r="K426">
        <v>74</v>
      </c>
      <c r="L426">
        <v>63</v>
      </c>
      <c r="M426">
        <v>13577297.297297295</v>
      </c>
      <c r="N426">
        <v>12161936.936936935</v>
      </c>
      <c r="O426">
        <v>47329945.945945941</v>
      </c>
      <c r="P426">
        <v>51324403.603603601</v>
      </c>
      <c r="Q426">
        <v>9720810.8108108081</v>
      </c>
      <c r="R426">
        <v>7653828.8288288293</v>
      </c>
      <c r="S426">
        <v>4476</v>
      </c>
      <c r="T426">
        <v>4362</v>
      </c>
    </row>
    <row r="427" spans="1:20" x14ac:dyDescent="0.35">
      <c r="A427" s="7" t="s">
        <v>526</v>
      </c>
      <c r="B427" s="12" t="s">
        <v>414</v>
      </c>
      <c r="C427">
        <v>2090858816.434413</v>
      </c>
      <c r="D427">
        <v>2124817714.1162851</v>
      </c>
      <c r="E427">
        <v>563000909.009009</v>
      </c>
      <c r="F427">
        <v>753299183.78378379</v>
      </c>
      <c r="G427">
        <v>385</v>
      </c>
      <c r="H427">
        <v>835</v>
      </c>
      <c r="I427">
        <v>1</v>
      </c>
      <c r="K427">
        <v>789</v>
      </c>
      <c r="L427">
        <v>1195</v>
      </c>
      <c r="M427">
        <v>163336792.7927928</v>
      </c>
      <c r="N427">
        <v>407253918.91891891</v>
      </c>
      <c r="O427">
        <v>611297608.10810816</v>
      </c>
      <c r="P427">
        <v>687576209.90990984</v>
      </c>
      <c r="Q427">
        <v>174940630.63063061</v>
      </c>
      <c r="R427">
        <v>215805405.4054054</v>
      </c>
      <c r="S427">
        <v>32968</v>
      </c>
      <c r="T427">
        <v>34092</v>
      </c>
    </row>
    <row r="428" spans="1:20" x14ac:dyDescent="0.35">
      <c r="A428" s="7" t="s">
        <v>527</v>
      </c>
      <c r="B428" s="12" t="s">
        <v>414</v>
      </c>
      <c r="C428">
        <v>234844733.57291767</v>
      </c>
      <c r="D428">
        <v>239213093.08655953</v>
      </c>
      <c r="E428">
        <v>2777702.702702703</v>
      </c>
      <c r="F428">
        <v>103603.60360360501</v>
      </c>
      <c r="G428">
        <v>39</v>
      </c>
      <c r="H428">
        <v>29</v>
      </c>
      <c r="K428">
        <v>42</v>
      </c>
      <c r="L428">
        <v>33</v>
      </c>
      <c r="M428">
        <v>14037705.405405406</v>
      </c>
      <c r="N428">
        <v>13645495.495495496</v>
      </c>
      <c r="O428">
        <v>73767549.54954955</v>
      </c>
      <c r="P428">
        <v>77982184.684684694</v>
      </c>
      <c r="Q428">
        <v>11982252.252252253</v>
      </c>
      <c r="R428">
        <v>11839189.189189188</v>
      </c>
      <c r="S428">
        <v>4439</v>
      </c>
      <c r="T428">
        <v>4432</v>
      </c>
    </row>
    <row r="429" spans="1:20" x14ac:dyDescent="0.35">
      <c r="A429" s="7" t="s">
        <v>663</v>
      </c>
      <c r="B429" s="12" t="s">
        <v>190</v>
      </c>
      <c r="C429">
        <v>1179799.741730391</v>
      </c>
      <c r="G429">
        <v>3</v>
      </c>
      <c r="K429">
        <v>4</v>
      </c>
      <c r="O429">
        <v>819639.63963963999</v>
      </c>
      <c r="S429">
        <v>132</v>
      </c>
    </row>
    <row r="430" spans="1:20" x14ac:dyDescent="0.35">
      <c r="A430" s="7" t="s">
        <v>528</v>
      </c>
      <c r="B430" s="12" t="s">
        <v>148</v>
      </c>
      <c r="C430">
        <v>487116818.84729129</v>
      </c>
      <c r="D430">
        <v>464426926.54700339</v>
      </c>
      <c r="E430">
        <v>475764143.24324328</v>
      </c>
      <c r="F430">
        <v>512061967.56756753</v>
      </c>
      <c r="G430">
        <v>151</v>
      </c>
      <c r="H430">
        <v>178</v>
      </c>
      <c r="K430">
        <v>227</v>
      </c>
      <c r="L430">
        <v>252</v>
      </c>
      <c r="M430">
        <v>150443452.25225225</v>
      </c>
      <c r="N430">
        <v>161780193.6936937</v>
      </c>
      <c r="O430">
        <v>173584331.53153151</v>
      </c>
      <c r="P430">
        <v>178410466.66666666</v>
      </c>
      <c r="Q430">
        <v>136636846.84684685</v>
      </c>
      <c r="R430">
        <v>128844324.32432432</v>
      </c>
      <c r="S430">
        <v>10510</v>
      </c>
      <c r="T430">
        <v>9819</v>
      </c>
    </row>
    <row r="431" spans="1:20" x14ac:dyDescent="0.35">
      <c r="A431" s="7" t="s">
        <v>529</v>
      </c>
      <c r="B431" s="12" t="s">
        <v>122</v>
      </c>
      <c r="C431">
        <v>54808567.546658307</v>
      </c>
      <c r="D431">
        <v>47136240.157832101</v>
      </c>
      <c r="E431">
        <v>480180.18018018</v>
      </c>
      <c r="F431">
        <v>2099156.7567567579</v>
      </c>
      <c r="G431">
        <v>25</v>
      </c>
      <c r="H431">
        <v>28</v>
      </c>
      <c r="K431">
        <v>30</v>
      </c>
      <c r="L431">
        <v>32</v>
      </c>
      <c r="M431">
        <v>9194164.8648648635</v>
      </c>
      <c r="N431">
        <v>3961261.261261262</v>
      </c>
      <c r="O431">
        <v>7185869.369369369</v>
      </c>
      <c r="P431">
        <v>6534513.5135135138</v>
      </c>
      <c r="Q431">
        <v>4663243.2432432426</v>
      </c>
      <c r="R431">
        <v>4143423.423423423</v>
      </c>
      <c r="S431">
        <v>1062</v>
      </c>
      <c r="T431">
        <v>983</v>
      </c>
    </row>
    <row r="432" spans="1:20" x14ac:dyDescent="0.35">
      <c r="A432" s="7" t="s">
        <v>530</v>
      </c>
      <c r="B432" s="12" t="s">
        <v>449</v>
      </c>
      <c r="C432">
        <v>99031741.21128422</v>
      </c>
      <c r="D432">
        <v>127821172.12237823</v>
      </c>
      <c r="E432">
        <v>1125225.2252252251</v>
      </c>
      <c r="F432">
        <v>2260360.3603603598</v>
      </c>
      <c r="G432">
        <v>102</v>
      </c>
      <c r="H432">
        <v>27</v>
      </c>
      <c r="K432">
        <v>150</v>
      </c>
      <c r="L432">
        <v>30</v>
      </c>
      <c r="M432">
        <v>13828828.82882883</v>
      </c>
      <c r="N432">
        <v>18715765.765765764</v>
      </c>
      <c r="O432">
        <v>48677227.477477483</v>
      </c>
      <c r="P432">
        <v>61356765.765765771</v>
      </c>
      <c r="Q432">
        <v>15381171.17117117</v>
      </c>
      <c r="R432">
        <v>16730270.270270268</v>
      </c>
      <c r="S432">
        <v>2264</v>
      </c>
      <c r="T432">
        <v>2203</v>
      </c>
    </row>
    <row r="433" spans="1:20" x14ac:dyDescent="0.35">
      <c r="A433" s="7" t="s">
        <v>531</v>
      </c>
      <c r="B433" s="12" t="s">
        <v>449</v>
      </c>
      <c r="C433">
        <v>227736412.56589824</v>
      </c>
      <c r="D433">
        <v>232324040.38467088</v>
      </c>
      <c r="E433">
        <v>321489189.1891892</v>
      </c>
      <c r="F433">
        <v>157553153.15315315</v>
      </c>
      <c r="G433">
        <v>132</v>
      </c>
      <c r="H433">
        <v>227</v>
      </c>
      <c r="K433">
        <v>142</v>
      </c>
      <c r="L433">
        <v>235</v>
      </c>
      <c r="M433">
        <v>22134009.009009007</v>
      </c>
      <c r="N433">
        <v>37515765.765765771</v>
      </c>
      <c r="O433">
        <v>108812630.63063063</v>
      </c>
      <c r="P433">
        <v>111493464.86486487</v>
      </c>
      <c r="Q433">
        <v>20102522.522522524</v>
      </c>
      <c r="R433">
        <v>36097792.792792797</v>
      </c>
      <c r="S433">
        <v>6462</v>
      </c>
      <c r="T433">
        <v>5296</v>
      </c>
    </row>
    <row r="434" spans="1:20" x14ac:dyDescent="0.35">
      <c r="A434" s="7" t="s">
        <v>532</v>
      </c>
      <c r="B434" s="12" t="s">
        <v>124</v>
      </c>
      <c r="C434">
        <v>601605717.48192954</v>
      </c>
      <c r="D434">
        <v>608995751.29994297</v>
      </c>
      <c r="E434">
        <v>315986187.38738739</v>
      </c>
      <c r="F434">
        <v>548753980.18018019</v>
      </c>
      <c r="G434">
        <v>363</v>
      </c>
      <c r="H434">
        <v>478</v>
      </c>
      <c r="I434">
        <v>7</v>
      </c>
      <c r="K434">
        <v>783</v>
      </c>
      <c r="L434">
        <v>848</v>
      </c>
      <c r="M434">
        <v>256274054.05405405</v>
      </c>
      <c r="N434">
        <v>304742522.52252251</v>
      </c>
      <c r="O434">
        <v>212654417.11711711</v>
      </c>
      <c r="P434">
        <v>227706399.0990991</v>
      </c>
      <c r="Q434">
        <v>256217837.83783782</v>
      </c>
      <c r="R434">
        <v>302231891.8918919</v>
      </c>
      <c r="S434">
        <v>15103</v>
      </c>
      <c r="T434">
        <v>10597</v>
      </c>
    </row>
    <row r="435" spans="1:20" x14ac:dyDescent="0.35">
      <c r="A435" s="7" t="s">
        <v>533</v>
      </c>
      <c r="B435" s="12" t="s">
        <v>86</v>
      </c>
      <c r="C435">
        <v>173825275.00599489</v>
      </c>
      <c r="D435">
        <v>200744255.67715073</v>
      </c>
      <c r="E435">
        <v>1891891.891891893</v>
      </c>
      <c r="F435">
        <v>3735135.1351351351</v>
      </c>
      <c r="G435">
        <v>18</v>
      </c>
      <c r="H435">
        <v>30</v>
      </c>
      <c r="K435">
        <v>20</v>
      </c>
      <c r="L435">
        <v>46</v>
      </c>
      <c r="M435">
        <v>33605045.045045041</v>
      </c>
      <c r="N435">
        <v>65935585.585585587</v>
      </c>
      <c r="O435">
        <v>37889369.369369365</v>
      </c>
      <c r="P435">
        <v>51831540.540540546</v>
      </c>
      <c r="Q435">
        <v>26291711.711711712</v>
      </c>
      <c r="R435">
        <v>53820810.810810819</v>
      </c>
      <c r="S435">
        <v>3747</v>
      </c>
      <c r="T435">
        <v>3998</v>
      </c>
    </row>
    <row r="436" spans="1:20" x14ac:dyDescent="0.35">
      <c r="A436" s="7" t="s">
        <v>9</v>
      </c>
      <c r="B436" s="12" t="s">
        <v>159</v>
      </c>
      <c r="C436">
        <v>469214710.14505798</v>
      </c>
      <c r="D436">
        <v>448416694.968696</v>
      </c>
      <c r="E436">
        <v>371471490.0900901</v>
      </c>
      <c r="F436">
        <v>323072685.58558559</v>
      </c>
      <c r="G436">
        <v>74</v>
      </c>
      <c r="H436">
        <v>114</v>
      </c>
      <c r="K436">
        <v>78</v>
      </c>
      <c r="L436">
        <v>135</v>
      </c>
      <c r="M436">
        <v>694565852.25225234</v>
      </c>
      <c r="N436">
        <v>687238811.71171176</v>
      </c>
      <c r="O436">
        <v>170756135.13513514</v>
      </c>
      <c r="P436">
        <v>164453151.35135135</v>
      </c>
      <c r="Q436">
        <v>584052252.25225234</v>
      </c>
      <c r="R436">
        <v>577992207.2072072</v>
      </c>
      <c r="S436">
        <v>7533</v>
      </c>
      <c r="T436">
        <v>7006</v>
      </c>
    </row>
    <row r="437" spans="1:20" x14ac:dyDescent="0.35">
      <c r="A437" s="7" t="s">
        <v>534</v>
      </c>
      <c r="B437" s="12" t="s">
        <v>95</v>
      </c>
      <c r="C437">
        <v>450683125.74884737</v>
      </c>
      <c r="D437">
        <v>466298311.5270623</v>
      </c>
      <c r="E437">
        <v>1448648.6486486511</v>
      </c>
      <c r="F437">
        <v>1866666.6666666691</v>
      </c>
      <c r="G437">
        <v>89</v>
      </c>
      <c r="H437">
        <v>104</v>
      </c>
      <c r="K437">
        <v>99</v>
      </c>
      <c r="L437">
        <v>114</v>
      </c>
      <c r="M437">
        <v>37036036.036036029</v>
      </c>
      <c r="N437">
        <v>50636936.936936937</v>
      </c>
      <c r="O437">
        <v>60180621.621621624</v>
      </c>
      <c r="P437">
        <v>71461572.972972974</v>
      </c>
      <c r="Q437">
        <v>25685855.855855856</v>
      </c>
      <c r="R437">
        <v>30350270.270270273</v>
      </c>
      <c r="S437">
        <v>6525</v>
      </c>
      <c r="T437">
        <v>6542</v>
      </c>
    </row>
    <row r="438" spans="1:20" x14ac:dyDescent="0.35">
      <c r="A438" s="7" t="s">
        <v>535</v>
      </c>
      <c r="B438" s="12" t="s">
        <v>305</v>
      </c>
      <c r="C438">
        <v>12281189.492043467</v>
      </c>
      <c r="D438">
        <v>16855797.985738777</v>
      </c>
      <c r="G438">
        <v>4</v>
      </c>
      <c r="H438">
        <v>7</v>
      </c>
      <c r="K438">
        <v>4</v>
      </c>
      <c r="L438">
        <v>7</v>
      </c>
      <c r="O438">
        <v>2113108.1081081089</v>
      </c>
      <c r="P438">
        <v>2070405.4054054059</v>
      </c>
      <c r="S438">
        <v>435</v>
      </c>
      <c r="T438">
        <v>369</v>
      </c>
    </row>
    <row r="439" spans="1:20" x14ac:dyDescent="0.35">
      <c r="A439" s="7" t="s">
        <v>536</v>
      </c>
      <c r="B439" s="12" t="s">
        <v>305</v>
      </c>
      <c r="C439">
        <v>184216236.83392385</v>
      </c>
      <c r="D439">
        <v>177966976.07449323</v>
      </c>
      <c r="E439">
        <v>880180.18018018</v>
      </c>
      <c r="F439">
        <v>1635135.1351351361</v>
      </c>
      <c r="G439">
        <v>19</v>
      </c>
      <c r="H439">
        <v>34</v>
      </c>
      <c r="K439">
        <v>24</v>
      </c>
      <c r="L439">
        <v>36</v>
      </c>
      <c r="M439">
        <v>14395495.495495494</v>
      </c>
      <c r="N439">
        <v>17680180.180180181</v>
      </c>
      <c r="O439">
        <v>16674369.369369367</v>
      </c>
      <c r="P439">
        <v>15339720.72072072</v>
      </c>
      <c r="Q439">
        <v>6913153.1531531531</v>
      </c>
      <c r="R439">
        <v>8673873.8738738727</v>
      </c>
      <c r="S439">
        <v>2872</v>
      </c>
      <c r="T439">
        <v>2723</v>
      </c>
    </row>
    <row r="440" spans="1:20" x14ac:dyDescent="0.35">
      <c r="A440" s="7" t="s">
        <v>537</v>
      </c>
      <c r="B440" s="12" t="s">
        <v>86</v>
      </c>
      <c r="C440">
        <v>164531520.94404331</v>
      </c>
      <c r="D440">
        <v>173145687.88688198</v>
      </c>
      <c r="E440">
        <v>1056756.7567567581</v>
      </c>
      <c r="F440">
        <v>1654054.054054057</v>
      </c>
      <c r="G440">
        <v>75</v>
      </c>
      <c r="H440">
        <v>183</v>
      </c>
      <c r="I440">
        <v>1</v>
      </c>
      <c r="K440">
        <v>89</v>
      </c>
      <c r="L440">
        <v>219</v>
      </c>
      <c r="M440">
        <v>63117927.927927926</v>
      </c>
      <c r="N440">
        <v>94518738.738738731</v>
      </c>
      <c r="O440">
        <v>73501423.423423424</v>
      </c>
      <c r="P440">
        <v>81839297.297297299</v>
      </c>
      <c r="Q440">
        <v>53358288.288288288</v>
      </c>
      <c r="R440">
        <v>80341621.621621609</v>
      </c>
      <c r="S440">
        <v>3018</v>
      </c>
      <c r="T440">
        <v>3133</v>
      </c>
    </row>
    <row r="441" spans="1:20" x14ac:dyDescent="0.35">
      <c r="A441" s="7" t="s">
        <v>538</v>
      </c>
      <c r="B441" s="12" t="s">
        <v>449</v>
      </c>
      <c r="C441">
        <v>226092214.21124518</v>
      </c>
      <c r="D441">
        <v>215485871.93455023</v>
      </c>
      <c r="E441">
        <v>2508108.1081081098</v>
      </c>
      <c r="F441">
        <v>1538738.738738741</v>
      </c>
      <c r="G441">
        <v>106</v>
      </c>
      <c r="H441">
        <v>68</v>
      </c>
      <c r="I441">
        <v>2</v>
      </c>
      <c r="K441">
        <v>126</v>
      </c>
      <c r="L441">
        <v>81</v>
      </c>
      <c r="M441">
        <v>26541171.17117117</v>
      </c>
      <c r="N441">
        <v>31352927.927927926</v>
      </c>
      <c r="O441">
        <v>63242034.234234229</v>
      </c>
      <c r="P441">
        <v>65620684.684684686</v>
      </c>
      <c r="Q441">
        <v>27273153.153153151</v>
      </c>
      <c r="R441">
        <v>30272567.567567568</v>
      </c>
      <c r="S441">
        <v>5933</v>
      </c>
      <c r="T441">
        <v>5297</v>
      </c>
    </row>
    <row r="442" spans="1:20" x14ac:dyDescent="0.35">
      <c r="A442" s="7" t="s">
        <v>539</v>
      </c>
      <c r="B442" s="12" t="s">
        <v>118</v>
      </c>
      <c r="C442">
        <v>513922019.16949105</v>
      </c>
      <c r="D442">
        <v>491552812.52423495</v>
      </c>
      <c r="E442">
        <v>10826351.351351352</v>
      </c>
      <c r="F442">
        <v>12374774.774774779</v>
      </c>
      <c r="G442">
        <v>164</v>
      </c>
      <c r="H442">
        <v>175</v>
      </c>
      <c r="K442">
        <v>206</v>
      </c>
      <c r="L442">
        <v>230</v>
      </c>
      <c r="M442">
        <v>118918107.2072072</v>
      </c>
      <c r="N442">
        <v>117340417.11711712</v>
      </c>
      <c r="O442">
        <v>293253018.01801807</v>
      </c>
      <c r="P442">
        <v>280426378.37837839</v>
      </c>
      <c r="Q442">
        <v>109510090.09009008</v>
      </c>
      <c r="R442">
        <v>99521576.576576576</v>
      </c>
      <c r="S442">
        <v>11773</v>
      </c>
      <c r="T442">
        <v>11460</v>
      </c>
    </row>
    <row r="443" spans="1:20" x14ac:dyDescent="0.35">
      <c r="A443" s="7" t="s">
        <v>540</v>
      </c>
      <c r="B443" s="12" t="s">
        <v>84</v>
      </c>
      <c r="C443">
        <v>1600042440.8638921</v>
      </c>
      <c r="D443">
        <v>1572506779.3052278</v>
      </c>
      <c r="E443">
        <v>8491068.4684684705</v>
      </c>
      <c r="F443">
        <v>9827477.4774774797</v>
      </c>
      <c r="G443">
        <v>317</v>
      </c>
      <c r="H443">
        <v>266</v>
      </c>
      <c r="I443">
        <v>1</v>
      </c>
      <c r="K443">
        <v>353</v>
      </c>
      <c r="L443">
        <v>332</v>
      </c>
      <c r="M443">
        <v>97615846.846846849</v>
      </c>
      <c r="N443">
        <v>110968918.91891892</v>
      </c>
      <c r="O443">
        <v>174627138.2882883</v>
      </c>
      <c r="P443">
        <v>187016372.97297296</v>
      </c>
      <c r="Q443">
        <v>88329052.252252251</v>
      </c>
      <c r="R443">
        <v>95231304.504504517</v>
      </c>
      <c r="S443">
        <v>22508</v>
      </c>
      <c r="T443">
        <v>22176</v>
      </c>
    </row>
    <row r="444" spans="1:20" x14ac:dyDescent="0.35">
      <c r="A444" s="7" t="s">
        <v>541</v>
      </c>
      <c r="B444" s="12" t="s">
        <v>316</v>
      </c>
      <c r="C444">
        <v>195584510.16352019</v>
      </c>
      <c r="D444">
        <v>190042794.70398542</v>
      </c>
      <c r="E444">
        <v>2464189.1891891882</v>
      </c>
      <c r="F444">
        <v>2837387.3873873912</v>
      </c>
      <c r="G444">
        <v>31</v>
      </c>
      <c r="H444">
        <v>18</v>
      </c>
      <c r="K444">
        <v>34</v>
      </c>
      <c r="L444">
        <v>19</v>
      </c>
      <c r="M444">
        <v>13418018.018018017</v>
      </c>
      <c r="N444">
        <v>27919369.369369369</v>
      </c>
      <c r="O444">
        <v>37192477.477477483</v>
      </c>
      <c r="P444">
        <v>38167081.081081077</v>
      </c>
      <c r="Q444">
        <v>11504864.864864863</v>
      </c>
      <c r="R444">
        <v>25796126.126126129</v>
      </c>
      <c r="S444">
        <v>2553</v>
      </c>
      <c r="T444">
        <v>2552</v>
      </c>
    </row>
    <row r="445" spans="1:20" x14ac:dyDescent="0.35">
      <c r="A445" s="7" t="s">
        <v>542</v>
      </c>
      <c r="B445" s="12" t="s">
        <v>170</v>
      </c>
      <c r="C445">
        <v>1352606730.0058274</v>
      </c>
      <c r="D445">
        <v>1382570732.1825345</v>
      </c>
      <c r="E445">
        <v>3265765.7657657661</v>
      </c>
      <c r="F445">
        <v>6851351.3513513533</v>
      </c>
      <c r="G445">
        <v>130</v>
      </c>
      <c r="H445">
        <v>232</v>
      </c>
      <c r="I445">
        <v>1</v>
      </c>
      <c r="K445">
        <v>144</v>
      </c>
      <c r="L445">
        <v>303</v>
      </c>
      <c r="M445">
        <v>83941509.009009004</v>
      </c>
      <c r="N445">
        <v>90216665.765765756</v>
      </c>
      <c r="O445">
        <v>498165916.66666669</v>
      </c>
      <c r="P445">
        <v>537560585.58558559</v>
      </c>
      <c r="Q445">
        <v>82785855.855855852</v>
      </c>
      <c r="R445">
        <v>85474684.684684694</v>
      </c>
      <c r="S445">
        <v>22962</v>
      </c>
      <c r="T445">
        <v>21044</v>
      </c>
    </row>
    <row r="446" spans="1:20" x14ac:dyDescent="0.35">
      <c r="A446" s="7" t="s">
        <v>543</v>
      </c>
      <c r="B446" s="12" t="s">
        <v>480</v>
      </c>
      <c r="C446">
        <v>420410918.67460245</v>
      </c>
      <c r="D446">
        <v>414658505.98999959</v>
      </c>
      <c r="E446">
        <v>1166666.666666666</v>
      </c>
      <c r="F446">
        <v>1204504.5045045039</v>
      </c>
      <c r="G446">
        <v>44</v>
      </c>
      <c r="H446">
        <v>35</v>
      </c>
      <c r="K446">
        <v>47</v>
      </c>
      <c r="L446">
        <v>42</v>
      </c>
      <c r="M446">
        <v>3382882.882882881</v>
      </c>
      <c r="N446">
        <v>2438738.7387387478</v>
      </c>
      <c r="O446">
        <v>54115549.54954955</v>
      </c>
      <c r="P446">
        <v>74413018.018018022</v>
      </c>
      <c r="Q446">
        <v>2529909.9099099082</v>
      </c>
      <c r="R446">
        <v>2287927.927927936</v>
      </c>
      <c r="S446">
        <v>5840</v>
      </c>
      <c r="T446">
        <v>5401</v>
      </c>
    </row>
    <row r="447" spans="1:20" x14ac:dyDescent="0.35">
      <c r="A447" s="7" t="s">
        <v>544</v>
      </c>
      <c r="B447" s="12" t="s">
        <v>81</v>
      </c>
      <c r="C447">
        <v>102908755.18006457</v>
      </c>
      <c r="D447">
        <v>110405014.80583124</v>
      </c>
      <c r="E447">
        <v>867117.11711711704</v>
      </c>
      <c r="F447">
        <v>1579279.27927928</v>
      </c>
      <c r="G447">
        <v>34</v>
      </c>
      <c r="H447">
        <v>6</v>
      </c>
      <c r="K447">
        <v>37</v>
      </c>
      <c r="L447">
        <v>14</v>
      </c>
      <c r="M447">
        <v>27588738.738738734</v>
      </c>
      <c r="N447">
        <v>12407207.207207208</v>
      </c>
      <c r="O447">
        <v>38058486.486486487</v>
      </c>
      <c r="P447">
        <v>40387513.513513513</v>
      </c>
      <c r="Q447">
        <v>27311081.081081081</v>
      </c>
      <c r="R447">
        <v>12130180.180180181</v>
      </c>
      <c r="S447">
        <v>2376</v>
      </c>
      <c r="T447">
        <v>2164</v>
      </c>
    </row>
    <row r="448" spans="1:20" x14ac:dyDescent="0.35">
      <c r="A448" s="7" t="s">
        <v>545</v>
      </c>
      <c r="B448" s="12" t="s">
        <v>170</v>
      </c>
      <c r="C448">
        <v>108820735.42552458</v>
      </c>
      <c r="D448">
        <v>144367185.27735573</v>
      </c>
      <c r="E448">
        <v>277477.47747747699</v>
      </c>
      <c r="F448">
        <v>461261.26126126101</v>
      </c>
      <c r="G448">
        <v>16</v>
      </c>
      <c r="H448">
        <v>4</v>
      </c>
      <c r="K448">
        <v>17</v>
      </c>
      <c r="L448">
        <v>5</v>
      </c>
      <c r="M448">
        <v>1178378.378378378</v>
      </c>
      <c r="N448">
        <v>461261.26126126101</v>
      </c>
      <c r="O448">
        <v>45312061.261261262</v>
      </c>
      <c r="P448">
        <v>53730558.558558561</v>
      </c>
      <c r="Q448">
        <v>814054.05405405397</v>
      </c>
      <c r="R448">
        <v>1167927.927927928</v>
      </c>
      <c r="S448">
        <v>2493</v>
      </c>
      <c r="T448">
        <v>2580</v>
      </c>
    </row>
    <row r="449" spans="1:20" x14ac:dyDescent="0.35">
      <c r="A449" s="7" t="s">
        <v>546</v>
      </c>
      <c r="B449" s="12" t="s">
        <v>225</v>
      </c>
      <c r="C449">
        <v>11466.203271963999</v>
      </c>
      <c r="D449">
        <v>42313.454668708</v>
      </c>
      <c r="E449">
        <v>121677117.11711712</v>
      </c>
      <c r="F449">
        <v>186576576.57657659</v>
      </c>
      <c r="M449">
        <v>3632882.8828828828</v>
      </c>
      <c r="N449">
        <v>3715315.315315315</v>
      </c>
      <c r="P449">
        <v>6081.0810810809999</v>
      </c>
    </row>
    <row r="450" spans="1:20" x14ac:dyDescent="0.35">
      <c r="A450" s="7" t="s">
        <v>547</v>
      </c>
      <c r="B450" s="12" t="s">
        <v>137</v>
      </c>
      <c r="C450">
        <v>265106921.72090575</v>
      </c>
      <c r="D450">
        <v>278981522.26549083</v>
      </c>
      <c r="E450">
        <v>975675.67567567795</v>
      </c>
      <c r="F450">
        <v>2214414.4144144142</v>
      </c>
      <c r="G450">
        <v>83</v>
      </c>
      <c r="H450">
        <v>54</v>
      </c>
      <c r="K450">
        <v>88</v>
      </c>
      <c r="L450">
        <v>58</v>
      </c>
      <c r="M450">
        <v>56753153.153153151</v>
      </c>
      <c r="N450">
        <v>62223423.423423424</v>
      </c>
      <c r="O450">
        <v>87407133.333333328</v>
      </c>
      <c r="P450">
        <v>109984430.63063063</v>
      </c>
      <c r="Q450">
        <v>47307927.927927926</v>
      </c>
      <c r="R450">
        <v>50843873.873873875</v>
      </c>
      <c r="S450">
        <v>4454</v>
      </c>
      <c r="T450">
        <v>4576</v>
      </c>
    </row>
    <row r="451" spans="1:20" x14ac:dyDescent="0.35">
      <c r="A451" s="7" t="s">
        <v>548</v>
      </c>
      <c r="B451" s="12" t="s">
        <v>137</v>
      </c>
      <c r="C451">
        <v>500055233.99084044</v>
      </c>
      <c r="D451">
        <v>503379278.58760667</v>
      </c>
      <c r="E451">
        <v>256500786.48648649</v>
      </c>
      <c r="F451">
        <v>413114807.2072072</v>
      </c>
      <c r="G451">
        <v>232</v>
      </c>
      <c r="H451">
        <v>240</v>
      </c>
      <c r="I451">
        <v>7</v>
      </c>
      <c r="K451">
        <v>272</v>
      </c>
      <c r="L451">
        <v>319</v>
      </c>
      <c r="M451">
        <v>122964864.86486487</v>
      </c>
      <c r="N451">
        <v>121917117.11711712</v>
      </c>
      <c r="O451">
        <v>165924822.52252254</v>
      </c>
      <c r="P451">
        <v>176000187.38738739</v>
      </c>
      <c r="Q451">
        <v>107207063.06306306</v>
      </c>
      <c r="R451">
        <v>103284954.95495494</v>
      </c>
      <c r="S451">
        <v>12819</v>
      </c>
      <c r="T451">
        <v>12780</v>
      </c>
    </row>
    <row r="452" spans="1:20" x14ac:dyDescent="0.35">
      <c r="A452" s="7" t="s">
        <v>549</v>
      </c>
      <c r="B452" s="12" t="s">
        <v>137</v>
      </c>
      <c r="C452">
        <v>562124329.4064666</v>
      </c>
      <c r="D452">
        <v>580749841.77269185</v>
      </c>
      <c r="E452">
        <v>4485585.5855855877</v>
      </c>
      <c r="F452">
        <v>2079279.27927928</v>
      </c>
      <c r="G452">
        <v>82</v>
      </c>
      <c r="H452">
        <v>117</v>
      </c>
      <c r="I452">
        <v>2</v>
      </c>
      <c r="K452">
        <v>90</v>
      </c>
      <c r="L452">
        <v>121</v>
      </c>
      <c r="M452">
        <v>20350450.45045045</v>
      </c>
      <c r="N452">
        <v>23385585.585585587</v>
      </c>
      <c r="O452">
        <v>91888493.693693697</v>
      </c>
      <c r="P452">
        <v>99597612.612612605</v>
      </c>
      <c r="Q452">
        <v>20097837.837837841</v>
      </c>
      <c r="R452">
        <v>20188468.468468465</v>
      </c>
      <c r="S452">
        <v>8511</v>
      </c>
      <c r="T452">
        <v>8672</v>
      </c>
    </row>
    <row r="453" spans="1:20" x14ac:dyDescent="0.35">
      <c r="A453" s="7" t="s">
        <v>550</v>
      </c>
      <c r="B453" s="12" t="s">
        <v>137</v>
      </c>
      <c r="C453">
        <v>235277243.06523997</v>
      </c>
      <c r="D453">
        <v>221209838.07159808</v>
      </c>
      <c r="E453">
        <v>13330630.630630633</v>
      </c>
      <c r="F453">
        <v>53345045.045045041</v>
      </c>
      <c r="G453">
        <v>41</v>
      </c>
      <c r="H453">
        <v>55</v>
      </c>
      <c r="I453">
        <v>1</v>
      </c>
      <c r="K453">
        <v>45</v>
      </c>
      <c r="L453">
        <v>57</v>
      </c>
      <c r="M453">
        <v>19181981.981981982</v>
      </c>
      <c r="N453">
        <v>20805405.405405402</v>
      </c>
      <c r="O453">
        <v>39409342.342342347</v>
      </c>
      <c r="P453">
        <v>43118666.666666664</v>
      </c>
      <c r="Q453">
        <v>14511441.441441439</v>
      </c>
      <c r="R453">
        <v>16521351.351351352</v>
      </c>
      <c r="S453">
        <v>3930</v>
      </c>
      <c r="T453">
        <v>2953</v>
      </c>
    </row>
    <row r="454" spans="1:20" x14ac:dyDescent="0.35">
      <c r="A454" s="7" t="s">
        <v>551</v>
      </c>
      <c r="B454" s="12" t="s">
        <v>88</v>
      </c>
      <c r="C454">
        <v>97380479.017115459</v>
      </c>
      <c r="D454">
        <v>96483685.700298935</v>
      </c>
      <c r="E454">
        <v>158558.55855855899</v>
      </c>
      <c r="F454">
        <v>40540.540540540998</v>
      </c>
      <c r="G454">
        <v>46</v>
      </c>
      <c r="H454">
        <v>30</v>
      </c>
      <c r="K454">
        <v>49</v>
      </c>
      <c r="L454">
        <v>32</v>
      </c>
      <c r="M454">
        <v>6082882.8828828838</v>
      </c>
      <c r="N454">
        <v>4581081.0810810812</v>
      </c>
      <c r="O454">
        <v>15516971.171171172</v>
      </c>
      <c r="P454">
        <v>17037144.144144144</v>
      </c>
      <c r="Q454">
        <v>5918648.6486486495</v>
      </c>
      <c r="R454">
        <v>4094234.2342342348</v>
      </c>
      <c r="S454">
        <v>1505</v>
      </c>
      <c r="T454">
        <v>1355</v>
      </c>
    </row>
    <row r="455" spans="1:20" x14ac:dyDescent="0.35">
      <c r="A455" s="7" t="s">
        <v>552</v>
      </c>
      <c r="B455" s="12" t="s">
        <v>88</v>
      </c>
      <c r="C455">
        <v>147199845.28915262</v>
      </c>
      <c r="D455">
        <v>149938651.2826308</v>
      </c>
      <c r="E455">
        <v>527027.02702702803</v>
      </c>
      <c r="F455">
        <v>477477.47747747903</v>
      </c>
      <c r="G455">
        <v>83</v>
      </c>
      <c r="H455">
        <v>59</v>
      </c>
      <c r="K455">
        <v>93</v>
      </c>
      <c r="L455">
        <v>66</v>
      </c>
      <c r="M455">
        <v>11892792.792792792</v>
      </c>
      <c r="N455">
        <v>13013513.513513513</v>
      </c>
      <c r="O455">
        <v>21622917.117117114</v>
      </c>
      <c r="P455">
        <v>21447990.990990993</v>
      </c>
      <c r="Q455">
        <v>8684774.7747747749</v>
      </c>
      <c r="R455">
        <v>9093783.7837837841</v>
      </c>
      <c r="S455">
        <v>2728</v>
      </c>
      <c r="T455">
        <v>2634</v>
      </c>
    </row>
    <row r="456" spans="1:20" x14ac:dyDescent="0.35">
      <c r="A456" s="7" t="s">
        <v>553</v>
      </c>
      <c r="B456" s="12" t="s">
        <v>67</v>
      </c>
      <c r="C456">
        <v>296700641.32240838</v>
      </c>
      <c r="D456">
        <v>301232566.39407408</v>
      </c>
      <c r="E456">
        <v>10731531.531531535</v>
      </c>
      <c r="F456">
        <v>15308108.108108113</v>
      </c>
      <c r="G456">
        <v>94</v>
      </c>
      <c r="H456">
        <v>91</v>
      </c>
      <c r="I456">
        <v>1</v>
      </c>
      <c r="K456">
        <v>119</v>
      </c>
      <c r="L456">
        <v>122</v>
      </c>
      <c r="M456">
        <v>209050270.27027026</v>
      </c>
      <c r="N456">
        <v>267452207.2072072</v>
      </c>
      <c r="O456">
        <v>126858912.16216215</v>
      </c>
      <c r="P456">
        <v>126808135.13513513</v>
      </c>
      <c r="Q456">
        <v>192501171.17117116</v>
      </c>
      <c r="R456">
        <v>173795855.85585585</v>
      </c>
      <c r="S456">
        <v>12454</v>
      </c>
      <c r="T456">
        <v>9352</v>
      </c>
    </row>
    <row r="457" spans="1:20" x14ac:dyDescent="0.35">
      <c r="A457" s="7" t="s">
        <v>35</v>
      </c>
      <c r="B457" s="12" t="s">
        <v>159</v>
      </c>
      <c r="E457">
        <v>753030997.29729724</v>
      </c>
      <c r="F457">
        <v>732227963.06306303</v>
      </c>
      <c r="M457">
        <v>60180180.180180177</v>
      </c>
      <c r="N457">
        <v>59549549.54954955</v>
      </c>
    </row>
    <row r="458" spans="1:20" x14ac:dyDescent="0.35">
      <c r="A458" s="7" t="s">
        <v>554</v>
      </c>
      <c r="B458" s="12" t="s">
        <v>555</v>
      </c>
      <c r="C458">
        <v>588484676.29419339</v>
      </c>
      <c r="D458">
        <v>579883518.66586637</v>
      </c>
      <c r="E458">
        <v>190879883.78378376</v>
      </c>
      <c r="F458">
        <v>199159386.48648649</v>
      </c>
      <c r="G458">
        <v>123</v>
      </c>
      <c r="H458">
        <v>71</v>
      </c>
      <c r="I458">
        <v>2</v>
      </c>
      <c r="K458">
        <v>153</v>
      </c>
      <c r="L458">
        <v>83</v>
      </c>
      <c r="M458">
        <v>228803603.6036036</v>
      </c>
      <c r="N458">
        <v>228328828.82882884</v>
      </c>
      <c r="O458">
        <v>160001369.36936939</v>
      </c>
      <c r="P458">
        <v>181983387.38738739</v>
      </c>
      <c r="Q458">
        <v>208200900.9009009</v>
      </c>
      <c r="R458">
        <v>201263873.87387389</v>
      </c>
      <c r="S458">
        <v>9712</v>
      </c>
      <c r="T458">
        <v>9015</v>
      </c>
    </row>
    <row r="459" spans="1:20" x14ac:dyDescent="0.35">
      <c r="A459" s="7" t="s">
        <v>556</v>
      </c>
      <c r="B459" s="12" t="s">
        <v>555</v>
      </c>
      <c r="C459">
        <v>90551458.928968057</v>
      </c>
      <c r="D459">
        <v>90318989.675182849</v>
      </c>
      <c r="E459">
        <v>6833333.333333334</v>
      </c>
      <c r="F459">
        <v>6715315.3153153174</v>
      </c>
      <c r="G459">
        <v>34</v>
      </c>
      <c r="H459">
        <v>29</v>
      </c>
      <c r="K459">
        <v>36</v>
      </c>
      <c r="L459">
        <v>38</v>
      </c>
      <c r="M459">
        <v>11534234.234234236</v>
      </c>
      <c r="N459">
        <v>18710810.810810812</v>
      </c>
      <c r="O459">
        <v>32387423.423423424</v>
      </c>
      <c r="P459">
        <v>36769720.720720723</v>
      </c>
      <c r="Q459">
        <v>11643063.063063065</v>
      </c>
      <c r="R459">
        <v>7840450.450450452</v>
      </c>
      <c r="S459">
        <v>1506</v>
      </c>
      <c r="T459">
        <v>1532</v>
      </c>
    </row>
    <row r="460" spans="1:20" x14ac:dyDescent="0.35">
      <c r="A460" s="7" t="s">
        <v>557</v>
      </c>
      <c r="B460" s="12" t="s">
        <v>122</v>
      </c>
      <c r="C460">
        <v>66622159.563948452</v>
      </c>
      <c r="D460">
        <v>67074020.068697035</v>
      </c>
      <c r="E460">
        <v>315315.31531531498</v>
      </c>
      <c r="F460">
        <v>157657.65765765801</v>
      </c>
      <c r="G460">
        <v>32</v>
      </c>
      <c r="H460">
        <v>31</v>
      </c>
      <c r="K460">
        <v>35</v>
      </c>
      <c r="L460">
        <v>33</v>
      </c>
      <c r="M460">
        <v>315315.31531531498</v>
      </c>
      <c r="N460">
        <v>157657.65765765801</v>
      </c>
      <c r="O460">
        <v>6005756.7567567583</v>
      </c>
      <c r="P460">
        <v>8734099.0990990996</v>
      </c>
      <c r="Q460">
        <v>190720.720720721</v>
      </c>
      <c r="R460">
        <v>198198.19819819799</v>
      </c>
      <c r="S460">
        <v>1421</v>
      </c>
      <c r="T460">
        <v>1328</v>
      </c>
    </row>
    <row r="461" spans="1:20" x14ac:dyDescent="0.35">
      <c r="A461" s="7" t="s">
        <v>665</v>
      </c>
      <c r="B461" s="12" t="s">
        <v>237</v>
      </c>
      <c r="E461">
        <v>183439578.37837836</v>
      </c>
      <c r="F461">
        <v>172757481.08108109</v>
      </c>
      <c r="M461">
        <v>26494819.819819819</v>
      </c>
      <c r="N461">
        <v>12375945.945945946</v>
      </c>
    </row>
    <row r="462" spans="1:20" x14ac:dyDescent="0.35">
      <c r="A462" s="7" t="s">
        <v>558</v>
      </c>
      <c r="B462" s="12" t="s">
        <v>71</v>
      </c>
      <c r="C462">
        <v>539150227.17082083</v>
      </c>
      <c r="D462">
        <v>536714827.25123405</v>
      </c>
      <c r="E462">
        <v>6817117.1171171283</v>
      </c>
      <c r="F462">
        <v>14709909.909909911</v>
      </c>
      <c r="G462">
        <v>118</v>
      </c>
      <c r="H462">
        <v>149</v>
      </c>
      <c r="K462">
        <v>164</v>
      </c>
      <c r="L462">
        <v>182</v>
      </c>
      <c r="M462">
        <v>72971171.171171173</v>
      </c>
      <c r="N462">
        <v>161324324.32432431</v>
      </c>
      <c r="O462">
        <v>226389837.83783782</v>
      </c>
      <c r="P462">
        <v>227994333.33333334</v>
      </c>
      <c r="Q462">
        <v>74432072.072072074</v>
      </c>
      <c r="R462">
        <v>135318918.91891894</v>
      </c>
      <c r="S462">
        <v>10521</v>
      </c>
      <c r="T462">
        <v>10560</v>
      </c>
    </row>
    <row r="463" spans="1:20" x14ac:dyDescent="0.35">
      <c r="A463" s="7" t="s">
        <v>559</v>
      </c>
      <c r="B463" s="12" t="s">
        <v>63</v>
      </c>
      <c r="C463">
        <v>977742713.87838268</v>
      </c>
      <c r="D463">
        <v>978875462.84244263</v>
      </c>
      <c r="E463">
        <v>15991891.891891899</v>
      </c>
      <c r="F463">
        <v>24585585.585585594</v>
      </c>
      <c r="G463">
        <v>408</v>
      </c>
      <c r="H463">
        <v>493</v>
      </c>
      <c r="K463">
        <v>644</v>
      </c>
      <c r="L463">
        <v>821</v>
      </c>
      <c r="M463">
        <v>142571711.7117117</v>
      </c>
      <c r="N463">
        <v>272983963.96396399</v>
      </c>
      <c r="O463">
        <v>227484315.31531534</v>
      </c>
      <c r="P463">
        <v>257868963.96396396</v>
      </c>
      <c r="Q463">
        <v>139158288.2882883</v>
      </c>
      <c r="R463">
        <v>281047160.36036032</v>
      </c>
      <c r="S463">
        <v>18650</v>
      </c>
      <c r="T463">
        <v>18652</v>
      </c>
    </row>
    <row r="464" spans="1:20" x14ac:dyDescent="0.35">
      <c r="A464" s="7" t="s">
        <v>560</v>
      </c>
      <c r="B464" s="12" t="s">
        <v>480</v>
      </c>
      <c r="C464">
        <v>460492627.85120481</v>
      </c>
      <c r="D464">
        <v>467930730.80994934</v>
      </c>
      <c r="E464">
        <v>4731531.5315315332</v>
      </c>
      <c r="F464">
        <v>3527927.927927929</v>
      </c>
      <c r="G464">
        <v>176</v>
      </c>
      <c r="H464">
        <v>106</v>
      </c>
      <c r="I464">
        <v>1</v>
      </c>
      <c r="K464">
        <v>202</v>
      </c>
      <c r="L464">
        <v>117</v>
      </c>
      <c r="M464">
        <v>69333783.783783779</v>
      </c>
      <c r="N464">
        <v>66847972.972972974</v>
      </c>
      <c r="O464">
        <v>141101435.13513514</v>
      </c>
      <c r="P464">
        <v>143884027.02702701</v>
      </c>
      <c r="Q464">
        <v>60672612.612612613</v>
      </c>
      <c r="R464">
        <v>71266981.981981978</v>
      </c>
      <c r="S464">
        <v>9181</v>
      </c>
      <c r="T464">
        <v>7711</v>
      </c>
    </row>
    <row r="465" spans="1:20" x14ac:dyDescent="0.35">
      <c r="A465" s="7" t="s">
        <v>561</v>
      </c>
      <c r="B465" s="12" t="s">
        <v>237</v>
      </c>
      <c r="C465">
        <v>79977104.440461069</v>
      </c>
      <c r="D465">
        <v>80642912.987518117</v>
      </c>
      <c r="E465">
        <v>1321621.6216216211</v>
      </c>
      <c r="F465">
        <v>799099.09909909999</v>
      </c>
      <c r="G465">
        <v>26</v>
      </c>
      <c r="H465">
        <v>22</v>
      </c>
      <c r="K465">
        <v>52</v>
      </c>
      <c r="L465">
        <v>25</v>
      </c>
      <c r="M465">
        <v>6133963.963963964</v>
      </c>
      <c r="N465">
        <v>5829594.594594595</v>
      </c>
      <c r="O465">
        <v>29566144.144144144</v>
      </c>
      <c r="P465">
        <v>33162873.873873871</v>
      </c>
      <c r="Q465">
        <v>5941891.8918918902</v>
      </c>
      <c r="R465">
        <v>4590405.405405405</v>
      </c>
      <c r="S465">
        <v>2261</v>
      </c>
      <c r="T465">
        <v>2136</v>
      </c>
    </row>
    <row r="466" spans="1:20" x14ac:dyDescent="0.35">
      <c r="A466" s="7" t="s">
        <v>562</v>
      </c>
      <c r="B466" s="12" t="s">
        <v>61</v>
      </c>
      <c r="C466">
        <v>75210935.154225484</v>
      </c>
      <c r="D466">
        <v>74026127.83096762</v>
      </c>
      <c r="E466">
        <v>3186486.4864864852</v>
      </c>
      <c r="F466">
        <v>2057207.2072072071</v>
      </c>
      <c r="G466">
        <v>28</v>
      </c>
      <c r="H466">
        <v>58</v>
      </c>
      <c r="K466">
        <v>44</v>
      </c>
      <c r="L466">
        <v>118</v>
      </c>
      <c r="M466">
        <v>21428828.82882883</v>
      </c>
      <c r="N466">
        <v>18904054.054054055</v>
      </c>
      <c r="O466">
        <v>26851711.711711712</v>
      </c>
      <c r="P466">
        <v>26261504.504504506</v>
      </c>
      <c r="Q466">
        <v>21215585.585585587</v>
      </c>
      <c r="R466">
        <v>17178018.018018015</v>
      </c>
      <c r="S466">
        <v>1500</v>
      </c>
      <c r="T466">
        <v>1407</v>
      </c>
    </row>
    <row r="467" spans="1:20" x14ac:dyDescent="0.35">
      <c r="A467" s="7" t="s">
        <v>563</v>
      </c>
      <c r="B467" s="12" t="s">
        <v>564</v>
      </c>
      <c r="C467">
        <v>423429729.28370368</v>
      </c>
      <c r="D467">
        <v>442153160.84276348</v>
      </c>
      <c r="E467">
        <v>1038304145.945946</v>
      </c>
      <c r="F467">
        <v>536760264.86486489</v>
      </c>
      <c r="G467">
        <v>533</v>
      </c>
      <c r="H467">
        <v>383</v>
      </c>
      <c r="I467">
        <v>3</v>
      </c>
      <c r="K467">
        <v>848</v>
      </c>
      <c r="L467">
        <v>834</v>
      </c>
      <c r="M467">
        <v>712879475.67567563</v>
      </c>
      <c r="N467">
        <v>484201713.51351357</v>
      </c>
      <c r="O467">
        <v>180801216.21621624</v>
      </c>
      <c r="P467">
        <v>205623000</v>
      </c>
      <c r="Q467">
        <v>560153198.1981982</v>
      </c>
      <c r="R467">
        <v>671119618.01801801</v>
      </c>
      <c r="S467">
        <v>14293</v>
      </c>
      <c r="T467">
        <v>8620</v>
      </c>
    </row>
    <row r="468" spans="1:20" x14ac:dyDescent="0.35">
      <c r="A468" s="7" t="s">
        <v>565</v>
      </c>
      <c r="B468" s="12" t="s">
        <v>564</v>
      </c>
      <c r="C468">
        <v>576158276.28885174</v>
      </c>
      <c r="D468">
        <v>567692827.0966084</v>
      </c>
      <c r="E468">
        <v>7532432.4324324336</v>
      </c>
      <c r="F468">
        <v>12686036.036036037</v>
      </c>
      <c r="G468">
        <v>194</v>
      </c>
      <c r="H468">
        <v>193</v>
      </c>
      <c r="K468">
        <v>232</v>
      </c>
      <c r="L468">
        <v>321</v>
      </c>
      <c r="M468">
        <v>62364281.08108107</v>
      </c>
      <c r="N468">
        <v>92570450.45045045</v>
      </c>
      <c r="O468">
        <v>238997747.74774775</v>
      </c>
      <c r="P468">
        <v>247898342.34234235</v>
      </c>
      <c r="Q468">
        <v>75620180.180180177</v>
      </c>
      <c r="R468">
        <v>83217387.387387395</v>
      </c>
      <c r="S468">
        <v>15646</v>
      </c>
      <c r="T468">
        <v>12985</v>
      </c>
    </row>
    <row r="469" spans="1:20" x14ac:dyDescent="0.35">
      <c r="A469" s="7" t="s">
        <v>566</v>
      </c>
      <c r="B469" s="12" t="s">
        <v>564</v>
      </c>
      <c r="C469">
        <v>416352074.06069255</v>
      </c>
      <c r="D469">
        <v>446440028.27704346</v>
      </c>
      <c r="E469">
        <v>6522034.2342342371</v>
      </c>
      <c r="F469">
        <v>9190014.4144144114</v>
      </c>
      <c r="G469">
        <v>303</v>
      </c>
      <c r="H469">
        <v>219</v>
      </c>
      <c r="K469">
        <v>354</v>
      </c>
      <c r="L469">
        <v>289</v>
      </c>
      <c r="M469">
        <v>51643559.459459461</v>
      </c>
      <c r="N469">
        <v>85298514.414414421</v>
      </c>
      <c r="O469">
        <v>184297567.56756756</v>
      </c>
      <c r="P469">
        <v>202125972.97297296</v>
      </c>
      <c r="Q469">
        <v>50718648.648648649</v>
      </c>
      <c r="R469">
        <v>81762747.747747749</v>
      </c>
      <c r="S469">
        <v>18059</v>
      </c>
      <c r="T469">
        <v>11875</v>
      </c>
    </row>
    <row r="470" spans="1:20" x14ac:dyDescent="0.35">
      <c r="A470" s="7" t="s">
        <v>567</v>
      </c>
      <c r="B470" s="12" t="s">
        <v>564</v>
      </c>
      <c r="C470">
        <v>274435220.56353116</v>
      </c>
      <c r="D470">
        <v>292062288.96431172</v>
      </c>
      <c r="E470">
        <v>5736036.0360360388</v>
      </c>
      <c r="F470">
        <v>10054504.504504506</v>
      </c>
      <c r="G470">
        <v>31</v>
      </c>
      <c r="H470">
        <v>28</v>
      </c>
      <c r="K470">
        <v>38</v>
      </c>
      <c r="L470">
        <v>31</v>
      </c>
      <c r="M470">
        <v>58009385.585585587</v>
      </c>
      <c r="N470">
        <v>79792117.117117122</v>
      </c>
      <c r="O470">
        <v>162514423.42342341</v>
      </c>
      <c r="P470">
        <v>165914495.4954955</v>
      </c>
      <c r="Q470">
        <v>58109144.144144148</v>
      </c>
      <c r="R470">
        <v>82281396.396396399</v>
      </c>
      <c r="S470">
        <v>7574</v>
      </c>
      <c r="T470">
        <v>6589</v>
      </c>
    </row>
    <row r="471" spans="1:20" x14ac:dyDescent="0.35">
      <c r="A471" s="7" t="s">
        <v>568</v>
      </c>
      <c r="B471" s="12" t="s">
        <v>564</v>
      </c>
      <c r="C471">
        <v>160494832.4788309</v>
      </c>
      <c r="D471">
        <v>164244270.08892941</v>
      </c>
      <c r="E471">
        <v>117265765.76576576</v>
      </c>
      <c r="F471">
        <v>201803603.6036036</v>
      </c>
      <c r="G471">
        <v>47</v>
      </c>
      <c r="H471">
        <v>43</v>
      </c>
      <c r="I471">
        <v>3</v>
      </c>
      <c r="K471">
        <v>56</v>
      </c>
      <c r="L471">
        <v>74</v>
      </c>
      <c r="M471">
        <v>63751614.414414413</v>
      </c>
      <c r="N471">
        <v>76796171.171171173</v>
      </c>
      <c r="O471">
        <v>65853052.252252258</v>
      </c>
      <c r="P471">
        <v>72072432.432432428</v>
      </c>
      <c r="Q471">
        <v>35801261.261261262</v>
      </c>
      <c r="R471">
        <v>66621531.531531528</v>
      </c>
      <c r="S471">
        <v>6847</v>
      </c>
      <c r="T471">
        <v>4797</v>
      </c>
    </row>
    <row r="472" spans="1:20" x14ac:dyDescent="0.35">
      <c r="A472" s="7" t="s">
        <v>569</v>
      </c>
      <c r="B472" s="12" t="s">
        <v>49</v>
      </c>
      <c r="C472">
        <v>356983294.56927019</v>
      </c>
      <c r="D472">
        <v>364653626.45506555</v>
      </c>
      <c r="E472">
        <v>1454054.054054054</v>
      </c>
      <c r="F472">
        <v>1163063.063063063</v>
      </c>
      <c r="G472">
        <v>9</v>
      </c>
      <c r="H472">
        <v>20</v>
      </c>
      <c r="K472">
        <v>10</v>
      </c>
      <c r="L472">
        <v>22</v>
      </c>
      <c r="M472">
        <v>16571171.171171172</v>
      </c>
      <c r="N472">
        <v>10622522.522522524</v>
      </c>
      <c r="O472">
        <v>44456733.333333336</v>
      </c>
      <c r="P472">
        <v>50673682.882882878</v>
      </c>
      <c r="Q472">
        <v>18794774.774774775</v>
      </c>
      <c r="R472">
        <v>15948872.072072074</v>
      </c>
      <c r="S472">
        <v>6145</v>
      </c>
      <c r="T472">
        <v>6040</v>
      </c>
    </row>
    <row r="473" spans="1:20" x14ac:dyDescent="0.35">
      <c r="A473" s="7" t="s">
        <v>570</v>
      </c>
      <c r="B473" s="12" t="s">
        <v>170</v>
      </c>
      <c r="C473">
        <v>4962286176.4624424</v>
      </c>
      <c r="D473">
        <v>4817548658.6731176</v>
      </c>
      <c r="E473">
        <v>3342333757.6576576</v>
      </c>
      <c r="F473">
        <v>5316290452.2522526</v>
      </c>
      <c r="G473">
        <v>1305</v>
      </c>
      <c r="H473">
        <v>1704</v>
      </c>
      <c r="I473">
        <v>12</v>
      </c>
      <c r="K473">
        <v>1635</v>
      </c>
      <c r="L473">
        <v>3312</v>
      </c>
      <c r="M473">
        <v>667066495.49549556</v>
      </c>
      <c r="N473">
        <v>888881734.23423421</v>
      </c>
      <c r="O473">
        <v>3039657966.6666665</v>
      </c>
      <c r="P473">
        <v>5402683018.0180187</v>
      </c>
      <c r="Q473">
        <v>650844544.14414418</v>
      </c>
      <c r="R473">
        <v>833165760.36036026</v>
      </c>
      <c r="S473">
        <v>56816</v>
      </c>
      <c r="T473">
        <v>57225</v>
      </c>
    </row>
    <row r="474" spans="1:20" x14ac:dyDescent="0.35">
      <c r="A474" s="7" t="s">
        <v>571</v>
      </c>
      <c r="B474" s="12" t="s">
        <v>221</v>
      </c>
      <c r="C474">
        <v>312806713.19442028</v>
      </c>
      <c r="D474">
        <v>324914382.47242004</v>
      </c>
      <c r="E474">
        <v>107496396.3963964</v>
      </c>
      <c r="F474">
        <v>79409009.009009004</v>
      </c>
      <c r="G474">
        <v>30</v>
      </c>
      <c r="H474">
        <v>38</v>
      </c>
      <c r="K474">
        <v>33</v>
      </c>
      <c r="L474">
        <v>42</v>
      </c>
      <c r="M474">
        <v>25619774.774774775</v>
      </c>
      <c r="N474">
        <v>23084774.774774775</v>
      </c>
      <c r="O474">
        <v>51959261.261261262</v>
      </c>
      <c r="P474">
        <v>59132511.711711712</v>
      </c>
      <c r="Q474">
        <v>13439189.189189188</v>
      </c>
      <c r="R474">
        <v>22495135.135135137</v>
      </c>
      <c r="S474">
        <v>4565</v>
      </c>
      <c r="T474">
        <v>5018</v>
      </c>
    </row>
    <row r="475" spans="1:20" x14ac:dyDescent="0.35">
      <c r="A475" s="7" t="s">
        <v>572</v>
      </c>
      <c r="B475" s="12" t="s">
        <v>86</v>
      </c>
      <c r="C475">
        <v>388602792.20267099</v>
      </c>
      <c r="D475">
        <v>429578077.17205703</v>
      </c>
      <c r="E475">
        <v>789189.18918919098</v>
      </c>
      <c r="F475">
        <v>5534234.2342342334</v>
      </c>
      <c r="G475">
        <v>48</v>
      </c>
      <c r="H475">
        <v>17</v>
      </c>
      <c r="K475">
        <v>53</v>
      </c>
      <c r="L475">
        <v>24</v>
      </c>
      <c r="M475">
        <v>52178456.75675676</v>
      </c>
      <c r="N475">
        <v>99675945.945945948</v>
      </c>
      <c r="O475">
        <v>88607223.423423424</v>
      </c>
      <c r="P475">
        <v>108043412.61261261</v>
      </c>
      <c r="Q475">
        <v>38509279.279279277</v>
      </c>
      <c r="R475">
        <v>76058648.648648635</v>
      </c>
      <c r="S475">
        <v>5156</v>
      </c>
      <c r="T475">
        <v>5108</v>
      </c>
    </row>
    <row r="476" spans="1:20" x14ac:dyDescent="0.35">
      <c r="A476" s="7" t="s">
        <v>573</v>
      </c>
      <c r="B476" s="12" t="s">
        <v>480</v>
      </c>
      <c r="C476">
        <v>202755928.11361167</v>
      </c>
      <c r="D476">
        <v>184436278.78706148</v>
      </c>
      <c r="E476">
        <v>3616216.2162162089</v>
      </c>
      <c r="F476">
        <v>3368468.468468471</v>
      </c>
      <c r="G476">
        <v>117</v>
      </c>
      <c r="H476">
        <v>96</v>
      </c>
      <c r="K476">
        <v>143</v>
      </c>
      <c r="L476">
        <v>124</v>
      </c>
      <c r="M476">
        <v>36009009.009009011</v>
      </c>
      <c r="N476">
        <v>52883783.783783786</v>
      </c>
      <c r="O476">
        <v>83908724.324324325</v>
      </c>
      <c r="P476">
        <v>82316684.684684694</v>
      </c>
      <c r="Q476">
        <v>35711801.801801808</v>
      </c>
      <c r="R476">
        <v>50440270.270270273</v>
      </c>
      <c r="S476">
        <v>8035</v>
      </c>
      <c r="T476">
        <v>6522</v>
      </c>
    </row>
    <row r="477" spans="1:20" x14ac:dyDescent="0.35">
      <c r="A477" s="7" t="s">
        <v>574</v>
      </c>
      <c r="B477" s="12" t="s">
        <v>95</v>
      </c>
      <c r="C477">
        <v>522100927.24147975</v>
      </c>
      <c r="D477">
        <v>558560322.48658073</v>
      </c>
      <c r="E477">
        <v>3309009.0090090102</v>
      </c>
      <c r="F477">
        <v>5593693.6936936947</v>
      </c>
      <c r="G477">
        <v>94</v>
      </c>
      <c r="H477">
        <v>181</v>
      </c>
      <c r="I477">
        <v>1</v>
      </c>
      <c r="K477">
        <v>117</v>
      </c>
      <c r="L477">
        <v>337</v>
      </c>
      <c r="M477">
        <v>853546846.84684682</v>
      </c>
      <c r="N477">
        <v>47994594.59459459</v>
      </c>
      <c r="O477">
        <v>112098901.35135137</v>
      </c>
      <c r="P477">
        <v>126661322.52252252</v>
      </c>
      <c r="Q477">
        <v>41337027.027027033</v>
      </c>
      <c r="R477">
        <v>44463963.963963963</v>
      </c>
      <c r="S477">
        <v>9813</v>
      </c>
      <c r="T477">
        <v>9948</v>
      </c>
    </row>
    <row r="478" spans="1:20" x14ac:dyDescent="0.35">
      <c r="A478" s="7" t="s">
        <v>575</v>
      </c>
      <c r="B478" s="12" t="s">
        <v>308</v>
      </c>
      <c r="C478">
        <v>1210303181.9537611</v>
      </c>
      <c r="D478">
        <v>1241514711.4147184</v>
      </c>
      <c r="E478">
        <v>23568198.198198207</v>
      </c>
      <c r="F478">
        <v>25186486.486486491</v>
      </c>
      <c r="G478">
        <v>499</v>
      </c>
      <c r="H478">
        <v>493</v>
      </c>
      <c r="I478">
        <v>2</v>
      </c>
      <c r="K478">
        <v>580</v>
      </c>
      <c r="L478">
        <v>611</v>
      </c>
      <c r="M478">
        <v>1392169864.8648648</v>
      </c>
      <c r="N478">
        <v>458380180.18018013</v>
      </c>
      <c r="O478">
        <v>501571390.54054052</v>
      </c>
      <c r="P478">
        <v>521722756.75675672</v>
      </c>
      <c r="Q478">
        <v>284274369.36936939</v>
      </c>
      <c r="R478">
        <v>279208648.64864862</v>
      </c>
      <c r="S478">
        <v>37740</v>
      </c>
      <c r="T478">
        <v>33792</v>
      </c>
    </row>
    <row r="479" spans="1:20" x14ac:dyDescent="0.35">
      <c r="A479" s="7" t="s">
        <v>10</v>
      </c>
      <c r="B479" s="12" t="s">
        <v>194</v>
      </c>
      <c r="C479">
        <v>197710333.08891955</v>
      </c>
      <c r="D479">
        <v>196454591.09283718</v>
      </c>
      <c r="G479">
        <v>29</v>
      </c>
      <c r="H479">
        <v>21</v>
      </c>
      <c r="K479">
        <v>30</v>
      </c>
      <c r="L479">
        <v>27</v>
      </c>
      <c r="O479">
        <v>118216142.34234233</v>
      </c>
      <c r="P479">
        <v>116823747.74774775</v>
      </c>
      <c r="Q479">
        <v>19639.639639640001</v>
      </c>
      <c r="R479">
        <v>576486.48648648604</v>
      </c>
      <c r="S479">
        <v>3939</v>
      </c>
      <c r="T479">
        <v>3850</v>
      </c>
    </row>
    <row r="480" spans="1:20" x14ac:dyDescent="0.35">
      <c r="A480" s="7" t="s">
        <v>576</v>
      </c>
      <c r="B480" s="12" t="s">
        <v>88</v>
      </c>
      <c r="C480">
        <v>4269526.6933919881</v>
      </c>
      <c r="D480">
        <v>4980893.7590554859</v>
      </c>
      <c r="G480">
        <v>18</v>
      </c>
      <c r="H480">
        <v>11</v>
      </c>
      <c r="K480">
        <v>18</v>
      </c>
      <c r="L480">
        <v>11</v>
      </c>
      <c r="O480">
        <v>1418754.954954955</v>
      </c>
      <c r="P480">
        <v>1772342.3423423429</v>
      </c>
      <c r="S480">
        <v>247</v>
      </c>
      <c r="T480">
        <v>222</v>
      </c>
    </row>
    <row r="481" spans="1:20" x14ac:dyDescent="0.35">
      <c r="A481" s="7" t="s">
        <v>577</v>
      </c>
      <c r="B481" s="12" t="s">
        <v>284</v>
      </c>
      <c r="C481">
        <v>273626374.4398393</v>
      </c>
      <c r="D481">
        <v>285674449.70697135</v>
      </c>
      <c r="E481">
        <v>400000</v>
      </c>
      <c r="F481">
        <v>433333.33333333302</v>
      </c>
      <c r="G481">
        <v>49</v>
      </c>
      <c r="H481">
        <v>14</v>
      </c>
      <c r="I481">
        <v>1</v>
      </c>
      <c r="K481">
        <v>50</v>
      </c>
      <c r="L481">
        <v>15</v>
      </c>
      <c r="M481">
        <v>18922522.52252252</v>
      </c>
      <c r="N481">
        <v>19045945.945945945</v>
      </c>
      <c r="O481">
        <v>43461954.954954952</v>
      </c>
      <c r="P481">
        <v>43851252.252252258</v>
      </c>
      <c r="Q481">
        <v>20468018.018018018</v>
      </c>
      <c r="R481">
        <v>17920900.9009009</v>
      </c>
      <c r="S481">
        <v>3642</v>
      </c>
      <c r="T481">
        <v>3523</v>
      </c>
    </row>
    <row r="482" spans="1:20" x14ac:dyDescent="0.35">
      <c r="A482" s="7" t="s">
        <v>578</v>
      </c>
      <c r="B482" s="12" t="s">
        <v>308</v>
      </c>
      <c r="C482">
        <v>1191475278.5076721</v>
      </c>
      <c r="D482">
        <v>1214630730.5054734</v>
      </c>
      <c r="E482">
        <v>11686036.036036044</v>
      </c>
      <c r="F482">
        <v>22015765.765765771</v>
      </c>
      <c r="G482">
        <v>487</v>
      </c>
      <c r="H482">
        <v>433</v>
      </c>
      <c r="K482">
        <v>542</v>
      </c>
      <c r="L482">
        <v>522</v>
      </c>
      <c r="M482">
        <v>144370765.76576576</v>
      </c>
      <c r="N482">
        <v>351710727.92792791</v>
      </c>
      <c r="O482">
        <v>502030657.65765768</v>
      </c>
      <c r="P482">
        <v>516880322.52252251</v>
      </c>
      <c r="Q482">
        <v>133018333.33333333</v>
      </c>
      <c r="R482">
        <v>210701081.08108109</v>
      </c>
      <c r="S482">
        <v>48909</v>
      </c>
      <c r="T482">
        <v>39311</v>
      </c>
    </row>
    <row r="483" spans="1:20" x14ac:dyDescent="0.35">
      <c r="A483" s="7" t="s">
        <v>579</v>
      </c>
      <c r="B483" s="12" t="s">
        <v>331</v>
      </c>
      <c r="C483">
        <v>1096725730.3144033</v>
      </c>
      <c r="D483">
        <v>1096933562.1815252</v>
      </c>
      <c r="E483">
        <v>11794594.594594594</v>
      </c>
      <c r="F483">
        <v>8032432.432432441</v>
      </c>
      <c r="G483">
        <v>391</v>
      </c>
      <c r="H483">
        <v>430</v>
      </c>
      <c r="I483">
        <v>17</v>
      </c>
      <c r="K483">
        <v>578</v>
      </c>
      <c r="L483">
        <v>537</v>
      </c>
      <c r="M483">
        <v>193412252.25225225</v>
      </c>
      <c r="N483">
        <v>181272612.61261261</v>
      </c>
      <c r="O483">
        <v>237535909.90990993</v>
      </c>
      <c r="P483">
        <v>248893034.23423424</v>
      </c>
      <c r="Q483">
        <v>190099819.81981981</v>
      </c>
      <c r="R483">
        <v>179643873.87387386</v>
      </c>
      <c r="S483">
        <v>31865</v>
      </c>
      <c r="T483">
        <v>27987</v>
      </c>
    </row>
    <row r="484" spans="1:20" x14ac:dyDescent="0.35">
      <c r="A484" s="7" t="s">
        <v>580</v>
      </c>
      <c r="B484" s="12" t="s">
        <v>67</v>
      </c>
      <c r="C484">
        <v>170728795.07286394</v>
      </c>
      <c r="D484">
        <v>165749241.9906126</v>
      </c>
      <c r="E484">
        <v>453568018.01801807</v>
      </c>
      <c r="F484">
        <v>478508108.1081081</v>
      </c>
      <c r="G484">
        <v>29</v>
      </c>
      <c r="H484">
        <v>18</v>
      </c>
      <c r="K484">
        <v>31</v>
      </c>
      <c r="L484">
        <v>19</v>
      </c>
      <c r="M484">
        <v>20642117.117117122</v>
      </c>
      <c r="N484">
        <v>25687837.837837838</v>
      </c>
      <c r="O484">
        <v>46673644.144144148</v>
      </c>
      <c r="P484">
        <v>42101099.0990991</v>
      </c>
      <c r="Q484">
        <v>4760450.450450453</v>
      </c>
      <c r="R484">
        <v>4280720.7207207214</v>
      </c>
      <c r="S484">
        <v>4189</v>
      </c>
      <c r="T484">
        <v>3318</v>
      </c>
    </row>
    <row r="485" spans="1:20" x14ac:dyDescent="0.35">
      <c r="A485" s="7" t="s">
        <v>581</v>
      </c>
      <c r="B485" s="12" t="s">
        <v>237</v>
      </c>
      <c r="C485">
        <v>12027.629113666</v>
      </c>
      <c r="D485">
        <v>40678.231104680999</v>
      </c>
      <c r="P485">
        <v>34234.234234233998</v>
      </c>
      <c r="S485">
        <v>1</v>
      </c>
    </row>
    <row r="486" spans="1:20" x14ac:dyDescent="0.35">
      <c r="A486" s="7" t="s">
        <v>582</v>
      </c>
      <c r="B486" s="12" t="s">
        <v>63</v>
      </c>
      <c r="C486">
        <v>437874900.60405809</v>
      </c>
      <c r="D486">
        <v>439380051.50318623</v>
      </c>
      <c r="E486">
        <v>4245045.0450450564</v>
      </c>
      <c r="F486">
        <v>3444144.1441441509</v>
      </c>
      <c r="G486">
        <v>210</v>
      </c>
      <c r="H486">
        <v>84</v>
      </c>
      <c r="K486">
        <v>216</v>
      </c>
      <c r="L486">
        <v>166</v>
      </c>
      <c r="M486">
        <v>41398198.198198199</v>
      </c>
      <c r="N486">
        <v>48440900.900900893</v>
      </c>
      <c r="O486">
        <v>99868045.045045033</v>
      </c>
      <c r="P486">
        <v>111918684.68468469</v>
      </c>
      <c r="Q486">
        <v>39798378.378378376</v>
      </c>
      <c r="R486">
        <v>43172702.702702701</v>
      </c>
      <c r="S486">
        <v>6819</v>
      </c>
      <c r="T486">
        <v>6901</v>
      </c>
    </row>
    <row r="487" spans="1:20" x14ac:dyDescent="0.35">
      <c r="A487" s="7" t="s">
        <v>583</v>
      </c>
      <c r="B487" s="12" t="s">
        <v>49</v>
      </c>
      <c r="C487">
        <v>393626136.86566329</v>
      </c>
      <c r="D487">
        <v>375565071.03771406</v>
      </c>
      <c r="E487">
        <v>2496891.8918918921</v>
      </c>
      <c r="F487">
        <v>4733333.333333334</v>
      </c>
      <c r="G487">
        <v>37</v>
      </c>
      <c r="H487">
        <v>18</v>
      </c>
      <c r="K487">
        <v>39</v>
      </c>
      <c r="L487">
        <v>22</v>
      </c>
      <c r="M487">
        <v>125272882.88288288</v>
      </c>
      <c r="N487">
        <v>40437837.837837838</v>
      </c>
      <c r="O487">
        <v>57940986.486486487</v>
      </c>
      <c r="P487">
        <v>64886972.972972974</v>
      </c>
      <c r="Q487">
        <v>118780990.990991</v>
      </c>
      <c r="R487">
        <v>68665765.765765771</v>
      </c>
      <c r="S487">
        <v>5300</v>
      </c>
      <c r="T487">
        <v>5295</v>
      </c>
    </row>
    <row r="488" spans="1:20" x14ac:dyDescent="0.35">
      <c r="A488" s="7" t="s">
        <v>584</v>
      </c>
      <c r="B488" s="12" t="s">
        <v>55</v>
      </c>
      <c r="C488">
        <v>78127863.625895679</v>
      </c>
      <c r="D488">
        <v>77672159.800247893</v>
      </c>
      <c r="E488">
        <v>963063.06306306506</v>
      </c>
      <c r="F488">
        <v>4065765.765765768</v>
      </c>
      <c r="G488">
        <v>26</v>
      </c>
      <c r="H488">
        <v>68</v>
      </c>
      <c r="K488">
        <v>70</v>
      </c>
      <c r="L488">
        <v>209</v>
      </c>
      <c r="M488">
        <v>11988828.828828828</v>
      </c>
      <c r="N488">
        <v>21587747.747747749</v>
      </c>
      <c r="O488">
        <v>20229740.990990993</v>
      </c>
      <c r="P488">
        <v>22686495.495495494</v>
      </c>
      <c r="Q488">
        <v>10836486.486486485</v>
      </c>
      <c r="R488">
        <v>18508648.648648649</v>
      </c>
      <c r="S488">
        <v>2553</v>
      </c>
      <c r="T488">
        <v>2071</v>
      </c>
    </row>
    <row r="489" spans="1:20" x14ac:dyDescent="0.35">
      <c r="A489" s="7" t="s">
        <v>585</v>
      </c>
      <c r="B489" s="12" t="s">
        <v>71</v>
      </c>
      <c r="C489">
        <v>201101148.14087698</v>
      </c>
      <c r="D489">
        <v>196200977.53382123</v>
      </c>
      <c r="E489">
        <v>113513.513513514</v>
      </c>
      <c r="F489">
        <v>865765.76576576696</v>
      </c>
      <c r="G489">
        <v>53</v>
      </c>
      <c r="H489">
        <v>25</v>
      </c>
      <c r="I489">
        <v>2</v>
      </c>
      <c r="K489">
        <v>54</v>
      </c>
      <c r="L489">
        <v>31</v>
      </c>
      <c r="M489">
        <v>1601801.801801804</v>
      </c>
      <c r="N489">
        <v>3804504.5045045041</v>
      </c>
      <c r="O489">
        <v>91433567.567567572</v>
      </c>
      <c r="P489">
        <v>90034781.981981978</v>
      </c>
      <c r="Q489">
        <v>1812612.6126126139</v>
      </c>
      <c r="R489">
        <v>3056306.3063063049</v>
      </c>
      <c r="S489">
        <v>3752</v>
      </c>
      <c r="T489">
        <v>3501</v>
      </c>
    </row>
    <row r="490" spans="1:20" x14ac:dyDescent="0.35">
      <c r="A490" s="7" t="s">
        <v>586</v>
      </c>
      <c r="B490" s="12" t="s">
        <v>331</v>
      </c>
      <c r="C490">
        <v>755508667.79080689</v>
      </c>
      <c r="D490">
        <v>713136647.71817982</v>
      </c>
      <c r="E490">
        <v>9840315.3153153155</v>
      </c>
      <c r="F490">
        <v>4354954.9549549595</v>
      </c>
      <c r="G490">
        <v>308</v>
      </c>
      <c r="H490">
        <v>343</v>
      </c>
      <c r="K490">
        <v>364</v>
      </c>
      <c r="L490">
        <v>408</v>
      </c>
      <c r="M490">
        <v>102472792.7927928</v>
      </c>
      <c r="N490">
        <v>63812837.837837838</v>
      </c>
      <c r="O490">
        <v>223705805.4054054</v>
      </c>
      <c r="P490">
        <v>190868681.08108109</v>
      </c>
      <c r="Q490">
        <v>94230180.180180177</v>
      </c>
      <c r="R490">
        <v>66534099.0990991</v>
      </c>
      <c r="S490">
        <v>22597</v>
      </c>
      <c r="T490">
        <v>19536</v>
      </c>
    </row>
    <row r="491" spans="1:20" x14ac:dyDescent="0.35">
      <c r="A491" s="7" t="s">
        <v>587</v>
      </c>
      <c r="B491" s="12" t="s">
        <v>67</v>
      </c>
      <c r="C491">
        <v>363338343.38145119</v>
      </c>
      <c r="D491">
        <v>385891074.04223442</v>
      </c>
      <c r="E491">
        <v>714264071.17117119</v>
      </c>
      <c r="F491">
        <v>921805681.08108103</v>
      </c>
      <c r="G491">
        <v>176</v>
      </c>
      <c r="H491">
        <v>158</v>
      </c>
      <c r="K491">
        <v>378</v>
      </c>
      <c r="L491">
        <v>183</v>
      </c>
      <c r="M491">
        <v>87138873.873873875</v>
      </c>
      <c r="N491">
        <v>234289347.74774775</v>
      </c>
      <c r="O491">
        <v>180886432.43243244</v>
      </c>
      <c r="P491">
        <v>198618234.23423424</v>
      </c>
      <c r="Q491">
        <v>77737162.162162155</v>
      </c>
      <c r="R491">
        <v>118929639.63963965</v>
      </c>
      <c r="S491">
        <v>14032</v>
      </c>
      <c r="T491">
        <v>10878</v>
      </c>
    </row>
    <row r="492" spans="1:20" x14ac:dyDescent="0.35">
      <c r="A492" s="7" t="s">
        <v>11</v>
      </c>
      <c r="B492" s="12" t="s">
        <v>194</v>
      </c>
      <c r="C492">
        <v>173172250.88152787</v>
      </c>
      <c r="D492">
        <v>160926255.21323258</v>
      </c>
      <c r="E492">
        <v>600000.00000000198</v>
      </c>
      <c r="F492">
        <v>651351.35135135101</v>
      </c>
      <c r="G492">
        <v>37</v>
      </c>
      <c r="H492">
        <v>35</v>
      </c>
      <c r="K492">
        <v>44</v>
      </c>
      <c r="L492">
        <v>38</v>
      </c>
      <c r="M492">
        <v>14518918.918918921</v>
      </c>
      <c r="N492">
        <v>13534234.234234236</v>
      </c>
      <c r="O492">
        <v>58553362.612612613</v>
      </c>
      <c r="P492">
        <v>61621531.531531535</v>
      </c>
      <c r="Q492">
        <v>15268198.198198197</v>
      </c>
      <c r="R492">
        <v>12930360.360360362</v>
      </c>
      <c r="S492">
        <v>5115</v>
      </c>
      <c r="T492">
        <v>3793</v>
      </c>
    </row>
    <row r="493" spans="1:20" x14ac:dyDescent="0.35">
      <c r="A493" s="7" t="s">
        <v>12</v>
      </c>
      <c r="B493" s="12" t="s">
        <v>194</v>
      </c>
      <c r="C493">
        <v>117295517.37248795</v>
      </c>
      <c r="D493">
        <v>104780669.25245151</v>
      </c>
      <c r="E493">
        <v>96102702.702702701</v>
      </c>
      <c r="F493">
        <v>101803603.6036036</v>
      </c>
      <c r="G493">
        <v>21</v>
      </c>
      <c r="H493">
        <v>18</v>
      </c>
      <c r="K493">
        <v>22</v>
      </c>
      <c r="L493">
        <v>25</v>
      </c>
      <c r="M493">
        <v>25883108.108108107</v>
      </c>
      <c r="N493">
        <v>8184909.9099099115</v>
      </c>
      <c r="O493">
        <v>46494657.657657653</v>
      </c>
      <c r="P493">
        <v>45172603.603603601</v>
      </c>
      <c r="Q493">
        <v>25516396.396396395</v>
      </c>
      <c r="R493">
        <v>8347207.2072072094</v>
      </c>
      <c r="S493">
        <v>4123</v>
      </c>
      <c r="T493">
        <v>2867</v>
      </c>
    </row>
    <row r="494" spans="1:20" x14ac:dyDescent="0.35">
      <c r="A494" s="7" t="s">
        <v>588</v>
      </c>
      <c r="B494" s="12" t="s">
        <v>61</v>
      </c>
      <c r="C494">
        <v>91962140.116314918</v>
      </c>
      <c r="D494">
        <v>95382657.733124346</v>
      </c>
      <c r="E494">
        <v>1648648.648648649</v>
      </c>
      <c r="F494">
        <v>3005855.855855858</v>
      </c>
      <c r="G494">
        <v>40</v>
      </c>
      <c r="H494">
        <v>41</v>
      </c>
      <c r="I494">
        <v>3</v>
      </c>
      <c r="K494">
        <v>50</v>
      </c>
      <c r="L494">
        <v>69</v>
      </c>
      <c r="M494">
        <v>15990990.990990993</v>
      </c>
      <c r="N494">
        <v>20996846.846846849</v>
      </c>
      <c r="O494">
        <v>33891074.324324325</v>
      </c>
      <c r="P494">
        <v>36511133.333333336</v>
      </c>
      <c r="Q494">
        <v>14686036.036036037</v>
      </c>
      <c r="R494">
        <v>18773376.576576576</v>
      </c>
      <c r="S494">
        <v>1970</v>
      </c>
      <c r="T494">
        <v>1516</v>
      </c>
    </row>
    <row r="495" spans="1:20" x14ac:dyDescent="0.35">
      <c r="A495" s="7" t="s">
        <v>589</v>
      </c>
      <c r="B495" s="12" t="s">
        <v>308</v>
      </c>
      <c r="C495">
        <v>2592533117.2966685</v>
      </c>
      <c r="D495">
        <v>2545055760.3656831</v>
      </c>
      <c r="E495">
        <v>2477802627.0270271</v>
      </c>
      <c r="F495">
        <v>1923716597.2972975</v>
      </c>
      <c r="G495">
        <v>1285</v>
      </c>
      <c r="H495">
        <v>771</v>
      </c>
      <c r="I495">
        <v>2</v>
      </c>
      <c r="K495">
        <v>1494</v>
      </c>
      <c r="L495">
        <v>972</v>
      </c>
      <c r="M495">
        <v>567401699.09909904</v>
      </c>
      <c r="N495">
        <v>843889684.68468463</v>
      </c>
      <c r="O495">
        <v>832581662.16216218</v>
      </c>
      <c r="P495">
        <v>851644882.88288283</v>
      </c>
      <c r="Q495">
        <v>528589639.63963962</v>
      </c>
      <c r="R495">
        <v>581221441.44144142</v>
      </c>
      <c r="S495">
        <v>81291</v>
      </c>
      <c r="T495">
        <v>64785</v>
      </c>
    </row>
    <row r="496" spans="1:20" x14ac:dyDescent="0.35">
      <c r="A496" s="7" t="s">
        <v>590</v>
      </c>
      <c r="B496" s="12" t="s">
        <v>53</v>
      </c>
      <c r="C496">
        <v>624054027.47932136</v>
      </c>
      <c r="D496">
        <v>646554711.18179989</v>
      </c>
      <c r="E496">
        <v>11035433.333333338</v>
      </c>
      <c r="F496">
        <v>17529729.729729731</v>
      </c>
      <c r="G496">
        <v>142</v>
      </c>
      <c r="H496">
        <v>385</v>
      </c>
      <c r="K496">
        <v>311</v>
      </c>
      <c r="L496">
        <v>761</v>
      </c>
      <c r="M496">
        <v>155586612.61261261</v>
      </c>
      <c r="N496">
        <v>234390090.09009007</v>
      </c>
      <c r="O496">
        <v>249997621.62162164</v>
      </c>
      <c r="P496">
        <v>274087909.9099099</v>
      </c>
      <c r="Q496">
        <v>166768063.06306309</v>
      </c>
      <c r="R496">
        <v>226052792.7927928</v>
      </c>
      <c r="S496">
        <v>16205</v>
      </c>
      <c r="T496">
        <v>14268</v>
      </c>
    </row>
    <row r="497" spans="1:20" x14ac:dyDescent="0.35">
      <c r="A497" s="7" t="s">
        <v>591</v>
      </c>
      <c r="B497" s="12" t="s">
        <v>55</v>
      </c>
      <c r="C497">
        <v>53140821.812738568</v>
      </c>
      <c r="D497">
        <v>50936215.889402106</v>
      </c>
      <c r="E497">
        <v>1226126.1261261259</v>
      </c>
      <c r="F497">
        <v>2282882.8828828838</v>
      </c>
      <c r="G497">
        <v>22</v>
      </c>
      <c r="H497">
        <v>36</v>
      </c>
      <c r="K497">
        <v>28</v>
      </c>
      <c r="L497">
        <v>43</v>
      </c>
      <c r="M497">
        <v>12767117.117117118</v>
      </c>
      <c r="N497">
        <v>10082432.432432432</v>
      </c>
      <c r="O497">
        <v>16817995.495495494</v>
      </c>
      <c r="P497">
        <v>17728139.639639638</v>
      </c>
      <c r="Q497">
        <v>13117837.837837836</v>
      </c>
      <c r="R497">
        <v>11660810.81081081</v>
      </c>
      <c r="S497">
        <v>1677</v>
      </c>
      <c r="T497">
        <v>1573</v>
      </c>
    </row>
    <row r="498" spans="1:20" x14ac:dyDescent="0.35">
      <c r="A498" s="7" t="s">
        <v>592</v>
      </c>
      <c r="B498" s="12" t="s">
        <v>170</v>
      </c>
      <c r="C498">
        <v>1509576981.189394</v>
      </c>
      <c r="D498">
        <v>1486115015.2600765</v>
      </c>
      <c r="E498">
        <v>9049324.3243243285</v>
      </c>
      <c r="F498">
        <v>23357929.729729734</v>
      </c>
      <c r="G498">
        <v>111</v>
      </c>
      <c r="H498">
        <v>151</v>
      </c>
      <c r="I498">
        <v>3</v>
      </c>
      <c r="K498">
        <v>128</v>
      </c>
      <c r="L498">
        <v>183</v>
      </c>
      <c r="M498">
        <v>281331709.9099099</v>
      </c>
      <c r="N498">
        <v>400053695.4954955</v>
      </c>
      <c r="O498">
        <v>510175545.04504508</v>
      </c>
      <c r="P498">
        <v>534652990.990991</v>
      </c>
      <c r="Q498">
        <v>263915945.94594595</v>
      </c>
      <c r="R498">
        <v>337871891.8918919</v>
      </c>
      <c r="S498">
        <v>23728</v>
      </c>
      <c r="T498">
        <v>23346</v>
      </c>
    </row>
    <row r="499" spans="1:20" x14ac:dyDescent="0.35">
      <c r="A499" s="7" t="s">
        <v>593</v>
      </c>
      <c r="B499" s="12" t="s">
        <v>88</v>
      </c>
      <c r="C499">
        <v>7544332.830502891</v>
      </c>
      <c r="D499">
        <v>6514186.6866229437</v>
      </c>
      <c r="G499">
        <v>2</v>
      </c>
      <c r="K499">
        <v>2</v>
      </c>
      <c r="O499">
        <v>1849729.729729729</v>
      </c>
      <c r="P499">
        <v>2913378.3783783792</v>
      </c>
      <c r="S499">
        <v>353</v>
      </c>
      <c r="T499">
        <v>277</v>
      </c>
    </row>
    <row r="500" spans="1:20" x14ac:dyDescent="0.35">
      <c r="A500" s="7" t="s">
        <v>594</v>
      </c>
      <c r="B500" s="12" t="s">
        <v>144</v>
      </c>
      <c r="C500">
        <v>105696761.65235288</v>
      </c>
      <c r="D500">
        <v>105808196.87769876</v>
      </c>
      <c r="E500">
        <v>105300357.65765767</v>
      </c>
      <c r="F500">
        <v>139920391.8918919</v>
      </c>
      <c r="G500">
        <v>28</v>
      </c>
      <c r="H500">
        <v>4</v>
      </c>
      <c r="K500">
        <v>28</v>
      </c>
      <c r="L500">
        <v>4</v>
      </c>
      <c r="M500">
        <v>43034234.234234229</v>
      </c>
      <c r="N500">
        <v>36094594.59459459</v>
      </c>
      <c r="O500">
        <v>11263594.594594596</v>
      </c>
      <c r="P500">
        <v>10964378.378378376</v>
      </c>
      <c r="Q500">
        <v>5935225.2252252251</v>
      </c>
      <c r="R500">
        <v>5821531.5315315314</v>
      </c>
      <c r="S500">
        <v>1618</v>
      </c>
      <c r="T500">
        <v>1610</v>
      </c>
    </row>
    <row r="501" spans="1:20" x14ac:dyDescent="0.35">
      <c r="A501" s="7" t="s">
        <v>595</v>
      </c>
      <c r="B501" s="12" t="s">
        <v>291</v>
      </c>
      <c r="C501">
        <v>28909009.474492855</v>
      </c>
      <c r="D501">
        <v>27463717.453810532</v>
      </c>
      <c r="E501">
        <v>339138656.75675672</v>
      </c>
      <c r="F501">
        <v>187425013.51351351</v>
      </c>
      <c r="G501">
        <v>1</v>
      </c>
      <c r="H501">
        <v>14</v>
      </c>
      <c r="K501">
        <v>2</v>
      </c>
      <c r="L501">
        <v>16</v>
      </c>
      <c r="M501">
        <v>25315335.135135137</v>
      </c>
      <c r="N501">
        <v>29166625.225225225</v>
      </c>
      <c r="O501">
        <v>1576576.576576577</v>
      </c>
      <c r="P501">
        <v>1935495.4954954949</v>
      </c>
      <c r="S501">
        <v>736</v>
      </c>
      <c r="T501">
        <v>778</v>
      </c>
    </row>
    <row r="502" spans="1:20" x14ac:dyDescent="0.35">
      <c r="A502" s="7" t="s">
        <v>596</v>
      </c>
      <c r="B502" s="12" t="s">
        <v>93</v>
      </c>
      <c r="C502">
        <v>38748771.206585929</v>
      </c>
      <c r="D502">
        <v>37162745.545826569</v>
      </c>
      <c r="E502">
        <v>1338738.7387387389</v>
      </c>
      <c r="F502">
        <v>1544594.5945945941</v>
      </c>
      <c r="G502">
        <v>19</v>
      </c>
      <c r="H502">
        <v>8</v>
      </c>
      <c r="K502">
        <v>19</v>
      </c>
      <c r="L502">
        <v>9</v>
      </c>
      <c r="M502">
        <v>4270990.9909909908</v>
      </c>
      <c r="N502">
        <v>6716666.666666666</v>
      </c>
      <c r="O502">
        <v>6789270.2702702712</v>
      </c>
      <c r="P502">
        <v>6653324.3243243238</v>
      </c>
      <c r="Q502">
        <v>4213963.963963964</v>
      </c>
      <c r="R502">
        <v>6515765.7657657657</v>
      </c>
      <c r="S502">
        <v>812</v>
      </c>
      <c r="T502">
        <v>1352</v>
      </c>
    </row>
    <row r="503" spans="1:20" x14ac:dyDescent="0.35">
      <c r="A503" s="7" t="s">
        <v>597</v>
      </c>
      <c r="B503" s="12" t="s">
        <v>51</v>
      </c>
      <c r="C503">
        <v>128790895.33551964</v>
      </c>
      <c r="D503">
        <v>128380759.1953802</v>
      </c>
      <c r="E503">
        <v>524318536.93693697</v>
      </c>
      <c r="F503">
        <v>256984487.38738739</v>
      </c>
      <c r="G503">
        <v>11</v>
      </c>
      <c r="H503">
        <v>10</v>
      </c>
      <c r="K503">
        <v>13</v>
      </c>
      <c r="L503">
        <v>12</v>
      </c>
      <c r="M503">
        <v>141888288.2882883</v>
      </c>
      <c r="N503">
        <v>123722162.16216215</v>
      </c>
      <c r="O503">
        <v>27989861.261261258</v>
      </c>
      <c r="P503">
        <v>28938234.234234236</v>
      </c>
      <c r="Q503">
        <v>43818378.378378376</v>
      </c>
      <c r="R503">
        <v>22995585.585585583</v>
      </c>
      <c r="S503">
        <v>1641</v>
      </c>
      <c r="T503">
        <v>873</v>
      </c>
    </row>
    <row r="504" spans="1:20" x14ac:dyDescent="0.35">
      <c r="A504" s="7" t="s">
        <v>598</v>
      </c>
      <c r="B504" s="12" t="s">
        <v>90</v>
      </c>
      <c r="C504">
        <v>196198726.86530903</v>
      </c>
      <c r="D504">
        <v>201290012.56305948</v>
      </c>
      <c r="E504">
        <v>2763063.0630630678</v>
      </c>
      <c r="F504">
        <v>5272072.0720720757</v>
      </c>
      <c r="G504">
        <v>48</v>
      </c>
      <c r="H504">
        <v>62</v>
      </c>
      <c r="I504">
        <v>4</v>
      </c>
      <c r="K504">
        <v>367</v>
      </c>
      <c r="L504">
        <v>131</v>
      </c>
      <c r="M504">
        <v>16261621.62162162</v>
      </c>
      <c r="N504">
        <v>36047387.387387395</v>
      </c>
      <c r="O504">
        <v>49411869.369369365</v>
      </c>
      <c r="P504">
        <v>55588477.477477483</v>
      </c>
      <c r="Q504">
        <v>15480360.360360356</v>
      </c>
      <c r="R504">
        <v>35380810.810810812</v>
      </c>
      <c r="S504">
        <v>3620</v>
      </c>
      <c r="T504">
        <v>3122</v>
      </c>
    </row>
    <row r="505" spans="1:20" x14ac:dyDescent="0.35">
      <c r="A505" s="7" t="s">
        <v>599</v>
      </c>
      <c r="B505" s="12" t="s">
        <v>144</v>
      </c>
      <c r="C505">
        <v>75606724.954307377</v>
      </c>
      <c r="D505">
        <v>71943435.957633451</v>
      </c>
      <c r="E505">
        <v>1402927.927927928</v>
      </c>
      <c r="F505">
        <v>274774.77477477503</v>
      </c>
      <c r="G505">
        <v>9</v>
      </c>
      <c r="H505">
        <v>2</v>
      </c>
      <c r="K505">
        <v>11</v>
      </c>
      <c r="L505">
        <v>3</v>
      </c>
      <c r="M505">
        <v>7379279.2792792786</v>
      </c>
      <c r="N505">
        <v>4689189.1891891891</v>
      </c>
      <c r="O505">
        <v>7131090.0900900904</v>
      </c>
      <c r="P505">
        <v>6400009.0090090083</v>
      </c>
      <c r="Q505">
        <v>5486306.3063063063</v>
      </c>
      <c r="R505">
        <v>4349639.6396396393</v>
      </c>
      <c r="S505">
        <v>1233</v>
      </c>
      <c r="T505">
        <v>1141</v>
      </c>
    </row>
    <row r="506" spans="1:20" x14ac:dyDescent="0.35">
      <c r="A506" s="7" t="s">
        <v>600</v>
      </c>
      <c r="B506" s="12" t="s">
        <v>126</v>
      </c>
      <c r="C506">
        <v>195400568.06616434</v>
      </c>
      <c r="D506">
        <v>201219973.48097494</v>
      </c>
      <c r="E506">
        <v>243582247.74774775</v>
      </c>
      <c r="F506">
        <v>167852753.15315315</v>
      </c>
      <c r="G506">
        <v>23</v>
      </c>
      <c r="H506">
        <v>25</v>
      </c>
      <c r="K506">
        <v>27</v>
      </c>
      <c r="L506">
        <v>28</v>
      </c>
      <c r="M506">
        <v>34284819.819819823</v>
      </c>
      <c r="N506">
        <v>24636306.306306303</v>
      </c>
      <c r="O506">
        <v>76083367.567567572</v>
      </c>
      <c r="P506">
        <v>78737954.954954967</v>
      </c>
      <c r="Q506">
        <v>19607657.657657661</v>
      </c>
      <c r="R506">
        <v>16064954.954954956</v>
      </c>
      <c r="S506">
        <v>3596</v>
      </c>
      <c r="T506">
        <v>4791</v>
      </c>
    </row>
    <row r="507" spans="1:20" x14ac:dyDescent="0.35">
      <c r="A507" s="7" t="s">
        <v>601</v>
      </c>
      <c r="B507" s="12" t="s">
        <v>51</v>
      </c>
      <c r="C507">
        <v>475178923.07672358</v>
      </c>
      <c r="D507">
        <v>499881778.71737891</v>
      </c>
      <c r="E507">
        <v>6163063.0630630646</v>
      </c>
      <c r="F507">
        <v>4038738.738738745</v>
      </c>
      <c r="G507">
        <v>42</v>
      </c>
      <c r="H507">
        <v>50</v>
      </c>
      <c r="I507">
        <v>1</v>
      </c>
      <c r="K507">
        <v>54</v>
      </c>
      <c r="L507">
        <v>61</v>
      </c>
      <c r="M507">
        <v>91381171.171171173</v>
      </c>
      <c r="N507">
        <v>55212522.522522517</v>
      </c>
      <c r="O507">
        <v>200910126.12612611</v>
      </c>
      <c r="P507">
        <v>217129828.82882884</v>
      </c>
      <c r="Q507">
        <v>89246036.036036029</v>
      </c>
      <c r="R507">
        <v>60966576.576576576</v>
      </c>
      <c r="S507">
        <v>7918</v>
      </c>
      <c r="T507">
        <v>5652</v>
      </c>
    </row>
    <row r="508" spans="1:20" x14ac:dyDescent="0.35">
      <c r="A508" s="7" t="s">
        <v>602</v>
      </c>
      <c r="B508" s="12" t="s">
        <v>90</v>
      </c>
      <c r="C508">
        <v>139103615.37406233</v>
      </c>
      <c r="D508">
        <v>139833458.40123004</v>
      </c>
      <c r="E508">
        <v>1645945.94594595</v>
      </c>
      <c r="F508">
        <v>3681981.9819819829</v>
      </c>
      <c r="G508">
        <v>11</v>
      </c>
      <c r="H508">
        <v>14</v>
      </c>
      <c r="K508">
        <v>12</v>
      </c>
      <c r="L508">
        <v>16</v>
      </c>
      <c r="M508">
        <v>32183063.063063063</v>
      </c>
      <c r="N508">
        <v>48827218.918918923</v>
      </c>
      <c r="O508">
        <v>42780873.873873875</v>
      </c>
      <c r="P508">
        <v>45701027.027027026</v>
      </c>
      <c r="Q508">
        <v>30565585.585585583</v>
      </c>
      <c r="R508">
        <v>47523603.603603609</v>
      </c>
      <c r="S508">
        <v>2519</v>
      </c>
      <c r="T508">
        <v>2651</v>
      </c>
    </row>
    <row r="509" spans="1:20" x14ac:dyDescent="0.35">
      <c r="A509" s="7" t="s">
        <v>603</v>
      </c>
      <c r="B509" s="12" t="s">
        <v>88</v>
      </c>
      <c r="C509">
        <v>122694988.94599842</v>
      </c>
      <c r="D509">
        <v>124892378.69891515</v>
      </c>
      <c r="E509">
        <v>977477.47747747705</v>
      </c>
      <c r="F509">
        <v>626126.12612612697</v>
      </c>
      <c r="G509">
        <v>14</v>
      </c>
      <c r="H509">
        <v>10</v>
      </c>
      <c r="K509">
        <v>15</v>
      </c>
      <c r="L509">
        <v>12</v>
      </c>
      <c r="M509">
        <v>1617117.1171171169</v>
      </c>
      <c r="N509">
        <v>2292792.792792792</v>
      </c>
      <c r="O509">
        <v>9826918.9189189207</v>
      </c>
      <c r="P509">
        <v>13456243.243243244</v>
      </c>
      <c r="Q509">
        <v>1662792.7927927929</v>
      </c>
      <c r="R509">
        <v>2213333.333333333</v>
      </c>
      <c r="S509">
        <v>1328</v>
      </c>
      <c r="T509">
        <v>1210</v>
      </c>
    </row>
    <row r="510" spans="1:20" x14ac:dyDescent="0.35">
      <c r="A510" s="7" t="s">
        <v>604</v>
      </c>
      <c r="B510" s="12" t="s">
        <v>141</v>
      </c>
      <c r="C510">
        <v>990327124.80035818</v>
      </c>
      <c r="D510">
        <v>1040456364.6883563</v>
      </c>
      <c r="E510">
        <v>698447289.1891892</v>
      </c>
      <c r="F510">
        <v>740888109.009009</v>
      </c>
      <c r="G510">
        <v>712</v>
      </c>
      <c r="H510">
        <v>593</v>
      </c>
      <c r="I510">
        <v>11</v>
      </c>
      <c r="K510">
        <v>1067</v>
      </c>
      <c r="L510">
        <v>786</v>
      </c>
      <c r="M510">
        <v>189616666.66666666</v>
      </c>
      <c r="N510">
        <v>258360810.8108108</v>
      </c>
      <c r="O510">
        <v>247200504.5045045</v>
      </c>
      <c r="P510">
        <v>269804785.58558559</v>
      </c>
      <c r="Q510">
        <v>188511891.8918919</v>
      </c>
      <c r="R510">
        <v>205232475.67567569</v>
      </c>
      <c r="S510">
        <v>19546</v>
      </c>
      <c r="T510">
        <v>19119</v>
      </c>
    </row>
    <row r="511" spans="1:20" x14ac:dyDescent="0.35">
      <c r="A511" s="7" t="s">
        <v>605</v>
      </c>
      <c r="B511" s="12" t="s">
        <v>225</v>
      </c>
      <c r="C511">
        <v>165569304.21185413</v>
      </c>
      <c r="D511">
        <v>185388167.69145352</v>
      </c>
      <c r="E511">
        <v>86486.486486485999</v>
      </c>
      <c r="F511">
        <v>2031531.5315315321</v>
      </c>
      <c r="G511">
        <v>29</v>
      </c>
      <c r="H511">
        <v>31</v>
      </c>
      <c r="K511">
        <v>36</v>
      </c>
      <c r="L511">
        <v>33</v>
      </c>
      <c r="M511">
        <v>5311711.7117117113</v>
      </c>
      <c r="N511">
        <v>4545045.0450450452</v>
      </c>
      <c r="O511">
        <v>54473207.20720721</v>
      </c>
      <c r="P511">
        <v>68450054.054054052</v>
      </c>
      <c r="Q511">
        <v>5984684.6846846836</v>
      </c>
      <c r="R511">
        <v>7147657.6576576568</v>
      </c>
      <c r="S511">
        <v>3584</v>
      </c>
      <c r="T511">
        <v>3063</v>
      </c>
    </row>
    <row r="512" spans="1:20" x14ac:dyDescent="0.35">
      <c r="A512" s="7" t="s">
        <v>606</v>
      </c>
      <c r="B512" s="12" t="s">
        <v>225</v>
      </c>
      <c r="C512">
        <v>109724393.31113446</v>
      </c>
      <c r="D512">
        <v>118932912.65424709</v>
      </c>
      <c r="E512">
        <v>76576.576576576001</v>
      </c>
      <c r="F512">
        <v>46846.846846847002</v>
      </c>
      <c r="G512">
        <v>40</v>
      </c>
      <c r="H512">
        <v>29</v>
      </c>
      <c r="K512">
        <v>41</v>
      </c>
      <c r="L512">
        <v>31</v>
      </c>
      <c r="M512">
        <v>6382882.8828828828</v>
      </c>
      <c r="N512">
        <v>9854324.3243243247</v>
      </c>
      <c r="O512">
        <v>33504900.9009009</v>
      </c>
      <c r="P512">
        <v>40922918.918918923</v>
      </c>
      <c r="Q512">
        <v>6946576.5765765756</v>
      </c>
      <c r="R512">
        <v>9792882.8828828838</v>
      </c>
      <c r="S512">
        <v>3167</v>
      </c>
      <c r="T512">
        <v>2908</v>
      </c>
    </row>
    <row r="513" spans="1:20" x14ac:dyDescent="0.35">
      <c r="A513" s="7" t="s">
        <v>607</v>
      </c>
      <c r="B513" s="12" t="s">
        <v>242</v>
      </c>
      <c r="C513">
        <v>94786043.181689262</v>
      </c>
      <c r="D513">
        <v>99067134.495318577</v>
      </c>
      <c r="E513">
        <v>839639.63963963999</v>
      </c>
      <c r="F513">
        <v>82882.882882884005</v>
      </c>
      <c r="G513">
        <v>51</v>
      </c>
      <c r="H513">
        <v>41</v>
      </c>
      <c r="K513">
        <v>59</v>
      </c>
      <c r="L513">
        <v>49</v>
      </c>
      <c r="M513">
        <v>12689189.189189186</v>
      </c>
      <c r="N513">
        <v>4012612.612612613</v>
      </c>
      <c r="O513">
        <v>29000279.27927928</v>
      </c>
      <c r="P513">
        <v>32181666.666666664</v>
      </c>
      <c r="Q513">
        <v>11822342.342342339</v>
      </c>
      <c r="R513">
        <v>4430810.81081081</v>
      </c>
      <c r="S513">
        <v>3118</v>
      </c>
      <c r="T513">
        <v>2387</v>
      </c>
    </row>
    <row r="514" spans="1:20" x14ac:dyDescent="0.35">
      <c r="A514" s="7" t="s">
        <v>608</v>
      </c>
      <c r="B514" s="12" t="s">
        <v>141</v>
      </c>
      <c r="C514">
        <v>28267748.864822928</v>
      </c>
      <c r="D514">
        <v>27872118.619019479</v>
      </c>
      <c r="E514">
        <v>2702.7027027029999</v>
      </c>
      <c r="F514">
        <v>45945.945945945998</v>
      </c>
      <c r="G514">
        <v>4</v>
      </c>
      <c r="H514">
        <v>10</v>
      </c>
      <c r="I514">
        <v>3</v>
      </c>
      <c r="K514">
        <v>4</v>
      </c>
      <c r="L514">
        <v>12</v>
      </c>
      <c r="M514">
        <v>318018.01801801799</v>
      </c>
      <c r="N514">
        <v>761261.26126126095</v>
      </c>
      <c r="O514">
        <v>3372333.333333333</v>
      </c>
      <c r="P514">
        <v>4725450.4504504502</v>
      </c>
      <c r="Q514">
        <v>661891.89189189195</v>
      </c>
      <c r="R514">
        <v>883423.42342342401</v>
      </c>
      <c r="S514">
        <v>353</v>
      </c>
      <c r="T514">
        <v>331</v>
      </c>
    </row>
    <row r="515" spans="1:20" x14ac:dyDescent="0.35">
      <c r="A515" s="7" t="s">
        <v>609</v>
      </c>
      <c r="B515" s="12" t="s">
        <v>190</v>
      </c>
      <c r="C515">
        <v>103545984.06367318</v>
      </c>
      <c r="D515">
        <v>95752947.111549303</v>
      </c>
      <c r="E515">
        <v>1106306.306306306</v>
      </c>
      <c r="F515">
        <v>527027.02702702896</v>
      </c>
      <c r="G515">
        <v>58</v>
      </c>
      <c r="H515">
        <v>24</v>
      </c>
      <c r="K515">
        <v>60</v>
      </c>
      <c r="L515">
        <v>27</v>
      </c>
      <c r="M515">
        <v>8673873.8738738745</v>
      </c>
      <c r="N515">
        <v>8477477.4774774779</v>
      </c>
      <c r="O515">
        <v>26507409.909909911</v>
      </c>
      <c r="P515">
        <v>24411297.297297295</v>
      </c>
      <c r="Q515">
        <v>5753873.8738738736</v>
      </c>
      <c r="R515">
        <v>5293963.963963965</v>
      </c>
      <c r="S515">
        <v>1753</v>
      </c>
      <c r="T515">
        <v>1420</v>
      </c>
    </row>
    <row r="516" spans="1:20" x14ac:dyDescent="0.35">
      <c r="A516" s="7" t="s">
        <v>610</v>
      </c>
      <c r="B516" s="12" t="s">
        <v>190</v>
      </c>
      <c r="C516">
        <v>312689998.19540805</v>
      </c>
      <c r="D516">
        <v>302648603.34898049</v>
      </c>
      <c r="E516">
        <v>189189.18918918999</v>
      </c>
      <c r="F516">
        <v>175675.675675676</v>
      </c>
      <c r="G516">
        <v>99</v>
      </c>
      <c r="H516">
        <v>93</v>
      </c>
      <c r="K516">
        <v>107</v>
      </c>
      <c r="L516">
        <v>99</v>
      </c>
      <c r="M516">
        <v>14738738.73873874</v>
      </c>
      <c r="N516">
        <v>13959459.459459459</v>
      </c>
      <c r="O516">
        <v>54730243.24324324</v>
      </c>
      <c r="P516">
        <v>53544396.396396399</v>
      </c>
      <c r="Q516">
        <v>8456126.1261261255</v>
      </c>
      <c r="R516">
        <v>8132612.6126126116</v>
      </c>
      <c r="S516">
        <v>5448</v>
      </c>
      <c r="T516">
        <v>5038</v>
      </c>
    </row>
    <row r="517" spans="1:20" x14ac:dyDescent="0.35">
      <c r="A517" s="7" t="s">
        <v>611</v>
      </c>
      <c r="B517" s="12" t="s">
        <v>190</v>
      </c>
      <c r="C517">
        <v>119046908.77525504</v>
      </c>
      <c r="D517">
        <v>133014069.83025235</v>
      </c>
      <c r="E517">
        <v>2031981.9819819841</v>
      </c>
      <c r="F517">
        <v>644144.14414414496</v>
      </c>
      <c r="G517">
        <v>18</v>
      </c>
      <c r="H517">
        <v>23</v>
      </c>
      <c r="K517">
        <v>20</v>
      </c>
      <c r="L517">
        <v>27</v>
      </c>
      <c r="M517">
        <v>14697297.297297295</v>
      </c>
      <c r="N517">
        <v>11265765.765765768</v>
      </c>
      <c r="O517">
        <v>14614405.405405404</v>
      </c>
      <c r="P517">
        <v>19543423.423423424</v>
      </c>
      <c r="Q517">
        <v>12074684.684684686</v>
      </c>
      <c r="R517">
        <v>8565405.4054054059</v>
      </c>
      <c r="S517">
        <v>1820</v>
      </c>
      <c r="T517">
        <v>1716</v>
      </c>
    </row>
    <row r="518" spans="1:20" x14ac:dyDescent="0.35">
      <c r="A518" s="7" t="s">
        <v>612</v>
      </c>
      <c r="B518" s="12" t="s">
        <v>190</v>
      </c>
      <c r="C518">
        <v>45092204.560099937</v>
      </c>
      <c r="D518">
        <v>51375528.200357988</v>
      </c>
      <c r="E518">
        <v>481531.53153153299</v>
      </c>
      <c r="F518">
        <v>112612.612612615</v>
      </c>
      <c r="G518">
        <v>22</v>
      </c>
      <c r="H518">
        <v>46</v>
      </c>
      <c r="K518">
        <v>25</v>
      </c>
      <c r="L518">
        <v>59</v>
      </c>
      <c r="M518">
        <v>4946306.3063063072</v>
      </c>
      <c r="N518">
        <v>7810810.8108108118</v>
      </c>
      <c r="O518">
        <v>8362630.6306306301</v>
      </c>
      <c r="P518">
        <v>10756549.549549548</v>
      </c>
      <c r="Q518">
        <v>4228918.9189189188</v>
      </c>
      <c r="R518">
        <v>5186126.1261261273</v>
      </c>
      <c r="S518">
        <v>796</v>
      </c>
      <c r="T518">
        <v>983</v>
      </c>
    </row>
    <row r="519" spans="1:20" x14ac:dyDescent="0.35">
      <c r="A519" s="7" t="s">
        <v>613</v>
      </c>
      <c r="B519" s="12" t="s">
        <v>144</v>
      </c>
      <c r="C519">
        <v>379514743.62407988</v>
      </c>
      <c r="D519">
        <v>365912481.09098721</v>
      </c>
      <c r="E519">
        <v>3796181.9819819811</v>
      </c>
      <c r="F519">
        <v>1267571.1711711769</v>
      </c>
      <c r="G519">
        <v>131</v>
      </c>
      <c r="H519">
        <v>133</v>
      </c>
      <c r="K519">
        <v>158</v>
      </c>
      <c r="L519">
        <v>271</v>
      </c>
      <c r="M519">
        <v>32916216.216216218</v>
      </c>
      <c r="N519">
        <v>35572072.072072074</v>
      </c>
      <c r="O519">
        <v>45579815.315315314</v>
      </c>
      <c r="P519">
        <v>54610612.612612613</v>
      </c>
      <c r="Q519">
        <v>34157340.540540539</v>
      </c>
      <c r="R519">
        <v>37711801.801801808</v>
      </c>
      <c r="S519">
        <v>7748</v>
      </c>
      <c r="T519">
        <v>6786</v>
      </c>
    </row>
    <row r="520" spans="1:20" x14ac:dyDescent="0.35">
      <c r="A520" s="7" t="s">
        <v>614</v>
      </c>
      <c r="B520" s="12" t="s">
        <v>190</v>
      </c>
      <c r="C520">
        <v>398171142.88068676</v>
      </c>
      <c r="D520">
        <v>423794802.25915796</v>
      </c>
      <c r="E520">
        <v>5375675.6756756762</v>
      </c>
      <c r="F520">
        <v>41327065.765765771</v>
      </c>
      <c r="G520">
        <v>139</v>
      </c>
      <c r="H520">
        <v>190</v>
      </c>
      <c r="I520">
        <v>3</v>
      </c>
      <c r="K520">
        <v>173</v>
      </c>
      <c r="L520">
        <v>269</v>
      </c>
      <c r="M520">
        <v>14508378.37837838</v>
      </c>
      <c r="N520">
        <v>23752252.252252251</v>
      </c>
      <c r="O520">
        <v>39184086.486486487</v>
      </c>
      <c r="P520">
        <v>48938459.459459454</v>
      </c>
      <c r="Q520">
        <v>10696169.369369373</v>
      </c>
      <c r="R520">
        <v>10457207.207207208</v>
      </c>
      <c r="S520">
        <v>8298</v>
      </c>
      <c r="T520">
        <v>8450</v>
      </c>
    </row>
    <row r="521" spans="1:20" x14ac:dyDescent="0.35">
      <c r="A521" s="7" t="s">
        <v>615</v>
      </c>
      <c r="B521" s="12" t="s">
        <v>55</v>
      </c>
      <c r="C521">
        <v>283208169.26164246</v>
      </c>
      <c r="D521">
        <v>286542878.79400444</v>
      </c>
      <c r="E521">
        <v>6175675.6756756781</v>
      </c>
      <c r="F521">
        <v>8525225.2252252307</v>
      </c>
      <c r="G521">
        <v>89</v>
      </c>
      <c r="H521">
        <v>89</v>
      </c>
      <c r="I521">
        <v>2</v>
      </c>
      <c r="K521">
        <v>189</v>
      </c>
      <c r="L521">
        <v>112</v>
      </c>
      <c r="M521">
        <v>48263063.063063063</v>
      </c>
      <c r="N521">
        <v>53178378.378378376</v>
      </c>
      <c r="O521">
        <v>90403612.612612605</v>
      </c>
      <c r="P521">
        <v>92522045.045045033</v>
      </c>
      <c r="Q521">
        <v>46363423.423423417</v>
      </c>
      <c r="R521">
        <v>52665675.675675683</v>
      </c>
      <c r="S521">
        <v>9868</v>
      </c>
      <c r="T521">
        <v>6521</v>
      </c>
    </row>
    <row r="522" spans="1:20" x14ac:dyDescent="0.35">
      <c r="A522" s="7" t="s">
        <v>616</v>
      </c>
      <c r="B522" s="12" t="s">
        <v>55</v>
      </c>
      <c r="C522">
        <v>153590800.15207845</v>
      </c>
      <c r="D522">
        <v>157922631.52436402</v>
      </c>
      <c r="E522">
        <v>773873.87387387501</v>
      </c>
      <c r="F522">
        <v>1433333.333333334</v>
      </c>
      <c r="G522">
        <v>17</v>
      </c>
      <c r="H522">
        <v>18</v>
      </c>
      <c r="I522">
        <v>1</v>
      </c>
      <c r="K522">
        <v>21</v>
      </c>
      <c r="L522">
        <v>30</v>
      </c>
      <c r="M522">
        <v>5627927.927927928</v>
      </c>
      <c r="N522">
        <v>7097297.297297297</v>
      </c>
      <c r="O522">
        <v>25579297.297297295</v>
      </c>
      <c r="P522">
        <v>27950936.936936937</v>
      </c>
      <c r="Q522">
        <v>5003423.4234234234</v>
      </c>
      <c r="R522">
        <v>7464774.7747747749</v>
      </c>
      <c r="S522">
        <v>2970</v>
      </c>
      <c r="T522">
        <v>2910</v>
      </c>
    </row>
    <row r="523" spans="1:20" x14ac:dyDescent="0.35">
      <c r="A523" s="7" t="s">
        <v>617</v>
      </c>
      <c r="B523" s="12" t="s">
        <v>61</v>
      </c>
      <c r="C523">
        <v>231680052.80666474</v>
      </c>
      <c r="D523">
        <v>250816547.79669976</v>
      </c>
      <c r="E523">
        <v>3422072.072072072</v>
      </c>
      <c r="F523">
        <v>2591891.8918918949</v>
      </c>
      <c r="G523">
        <v>84</v>
      </c>
      <c r="H523">
        <v>42</v>
      </c>
      <c r="K523">
        <v>122</v>
      </c>
      <c r="L523">
        <v>49</v>
      </c>
      <c r="M523">
        <v>37287837.837837838</v>
      </c>
      <c r="N523">
        <v>43891441.441441447</v>
      </c>
      <c r="O523">
        <v>76414990.990990996</v>
      </c>
      <c r="P523">
        <v>82435846.846846849</v>
      </c>
      <c r="Q523">
        <v>36185405.40540541</v>
      </c>
      <c r="R523">
        <v>40299279.279279277</v>
      </c>
      <c r="S523">
        <v>4030</v>
      </c>
      <c r="T523">
        <v>4278</v>
      </c>
    </row>
    <row r="524" spans="1:20" x14ac:dyDescent="0.35">
      <c r="A524" s="7" t="s">
        <v>618</v>
      </c>
      <c r="B524" s="12" t="s">
        <v>61</v>
      </c>
      <c r="C524">
        <v>255085679.75457123</v>
      </c>
      <c r="D524">
        <v>252194126.52800938</v>
      </c>
      <c r="E524">
        <v>2027027.0270270309</v>
      </c>
      <c r="F524">
        <v>3307207.2072072108</v>
      </c>
      <c r="G524">
        <v>63</v>
      </c>
      <c r="H524">
        <v>49</v>
      </c>
      <c r="K524">
        <v>68</v>
      </c>
      <c r="L524">
        <v>68</v>
      </c>
      <c r="M524">
        <v>32994594.594594602</v>
      </c>
      <c r="N524">
        <v>47633783.783783786</v>
      </c>
      <c r="O524">
        <v>133082076.57657658</v>
      </c>
      <c r="P524">
        <v>133296162.16216215</v>
      </c>
      <c r="Q524">
        <v>34362162.162162162</v>
      </c>
      <c r="R524">
        <v>42831711.711711712</v>
      </c>
      <c r="S524">
        <v>6341</v>
      </c>
      <c r="T524">
        <v>5766</v>
      </c>
    </row>
    <row r="525" spans="1:20" x14ac:dyDescent="0.35">
      <c r="A525" s="7" t="s">
        <v>619</v>
      </c>
      <c r="B525" s="12" t="s">
        <v>61</v>
      </c>
      <c r="C525">
        <v>322551692.06952256</v>
      </c>
      <c r="D525">
        <v>330965639.21204191</v>
      </c>
      <c r="E525">
        <v>4189864.8648648681</v>
      </c>
      <c r="F525">
        <v>9252252.2522522565</v>
      </c>
      <c r="G525">
        <v>53</v>
      </c>
      <c r="H525">
        <v>32</v>
      </c>
      <c r="K525">
        <v>64</v>
      </c>
      <c r="L525">
        <v>48</v>
      </c>
      <c r="M525">
        <v>47255855.855855852</v>
      </c>
      <c r="N525">
        <v>74648648.648648635</v>
      </c>
      <c r="O525">
        <v>107331932.88288288</v>
      </c>
      <c r="P525">
        <v>110144962.16216215</v>
      </c>
      <c r="Q525">
        <v>47240000</v>
      </c>
      <c r="R525">
        <v>69775945.945945948</v>
      </c>
      <c r="S525">
        <v>6504</v>
      </c>
      <c r="T525">
        <v>5597</v>
      </c>
    </row>
    <row r="526" spans="1:20" x14ac:dyDescent="0.35">
      <c r="A526" s="7" t="s">
        <v>620</v>
      </c>
      <c r="B526" s="12" t="s">
        <v>621</v>
      </c>
      <c r="C526">
        <v>381933857.9250505</v>
      </c>
      <c r="D526">
        <v>381576704.55780405</v>
      </c>
      <c r="E526">
        <v>6374324.3243243266</v>
      </c>
      <c r="F526">
        <v>7500000.0000000037</v>
      </c>
      <c r="G526">
        <v>249</v>
      </c>
      <c r="H526">
        <v>130</v>
      </c>
      <c r="I526">
        <v>2</v>
      </c>
      <c r="K526">
        <v>419</v>
      </c>
      <c r="L526">
        <v>214</v>
      </c>
      <c r="M526">
        <v>22217567.567567565</v>
      </c>
      <c r="N526">
        <v>33280450.45045045</v>
      </c>
      <c r="O526">
        <v>46212234.234234229</v>
      </c>
      <c r="P526">
        <v>56334000</v>
      </c>
      <c r="Q526">
        <v>26087297.297297295</v>
      </c>
      <c r="R526">
        <v>30142342.342342343</v>
      </c>
      <c r="S526">
        <v>9545</v>
      </c>
      <c r="T526">
        <v>7994</v>
      </c>
    </row>
    <row r="527" spans="1:20" x14ac:dyDescent="0.35">
      <c r="A527" s="7" t="s">
        <v>622</v>
      </c>
      <c r="B527" s="12" t="s">
        <v>621</v>
      </c>
      <c r="C527">
        <v>279247183.75234002</v>
      </c>
      <c r="D527">
        <v>280017833.10565084</v>
      </c>
      <c r="E527">
        <v>4542792.7927927943</v>
      </c>
      <c r="F527">
        <v>4887387.3873873884</v>
      </c>
      <c r="G527">
        <v>102</v>
      </c>
      <c r="H527">
        <v>121</v>
      </c>
      <c r="I527">
        <v>1</v>
      </c>
      <c r="K527">
        <v>119</v>
      </c>
      <c r="L527">
        <v>149</v>
      </c>
      <c r="M527">
        <v>23814414.414414417</v>
      </c>
      <c r="N527">
        <v>30073873.873873871</v>
      </c>
      <c r="O527">
        <v>44975581.981981985</v>
      </c>
      <c r="P527">
        <v>49645402.702702701</v>
      </c>
      <c r="Q527">
        <v>21701081.081081081</v>
      </c>
      <c r="R527">
        <v>27909909.909909911</v>
      </c>
      <c r="S527">
        <v>7378</v>
      </c>
      <c r="T527">
        <v>5949</v>
      </c>
    </row>
    <row r="528" spans="1:20" x14ac:dyDescent="0.35">
      <c r="A528" s="7" t="s">
        <v>623</v>
      </c>
      <c r="B528" s="12" t="s">
        <v>621</v>
      </c>
      <c r="C528">
        <v>292216048.25051159</v>
      </c>
      <c r="D528">
        <v>285111900.79653013</v>
      </c>
      <c r="E528">
        <v>57953858.558558561</v>
      </c>
      <c r="F528">
        <v>104752439.63963965</v>
      </c>
      <c r="G528">
        <v>122</v>
      </c>
      <c r="H528">
        <v>91</v>
      </c>
      <c r="I528">
        <v>1</v>
      </c>
      <c r="K528">
        <v>148</v>
      </c>
      <c r="L528">
        <v>106</v>
      </c>
      <c r="M528">
        <v>37278755.855855852</v>
      </c>
      <c r="N528">
        <v>41286666.666666672</v>
      </c>
      <c r="O528">
        <v>45275074.774774775</v>
      </c>
      <c r="P528">
        <v>49017978.378378376</v>
      </c>
      <c r="Q528">
        <v>17203063.063063063</v>
      </c>
      <c r="R528">
        <v>22746349.549549554</v>
      </c>
      <c r="S528">
        <v>7858</v>
      </c>
      <c r="T528">
        <v>5457</v>
      </c>
    </row>
    <row r="529" spans="1:20" x14ac:dyDescent="0.35">
      <c r="A529" s="7" t="s">
        <v>624</v>
      </c>
      <c r="B529" s="12" t="s">
        <v>621</v>
      </c>
      <c r="C529">
        <v>214333038.0857805</v>
      </c>
      <c r="D529">
        <v>214159918.1281023</v>
      </c>
      <c r="E529">
        <v>768468.46846846899</v>
      </c>
      <c r="F529">
        <v>2935135.1351351361</v>
      </c>
      <c r="G529">
        <v>51</v>
      </c>
      <c r="H529">
        <v>120</v>
      </c>
      <c r="I529">
        <v>4</v>
      </c>
      <c r="K529">
        <v>67</v>
      </c>
      <c r="L529">
        <v>137</v>
      </c>
      <c r="M529">
        <v>17995045.045045044</v>
      </c>
      <c r="N529">
        <v>20026576.576576576</v>
      </c>
      <c r="O529">
        <v>27458626.126126129</v>
      </c>
      <c r="P529">
        <v>31626718.918918919</v>
      </c>
      <c r="Q529">
        <v>17188288.288288288</v>
      </c>
      <c r="R529">
        <v>20772702.702702705</v>
      </c>
      <c r="S529">
        <v>4264</v>
      </c>
      <c r="T529">
        <v>3645</v>
      </c>
    </row>
    <row r="530" spans="1:20" x14ac:dyDescent="0.35">
      <c r="A530" s="7" t="s">
        <v>625</v>
      </c>
      <c r="B530" s="12" t="s">
        <v>261</v>
      </c>
      <c r="C530">
        <v>113139266.83789366</v>
      </c>
      <c r="D530">
        <v>119834658.05548036</v>
      </c>
      <c r="E530">
        <v>363963.96396396501</v>
      </c>
      <c r="F530">
        <v>361261.26126126101</v>
      </c>
      <c r="G530">
        <v>16</v>
      </c>
      <c r="H530">
        <v>3</v>
      </c>
      <c r="K530">
        <v>16</v>
      </c>
      <c r="L530">
        <v>3</v>
      </c>
      <c r="M530">
        <v>7275675.6756756771</v>
      </c>
      <c r="N530">
        <v>10652072.072072072</v>
      </c>
      <c r="O530">
        <v>37134729.729729727</v>
      </c>
      <c r="P530">
        <v>40876387.387387387</v>
      </c>
      <c r="Q530">
        <v>10670180.180180181</v>
      </c>
      <c r="R530">
        <v>13851261.261261262</v>
      </c>
      <c r="S530">
        <v>2293</v>
      </c>
      <c r="T530">
        <v>2122</v>
      </c>
    </row>
    <row r="531" spans="1:20" x14ac:dyDescent="0.35">
      <c r="A531" s="7" t="s">
        <v>626</v>
      </c>
      <c r="B531" s="12" t="s">
        <v>53</v>
      </c>
      <c r="C531">
        <v>176135856.37172231</v>
      </c>
      <c r="D531">
        <v>180267843.87449884</v>
      </c>
      <c r="E531">
        <v>561261.26126126305</v>
      </c>
      <c r="F531">
        <v>1097297.2972973001</v>
      </c>
      <c r="G531">
        <v>65</v>
      </c>
      <c r="H531">
        <v>103</v>
      </c>
      <c r="I531">
        <v>1</v>
      </c>
      <c r="K531">
        <v>151</v>
      </c>
      <c r="L531">
        <v>166</v>
      </c>
      <c r="M531">
        <v>5390090.0900900923</v>
      </c>
      <c r="N531">
        <v>4867567.5675675701</v>
      </c>
      <c r="O531">
        <v>63640810.810810804</v>
      </c>
      <c r="P531">
        <v>66182935.135135137</v>
      </c>
      <c r="Q531">
        <v>4631621.6216216227</v>
      </c>
      <c r="R531">
        <v>5186126.1261261255</v>
      </c>
      <c r="S531">
        <v>5002</v>
      </c>
      <c r="T531">
        <v>4559</v>
      </c>
    </row>
    <row r="532" spans="1:20" x14ac:dyDescent="0.35">
      <c r="A532" s="7" t="s">
        <v>627</v>
      </c>
      <c r="B532" s="12" t="s">
        <v>97</v>
      </c>
      <c r="C532">
        <v>447902569.07741368</v>
      </c>
      <c r="D532">
        <v>412380373.45423913</v>
      </c>
      <c r="E532">
        <v>86753153.153153151</v>
      </c>
      <c r="F532">
        <v>242547297.2972973</v>
      </c>
      <c r="G532">
        <v>202</v>
      </c>
      <c r="H532">
        <v>215</v>
      </c>
      <c r="K532">
        <v>238</v>
      </c>
      <c r="L532">
        <v>312</v>
      </c>
      <c r="M532">
        <v>94687162.162162155</v>
      </c>
      <c r="N532">
        <v>103207657.65765767</v>
      </c>
      <c r="O532">
        <v>146197707.65765765</v>
      </c>
      <c r="P532">
        <v>145770268.46846849</v>
      </c>
      <c r="Q532">
        <v>83198918.918918908</v>
      </c>
      <c r="R532">
        <v>93188962.162162155</v>
      </c>
      <c r="S532">
        <v>11917</v>
      </c>
      <c r="T532">
        <v>10729</v>
      </c>
    </row>
    <row r="533" spans="1:20" x14ac:dyDescent="0.35">
      <c r="A533" s="7" t="s">
        <v>628</v>
      </c>
      <c r="B533" s="12" t="s">
        <v>97</v>
      </c>
      <c r="C533">
        <v>740891238.3914758</v>
      </c>
      <c r="D533">
        <v>716859545.49426377</v>
      </c>
      <c r="E533">
        <v>4171396.3963963971</v>
      </c>
      <c r="F533">
        <v>7838738.7387387436</v>
      </c>
      <c r="G533">
        <v>190</v>
      </c>
      <c r="H533">
        <v>196</v>
      </c>
      <c r="I533">
        <v>3</v>
      </c>
      <c r="K533">
        <v>219</v>
      </c>
      <c r="L533">
        <v>304</v>
      </c>
      <c r="M533">
        <v>171843018.01801801</v>
      </c>
      <c r="N533">
        <v>164938063.06306309</v>
      </c>
      <c r="O533">
        <v>302212560.8108108</v>
      </c>
      <c r="P533">
        <v>296228342.34234232</v>
      </c>
      <c r="Q533">
        <v>158220450.45045042</v>
      </c>
      <c r="R533">
        <v>161200450.45045042</v>
      </c>
      <c r="S533">
        <v>15244</v>
      </c>
      <c r="T533">
        <v>14025</v>
      </c>
    </row>
    <row r="534" spans="1:20" x14ac:dyDescent="0.35">
      <c r="A534" s="7" t="s">
        <v>629</v>
      </c>
      <c r="B534" s="12" t="s">
        <v>449</v>
      </c>
      <c r="C534">
        <v>540225746.75333428</v>
      </c>
      <c r="D534">
        <v>520648471.46335196</v>
      </c>
      <c r="E534">
        <v>168587347.74774775</v>
      </c>
      <c r="F534">
        <v>305542931.53153151</v>
      </c>
      <c r="G534">
        <v>193</v>
      </c>
      <c r="H534">
        <v>262</v>
      </c>
      <c r="I534">
        <v>2</v>
      </c>
      <c r="K534">
        <v>230</v>
      </c>
      <c r="L534">
        <v>376</v>
      </c>
      <c r="M534">
        <v>187418783.78378376</v>
      </c>
      <c r="N534">
        <v>141891666.66666669</v>
      </c>
      <c r="O534">
        <v>160722493.6936937</v>
      </c>
      <c r="P534">
        <v>170272801.8018018</v>
      </c>
      <c r="Q534">
        <v>184415450.45045045</v>
      </c>
      <c r="R534">
        <v>127988873.87387387</v>
      </c>
      <c r="S534">
        <v>12682</v>
      </c>
      <c r="T534">
        <v>11250</v>
      </c>
    </row>
    <row r="535" spans="1:20" x14ac:dyDescent="0.35">
      <c r="A535" s="7" t="s">
        <v>630</v>
      </c>
      <c r="B535" s="12" t="s">
        <v>79</v>
      </c>
      <c r="C535">
        <v>24254180.137323089</v>
      </c>
      <c r="D535">
        <v>25259262.821785625</v>
      </c>
      <c r="E535">
        <v>529729.72972972901</v>
      </c>
      <c r="F535">
        <v>312612.61261261301</v>
      </c>
      <c r="G535">
        <v>3</v>
      </c>
      <c r="H535">
        <v>3</v>
      </c>
      <c r="K535">
        <v>3</v>
      </c>
      <c r="L535">
        <v>3</v>
      </c>
      <c r="M535">
        <v>2754954.9549549539</v>
      </c>
      <c r="N535">
        <v>2015315.315315315</v>
      </c>
      <c r="O535">
        <v>6790612.6126126125</v>
      </c>
      <c r="P535">
        <v>8208387.3873873875</v>
      </c>
      <c r="Q535">
        <v>2350090.0900900909</v>
      </c>
      <c r="R535">
        <v>1625135.1351351349</v>
      </c>
      <c r="S535">
        <v>415</v>
      </c>
      <c r="T535">
        <v>372</v>
      </c>
    </row>
    <row r="536" spans="1:20" x14ac:dyDescent="0.35">
      <c r="A536" s="7" t="s">
        <v>631</v>
      </c>
      <c r="B536" s="12" t="s">
        <v>242</v>
      </c>
      <c r="C536">
        <v>142293893.40424407</v>
      </c>
      <c r="D536">
        <v>132757682.5425126</v>
      </c>
      <c r="E536">
        <v>1005180.1801801811</v>
      </c>
      <c r="F536">
        <v>2723423.423423423</v>
      </c>
      <c r="G536">
        <v>57</v>
      </c>
      <c r="H536">
        <v>35</v>
      </c>
      <c r="K536">
        <v>63</v>
      </c>
      <c r="L536">
        <v>47</v>
      </c>
      <c r="M536">
        <v>22989909.909909911</v>
      </c>
      <c r="N536">
        <v>34645405.40540541</v>
      </c>
      <c r="O536">
        <v>32563657.657657657</v>
      </c>
      <c r="P536">
        <v>33645252.252252251</v>
      </c>
      <c r="Q536">
        <v>21291171.171171173</v>
      </c>
      <c r="R536">
        <v>32761801.801801801</v>
      </c>
      <c r="S536">
        <v>2951</v>
      </c>
      <c r="T536">
        <v>2650</v>
      </c>
    </row>
    <row r="537" spans="1:20" x14ac:dyDescent="0.35">
      <c r="A537" s="7" t="s">
        <v>632</v>
      </c>
      <c r="B537" s="12" t="s">
        <v>69</v>
      </c>
      <c r="C537">
        <v>616250502.67589045</v>
      </c>
      <c r="D537">
        <v>635027882.76780677</v>
      </c>
      <c r="E537">
        <v>6735585.5855855849</v>
      </c>
      <c r="F537">
        <v>3577477.4774774788</v>
      </c>
      <c r="G537">
        <v>236</v>
      </c>
      <c r="H537">
        <v>112</v>
      </c>
      <c r="I537">
        <v>1</v>
      </c>
      <c r="K537">
        <v>265</v>
      </c>
      <c r="L537">
        <v>217</v>
      </c>
      <c r="M537">
        <v>57154054.054054059</v>
      </c>
      <c r="N537">
        <v>72537792.792792797</v>
      </c>
      <c r="O537">
        <v>105438224.32432432</v>
      </c>
      <c r="P537">
        <v>122973032.43243243</v>
      </c>
      <c r="Q537">
        <v>48562342.342342347</v>
      </c>
      <c r="R537">
        <v>53954099.099099107</v>
      </c>
      <c r="S537">
        <v>9245</v>
      </c>
      <c r="T537">
        <v>8744</v>
      </c>
    </row>
    <row r="538" spans="1:20" x14ac:dyDescent="0.35">
      <c r="A538" s="7" t="s">
        <v>633</v>
      </c>
      <c r="B538" s="12" t="s">
        <v>71</v>
      </c>
      <c r="C538">
        <v>4499344.243443721</v>
      </c>
      <c r="D538">
        <v>4744270.5216380637</v>
      </c>
      <c r="E538">
        <v>76202702.702702701</v>
      </c>
      <c r="F538">
        <v>31278828.828828827</v>
      </c>
      <c r="G538">
        <v>2</v>
      </c>
      <c r="K538">
        <v>2</v>
      </c>
      <c r="M538">
        <v>28931981.981981985</v>
      </c>
      <c r="N538">
        <v>34654954.954954959</v>
      </c>
      <c r="O538">
        <v>2701981.981981982</v>
      </c>
      <c r="P538">
        <v>2802252.2522522518</v>
      </c>
      <c r="Q538">
        <v>164864.864864865</v>
      </c>
      <c r="S538">
        <v>234</v>
      </c>
      <c r="T538">
        <v>187</v>
      </c>
    </row>
    <row r="539" spans="1:20" x14ac:dyDescent="0.35">
      <c r="A539" s="7" t="s">
        <v>634</v>
      </c>
      <c r="B539" s="12" t="s">
        <v>61</v>
      </c>
      <c r="C539">
        <v>47035020.502665751</v>
      </c>
      <c r="D539">
        <v>47924680.585235454</v>
      </c>
      <c r="E539">
        <v>151351.351351352</v>
      </c>
      <c r="F539">
        <v>360360.360360361</v>
      </c>
      <c r="G539">
        <v>13</v>
      </c>
      <c r="H539">
        <v>5</v>
      </c>
      <c r="I539">
        <v>1</v>
      </c>
      <c r="K539">
        <v>14</v>
      </c>
      <c r="L539">
        <v>6</v>
      </c>
      <c r="M539">
        <v>1772972.972972973</v>
      </c>
      <c r="N539">
        <v>3108108.1081081079</v>
      </c>
      <c r="O539">
        <v>20230414.414414417</v>
      </c>
      <c r="P539">
        <v>18751567.567567568</v>
      </c>
      <c r="Q539">
        <v>256306.30630630601</v>
      </c>
      <c r="R539">
        <v>2152702.702702703</v>
      </c>
      <c r="S539">
        <v>1015</v>
      </c>
      <c r="T539">
        <v>1142</v>
      </c>
    </row>
    <row r="540" spans="1:20" x14ac:dyDescent="0.35">
      <c r="A540" s="7" t="s">
        <v>635</v>
      </c>
      <c r="B540" s="12" t="s">
        <v>81</v>
      </c>
      <c r="C540">
        <v>480876437.42819685</v>
      </c>
      <c r="D540">
        <v>493318173.98509324</v>
      </c>
      <c r="E540">
        <v>4817567.5675675711</v>
      </c>
      <c r="F540">
        <v>3881981.9819819848</v>
      </c>
      <c r="G540">
        <v>70</v>
      </c>
      <c r="H540">
        <v>62</v>
      </c>
      <c r="K540">
        <v>77</v>
      </c>
      <c r="L540">
        <v>77</v>
      </c>
      <c r="M540">
        <v>53217567.567567565</v>
      </c>
      <c r="N540">
        <v>65881981.981981985</v>
      </c>
      <c r="O540">
        <v>96473364.864864871</v>
      </c>
      <c r="P540">
        <v>100196702.7027027</v>
      </c>
      <c r="Q540">
        <v>51412882.882882878</v>
      </c>
      <c r="R540">
        <v>60276126.126126125</v>
      </c>
      <c r="S540">
        <v>6431</v>
      </c>
      <c r="T540">
        <v>6255</v>
      </c>
    </row>
    <row r="541" spans="1:20" x14ac:dyDescent="0.35">
      <c r="A541" s="7" t="s">
        <v>636</v>
      </c>
      <c r="B541" s="12" t="s">
        <v>135</v>
      </c>
      <c r="C541">
        <v>87573371.399430528</v>
      </c>
      <c r="D541">
        <v>92134165.393854395</v>
      </c>
      <c r="E541">
        <v>874774.77477477503</v>
      </c>
      <c r="G541">
        <v>19</v>
      </c>
      <c r="H541">
        <v>13</v>
      </c>
      <c r="K541">
        <v>19</v>
      </c>
      <c r="L541">
        <v>13</v>
      </c>
      <c r="M541">
        <v>10933333.333333332</v>
      </c>
      <c r="N541">
        <v>1162162.1621621619</v>
      </c>
      <c r="O541">
        <v>5034990.9909909908</v>
      </c>
      <c r="P541">
        <v>6591036.0360360369</v>
      </c>
      <c r="Q541">
        <v>10158288.288288288</v>
      </c>
      <c r="R541">
        <v>1305495.4954954949</v>
      </c>
      <c r="S541">
        <v>1499</v>
      </c>
      <c r="T541">
        <v>1534</v>
      </c>
    </row>
    <row r="542" spans="1:20" x14ac:dyDescent="0.35">
      <c r="A542" s="7" t="s">
        <v>637</v>
      </c>
      <c r="B542" s="12" t="s">
        <v>480</v>
      </c>
      <c r="C542">
        <v>262717515.75141898</v>
      </c>
      <c r="D542">
        <v>258380994.06524509</v>
      </c>
      <c r="E542">
        <v>2644144.1441441509</v>
      </c>
      <c r="F542">
        <v>1610360.3603603609</v>
      </c>
      <c r="G542">
        <v>69</v>
      </c>
      <c r="H542">
        <v>55</v>
      </c>
      <c r="K542">
        <v>76</v>
      </c>
      <c r="L542">
        <v>62</v>
      </c>
      <c r="M542">
        <v>69153719.819819823</v>
      </c>
      <c r="N542">
        <v>71822657.657657668</v>
      </c>
      <c r="O542">
        <v>93948954.954954967</v>
      </c>
      <c r="P542">
        <v>99318648.648648635</v>
      </c>
      <c r="Q542">
        <v>69350315.315315306</v>
      </c>
      <c r="R542">
        <v>77206621.621621639</v>
      </c>
      <c r="S542">
        <v>6682</v>
      </c>
      <c r="T542">
        <v>5645</v>
      </c>
    </row>
    <row r="543" spans="1:20" x14ac:dyDescent="0.35">
      <c r="A543" s="7" t="s">
        <v>638</v>
      </c>
      <c r="B543" s="12" t="s">
        <v>144</v>
      </c>
      <c r="C543">
        <v>447626933.70541495</v>
      </c>
      <c r="D543">
        <v>464879353.1619941</v>
      </c>
      <c r="E543">
        <v>4005405.405405404</v>
      </c>
      <c r="F543">
        <v>3517117.1171171232</v>
      </c>
      <c r="G543">
        <v>92</v>
      </c>
      <c r="H543">
        <v>41</v>
      </c>
      <c r="K543">
        <v>116</v>
      </c>
      <c r="L543">
        <v>53</v>
      </c>
      <c r="M543">
        <v>29495945.945945945</v>
      </c>
      <c r="N543">
        <v>32552252.252252247</v>
      </c>
      <c r="O543">
        <v>56817349.0990991</v>
      </c>
      <c r="P543">
        <v>58374396.396396399</v>
      </c>
      <c r="Q543">
        <v>24668198.198198196</v>
      </c>
      <c r="R543">
        <v>27874414.414414413</v>
      </c>
      <c r="S543">
        <v>9990</v>
      </c>
      <c r="T543">
        <v>9245</v>
      </c>
    </row>
    <row r="544" spans="1:20" x14ac:dyDescent="0.35">
      <c r="A544" s="7" t="s">
        <v>639</v>
      </c>
      <c r="B544" s="12" t="s">
        <v>242</v>
      </c>
      <c r="C544">
        <v>489470802.11959124</v>
      </c>
      <c r="D544">
        <v>483753203.43906587</v>
      </c>
      <c r="E544">
        <v>2194594.594594595</v>
      </c>
      <c r="F544">
        <v>5106306.3063063072</v>
      </c>
      <c r="G544">
        <v>247</v>
      </c>
      <c r="H544">
        <v>216</v>
      </c>
      <c r="K544">
        <v>288</v>
      </c>
      <c r="L544">
        <v>350</v>
      </c>
      <c r="M544">
        <v>38584684.684684686</v>
      </c>
      <c r="N544">
        <v>43223378.378378384</v>
      </c>
      <c r="O544">
        <v>159255007.2072072</v>
      </c>
      <c r="P544">
        <v>171319954.95495495</v>
      </c>
      <c r="Q544">
        <v>35075495.495495498</v>
      </c>
      <c r="R544">
        <v>41858063.06306307</v>
      </c>
      <c r="S544">
        <v>15007</v>
      </c>
      <c r="T544">
        <v>12558</v>
      </c>
    </row>
    <row r="545" spans="1:20" x14ac:dyDescent="0.35">
      <c r="A545" s="7" t="s">
        <v>640</v>
      </c>
      <c r="B545" s="12" t="s">
        <v>133</v>
      </c>
      <c r="C545">
        <v>187071574.54935986</v>
      </c>
      <c r="D545">
        <v>194202098.70366034</v>
      </c>
      <c r="E545">
        <v>129729.72972973</v>
      </c>
      <c r="F545">
        <v>70270.270270270994</v>
      </c>
      <c r="G545">
        <v>66</v>
      </c>
      <c r="H545">
        <v>65</v>
      </c>
      <c r="K545">
        <v>74</v>
      </c>
      <c r="L545">
        <v>76</v>
      </c>
      <c r="M545">
        <v>4488288.2882882887</v>
      </c>
      <c r="N545">
        <v>8220045.0450450452</v>
      </c>
      <c r="O545">
        <v>67697171.171171173</v>
      </c>
      <c r="P545">
        <v>69317367.567567572</v>
      </c>
      <c r="Q545">
        <v>4415405.405405405</v>
      </c>
      <c r="R545">
        <v>5322387.3873873875</v>
      </c>
      <c r="S545">
        <v>5777</v>
      </c>
      <c r="T545">
        <v>5611</v>
      </c>
    </row>
    <row r="546" spans="1:20" x14ac:dyDescent="0.35">
      <c r="A546" s="7" t="s">
        <v>641</v>
      </c>
      <c r="B546" s="12" t="s">
        <v>135</v>
      </c>
      <c r="C546">
        <v>563434548.60939586</v>
      </c>
      <c r="D546">
        <v>603420665.05148697</v>
      </c>
      <c r="E546">
        <v>1772072.072072075</v>
      </c>
      <c r="F546">
        <v>3441441.441441447</v>
      </c>
      <c r="G546">
        <v>89</v>
      </c>
      <c r="H546">
        <v>86</v>
      </c>
      <c r="I546">
        <v>1</v>
      </c>
      <c r="K546">
        <v>92</v>
      </c>
      <c r="L546">
        <v>104</v>
      </c>
      <c r="M546">
        <v>47489909.909909911</v>
      </c>
      <c r="N546">
        <v>58198738.738738745</v>
      </c>
      <c r="O546">
        <v>75022460.360360369</v>
      </c>
      <c r="P546">
        <v>88502621.621621609</v>
      </c>
      <c r="Q546">
        <v>37990313.513513513</v>
      </c>
      <c r="R546">
        <v>47904324.324324325</v>
      </c>
      <c r="S546">
        <v>8039</v>
      </c>
      <c r="T546">
        <v>7513</v>
      </c>
    </row>
    <row r="547" spans="1:20" x14ac:dyDescent="0.35">
      <c r="A547" s="7" t="s">
        <v>642</v>
      </c>
      <c r="B547" s="12" t="s">
        <v>81</v>
      </c>
      <c r="C547">
        <v>297197540.66063118</v>
      </c>
      <c r="D547">
        <v>301465221.64197773</v>
      </c>
      <c r="E547">
        <v>1202702.702702705</v>
      </c>
      <c r="F547">
        <v>1479279.2792792809</v>
      </c>
      <c r="G547">
        <v>50</v>
      </c>
      <c r="H547">
        <v>38</v>
      </c>
      <c r="K547">
        <v>64</v>
      </c>
      <c r="L547">
        <v>72</v>
      </c>
      <c r="M547">
        <v>28084684.684684683</v>
      </c>
      <c r="N547">
        <v>37472972.972972974</v>
      </c>
      <c r="O547">
        <v>107388209.9099099</v>
      </c>
      <c r="P547">
        <v>111365628.82882883</v>
      </c>
      <c r="Q547">
        <v>29330900.9009009</v>
      </c>
      <c r="R547">
        <v>34800270.270270273</v>
      </c>
      <c r="S547">
        <v>5000</v>
      </c>
      <c r="T547">
        <v>5071</v>
      </c>
    </row>
    <row r="548" spans="1:20" x14ac:dyDescent="0.35">
      <c r="A548" s="7" t="s">
        <v>643</v>
      </c>
      <c r="B548" s="12" t="s">
        <v>170</v>
      </c>
      <c r="C548">
        <v>492400201.78727984</v>
      </c>
      <c r="D548">
        <v>521106458.59980804</v>
      </c>
      <c r="E548">
        <v>1829729.7297297299</v>
      </c>
      <c r="F548">
        <v>3190990.9909909908</v>
      </c>
      <c r="G548">
        <v>37</v>
      </c>
      <c r="H548">
        <v>58</v>
      </c>
      <c r="I548">
        <v>2</v>
      </c>
      <c r="K548">
        <v>38</v>
      </c>
      <c r="L548">
        <v>61</v>
      </c>
      <c r="M548">
        <v>43582177.477477483</v>
      </c>
      <c r="N548">
        <v>47740540.540540546</v>
      </c>
      <c r="O548">
        <v>175669855.85585585</v>
      </c>
      <c r="P548">
        <v>199729423.42342341</v>
      </c>
      <c r="Q548">
        <v>39903783.783783786</v>
      </c>
      <c r="R548">
        <v>44167207.20720721</v>
      </c>
      <c r="S548">
        <v>9081</v>
      </c>
      <c r="T548">
        <v>8841</v>
      </c>
    </row>
    <row r="549" spans="1:20" x14ac:dyDescent="0.35">
      <c r="A549" s="7" t="s">
        <v>644</v>
      </c>
      <c r="B549" s="12" t="s">
        <v>59</v>
      </c>
      <c r="C549">
        <v>842126203.04168141</v>
      </c>
      <c r="D549">
        <v>845964356.03455842</v>
      </c>
      <c r="E549">
        <v>24453378.378378376</v>
      </c>
      <c r="F549">
        <v>46825225.225225233</v>
      </c>
      <c r="G549">
        <v>220</v>
      </c>
      <c r="H549">
        <v>194</v>
      </c>
      <c r="K549">
        <v>253</v>
      </c>
      <c r="L549">
        <v>227</v>
      </c>
      <c r="M549">
        <v>75255405.405405402</v>
      </c>
      <c r="N549">
        <v>158204954.95495495</v>
      </c>
      <c r="O549">
        <v>175212698.1981982</v>
      </c>
      <c r="P549">
        <v>180992872.07207206</v>
      </c>
      <c r="Q549">
        <v>60795225.225225225</v>
      </c>
      <c r="R549">
        <v>162749909.90990993</v>
      </c>
      <c r="S549">
        <v>18478</v>
      </c>
      <c r="T549">
        <v>17640</v>
      </c>
    </row>
    <row r="550" spans="1:20" x14ac:dyDescent="0.35">
      <c r="A550" s="7" t="s">
        <v>645</v>
      </c>
      <c r="B550" s="12" t="s">
        <v>59</v>
      </c>
      <c r="C550">
        <v>1054844490.6841477</v>
      </c>
      <c r="D550">
        <v>1084410178.9714401</v>
      </c>
      <c r="E550">
        <v>285034092.7927928</v>
      </c>
      <c r="F550">
        <v>556017236.93693697</v>
      </c>
      <c r="G550">
        <v>1156</v>
      </c>
      <c r="H550">
        <v>504</v>
      </c>
      <c r="I550">
        <v>1</v>
      </c>
      <c r="K550">
        <v>1354</v>
      </c>
      <c r="L550">
        <v>733</v>
      </c>
      <c r="M550">
        <v>174027927.92792794</v>
      </c>
      <c r="N550">
        <v>285427927.92792791</v>
      </c>
      <c r="O550">
        <v>323262472.97297299</v>
      </c>
      <c r="P550">
        <v>314899014.41441441</v>
      </c>
      <c r="Q550">
        <v>164774954.95495495</v>
      </c>
      <c r="R550">
        <v>286757066.66666663</v>
      </c>
      <c r="S550">
        <v>27621</v>
      </c>
      <c r="T550">
        <v>23335</v>
      </c>
    </row>
    <row r="551" spans="1:20" x14ac:dyDescent="0.35">
      <c r="A551" s="7" t="s">
        <v>646</v>
      </c>
      <c r="B551" s="12" t="s">
        <v>308</v>
      </c>
      <c r="C551">
        <v>347411183.45568889</v>
      </c>
      <c r="D551">
        <v>331406749.80797344</v>
      </c>
      <c r="E551">
        <v>1863963.963963964</v>
      </c>
      <c r="F551">
        <v>2182882.8828828828</v>
      </c>
      <c r="G551">
        <v>43</v>
      </c>
      <c r="H551">
        <v>33</v>
      </c>
      <c r="K551">
        <v>45</v>
      </c>
      <c r="L551">
        <v>38</v>
      </c>
      <c r="M551">
        <v>7172972.9729729732</v>
      </c>
      <c r="N551">
        <v>6866396.3963963948</v>
      </c>
      <c r="O551">
        <v>57695905.40540541</v>
      </c>
      <c r="P551">
        <v>61585391.891891889</v>
      </c>
      <c r="Q551">
        <v>6438648.6486486476</v>
      </c>
      <c r="R551">
        <v>6459369.369369369</v>
      </c>
      <c r="S551">
        <v>5373</v>
      </c>
      <c r="T551">
        <v>5230</v>
      </c>
    </row>
    <row r="552" spans="1:20" x14ac:dyDescent="0.35">
      <c r="A552" s="7" t="s">
        <v>13</v>
      </c>
      <c r="B552" s="12" t="s">
        <v>159</v>
      </c>
      <c r="C552">
        <v>395681643.14192796</v>
      </c>
      <c r="D552">
        <v>374636950.39142227</v>
      </c>
      <c r="E552">
        <v>4309009.0090090176</v>
      </c>
      <c r="F552">
        <v>6329279.2792792823</v>
      </c>
      <c r="G552">
        <v>109</v>
      </c>
      <c r="H552">
        <v>124</v>
      </c>
      <c r="K552">
        <v>214</v>
      </c>
      <c r="L552">
        <v>818</v>
      </c>
      <c r="M552">
        <v>89246531.531531543</v>
      </c>
      <c r="N552">
        <v>87177477.477477476</v>
      </c>
      <c r="O552">
        <v>228653558.55855855</v>
      </c>
      <c r="P552">
        <v>235504054.05405405</v>
      </c>
      <c r="Q552">
        <v>85148376.576576576</v>
      </c>
      <c r="R552">
        <v>91574594.594594598</v>
      </c>
      <c r="S552">
        <v>8503</v>
      </c>
      <c r="T552">
        <v>9830</v>
      </c>
    </row>
    <row r="553" spans="1:20" x14ac:dyDescent="0.35">
      <c r="A553" s="7" t="s">
        <v>647</v>
      </c>
      <c r="B553" s="12" t="s">
        <v>122</v>
      </c>
      <c r="C553">
        <v>267846818.70112765</v>
      </c>
      <c r="D553">
        <v>270724328.08676821</v>
      </c>
      <c r="E553">
        <v>163063.06306306299</v>
      </c>
      <c r="F553">
        <v>90090.090090091995</v>
      </c>
      <c r="G553">
        <v>63</v>
      </c>
      <c r="H553">
        <v>83</v>
      </c>
      <c r="K553">
        <v>68</v>
      </c>
      <c r="L553">
        <v>90</v>
      </c>
      <c r="M553">
        <v>1157657.657657658</v>
      </c>
      <c r="N553">
        <v>1351351.3513513531</v>
      </c>
      <c r="O553">
        <v>22981123.873873871</v>
      </c>
      <c r="P553">
        <v>27217401.801801801</v>
      </c>
      <c r="Q553">
        <v>1008468.468468469</v>
      </c>
      <c r="R553">
        <v>946396.39639639598</v>
      </c>
      <c r="S553">
        <v>3244</v>
      </c>
      <c r="T553">
        <v>3642</v>
      </c>
    </row>
    <row r="554" spans="1:20" x14ac:dyDescent="0.35">
      <c r="A554" s="7" t="s">
        <v>648</v>
      </c>
      <c r="B554" s="12" t="s">
        <v>316</v>
      </c>
      <c r="C554">
        <v>96845675.637517139</v>
      </c>
      <c r="D554">
        <v>87508043.87013346</v>
      </c>
      <c r="E554">
        <v>201962932.43243244</v>
      </c>
      <c r="F554">
        <v>213464404.5045045</v>
      </c>
      <c r="G554">
        <v>36</v>
      </c>
      <c r="H554">
        <v>11</v>
      </c>
      <c r="K554">
        <v>40</v>
      </c>
      <c r="L554">
        <v>12</v>
      </c>
      <c r="M554">
        <v>19832432.432432432</v>
      </c>
      <c r="N554">
        <v>45686486.486486487</v>
      </c>
      <c r="O554">
        <v>24972441.441441439</v>
      </c>
      <c r="P554">
        <v>23640936.936936937</v>
      </c>
      <c r="Q554">
        <v>19481081.081081081</v>
      </c>
      <c r="R554">
        <v>28731981.981981985</v>
      </c>
      <c r="S554">
        <v>1439</v>
      </c>
      <c r="T554">
        <v>1318</v>
      </c>
    </row>
    <row r="555" spans="1:20" x14ac:dyDescent="0.35">
      <c r="A555" s="7" t="s">
        <v>649</v>
      </c>
      <c r="B555" s="12" t="s">
        <v>261</v>
      </c>
      <c r="C555">
        <v>244881855.32785568</v>
      </c>
      <c r="D555">
        <v>266156516.02731225</v>
      </c>
      <c r="E555">
        <v>1373873.8738738729</v>
      </c>
      <c r="F555">
        <v>1323423.4234234251</v>
      </c>
      <c r="G555">
        <v>73</v>
      </c>
      <c r="H555">
        <v>61</v>
      </c>
      <c r="K555">
        <v>79</v>
      </c>
      <c r="L555">
        <v>65</v>
      </c>
      <c r="M555">
        <v>48448648.648648649</v>
      </c>
      <c r="N555">
        <v>43748648.648648649</v>
      </c>
      <c r="O555">
        <v>81038549.54954955</v>
      </c>
      <c r="P555">
        <v>92761657.657657668</v>
      </c>
      <c r="Q555">
        <v>47290720.720720723</v>
      </c>
      <c r="R555">
        <v>50335675.675675683</v>
      </c>
      <c r="S555">
        <v>4656</v>
      </c>
      <c r="T555">
        <v>4672</v>
      </c>
    </row>
    <row r="556" spans="1:20" x14ac:dyDescent="0.35">
      <c r="A556" s="7" t="s">
        <v>650</v>
      </c>
      <c r="B556" s="12" t="s">
        <v>225</v>
      </c>
      <c r="C556">
        <v>239113038.11886165</v>
      </c>
      <c r="D556">
        <v>279036970.8991738</v>
      </c>
      <c r="E556">
        <v>4461036.0360360378</v>
      </c>
      <c r="F556">
        <v>3127927.9279279299</v>
      </c>
      <c r="G556">
        <v>64</v>
      </c>
      <c r="H556">
        <v>79</v>
      </c>
      <c r="K556">
        <v>72</v>
      </c>
      <c r="L556">
        <v>108</v>
      </c>
      <c r="M556">
        <v>68654954.954954952</v>
      </c>
      <c r="N556">
        <v>37954954.954954959</v>
      </c>
      <c r="O556">
        <v>55798457.657657653</v>
      </c>
      <c r="P556">
        <v>68996890.090090081</v>
      </c>
      <c r="Q556">
        <v>62759099.0990991</v>
      </c>
      <c r="R556">
        <v>34073423.423423424</v>
      </c>
      <c r="S556">
        <v>5603</v>
      </c>
      <c r="T556">
        <v>5545</v>
      </c>
    </row>
    <row r="557" spans="1:20" x14ac:dyDescent="0.35">
      <c r="A557" s="7" t="s">
        <v>651</v>
      </c>
      <c r="B557" s="12" t="s">
        <v>225</v>
      </c>
      <c r="C557">
        <v>193057736.27543309</v>
      </c>
      <c r="D557">
        <v>222822979.1436002</v>
      </c>
      <c r="E557">
        <v>63963.963963964998</v>
      </c>
      <c r="F557">
        <v>102702.702702704</v>
      </c>
      <c r="G557">
        <v>35</v>
      </c>
      <c r="H557">
        <v>42</v>
      </c>
      <c r="K557">
        <v>37</v>
      </c>
      <c r="L557">
        <v>45</v>
      </c>
      <c r="M557">
        <v>10274414.414414413</v>
      </c>
      <c r="N557">
        <v>14203603.603603603</v>
      </c>
      <c r="O557">
        <v>27039225.225225225</v>
      </c>
      <c r="P557">
        <v>35879954.954954952</v>
      </c>
      <c r="Q557">
        <v>9270990.9909909926</v>
      </c>
      <c r="R557">
        <v>12508378.37837838</v>
      </c>
      <c r="S557">
        <v>3166</v>
      </c>
      <c r="T557">
        <v>3028</v>
      </c>
    </row>
    <row r="558" spans="1:20" x14ac:dyDescent="0.35">
      <c r="A558" s="7" t="s">
        <v>652</v>
      </c>
      <c r="B558" s="12" t="s">
        <v>225</v>
      </c>
      <c r="C558">
        <v>747165165.73245776</v>
      </c>
      <c r="D558">
        <v>843526322.32848942</v>
      </c>
      <c r="E558">
        <v>294493255.85585588</v>
      </c>
      <c r="F558">
        <v>383639952.25225228</v>
      </c>
      <c r="G558">
        <v>265</v>
      </c>
      <c r="H558">
        <v>315</v>
      </c>
      <c r="K558">
        <v>413</v>
      </c>
      <c r="L558">
        <v>412</v>
      </c>
      <c r="M558">
        <v>213289189.1891892</v>
      </c>
      <c r="N558">
        <v>174820900.9009009</v>
      </c>
      <c r="O558">
        <v>186355567.56756756</v>
      </c>
      <c r="P558">
        <v>221266322.52252254</v>
      </c>
      <c r="Q558">
        <v>200075495.4954955</v>
      </c>
      <c r="R558">
        <v>156392972.97297299</v>
      </c>
      <c r="S558">
        <v>18918</v>
      </c>
      <c r="T558">
        <v>19817</v>
      </c>
    </row>
    <row r="559" spans="1:20" x14ac:dyDescent="0.35">
      <c r="A559" s="7" t="s">
        <v>653</v>
      </c>
      <c r="B559" s="12" t="s">
        <v>225</v>
      </c>
      <c r="C559">
        <v>89228471.433096409</v>
      </c>
      <c r="D559">
        <v>104954724.7475232</v>
      </c>
      <c r="E559">
        <v>207207.207207208</v>
      </c>
      <c r="F559">
        <v>388288.28828828898</v>
      </c>
      <c r="G559">
        <v>24</v>
      </c>
      <c r="H559">
        <v>29</v>
      </c>
      <c r="K559">
        <v>27</v>
      </c>
      <c r="L559">
        <v>29</v>
      </c>
      <c r="M559">
        <v>1648648.6486486481</v>
      </c>
      <c r="N559">
        <v>3572072.072072072</v>
      </c>
      <c r="O559">
        <v>14679180.180180181</v>
      </c>
      <c r="P559">
        <v>19437881.081081081</v>
      </c>
      <c r="Q559">
        <v>1414594.5945945941</v>
      </c>
      <c r="R559">
        <v>2138468.4684684682</v>
      </c>
      <c r="S559">
        <v>1785</v>
      </c>
      <c r="T559">
        <v>1800</v>
      </c>
    </row>
    <row r="560" spans="1:20" x14ac:dyDescent="0.35">
      <c r="A560" s="7" t="s">
        <v>674</v>
      </c>
      <c r="B560" s="12" t="s">
        <v>124</v>
      </c>
      <c r="E560">
        <v>156465315.31531534</v>
      </c>
      <c r="F560">
        <v>428594594.5945946</v>
      </c>
      <c r="M560">
        <v>975450.45045044995</v>
      </c>
      <c r="N560">
        <v>256756.75675675701</v>
      </c>
    </row>
    <row r="561" spans="1:20" x14ac:dyDescent="0.35">
      <c r="A561" s="7" t="s">
        <v>654</v>
      </c>
      <c r="B561" s="12" t="s">
        <v>97</v>
      </c>
      <c r="C561">
        <v>472249725.82409924</v>
      </c>
      <c r="D561">
        <v>453714011.95796871</v>
      </c>
      <c r="E561">
        <v>804504.50450450601</v>
      </c>
      <c r="F561">
        <v>1806306.3063063051</v>
      </c>
      <c r="G561">
        <v>188</v>
      </c>
      <c r="H561">
        <v>147</v>
      </c>
      <c r="K561">
        <v>198</v>
      </c>
      <c r="L561">
        <v>168</v>
      </c>
      <c r="M561">
        <v>10568468.46846847</v>
      </c>
      <c r="N561">
        <v>19894594.59459459</v>
      </c>
      <c r="O561">
        <v>63412648.648648649</v>
      </c>
      <c r="P561">
        <v>60826576.576576576</v>
      </c>
      <c r="Q561">
        <v>9094414.4144144151</v>
      </c>
      <c r="R561">
        <v>17173423.423423424</v>
      </c>
      <c r="S561">
        <v>9707</v>
      </c>
      <c r="T561">
        <v>8756</v>
      </c>
    </row>
    <row r="562" spans="1:20" x14ac:dyDescent="0.35">
      <c r="A562" s="7" t="s">
        <v>655</v>
      </c>
      <c r="B562" s="12" t="s">
        <v>67</v>
      </c>
      <c r="C562">
        <v>291802054.92225868</v>
      </c>
      <c r="D562">
        <v>273356772.04876524</v>
      </c>
      <c r="E562">
        <v>7146846.8468468478</v>
      </c>
      <c r="F562">
        <v>5532432.4324324308</v>
      </c>
      <c r="G562">
        <v>84</v>
      </c>
      <c r="H562">
        <v>72</v>
      </c>
      <c r="K562">
        <v>85</v>
      </c>
      <c r="L562">
        <v>75</v>
      </c>
      <c r="M562">
        <v>91139639.639639631</v>
      </c>
      <c r="N562">
        <v>86319324.324324325</v>
      </c>
      <c r="O562">
        <v>189920738.73873875</v>
      </c>
      <c r="P562">
        <v>181158630.63063061</v>
      </c>
      <c r="Q562">
        <v>90649549.54954955</v>
      </c>
      <c r="R562">
        <v>88413108.108108118</v>
      </c>
      <c r="S562">
        <v>6108</v>
      </c>
      <c r="T562">
        <v>5205</v>
      </c>
    </row>
    <row r="563" spans="1:20" x14ac:dyDescent="0.35">
      <c r="A563" s="7" t="s">
        <v>656</v>
      </c>
      <c r="B563" s="12" t="s">
        <v>69</v>
      </c>
      <c r="C563">
        <v>464148191.81938171</v>
      </c>
      <c r="D563">
        <v>474161287.46481597</v>
      </c>
      <c r="E563">
        <v>107006341.44144145</v>
      </c>
      <c r="F563">
        <v>107471151.35135137</v>
      </c>
      <c r="G563">
        <v>77</v>
      </c>
      <c r="H563">
        <v>57</v>
      </c>
      <c r="I563">
        <v>2</v>
      </c>
      <c r="K563">
        <v>86</v>
      </c>
      <c r="L563">
        <v>65</v>
      </c>
      <c r="M563">
        <v>20275310.810810808</v>
      </c>
      <c r="N563">
        <v>54394594.59459459</v>
      </c>
      <c r="O563">
        <v>62009351.351351351</v>
      </c>
      <c r="P563">
        <v>71008216.216216221</v>
      </c>
      <c r="Q563">
        <v>15389639.63963964</v>
      </c>
      <c r="R563">
        <v>20170270.270270269</v>
      </c>
      <c r="S563">
        <v>7116</v>
      </c>
      <c r="T563">
        <v>7354</v>
      </c>
    </row>
    <row r="564" spans="1:20" x14ac:dyDescent="0.35">
      <c r="A564" s="7" t="s">
        <v>14</v>
      </c>
      <c r="B564" s="12" t="s">
        <v>159</v>
      </c>
      <c r="C564">
        <v>199995226.63766715</v>
      </c>
      <c r="D564">
        <v>203277082.89155445</v>
      </c>
      <c r="E564">
        <v>941441.44144144503</v>
      </c>
      <c r="F564">
        <v>850450.450450451</v>
      </c>
      <c r="G564">
        <v>27</v>
      </c>
      <c r="H564">
        <v>32</v>
      </c>
      <c r="K564">
        <v>29</v>
      </c>
      <c r="L564">
        <v>34</v>
      </c>
      <c r="M564">
        <v>42677477.477477483</v>
      </c>
      <c r="N564">
        <v>32150000</v>
      </c>
      <c r="O564">
        <v>66660855.855855852</v>
      </c>
      <c r="P564">
        <v>71797009.009009004</v>
      </c>
      <c r="Q564">
        <v>41470270.270270273</v>
      </c>
      <c r="R564">
        <v>27495945.945945945</v>
      </c>
      <c r="S564">
        <v>3808</v>
      </c>
      <c r="T564">
        <v>4041</v>
      </c>
    </row>
    <row r="565" spans="1:20" x14ac:dyDescent="0.35">
      <c r="A565" s="7" t="s">
        <v>657</v>
      </c>
      <c r="B565" s="12" t="s">
        <v>305</v>
      </c>
      <c r="C565">
        <v>210443247.76404226</v>
      </c>
      <c r="D565">
        <v>217744393.54777429</v>
      </c>
      <c r="E565">
        <v>803603.60360360099</v>
      </c>
      <c r="F565">
        <v>651351.35135135602</v>
      </c>
      <c r="G565">
        <v>47</v>
      </c>
      <c r="H565">
        <v>50</v>
      </c>
      <c r="K565">
        <v>52</v>
      </c>
      <c r="L565">
        <v>53</v>
      </c>
      <c r="M565">
        <v>36736036.036036029</v>
      </c>
      <c r="N565">
        <v>33849549.54954955</v>
      </c>
      <c r="O565">
        <v>62119301.801801801</v>
      </c>
      <c r="P565">
        <v>67387054.054054052</v>
      </c>
      <c r="Q565">
        <v>32666396.396396399</v>
      </c>
      <c r="R565">
        <v>32834684.684684679</v>
      </c>
      <c r="S565">
        <v>3183</v>
      </c>
      <c r="T565">
        <v>3084</v>
      </c>
    </row>
    <row r="566" spans="1:20" x14ac:dyDescent="0.35">
      <c r="A566" s="7" t="s">
        <v>658</v>
      </c>
      <c r="B566" s="12" t="s">
        <v>49</v>
      </c>
      <c r="C566">
        <v>267195351.13123226</v>
      </c>
      <c r="D566">
        <v>259550686.79916632</v>
      </c>
      <c r="E566">
        <v>1754054.0540540549</v>
      </c>
      <c r="F566">
        <v>3219819.8198198229</v>
      </c>
      <c r="G566">
        <v>54</v>
      </c>
      <c r="H566">
        <v>14</v>
      </c>
      <c r="K566">
        <v>112</v>
      </c>
      <c r="L566">
        <v>16</v>
      </c>
      <c r="M566">
        <v>56120000</v>
      </c>
      <c r="N566">
        <v>19156756.756756756</v>
      </c>
      <c r="O566">
        <v>85500783.783783779</v>
      </c>
      <c r="P566">
        <v>81857827.027027026</v>
      </c>
      <c r="Q566">
        <v>55684684.684684686</v>
      </c>
      <c r="R566">
        <v>19222972.97297297</v>
      </c>
      <c r="S566">
        <v>3476</v>
      </c>
      <c r="T566">
        <v>3045</v>
      </c>
    </row>
    <row r="567" spans="1:20" x14ac:dyDescent="0.35">
      <c r="A567" s="7" t="s">
        <v>659</v>
      </c>
      <c r="B567" s="12" t="s">
        <v>55</v>
      </c>
      <c r="C567">
        <v>87837445.133751407</v>
      </c>
      <c r="D567">
        <v>90674042.682214826</v>
      </c>
      <c r="E567">
        <v>58632612.612612613</v>
      </c>
      <c r="F567">
        <v>304324324.32432437</v>
      </c>
      <c r="G567">
        <v>1</v>
      </c>
      <c r="H567">
        <v>16</v>
      </c>
      <c r="K567">
        <v>1</v>
      </c>
      <c r="L567">
        <v>24</v>
      </c>
      <c r="M567">
        <v>7665765.7657657657</v>
      </c>
      <c r="N567">
        <v>12955315.315315315</v>
      </c>
      <c r="O567">
        <v>20199549.549549554</v>
      </c>
      <c r="P567">
        <v>21629117.117117114</v>
      </c>
      <c r="Q567">
        <v>6413153.1531531541</v>
      </c>
      <c r="R567">
        <v>9339369.3693693709</v>
      </c>
      <c r="S567">
        <v>1611</v>
      </c>
      <c r="T567">
        <v>1554</v>
      </c>
    </row>
    <row r="568" spans="1:20" x14ac:dyDescent="0.35">
      <c r="A568" s="7" t="s">
        <v>660</v>
      </c>
      <c r="B568" s="12" t="s">
        <v>51</v>
      </c>
      <c r="C568">
        <v>389384690.6128934</v>
      </c>
      <c r="D568">
        <v>402644759.20091051</v>
      </c>
      <c r="E568">
        <v>1847747.747747751</v>
      </c>
      <c r="F568">
        <v>1784234.234234239</v>
      </c>
      <c r="G568">
        <v>72</v>
      </c>
      <c r="H568">
        <v>21</v>
      </c>
      <c r="K568">
        <v>91</v>
      </c>
      <c r="L568">
        <v>23</v>
      </c>
      <c r="M568">
        <v>98906666.666666672</v>
      </c>
      <c r="N568">
        <v>77144504.504504517</v>
      </c>
      <c r="O568">
        <v>195473360.36036035</v>
      </c>
      <c r="P568">
        <v>203380171.17117116</v>
      </c>
      <c r="Q568">
        <v>95967477.477477476</v>
      </c>
      <c r="R568">
        <v>76337477.477477476</v>
      </c>
      <c r="S568">
        <v>8395</v>
      </c>
      <c r="T568">
        <v>5290</v>
      </c>
    </row>
    <row r="569" spans="1:20" x14ac:dyDescent="0.35">
      <c r="A569" s="7" t="s">
        <v>661</v>
      </c>
      <c r="B569" s="12" t="s">
        <v>84</v>
      </c>
      <c r="C569">
        <v>471000033.18958241</v>
      </c>
      <c r="D569">
        <v>463673600.07034338</v>
      </c>
      <c r="E569">
        <v>69853845.945945948</v>
      </c>
      <c r="F569">
        <v>82690990.990990996</v>
      </c>
      <c r="G569">
        <v>123</v>
      </c>
      <c r="H569">
        <v>139</v>
      </c>
      <c r="K569">
        <v>138</v>
      </c>
      <c r="L569">
        <v>159</v>
      </c>
      <c r="M569">
        <v>78791127.927927941</v>
      </c>
      <c r="N569">
        <v>106512612.61261261</v>
      </c>
      <c r="O569">
        <v>121156621.62162161</v>
      </c>
      <c r="P569">
        <v>127254985.58558558</v>
      </c>
      <c r="Q569">
        <v>40692207.20720721</v>
      </c>
      <c r="R569">
        <v>47059818.018018015</v>
      </c>
      <c r="S569">
        <v>9326</v>
      </c>
      <c r="T569">
        <v>8916</v>
      </c>
    </row>
    <row r="570" spans="1:20" x14ac:dyDescent="0.35">
      <c r="A570" s="16" t="s">
        <v>662</v>
      </c>
      <c r="B570" s="14"/>
      <c r="C570" s="17">
        <v>194904985542.80176</v>
      </c>
      <c r="D570" s="17">
        <v>196651935561.60696</v>
      </c>
      <c r="E570" s="17">
        <v>44216988413.513519</v>
      </c>
      <c r="F570" s="17">
        <v>50702832307.207176</v>
      </c>
      <c r="G570" s="17">
        <v>62699</v>
      </c>
      <c r="H570" s="17">
        <v>58786</v>
      </c>
      <c r="I570" s="17">
        <v>477</v>
      </c>
      <c r="J570" s="17"/>
      <c r="K570" s="17">
        <v>87978</v>
      </c>
      <c r="L570" s="17">
        <v>86481</v>
      </c>
      <c r="M570" s="17">
        <v>41760146061.261269</v>
      </c>
      <c r="N570" s="17">
        <v>44542794274.774834</v>
      </c>
      <c r="O570" s="17">
        <v>58264885361.261269</v>
      </c>
      <c r="P570" s="17">
        <v>63854465096.396339</v>
      </c>
      <c r="Q570" s="17">
        <v>32015696174.774734</v>
      </c>
      <c r="R570" s="17">
        <v>35451365960.360321</v>
      </c>
      <c r="S570" s="17">
        <v>4122174</v>
      </c>
      <c r="T570" s="17">
        <v>3753701</v>
      </c>
    </row>
    <row r="571" spans="1:20" x14ac:dyDescent="0.35">
      <c r="A571" s="7" t="s">
        <v>659</v>
      </c>
      <c r="B571" s="12" t="s">
        <v>55</v>
      </c>
      <c r="C571">
        <v>77505421.107497349</v>
      </c>
      <c r="D571">
        <v>79224298.060378596</v>
      </c>
      <c r="E571">
        <v>595495.49549549597</v>
      </c>
      <c r="F571">
        <v>2779279.2792792791</v>
      </c>
      <c r="G571">
        <v>1</v>
      </c>
      <c r="H571">
        <v>14</v>
      </c>
      <c r="K571">
        <v>1</v>
      </c>
      <c r="L571">
        <v>21</v>
      </c>
      <c r="M571">
        <v>6378378.3783783792</v>
      </c>
      <c r="N571">
        <v>9707207.2072072066</v>
      </c>
      <c r="O571">
        <v>18067882.882882886</v>
      </c>
      <c r="P571">
        <v>19248351.351351351</v>
      </c>
      <c r="Q571">
        <v>5773063.0630630637</v>
      </c>
      <c r="R571">
        <v>7682432.4324324327</v>
      </c>
      <c r="S571">
        <v>1554</v>
      </c>
      <c r="T571">
        <v>1496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2026-08-28T05:57:55Z</dcterms:modified>
</cp:coreProperties>
</file>