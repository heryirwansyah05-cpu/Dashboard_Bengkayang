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<sst xmlns="http://schemas.openxmlformats.org/spreadsheetml/2006/main" count="1238" uniqueCount="670">
  <si>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</si>
  <si>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</si>
  <si>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</si>
  <si>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</si>
  <si>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</si>
  <si>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</si>
  <si>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</si>
  <si>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</si>
  <si>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</si>
  <si>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</si>
  <si>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</si>
  <si>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</si>
  <si>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</si>
  <si>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</si>
  <si>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</si>
  <si>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</si>
  <si>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</si>
  <si>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</si>
  <si>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</si>
  <si>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</si>
  <si>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</si>
  <si>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</si>
  <si>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</si>
  <si>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</si>
  <si>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</si>
  <si>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</si>
  <si>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</si>
  <si>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</si>
  <si>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</si>
  <si>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</si>
  <si>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</si>
  <si>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</si>
  <si>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</si>
  <si>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</si>
  <si>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</si>
  <si>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</si>
  <si>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</si>
  <si>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</si>
  <si>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</si>
  <si>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</si>
  <si>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</si>
  <si>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</si>
  <si>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</si>
  <si>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</si>
  <si>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</si>
  <si>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</si>
  <si>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</si>
  <si>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</si>
  <si>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</si>
  <si>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</si>
  <si>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</si>
  <si>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</si>
  <si>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</si>
  <si>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</si>
  <si>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</si>
  <si>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</si>
  <si>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</si>
  <si>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</si>
  <si>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</si>
  <si>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</si>
  <si>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</si>
  <si>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</si>
  <si>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</si>
  <si>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</si>
  <si>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</si>
  <si>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</si>
  <si>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</si>
  <si>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</si>
  <si>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</si>
  <si>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</si>
  <si>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</si>
  <si>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</si>
  <si>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</si>
  <si>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</si>
  <si>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</si>
  <si>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</si>
  <si>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</si>
  <si>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</si>
  <si>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</si>
  <si>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</si>
  <si>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</si>
  <si>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</si>
  <si>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</si>
  <si>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</si>
  <si>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</si>
  <si>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</si>
  <si>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</si>
  <si>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</si>
  <si>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</si>
  <si>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</si>
  <si>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</si>
  <si>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</si>
  <si>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</si>
  <si>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</si>
  <si>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</si>
  <si>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</si>
  <si>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</si>
  <si>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</si>
  <si>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</si>
  <si>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</si>
  <si>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</si>
  <si>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</si>
  <si>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</si>
  <si>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</si>
  <si>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</si>
  <si>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</si>
  <si>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</si>
  <si>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</si>
  <si>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</si>
  <si>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</si>
  <si>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</si>
  <si>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</si>
  <si>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</si>
  <si>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</si>
  <si>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</si>
  <si>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</si>
  <si>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</si>
  <si>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</si>
  <si>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</si>
  <si>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</si>
  <si>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</si>
  <si>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</si>
  <si>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</si>
  <si>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</si>
  <si>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</si>
  <si>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</si>
  <si>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</si>
  <si>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</si>
  <si>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</si>
  <si>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</si>
  <si>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</si>
  <si>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</si>
  <si>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</si>
  <si>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</si>
  <si>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</si>
  <si>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</si>
  <si>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</si>
  <si>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</si>
  <si>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</si>
  <si>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</si>
  <si>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</si>
  <si>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</si>
  <si>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</si>
  <si>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</si>
  <si>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</si>
  <si>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</si>
  <si>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</si>
  <si>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</si>
  <si>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</si>
  <si>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</si>
  <si>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</si>
  <si>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</si>
  <si>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</si>
  <si>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</si>
  <si>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</si>
  <si>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</si>
  <si>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</si>
  <si>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</si>
  <si>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</si>
  <si>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</si>
  <si>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</si>
  <si>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</si>
  <si>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</si>
  <si>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</si>
  <si>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</si>
  <si>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</si>
  <si>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</si>
  <si>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</si>
  <si>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</si>
  <si>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</si>
  <si>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</si>
  <si>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</si>
  <si>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</si>
  <si>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</si>
  <si>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</si>
  <si>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</si>
  <si>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</si>
  <si>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</si>
  <si>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</si>
  <si>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</si>
  <si>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</si>
  <si>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</si>
  <si>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</si>
  <si>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</si>
  <si>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</si>
  <si>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</si>
  <si>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</si>
  <si>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</si>
  <si>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</si>
  <si>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</si>
  <si>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</si>
  <si>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</si>
  <si>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</si>
  <si>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</si>
  <si>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</si>
  <si>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</si>
  <si>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</si>
  <si>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</si>
  <si>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</si>
  <si>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</si>
  <si>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</si>
  <si>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</si>
  <si>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</si>
  <si>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</si>
  <si>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</si>
  <si>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</si>
  <si>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</si>
  <si>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</si>
  <si>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</si>
  <si>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</si>
  <si>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</si>
  <si>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</si>
  <si>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</si>
  <si>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</si>
  <si>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</si>
  <si>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</si>
  <si>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</si>
  <si>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</si>
  <si>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</si>
  <si>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</si>
  <si>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</si>
  <si>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</si>
  <si>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</si>
  <si>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</si>
  <si>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</si>
  <si>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</si>
  <si>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</si>
  <si>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</si>
  <si>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</si>
  <si>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</si>
  <si>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</si>
  <si>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</si>
  <si>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</si>
  <si>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</si>
  <si>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</si>
  <si>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</si>
  <si>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</si>
  <si>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</si>
  <si>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</si>
  <si>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</si>
  <si>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</si>
  <si>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</si>
  <si>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</si>
  <si>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</si>
  <si>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</si>
  <si>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</si>
  <si>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</si>
  <si>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</si>
  <si>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</si>
  <si>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</si>
  <si>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</si>
  <si>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</si>
  <si>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</si>
  <si>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</si>
  <si>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</si>
  <si>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</si>
  <si>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</si>
  <si>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</si>
  <si>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</si>
  <si>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</si>
  <si>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</si>
  <si>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</si>
  <si>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</si>
  <si>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</si>
  <si>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</si>
  <si>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</si>
  <si>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</si>
  <si>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</si>
  <si>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</si>
  <si>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</si>
  <si>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</si>
  <si>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</si>
  <si>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</si>
  <si>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</si>
  <si>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</si>
  <si>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</si>
  <si>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</si>
  <si>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</si>
  <si>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</si>
  <si>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</si>
  <si>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</si>
  <si>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</si>
  <si>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</si>
  <si>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</si>
  <si>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</si>
  <si>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</si>
  <si>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</si>
  <si>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</si>
  <si>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</si>
  <si>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</si>
  <si>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</si>
  <si>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</si>
  <si>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</si>
  <si>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</si>
  <si>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</si>
  <si>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</si>
  <si>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</si>
  <si>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</si>
  <si>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</si>
  <si>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</si>
  <si>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</si>
  <si>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</si>
  <si>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</si>
  <si>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</si>
  <si>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</si>
  <si>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</si>
  <si>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</si>
  <si>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</si>
  <si>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</si>
  <si>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</si>
  <si>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</si>
  <si>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</si>
  <si>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</si>
  <si>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</si>
  <si>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</si>
  <si>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</si>
  <si>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</si>
  <si>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</si>
  <si>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</si>
  <si>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</si>
  <si>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</si>
  <si>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</si>
  <si>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</si>
  <si>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</si>
  <si>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</si>
  <si>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</si>
  <si>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</si>
  <si>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</si>
  <si>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</si>
  <si>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</si>
  <si>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</si>
  <si>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</si>
  <si>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</si>
  <si>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</si>
  <si>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</si>
  <si>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</si>
  <si>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</si>
  <si>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</si>
  <si>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</si>
  <si>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</si>
  <si>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</si>
  <si>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</si>
  <si>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</si>
  <si>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</si>
  <si>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</si>
  <si>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</si>
  <si>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</si>
  <si>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</si>
  <si>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</si>
  <si>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</si>
  <si>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</si>
  <si>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</si>
  <si>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</si>
  <si>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</si>
  <si>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</si>
  <si>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</si>
  <si>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</si>
  <si>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</si>
  <si>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</si>
  <si>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</si>
  <si>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</si>
  <si>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</si>
  <si>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</si>
  <si>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</si>
  <si>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</si>
  <si>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</si>
  <si>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</si>
  <si>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</si>
  <si>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</si>
  <si>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</si>
  <si>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</si>
  <si>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</si>
  <si>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</si>
  <si>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</si>
  <si>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</si>
  <si>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</si>
  <si>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</si>
  <si>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</si>
  <si>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</si>
  <si>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</si>
  <si>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</si>
  <si>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</si>
  <si>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</si>
  <si>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</si>
  <si>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</si>
  <si>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</si>
  <si>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</si>
  <si>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</si>
  <si>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</si>
  <si>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</si>
  <si>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</si>
  <si>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</si>
  <si>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</si>
  <si>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</si>
  <si>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</si>
  <si>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</si>
  <si>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</si>
  <si>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</si>
  <si>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</si>
  <si>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</si>
  <si>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</si>
  <si>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</si>
  <si>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</si>
  <si>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</si>
  <si>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</si>
  <si>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</si>
  <si>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</si>
  <si>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</si>
  <si>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</si>
  <si>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</si>
  <si>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</si>
  <si>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</si>
  <si>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</si>
  <si>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</si>
  <si>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</si>
  <si>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</si>
  <si>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</si>
  <si>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</si>
  <si>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</si>
  <si>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</si>
  <si>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</si>
  <si>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</si>
  <si>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</si>
  <si>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</si>
  <si>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</si>
  <si>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</si>
  <si>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</si>
  <si>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</si>
  <si>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</si>
  <si>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</si>
  <si>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</si>
  <si>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</si>
  <si>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</si>
  <si>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</si>
  <si>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</si>
  <si>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</si>
  <si>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</si>
  <si>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</si>
  <si>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</si>
  <si>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</si>
  <si>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</si>
  <si>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</si>
  <si>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</si>
  <si>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</si>
  <si>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</si>
  <si>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</si>
  <si>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</si>
  <si>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</si>
  <si>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</si>
  <si>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</si>
  <si>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</si>
  <si>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</si>
  <si>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</si>
  <si>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</si>
  <si>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</si>
  <si>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</si>
  <si>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</si>
  <si>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</si>
  <si>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</si>
  <si>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</si>
  <si>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</si>
  <si>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</si>
  <si>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</si>
  <si>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</si>
  <si>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</si>
  <si>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</si>
  <si>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</si>
  <si>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</si>
  <si>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</si>
  <si>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</si>
  <si>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</si>
  <si>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</si>
  <si>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</si>
  <si>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</si>
  <si>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</si>
  <si>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</si>
  <si>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</si>
  <si>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</si>
  <si>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</si>
  <si>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</si>
  <si>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</si>
  <si>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</si>
  <si>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</si>
  <si>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</si>
  <si>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</si>
  <si>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</si>
  <si>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</si>
  <si>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</si>
  <si>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</si>
  <si>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</si>
  <si>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</si>
  <si>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</si>
  <si>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</si>
  <si>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</si>
  <si>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</si>
  <si>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</si>
  <si>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</si>
  <si>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</si>
  <si>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</si>
  <si>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</si>
  <si>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</si>
  <si>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</si>
  <si>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</si>
  <si>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</si>
  <si>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</si>
  <si>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</si>
  <si>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</si>
  <si>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</si>
  <si>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</si>
  <si>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</si>
  <si>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</si>
  <si>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</si>
  <si>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</si>
  <si>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</si>
  <si>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</si>
  <si>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</si>
  <si>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</si>
  <si>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</si>
  <si>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</si>
  <si>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</si>
  <si>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</si>
  <si>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</si>
  <si>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</si>
  <si>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</si>
  <si>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</si>
  <si>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</si>
  <si>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</si>
  <si>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</si>
  <si>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</si>
  <si>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</si>
  <si>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</si>
  <si>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</si>
  <si>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</si>
  <si>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</si>
  <si>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</si>
  <si>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</si>
  <si>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</si>
  <si>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</si>
  <si>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</si>
  <si>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</si>
  <si>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</si>
  <si>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</si>
  <si>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</si>
  <si>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</si>
  <si>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</si>
  <si>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</si>
  <si>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</si>
  <si>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</si>
  <si>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</si>
  <si>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</si>
  <si>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</si>
  <si>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</si>
  <si>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</si>
  <si>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</si>
  <si>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</si>
  <si>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</si>
  <si>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</si>
  <si>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</si>
  <si>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</si>
  <si>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</si>
  <si>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</si>
  <si>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</si>
  <si>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</si>
  <si>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</si>
  <si>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</si>
  <si>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</si>
  <si>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</si>
  <si>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</si>
  <si>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</si>
  <si>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</si>
  <si>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</si>
  <si>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</si>
  <si>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</si>
  <si>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</si>
  <si>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</si>
  <si>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</si>
  <si>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</si>
  <si>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</si>
  <si>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</si>
  <si>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</si>
  <si>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</si>
  <si>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</si>
  <si>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</si>
  <si>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</si>
  <si>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</si>
  <si>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</si>
  <si>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</si>
  <si>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</si>
  <si>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</si>
  <si>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</si>
  <si>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</si>
  <si>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</si>
  <si>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</si>
  <si>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</si>
  <si>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</si>
  <si>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</si>
  <si>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</si>
  <si>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</si>
  <si>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</si>
  <si>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</si>
  <si>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</si>
  <si>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</si>
  <si>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</si>
  <si>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</si>
  <si>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</si>
  <si>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</si>
  <si>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</si>
  <si>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</si>
  <si>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</si>
  <si>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</si>
  <si>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</si>
  <si>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</si>
  <si>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</si>
  <si>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</si>
  <si>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</si>
  <si>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</si>
  <si>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</si>
  <si>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</si>
  <si>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</si>
  <si>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</si>
  <si>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</si>
  <si>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</si>
  <si>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</si>
  <si>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</si>
  <si>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</si>
  <si>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</si>
  <si>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</si>
  <si>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</si>
  <si>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</si>
  <si>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</si>
  <si>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</si>
  <si>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</si>
  <si>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</si>
  <si>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</si>
  <si>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</si>
  <si>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</si>
  <si>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</si>
  <si>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</si>
  <si>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</si>
  <si>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</si>
  <si>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</si>
  <si>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</si>
  <si>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</si>
  <si>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</si>
  <si>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</si>
  <si>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</si>
  <si>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</si>
  <si>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</si>
  <si>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</si>
  <si>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</si>
  <si>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</si>
  <si>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</si>
  <si>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</si>
  <si>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</si>
  <si>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</si>
  <si>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</si>
  <si>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</si>
  <si>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</si>
  <si>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</si>
  <si>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</si>
  <si>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</si>
  <si>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</si>
  <si>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</si>
  <si>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KAYAN HILIR|MALINAU</t>
  </si>
  <si>
    <t>KEPULAUAN KARIMATA|KAYONG UTARA</t>
  </si>
  <si>
    <t>BUKIT RAYA|KATINGAN</t>
  </si>
  <si>
    <t>SADANIANG|MEMPAWAH</t>
  </si>
  <si>
    <t>SEKATAK|BULUNGAN</t>
  </si>
  <si>
    <t>TANAH PINOH|MELAWI</t>
  </si>
  <si>
    <t>TANJUNG PALAS BARAT|BULUNGAN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</si>
</sst>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zoomScale="44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316523066.57870948</v>
      </c>
      <c r="D6" s="4">
        <f>IFERROR(VLOOKUP($A:$A,MASTER!$A:$T,4,0),0)</f>
        <v>316544186.03123665</v>
      </c>
      <c r="E6" s="9">
        <f>IFERROR(C6/D6-1,0)</f>
        <v>-6.6718813546917666E-5</v>
      </c>
      <c r="F6" s="4">
        <f>IFERROR(VLOOKUP(A:A,MASTER!A:E,5,0),0)</f>
        <v>627964586.48648655</v>
      </c>
      <c r="G6" s="4">
        <f>IFERROR(VLOOKUP(A:A,MASTER!A:F,6,0),0)</f>
        <v>517901120.72072071</v>
      </c>
      <c r="H6" s="9">
        <f>IFERROR(F6/G6-1,0)</f>
        <v>0.21251830004267891</v>
      </c>
      <c r="I6" s="4">
        <f>IFERROR(VLOOKUP(A:A,MASTER!A:M,13,0),0)</f>
        <v>82291621.621621609</v>
      </c>
      <c r="J6" s="4">
        <f>IFERROR(VLOOKUP($A:$A,MASTER!$A:$T,14,0),0)</f>
        <v>92723198.198198199</v>
      </c>
      <c r="K6" s="9">
        <f>IFERROR(I6/J6-1,0)</f>
        <v>-0.11250233791848752</v>
      </c>
      <c r="L6" s="4">
        <f>IFERROR(VLOOKUP($A:$A,MASTER!$A:$T,15,0),0)</f>
        <v>152240720.72072074</v>
      </c>
      <c r="M6" s="4">
        <f>IFERROR(VLOOKUP($A:$A,MASTER!$A:$T,16,0),0)</f>
        <v>150002018.01801801</v>
      </c>
      <c r="N6" s="9">
        <f>IFERROR(L6/M6-1,0)</f>
        <v>1.4924483898835383E-2</v>
      </c>
      <c r="O6" s="4">
        <f>IFERROR(VLOOKUP($A:$A,MASTER!$A:$T,17,0),0)</f>
        <v>36158918.918918923</v>
      </c>
      <c r="P6" s="4">
        <f>IFERROR(VLOOKUP($A:$A,MASTER!$A:$T,18,0),0)</f>
        <v>48676351.351351351</v>
      </c>
      <c r="Q6" s="9">
        <f>IFERROR(O6/P6-1,0)</f>
        <v>-0.25715634152774103</v>
      </c>
      <c r="R6" s="4">
        <f>IFERROR(VLOOKUP($A:$A,MASTER!$A:$T,19,0),0)</f>
        <v>8198</v>
      </c>
      <c r="S6" s="4">
        <f>IFERROR(VLOOKUP($A:$A,MASTER!$A:$T,20,0),0)</f>
        <v>7625</v>
      </c>
      <c r="T6" s="9">
        <f>IFERROR(R6/S6-1,0)</f>
        <v>7.5147540983606653E-2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29022560.368282694</v>
      </c>
      <c r="D7" s="4">
        <f>IFERROR(VLOOKUP($A:$A,MASTER!$A:$T,4,0),0)</f>
        <v>13443706.666459411</v>
      </c>
      <c r="E7" s="9">
        <f t="shared" ref="E7:E22" si="0">IFERROR(C7/D7-1,0)</f>
        <v>1.158821304892856</v>
      </c>
      <c r="F7" s="4">
        <f>IFERROR(VLOOKUP(A:A,MASTER!A:E,5,0),0)</f>
        <v>326519071.17117119</v>
      </c>
      <c r="G7" s="4">
        <f>IFERROR(VLOOKUP(A:A,MASTER!A:F,6,0),0)</f>
        <v>403839426.12612617</v>
      </c>
      <c r="H7" s="9">
        <f t="shared" ref="H7:H22" si="1">IFERROR(F7/G7-1,0)</f>
        <v>-0.19146311616143807</v>
      </c>
      <c r="I7" s="4">
        <f>IFERROR(VLOOKUP(A:A,MASTER!A:M,13,0),0)</f>
        <v>2381756.7567567579</v>
      </c>
      <c r="J7" s="4">
        <f>IFERROR(VLOOKUP($A:$A,MASTER!$A:$T,14,0),0)</f>
        <v>548648.64864864899</v>
      </c>
      <c r="K7" s="9">
        <f t="shared" ref="K7:K22" si="2">IFERROR(I7/J7-1,0)</f>
        <v>3.3411330049261077</v>
      </c>
      <c r="L7" s="4">
        <f>IFERROR(VLOOKUP($A:$A,MASTER!$A:$T,15,0),0)</f>
        <v>16590756.756756756</v>
      </c>
      <c r="M7" s="4">
        <f>IFERROR(VLOOKUP($A:$A,MASTER!$A:$T,16,0),0)</f>
        <v>8714558.558558559</v>
      </c>
      <c r="N7" s="9">
        <f t="shared" ref="N7:N22" si="3">IFERROR(L7/M7-1,0)</f>
        <v>0.90379772483862553</v>
      </c>
      <c r="O7" s="4">
        <f>IFERROR(VLOOKUP($A:$A,MASTER!$A:$T,17,0),0)</f>
        <v>157657.65765765801</v>
      </c>
      <c r="P7" s="4">
        <f>IFERROR(VLOOKUP($A:$A,MASTER!$A:$T,18,0),0)</f>
        <v>212162.16216216201</v>
      </c>
      <c r="Q7" s="9">
        <f t="shared" ref="Q7:Q22" si="4">IFERROR(O7/P7-1,0)</f>
        <v>-0.25690021231422289</v>
      </c>
      <c r="R7" s="4">
        <f>IFERROR(VLOOKUP($A:$A,MASTER!$A:$T,19,0),0)</f>
        <v>1076</v>
      </c>
      <c r="S7" s="4">
        <f>IFERROR(VLOOKUP($A:$A,MASTER!$A:$T,20,0),0)</f>
        <v>1494</v>
      </c>
      <c r="T7" s="9">
        <f t="shared" ref="T7:T22" si="5">IFERROR(R7/S7-1,0)</f>
        <v>-0.27978580990629187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234983047.03145576</v>
      </c>
      <c r="D8" s="4">
        <f>IFERROR(VLOOKUP($A:$A,MASTER!$A:$T,4,0),0)</f>
        <v>212453968.7294426</v>
      </c>
      <c r="E8" s="9">
        <f t="shared" si="0"/>
        <v>0.10604216262348887</v>
      </c>
      <c r="F8" s="4">
        <f>IFERROR(VLOOKUP(A:A,MASTER!A:E,5,0),0)</f>
        <v>2982882.8828828852</v>
      </c>
      <c r="G8" s="4">
        <f>IFERROR(VLOOKUP(A:A,MASTER!A:F,6,0),0)</f>
        <v>1111711.7117117131</v>
      </c>
      <c r="H8" s="9">
        <f t="shared" si="1"/>
        <v>1.6831442463533213</v>
      </c>
      <c r="I8" s="4">
        <f>IFERROR(VLOOKUP(A:A,MASTER!A:M,13,0),0)</f>
        <v>40045945.945945941</v>
      </c>
      <c r="J8" s="4">
        <f>IFERROR(VLOOKUP($A:$A,MASTER!$A:$T,14,0),0)</f>
        <v>68457657.657657653</v>
      </c>
      <c r="K8" s="9">
        <f t="shared" si="2"/>
        <v>-0.41502605674580195</v>
      </c>
      <c r="L8" s="4">
        <f>IFERROR(VLOOKUP($A:$A,MASTER!$A:$T,15,0),0)</f>
        <v>66683495.495495498</v>
      </c>
      <c r="M8" s="4">
        <f>IFERROR(VLOOKUP($A:$A,MASTER!$A:$T,16,0),0)</f>
        <v>61654729.729729727</v>
      </c>
      <c r="N8" s="9">
        <f t="shared" si="3"/>
        <v>8.1563341333421135E-2</v>
      </c>
      <c r="O8" s="4">
        <f>IFERROR(VLOOKUP($A:$A,MASTER!$A:$T,17,0),0)</f>
        <v>40352072.072072074</v>
      </c>
      <c r="P8" s="4">
        <f>IFERROR(VLOOKUP($A:$A,MASTER!$A:$T,18,0),0)</f>
        <v>67517657.657657653</v>
      </c>
      <c r="Q8" s="9">
        <f t="shared" si="4"/>
        <v>-0.4023478676248855</v>
      </c>
      <c r="R8" s="4">
        <f>IFERROR(VLOOKUP($A:$A,MASTER!$A:$T,19,0),0)</f>
        <v>3678</v>
      </c>
      <c r="S8" s="4">
        <f>IFERROR(VLOOKUP($A:$A,MASTER!$A:$T,20,0),0)</f>
        <v>3504</v>
      </c>
      <c r="T8" s="9">
        <f t="shared" si="5"/>
        <v>4.9657534246575263E-2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141398326.66826463</v>
      </c>
      <c r="D9" s="4">
        <f>IFERROR(VLOOKUP($A:$A,MASTER!$A:$T,4,0),0)</f>
        <v>136651640.87832817</v>
      </c>
      <c r="E9" s="9">
        <f t="shared" si="0"/>
        <v>3.4735666249063213E-2</v>
      </c>
      <c r="F9" s="4">
        <f>IFERROR(VLOOKUP(A:A,MASTER!A:E,5,0),0)</f>
        <v>1817117.117117119</v>
      </c>
      <c r="G9" s="4">
        <f>IFERROR(VLOOKUP(A:A,MASTER!A:F,6,0),0)</f>
        <v>1739189.1891891891</v>
      </c>
      <c r="H9" s="9">
        <f t="shared" si="1"/>
        <v>4.4807044807045893E-2</v>
      </c>
      <c r="I9" s="4">
        <f>IFERROR(VLOOKUP(A:A,MASTER!A:M,13,0),0)</f>
        <v>26933333.333333336</v>
      </c>
      <c r="J9" s="4">
        <f>IFERROR(VLOOKUP($A:$A,MASTER!$A:$T,14,0),0)</f>
        <v>41101801.801801801</v>
      </c>
      <c r="K9" s="9">
        <f t="shared" si="2"/>
        <v>-0.34471648072244254</v>
      </c>
      <c r="L9" s="4">
        <f>IFERROR(VLOOKUP($A:$A,MASTER!$A:$T,15,0),0)</f>
        <v>49909315.315315314</v>
      </c>
      <c r="M9" s="4">
        <f>IFERROR(VLOOKUP($A:$A,MASTER!$A:$T,16,0),0)</f>
        <v>50858531.531531535</v>
      </c>
      <c r="N9" s="9">
        <f t="shared" si="3"/>
        <v>-1.8663854178088468E-2</v>
      </c>
      <c r="O9" s="4">
        <f>IFERROR(VLOOKUP($A:$A,MASTER!$A:$T,17,0),0)</f>
        <v>33847297.297297299</v>
      </c>
      <c r="P9" s="4">
        <f>IFERROR(VLOOKUP($A:$A,MASTER!$A:$T,18,0),0)</f>
        <v>40867927.927927926</v>
      </c>
      <c r="Q9" s="9">
        <f t="shared" si="4"/>
        <v>-0.17178826983868045</v>
      </c>
      <c r="R9" s="4">
        <f>IFERROR(VLOOKUP($A:$A,MASTER!$A:$T,19,0),0)</f>
        <v>3676</v>
      </c>
      <c r="S9" s="4">
        <f>IFERROR(VLOOKUP($A:$A,MASTER!$A:$T,20,0),0)</f>
        <v>3519</v>
      </c>
      <c r="T9" s="9">
        <f t="shared" si="5"/>
        <v>4.4614947428246676E-2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147432628.47826537</v>
      </c>
      <c r="D11" s="4">
        <f>IFERROR(VLOOKUP($A:$A,MASTER!$A:$T,4,0),0)</f>
        <v>153981148.86031601</v>
      </c>
      <c r="E11" s="9">
        <f t="shared" si="0"/>
        <v>-4.252806548411403E-2</v>
      </c>
      <c r="F11" s="4">
        <f>IFERROR(VLOOKUP(A:A,MASTER!A:E,5,0),0)</f>
        <v>490090.09009009099</v>
      </c>
      <c r="G11" s="4">
        <f>IFERROR(VLOOKUP(A:A,MASTER!A:F,6,0),0)</f>
        <v>47747.747747747999</v>
      </c>
      <c r="H11" s="9">
        <f t="shared" si="1"/>
        <v>9.2641509433961922</v>
      </c>
      <c r="I11" s="4">
        <f>IFERROR(VLOOKUP(A:A,MASTER!A:M,13,0),0)</f>
        <v>11866666.666666668</v>
      </c>
      <c r="J11" s="4">
        <f>IFERROR(VLOOKUP($A:$A,MASTER!$A:$T,14,0),0)</f>
        <v>14910810.810810808</v>
      </c>
      <c r="K11" s="9">
        <f t="shared" si="2"/>
        <v>-0.20415684852878957</v>
      </c>
      <c r="L11" s="4">
        <f>IFERROR(VLOOKUP($A:$A,MASTER!$A:$T,15,0),0)</f>
        <v>63157153.153153151</v>
      </c>
      <c r="M11" s="4">
        <f>IFERROR(VLOOKUP($A:$A,MASTER!$A:$T,16,0),0)</f>
        <v>64799882.882882878</v>
      </c>
      <c r="N11" s="9">
        <f t="shared" si="3"/>
        <v>-2.535081325222055E-2</v>
      </c>
      <c r="O11" s="4">
        <f>IFERROR(VLOOKUP($A:$A,MASTER!$A:$T,17,0),0)</f>
        <v>10868468.468468469</v>
      </c>
      <c r="P11" s="4">
        <f>IFERROR(VLOOKUP($A:$A,MASTER!$A:$T,18,0),0)</f>
        <v>13903693.693693694</v>
      </c>
      <c r="Q11" s="9">
        <f t="shared" si="4"/>
        <v>-0.21830351646785151</v>
      </c>
      <c r="R11" s="4">
        <f>IFERROR(VLOOKUP($A:$A,MASTER!$A:$T,19,0),0)</f>
        <v>3026</v>
      </c>
      <c r="S11" s="4">
        <f>IFERROR(VLOOKUP($A:$A,MASTER!$A:$T,20,0),0)</f>
        <v>3474</v>
      </c>
      <c r="T11" s="9">
        <f t="shared" si="5"/>
        <v>-0.128957973517559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536923485.35343707</v>
      </c>
      <c r="D12" s="4">
        <f>IFERROR(VLOOKUP($A:$A,MASTER!$A:$T,4,0),0)</f>
        <v>522160443.94500732</v>
      </c>
      <c r="E12" s="9">
        <f t="shared" si="0"/>
        <v>2.8272998423420459E-2</v>
      </c>
      <c r="F12" s="4">
        <f>IFERROR(VLOOKUP(A:A,MASTER!A:E,5,0),0)</f>
        <v>6261736.0360360453</v>
      </c>
      <c r="G12" s="4">
        <f>IFERROR(VLOOKUP(A:A,MASTER!A:F,6,0),0)</f>
        <v>20326950.45045045</v>
      </c>
      <c r="H12" s="9">
        <f t="shared" si="1"/>
        <v>-0.69194906775121878</v>
      </c>
      <c r="I12" s="4">
        <f>IFERROR(VLOOKUP(A:A,MASTER!A:M,13,0),0)</f>
        <v>195703724.32432431</v>
      </c>
      <c r="J12" s="4">
        <f>IFERROR(VLOOKUP($A:$A,MASTER!$A:$T,14,0),0)</f>
        <v>389162716.21621621</v>
      </c>
      <c r="K12" s="9">
        <f t="shared" si="2"/>
        <v>-0.49711594618536725</v>
      </c>
      <c r="L12" s="4">
        <f>IFERROR(VLOOKUP($A:$A,MASTER!$A:$T,15,0),0)</f>
        <v>365875837.83783782</v>
      </c>
      <c r="M12" s="4">
        <f>IFERROR(VLOOKUP($A:$A,MASTER!$A:$T,16,0),0)</f>
        <v>347257522.52252251</v>
      </c>
      <c r="N12" s="9">
        <f t="shared" si="3"/>
        <v>5.3615297316151667E-2</v>
      </c>
      <c r="O12" s="4">
        <f>IFERROR(VLOOKUP($A:$A,MASTER!$A:$T,17,0),0)</f>
        <v>164039819.81981981</v>
      </c>
      <c r="P12" s="4">
        <f>IFERROR(VLOOKUP($A:$A,MASTER!$A:$T,18,0),0)</f>
        <v>347577027.02702701</v>
      </c>
      <c r="Q12" s="9">
        <f t="shared" si="4"/>
        <v>-0.52804757776162137</v>
      </c>
      <c r="R12" s="4">
        <f>IFERROR(VLOOKUP($A:$A,MASTER!$A:$T,19,0),0)</f>
        <v>12977</v>
      </c>
      <c r="S12" s="4">
        <f>IFERROR(VLOOKUP($A:$A,MASTER!$A:$T,20,0),0)</f>
        <v>12561</v>
      </c>
      <c r="T12" s="9">
        <f t="shared" si="5"/>
        <v>3.3118382294403226E-2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128183315.89437096</v>
      </c>
      <c r="D13" s="4">
        <f>IFERROR(VLOOKUP($A:$A,MASTER!$A:$T,4,0),0)</f>
        <v>124463680.24475735</v>
      </c>
      <c r="E13" s="9">
        <f t="shared" si="0"/>
        <v>2.9885309853436404E-2</v>
      </c>
      <c r="F13" s="4">
        <f>IFERROR(VLOOKUP(A:A,MASTER!A:E,5,0),0)</f>
        <v>277477.47747747903</v>
      </c>
      <c r="G13" s="4">
        <f>IFERROR(VLOOKUP(A:A,MASTER!A:F,6,0),0)</f>
        <v>107207.207207207</v>
      </c>
      <c r="H13" s="9">
        <f t="shared" si="1"/>
        <v>1.5882352941176667</v>
      </c>
      <c r="I13" s="4">
        <f>IFERROR(VLOOKUP(A:A,MASTER!A:M,13,0),0)</f>
        <v>24680630.630630631</v>
      </c>
      <c r="J13" s="4">
        <f>IFERROR(VLOOKUP($A:$A,MASTER!$A:$T,14,0),0)</f>
        <v>36359009.009009011</v>
      </c>
      <c r="K13" s="9">
        <f t="shared" si="2"/>
        <v>-0.32119627835524123</v>
      </c>
      <c r="L13" s="4">
        <f>IFERROR(VLOOKUP($A:$A,MASTER!$A:$T,15,0),0)</f>
        <v>89803162.162162155</v>
      </c>
      <c r="M13" s="4">
        <f>IFERROR(VLOOKUP($A:$A,MASTER!$A:$T,16,0),0)</f>
        <v>82551891.891891882</v>
      </c>
      <c r="N13" s="9">
        <f t="shared" si="3"/>
        <v>8.7838935051499201E-2</v>
      </c>
      <c r="O13" s="4">
        <f>IFERROR(VLOOKUP($A:$A,MASTER!$A:$T,17,0),0)</f>
        <v>26442072.072072074</v>
      </c>
      <c r="P13" s="4">
        <f>IFERROR(VLOOKUP($A:$A,MASTER!$A:$T,18,0),0)</f>
        <v>36980360.360360362</v>
      </c>
      <c r="Q13" s="9">
        <f t="shared" si="4"/>
        <v>-0.28496986469565044</v>
      </c>
      <c r="R13" s="4">
        <f>IFERROR(VLOOKUP($A:$A,MASTER!$A:$T,19,0),0)</f>
        <v>4915</v>
      </c>
      <c r="S13" s="4">
        <f>IFERROR(VLOOKUP($A:$A,MASTER!$A:$T,20,0),0)</f>
        <v>5114</v>
      </c>
      <c r="T13" s="9">
        <f t="shared" si="5"/>
        <v>-3.8912788423934308E-2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176839983.0470475</v>
      </c>
      <c r="D14" s="4">
        <f>IFERROR(VLOOKUP($A:$A,MASTER!$A:$T,4,0),0)</f>
        <v>181013756.79416934</v>
      </c>
      <c r="E14" s="9">
        <f t="shared" si="0"/>
        <v>-2.3057770972997549E-2</v>
      </c>
      <c r="F14" s="4">
        <f>IFERROR(VLOOKUP(A:A,MASTER!A:E,5,0),0)</f>
        <v>3286486.486486488</v>
      </c>
      <c r="G14" s="4">
        <f>IFERROR(VLOOKUP(A:A,MASTER!A:F,6,0),0)</f>
        <v>3174774.7747747768</v>
      </c>
      <c r="H14" s="9">
        <f t="shared" si="1"/>
        <v>3.5187287173666038E-2</v>
      </c>
      <c r="I14" s="4">
        <f>IFERROR(VLOOKUP(A:A,MASTER!A:M,13,0),0)</f>
        <v>23289189.189189192</v>
      </c>
      <c r="J14" s="4">
        <f>IFERROR(VLOOKUP($A:$A,MASTER!$A:$T,14,0),0)</f>
        <v>39583783.783783786</v>
      </c>
      <c r="K14" s="9">
        <f t="shared" si="2"/>
        <v>-0.41164823159907138</v>
      </c>
      <c r="L14" s="4">
        <f>IFERROR(VLOOKUP($A:$A,MASTER!$A:$T,15,0),0)</f>
        <v>51555108.108108111</v>
      </c>
      <c r="M14" s="4">
        <f>IFERROR(VLOOKUP($A:$A,MASTER!$A:$T,16,0),0)</f>
        <v>54921243.243243247</v>
      </c>
      <c r="N14" s="9">
        <f t="shared" si="3"/>
        <v>-6.1290220984741794E-2</v>
      </c>
      <c r="O14" s="4">
        <f>IFERROR(VLOOKUP($A:$A,MASTER!$A:$T,17,0),0)</f>
        <v>21432162.162162159</v>
      </c>
      <c r="P14" s="4">
        <f>IFERROR(VLOOKUP($A:$A,MASTER!$A:$T,18,0),0)</f>
        <v>35142072.072072074</v>
      </c>
      <c r="Q14" s="9">
        <f t="shared" si="4"/>
        <v>-0.3901281029130147</v>
      </c>
      <c r="R14" s="4">
        <f>IFERROR(VLOOKUP($A:$A,MASTER!$A:$T,19,0),0)</f>
        <v>3835</v>
      </c>
      <c r="S14" s="4">
        <f>IFERROR(VLOOKUP($A:$A,MASTER!$A:$T,20,0),0)</f>
        <v>3785</v>
      </c>
      <c r="T14" s="9">
        <f t="shared" si="5"/>
        <v>1.3210039630118908E-2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345751260.50880229</v>
      </c>
      <c r="D15" s="4">
        <f>IFERROR(VLOOKUP($A:$A,MASTER!$A:$T,4,0),0)</f>
        <v>331025226.04577494</v>
      </c>
      <c r="E15" s="9">
        <f t="shared" si="0"/>
        <v>4.4486139739063235E-2</v>
      </c>
      <c r="F15" s="4">
        <f>IFERROR(VLOOKUP(A:A,MASTER!A:E,5,0),0)</f>
        <v>9676219.8198198248</v>
      </c>
      <c r="G15" s="4">
        <f>IFERROR(VLOOKUP(A:A,MASTER!A:F,6,0),0)</f>
        <v>5616379.2792792777</v>
      </c>
      <c r="H15" s="9">
        <f t="shared" si="1"/>
        <v>0.722857260640974</v>
      </c>
      <c r="I15" s="4">
        <f>IFERROR(VLOOKUP(A:A,MASTER!A:M,13,0),0)</f>
        <v>463877789.1891892</v>
      </c>
      <c r="J15" s="4">
        <f>IFERROR(VLOOKUP($A:$A,MASTER!$A:$T,14,0),0)</f>
        <v>455994442.34234232</v>
      </c>
      <c r="K15" s="9">
        <f t="shared" si="2"/>
        <v>1.7288252037353402E-2</v>
      </c>
      <c r="L15" s="4">
        <f>IFERROR(VLOOKUP($A:$A,MASTER!$A:$T,15,0),0)</f>
        <v>125239693.6936937</v>
      </c>
      <c r="M15" s="4">
        <f>IFERROR(VLOOKUP($A:$A,MASTER!$A:$T,16,0),0)</f>
        <v>120823628.82882883</v>
      </c>
      <c r="N15" s="9">
        <f t="shared" si="3"/>
        <v>3.6549679128749846E-2</v>
      </c>
      <c r="O15" s="4">
        <f>IFERROR(VLOOKUP($A:$A,MASTER!$A:$T,17,0),0)</f>
        <v>392006126.12612617</v>
      </c>
      <c r="P15" s="4">
        <f>IFERROR(VLOOKUP($A:$A,MASTER!$A:$T,18,0),0)</f>
        <v>419844909.9099099</v>
      </c>
      <c r="Q15" s="9">
        <f t="shared" si="4"/>
        <v>-6.6307303308160592E-2</v>
      </c>
      <c r="R15" s="4">
        <f>IFERROR(VLOOKUP($A:$A,MASTER!$A:$T,19,0),0)</f>
        <v>7910</v>
      </c>
      <c r="S15" s="4">
        <f>IFERROR(VLOOKUP($A:$A,MASTER!$A:$T,20,0),0)</f>
        <v>6885</v>
      </c>
      <c r="T15" s="9">
        <f t="shared" si="5"/>
        <v>0.14887436456063896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144935794.30772361</v>
      </c>
      <c r="D17" s="4">
        <f>IFERROR(VLOOKUP($A:$A,MASTER!$A:$T,4,0),0)</f>
        <v>146486788.12023684</v>
      </c>
      <c r="E17" s="9">
        <f t="shared" si="0"/>
        <v>-1.0587943338891237E-2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87458349.54954955</v>
      </c>
      <c r="M17" s="4">
        <f>IFERROR(VLOOKUP($A:$A,MASTER!$A:$T,16,0),0)</f>
        <v>87277891.891891882</v>
      </c>
      <c r="N17" s="9">
        <f t="shared" si="3"/>
        <v>2.0676216364299282E-3</v>
      </c>
      <c r="O17" s="4">
        <f>IFERROR(VLOOKUP($A:$A,MASTER!$A:$T,17,0),0)</f>
        <v>19639.639639640001</v>
      </c>
      <c r="P17" s="4">
        <f>IFERROR(VLOOKUP($A:$A,MASTER!$A:$T,18,0),0)</f>
        <v>527387.38738738699</v>
      </c>
      <c r="Q17" s="9">
        <f t="shared" si="4"/>
        <v>-0.96276050563717042</v>
      </c>
      <c r="R17" s="4">
        <f>IFERROR(VLOOKUP($A:$A,MASTER!$A:$T,19,0),0)</f>
        <v>3604</v>
      </c>
      <c r="S17" s="4">
        <f>IFERROR(VLOOKUP($A:$A,MASTER!$A:$T,20,0),0)</f>
        <v>3745</v>
      </c>
      <c r="T17" s="9">
        <f t="shared" si="5"/>
        <v>-3.7650200267022704E-2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125178321.80425437</v>
      </c>
      <c r="D18" s="4">
        <f>IFERROR(VLOOKUP($A:$A,MASTER!$A:$T,4,0),0)</f>
        <v>118792779.77663475</v>
      </c>
      <c r="E18" s="9">
        <f t="shared" si="0"/>
        <v>5.3753620713534067E-2</v>
      </c>
      <c r="F18" s="4">
        <f>IFERROR(VLOOKUP(A:A,MASTER!A:E,5,0),0)</f>
        <v>130630.63063063299</v>
      </c>
      <c r="G18" s="4">
        <f>IFERROR(VLOOKUP(A:A,MASTER!A:F,6,0),0)</f>
        <v>20720.720720721001</v>
      </c>
      <c r="H18" s="9">
        <f t="shared" si="1"/>
        <v>5.3043478260869854</v>
      </c>
      <c r="I18" s="4">
        <f>IFERROR(VLOOKUP(A:A,MASTER!A:M,13,0),0)</f>
        <v>2563063.0630630651</v>
      </c>
      <c r="J18" s="4">
        <f>IFERROR(VLOOKUP($A:$A,MASTER!$A:$T,14,0),0)</f>
        <v>3083783.7837837841</v>
      </c>
      <c r="K18" s="9">
        <f t="shared" si="2"/>
        <v>-0.16885772713993519</v>
      </c>
      <c r="L18" s="4">
        <f>IFERROR(VLOOKUP($A:$A,MASTER!$A:$T,15,0),0)</f>
        <v>42493200.45045045</v>
      </c>
      <c r="M18" s="4">
        <f>IFERROR(VLOOKUP($A:$A,MASTER!$A:$T,16,0),0)</f>
        <v>46762900.900900893</v>
      </c>
      <c r="N18" s="9">
        <f t="shared" si="3"/>
        <v>-9.1305294757027977E-2</v>
      </c>
      <c r="O18" s="4">
        <f>IFERROR(VLOOKUP($A:$A,MASTER!$A:$T,17,0),0)</f>
        <v>3125315.315315316</v>
      </c>
      <c r="P18" s="4">
        <f>IFERROR(VLOOKUP($A:$A,MASTER!$A:$T,18,0),0)</f>
        <v>2456486.4864864871</v>
      </c>
      <c r="Q18" s="9">
        <f t="shared" si="4"/>
        <v>0.27227051014046277</v>
      </c>
      <c r="R18" s="4">
        <f>IFERROR(VLOOKUP($A:$A,MASTER!$A:$T,19,0),0)</f>
        <v>3929</v>
      </c>
      <c r="S18" s="4">
        <f>IFERROR(VLOOKUP($A:$A,MASTER!$A:$T,20,0),0)</f>
        <v>4012</v>
      </c>
      <c r="T18" s="9">
        <f t="shared" si="5"/>
        <v>-2.0687936191425726E-2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81205751.154581204</v>
      </c>
      <c r="D19" s="4">
        <f>IFERROR(VLOOKUP($A:$A,MASTER!$A:$T,4,0),0)</f>
        <v>78193428.228523716</v>
      </c>
      <c r="E19" s="9">
        <f t="shared" si="0"/>
        <v>3.8523991009242309E-2</v>
      </c>
      <c r="F19" s="4">
        <f>IFERROR(VLOOKUP(A:A,MASTER!A:E,5,0),0)</f>
        <v>3270270.2702702722</v>
      </c>
      <c r="G19" s="4">
        <f>IFERROR(VLOOKUP(A:A,MASTER!A:F,6,0),0)</f>
        <v>140540.540540541</v>
      </c>
      <c r="H19" s="9">
        <f t="shared" si="1"/>
        <v>22.269230769230706</v>
      </c>
      <c r="I19" s="4">
        <f>IFERROR(VLOOKUP(A:A,MASTER!A:M,13,0),0)</f>
        <v>6873873.8738738736</v>
      </c>
      <c r="J19" s="4">
        <f>IFERROR(VLOOKUP($A:$A,MASTER!$A:$T,14,0),0)</f>
        <v>590990.99099099101</v>
      </c>
      <c r="K19" s="9">
        <f t="shared" si="2"/>
        <v>10.63109756097561</v>
      </c>
      <c r="L19" s="4">
        <f>IFERROR(VLOOKUP($A:$A,MASTER!$A:$T,15,0),0)</f>
        <v>32250378.37837838</v>
      </c>
      <c r="M19" s="4">
        <f>IFERROR(VLOOKUP($A:$A,MASTER!$A:$T,16,0),0)</f>
        <v>34147855.855855852</v>
      </c>
      <c r="N19" s="9">
        <f t="shared" si="3"/>
        <v>-5.5566518890294625E-2</v>
      </c>
      <c r="O19" s="4">
        <f>IFERROR(VLOOKUP($A:$A,MASTER!$A:$T,17,0),0)</f>
        <v>8173153.1531531531</v>
      </c>
      <c r="P19" s="4">
        <f>IFERROR(VLOOKUP($A:$A,MASTER!$A:$T,18,0),0)</f>
        <v>2693333.333333333</v>
      </c>
      <c r="Q19" s="9">
        <f t="shared" si="4"/>
        <v>2.0345865667647849</v>
      </c>
      <c r="R19" s="4">
        <f>IFERROR(VLOOKUP($A:$A,MASTER!$A:$T,19,0),0)</f>
        <v>2933</v>
      </c>
      <c r="S19" s="4">
        <f>IFERROR(VLOOKUP($A:$A,MASTER!$A:$T,20,0),0)</f>
        <v>3177</v>
      </c>
      <c r="T19" s="9">
        <f t="shared" si="5"/>
        <v>-7.6802014479068315E-2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287022511.12714487</v>
      </c>
      <c r="D21" s="4">
        <f>IFERROR(VLOOKUP($A:$A,MASTER!$A:$T,4,0),0)</f>
        <v>274824001.20752674</v>
      </c>
      <c r="E21" s="9">
        <f t="shared" si="0"/>
        <v>4.4386625134704705E-2</v>
      </c>
      <c r="F21" s="4">
        <f>IFERROR(VLOOKUP(A:A,MASTER!A:E,5,0),0)</f>
        <v>94715315.315315321</v>
      </c>
      <c r="G21" s="4">
        <f>IFERROR(VLOOKUP(A:A,MASTER!A:F,6,0),0)</f>
        <v>314675225.22522521</v>
      </c>
      <c r="H21" s="9">
        <f t="shared" si="1"/>
        <v>-0.69900612529148454</v>
      </c>
      <c r="I21" s="4">
        <f>IFERROR(VLOOKUP(A:A,MASTER!A:M,13,0),0)</f>
        <v>77989774.77477479</v>
      </c>
      <c r="J21" s="4">
        <f>IFERROR(VLOOKUP($A:$A,MASTER!$A:$T,14,0),0)</f>
        <v>92307432.432432428</v>
      </c>
      <c r="K21" s="9">
        <f t="shared" si="2"/>
        <v>-0.15510839463699666</v>
      </c>
      <c r="L21" s="4">
        <f>IFERROR(VLOOKUP($A:$A,MASTER!$A:$T,15,0),0)</f>
        <v>167218036.03603604</v>
      </c>
      <c r="M21" s="4">
        <f>IFERROR(VLOOKUP($A:$A,MASTER!$A:$T,16,0),0)</f>
        <v>158877072.07207206</v>
      </c>
      <c r="N21" s="9">
        <f t="shared" si="3"/>
        <v>5.249948186469755E-2</v>
      </c>
      <c r="O21" s="4">
        <f>IFERROR(VLOOKUP($A:$A,MASTER!$A:$T,17,0),0)</f>
        <v>58512745.945945941</v>
      </c>
      <c r="P21" s="4">
        <f>IFERROR(VLOOKUP($A:$A,MASTER!$A:$T,18,0),0)</f>
        <v>69022702.702702701</v>
      </c>
      <c r="Q21" s="9">
        <f t="shared" si="4"/>
        <v>-0.15226811389906969</v>
      </c>
      <c r="R21" s="4">
        <f>IFERROR(VLOOKUP($A:$A,MASTER!$A:$T,19,0),0)</f>
        <v>7265</v>
      </c>
      <c r="S21" s="4">
        <f>IFERROR(VLOOKUP($A:$A,MASTER!$A:$T,20,0),0)</f>
        <v>7281</v>
      </c>
      <c r="T21" s="9">
        <f t="shared" si="5"/>
        <v>-2.1975003433594154E-3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147205784.42166126</v>
      </c>
      <c r="D22" s="4">
        <f>IFERROR(VLOOKUP($A:$A,MASTER!$A:$T,4,0),0)</f>
        <v>152626377.73059314</v>
      </c>
      <c r="E22" s="9">
        <f t="shared" si="0"/>
        <v>-3.551544228154313E-2</v>
      </c>
      <c r="F22" s="4">
        <f>IFERROR(VLOOKUP(A:A,MASTER!A:E,5,0),0)</f>
        <v>854954.95495495806</v>
      </c>
      <c r="G22" s="4">
        <f>IFERROR(VLOOKUP(A:A,MASTER!A:F,6,0),0)</f>
        <v>160360.36036036201</v>
      </c>
      <c r="H22" s="9">
        <f t="shared" si="1"/>
        <v>4.3314606741572677</v>
      </c>
      <c r="I22" s="4">
        <f>IFERROR(VLOOKUP(A:A,MASTER!A:M,13,0),0)</f>
        <v>30068468.468468472</v>
      </c>
      <c r="J22" s="4">
        <f>IFERROR(VLOOKUP($A:$A,MASTER!$A:$T,14,0),0)</f>
        <v>25063513.513513513</v>
      </c>
      <c r="K22" s="9">
        <f t="shared" si="2"/>
        <v>0.19969087543358333</v>
      </c>
      <c r="L22" s="4">
        <f>IFERROR(VLOOKUP($A:$A,MASTER!$A:$T,15,0),0)</f>
        <v>49693063.063063063</v>
      </c>
      <c r="M22" s="4">
        <f>IFERROR(VLOOKUP($A:$A,MASTER!$A:$T,16,0),0)</f>
        <v>53388513.513513513</v>
      </c>
      <c r="N22" s="9">
        <f t="shared" si="3"/>
        <v>-6.9218080955092964E-2</v>
      </c>
      <c r="O22" s="4">
        <f>IFERROR(VLOOKUP($A:$A,MASTER!$A:$T,17,0),0)</f>
        <v>33100180.180180181</v>
      </c>
      <c r="P22" s="4">
        <f>IFERROR(VLOOKUP($A:$A,MASTER!$A:$T,18,0),0)</f>
        <v>22704324.324324325</v>
      </c>
      <c r="Q22" s="9">
        <f t="shared" si="4"/>
        <v>0.45787999269893431</v>
      </c>
      <c r="R22" s="4">
        <f>IFERROR(VLOOKUP($A:$A,MASTER!$A:$T,19,0),0)</f>
        <v>3915</v>
      </c>
      <c r="S22" s="4">
        <f>IFERROR(VLOOKUP($A:$A,MASTER!$A:$T,20,0),0)</f>
        <v>3974</v>
      </c>
      <c r="T22" s="9">
        <f t="shared" si="5"/>
        <v>-1.4846502264720729E-2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:T565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455882519.72012043</v>
      </c>
      <c r="D4">
        <v>519799125.24838364</v>
      </c>
      <c r="E4">
        <v>152062671.17117116</v>
      </c>
      <c r="F4">
        <v>81061302.702702701</v>
      </c>
      <c r="G4">
        <v>51</v>
      </c>
      <c r="H4">
        <v>16</v>
      </c>
      <c r="K4">
        <v>71</v>
      </c>
      <c r="L4">
        <v>22</v>
      </c>
      <c r="M4">
        <v>60125817.117117122</v>
      </c>
      <c r="N4">
        <v>29928378.37837838</v>
      </c>
      <c r="O4">
        <v>56078709.909909911</v>
      </c>
      <c r="P4">
        <v>72408962.162162155</v>
      </c>
      <c r="Q4">
        <v>40653333.333333328</v>
      </c>
      <c r="R4">
        <v>24850900.9009009</v>
      </c>
      <c r="S4">
        <v>8401</v>
      </c>
      <c r="T4">
        <v>8444</v>
      </c>
    </row>
    <row r="5" spans="1:20" x14ac:dyDescent="0.35">
      <c r="A5" s="7" t="s">
        <v>50</v>
      </c>
      <c r="B5" s="12" t="s">
        <v>51</v>
      </c>
      <c r="C5">
        <v>684068248.39181054</v>
      </c>
      <c r="D5">
        <v>723197596.62681806</v>
      </c>
      <c r="E5">
        <v>8481081.0810810886</v>
      </c>
      <c r="F5">
        <v>9074119.8198198285</v>
      </c>
      <c r="G5">
        <v>494</v>
      </c>
      <c r="H5">
        <v>399</v>
      </c>
      <c r="K5">
        <v>816</v>
      </c>
      <c r="L5">
        <v>640</v>
      </c>
      <c r="M5">
        <v>132503783.78378378</v>
      </c>
      <c r="N5">
        <v>151362837.83783782</v>
      </c>
      <c r="O5">
        <v>220275256.75675678</v>
      </c>
      <c r="P5">
        <v>231423477.47747746</v>
      </c>
      <c r="Q5">
        <v>128190990.990991</v>
      </c>
      <c r="R5">
        <v>145934954.95495495</v>
      </c>
      <c r="S5">
        <v>19737</v>
      </c>
      <c r="T5">
        <v>20705</v>
      </c>
    </row>
    <row r="6" spans="1:20" x14ac:dyDescent="0.35">
      <c r="A6" s="7" t="s">
        <v>52</v>
      </c>
      <c r="B6" s="12" t="s">
        <v>53</v>
      </c>
      <c r="C6">
        <v>173383482.58447695</v>
      </c>
      <c r="D6">
        <v>182975543.97124773</v>
      </c>
      <c r="E6">
        <v>4262162.1621621614</v>
      </c>
      <c r="F6">
        <v>3243693.6936936961</v>
      </c>
      <c r="G6">
        <v>91</v>
      </c>
      <c r="H6">
        <v>65</v>
      </c>
      <c r="K6">
        <v>97</v>
      </c>
      <c r="L6">
        <v>77</v>
      </c>
      <c r="M6">
        <v>56048198.198198199</v>
      </c>
      <c r="N6">
        <v>32387837.837837841</v>
      </c>
      <c r="O6">
        <v>58117963.963963971</v>
      </c>
      <c r="P6">
        <v>60367207.20720721</v>
      </c>
      <c r="Q6">
        <v>51143063.063063063</v>
      </c>
      <c r="R6">
        <v>31018108.108108107</v>
      </c>
      <c r="S6">
        <v>4359</v>
      </c>
      <c r="T6">
        <v>4578</v>
      </c>
    </row>
    <row r="7" spans="1:20" x14ac:dyDescent="0.35">
      <c r="A7" s="7" t="s">
        <v>54</v>
      </c>
      <c r="B7" s="12" t="s">
        <v>55</v>
      </c>
      <c r="C7">
        <v>93840687.017649665</v>
      </c>
      <c r="D7">
        <v>87775880.657592162</v>
      </c>
      <c r="E7">
        <v>753153.153153155</v>
      </c>
      <c r="F7">
        <v>2067117.117117119</v>
      </c>
      <c r="G7">
        <v>24</v>
      </c>
      <c r="H7">
        <v>43</v>
      </c>
      <c r="K7">
        <v>40</v>
      </c>
      <c r="L7">
        <v>66</v>
      </c>
      <c r="M7">
        <v>8930360.3603603598</v>
      </c>
      <c r="N7">
        <v>14964864.864864865</v>
      </c>
      <c r="O7">
        <v>30008461.711711712</v>
      </c>
      <c r="P7">
        <v>28782792.792792793</v>
      </c>
      <c r="Q7">
        <v>9247477.4774774797</v>
      </c>
      <c r="R7">
        <v>13918468.468468469</v>
      </c>
      <c r="S7">
        <v>3647</v>
      </c>
      <c r="T7">
        <v>3644</v>
      </c>
    </row>
    <row r="8" spans="1:20" x14ac:dyDescent="0.35">
      <c r="A8" s="7" t="s">
        <v>56</v>
      </c>
      <c r="B8" s="12" t="s">
        <v>55</v>
      </c>
      <c r="C8">
        <v>153760543.19818118</v>
      </c>
      <c r="D8">
        <v>160602045.85549229</v>
      </c>
      <c r="E8">
        <v>2914414.414414417</v>
      </c>
      <c r="F8">
        <v>2625225.225225226</v>
      </c>
      <c r="G8">
        <v>62</v>
      </c>
      <c r="H8">
        <v>86</v>
      </c>
      <c r="K8">
        <v>122</v>
      </c>
      <c r="L8">
        <v>183</v>
      </c>
      <c r="M8">
        <v>26373153.153153155</v>
      </c>
      <c r="N8">
        <v>130450000</v>
      </c>
      <c r="O8">
        <v>44409333.333333336</v>
      </c>
      <c r="P8">
        <v>48133601.801801801</v>
      </c>
      <c r="Q8">
        <v>49295405.40540541</v>
      </c>
      <c r="R8">
        <v>53706306.306306303</v>
      </c>
      <c r="S8">
        <v>4493</v>
      </c>
      <c r="T8">
        <v>4349</v>
      </c>
    </row>
    <row r="9" spans="1:20" x14ac:dyDescent="0.35">
      <c r="A9" s="7" t="s">
        <v>57</v>
      </c>
      <c r="B9" s="12" t="s">
        <v>55</v>
      </c>
      <c r="C9">
        <v>75403026.514592767</v>
      </c>
      <c r="D9">
        <v>81449555.953286901</v>
      </c>
      <c r="E9">
        <v>1181981.9819819829</v>
      </c>
      <c r="F9">
        <v>1819819.8198198201</v>
      </c>
      <c r="G9">
        <v>19</v>
      </c>
      <c r="H9">
        <v>44</v>
      </c>
      <c r="K9">
        <v>21</v>
      </c>
      <c r="L9">
        <v>82</v>
      </c>
      <c r="M9">
        <v>7953873.8738738745</v>
      </c>
      <c r="N9">
        <v>12608288.288288292</v>
      </c>
      <c r="O9">
        <v>23077369.369369369</v>
      </c>
      <c r="P9">
        <v>26781882.882882886</v>
      </c>
      <c r="Q9">
        <v>7289819.819819822</v>
      </c>
      <c r="R9">
        <v>11905675.675675675</v>
      </c>
      <c r="S9">
        <v>2067</v>
      </c>
      <c r="T9">
        <v>2059</v>
      </c>
    </row>
    <row r="10" spans="1:20" x14ac:dyDescent="0.35">
      <c r="A10" s="7" t="s">
        <v>58</v>
      </c>
      <c r="B10" s="12" t="s">
        <v>59</v>
      </c>
      <c r="C10">
        <v>204983945.00939056</v>
      </c>
      <c r="D10">
        <v>202468619.31138226</v>
      </c>
      <c r="E10">
        <v>148648.648648651</v>
      </c>
      <c r="F10">
        <v>261261.26126126299</v>
      </c>
      <c r="G10">
        <v>68</v>
      </c>
      <c r="H10">
        <v>51</v>
      </c>
      <c r="I10">
        <v>1</v>
      </c>
      <c r="K10">
        <v>75</v>
      </c>
      <c r="L10">
        <v>61</v>
      </c>
      <c r="M10">
        <v>3572072.072072072</v>
      </c>
      <c r="N10">
        <v>4882882.8828828838</v>
      </c>
      <c r="O10">
        <v>38101081.081081077</v>
      </c>
      <c r="P10">
        <v>41097792.79279279</v>
      </c>
      <c r="Q10">
        <v>3591891.891891893</v>
      </c>
      <c r="R10">
        <v>4185675.6756756771</v>
      </c>
      <c r="S10">
        <v>5738</v>
      </c>
      <c r="T10">
        <v>5521</v>
      </c>
    </row>
    <row r="11" spans="1:20" x14ac:dyDescent="0.35">
      <c r="A11" s="7" t="s">
        <v>60</v>
      </c>
      <c r="B11" s="12" t="s">
        <v>61</v>
      </c>
      <c r="C11">
        <v>86423981.749642342</v>
      </c>
      <c r="D11">
        <v>91289099.902802855</v>
      </c>
      <c r="E11">
        <v>711711.71171171404</v>
      </c>
      <c r="F11">
        <v>972972.97297297302</v>
      </c>
      <c r="G11">
        <v>38</v>
      </c>
      <c r="H11">
        <v>31</v>
      </c>
      <c r="I11">
        <v>1</v>
      </c>
      <c r="K11">
        <v>74</v>
      </c>
      <c r="L11">
        <v>38</v>
      </c>
      <c r="M11">
        <v>13045045.045045046</v>
      </c>
      <c r="N11">
        <v>16207207.207207208</v>
      </c>
      <c r="O11">
        <v>40741270.270270273</v>
      </c>
      <c r="P11">
        <v>43006432.432432435</v>
      </c>
      <c r="Q11">
        <v>10041351.351351352</v>
      </c>
      <c r="R11">
        <v>11363963.963963961</v>
      </c>
      <c r="S11">
        <v>2974</v>
      </c>
      <c r="T11">
        <v>3013</v>
      </c>
    </row>
    <row r="12" spans="1:20" x14ac:dyDescent="0.35">
      <c r="A12" s="7" t="s">
        <v>62</v>
      </c>
      <c r="B12" s="12" t="s">
        <v>63</v>
      </c>
      <c r="C12">
        <v>397524674.01960522</v>
      </c>
      <c r="D12">
        <v>412922213.0119952</v>
      </c>
      <c r="E12">
        <v>460128392.79279286</v>
      </c>
      <c r="F12">
        <v>636039372.07207203</v>
      </c>
      <c r="G12">
        <v>47</v>
      </c>
      <c r="H12">
        <v>26</v>
      </c>
      <c r="K12">
        <v>52</v>
      </c>
      <c r="L12">
        <v>40</v>
      </c>
      <c r="M12">
        <v>111299134.23423424</v>
      </c>
      <c r="N12">
        <v>94448611.711711705</v>
      </c>
      <c r="O12">
        <v>41431133.333333336</v>
      </c>
      <c r="P12">
        <v>51262664.864864863</v>
      </c>
      <c r="Q12">
        <v>61247747.747747742</v>
      </c>
      <c r="R12">
        <v>51109909.909909904</v>
      </c>
      <c r="S12">
        <v>8741</v>
      </c>
      <c r="T12">
        <v>8697</v>
      </c>
    </row>
    <row r="13" spans="1:20" x14ac:dyDescent="0.35">
      <c r="A13" s="7" t="s">
        <v>64</v>
      </c>
      <c r="B13" s="12" t="s">
        <v>51</v>
      </c>
      <c r="C13">
        <v>212997094.24427229</v>
      </c>
      <c r="D13">
        <v>209979763.75465703</v>
      </c>
      <c r="E13">
        <v>2384684.6846846868</v>
      </c>
      <c r="F13">
        <v>2177927.927927936</v>
      </c>
      <c r="G13">
        <v>73</v>
      </c>
      <c r="H13">
        <v>62</v>
      </c>
      <c r="K13">
        <v>111</v>
      </c>
      <c r="L13">
        <v>66</v>
      </c>
      <c r="M13">
        <v>52112252.252252251</v>
      </c>
      <c r="N13">
        <v>40990072.072072074</v>
      </c>
      <c r="O13">
        <v>81510324.324324325</v>
      </c>
      <c r="P13">
        <v>84870981.981981978</v>
      </c>
      <c r="Q13">
        <v>51036756.756756753</v>
      </c>
      <c r="R13">
        <v>40390090.090090089</v>
      </c>
      <c r="S13">
        <v>6822</v>
      </c>
      <c r="T13">
        <v>5632</v>
      </c>
    </row>
    <row r="14" spans="1:20" x14ac:dyDescent="0.35">
      <c r="A14" s="7" t="s">
        <v>65</v>
      </c>
      <c r="B14" s="12" t="s">
        <v>51</v>
      </c>
      <c r="C14">
        <v>216546680.88582543</v>
      </c>
      <c r="D14">
        <v>215753226.3520309</v>
      </c>
      <c r="E14">
        <v>3220720.7207207219</v>
      </c>
      <c r="F14">
        <v>3722072.0720720738</v>
      </c>
      <c r="G14">
        <v>51</v>
      </c>
      <c r="H14">
        <v>32</v>
      </c>
      <c r="K14">
        <v>68</v>
      </c>
      <c r="L14">
        <v>40</v>
      </c>
      <c r="M14">
        <v>24790810.810810808</v>
      </c>
      <c r="N14">
        <v>35388918.918918923</v>
      </c>
      <c r="O14">
        <v>83138774.774774775</v>
      </c>
      <c r="P14">
        <v>83393594.594594598</v>
      </c>
      <c r="Q14">
        <v>22578738.738738734</v>
      </c>
      <c r="R14">
        <v>29748468.468468469</v>
      </c>
      <c r="S14">
        <v>5495</v>
      </c>
      <c r="T14">
        <v>5460</v>
      </c>
    </row>
    <row r="15" spans="1:20" x14ac:dyDescent="0.35">
      <c r="A15" s="7" t="s">
        <v>66</v>
      </c>
      <c r="B15" s="12" t="s">
        <v>67</v>
      </c>
      <c r="C15">
        <v>220141369.97071329</v>
      </c>
      <c r="D15">
        <v>219662896.29417863</v>
      </c>
      <c r="E15">
        <v>5390990.9909909954</v>
      </c>
      <c r="F15">
        <v>7870270.2702702712</v>
      </c>
      <c r="G15">
        <v>59</v>
      </c>
      <c r="H15">
        <v>51</v>
      </c>
      <c r="K15">
        <v>70</v>
      </c>
      <c r="L15">
        <v>62</v>
      </c>
      <c r="M15">
        <v>136391081.08108109</v>
      </c>
      <c r="N15">
        <v>136688963.96396396</v>
      </c>
      <c r="O15">
        <v>112252927.92792794</v>
      </c>
      <c r="P15">
        <v>109200126.12612613</v>
      </c>
      <c r="Q15">
        <v>103134504.50450452</v>
      </c>
      <c r="R15">
        <v>117160225.22522523</v>
      </c>
      <c r="S15">
        <v>5427</v>
      </c>
      <c r="T15">
        <v>5720</v>
      </c>
    </row>
    <row r="16" spans="1:20" x14ac:dyDescent="0.35">
      <c r="A16" s="7" t="s">
        <v>68</v>
      </c>
      <c r="B16" s="12" t="s">
        <v>69</v>
      </c>
      <c r="C16">
        <v>127718453.81645256</v>
      </c>
      <c r="D16">
        <v>132049517.00836237</v>
      </c>
      <c r="E16">
        <v>72980777.477477476</v>
      </c>
      <c r="F16">
        <v>71812140.540540546</v>
      </c>
      <c r="G16">
        <v>51</v>
      </c>
      <c r="H16">
        <v>19</v>
      </c>
      <c r="K16">
        <v>56</v>
      </c>
      <c r="L16">
        <v>24</v>
      </c>
      <c r="M16">
        <v>23402252.252252251</v>
      </c>
      <c r="N16">
        <v>46924504.504504502</v>
      </c>
      <c r="O16">
        <v>35107675.675675675</v>
      </c>
      <c r="P16">
        <v>38770360.360360362</v>
      </c>
      <c r="Q16">
        <v>15661261.26126126</v>
      </c>
      <c r="R16">
        <v>15969729.729729732</v>
      </c>
      <c r="S16">
        <v>3239</v>
      </c>
      <c r="T16">
        <v>3204</v>
      </c>
    </row>
    <row r="17" spans="1:20" x14ac:dyDescent="0.35">
      <c r="A17" s="7" t="s">
        <v>70</v>
      </c>
      <c r="B17" s="12" t="s">
        <v>71</v>
      </c>
      <c r="C17">
        <v>10066114.891946228</v>
      </c>
      <c r="D17">
        <v>10087230.633817572</v>
      </c>
      <c r="E17">
        <v>130537869.36936937</v>
      </c>
      <c r="F17">
        <v>131874149.54954955</v>
      </c>
      <c r="G17">
        <v>3</v>
      </c>
      <c r="H17">
        <v>3</v>
      </c>
      <c r="K17">
        <v>3</v>
      </c>
      <c r="L17">
        <v>3</v>
      </c>
      <c r="M17">
        <v>59780640.540540546</v>
      </c>
      <c r="N17">
        <v>65376713.513513513</v>
      </c>
      <c r="O17">
        <v>3024675.6756756762</v>
      </c>
      <c r="P17">
        <v>3304090.0900900899</v>
      </c>
      <c r="Q17">
        <v>390540.54054054001</v>
      </c>
      <c r="R17">
        <v>1709909.9099099101</v>
      </c>
      <c r="S17">
        <v>270</v>
      </c>
      <c r="T17">
        <v>388</v>
      </c>
    </row>
    <row r="18" spans="1:20" x14ac:dyDescent="0.35">
      <c r="A18" s="7" t="s">
        <v>72</v>
      </c>
      <c r="B18" s="12" t="s">
        <v>73</v>
      </c>
      <c r="C18">
        <v>1746940575.0674431</v>
      </c>
      <c r="D18">
        <v>1784813425.4521546</v>
      </c>
      <c r="E18">
        <v>474751253.15315318</v>
      </c>
      <c r="F18">
        <v>520875887.38738739</v>
      </c>
      <c r="G18">
        <v>513</v>
      </c>
      <c r="H18">
        <v>644</v>
      </c>
      <c r="I18">
        <v>19</v>
      </c>
      <c r="K18">
        <v>820</v>
      </c>
      <c r="L18">
        <v>1029</v>
      </c>
      <c r="M18">
        <v>188476583.78378376</v>
      </c>
      <c r="N18">
        <v>224552252.25225225</v>
      </c>
      <c r="O18">
        <v>355711531.53153151</v>
      </c>
      <c r="P18">
        <v>449977238.73873878</v>
      </c>
      <c r="Q18">
        <v>167417790.990991</v>
      </c>
      <c r="R18">
        <v>189550763.96396396</v>
      </c>
      <c r="S18">
        <v>45193</v>
      </c>
      <c r="T18">
        <v>47482</v>
      </c>
    </row>
    <row r="19" spans="1:20" x14ac:dyDescent="0.35">
      <c r="A19" s="7" t="s">
        <v>74</v>
      </c>
      <c r="B19" s="12" t="s">
        <v>73</v>
      </c>
      <c r="C19">
        <v>166307675.13140276</v>
      </c>
      <c r="D19">
        <v>168435030.5197179</v>
      </c>
      <c r="E19">
        <v>133333.333333335</v>
      </c>
      <c r="F19">
        <v>36036.036036037003</v>
      </c>
      <c r="G19">
        <v>41</v>
      </c>
      <c r="H19">
        <v>29</v>
      </c>
      <c r="I19">
        <v>1</v>
      </c>
      <c r="K19">
        <v>43</v>
      </c>
      <c r="L19">
        <v>33</v>
      </c>
      <c r="M19">
        <v>4772972.9729729732</v>
      </c>
      <c r="N19">
        <v>5225225.2252252242</v>
      </c>
      <c r="O19">
        <v>24626144.144144144</v>
      </c>
      <c r="P19">
        <v>26224432.432432432</v>
      </c>
      <c r="Q19">
        <v>4774234.2342342352</v>
      </c>
      <c r="R19">
        <v>3927027.0270270272</v>
      </c>
      <c r="S19">
        <v>3638</v>
      </c>
      <c r="T19">
        <v>3585</v>
      </c>
    </row>
    <row r="20" spans="1:20" x14ac:dyDescent="0.35">
      <c r="A20" s="7" t="s">
        <v>75</v>
      </c>
      <c r="B20" s="12" t="s">
        <v>71</v>
      </c>
      <c r="C20">
        <v>175812202.71571007</v>
      </c>
      <c r="D20">
        <v>178532998.81547287</v>
      </c>
      <c r="E20">
        <v>5278378.3783783847</v>
      </c>
      <c r="F20">
        <v>5676576.5765765728</v>
      </c>
      <c r="G20">
        <v>56</v>
      </c>
      <c r="H20">
        <v>35</v>
      </c>
      <c r="I20">
        <v>1</v>
      </c>
      <c r="K20">
        <v>72</v>
      </c>
      <c r="L20">
        <v>72</v>
      </c>
      <c r="M20">
        <v>41416216.216216221</v>
      </c>
      <c r="N20">
        <v>50381981.981981985</v>
      </c>
      <c r="O20">
        <v>64001963.963963963</v>
      </c>
      <c r="P20">
        <v>65532054.054054059</v>
      </c>
      <c r="Q20">
        <v>38881081.081081077</v>
      </c>
      <c r="R20">
        <v>46802162.162162162</v>
      </c>
      <c r="S20">
        <v>4301</v>
      </c>
      <c r="T20">
        <v>4304</v>
      </c>
    </row>
    <row r="21" spans="1:20" x14ac:dyDescent="0.35">
      <c r="A21" s="7" t="s">
        <v>76</v>
      </c>
      <c r="B21" s="12" t="s">
        <v>77</v>
      </c>
      <c r="C21">
        <v>51205867.497221373</v>
      </c>
      <c r="D21">
        <v>52962054.803040899</v>
      </c>
      <c r="E21">
        <v>451351.351351352</v>
      </c>
      <c r="F21">
        <v>414414.41441441502</v>
      </c>
      <c r="G21">
        <v>10</v>
      </c>
      <c r="H21">
        <v>26</v>
      </c>
      <c r="K21">
        <v>13</v>
      </c>
      <c r="L21">
        <v>27</v>
      </c>
      <c r="M21">
        <v>7447207.2072072057</v>
      </c>
      <c r="N21">
        <v>7226126.1261261255</v>
      </c>
      <c r="O21">
        <v>13346225.225225223</v>
      </c>
      <c r="P21">
        <v>15753918.918918921</v>
      </c>
      <c r="Q21">
        <v>4598198.1981981983</v>
      </c>
      <c r="R21">
        <v>6026666.666666667</v>
      </c>
      <c r="S21">
        <v>1415</v>
      </c>
      <c r="T21">
        <v>1523</v>
      </c>
    </row>
    <row r="22" spans="1:20" x14ac:dyDescent="0.35">
      <c r="A22" s="7" t="s">
        <v>78</v>
      </c>
      <c r="B22" s="12" t="s">
        <v>79</v>
      </c>
      <c r="C22">
        <v>108245155.27331248</v>
      </c>
      <c r="D22">
        <v>114583951.61924258</v>
      </c>
      <c r="E22">
        <v>1752252.25225225</v>
      </c>
      <c r="F22">
        <v>2235585.5855855858</v>
      </c>
      <c r="G22">
        <v>21</v>
      </c>
      <c r="H22">
        <v>40</v>
      </c>
      <c r="K22">
        <v>24</v>
      </c>
      <c r="L22">
        <v>68</v>
      </c>
      <c r="M22">
        <v>11148648.648648648</v>
      </c>
      <c r="N22">
        <v>21384234.234234232</v>
      </c>
      <c r="O22">
        <v>35359783.783783786</v>
      </c>
      <c r="P22">
        <v>37111090.090090089</v>
      </c>
      <c r="Q22">
        <v>13080540.540540541</v>
      </c>
      <c r="R22">
        <v>20677207.207207207</v>
      </c>
      <c r="S22">
        <v>3163</v>
      </c>
      <c r="T22">
        <v>2436</v>
      </c>
    </row>
    <row r="23" spans="1:20" x14ac:dyDescent="0.35">
      <c r="A23" s="7" t="s">
        <v>80</v>
      </c>
      <c r="B23" s="12" t="s">
        <v>81</v>
      </c>
      <c r="C23">
        <v>1022846579.271263</v>
      </c>
      <c r="D23">
        <v>1136786845.8541989</v>
      </c>
      <c r="E23">
        <v>6116216.2162162289</v>
      </c>
      <c r="F23">
        <v>11829729.729729738</v>
      </c>
      <c r="G23">
        <v>719</v>
      </c>
      <c r="H23">
        <v>699</v>
      </c>
      <c r="I23">
        <v>6</v>
      </c>
      <c r="K23">
        <v>861</v>
      </c>
      <c r="L23">
        <v>978</v>
      </c>
      <c r="M23">
        <v>108091441.44144145</v>
      </c>
      <c r="N23">
        <v>139972072.07207206</v>
      </c>
      <c r="O23">
        <v>268113038.2882883</v>
      </c>
      <c r="P23">
        <v>337055088.28828824</v>
      </c>
      <c r="Q23">
        <v>95983783.783783793</v>
      </c>
      <c r="R23">
        <v>123106756.75675677</v>
      </c>
      <c r="S23">
        <v>26266</v>
      </c>
      <c r="T23">
        <v>26791</v>
      </c>
    </row>
    <row r="24" spans="1:20" x14ac:dyDescent="0.35">
      <c r="A24" s="7" t="s">
        <v>82</v>
      </c>
      <c r="B24" s="12" t="s">
        <v>55</v>
      </c>
      <c r="C24">
        <v>31831712.488417432</v>
      </c>
      <c r="D24">
        <v>29451062.898860879</v>
      </c>
      <c r="E24">
        <v>342342.342342344</v>
      </c>
      <c r="F24">
        <v>234234.234234234</v>
      </c>
      <c r="G24">
        <v>10</v>
      </c>
      <c r="H24">
        <v>6</v>
      </c>
      <c r="K24">
        <v>17</v>
      </c>
      <c r="L24">
        <v>8</v>
      </c>
      <c r="M24">
        <v>2076576.576576578</v>
      </c>
      <c r="N24">
        <v>2536936.9369369382</v>
      </c>
      <c r="O24">
        <v>7156261.2612612611</v>
      </c>
      <c r="P24">
        <v>8003369.369369369</v>
      </c>
      <c r="Q24">
        <v>1799009.0090090099</v>
      </c>
      <c r="R24">
        <v>1970180.1801801799</v>
      </c>
      <c r="S24">
        <v>1309</v>
      </c>
      <c r="T24">
        <v>1325</v>
      </c>
    </row>
    <row r="25" spans="1:20" x14ac:dyDescent="0.35">
      <c r="A25" s="7" t="s">
        <v>83</v>
      </c>
      <c r="B25" s="12" t="s">
        <v>84</v>
      </c>
      <c r="C25">
        <v>731435868.17228341</v>
      </c>
      <c r="D25">
        <v>734750208.18935025</v>
      </c>
      <c r="E25">
        <v>8562387.3873873893</v>
      </c>
      <c r="F25">
        <v>12284684.684684692</v>
      </c>
      <c r="G25">
        <v>137</v>
      </c>
      <c r="H25">
        <v>103</v>
      </c>
      <c r="I25">
        <v>1</v>
      </c>
      <c r="K25">
        <v>175</v>
      </c>
      <c r="L25">
        <v>131</v>
      </c>
      <c r="M25">
        <v>160779729.72972974</v>
      </c>
      <c r="N25">
        <v>136040990.990991</v>
      </c>
      <c r="O25">
        <v>214094988.73873875</v>
      </c>
      <c r="P25">
        <v>227508758.55855855</v>
      </c>
      <c r="Q25">
        <v>111215855.85585585</v>
      </c>
      <c r="R25">
        <v>124161711.7117117</v>
      </c>
      <c r="S25">
        <v>15356</v>
      </c>
      <c r="T25">
        <v>15045</v>
      </c>
    </row>
    <row r="26" spans="1:20" x14ac:dyDescent="0.35">
      <c r="A26" s="7" t="s">
        <v>85</v>
      </c>
      <c r="B26" s="12" t="s">
        <v>86</v>
      </c>
      <c r="C26">
        <v>67826898.660541728</v>
      </c>
      <c r="D26">
        <v>64341872.643295191</v>
      </c>
      <c r="E26">
        <v>1388963.963963965</v>
      </c>
      <c r="F26">
        <v>2878378.3783783792</v>
      </c>
      <c r="G26">
        <v>35</v>
      </c>
      <c r="H26">
        <v>120</v>
      </c>
      <c r="K26">
        <v>44</v>
      </c>
      <c r="L26">
        <v>139</v>
      </c>
      <c r="M26">
        <v>116138738.73873873</v>
      </c>
      <c r="N26">
        <v>107428378.37837839</v>
      </c>
      <c r="O26">
        <v>24741486.486486487</v>
      </c>
      <c r="P26">
        <v>33115846.846846849</v>
      </c>
      <c r="Q26">
        <v>99807927.927927926</v>
      </c>
      <c r="R26">
        <v>81301167.567567572</v>
      </c>
      <c r="S26">
        <v>2209</v>
      </c>
      <c r="T26">
        <v>2376</v>
      </c>
    </row>
    <row r="27" spans="1:20" x14ac:dyDescent="0.35">
      <c r="A27" s="7" t="s">
        <v>87</v>
      </c>
      <c r="B27" s="12" t="s">
        <v>88</v>
      </c>
      <c r="C27">
        <v>2588139.1129801581</v>
      </c>
      <c r="D27">
        <v>3040110.2870723512</v>
      </c>
      <c r="G27">
        <v>1</v>
      </c>
      <c r="K27">
        <v>1</v>
      </c>
      <c r="O27">
        <v>1215324.324324325</v>
      </c>
      <c r="P27">
        <v>1805000</v>
      </c>
      <c r="S27">
        <v>162</v>
      </c>
      <c r="T27">
        <v>151</v>
      </c>
    </row>
    <row r="28" spans="1:20" x14ac:dyDescent="0.35">
      <c r="A28" s="7" t="s">
        <v>89</v>
      </c>
      <c r="B28" s="12" t="s">
        <v>90</v>
      </c>
      <c r="C28">
        <v>147827001.83542842</v>
      </c>
      <c r="D28">
        <v>162227663.47521064</v>
      </c>
      <c r="E28">
        <v>2430630.6306306329</v>
      </c>
      <c r="F28">
        <v>1972972.9729729739</v>
      </c>
      <c r="G28">
        <v>23</v>
      </c>
      <c r="H28">
        <v>14</v>
      </c>
      <c r="K28">
        <v>25</v>
      </c>
      <c r="L28">
        <v>17</v>
      </c>
      <c r="M28">
        <v>22496396.396396395</v>
      </c>
      <c r="N28">
        <v>28684324.324324325</v>
      </c>
      <c r="O28">
        <v>52345324.324324317</v>
      </c>
      <c r="P28">
        <v>57490594.59459459</v>
      </c>
      <c r="Q28">
        <v>21860540.540540535</v>
      </c>
      <c r="R28">
        <v>28457837.837837841</v>
      </c>
      <c r="S28">
        <v>3468</v>
      </c>
      <c r="T28">
        <v>3381</v>
      </c>
    </row>
    <row r="29" spans="1:20" x14ac:dyDescent="0.35">
      <c r="A29" s="7" t="s">
        <v>91</v>
      </c>
      <c r="B29" s="12" t="s">
        <v>61</v>
      </c>
      <c r="C29">
        <v>53518203.415452354</v>
      </c>
      <c r="D29">
        <v>54067194.075727113</v>
      </c>
      <c r="E29">
        <v>109009.00900901</v>
      </c>
      <c r="F29">
        <v>790090.09009008994</v>
      </c>
      <c r="G29">
        <v>11</v>
      </c>
      <c r="H29">
        <v>32</v>
      </c>
      <c r="K29">
        <v>114</v>
      </c>
      <c r="L29">
        <v>131</v>
      </c>
      <c r="M29">
        <v>3370270.2702702712</v>
      </c>
      <c r="N29">
        <v>6285585.5855855858</v>
      </c>
      <c r="O29">
        <v>32150315.315315317</v>
      </c>
      <c r="P29">
        <v>31258567.567567568</v>
      </c>
      <c r="Q29">
        <v>3840090.0900900899</v>
      </c>
      <c r="R29">
        <v>6473423.4234234234</v>
      </c>
      <c r="S29">
        <v>1581</v>
      </c>
      <c r="T29">
        <v>2109</v>
      </c>
    </row>
    <row r="30" spans="1:20" x14ac:dyDescent="0.35">
      <c r="A30" s="7" t="s">
        <v>92</v>
      </c>
      <c r="B30" s="12" t="s">
        <v>93</v>
      </c>
      <c r="C30">
        <v>44537638.610714078</v>
      </c>
      <c r="D30">
        <v>40617552.752285771</v>
      </c>
      <c r="E30">
        <v>160816801.8018018</v>
      </c>
      <c r="F30">
        <v>99829132.432432428</v>
      </c>
      <c r="G30">
        <v>11</v>
      </c>
      <c r="H30">
        <v>5</v>
      </c>
      <c r="K30">
        <v>14</v>
      </c>
      <c r="L30">
        <v>7</v>
      </c>
      <c r="M30">
        <v>25456306.306306306</v>
      </c>
      <c r="N30">
        <v>25576486.486486487</v>
      </c>
      <c r="O30">
        <v>14365414.414414413</v>
      </c>
      <c r="P30">
        <v>14636963.963963963</v>
      </c>
      <c r="Q30">
        <v>16439189.189189188</v>
      </c>
      <c r="R30">
        <v>19246486.486486487</v>
      </c>
      <c r="S30">
        <v>1055</v>
      </c>
      <c r="T30">
        <v>1094</v>
      </c>
    </row>
    <row r="31" spans="1:20" x14ac:dyDescent="0.35">
      <c r="A31" s="7" t="s">
        <v>94</v>
      </c>
      <c r="B31" s="12" t="s">
        <v>95</v>
      </c>
      <c r="C31">
        <v>194821962.0634726</v>
      </c>
      <c r="D31">
        <v>207717292.93033546</v>
      </c>
      <c r="E31">
        <v>35808558.558558561</v>
      </c>
      <c r="F31">
        <v>28265765.765765768</v>
      </c>
      <c r="G31">
        <v>35</v>
      </c>
      <c r="H31">
        <v>16</v>
      </c>
      <c r="K31">
        <v>41</v>
      </c>
      <c r="L31">
        <v>18</v>
      </c>
      <c r="M31">
        <v>28578378.37837838</v>
      </c>
      <c r="N31">
        <v>28928378.378378376</v>
      </c>
      <c r="O31">
        <v>27647457.657657661</v>
      </c>
      <c r="P31">
        <v>35977182.882882886</v>
      </c>
      <c r="Q31">
        <v>18267297.297297295</v>
      </c>
      <c r="R31">
        <v>26575855.855855852</v>
      </c>
      <c r="S31">
        <v>4453</v>
      </c>
      <c r="T31">
        <v>4559</v>
      </c>
    </row>
    <row r="32" spans="1:20" x14ac:dyDescent="0.35">
      <c r="A32" s="7" t="s">
        <v>96</v>
      </c>
      <c r="B32" s="12" t="s">
        <v>97</v>
      </c>
      <c r="C32">
        <v>202773132.96082079</v>
      </c>
      <c r="D32">
        <v>211106745.07698336</v>
      </c>
      <c r="E32">
        <v>941441.44144144305</v>
      </c>
      <c r="F32">
        <v>2327477.4774774802</v>
      </c>
      <c r="G32">
        <v>45</v>
      </c>
      <c r="H32">
        <v>75</v>
      </c>
      <c r="I32">
        <v>2</v>
      </c>
      <c r="K32">
        <v>50</v>
      </c>
      <c r="L32">
        <v>84</v>
      </c>
      <c r="M32">
        <v>38533333.333333336</v>
      </c>
      <c r="N32">
        <v>37509009.009009011</v>
      </c>
      <c r="O32">
        <v>102270207.2072072</v>
      </c>
      <c r="P32">
        <v>105226882.88288288</v>
      </c>
      <c r="Q32">
        <v>35400810.810810812</v>
      </c>
      <c r="R32">
        <v>36467837.837837838</v>
      </c>
      <c r="S32">
        <v>8916</v>
      </c>
      <c r="T32">
        <v>6162</v>
      </c>
    </row>
    <row r="33" spans="1:20" x14ac:dyDescent="0.35">
      <c r="A33" s="7" t="s">
        <v>98</v>
      </c>
      <c r="B33" s="12" t="s">
        <v>99</v>
      </c>
      <c r="C33">
        <v>704940874.56358075</v>
      </c>
      <c r="D33">
        <v>702868735.89914775</v>
      </c>
      <c r="E33">
        <v>7273873.8738738792</v>
      </c>
      <c r="F33">
        <v>9654954.9549549595</v>
      </c>
      <c r="G33">
        <v>282</v>
      </c>
      <c r="H33">
        <v>134</v>
      </c>
      <c r="K33">
        <v>379</v>
      </c>
      <c r="L33">
        <v>170</v>
      </c>
      <c r="M33">
        <v>141765315.31531531</v>
      </c>
      <c r="N33">
        <v>205630810.8108108</v>
      </c>
      <c r="O33">
        <v>182104588.73873875</v>
      </c>
      <c r="P33">
        <v>195891603.6036036</v>
      </c>
      <c r="Q33">
        <v>92061261.261261269</v>
      </c>
      <c r="R33">
        <v>152155495.4954955</v>
      </c>
      <c r="S33">
        <v>22343</v>
      </c>
      <c r="T33">
        <v>23079</v>
      </c>
    </row>
    <row r="34" spans="1:20" x14ac:dyDescent="0.35">
      <c r="A34" s="7" t="s">
        <v>100</v>
      </c>
      <c r="B34" s="12" t="s">
        <v>99</v>
      </c>
      <c r="C34">
        <v>1140532914.2452357</v>
      </c>
      <c r="D34">
        <v>1152363071.8601017</v>
      </c>
      <c r="E34">
        <v>49644266.666666672</v>
      </c>
      <c r="F34">
        <v>207833439.63963965</v>
      </c>
      <c r="G34">
        <v>336</v>
      </c>
      <c r="H34">
        <v>359</v>
      </c>
      <c r="I34">
        <v>10</v>
      </c>
      <c r="K34">
        <v>598</v>
      </c>
      <c r="L34">
        <v>506</v>
      </c>
      <c r="M34">
        <v>82589189.189189181</v>
      </c>
      <c r="N34">
        <v>269567792.7927928</v>
      </c>
      <c r="O34">
        <v>221103051.8018018</v>
      </c>
      <c r="P34">
        <v>237675962.16216218</v>
      </c>
      <c r="Q34">
        <v>61934054.054054059</v>
      </c>
      <c r="R34">
        <v>78303648.648648649</v>
      </c>
      <c r="S34">
        <v>27802</v>
      </c>
      <c r="T34">
        <v>28011</v>
      </c>
    </row>
    <row r="35" spans="1:20" x14ac:dyDescent="0.35">
      <c r="A35" s="7" t="s">
        <v>101</v>
      </c>
      <c r="B35" s="12" t="s">
        <v>99</v>
      </c>
      <c r="C35">
        <v>1351986430.2834425</v>
      </c>
      <c r="D35">
        <v>1708260270.9109702</v>
      </c>
      <c r="E35">
        <v>12296396.396396402</v>
      </c>
      <c r="F35">
        <v>13935668.468468469</v>
      </c>
      <c r="G35">
        <v>291</v>
      </c>
      <c r="H35">
        <v>180</v>
      </c>
      <c r="I35">
        <v>18</v>
      </c>
      <c r="K35">
        <v>783</v>
      </c>
      <c r="L35">
        <v>260</v>
      </c>
      <c r="M35">
        <v>465375450.45045042</v>
      </c>
      <c r="N35">
        <v>236198281.08108109</v>
      </c>
      <c r="O35">
        <v>638909461.71171176</v>
      </c>
      <c r="P35">
        <v>824667484.68468463</v>
      </c>
      <c r="Q35">
        <v>99975180.180180177</v>
      </c>
      <c r="R35">
        <v>135091351.35135135</v>
      </c>
      <c r="S35">
        <v>33360</v>
      </c>
      <c r="T35">
        <v>32966</v>
      </c>
    </row>
    <row r="36" spans="1:20" x14ac:dyDescent="0.35">
      <c r="A36" s="7" t="s">
        <v>102</v>
      </c>
      <c r="B36" s="12" t="s">
        <v>99</v>
      </c>
      <c r="C36">
        <v>654697287.09508228</v>
      </c>
      <c r="D36">
        <v>664783336.40686536</v>
      </c>
      <c r="E36">
        <v>3631531.5315315318</v>
      </c>
      <c r="F36">
        <v>4516216.2162162168</v>
      </c>
      <c r="G36">
        <v>196</v>
      </c>
      <c r="H36">
        <v>139</v>
      </c>
      <c r="I36">
        <v>6</v>
      </c>
      <c r="K36">
        <v>237</v>
      </c>
      <c r="L36">
        <v>186</v>
      </c>
      <c r="M36">
        <v>54794594.59459459</v>
      </c>
      <c r="N36">
        <v>62867283.783783793</v>
      </c>
      <c r="O36">
        <v>145944819.81981981</v>
      </c>
      <c r="P36">
        <v>150099441.44144145</v>
      </c>
      <c r="Q36">
        <v>49058738.738738738</v>
      </c>
      <c r="R36">
        <v>56975405.40540541</v>
      </c>
      <c r="S36">
        <v>20936</v>
      </c>
      <c r="T36">
        <v>21643</v>
      </c>
    </row>
    <row r="37" spans="1:20" x14ac:dyDescent="0.35">
      <c r="A37" s="7" t="s">
        <v>103</v>
      </c>
      <c r="B37" s="12" t="s">
        <v>99</v>
      </c>
      <c r="C37">
        <v>742107359.90757489</v>
      </c>
      <c r="D37">
        <v>765459336.75448298</v>
      </c>
      <c r="E37">
        <v>6890090.0900900932</v>
      </c>
      <c r="F37">
        <v>10015765.765765764</v>
      </c>
      <c r="G37">
        <v>178</v>
      </c>
      <c r="H37">
        <v>58</v>
      </c>
      <c r="K37">
        <v>232</v>
      </c>
      <c r="L37">
        <v>80</v>
      </c>
      <c r="M37">
        <v>104080180.18018019</v>
      </c>
      <c r="N37">
        <v>193398198.1981982</v>
      </c>
      <c r="O37">
        <v>216982472.97297296</v>
      </c>
      <c r="P37">
        <v>220300882.88288289</v>
      </c>
      <c r="Q37">
        <v>120837117.11711712</v>
      </c>
      <c r="R37">
        <v>139665945.94594595</v>
      </c>
      <c r="S37">
        <v>24589</v>
      </c>
      <c r="T37">
        <v>26290</v>
      </c>
    </row>
    <row r="38" spans="1:20" x14ac:dyDescent="0.35">
      <c r="A38" s="7" t="s">
        <v>104</v>
      </c>
      <c r="B38" s="12" t="s">
        <v>99</v>
      </c>
      <c r="C38">
        <v>1909759384.9468055</v>
      </c>
      <c r="D38">
        <v>1913383240.7394814</v>
      </c>
      <c r="E38">
        <v>913735462.16216218</v>
      </c>
      <c r="F38">
        <v>906075527.02702713</v>
      </c>
      <c r="G38">
        <v>532</v>
      </c>
      <c r="H38">
        <v>306</v>
      </c>
      <c r="I38">
        <v>17</v>
      </c>
      <c r="K38">
        <v>837</v>
      </c>
      <c r="L38">
        <v>374</v>
      </c>
      <c r="M38">
        <v>208475523.42342341</v>
      </c>
      <c r="N38">
        <v>456041441.44144142</v>
      </c>
      <c r="O38">
        <v>410876899.0990991</v>
      </c>
      <c r="P38">
        <v>419248621.62162161</v>
      </c>
      <c r="Q38">
        <v>185556846.84684685</v>
      </c>
      <c r="R38">
        <v>214803333.33333334</v>
      </c>
      <c r="S38">
        <v>55663</v>
      </c>
      <c r="T38">
        <v>54796</v>
      </c>
    </row>
    <row r="39" spans="1:20" x14ac:dyDescent="0.35">
      <c r="A39" s="7" t="s">
        <v>105</v>
      </c>
      <c r="B39" s="12" t="s">
        <v>106</v>
      </c>
      <c r="C39">
        <v>135670578.0829075</v>
      </c>
      <c r="D39">
        <v>126515546.60132861</v>
      </c>
      <c r="E39">
        <v>2642342.3423423418</v>
      </c>
      <c r="F39">
        <v>119667567.56756757</v>
      </c>
      <c r="G39">
        <v>21</v>
      </c>
      <c r="H39">
        <v>13</v>
      </c>
      <c r="K39">
        <v>23</v>
      </c>
      <c r="L39">
        <v>14</v>
      </c>
      <c r="M39">
        <v>5910810.8108108109</v>
      </c>
      <c r="N39">
        <v>379279.279279279</v>
      </c>
      <c r="O39">
        <v>28608945.945945945</v>
      </c>
      <c r="P39">
        <v>31158288.288288288</v>
      </c>
      <c r="Q39">
        <v>951801.80180180201</v>
      </c>
      <c r="R39">
        <v>258108.10810810799</v>
      </c>
      <c r="S39">
        <v>2315</v>
      </c>
      <c r="T39">
        <v>2678</v>
      </c>
    </row>
    <row r="40" spans="1:20" x14ac:dyDescent="0.35">
      <c r="A40" s="7" t="s">
        <v>107</v>
      </c>
      <c r="B40" s="12" t="s">
        <v>55</v>
      </c>
      <c r="C40">
        <v>44736132.35950397</v>
      </c>
      <c r="D40">
        <v>43916186.744815975</v>
      </c>
      <c r="E40">
        <v>52094684.684684686</v>
      </c>
      <c r="F40">
        <v>85014414.414414421</v>
      </c>
      <c r="G40">
        <v>26</v>
      </c>
      <c r="H40">
        <v>38</v>
      </c>
      <c r="I40">
        <v>7</v>
      </c>
      <c r="K40">
        <v>29</v>
      </c>
      <c r="L40">
        <v>65</v>
      </c>
      <c r="M40">
        <v>1317477.4774774769</v>
      </c>
      <c r="N40">
        <v>3741801.8018018021</v>
      </c>
      <c r="O40">
        <v>11456738.73873874</v>
      </c>
      <c r="P40">
        <v>12010252.252252253</v>
      </c>
      <c r="Q40">
        <v>1396126.1261261259</v>
      </c>
      <c r="R40">
        <v>2330810.81081081</v>
      </c>
      <c r="S40">
        <v>1378</v>
      </c>
      <c r="T40">
        <v>1355</v>
      </c>
    </row>
    <row r="41" spans="1:20" x14ac:dyDescent="0.35">
      <c r="A41" s="7" t="s">
        <v>108</v>
      </c>
      <c r="B41" s="12" t="s">
        <v>109</v>
      </c>
      <c r="C41">
        <v>367551298.44452316</v>
      </c>
      <c r="D41">
        <v>384915369.86759198</v>
      </c>
      <c r="E41">
        <v>4329729.7297297362</v>
      </c>
      <c r="F41">
        <v>5022972.9729729742</v>
      </c>
      <c r="G41">
        <v>104</v>
      </c>
      <c r="H41">
        <v>71</v>
      </c>
      <c r="I41">
        <v>1</v>
      </c>
      <c r="K41">
        <v>121</v>
      </c>
      <c r="L41">
        <v>82</v>
      </c>
      <c r="M41">
        <v>54371351.351351351</v>
      </c>
      <c r="N41">
        <v>53177927.927927926</v>
      </c>
      <c r="O41">
        <v>82416594.594594598</v>
      </c>
      <c r="P41">
        <v>83311018.018018022</v>
      </c>
      <c r="Q41">
        <v>46992072.072072074</v>
      </c>
      <c r="R41">
        <v>45753693.693693697</v>
      </c>
      <c r="S41">
        <v>9446</v>
      </c>
      <c r="T41">
        <v>9935</v>
      </c>
    </row>
    <row r="42" spans="1:20" x14ac:dyDescent="0.35">
      <c r="A42" s="7" t="s">
        <v>110</v>
      </c>
      <c r="B42" s="12" t="s">
        <v>109</v>
      </c>
      <c r="C42">
        <v>522373437.69593012</v>
      </c>
      <c r="D42">
        <v>533193982.26539451</v>
      </c>
      <c r="E42">
        <v>90593770.270270273</v>
      </c>
      <c r="F42">
        <v>72477783.783783793</v>
      </c>
      <c r="G42">
        <v>175</v>
      </c>
      <c r="H42">
        <v>90</v>
      </c>
      <c r="K42">
        <v>271</v>
      </c>
      <c r="L42">
        <v>181</v>
      </c>
      <c r="M42">
        <v>42519719.819819815</v>
      </c>
      <c r="N42">
        <v>327535441.44144142</v>
      </c>
      <c r="O42">
        <v>153823342.34234235</v>
      </c>
      <c r="P42">
        <v>145522639.63963965</v>
      </c>
      <c r="Q42">
        <v>130805855.85585585</v>
      </c>
      <c r="R42">
        <v>166145405.4054054</v>
      </c>
      <c r="S42">
        <v>13302</v>
      </c>
      <c r="T42">
        <v>15117</v>
      </c>
    </row>
    <row r="43" spans="1:20" x14ac:dyDescent="0.35">
      <c r="A43" s="7" t="s">
        <v>111</v>
      </c>
      <c r="B43" s="12" t="s">
        <v>112</v>
      </c>
      <c r="C43">
        <v>592701613.77530742</v>
      </c>
      <c r="D43">
        <v>621273573.69783282</v>
      </c>
      <c r="E43">
        <v>7992792.7927927934</v>
      </c>
      <c r="F43">
        <v>8004954.9549549576</v>
      </c>
      <c r="G43">
        <v>184</v>
      </c>
      <c r="H43">
        <v>151</v>
      </c>
      <c r="K43">
        <v>447</v>
      </c>
      <c r="L43">
        <v>299</v>
      </c>
      <c r="M43">
        <v>57264528.828828827</v>
      </c>
      <c r="N43">
        <v>57443693.693693697</v>
      </c>
      <c r="O43">
        <v>209810729.72972974</v>
      </c>
      <c r="P43">
        <v>221182918.91891891</v>
      </c>
      <c r="Q43">
        <v>53409279.279279277</v>
      </c>
      <c r="R43">
        <v>54401351.351351343</v>
      </c>
      <c r="S43">
        <v>19514</v>
      </c>
      <c r="T43">
        <v>20735</v>
      </c>
    </row>
    <row r="44" spans="1:20" x14ac:dyDescent="0.35">
      <c r="A44" s="7" t="s">
        <v>113</v>
      </c>
      <c r="B44" s="12" t="s">
        <v>112</v>
      </c>
      <c r="C44">
        <v>775747281.93812144</v>
      </c>
      <c r="D44">
        <v>791321360.75248396</v>
      </c>
      <c r="E44">
        <v>94036936.936936945</v>
      </c>
      <c r="F44">
        <v>284173190.0900901</v>
      </c>
      <c r="G44">
        <v>313</v>
      </c>
      <c r="H44">
        <v>156</v>
      </c>
      <c r="I44">
        <v>1</v>
      </c>
      <c r="K44">
        <v>540</v>
      </c>
      <c r="L44">
        <v>245</v>
      </c>
      <c r="M44">
        <v>62489832.432432421</v>
      </c>
      <c r="N44">
        <v>110729226.12612613</v>
      </c>
      <c r="O44">
        <v>287740617.11711711</v>
      </c>
      <c r="P44">
        <v>287001153.15315318</v>
      </c>
      <c r="Q44">
        <v>63498918.918918915</v>
      </c>
      <c r="R44">
        <v>119515765.76576576</v>
      </c>
      <c r="S44">
        <v>27848</v>
      </c>
      <c r="T44">
        <v>26999</v>
      </c>
    </row>
    <row r="45" spans="1:20" x14ac:dyDescent="0.35">
      <c r="A45" s="7" t="s">
        <v>114</v>
      </c>
      <c r="B45" s="12" t="s">
        <v>112</v>
      </c>
      <c r="C45">
        <v>953777125.50624013</v>
      </c>
      <c r="D45">
        <v>537949216.32226026</v>
      </c>
      <c r="E45">
        <v>6207882.8828828894</v>
      </c>
      <c r="F45">
        <v>14444154.054054057</v>
      </c>
      <c r="G45">
        <v>256</v>
      </c>
      <c r="H45">
        <v>151</v>
      </c>
      <c r="K45">
        <v>515</v>
      </c>
      <c r="L45">
        <v>355</v>
      </c>
      <c r="M45">
        <v>484281456.75675672</v>
      </c>
      <c r="N45">
        <v>648153703.6036036</v>
      </c>
      <c r="O45">
        <v>601446682.88288295</v>
      </c>
      <c r="P45">
        <v>173460720.72072071</v>
      </c>
      <c r="Q45">
        <v>32259819.819819815</v>
      </c>
      <c r="R45">
        <v>49477657.657657661</v>
      </c>
      <c r="S45">
        <v>13701</v>
      </c>
      <c r="T45">
        <v>14097</v>
      </c>
    </row>
    <row r="46" spans="1:20" x14ac:dyDescent="0.35">
      <c r="A46" s="7" t="s">
        <v>115</v>
      </c>
      <c r="B46" s="12" t="s">
        <v>112</v>
      </c>
      <c r="C46">
        <v>620529569.55673361</v>
      </c>
      <c r="D46">
        <v>1223022410.7441075</v>
      </c>
      <c r="E46">
        <v>7430405.4054054171</v>
      </c>
      <c r="F46">
        <v>7254504.5045045121</v>
      </c>
      <c r="G46">
        <v>265</v>
      </c>
      <c r="H46">
        <v>157</v>
      </c>
      <c r="I46">
        <v>11</v>
      </c>
      <c r="K46">
        <v>636</v>
      </c>
      <c r="L46">
        <v>278</v>
      </c>
      <c r="M46">
        <v>62569909.909909911</v>
      </c>
      <c r="N46">
        <v>61507297.297297306</v>
      </c>
      <c r="O46">
        <v>181235099.0990991</v>
      </c>
      <c r="P46">
        <v>776655792.7927928</v>
      </c>
      <c r="Q46">
        <v>56741531.531531535</v>
      </c>
      <c r="R46">
        <v>58396036.036036037</v>
      </c>
      <c r="S46">
        <v>19478</v>
      </c>
      <c r="T46">
        <v>21017</v>
      </c>
    </row>
    <row r="47" spans="1:20" x14ac:dyDescent="0.35">
      <c r="A47" s="7" t="s">
        <v>116</v>
      </c>
      <c r="B47" s="12" t="s">
        <v>112</v>
      </c>
      <c r="C47">
        <v>760882868.72751081</v>
      </c>
      <c r="D47">
        <v>748579096.2689029</v>
      </c>
      <c r="E47">
        <v>1232321482.8828828</v>
      </c>
      <c r="F47">
        <v>1364965518.9189188</v>
      </c>
      <c r="G47">
        <v>328</v>
      </c>
      <c r="H47">
        <v>255</v>
      </c>
      <c r="K47">
        <v>546</v>
      </c>
      <c r="L47">
        <v>458</v>
      </c>
      <c r="M47">
        <v>716650279.27927923</v>
      </c>
      <c r="N47">
        <v>240446289.1891892</v>
      </c>
      <c r="O47">
        <v>233144241.8918919</v>
      </c>
      <c r="P47">
        <v>205457837.83783782</v>
      </c>
      <c r="Q47">
        <v>130694050.45045045</v>
      </c>
      <c r="R47">
        <v>159932612.61261261</v>
      </c>
      <c r="S47">
        <v>23159</v>
      </c>
      <c r="T47">
        <v>22645</v>
      </c>
    </row>
    <row r="48" spans="1:20" x14ac:dyDescent="0.35">
      <c r="A48" s="7" t="s">
        <v>117</v>
      </c>
      <c r="B48" s="12" t="s">
        <v>55</v>
      </c>
      <c r="C48">
        <v>41560367.026293531</v>
      </c>
      <c r="D48">
        <v>41211098.170401931</v>
      </c>
      <c r="E48">
        <v>1095270.2702702701</v>
      </c>
      <c r="F48">
        <v>962162.16216216295</v>
      </c>
      <c r="G48">
        <v>11</v>
      </c>
      <c r="H48">
        <v>6</v>
      </c>
      <c r="K48">
        <v>12</v>
      </c>
      <c r="L48">
        <v>9</v>
      </c>
      <c r="M48">
        <v>3802702.702702702</v>
      </c>
      <c r="N48">
        <v>5559279.2792792805</v>
      </c>
      <c r="O48">
        <v>10333891.891891891</v>
      </c>
      <c r="P48">
        <v>10401603.603603603</v>
      </c>
      <c r="Q48">
        <v>3549909.9099099091</v>
      </c>
      <c r="R48">
        <v>5260990.9909909908</v>
      </c>
      <c r="S48">
        <v>1057</v>
      </c>
      <c r="T48">
        <v>964</v>
      </c>
    </row>
    <row r="49" spans="1:20" x14ac:dyDescent="0.35">
      <c r="A49" s="7" t="s">
        <v>119</v>
      </c>
      <c r="B49" s="12" t="s">
        <v>79</v>
      </c>
      <c r="C49">
        <v>353876138.67786235</v>
      </c>
      <c r="D49">
        <v>383686458.03315008</v>
      </c>
      <c r="E49">
        <v>269547318.91891891</v>
      </c>
      <c r="F49">
        <v>636671937.83783782</v>
      </c>
      <c r="G49">
        <v>126</v>
      </c>
      <c r="H49">
        <v>153</v>
      </c>
      <c r="I49">
        <v>4</v>
      </c>
      <c r="K49">
        <v>165</v>
      </c>
      <c r="L49">
        <v>202</v>
      </c>
      <c r="M49">
        <v>81151801.801801801</v>
      </c>
      <c r="N49">
        <v>90209459.459459454</v>
      </c>
      <c r="O49">
        <v>141393605.85585585</v>
      </c>
      <c r="P49">
        <v>150921576.57657659</v>
      </c>
      <c r="Q49">
        <v>78591351.351351365</v>
      </c>
      <c r="R49">
        <v>84729009.009009004</v>
      </c>
      <c r="S49">
        <v>12195</v>
      </c>
      <c r="T49">
        <v>11408</v>
      </c>
    </row>
    <row r="50" spans="1:20" x14ac:dyDescent="0.35">
      <c r="A50" s="7" t="s">
        <v>120</v>
      </c>
      <c r="B50" s="12" t="s">
        <v>51</v>
      </c>
      <c r="C50">
        <v>112540464.22839643</v>
      </c>
      <c r="D50">
        <v>111817699.18131648</v>
      </c>
      <c r="E50">
        <v>2881081.0810810821</v>
      </c>
      <c r="F50">
        <v>761261.26126126596</v>
      </c>
      <c r="G50">
        <v>38</v>
      </c>
      <c r="H50">
        <v>18</v>
      </c>
      <c r="K50">
        <v>40</v>
      </c>
      <c r="L50">
        <v>20</v>
      </c>
      <c r="M50">
        <v>50101441.441441439</v>
      </c>
      <c r="N50">
        <v>13736396.396396397</v>
      </c>
      <c r="O50">
        <v>40734117.117117122</v>
      </c>
      <c r="P50">
        <v>43341477.477477483</v>
      </c>
      <c r="Q50">
        <v>46220900.9009009</v>
      </c>
      <c r="R50">
        <v>16016486.486486483</v>
      </c>
      <c r="S50">
        <v>2471</v>
      </c>
      <c r="T50">
        <v>2386</v>
      </c>
    </row>
    <row r="51" spans="1:20" x14ac:dyDescent="0.35">
      <c r="A51" s="7" t="s">
        <v>121</v>
      </c>
      <c r="B51" s="12" t="s">
        <v>122</v>
      </c>
      <c r="C51">
        <v>379821279.02043778</v>
      </c>
      <c r="D51">
        <v>359490950.75912607</v>
      </c>
      <c r="E51">
        <v>2700225.2252252279</v>
      </c>
      <c r="F51">
        <v>1772972.972972976</v>
      </c>
      <c r="G51">
        <v>144</v>
      </c>
      <c r="H51">
        <v>131</v>
      </c>
      <c r="K51">
        <v>165</v>
      </c>
      <c r="L51">
        <v>160</v>
      </c>
      <c r="M51">
        <v>15172072.072072074</v>
      </c>
      <c r="N51">
        <v>13124324.324324325</v>
      </c>
      <c r="O51">
        <v>31481909.909909911</v>
      </c>
      <c r="P51">
        <v>33812234.234234229</v>
      </c>
      <c r="Q51">
        <v>13190810.810810812</v>
      </c>
      <c r="R51">
        <v>12469729.729729732</v>
      </c>
      <c r="S51">
        <v>8234</v>
      </c>
      <c r="T51">
        <v>8274</v>
      </c>
    </row>
    <row r="52" spans="1:20" x14ac:dyDescent="0.35">
      <c r="A52" s="7" t="s">
        <v>123</v>
      </c>
      <c r="B52" s="12" t="s">
        <v>124</v>
      </c>
      <c r="C52">
        <v>199948595.06983426</v>
      </c>
      <c r="D52">
        <v>207640624.53009191</v>
      </c>
      <c r="E52">
        <v>1025900.900900902</v>
      </c>
      <c r="F52">
        <v>2259459.4594594599</v>
      </c>
      <c r="G52">
        <v>26</v>
      </c>
      <c r="H52">
        <v>19</v>
      </c>
      <c r="K52">
        <v>37</v>
      </c>
      <c r="L52">
        <v>22</v>
      </c>
      <c r="M52">
        <v>38005585.585585587</v>
      </c>
      <c r="N52">
        <v>51407657.657657653</v>
      </c>
      <c r="O52">
        <v>89978878.378378391</v>
      </c>
      <c r="P52">
        <v>93462733.333333328</v>
      </c>
      <c r="Q52">
        <v>37827027.027027026</v>
      </c>
      <c r="R52">
        <v>43160490.090090089</v>
      </c>
      <c r="S52">
        <v>4474</v>
      </c>
      <c r="T52">
        <v>4441</v>
      </c>
    </row>
    <row r="53" spans="1:20" x14ac:dyDescent="0.35">
      <c r="A53" s="7" t="s">
        <v>125</v>
      </c>
      <c r="B53" s="12" t="s">
        <v>126</v>
      </c>
      <c r="C53">
        <v>263716958.07270423</v>
      </c>
      <c r="D53">
        <v>288916772.69364017</v>
      </c>
      <c r="E53">
        <v>2633333.3333333381</v>
      </c>
      <c r="F53">
        <v>1872072.0720720741</v>
      </c>
      <c r="G53">
        <v>54</v>
      </c>
      <c r="H53">
        <v>44</v>
      </c>
      <c r="K53">
        <v>76</v>
      </c>
      <c r="L53">
        <v>50</v>
      </c>
      <c r="M53">
        <v>74287567.567567572</v>
      </c>
      <c r="N53">
        <v>44701801.801801801</v>
      </c>
      <c r="O53">
        <v>82923145.045045033</v>
      </c>
      <c r="P53">
        <v>90149762.162162155</v>
      </c>
      <c r="Q53">
        <v>85824234.234234244</v>
      </c>
      <c r="R53">
        <v>48133603.603603601</v>
      </c>
      <c r="S53">
        <v>6283</v>
      </c>
      <c r="T53">
        <v>6527</v>
      </c>
    </row>
    <row r="54" spans="1:20" x14ac:dyDescent="0.35">
      <c r="A54" s="7" t="s">
        <v>127</v>
      </c>
      <c r="B54" s="12" t="s">
        <v>79</v>
      </c>
      <c r="C54">
        <v>170267699.00875136</v>
      </c>
      <c r="D54">
        <v>168385694.86757165</v>
      </c>
      <c r="E54">
        <v>3809909.9099099138</v>
      </c>
      <c r="F54">
        <v>4409009.009009012</v>
      </c>
      <c r="G54">
        <v>53</v>
      </c>
      <c r="H54">
        <v>31</v>
      </c>
      <c r="K54">
        <v>60</v>
      </c>
      <c r="L54">
        <v>34</v>
      </c>
      <c r="M54">
        <v>29850450.45045045</v>
      </c>
      <c r="N54">
        <v>32798198.198198196</v>
      </c>
      <c r="O54">
        <v>70368990.990990996</v>
      </c>
      <c r="P54">
        <v>69322567.567567572</v>
      </c>
      <c r="Q54">
        <v>27952882.882882886</v>
      </c>
      <c r="R54">
        <v>33534234.234234232</v>
      </c>
      <c r="S54">
        <v>5128</v>
      </c>
      <c r="T54">
        <v>5013</v>
      </c>
    </row>
    <row r="55" spans="1:20" x14ac:dyDescent="0.35">
      <c r="A55" s="7" t="s">
        <v>128</v>
      </c>
      <c r="B55" s="12" t="s">
        <v>79</v>
      </c>
      <c r="C55">
        <v>28681531.095746312</v>
      </c>
      <c r="D55">
        <v>28806897.379740655</v>
      </c>
      <c r="E55">
        <v>592792.79279279301</v>
      </c>
      <c r="F55">
        <v>614414.41441441502</v>
      </c>
      <c r="G55">
        <v>10</v>
      </c>
      <c r="H55">
        <v>7</v>
      </c>
      <c r="K55">
        <v>11</v>
      </c>
      <c r="L55">
        <v>8</v>
      </c>
      <c r="M55">
        <v>9872072.072072072</v>
      </c>
      <c r="N55">
        <v>13407207.207207208</v>
      </c>
      <c r="O55">
        <v>16553738.738738738</v>
      </c>
      <c r="P55">
        <v>15672108.108108109</v>
      </c>
      <c r="Q55">
        <v>11245315.315315315</v>
      </c>
      <c r="R55">
        <v>8788198.1981981974</v>
      </c>
      <c r="S55">
        <v>1138</v>
      </c>
      <c r="T55">
        <v>1200</v>
      </c>
    </row>
    <row r="56" spans="1:20" x14ac:dyDescent="0.35">
      <c r="A56" s="7" t="s">
        <v>129</v>
      </c>
      <c r="B56" s="12" t="s">
        <v>79</v>
      </c>
      <c r="C56">
        <v>164290416.46459144</v>
      </c>
      <c r="D56">
        <v>168168341.11033651</v>
      </c>
      <c r="E56">
        <v>1797297.297297301</v>
      </c>
      <c r="F56">
        <v>2635585.5855855942</v>
      </c>
      <c r="G56">
        <v>119</v>
      </c>
      <c r="H56">
        <v>50</v>
      </c>
      <c r="K56">
        <v>158</v>
      </c>
      <c r="L56">
        <v>65</v>
      </c>
      <c r="M56">
        <v>21418918.918918919</v>
      </c>
      <c r="N56">
        <v>27536486.486486487</v>
      </c>
      <c r="O56">
        <v>64893729.729729727</v>
      </c>
      <c r="P56">
        <v>69050288.288288295</v>
      </c>
      <c r="Q56">
        <v>19151981.981981982</v>
      </c>
      <c r="R56">
        <v>30267927.927927926</v>
      </c>
      <c r="S56">
        <v>5837</v>
      </c>
      <c r="T56">
        <v>5932</v>
      </c>
    </row>
    <row r="57" spans="1:20" x14ac:dyDescent="0.35">
      <c r="A57" s="7" t="s">
        <v>130</v>
      </c>
      <c r="B57" s="12" t="s">
        <v>86</v>
      </c>
      <c r="C57">
        <v>48369823.237987719</v>
      </c>
      <c r="D57">
        <v>49565055.881787024</v>
      </c>
      <c r="E57">
        <v>168468.46846847</v>
      </c>
      <c r="F57">
        <v>583783.78378378495</v>
      </c>
      <c r="G57">
        <v>12</v>
      </c>
      <c r="H57">
        <v>33</v>
      </c>
      <c r="K57">
        <v>13</v>
      </c>
      <c r="L57">
        <v>35</v>
      </c>
      <c r="M57">
        <v>43229909.909909911</v>
      </c>
      <c r="N57">
        <v>63137387.387387387</v>
      </c>
      <c r="O57">
        <v>23494126.126126129</v>
      </c>
      <c r="P57">
        <v>29717207.207207207</v>
      </c>
      <c r="Q57">
        <v>31040810.810810812</v>
      </c>
      <c r="R57">
        <v>60422072.072072074</v>
      </c>
      <c r="S57">
        <v>1459</v>
      </c>
      <c r="T57">
        <v>1239</v>
      </c>
    </row>
    <row r="58" spans="1:20" x14ac:dyDescent="0.35">
      <c r="A58" s="7" t="s">
        <v>131</v>
      </c>
      <c r="B58" s="12" t="s">
        <v>90</v>
      </c>
      <c r="C58">
        <v>447269913.89370155</v>
      </c>
      <c r="D58">
        <v>461516142.5322367</v>
      </c>
      <c r="E58">
        <v>3293243.2432432519</v>
      </c>
      <c r="F58">
        <v>6502702.7027027076</v>
      </c>
      <c r="G58">
        <v>58</v>
      </c>
      <c r="H58">
        <v>50</v>
      </c>
      <c r="K58">
        <v>84</v>
      </c>
      <c r="L58">
        <v>62</v>
      </c>
      <c r="M58">
        <v>28834144.144144144</v>
      </c>
      <c r="N58">
        <v>45123333.333333336</v>
      </c>
      <c r="O58">
        <v>141118828.82882884</v>
      </c>
      <c r="P58">
        <v>146981243.24324322</v>
      </c>
      <c r="Q58">
        <v>27952972.97297297</v>
      </c>
      <c r="R58">
        <v>44989459.459459461</v>
      </c>
      <c r="S58">
        <v>10716</v>
      </c>
      <c r="T58">
        <v>11556</v>
      </c>
    </row>
    <row r="59" spans="1:20" x14ac:dyDescent="0.35">
      <c r="A59" s="7" t="s">
        <v>132</v>
      </c>
      <c r="B59" s="12" t="s">
        <v>133</v>
      </c>
      <c r="C59">
        <v>242205987.11863133</v>
      </c>
      <c r="D59">
        <v>250546017.10158211</v>
      </c>
      <c r="E59">
        <v>1130630.630630631</v>
      </c>
      <c r="F59">
        <v>2130630.6306306361</v>
      </c>
      <c r="G59">
        <v>132</v>
      </c>
      <c r="H59">
        <v>96</v>
      </c>
      <c r="K59">
        <v>144</v>
      </c>
      <c r="L59">
        <v>104</v>
      </c>
      <c r="M59">
        <v>26103603.603603601</v>
      </c>
      <c r="N59">
        <v>46168468.468468472</v>
      </c>
      <c r="O59">
        <v>76954006.756756753</v>
      </c>
      <c r="P59">
        <v>83818180.180180177</v>
      </c>
      <c r="Q59">
        <v>25129189.189189188</v>
      </c>
      <c r="R59">
        <v>42065225.225225225</v>
      </c>
      <c r="S59">
        <v>7895</v>
      </c>
      <c r="T59">
        <v>7752</v>
      </c>
    </row>
    <row r="60" spans="1:20" x14ac:dyDescent="0.35">
      <c r="A60" s="7" t="s">
        <v>134</v>
      </c>
      <c r="B60" s="12" t="s">
        <v>135</v>
      </c>
      <c r="C60">
        <v>24153476.59772012</v>
      </c>
      <c r="D60">
        <v>40273827.45770929</v>
      </c>
      <c r="G60">
        <v>1</v>
      </c>
      <c r="H60">
        <v>4</v>
      </c>
      <c r="K60">
        <v>1</v>
      </c>
      <c r="L60">
        <v>4</v>
      </c>
      <c r="O60">
        <v>4455980.1801801799</v>
      </c>
      <c r="P60">
        <v>6903387.3873873875</v>
      </c>
      <c r="S60">
        <v>2198</v>
      </c>
      <c r="T60">
        <v>2279</v>
      </c>
    </row>
    <row r="61" spans="1:20" x14ac:dyDescent="0.35">
      <c r="A61" s="7" t="s">
        <v>136</v>
      </c>
      <c r="B61" s="12" t="s">
        <v>137</v>
      </c>
      <c r="C61">
        <v>207267372.4902958</v>
      </c>
      <c r="D61">
        <v>211018612.04421172</v>
      </c>
      <c r="E61">
        <v>885585.58558558801</v>
      </c>
      <c r="F61">
        <v>1283783.7837837869</v>
      </c>
      <c r="G61">
        <v>61</v>
      </c>
      <c r="H61">
        <v>45</v>
      </c>
      <c r="I61">
        <v>4</v>
      </c>
      <c r="K61">
        <v>67</v>
      </c>
      <c r="L61">
        <v>48</v>
      </c>
      <c r="M61">
        <v>17732432.432432432</v>
      </c>
      <c r="N61">
        <v>22585585.585585587</v>
      </c>
      <c r="O61">
        <v>32687549.54954955</v>
      </c>
      <c r="P61">
        <v>37427882.882882878</v>
      </c>
      <c r="Q61">
        <v>15353783.783783784</v>
      </c>
      <c r="R61">
        <v>17369279.27927928</v>
      </c>
      <c r="S61">
        <v>3509</v>
      </c>
      <c r="T61">
        <v>3561</v>
      </c>
    </row>
    <row r="62" spans="1:20" x14ac:dyDescent="0.35">
      <c r="A62" s="7" t="s">
        <v>138</v>
      </c>
      <c r="B62" s="12" t="s">
        <v>90</v>
      </c>
      <c r="C62">
        <v>218345779.38467228</v>
      </c>
      <c r="D62">
        <v>231748087.81475052</v>
      </c>
      <c r="E62">
        <v>138844819.81981984</v>
      </c>
      <c r="F62">
        <v>286016216.21621621</v>
      </c>
      <c r="G62">
        <v>44</v>
      </c>
      <c r="H62">
        <v>16</v>
      </c>
      <c r="I62">
        <v>6</v>
      </c>
      <c r="K62">
        <v>158</v>
      </c>
      <c r="L62">
        <v>19</v>
      </c>
      <c r="M62">
        <v>29972522.52252252</v>
      </c>
      <c r="N62">
        <v>49726306.306306303</v>
      </c>
      <c r="O62">
        <v>78564016.216216221</v>
      </c>
      <c r="P62">
        <v>86614432.432432428</v>
      </c>
      <c r="Q62">
        <v>27295315.315315321</v>
      </c>
      <c r="R62">
        <v>50697837.837837838</v>
      </c>
      <c r="S62">
        <v>4802</v>
      </c>
      <c r="T62">
        <v>4874</v>
      </c>
    </row>
    <row r="63" spans="1:20" x14ac:dyDescent="0.35">
      <c r="A63" s="7" t="s">
        <v>139</v>
      </c>
      <c r="B63" s="12" t="s">
        <v>79</v>
      </c>
      <c r="C63">
        <v>160182957.4194161</v>
      </c>
      <c r="D63">
        <v>162864612.64831308</v>
      </c>
      <c r="E63">
        <v>68278378.378378391</v>
      </c>
      <c r="F63">
        <v>86127927.927927941</v>
      </c>
      <c r="G63">
        <v>71</v>
      </c>
      <c r="H63">
        <v>52</v>
      </c>
      <c r="I63">
        <v>1</v>
      </c>
      <c r="K63">
        <v>86</v>
      </c>
      <c r="L63">
        <v>58</v>
      </c>
      <c r="M63">
        <v>23232432.432432432</v>
      </c>
      <c r="N63">
        <v>28434234.234234232</v>
      </c>
      <c r="O63">
        <v>69878858.108108118</v>
      </c>
      <c r="P63">
        <v>69687549.54954955</v>
      </c>
      <c r="Q63">
        <v>20643873.873873875</v>
      </c>
      <c r="R63">
        <v>23610270.270270273</v>
      </c>
      <c r="S63">
        <v>5164</v>
      </c>
      <c r="T63">
        <v>5044</v>
      </c>
    </row>
    <row r="64" spans="1:20" x14ac:dyDescent="0.35">
      <c r="A64" s="7" t="s">
        <v>140</v>
      </c>
      <c r="B64" s="12" t="s">
        <v>141</v>
      </c>
      <c r="C64">
        <v>223258130.70408437</v>
      </c>
      <c r="D64">
        <v>245860436.91870254</v>
      </c>
      <c r="E64">
        <v>2202702.702702703</v>
      </c>
      <c r="F64">
        <v>2797297.2972972998</v>
      </c>
      <c r="G64">
        <v>21</v>
      </c>
      <c r="H64">
        <v>17</v>
      </c>
      <c r="K64">
        <v>22</v>
      </c>
      <c r="L64">
        <v>27</v>
      </c>
      <c r="M64">
        <v>20680900.9009009</v>
      </c>
      <c r="N64">
        <v>23150450.450450446</v>
      </c>
      <c r="O64">
        <v>41099405.40540541</v>
      </c>
      <c r="P64">
        <v>46831527.927927926</v>
      </c>
      <c r="Q64">
        <v>17890720.72072072</v>
      </c>
      <c r="R64">
        <v>19686306.306306306</v>
      </c>
      <c r="S64">
        <v>5485</v>
      </c>
      <c r="T64">
        <v>4676</v>
      </c>
    </row>
    <row r="65" spans="1:20" x14ac:dyDescent="0.35">
      <c r="A65" s="7" t="s">
        <v>142</v>
      </c>
      <c r="B65" s="12" t="s">
        <v>63</v>
      </c>
      <c r="C65">
        <v>148305405.11356914</v>
      </c>
      <c r="D65">
        <v>154894110.59863561</v>
      </c>
      <c r="E65">
        <v>3048533.3333333358</v>
      </c>
      <c r="F65">
        <v>6598645.0450450471</v>
      </c>
      <c r="G65">
        <v>65</v>
      </c>
      <c r="H65">
        <v>11</v>
      </c>
      <c r="I65">
        <v>3</v>
      </c>
      <c r="K65">
        <v>80</v>
      </c>
      <c r="L65">
        <v>18</v>
      </c>
      <c r="M65">
        <v>89567830.630630627</v>
      </c>
      <c r="N65">
        <v>183172983.78378376</v>
      </c>
      <c r="O65">
        <v>32325117.117117114</v>
      </c>
      <c r="P65">
        <v>35539252.252252251</v>
      </c>
      <c r="Q65">
        <v>90974414.414414421</v>
      </c>
      <c r="R65">
        <v>170405135.13513514</v>
      </c>
      <c r="S65">
        <v>3891</v>
      </c>
      <c r="T65">
        <v>3765</v>
      </c>
    </row>
    <row r="66" spans="1:20" x14ac:dyDescent="0.35">
      <c r="A66" s="7" t="s">
        <v>143</v>
      </c>
      <c r="B66" s="12" t="s">
        <v>144</v>
      </c>
      <c r="C66">
        <v>1422542.899003529</v>
      </c>
      <c r="D66">
        <v>1673353.4741220181</v>
      </c>
      <c r="G66">
        <v>1</v>
      </c>
      <c r="K66">
        <v>1</v>
      </c>
      <c r="O66">
        <v>150090.09009009</v>
      </c>
      <c r="P66">
        <v>209414.414414414</v>
      </c>
      <c r="S66">
        <v>114</v>
      </c>
      <c r="T66">
        <v>140</v>
      </c>
    </row>
    <row r="67" spans="1:20" x14ac:dyDescent="0.35">
      <c r="A67" s="7" t="s">
        <v>145</v>
      </c>
      <c r="B67" s="12" t="s">
        <v>141</v>
      </c>
      <c r="C67">
        <v>318402009.06081682</v>
      </c>
      <c r="D67">
        <v>317848517.03804505</v>
      </c>
      <c r="E67">
        <v>1764414.4144144161</v>
      </c>
      <c r="F67">
        <v>3063063.063063066</v>
      </c>
      <c r="G67">
        <v>68</v>
      </c>
      <c r="H67">
        <v>30</v>
      </c>
      <c r="K67">
        <v>87</v>
      </c>
      <c r="L67">
        <v>37</v>
      </c>
      <c r="M67">
        <v>36455315.315315314</v>
      </c>
      <c r="N67">
        <v>46008378.378378384</v>
      </c>
      <c r="O67">
        <v>59536333.333333336</v>
      </c>
      <c r="P67">
        <v>65303036.036036029</v>
      </c>
      <c r="Q67">
        <v>34608738.738738738</v>
      </c>
      <c r="R67">
        <v>44720090.090090089</v>
      </c>
      <c r="S67">
        <v>7545</v>
      </c>
      <c r="T67">
        <v>7800</v>
      </c>
    </row>
    <row r="68" spans="1:20" x14ac:dyDescent="0.35">
      <c r="A68" s="7" t="s">
        <v>146</v>
      </c>
      <c r="B68" s="12" t="s">
        <v>79</v>
      </c>
      <c r="C68">
        <v>224365365.52534795</v>
      </c>
      <c r="D68">
        <v>226265416.64058667</v>
      </c>
      <c r="E68">
        <v>2716216.2162162159</v>
      </c>
      <c r="F68">
        <v>3847747.7477477528</v>
      </c>
      <c r="G68">
        <v>75</v>
      </c>
      <c r="H68">
        <v>45</v>
      </c>
      <c r="K68">
        <v>89</v>
      </c>
      <c r="L68">
        <v>55</v>
      </c>
      <c r="M68">
        <v>19761261.261261266</v>
      </c>
      <c r="N68">
        <v>26451351.351351351</v>
      </c>
      <c r="O68">
        <v>64548036.036036029</v>
      </c>
      <c r="P68">
        <v>65107800</v>
      </c>
      <c r="Q68">
        <v>23042162.162162159</v>
      </c>
      <c r="R68">
        <v>25681531.531531535</v>
      </c>
      <c r="S68">
        <v>6415</v>
      </c>
      <c r="T68">
        <v>6561</v>
      </c>
    </row>
    <row r="69" spans="1:20" x14ac:dyDescent="0.35">
      <c r="A69" s="7" t="s">
        <v>147</v>
      </c>
      <c r="B69" s="12" t="s">
        <v>148</v>
      </c>
      <c r="C69">
        <v>147676121.12193242</v>
      </c>
      <c r="D69">
        <v>145775273.26420769</v>
      </c>
      <c r="E69">
        <v>3131531.5315315342</v>
      </c>
      <c r="F69">
        <v>3430630.630630631</v>
      </c>
      <c r="G69">
        <v>27</v>
      </c>
      <c r="H69">
        <v>19</v>
      </c>
      <c r="K69">
        <v>33</v>
      </c>
      <c r="L69">
        <v>20</v>
      </c>
      <c r="M69">
        <v>44316750.45045045</v>
      </c>
      <c r="N69">
        <v>56761261.261261262</v>
      </c>
      <c r="O69">
        <v>47317045.045045048</v>
      </c>
      <c r="P69">
        <v>47708135.135135137</v>
      </c>
      <c r="Q69">
        <v>43355945.945945941</v>
      </c>
      <c r="R69">
        <v>54575135.135135137</v>
      </c>
      <c r="S69">
        <v>3879</v>
      </c>
      <c r="T69">
        <v>3691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22.077324659999999</v>
      </c>
      <c r="T70">
        <v>1</v>
      </c>
    </row>
    <row r="71" spans="1:20" x14ac:dyDescent="0.35">
      <c r="A71" s="7" t="s">
        <v>150</v>
      </c>
      <c r="B71" s="12" t="s">
        <v>51</v>
      </c>
      <c r="C71">
        <v>130401099.52166159</v>
      </c>
      <c r="D71">
        <v>132748819.31345838</v>
      </c>
      <c r="E71">
        <v>111409009.009009</v>
      </c>
      <c r="F71">
        <v>326624324.32432437</v>
      </c>
      <c r="G71">
        <v>26</v>
      </c>
      <c r="H71">
        <v>15</v>
      </c>
      <c r="K71">
        <v>34</v>
      </c>
      <c r="L71">
        <v>18</v>
      </c>
      <c r="M71">
        <v>8742252.2522522528</v>
      </c>
      <c r="N71">
        <v>12127657.657657661</v>
      </c>
      <c r="O71">
        <v>58740360.360360362</v>
      </c>
      <c r="P71">
        <v>60492333.333333336</v>
      </c>
      <c r="Q71">
        <v>7582792.7927927934</v>
      </c>
      <c r="R71">
        <v>11224054.054054054</v>
      </c>
      <c r="S71">
        <v>3605</v>
      </c>
      <c r="T71">
        <v>3537</v>
      </c>
    </row>
    <row r="72" spans="1:20" x14ac:dyDescent="0.35">
      <c r="A72" s="7" t="s">
        <v>151</v>
      </c>
      <c r="B72" s="12" t="s">
        <v>152</v>
      </c>
      <c r="C72">
        <v>40782985.964671887</v>
      </c>
      <c r="D72">
        <v>38574060.26161848</v>
      </c>
      <c r="E72">
        <v>412126126.12612617</v>
      </c>
      <c r="F72">
        <v>270279279.27927929</v>
      </c>
      <c r="G72">
        <v>8</v>
      </c>
      <c r="H72">
        <v>1</v>
      </c>
      <c r="K72">
        <v>9</v>
      </c>
      <c r="L72">
        <v>1</v>
      </c>
      <c r="M72">
        <v>44350000</v>
      </c>
      <c r="N72">
        <v>45229729.729729727</v>
      </c>
      <c r="O72">
        <v>10839180.180180181</v>
      </c>
      <c r="P72">
        <v>10956297.297297295</v>
      </c>
      <c r="Q72">
        <v>11500990.990990993</v>
      </c>
      <c r="R72">
        <v>31471441.441441439</v>
      </c>
      <c r="S72">
        <v>719</v>
      </c>
      <c r="T72">
        <v>658</v>
      </c>
    </row>
    <row r="73" spans="1:20" x14ac:dyDescent="0.35">
      <c r="A73" s="7" t="s">
        <v>153</v>
      </c>
      <c r="B73" s="12" t="s">
        <v>152</v>
      </c>
      <c r="C73">
        <v>391163571.1989252</v>
      </c>
      <c r="D73">
        <v>383678936.43723851</v>
      </c>
      <c r="E73">
        <v>143470765.76576579</v>
      </c>
      <c r="F73">
        <v>188167668.46846849</v>
      </c>
      <c r="G73">
        <v>239</v>
      </c>
      <c r="H73">
        <v>26</v>
      </c>
      <c r="I73">
        <v>2</v>
      </c>
      <c r="K73">
        <v>256</v>
      </c>
      <c r="L73">
        <v>38</v>
      </c>
      <c r="M73">
        <v>268516288.2882883</v>
      </c>
      <c r="N73">
        <v>305753634.23423421</v>
      </c>
      <c r="O73">
        <v>138518009.009009</v>
      </c>
      <c r="P73">
        <v>138721504.5045045</v>
      </c>
      <c r="Q73">
        <v>205203416.21621624</v>
      </c>
      <c r="R73">
        <v>224348421.62162164</v>
      </c>
      <c r="S73">
        <v>9289</v>
      </c>
      <c r="T73">
        <v>8518</v>
      </c>
    </row>
    <row r="74" spans="1:20" x14ac:dyDescent="0.35">
      <c r="A74" s="7" t="s">
        <v>154</v>
      </c>
      <c r="B74" s="12" t="s">
        <v>155</v>
      </c>
      <c r="C74">
        <v>343248527.03586572</v>
      </c>
      <c r="D74">
        <v>322702374.70754045</v>
      </c>
      <c r="E74">
        <v>381756.75675675803</v>
      </c>
      <c r="F74">
        <v>833333.333333335</v>
      </c>
      <c r="G74">
        <v>47</v>
      </c>
      <c r="H74">
        <v>16</v>
      </c>
      <c r="K74">
        <v>54</v>
      </c>
      <c r="L74">
        <v>34</v>
      </c>
      <c r="M74">
        <v>45217117.117117122</v>
      </c>
      <c r="N74">
        <v>51344144.144144148</v>
      </c>
      <c r="O74">
        <v>140783666.66666669</v>
      </c>
      <c r="P74">
        <v>145254387.38738739</v>
      </c>
      <c r="Q74">
        <v>40358468.468468472</v>
      </c>
      <c r="R74">
        <v>50861801.801801801</v>
      </c>
      <c r="S74">
        <v>7114</v>
      </c>
      <c r="T74">
        <v>7029</v>
      </c>
    </row>
    <row r="75" spans="1:20" x14ac:dyDescent="0.35">
      <c r="A75" s="7" t="s">
        <v>156</v>
      </c>
      <c r="B75" s="12" t="s">
        <v>155</v>
      </c>
      <c r="C75">
        <v>40195625.68159505</v>
      </c>
      <c r="D75">
        <v>36902494.79135187</v>
      </c>
      <c r="E75">
        <v>43243.243243245</v>
      </c>
      <c r="F75">
        <v>27027.027027028002</v>
      </c>
      <c r="G75">
        <v>9</v>
      </c>
      <c r="H75">
        <v>7</v>
      </c>
      <c r="K75">
        <v>12</v>
      </c>
      <c r="L75">
        <v>8</v>
      </c>
      <c r="M75">
        <v>4611711.711711714</v>
      </c>
      <c r="N75">
        <v>5034234.2342342352</v>
      </c>
      <c r="O75">
        <v>10259225.225225223</v>
      </c>
      <c r="P75">
        <v>12145567.567567568</v>
      </c>
      <c r="Q75">
        <v>3932702.702702703</v>
      </c>
      <c r="R75">
        <v>4327747.7477477482</v>
      </c>
      <c r="S75">
        <v>1982</v>
      </c>
      <c r="T75">
        <v>2364</v>
      </c>
    </row>
    <row r="76" spans="1:20" x14ac:dyDescent="0.35">
      <c r="A76" s="7" t="s">
        <v>157</v>
      </c>
      <c r="B76" s="12" t="s">
        <v>155</v>
      </c>
      <c r="C76">
        <v>377247434.60545152</v>
      </c>
      <c r="D76">
        <v>373034395.36827379</v>
      </c>
      <c r="E76">
        <v>198253778.37837836</v>
      </c>
      <c r="F76">
        <v>142183680.18018016</v>
      </c>
      <c r="G76">
        <v>23</v>
      </c>
      <c r="H76">
        <v>18</v>
      </c>
      <c r="K76">
        <v>26</v>
      </c>
      <c r="L76">
        <v>21</v>
      </c>
      <c r="M76">
        <v>94074324.324324325</v>
      </c>
      <c r="N76">
        <v>93800675.675675675</v>
      </c>
      <c r="O76">
        <v>145932144.14414415</v>
      </c>
      <c r="P76">
        <v>157103837.83783782</v>
      </c>
      <c r="Q76">
        <v>83016936.93693693</v>
      </c>
      <c r="R76">
        <v>70629909.909909919</v>
      </c>
      <c r="S76">
        <v>7998</v>
      </c>
      <c r="T76">
        <v>7844</v>
      </c>
    </row>
    <row r="77" spans="1:20" x14ac:dyDescent="0.35">
      <c r="A77" s="7" t="s">
        <v>158</v>
      </c>
      <c r="B77" s="12" t="s">
        <v>135</v>
      </c>
      <c r="C77">
        <v>177370968.03106651</v>
      </c>
      <c r="D77">
        <v>171873624.10722569</v>
      </c>
      <c r="E77">
        <v>778378.37837838102</v>
      </c>
      <c r="F77">
        <v>2276576.576576578</v>
      </c>
      <c r="G77">
        <v>33</v>
      </c>
      <c r="H77">
        <v>27</v>
      </c>
      <c r="K77">
        <v>38</v>
      </c>
      <c r="L77">
        <v>47</v>
      </c>
      <c r="M77">
        <v>17958566.666666668</v>
      </c>
      <c r="N77">
        <v>18853153.153153151</v>
      </c>
      <c r="O77">
        <v>18481630.630630631</v>
      </c>
      <c r="P77">
        <v>18614495.495495494</v>
      </c>
      <c r="Q77">
        <v>7885585.5855855849</v>
      </c>
      <c r="R77">
        <v>14466216.216216216</v>
      </c>
      <c r="S77">
        <v>4498</v>
      </c>
      <c r="T77">
        <v>4521</v>
      </c>
    </row>
    <row r="78" spans="1:20" x14ac:dyDescent="0.35">
      <c r="A78" s="7" t="s">
        <v>1</v>
      </c>
      <c r="B78" s="12" t="s">
        <v>159</v>
      </c>
      <c r="C78">
        <v>316523066.57870948</v>
      </c>
      <c r="D78">
        <v>316544186.03123665</v>
      </c>
      <c r="E78">
        <v>627964586.48648655</v>
      </c>
      <c r="F78">
        <v>517901120.72072071</v>
      </c>
      <c r="G78">
        <v>65</v>
      </c>
      <c r="H78">
        <v>64</v>
      </c>
      <c r="I78">
        <v>1</v>
      </c>
      <c r="K78">
        <v>306</v>
      </c>
      <c r="L78">
        <v>75</v>
      </c>
      <c r="M78">
        <v>82291621.621621609</v>
      </c>
      <c r="N78">
        <v>92723198.198198199</v>
      </c>
      <c r="O78">
        <v>152240720.72072074</v>
      </c>
      <c r="P78">
        <v>150002018.01801801</v>
      </c>
      <c r="Q78">
        <v>36158918.918918923</v>
      </c>
      <c r="R78">
        <v>48676351.351351351</v>
      </c>
      <c r="S78">
        <v>8198</v>
      </c>
      <c r="T78">
        <v>7625</v>
      </c>
    </row>
    <row r="79" spans="1:20" x14ac:dyDescent="0.35">
      <c r="A79" s="7" t="s">
        <v>160</v>
      </c>
      <c r="B79" s="12" t="s">
        <v>122</v>
      </c>
      <c r="C79">
        <v>12128791.786459291</v>
      </c>
      <c r="D79">
        <v>9938498.2942618039</v>
      </c>
      <c r="G79">
        <v>5</v>
      </c>
      <c r="H79">
        <v>7</v>
      </c>
      <c r="K79">
        <v>6</v>
      </c>
      <c r="L79">
        <v>8</v>
      </c>
      <c r="O79">
        <v>1128873.8738738741</v>
      </c>
      <c r="P79">
        <v>1295045.045045045</v>
      </c>
      <c r="Q79">
        <v>29729.729729729999</v>
      </c>
      <c r="R79">
        <v>74324.324324323999</v>
      </c>
      <c r="S79">
        <v>482</v>
      </c>
      <c r="T79">
        <v>468</v>
      </c>
    </row>
    <row r="80" spans="1:20" x14ac:dyDescent="0.35">
      <c r="A80" s="7" t="s">
        <v>161</v>
      </c>
      <c r="B80" s="12" t="s">
        <v>162</v>
      </c>
      <c r="C80">
        <v>167294130.99127924</v>
      </c>
      <c r="D80">
        <v>178123487.26678446</v>
      </c>
      <c r="E80">
        <v>78240420.720720738</v>
      </c>
      <c r="F80">
        <v>148089554.05405405</v>
      </c>
      <c r="G80">
        <v>134</v>
      </c>
      <c r="H80">
        <v>270</v>
      </c>
      <c r="K80">
        <v>205</v>
      </c>
      <c r="L80">
        <v>360</v>
      </c>
      <c r="M80">
        <v>57142269.369369373</v>
      </c>
      <c r="N80">
        <v>57239829.729729727</v>
      </c>
      <c r="O80">
        <v>72578828.828828827</v>
      </c>
      <c r="P80">
        <v>79466540.540540546</v>
      </c>
      <c r="Q80">
        <v>43017927.927927934</v>
      </c>
      <c r="R80">
        <v>41695270.270270273</v>
      </c>
      <c r="S80">
        <v>5955</v>
      </c>
      <c r="T80">
        <v>6088</v>
      </c>
    </row>
    <row r="81" spans="1:20" x14ac:dyDescent="0.35">
      <c r="A81" s="7" t="s">
        <v>163</v>
      </c>
      <c r="B81" s="12" t="s">
        <v>77</v>
      </c>
      <c r="C81">
        <v>74907217.340047956</v>
      </c>
      <c r="D81">
        <v>75942234.977535933</v>
      </c>
      <c r="E81">
        <v>312612.612612614</v>
      </c>
      <c r="F81">
        <v>216216.21621621601</v>
      </c>
      <c r="G81">
        <v>35</v>
      </c>
      <c r="H81">
        <v>14</v>
      </c>
      <c r="K81">
        <v>37</v>
      </c>
      <c r="L81">
        <v>14</v>
      </c>
      <c r="M81">
        <v>1456756.7567567569</v>
      </c>
      <c r="N81">
        <v>1099099.0990990989</v>
      </c>
      <c r="O81">
        <v>4116891.8918918921</v>
      </c>
      <c r="P81">
        <v>4206585.5855855858</v>
      </c>
      <c r="Q81">
        <v>1193963.963963964</v>
      </c>
      <c r="R81">
        <v>1291081.0810810809</v>
      </c>
      <c r="S81">
        <v>932</v>
      </c>
      <c r="T81">
        <v>938</v>
      </c>
    </row>
    <row r="82" spans="1:20" x14ac:dyDescent="0.35">
      <c r="A82" s="7" t="s">
        <v>164</v>
      </c>
      <c r="B82" s="12" t="s">
        <v>53</v>
      </c>
      <c r="C82">
        <v>58615247.700835131</v>
      </c>
      <c r="D82">
        <v>55382081.575075865</v>
      </c>
      <c r="E82">
        <v>161904504.5045045</v>
      </c>
      <c r="F82">
        <v>139380180.18018016</v>
      </c>
      <c r="G82">
        <v>26</v>
      </c>
      <c r="H82">
        <v>2</v>
      </c>
      <c r="K82">
        <v>28</v>
      </c>
      <c r="L82">
        <v>4</v>
      </c>
      <c r="M82">
        <v>1691891.8918918921</v>
      </c>
      <c r="N82">
        <v>6469144.1441441448</v>
      </c>
      <c r="O82">
        <v>28774504.504504506</v>
      </c>
      <c r="P82">
        <v>25649225.225225225</v>
      </c>
      <c r="Q82">
        <v>1280450.4504504511</v>
      </c>
      <c r="R82">
        <v>1812252.2522522521</v>
      </c>
      <c r="S82">
        <v>1589</v>
      </c>
      <c r="T82">
        <v>1555</v>
      </c>
    </row>
    <row r="83" spans="1:20" x14ac:dyDescent="0.35">
      <c r="A83" s="7" t="s">
        <v>165</v>
      </c>
      <c r="B83" s="12" t="s">
        <v>88</v>
      </c>
      <c r="C83">
        <v>29859363.14723181</v>
      </c>
      <c r="D83">
        <v>41378401.000888444</v>
      </c>
      <c r="E83">
        <v>47170990.990990989</v>
      </c>
      <c r="F83">
        <v>55125827.027027026</v>
      </c>
      <c r="G83">
        <v>9</v>
      </c>
      <c r="H83">
        <v>11</v>
      </c>
      <c r="K83">
        <v>10</v>
      </c>
      <c r="L83">
        <v>12</v>
      </c>
      <c r="M83">
        <v>264864.86486486398</v>
      </c>
      <c r="N83">
        <v>1754954.954954956</v>
      </c>
      <c r="O83">
        <v>2762972.9729729728</v>
      </c>
      <c r="P83">
        <v>6705045.0450450452</v>
      </c>
      <c r="Q83">
        <v>258918.918918918</v>
      </c>
      <c r="R83">
        <v>1793873.873873875</v>
      </c>
      <c r="S83">
        <v>1142</v>
      </c>
      <c r="T83">
        <v>1248</v>
      </c>
    </row>
    <row r="84" spans="1:20" x14ac:dyDescent="0.35">
      <c r="A84" s="7" t="s">
        <v>166</v>
      </c>
      <c r="B84" s="12" t="s">
        <v>144</v>
      </c>
      <c r="C84">
        <v>10315628.779764088</v>
      </c>
      <c r="D84">
        <v>9712487.4326772485</v>
      </c>
      <c r="E84">
        <v>111933302.7027027</v>
      </c>
      <c r="F84">
        <v>132558139.63963965</v>
      </c>
      <c r="G84">
        <v>8</v>
      </c>
      <c r="K84">
        <v>8</v>
      </c>
      <c r="M84">
        <v>9040540.5405405406</v>
      </c>
      <c r="N84">
        <v>19684684.684684683</v>
      </c>
      <c r="O84">
        <v>1224702.702702703</v>
      </c>
      <c r="P84">
        <v>1188198.1981981981</v>
      </c>
      <c r="Q84">
        <v>386126.12612612598</v>
      </c>
      <c r="R84">
        <v>962972.97297297302</v>
      </c>
      <c r="S84">
        <v>351</v>
      </c>
      <c r="T84">
        <v>329</v>
      </c>
    </row>
    <row r="85" spans="1:20" x14ac:dyDescent="0.35">
      <c r="A85" s="7" t="s">
        <v>167</v>
      </c>
      <c r="B85" s="12" t="s">
        <v>168</v>
      </c>
      <c r="C85">
        <v>41842252.331137225</v>
      </c>
      <c r="D85">
        <v>38061962.782828264</v>
      </c>
      <c r="E85">
        <v>6271171.1711711716</v>
      </c>
      <c r="F85">
        <v>57586486.486486487</v>
      </c>
      <c r="G85">
        <v>10</v>
      </c>
      <c r="H85">
        <v>4</v>
      </c>
      <c r="K85">
        <v>10</v>
      </c>
      <c r="L85">
        <v>6</v>
      </c>
      <c r="M85">
        <v>3488738.7387387389</v>
      </c>
      <c r="N85">
        <v>3183783.7837837841</v>
      </c>
      <c r="O85">
        <v>20035457.657657657</v>
      </c>
      <c r="P85">
        <v>20188873.873873871</v>
      </c>
      <c r="Q85">
        <v>3440630.6306306301</v>
      </c>
      <c r="R85">
        <v>2356396.3963963962</v>
      </c>
      <c r="S85">
        <v>1401</v>
      </c>
      <c r="T85">
        <v>1394</v>
      </c>
    </row>
    <row r="86" spans="1:20" x14ac:dyDescent="0.35">
      <c r="A86" s="7" t="s">
        <v>169</v>
      </c>
      <c r="B86" s="12" t="s">
        <v>170</v>
      </c>
      <c r="C86">
        <v>190631403.58775747</v>
      </c>
      <c r="D86">
        <v>203233787.22418013</v>
      </c>
      <c r="E86">
        <v>76302702.702702701</v>
      </c>
      <c r="F86">
        <v>249915315.31531534</v>
      </c>
      <c r="G86">
        <v>40</v>
      </c>
      <c r="H86">
        <v>23</v>
      </c>
      <c r="K86">
        <v>46</v>
      </c>
      <c r="L86">
        <v>33</v>
      </c>
      <c r="M86">
        <v>42888808.108108103</v>
      </c>
      <c r="N86">
        <v>74866216.216216221</v>
      </c>
      <c r="O86">
        <v>59684092.342342347</v>
      </c>
      <c r="P86">
        <v>66165540.540540546</v>
      </c>
      <c r="Q86">
        <v>31400000</v>
      </c>
      <c r="R86">
        <v>41940270.270270273</v>
      </c>
      <c r="S86">
        <v>6375</v>
      </c>
      <c r="T86">
        <v>6433</v>
      </c>
    </row>
    <row r="87" spans="1:20" x14ac:dyDescent="0.35">
      <c r="A87" s="7" t="s">
        <v>171</v>
      </c>
      <c r="B87" s="12" t="s">
        <v>55</v>
      </c>
      <c r="C87">
        <v>28107673.717749327</v>
      </c>
      <c r="D87">
        <v>34644666.959370777</v>
      </c>
      <c r="E87">
        <v>381081.08108108101</v>
      </c>
      <c r="F87">
        <v>105405.40540540501</v>
      </c>
      <c r="G87">
        <v>1</v>
      </c>
      <c r="H87">
        <v>4</v>
      </c>
      <c r="K87">
        <v>2</v>
      </c>
      <c r="L87">
        <v>5</v>
      </c>
      <c r="M87">
        <v>2680630.630630631</v>
      </c>
      <c r="N87">
        <v>4934234.2342342343</v>
      </c>
      <c r="O87">
        <v>4518603.6036036042</v>
      </c>
      <c r="P87">
        <v>5422747.7477477482</v>
      </c>
      <c r="Q87">
        <v>3035855.8558558561</v>
      </c>
      <c r="R87">
        <v>4440900.9009009013</v>
      </c>
      <c r="S87">
        <v>681</v>
      </c>
      <c r="T87">
        <v>731</v>
      </c>
    </row>
    <row r="88" spans="1:20" x14ac:dyDescent="0.35">
      <c r="A88" s="7" t="s">
        <v>172</v>
      </c>
      <c r="B88" s="12" t="s">
        <v>61</v>
      </c>
      <c r="C88">
        <v>591363458.87215662</v>
      </c>
      <c r="D88">
        <v>591104319.89672172</v>
      </c>
      <c r="E88">
        <v>7290090.0900900913</v>
      </c>
      <c r="F88">
        <v>5416216.2162162224</v>
      </c>
      <c r="G88">
        <v>146</v>
      </c>
      <c r="H88">
        <v>30</v>
      </c>
      <c r="K88">
        <v>173</v>
      </c>
      <c r="L88">
        <v>44</v>
      </c>
      <c r="M88">
        <v>29511711.711711712</v>
      </c>
      <c r="N88">
        <v>35681981.981981985</v>
      </c>
      <c r="O88">
        <v>218328459.45945945</v>
      </c>
      <c r="P88">
        <v>214679045.04504505</v>
      </c>
      <c r="Q88">
        <v>29452162.162162159</v>
      </c>
      <c r="R88">
        <v>31939729.729729731</v>
      </c>
      <c r="S88">
        <v>12330</v>
      </c>
      <c r="T88">
        <v>11992</v>
      </c>
    </row>
    <row r="89" spans="1:20" x14ac:dyDescent="0.35">
      <c r="A89" s="7" t="s">
        <v>173</v>
      </c>
      <c r="B89" s="12" t="s">
        <v>122</v>
      </c>
      <c r="C89">
        <v>242172308.73239782</v>
      </c>
      <c r="D89">
        <v>232436754.9834854</v>
      </c>
      <c r="E89">
        <v>1502702.7027027039</v>
      </c>
      <c r="F89">
        <v>945945.94594594801</v>
      </c>
      <c r="G89">
        <v>92</v>
      </c>
      <c r="H89">
        <v>88</v>
      </c>
      <c r="K89">
        <v>103</v>
      </c>
      <c r="L89">
        <v>101</v>
      </c>
      <c r="M89">
        <v>15707207.207207205</v>
      </c>
      <c r="N89">
        <v>15225225.225225223</v>
      </c>
      <c r="O89">
        <v>33362691.441441439</v>
      </c>
      <c r="P89">
        <v>39377666.666666664</v>
      </c>
      <c r="Q89">
        <v>10141981.981981982</v>
      </c>
      <c r="R89">
        <v>10644594.594594594</v>
      </c>
      <c r="S89">
        <v>5657</v>
      </c>
      <c r="T89">
        <v>5644</v>
      </c>
    </row>
    <row r="90" spans="1:20" x14ac:dyDescent="0.35">
      <c r="A90" s="7" t="s">
        <v>174</v>
      </c>
      <c r="B90" s="12" t="s">
        <v>175</v>
      </c>
      <c r="C90">
        <v>176184529.62219808</v>
      </c>
      <c r="D90">
        <v>183699340.07679886</v>
      </c>
      <c r="E90">
        <v>94292597.297297299</v>
      </c>
      <c r="F90">
        <v>118625940.54054055</v>
      </c>
      <c r="G90">
        <v>85</v>
      </c>
      <c r="H90">
        <v>27</v>
      </c>
      <c r="K90">
        <v>146</v>
      </c>
      <c r="L90">
        <v>37</v>
      </c>
      <c r="M90">
        <v>38468918.918918915</v>
      </c>
      <c r="N90">
        <v>37165447.747747749</v>
      </c>
      <c r="O90">
        <v>22110405.405405402</v>
      </c>
      <c r="P90">
        <v>23271243.243243244</v>
      </c>
      <c r="Q90">
        <v>23924414.414414417</v>
      </c>
      <c r="R90">
        <v>26732792.792792797</v>
      </c>
      <c r="S90">
        <v>5941</v>
      </c>
      <c r="T90">
        <v>4558</v>
      </c>
    </row>
    <row r="91" spans="1:20" x14ac:dyDescent="0.35">
      <c r="A91" s="7" t="s">
        <v>176</v>
      </c>
      <c r="B91" s="12" t="s">
        <v>175</v>
      </c>
      <c r="C91">
        <v>277235416.10209149</v>
      </c>
      <c r="D91">
        <v>287442262.28801674</v>
      </c>
      <c r="E91">
        <v>1787162.162162164</v>
      </c>
      <c r="F91">
        <v>3538738.738738745</v>
      </c>
      <c r="G91">
        <v>127</v>
      </c>
      <c r="H91">
        <v>129</v>
      </c>
      <c r="I91">
        <v>1</v>
      </c>
      <c r="K91">
        <v>162</v>
      </c>
      <c r="L91">
        <v>169</v>
      </c>
      <c r="M91">
        <v>35517567.567567565</v>
      </c>
      <c r="N91">
        <v>42933783.783783786</v>
      </c>
      <c r="O91">
        <v>46363612.612612613</v>
      </c>
      <c r="P91">
        <v>46695027.027027026</v>
      </c>
      <c r="Q91">
        <v>29036576.576576576</v>
      </c>
      <c r="R91">
        <v>32791261.261261266</v>
      </c>
      <c r="S91">
        <v>8663</v>
      </c>
      <c r="T91">
        <v>8574</v>
      </c>
    </row>
    <row r="92" spans="1:20" x14ac:dyDescent="0.35">
      <c r="A92" s="7" t="s">
        <v>177</v>
      </c>
      <c r="B92" s="12" t="s">
        <v>175</v>
      </c>
      <c r="C92">
        <v>375649249.62658387</v>
      </c>
      <c r="D92">
        <v>380295858.7097044</v>
      </c>
      <c r="E92">
        <v>1595720.720720727</v>
      </c>
      <c r="F92">
        <v>2084684.6846846901</v>
      </c>
      <c r="G92">
        <v>181</v>
      </c>
      <c r="H92">
        <v>186</v>
      </c>
      <c r="K92">
        <v>229</v>
      </c>
      <c r="L92">
        <v>233</v>
      </c>
      <c r="M92">
        <v>37634234.234234244</v>
      </c>
      <c r="N92">
        <v>45440990.990990989</v>
      </c>
      <c r="O92">
        <v>56288328.828828834</v>
      </c>
      <c r="P92">
        <v>61469792.79279279</v>
      </c>
      <c r="Q92">
        <v>30410540.540540539</v>
      </c>
      <c r="R92">
        <v>39276756.756756753</v>
      </c>
      <c r="S92">
        <v>11934</v>
      </c>
      <c r="T92">
        <v>12317</v>
      </c>
    </row>
    <row r="93" spans="1:20" x14ac:dyDescent="0.35">
      <c r="A93" s="7" t="s">
        <v>178</v>
      </c>
      <c r="B93" s="12" t="s">
        <v>179</v>
      </c>
      <c r="C93">
        <v>125486560.43548767</v>
      </c>
      <c r="D93">
        <v>117223086.57658172</v>
      </c>
      <c r="E93">
        <v>255855.855855856</v>
      </c>
      <c r="F93">
        <v>1500000.0000000009</v>
      </c>
      <c r="G93">
        <v>17</v>
      </c>
      <c r="H93">
        <v>12</v>
      </c>
      <c r="K93">
        <v>22</v>
      </c>
      <c r="L93">
        <v>65</v>
      </c>
      <c r="M93">
        <v>9372297.2972972952</v>
      </c>
      <c r="N93">
        <v>8566216.216216214</v>
      </c>
      <c r="O93">
        <v>50922781.981981985</v>
      </c>
      <c r="P93">
        <v>46066513.513513513</v>
      </c>
      <c r="Q93">
        <v>8898243.2432432417</v>
      </c>
      <c r="R93">
        <v>6758198.1981981983</v>
      </c>
      <c r="S93">
        <v>3605</v>
      </c>
      <c r="T93">
        <v>3480</v>
      </c>
    </row>
    <row r="94" spans="1:20" x14ac:dyDescent="0.35">
      <c r="A94" s="7" t="s">
        <v>180</v>
      </c>
      <c r="B94" s="12" t="s">
        <v>168</v>
      </c>
      <c r="C94">
        <v>146489625.67140555</v>
      </c>
      <c r="D94">
        <v>167073617.74374259</v>
      </c>
      <c r="E94">
        <v>1774549.5495495501</v>
      </c>
      <c r="F94">
        <v>3375225.225225226</v>
      </c>
      <c r="G94">
        <v>25</v>
      </c>
      <c r="H94">
        <v>14</v>
      </c>
      <c r="K94">
        <v>38</v>
      </c>
      <c r="L94">
        <v>19</v>
      </c>
      <c r="M94">
        <v>3296396.396396399</v>
      </c>
      <c r="N94">
        <v>8698648.6486486476</v>
      </c>
      <c r="O94">
        <v>37122666.666666664</v>
      </c>
      <c r="P94">
        <v>55233117.117117122</v>
      </c>
      <c r="Q94">
        <v>1509729.7297297311</v>
      </c>
      <c r="R94">
        <v>4696486.4864864843</v>
      </c>
      <c r="S94">
        <v>4642</v>
      </c>
      <c r="T94">
        <v>4600</v>
      </c>
    </row>
    <row r="95" spans="1:20" x14ac:dyDescent="0.35">
      <c r="A95" s="7" t="s">
        <v>181</v>
      </c>
      <c r="B95" s="12" t="s">
        <v>182</v>
      </c>
      <c r="C95">
        <v>120035376.16205038</v>
      </c>
      <c r="D95">
        <v>127177173.45583713</v>
      </c>
      <c r="E95">
        <v>297297.29729729798</v>
      </c>
      <c r="F95">
        <v>2285585.5855855881</v>
      </c>
      <c r="G95">
        <v>22</v>
      </c>
      <c r="H95">
        <v>26</v>
      </c>
      <c r="K95">
        <v>23</v>
      </c>
      <c r="L95">
        <v>30</v>
      </c>
      <c r="M95">
        <v>4549549.5495495489</v>
      </c>
      <c r="N95">
        <v>29711261.261261258</v>
      </c>
      <c r="O95">
        <v>30191668.918918919</v>
      </c>
      <c r="P95">
        <v>30888936.936936937</v>
      </c>
      <c r="Q95">
        <v>7721441.441441441</v>
      </c>
      <c r="R95">
        <v>27703783.783783782</v>
      </c>
      <c r="S95">
        <v>3080</v>
      </c>
      <c r="T95">
        <v>3320</v>
      </c>
    </row>
    <row r="96" spans="1:20" x14ac:dyDescent="0.35">
      <c r="A96" s="7" t="s">
        <v>665</v>
      </c>
      <c r="B96" s="12" t="s">
        <v>261</v>
      </c>
      <c r="E96">
        <v>325388712.61261261</v>
      </c>
      <c r="F96">
        <v>348244768.46846849</v>
      </c>
      <c r="M96">
        <v>44936936.936936937</v>
      </c>
      <c r="N96">
        <v>32792792.792792793</v>
      </c>
    </row>
    <row r="97" spans="1:20" x14ac:dyDescent="0.35">
      <c r="A97" s="7" t="s">
        <v>183</v>
      </c>
      <c r="B97" s="12" t="s">
        <v>95</v>
      </c>
      <c r="C97">
        <v>119987456.78245413</v>
      </c>
      <c r="D97">
        <v>128555811.73494902</v>
      </c>
      <c r="E97">
        <v>40540.540540540998</v>
      </c>
      <c r="F97">
        <v>90090.090090090001</v>
      </c>
      <c r="G97">
        <v>37</v>
      </c>
      <c r="H97">
        <v>25</v>
      </c>
      <c r="I97">
        <v>1</v>
      </c>
      <c r="K97">
        <v>47</v>
      </c>
      <c r="L97">
        <v>34</v>
      </c>
      <c r="M97">
        <v>4463963.9639639631</v>
      </c>
      <c r="N97">
        <v>1891891.8918918921</v>
      </c>
      <c r="O97">
        <v>12940486.486486487</v>
      </c>
      <c r="P97">
        <v>19632612.612612613</v>
      </c>
      <c r="Q97">
        <v>1418558.558558559</v>
      </c>
      <c r="R97">
        <v>560360.36036036105</v>
      </c>
      <c r="S97">
        <v>3876</v>
      </c>
      <c r="T97">
        <v>3716</v>
      </c>
    </row>
    <row r="98" spans="1:20" x14ac:dyDescent="0.35">
      <c r="A98" s="7" t="s">
        <v>184</v>
      </c>
      <c r="B98" s="12" t="s">
        <v>95</v>
      </c>
      <c r="C98">
        <v>729238952.93688476</v>
      </c>
      <c r="D98">
        <v>792771586.76448739</v>
      </c>
      <c r="E98">
        <v>961992856.75675678</v>
      </c>
      <c r="F98">
        <v>204746098.1981982</v>
      </c>
      <c r="G98">
        <v>144</v>
      </c>
      <c r="H98">
        <v>205</v>
      </c>
      <c r="K98">
        <v>181</v>
      </c>
      <c r="L98">
        <v>280</v>
      </c>
      <c r="M98">
        <v>49183333.333333328</v>
      </c>
      <c r="N98">
        <v>53752792.79279279</v>
      </c>
      <c r="O98">
        <v>90029916.666666672</v>
      </c>
      <c r="P98">
        <v>119343261.26126127</v>
      </c>
      <c r="Q98">
        <v>40850540.540540546</v>
      </c>
      <c r="R98">
        <v>41763963.963963971</v>
      </c>
      <c r="S98">
        <v>16190</v>
      </c>
      <c r="T98">
        <v>15954</v>
      </c>
    </row>
    <row r="99" spans="1:20" x14ac:dyDescent="0.35">
      <c r="A99" s="7" t="s">
        <v>185</v>
      </c>
      <c r="B99" s="12" t="s">
        <v>90</v>
      </c>
      <c r="C99">
        <v>64884193.044534206</v>
      </c>
      <c r="D99">
        <v>58115243.825631224</v>
      </c>
      <c r="E99">
        <v>695270.27027027099</v>
      </c>
      <c r="F99">
        <v>1232432.432432432</v>
      </c>
      <c r="G99">
        <v>17</v>
      </c>
      <c r="H99">
        <v>5</v>
      </c>
      <c r="K99">
        <v>17</v>
      </c>
      <c r="L99">
        <v>5</v>
      </c>
      <c r="M99">
        <v>3356216.2162162159</v>
      </c>
      <c r="N99">
        <v>3276036.036036036</v>
      </c>
      <c r="O99">
        <v>21792369.369369369</v>
      </c>
      <c r="P99">
        <v>22850837.837837841</v>
      </c>
      <c r="Q99">
        <v>3248288.2882882892</v>
      </c>
      <c r="R99">
        <v>3161081.0810810812</v>
      </c>
      <c r="S99">
        <v>1598</v>
      </c>
      <c r="T99">
        <v>1571</v>
      </c>
    </row>
    <row r="100" spans="1:20" x14ac:dyDescent="0.35">
      <c r="A100" s="7" t="s">
        <v>186</v>
      </c>
      <c r="B100" s="12" t="s">
        <v>61</v>
      </c>
      <c r="C100">
        <v>38697926.487092696</v>
      </c>
      <c r="D100">
        <v>43095864.050367124</v>
      </c>
      <c r="E100">
        <v>259459.45945946101</v>
      </c>
      <c r="F100">
        <v>692792.79279279395</v>
      </c>
      <c r="G100">
        <v>10</v>
      </c>
      <c r="H100">
        <v>5</v>
      </c>
      <c r="K100">
        <v>11</v>
      </c>
      <c r="L100">
        <v>6</v>
      </c>
      <c r="M100">
        <v>1250450.450450452</v>
      </c>
      <c r="N100">
        <v>1927027.0270270279</v>
      </c>
      <c r="O100">
        <v>13442092.342342341</v>
      </c>
      <c r="P100">
        <v>15073729.729729729</v>
      </c>
      <c r="Q100">
        <v>892342.34234234295</v>
      </c>
      <c r="R100">
        <v>2609009.0090090078</v>
      </c>
      <c r="S100">
        <v>801</v>
      </c>
      <c r="T100">
        <v>833</v>
      </c>
    </row>
    <row r="101" spans="1:20" x14ac:dyDescent="0.35">
      <c r="A101" s="7" t="s">
        <v>187</v>
      </c>
      <c r="B101" s="12" t="s">
        <v>168</v>
      </c>
      <c r="C101">
        <v>97407045.435207471</v>
      </c>
      <c r="D101">
        <v>93805055.935441077</v>
      </c>
      <c r="E101">
        <v>1630405.4054054059</v>
      </c>
      <c r="F101">
        <v>2049549.5495495501</v>
      </c>
      <c r="G101">
        <v>4</v>
      </c>
      <c r="H101">
        <v>4</v>
      </c>
      <c r="K101">
        <v>5</v>
      </c>
      <c r="L101">
        <v>9</v>
      </c>
      <c r="M101">
        <v>1671171.1711711721</v>
      </c>
      <c r="N101">
        <v>2085585.585585586</v>
      </c>
      <c r="O101">
        <v>26238270.270270273</v>
      </c>
      <c r="P101">
        <v>29002493.693693697</v>
      </c>
      <c r="Q101">
        <v>268828.82882882899</v>
      </c>
      <c r="R101">
        <v>1558018.018018018</v>
      </c>
      <c r="S101">
        <v>2720</v>
      </c>
      <c r="T101">
        <v>2916</v>
      </c>
    </row>
    <row r="102" spans="1:20" x14ac:dyDescent="0.35">
      <c r="A102" s="7" t="s">
        <v>188</v>
      </c>
      <c r="B102" s="12" t="s">
        <v>168</v>
      </c>
      <c r="C102">
        <v>256001701.01049811</v>
      </c>
      <c r="D102">
        <v>278249864.88519692</v>
      </c>
      <c r="E102">
        <v>433333.33333333698</v>
      </c>
      <c r="F102">
        <v>549549.54954955005</v>
      </c>
      <c r="G102">
        <v>26</v>
      </c>
      <c r="H102">
        <v>8</v>
      </c>
      <c r="K102">
        <v>27</v>
      </c>
      <c r="L102">
        <v>10</v>
      </c>
      <c r="M102">
        <v>9803184.6846846864</v>
      </c>
      <c r="N102">
        <v>10421621.621621625</v>
      </c>
      <c r="O102">
        <v>51878702.702702701</v>
      </c>
      <c r="P102">
        <v>67634538.738738731</v>
      </c>
      <c r="Q102">
        <v>7131441.4414414456</v>
      </c>
      <c r="R102">
        <v>9358108.1081081126</v>
      </c>
      <c r="S102">
        <v>5150</v>
      </c>
      <c r="T102">
        <v>5637</v>
      </c>
    </row>
    <row r="103" spans="1:20" x14ac:dyDescent="0.35">
      <c r="A103" s="7" t="s">
        <v>189</v>
      </c>
      <c r="B103" s="12" t="s">
        <v>190</v>
      </c>
      <c r="C103">
        <v>114291196.53497891</v>
      </c>
      <c r="D103">
        <v>120125100.89978044</v>
      </c>
      <c r="E103">
        <v>270270.27027027</v>
      </c>
      <c r="F103">
        <v>270270.27027027</v>
      </c>
      <c r="G103">
        <v>19</v>
      </c>
      <c r="H103">
        <v>33</v>
      </c>
      <c r="I103">
        <v>1</v>
      </c>
      <c r="K103">
        <v>19</v>
      </c>
      <c r="L103">
        <v>33</v>
      </c>
      <c r="M103">
        <v>1621621.621621622</v>
      </c>
      <c r="N103">
        <v>2072072.072072072</v>
      </c>
      <c r="O103">
        <v>7873594.594594595</v>
      </c>
      <c r="P103">
        <v>10275639.63963964</v>
      </c>
      <c r="Q103">
        <v>1300000</v>
      </c>
      <c r="R103">
        <v>1789189.1891891891</v>
      </c>
      <c r="S103">
        <v>1689</v>
      </c>
      <c r="T103">
        <v>1708</v>
      </c>
    </row>
    <row r="104" spans="1:20" x14ac:dyDescent="0.35">
      <c r="A104" s="7" t="s">
        <v>191</v>
      </c>
      <c r="B104" s="12" t="s">
        <v>135</v>
      </c>
      <c r="C104">
        <v>27492812.303986482</v>
      </c>
      <c r="D104">
        <v>24611874.701998435</v>
      </c>
      <c r="E104">
        <v>13513.513513514001</v>
      </c>
      <c r="G104">
        <v>17</v>
      </c>
      <c r="H104">
        <v>20</v>
      </c>
      <c r="K104">
        <v>19</v>
      </c>
      <c r="L104">
        <v>25</v>
      </c>
      <c r="M104">
        <v>13513.513513514001</v>
      </c>
      <c r="O104">
        <v>2045180.1801801799</v>
      </c>
      <c r="P104">
        <v>2169810.8108108109</v>
      </c>
      <c r="Q104">
        <v>121621.62162162201</v>
      </c>
      <c r="S104">
        <v>960</v>
      </c>
      <c r="T104">
        <v>906</v>
      </c>
    </row>
    <row r="105" spans="1:20" x14ac:dyDescent="0.35">
      <c r="A105" s="7" t="s">
        <v>192</v>
      </c>
      <c r="B105" s="12" t="s">
        <v>61</v>
      </c>
      <c r="C105">
        <v>162692500.24418133</v>
      </c>
      <c r="D105">
        <v>164999270.82217532</v>
      </c>
      <c r="E105">
        <v>1783558.55855856</v>
      </c>
      <c r="F105">
        <v>1983783.7837837839</v>
      </c>
      <c r="G105">
        <v>23</v>
      </c>
      <c r="H105">
        <v>27</v>
      </c>
      <c r="K105">
        <v>51</v>
      </c>
      <c r="L105">
        <v>45</v>
      </c>
      <c r="M105">
        <v>14792792.792792793</v>
      </c>
      <c r="N105">
        <v>21163963.963963959</v>
      </c>
      <c r="O105">
        <v>53175693.693693697</v>
      </c>
      <c r="P105">
        <v>56001342.342342347</v>
      </c>
      <c r="Q105">
        <v>13225225.225225223</v>
      </c>
      <c r="R105">
        <v>19634774.774774775</v>
      </c>
      <c r="S105">
        <v>3841</v>
      </c>
      <c r="T105">
        <v>4486</v>
      </c>
    </row>
    <row r="106" spans="1:20" x14ac:dyDescent="0.35">
      <c r="A106" s="7" t="s">
        <v>193</v>
      </c>
      <c r="B106" s="12" t="s">
        <v>61</v>
      </c>
      <c r="C106">
        <v>278867178.0911352</v>
      </c>
      <c r="D106">
        <v>293965468.61598879</v>
      </c>
      <c r="E106">
        <v>2130630.6306306301</v>
      </c>
      <c r="F106">
        <v>2198648.6486486532</v>
      </c>
      <c r="G106">
        <v>26</v>
      </c>
      <c r="H106">
        <v>34</v>
      </c>
      <c r="I106">
        <v>1</v>
      </c>
      <c r="K106">
        <v>33</v>
      </c>
      <c r="L106">
        <v>53</v>
      </c>
      <c r="M106">
        <v>16698198.198198196</v>
      </c>
      <c r="N106">
        <v>22504954.954954956</v>
      </c>
      <c r="O106">
        <v>68108108.108108118</v>
      </c>
      <c r="P106">
        <v>72356827.027027026</v>
      </c>
      <c r="Q106">
        <v>14399909.909909911</v>
      </c>
      <c r="R106">
        <v>21800313.513513517</v>
      </c>
      <c r="S106">
        <v>6609</v>
      </c>
      <c r="T106">
        <v>6545</v>
      </c>
    </row>
    <row r="107" spans="1:20" x14ac:dyDescent="0.35">
      <c r="A107" s="7" t="s">
        <v>2</v>
      </c>
      <c r="B107" s="12" t="s">
        <v>194</v>
      </c>
      <c r="C107">
        <v>29022560.368282694</v>
      </c>
      <c r="D107">
        <v>13443706.666459411</v>
      </c>
      <c r="E107">
        <v>326519071.17117119</v>
      </c>
      <c r="F107">
        <v>403839426.12612617</v>
      </c>
      <c r="G107">
        <v>4</v>
      </c>
      <c r="K107">
        <v>4</v>
      </c>
      <c r="M107">
        <v>2381756.7567567579</v>
      </c>
      <c r="N107">
        <v>548648.64864864899</v>
      </c>
      <c r="O107">
        <v>16590756.756756756</v>
      </c>
      <c r="P107">
        <v>8714558.558558559</v>
      </c>
      <c r="Q107">
        <v>157657.65765765801</v>
      </c>
      <c r="R107">
        <v>212162.16216216201</v>
      </c>
      <c r="S107">
        <v>1076</v>
      </c>
      <c r="T107">
        <v>1494</v>
      </c>
    </row>
    <row r="108" spans="1:20" x14ac:dyDescent="0.35">
      <c r="A108" s="7" t="s">
        <v>195</v>
      </c>
      <c r="B108" s="12" t="s">
        <v>196</v>
      </c>
      <c r="C108">
        <v>999673476.16533339</v>
      </c>
      <c r="D108">
        <v>1032290385.7711318</v>
      </c>
      <c r="E108">
        <v>3122297.297297298</v>
      </c>
      <c r="F108">
        <v>2702702.7027027048</v>
      </c>
      <c r="G108">
        <v>261</v>
      </c>
      <c r="H108">
        <v>89</v>
      </c>
      <c r="I108">
        <v>2</v>
      </c>
      <c r="K108">
        <v>337</v>
      </c>
      <c r="L108">
        <v>132</v>
      </c>
      <c r="M108">
        <v>45566666.666666664</v>
      </c>
      <c r="N108">
        <v>39801801.801801801</v>
      </c>
      <c r="O108">
        <v>193844702.70270273</v>
      </c>
      <c r="P108">
        <v>208486612.61261261</v>
      </c>
      <c r="Q108">
        <v>47245765.765765756</v>
      </c>
      <c r="R108">
        <v>40265675.675675675</v>
      </c>
      <c r="S108">
        <v>17676</v>
      </c>
      <c r="T108">
        <v>19283</v>
      </c>
    </row>
    <row r="109" spans="1:20" x14ac:dyDescent="0.35">
      <c r="A109" s="7" t="s">
        <v>197</v>
      </c>
      <c r="B109" s="12" t="s">
        <v>81</v>
      </c>
      <c r="C109">
        <v>304272769.64707369</v>
      </c>
      <c r="D109">
        <v>300990873.38334388</v>
      </c>
      <c r="E109">
        <v>1545945.945945946</v>
      </c>
      <c r="F109">
        <v>2711711.711711714</v>
      </c>
      <c r="G109">
        <v>69</v>
      </c>
      <c r="H109">
        <v>41</v>
      </c>
      <c r="K109">
        <v>75</v>
      </c>
      <c r="L109">
        <v>61</v>
      </c>
      <c r="M109">
        <v>39356756.756756753</v>
      </c>
      <c r="N109">
        <v>46424774.774774775</v>
      </c>
      <c r="O109">
        <v>82289981.981981978</v>
      </c>
      <c r="P109">
        <v>81807675.675675675</v>
      </c>
      <c r="Q109">
        <v>40073693.693693697</v>
      </c>
      <c r="R109">
        <v>47915315.315315314</v>
      </c>
      <c r="S109">
        <v>6543</v>
      </c>
      <c r="T109">
        <v>6807</v>
      </c>
    </row>
    <row r="110" spans="1:20" x14ac:dyDescent="0.35">
      <c r="A110" s="7" t="s">
        <v>198</v>
      </c>
      <c r="B110" s="12" t="s">
        <v>109</v>
      </c>
      <c r="C110">
        <v>243276725.13160756</v>
      </c>
      <c r="D110">
        <v>242344859.37419468</v>
      </c>
      <c r="E110">
        <v>2288288.2882882869</v>
      </c>
      <c r="F110">
        <v>3073873.8738738769</v>
      </c>
      <c r="G110">
        <v>84</v>
      </c>
      <c r="H110">
        <v>53</v>
      </c>
      <c r="I110">
        <v>1</v>
      </c>
      <c r="K110">
        <v>96</v>
      </c>
      <c r="L110">
        <v>80</v>
      </c>
      <c r="M110">
        <v>13063963.963963959</v>
      </c>
      <c r="N110">
        <v>17846846.846846849</v>
      </c>
      <c r="O110">
        <v>75363477.477477476</v>
      </c>
      <c r="P110">
        <v>74214657.657657668</v>
      </c>
      <c r="Q110">
        <v>11693603.6036036</v>
      </c>
      <c r="R110">
        <v>17427747.747747749</v>
      </c>
      <c r="S110">
        <v>7026</v>
      </c>
      <c r="T110">
        <v>7626</v>
      </c>
    </row>
    <row r="111" spans="1:20" x14ac:dyDescent="0.35">
      <c r="A111" s="7" t="s">
        <v>199</v>
      </c>
      <c r="B111" s="12" t="s">
        <v>93</v>
      </c>
      <c r="C111">
        <v>129625018.00671114</v>
      </c>
      <c r="D111">
        <v>135502288.59945333</v>
      </c>
      <c r="E111">
        <v>4426126.1261261255</v>
      </c>
      <c r="F111">
        <v>2757657.6576576582</v>
      </c>
      <c r="G111">
        <v>153</v>
      </c>
      <c r="H111">
        <v>23</v>
      </c>
      <c r="K111">
        <v>239</v>
      </c>
      <c r="L111">
        <v>25</v>
      </c>
      <c r="M111">
        <v>38045495.495495498</v>
      </c>
      <c r="N111">
        <v>26133783.783783782</v>
      </c>
      <c r="O111">
        <v>36175045.045045048</v>
      </c>
      <c r="P111">
        <v>34763414.414414413</v>
      </c>
      <c r="Q111">
        <v>37530180.180180177</v>
      </c>
      <c r="R111">
        <v>26891801.801801801</v>
      </c>
      <c r="S111">
        <v>2810</v>
      </c>
      <c r="T111">
        <v>2863</v>
      </c>
    </row>
    <row r="112" spans="1:20" x14ac:dyDescent="0.35">
      <c r="A112" s="7" t="s">
        <v>200</v>
      </c>
      <c r="B112" s="12" t="s">
        <v>124</v>
      </c>
      <c r="C112">
        <v>120261161.77373569</v>
      </c>
      <c r="D112">
        <v>100943193.05303164</v>
      </c>
      <c r="E112">
        <v>189189.189189189</v>
      </c>
      <c r="F112">
        <v>1291891.8918918921</v>
      </c>
      <c r="G112">
        <v>33</v>
      </c>
      <c r="H112">
        <v>18</v>
      </c>
      <c r="K112">
        <v>34</v>
      </c>
      <c r="L112">
        <v>20</v>
      </c>
      <c r="M112">
        <v>3062702.702702702</v>
      </c>
      <c r="N112">
        <v>7811891.8918918911</v>
      </c>
      <c r="O112">
        <v>21773072.072072074</v>
      </c>
      <c r="P112">
        <v>23636351.351351351</v>
      </c>
      <c r="Q112">
        <v>4681441.4414414419</v>
      </c>
      <c r="R112">
        <v>5466486.486486488</v>
      </c>
      <c r="S112">
        <v>2499</v>
      </c>
      <c r="T112">
        <v>2378</v>
      </c>
    </row>
    <row r="113" spans="1:20" x14ac:dyDescent="0.35">
      <c r="A113" s="7" t="s">
        <v>201</v>
      </c>
      <c r="B113" s="12" t="s">
        <v>61</v>
      </c>
      <c r="C113">
        <v>86040941.004584521</v>
      </c>
      <c r="D113">
        <v>89798336.712873742</v>
      </c>
      <c r="E113">
        <v>1445045.0450450459</v>
      </c>
      <c r="F113">
        <v>1208558.5585585621</v>
      </c>
      <c r="G113">
        <v>16</v>
      </c>
      <c r="H113">
        <v>6</v>
      </c>
      <c r="I113">
        <v>1</v>
      </c>
      <c r="K113">
        <v>17</v>
      </c>
      <c r="L113">
        <v>14</v>
      </c>
      <c r="M113">
        <v>11535135.135135137</v>
      </c>
      <c r="N113">
        <v>13334684.684684685</v>
      </c>
      <c r="O113">
        <v>16281004.504504504</v>
      </c>
      <c r="P113">
        <v>16431252.252252253</v>
      </c>
      <c r="Q113">
        <v>6461981.9819819815</v>
      </c>
      <c r="R113">
        <v>6844234.2342342362</v>
      </c>
      <c r="S113">
        <v>3530</v>
      </c>
      <c r="T113">
        <v>3576</v>
      </c>
    </row>
    <row r="114" spans="1:20" x14ac:dyDescent="0.35">
      <c r="A114" s="7" t="s">
        <v>202</v>
      </c>
      <c r="B114" s="12" t="s">
        <v>61</v>
      </c>
      <c r="C114">
        <v>28966044.368948139</v>
      </c>
      <c r="D114">
        <v>28649263.087417834</v>
      </c>
      <c r="E114">
        <v>29284684.684684683</v>
      </c>
      <c r="F114">
        <v>338945045.04504508</v>
      </c>
      <c r="G114">
        <v>10</v>
      </c>
      <c r="H114">
        <v>5</v>
      </c>
      <c r="K114">
        <v>11</v>
      </c>
      <c r="L114">
        <v>7</v>
      </c>
      <c r="M114">
        <v>2392792.792792791</v>
      </c>
      <c r="N114">
        <v>2746846.8468468469</v>
      </c>
      <c r="O114">
        <v>5358000.0000000009</v>
      </c>
      <c r="P114">
        <v>6227540.5405405397</v>
      </c>
      <c r="Q114">
        <v>443243.24324324302</v>
      </c>
      <c r="R114">
        <v>1337297.297297298</v>
      </c>
      <c r="S114">
        <v>2165</v>
      </c>
      <c r="T114">
        <v>1128</v>
      </c>
    </row>
    <row r="115" spans="1:20" x14ac:dyDescent="0.35">
      <c r="A115" s="7" t="s">
        <v>203</v>
      </c>
      <c r="B115" s="12" t="s">
        <v>122</v>
      </c>
      <c r="C115">
        <v>55895183.871871009</v>
      </c>
      <c r="D115">
        <v>52819222.259697646</v>
      </c>
      <c r="E115">
        <v>427927.92792792799</v>
      </c>
      <c r="F115">
        <v>635135.13513513701</v>
      </c>
      <c r="G115">
        <v>34</v>
      </c>
      <c r="H115">
        <v>15</v>
      </c>
      <c r="K115">
        <v>39</v>
      </c>
      <c r="L115">
        <v>17</v>
      </c>
      <c r="M115">
        <v>1445945.945945946</v>
      </c>
      <c r="N115">
        <v>815315.31531531701</v>
      </c>
      <c r="O115">
        <v>5522594.594594595</v>
      </c>
      <c r="P115">
        <v>5545036.036036035</v>
      </c>
      <c r="Q115">
        <v>1041621.621621622</v>
      </c>
      <c r="R115">
        <v>247747.74774774801</v>
      </c>
      <c r="S115">
        <v>1422</v>
      </c>
      <c r="T115">
        <v>1400</v>
      </c>
    </row>
    <row r="116" spans="1:20" x14ac:dyDescent="0.35">
      <c r="A116" s="7" t="s">
        <v>204</v>
      </c>
      <c r="B116" s="12" t="s">
        <v>55</v>
      </c>
      <c r="C116">
        <v>89245298.368845046</v>
      </c>
      <c r="D116">
        <v>94494923.543660522</v>
      </c>
      <c r="E116">
        <v>352252.25225225301</v>
      </c>
      <c r="F116">
        <v>1393693.6936936949</v>
      </c>
      <c r="G116">
        <v>22</v>
      </c>
      <c r="H116">
        <v>16</v>
      </c>
      <c r="K116">
        <v>22</v>
      </c>
      <c r="L116">
        <v>16</v>
      </c>
      <c r="M116">
        <v>5167567.5675675673</v>
      </c>
      <c r="N116">
        <v>6321621.6216216227</v>
      </c>
      <c r="O116">
        <v>22641702.702702705</v>
      </c>
      <c r="P116">
        <v>24764720.72072072</v>
      </c>
      <c r="Q116">
        <v>4614774.7747747749</v>
      </c>
      <c r="R116">
        <v>5668648.6486486476</v>
      </c>
      <c r="S116">
        <v>3897</v>
      </c>
      <c r="T116">
        <v>3838</v>
      </c>
    </row>
    <row r="117" spans="1:20" x14ac:dyDescent="0.35">
      <c r="A117" s="7" t="s">
        <v>205</v>
      </c>
      <c r="B117" s="12" t="s">
        <v>137</v>
      </c>
      <c r="C117">
        <v>323761437.49703908</v>
      </c>
      <c r="D117">
        <v>317606340.34356284</v>
      </c>
      <c r="E117">
        <v>13281981.981981983</v>
      </c>
      <c r="F117">
        <v>41803603.603603616</v>
      </c>
      <c r="G117">
        <v>40</v>
      </c>
      <c r="H117">
        <v>52</v>
      </c>
      <c r="I117">
        <v>2</v>
      </c>
      <c r="K117">
        <v>45</v>
      </c>
      <c r="L117">
        <v>54</v>
      </c>
      <c r="M117">
        <v>30097297.297297295</v>
      </c>
      <c r="N117">
        <v>27970270.270270273</v>
      </c>
      <c r="O117">
        <v>57065090.090090089</v>
      </c>
      <c r="P117">
        <v>60688666.666666672</v>
      </c>
      <c r="Q117">
        <v>23783153.153153151</v>
      </c>
      <c r="R117">
        <v>24735225.225225229</v>
      </c>
      <c r="S117">
        <v>5764</v>
      </c>
      <c r="T117">
        <v>5349</v>
      </c>
    </row>
    <row r="118" spans="1:20" x14ac:dyDescent="0.35">
      <c r="A118" s="7" t="s">
        <v>206</v>
      </c>
      <c r="B118" s="12" t="s">
        <v>137</v>
      </c>
      <c r="C118">
        <v>165189401.07068044</v>
      </c>
      <c r="D118">
        <v>164797607.22373375</v>
      </c>
      <c r="E118">
        <v>638738.73873873998</v>
      </c>
      <c r="F118">
        <v>65765.765765767006</v>
      </c>
      <c r="G118">
        <v>28</v>
      </c>
      <c r="H118">
        <v>23</v>
      </c>
      <c r="K118">
        <v>33</v>
      </c>
      <c r="L118">
        <v>25</v>
      </c>
      <c r="M118">
        <v>6206306.3063063063</v>
      </c>
      <c r="N118">
        <v>5885585.5855855849</v>
      </c>
      <c r="O118">
        <v>31616646.846846849</v>
      </c>
      <c r="P118">
        <v>35524864.864864863</v>
      </c>
      <c r="Q118">
        <v>3064504.5045045051</v>
      </c>
      <c r="R118">
        <v>3525945.9459459442</v>
      </c>
      <c r="S118">
        <v>3079</v>
      </c>
      <c r="T118">
        <v>3198</v>
      </c>
    </row>
    <row r="119" spans="1:20" x14ac:dyDescent="0.35">
      <c r="A119" s="7" t="s">
        <v>207</v>
      </c>
      <c r="B119" s="12" t="s">
        <v>170</v>
      </c>
      <c r="C119">
        <v>378392188.4563024</v>
      </c>
      <c r="D119">
        <v>396191818.07857853</v>
      </c>
      <c r="E119">
        <v>1506306.306306307</v>
      </c>
      <c r="F119">
        <v>9532702.7027027048</v>
      </c>
      <c r="G119">
        <v>17</v>
      </c>
      <c r="H119">
        <v>18</v>
      </c>
      <c r="K119">
        <v>18</v>
      </c>
      <c r="L119">
        <v>21</v>
      </c>
      <c r="M119">
        <v>2466009752.2522521</v>
      </c>
      <c r="N119">
        <v>672004504.50450444</v>
      </c>
      <c r="O119">
        <v>177738288.2882883</v>
      </c>
      <c r="P119">
        <v>196129270.27027026</v>
      </c>
      <c r="Q119">
        <v>629288151.35135126</v>
      </c>
      <c r="R119">
        <v>29113063.063063063</v>
      </c>
      <c r="S119">
        <v>7573</v>
      </c>
      <c r="T119">
        <v>7752</v>
      </c>
    </row>
    <row r="120" spans="1:20" x14ac:dyDescent="0.35">
      <c r="A120" s="7" t="s">
        <v>208</v>
      </c>
      <c r="B120" s="12" t="s">
        <v>162</v>
      </c>
      <c r="C120">
        <v>419667180.35183913</v>
      </c>
      <c r="D120">
        <v>433740778.75766581</v>
      </c>
      <c r="E120">
        <v>2928828.8288288331</v>
      </c>
      <c r="F120">
        <v>2920720.7207207251</v>
      </c>
      <c r="G120">
        <v>280</v>
      </c>
      <c r="H120">
        <v>104</v>
      </c>
      <c r="K120">
        <v>457</v>
      </c>
      <c r="L120">
        <v>305</v>
      </c>
      <c r="M120">
        <v>46608918.918918923</v>
      </c>
      <c r="N120">
        <v>52181261.261261262</v>
      </c>
      <c r="O120">
        <v>121332418.91891892</v>
      </c>
      <c r="P120">
        <v>138825972.97297299</v>
      </c>
      <c r="Q120">
        <v>44079859.459459461</v>
      </c>
      <c r="R120">
        <v>52744951.351351351</v>
      </c>
      <c r="S120">
        <v>13732</v>
      </c>
      <c r="T120">
        <v>12879</v>
      </c>
    </row>
    <row r="121" spans="1:20" x14ac:dyDescent="0.35">
      <c r="A121" s="7" t="s">
        <v>209</v>
      </c>
      <c r="B121" s="12" t="s">
        <v>77</v>
      </c>
      <c r="C121">
        <v>12556748.97040436</v>
      </c>
      <c r="D121">
        <v>13344000.779004512</v>
      </c>
      <c r="E121">
        <v>68716216.216216221</v>
      </c>
      <c r="F121">
        <v>67635135.135135129</v>
      </c>
      <c r="H121">
        <v>2</v>
      </c>
      <c r="L121">
        <v>2</v>
      </c>
      <c r="M121">
        <v>196396.39639639601</v>
      </c>
      <c r="N121">
        <v>1102702.702702703</v>
      </c>
      <c r="O121">
        <v>943558.55855855905</v>
      </c>
      <c r="P121">
        <v>1084729.7297297299</v>
      </c>
      <c r="S121">
        <v>516</v>
      </c>
      <c r="T121">
        <v>534</v>
      </c>
    </row>
    <row r="122" spans="1:20" x14ac:dyDescent="0.35">
      <c r="A122" s="7" t="s">
        <v>210</v>
      </c>
      <c r="B122" s="12" t="s">
        <v>77</v>
      </c>
      <c r="C122">
        <v>183678829.74160302</v>
      </c>
      <c r="D122">
        <v>179269405.75560009</v>
      </c>
      <c r="E122">
        <v>87814654.054054052</v>
      </c>
      <c r="F122">
        <v>86831245.945945948</v>
      </c>
      <c r="G122">
        <v>78</v>
      </c>
      <c r="H122">
        <v>81</v>
      </c>
      <c r="I122">
        <v>3</v>
      </c>
      <c r="K122">
        <v>92</v>
      </c>
      <c r="L122">
        <v>95</v>
      </c>
      <c r="M122">
        <v>20170450.450450446</v>
      </c>
      <c r="N122">
        <v>15856764.864864865</v>
      </c>
      <c r="O122">
        <v>28527873.873873871</v>
      </c>
      <c r="P122">
        <v>30920765.765765768</v>
      </c>
      <c r="Q122">
        <v>20519819.819819815</v>
      </c>
      <c r="R122">
        <v>14633423.423423424</v>
      </c>
      <c r="S122">
        <v>4392</v>
      </c>
      <c r="T122">
        <v>4437</v>
      </c>
    </row>
    <row r="123" spans="1:20" x14ac:dyDescent="0.35">
      <c r="A123" s="7" t="s">
        <v>211</v>
      </c>
      <c r="B123" s="12" t="s">
        <v>77</v>
      </c>
      <c r="C123">
        <v>235081626.73599446</v>
      </c>
      <c r="D123">
        <v>252748728.7399247</v>
      </c>
      <c r="E123">
        <v>2780180.1801801869</v>
      </c>
      <c r="F123">
        <v>4988288.2882882915</v>
      </c>
      <c r="G123">
        <v>141</v>
      </c>
      <c r="H123">
        <v>253</v>
      </c>
      <c r="I123">
        <v>1</v>
      </c>
      <c r="K123">
        <v>170</v>
      </c>
      <c r="L123">
        <v>280</v>
      </c>
      <c r="M123">
        <v>77225945.945945948</v>
      </c>
      <c r="N123">
        <v>79718198.198198199</v>
      </c>
      <c r="O123">
        <v>71679540.540540546</v>
      </c>
      <c r="P123">
        <v>86021432.432432428</v>
      </c>
      <c r="Q123">
        <v>60291441.441441439</v>
      </c>
      <c r="R123">
        <v>65392882.882882886</v>
      </c>
      <c r="S123">
        <v>6970</v>
      </c>
      <c r="T123">
        <v>7441</v>
      </c>
    </row>
    <row r="124" spans="1:20" x14ac:dyDescent="0.35">
      <c r="A124" s="7" t="s">
        <v>212</v>
      </c>
      <c r="B124" s="12" t="s">
        <v>77</v>
      </c>
      <c r="C124">
        <v>173390155.32303157</v>
      </c>
      <c r="D124">
        <v>161864860.67175719</v>
      </c>
      <c r="E124">
        <v>2361936.9369369438</v>
      </c>
      <c r="F124">
        <v>2236936.9369369382</v>
      </c>
      <c r="G124">
        <v>80</v>
      </c>
      <c r="H124">
        <v>128</v>
      </c>
      <c r="K124">
        <v>92</v>
      </c>
      <c r="L124">
        <v>143</v>
      </c>
      <c r="M124">
        <v>14107567.56756757</v>
      </c>
      <c r="N124">
        <v>21236945.045045048</v>
      </c>
      <c r="O124">
        <v>26606542.792792793</v>
      </c>
      <c r="P124">
        <v>27960504.504504506</v>
      </c>
      <c r="Q124">
        <v>13073873.873873876</v>
      </c>
      <c r="R124">
        <v>18472882.882882886</v>
      </c>
      <c r="S124">
        <v>3973</v>
      </c>
      <c r="T124">
        <v>3987</v>
      </c>
    </row>
    <row r="125" spans="1:20" x14ac:dyDescent="0.35">
      <c r="A125" s="7" t="s">
        <v>213</v>
      </c>
      <c r="B125" s="12" t="s">
        <v>77</v>
      </c>
      <c r="C125">
        <v>62856596.012759559</v>
      </c>
      <c r="D125">
        <v>70379762.685164347</v>
      </c>
      <c r="E125">
        <v>34234.234234233998</v>
      </c>
      <c r="F125">
        <v>78378.378378377995</v>
      </c>
      <c r="G125">
        <v>10</v>
      </c>
      <c r="H125">
        <v>9</v>
      </c>
      <c r="K125">
        <v>11</v>
      </c>
      <c r="L125">
        <v>10</v>
      </c>
      <c r="M125">
        <v>1238918.918918917</v>
      </c>
      <c r="N125">
        <v>2803603.6036036029</v>
      </c>
      <c r="O125">
        <v>9333567.5675675683</v>
      </c>
      <c r="P125">
        <v>11511747.747747747</v>
      </c>
      <c r="Q125">
        <v>1649819.8198198189</v>
      </c>
      <c r="R125">
        <v>1735045.0450450459</v>
      </c>
      <c r="S125">
        <v>2064</v>
      </c>
      <c r="T125">
        <v>2224</v>
      </c>
    </row>
    <row r="126" spans="1:20" x14ac:dyDescent="0.35">
      <c r="A126" s="7" t="s">
        <v>214</v>
      </c>
      <c r="B126" s="12" t="s">
        <v>215</v>
      </c>
      <c r="C126">
        <v>89166040.748929977</v>
      </c>
      <c r="D126">
        <v>91908479.090009004</v>
      </c>
      <c r="E126">
        <v>738738.73873873905</v>
      </c>
      <c r="F126">
        <v>953153.15315315302</v>
      </c>
      <c r="G126">
        <v>33</v>
      </c>
      <c r="H126">
        <v>5</v>
      </c>
      <c r="I126">
        <v>1</v>
      </c>
      <c r="K126">
        <v>34</v>
      </c>
      <c r="L126">
        <v>6</v>
      </c>
      <c r="M126">
        <v>13432000</v>
      </c>
      <c r="N126">
        <v>20423423.423423424</v>
      </c>
      <c r="O126">
        <v>39642243.24324324</v>
      </c>
      <c r="P126">
        <v>45868639.639639638</v>
      </c>
      <c r="Q126">
        <v>10601711.711711712</v>
      </c>
      <c r="R126">
        <v>21325315.315315317</v>
      </c>
      <c r="S126">
        <v>2254</v>
      </c>
      <c r="T126">
        <v>2223</v>
      </c>
    </row>
    <row r="127" spans="1:20" x14ac:dyDescent="0.35">
      <c r="A127" s="7" t="s">
        <v>216</v>
      </c>
      <c r="B127" s="12" t="s">
        <v>168</v>
      </c>
      <c r="C127">
        <v>98745562.324486241</v>
      </c>
      <c r="D127">
        <v>92698533.880530238</v>
      </c>
      <c r="E127">
        <v>986486.48648648697</v>
      </c>
      <c r="G127">
        <v>7</v>
      </c>
      <c r="H127">
        <v>1</v>
      </c>
      <c r="K127">
        <v>7</v>
      </c>
      <c r="L127">
        <v>1</v>
      </c>
      <c r="M127">
        <v>1436936.936936937</v>
      </c>
      <c r="O127">
        <v>17343558.558558557</v>
      </c>
      <c r="P127">
        <v>26433243.243243244</v>
      </c>
      <c r="Q127">
        <v>61711.711711712</v>
      </c>
      <c r="R127">
        <v>69819.819819819997</v>
      </c>
      <c r="S127">
        <v>1861</v>
      </c>
      <c r="T127">
        <v>1826</v>
      </c>
    </row>
    <row r="128" spans="1:20" x14ac:dyDescent="0.35">
      <c r="A128" s="7" t="s">
        <v>217</v>
      </c>
      <c r="B128" s="12" t="s">
        <v>86</v>
      </c>
      <c r="C128">
        <v>22765722.20599154</v>
      </c>
      <c r="D128">
        <v>24849750.37939721</v>
      </c>
      <c r="E128">
        <v>261261.261261262</v>
      </c>
      <c r="F128">
        <v>1557657.6576576589</v>
      </c>
      <c r="G128">
        <v>8</v>
      </c>
      <c r="H128">
        <v>2</v>
      </c>
      <c r="K128">
        <v>10</v>
      </c>
      <c r="L128">
        <v>2</v>
      </c>
      <c r="M128">
        <v>25727027.027027026</v>
      </c>
      <c r="N128">
        <v>36186486.486486487</v>
      </c>
      <c r="O128">
        <v>6931486.4864864862</v>
      </c>
      <c r="P128">
        <v>9026511.7117117122</v>
      </c>
      <c r="Q128">
        <v>19580900.9009009</v>
      </c>
      <c r="R128">
        <v>31747927.927927926</v>
      </c>
      <c r="S128">
        <v>669</v>
      </c>
      <c r="T128">
        <v>641</v>
      </c>
    </row>
    <row r="129" spans="1:20" x14ac:dyDescent="0.35">
      <c r="A129" s="7" t="s">
        <v>218</v>
      </c>
      <c r="B129" s="12" t="s">
        <v>86</v>
      </c>
      <c r="C129">
        <v>86727727.245551035</v>
      </c>
      <c r="D129">
        <v>89725265.327195182</v>
      </c>
      <c r="E129">
        <v>259459.45945945999</v>
      </c>
      <c r="F129">
        <v>704504.50450450403</v>
      </c>
      <c r="G129">
        <v>33</v>
      </c>
      <c r="H129">
        <v>13</v>
      </c>
      <c r="K129">
        <v>35</v>
      </c>
      <c r="L129">
        <v>15</v>
      </c>
      <c r="M129">
        <v>12499279.27927928</v>
      </c>
      <c r="N129">
        <v>23731539.639639638</v>
      </c>
      <c r="O129">
        <v>17128684.684684683</v>
      </c>
      <c r="P129">
        <v>20023342.342342343</v>
      </c>
      <c r="Q129">
        <v>12569189.189189188</v>
      </c>
      <c r="R129">
        <v>15829459.459459459</v>
      </c>
      <c r="S129">
        <v>2406</v>
      </c>
      <c r="T129">
        <v>2386</v>
      </c>
    </row>
    <row r="130" spans="1:20" x14ac:dyDescent="0.35">
      <c r="A130" s="7" t="s">
        <v>219</v>
      </c>
      <c r="B130" s="12" t="s">
        <v>148</v>
      </c>
      <c r="C130">
        <v>84029793.41381973</v>
      </c>
      <c r="D130">
        <v>74781872.341699585</v>
      </c>
      <c r="E130">
        <v>265123366.66666666</v>
      </c>
      <c r="F130">
        <v>292668714.41441441</v>
      </c>
      <c r="G130">
        <v>66</v>
      </c>
      <c r="H130">
        <v>14</v>
      </c>
      <c r="K130">
        <v>81</v>
      </c>
      <c r="L130">
        <v>19</v>
      </c>
      <c r="M130">
        <v>48520476.576576576</v>
      </c>
      <c r="N130">
        <v>82923209.909909904</v>
      </c>
      <c r="O130">
        <v>27354117.117117114</v>
      </c>
      <c r="P130">
        <v>23109909.909909911</v>
      </c>
      <c r="Q130">
        <v>50413963.963963971</v>
      </c>
      <c r="R130">
        <v>65354864.864864863</v>
      </c>
      <c r="S130">
        <v>3805</v>
      </c>
      <c r="T130">
        <v>2583</v>
      </c>
    </row>
    <row r="131" spans="1:20" x14ac:dyDescent="0.35">
      <c r="A131" s="7" t="s">
        <v>220</v>
      </c>
      <c r="B131" s="12" t="s">
        <v>221</v>
      </c>
      <c r="C131">
        <v>166080503.61302391</v>
      </c>
      <c r="D131">
        <v>163896917.60266733</v>
      </c>
      <c r="E131">
        <v>5078442.3423423432</v>
      </c>
      <c r="F131">
        <v>4534932.4324324327</v>
      </c>
      <c r="G131">
        <v>50</v>
      </c>
      <c r="H131">
        <v>69</v>
      </c>
      <c r="K131">
        <v>63</v>
      </c>
      <c r="L131">
        <v>81</v>
      </c>
      <c r="M131">
        <v>139629554.95495495</v>
      </c>
      <c r="N131">
        <v>299068085.58558559</v>
      </c>
      <c r="O131">
        <v>42475353.603603601</v>
      </c>
      <c r="P131">
        <v>47052297.297297299</v>
      </c>
      <c r="Q131">
        <v>235131891.8918919</v>
      </c>
      <c r="R131">
        <v>250108648.64864865</v>
      </c>
      <c r="S131">
        <v>6222</v>
      </c>
      <c r="T131">
        <v>6286</v>
      </c>
    </row>
    <row r="132" spans="1:20" x14ac:dyDescent="0.35">
      <c r="A132" s="7" t="s">
        <v>222</v>
      </c>
      <c r="B132" s="12" t="s">
        <v>53</v>
      </c>
      <c r="C132">
        <v>385679786.30818516</v>
      </c>
      <c r="D132">
        <v>409456489.99352479</v>
      </c>
      <c r="E132">
        <v>3897297.2972973008</v>
      </c>
      <c r="F132">
        <v>4351801.80180181</v>
      </c>
      <c r="G132">
        <v>92</v>
      </c>
      <c r="H132">
        <v>85</v>
      </c>
      <c r="K132">
        <v>117</v>
      </c>
      <c r="L132">
        <v>127</v>
      </c>
      <c r="M132">
        <v>33230630.630630631</v>
      </c>
      <c r="N132">
        <v>34700900.9009009</v>
      </c>
      <c r="O132">
        <v>126123351.35135135</v>
      </c>
      <c r="P132">
        <v>130791099.0990991</v>
      </c>
      <c r="Q132">
        <v>39706396.396396399</v>
      </c>
      <c r="R132">
        <v>29206846.846846845</v>
      </c>
      <c r="S132">
        <v>10565</v>
      </c>
      <c r="T132">
        <v>10551</v>
      </c>
    </row>
    <row r="133" spans="1:20" x14ac:dyDescent="0.35">
      <c r="A133" s="7" t="s">
        <v>223</v>
      </c>
      <c r="B133" s="12" t="s">
        <v>77</v>
      </c>
      <c r="C133">
        <v>301755612.09099221</v>
      </c>
      <c r="D133">
        <v>310297005.46674144</v>
      </c>
      <c r="E133">
        <v>896396.39639640099</v>
      </c>
      <c r="F133">
        <v>1327927.9279279341</v>
      </c>
      <c r="G133">
        <v>82</v>
      </c>
      <c r="H133">
        <v>83</v>
      </c>
      <c r="K133">
        <v>89</v>
      </c>
      <c r="L133">
        <v>90</v>
      </c>
      <c r="M133">
        <v>20047567.567567565</v>
      </c>
      <c r="N133">
        <v>30245045.045045048</v>
      </c>
      <c r="O133">
        <v>57423435.135135137</v>
      </c>
      <c r="P133">
        <v>69201882.882882878</v>
      </c>
      <c r="Q133">
        <v>17569099.099099096</v>
      </c>
      <c r="R133">
        <v>24857027.027027026</v>
      </c>
      <c r="S133">
        <v>7260</v>
      </c>
      <c r="T133">
        <v>7059</v>
      </c>
    </row>
    <row r="134" spans="1:20" x14ac:dyDescent="0.35">
      <c r="A134" s="7" t="s">
        <v>224</v>
      </c>
      <c r="B134" s="12" t="s">
        <v>225</v>
      </c>
      <c r="C134">
        <v>27952721.723498691</v>
      </c>
      <c r="D134">
        <v>27327857.395944487</v>
      </c>
      <c r="F134">
        <v>13513.513513514001</v>
      </c>
      <c r="G134">
        <v>2</v>
      </c>
      <c r="H134">
        <v>2</v>
      </c>
      <c r="K134">
        <v>2</v>
      </c>
      <c r="L134">
        <v>2</v>
      </c>
      <c r="N134">
        <v>13513.513513514001</v>
      </c>
      <c r="O134">
        <v>6772189.1891891891</v>
      </c>
      <c r="P134">
        <v>6650612.6126126125</v>
      </c>
      <c r="Q134">
        <v>504504.50450450502</v>
      </c>
      <c r="R134">
        <v>485675.67567567597</v>
      </c>
      <c r="S134">
        <v>860</v>
      </c>
      <c r="T134">
        <v>802</v>
      </c>
    </row>
    <row r="135" spans="1:20" x14ac:dyDescent="0.35">
      <c r="A135" s="7" t="s">
        <v>226</v>
      </c>
      <c r="B135" s="12" t="s">
        <v>144</v>
      </c>
      <c r="C135">
        <v>248091034.02194637</v>
      </c>
      <c r="D135">
        <v>261133304.90610632</v>
      </c>
      <c r="E135">
        <v>3519819.819819822</v>
      </c>
      <c r="F135">
        <v>1355855.855855861</v>
      </c>
      <c r="G135">
        <v>88</v>
      </c>
      <c r="H135">
        <v>16</v>
      </c>
      <c r="K135">
        <v>95</v>
      </c>
      <c r="L135">
        <v>22</v>
      </c>
      <c r="M135">
        <v>14937837.837837836</v>
      </c>
      <c r="N135">
        <v>12788288.28828829</v>
      </c>
      <c r="O135">
        <v>32357789.639639638</v>
      </c>
      <c r="P135">
        <v>38265153.153153151</v>
      </c>
      <c r="Q135">
        <v>9860630.6306306291</v>
      </c>
      <c r="R135">
        <v>9447117.1171171162</v>
      </c>
      <c r="S135">
        <v>5785</v>
      </c>
      <c r="T135">
        <v>6003</v>
      </c>
    </row>
    <row r="136" spans="1:20" x14ac:dyDescent="0.35">
      <c r="A136" s="7" t="s">
        <v>227</v>
      </c>
      <c r="B136" s="12" t="s">
        <v>225</v>
      </c>
      <c r="C136">
        <v>28454965.500988819</v>
      </c>
      <c r="D136">
        <v>28489878.938134786</v>
      </c>
      <c r="E136">
        <v>121621.62162162201</v>
      </c>
      <c r="F136">
        <v>103603.603603604</v>
      </c>
      <c r="G136">
        <v>10</v>
      </c>
      <c r="H136">
        <v>8</v>
      </c>
      <c r="K136">
        <v>13</v>
      </c>
      <c r="L136">
        <v>8</v>
      </c>
      <c r="M136">
        <v>3539639.6396396402</v>
      </c>
      <c r="N136">
        <v>3624774.7747747749</v>
      </c>
      <c r="O136">
        <v>8182959.4594594594</v>
      </c>
      <c r="P136">
        <v>7051036.036036036</v>
      </c>
      <c r="Q136">
        <v>2957837.8378378381</v>
      </c>
      <c r="R136">
        <v>3110810.8108108109</v>
      </c>
      <c r="S136">
        <v>810</v>
      </c>
      <c r="T136">
        <v>715</v>
      </c>
    </row>
    <row r="137" spans="1:20" x14ac:dyDescent="0.35">
      <c r="A137" s="7" t="s">
        <v>228</v>
      </c>
      <c r="B137" s="12" t="s">
        <v>79</v>
      </c>
      <c r="C137">
        <v>230774686.90052792</v>
      </c>
      <c r="D137">
        <v>247524283.22997019</v>
      </c>
      <c r="E137">
        <v>2793693.6936936961</v>
      </c>
      <c r="F137">
        <v>2421621.621621626</v>
      </c>
      <c r="G137">
        <v>42</v>
      </c>
      <c r="H137">
        <v>20</v>
      </c>
      <c r="K137">
        <v>46</v>
      </c>
      <c r="L137">
        <v>28</v>
      </c>
      <c r="M137">
        <v>25551801.801801801</v>
      </c>
      <c r="N137">
        <v>22868198.198198199</v>
      </c>
      <c r="O137">
        <v>92683702.702702701</v>
      </c>
      <c r="P137">
        <v>102189531.53153154</v>
      </c>
      <c r="Q137">
        <v>22405315.315315317</v>
      </c>
      <c r="R137">
        <v>20482836.036036037</v>
      </c>
      <c r="S137">
        <v>4782</v>
      </c>
      <c r="T137">
        <v>4861</v>
      </c>
    </row>
    <row r="138" spans="1:20" x14ac:dyDescent="0.35">
      <c r="A138" s="7" t="s">
        <v>229</v>
      </c>
      <c r="B138" s="12" t="s">
        <v>137</v>
      </c>
      <c r="C138">
        <v>310890935.37924188</v>
      </c>
      <c r="D138">
        <v>331604737.68317717</v>
      </c>
      <c r="E138">
        <v>2216666.6666666698</v>
      </c>
      <c r="F138">
        <v>2322522.5225225291</v>
      </c>
      <c r="G138">
        <v>77</v>
      </c>
      <c r="H138">
        <v>54</v>
      </c>
      <c r="I138">
        <v>1</v>
      </c>
      <c r="K138">
        <v>93</v>
      </c>
      <c r="L138">
        <v>60</v>
      </c>
      <c r="M138">
        <v>34781081.081081077</v>
      </c>
      <c r="N138">
        <v>46770270.270270273</v>
      </c>
      <c r="O138">
        <v>73380148.648648649</v>
      </c>
      <c r="P138">
        <v>81798410.810810819</v>
      </c>
      <c r="Q138">
        <v>29497477.47747748</v>
      </c>
      <c r="R138">
        <v>41499369.369369365</v>
      </c>
      <c r="S138">
        <v>7483</v>
      </c>
      <c r="T138">
        <v>8235</v>
      </c>
    </row>
    <row r="139" spans="1:20" x14ac:dyDescent="0.35">
      <c r="A139" s="7" t="s">
        <v>230</v>
      </c>
      <c r="B139" s="12" t="s">
        <v>79</v>
      </c>
      <c r="C139">
        <v>88057078.983637184</v>
      </c>
      <c r="D139">
        <v>95907460.496153295</v>
      </c>
      <c r="E139">
        <v>2972522.5225225231</v>
      </c>
      <c r="F139">
        <v>4474324.3243243247</v>
      </c>
      <c r="G139">
        <v>31</v>
      </c>
      <c r="H139">
        <v>25</v>
      </c>
      <c r="I139">
        <v>2</v>
      </c>
      <c r="K139">
        <v>33</v>
      </c>
      <c r="L139">
        <v>28</v>
      </c>
      <c r="M139">
        <v>17065765.765765764</v>
      </c>
      <c r="N139">
        <v>23240090.090090089</v>
      </c>
      <c r="O139">
        <v>43163252.252252258</v>
      </c>
      <c r="P139">
        <v>46961106.306306303</v>
      </c>
      <c r="Q139">
        <v>18731981.981981985</v>
      </c>
      <c r="R139">
        <v>20693376.576576576</v>
      </c>
      <c r="S139">
        <v>2408</v>
      </c>
      <c r="T139">
        <v>2616</v>
      </c>
    </row>
    <row r="140" spans="1:20" x14ac:dyDescent="0.35">
      <c r="A140" s="7" t="s">
        <v>231</v>
      </c>
      <c r="B140" s="12" t="s">
        <v>55</v>
      </c>
      <c r="C140">
        <v>251151531.07830808</v>
      </c>
      <c r="D140">
        <v>259473869.465076</v>
      </c>
      <c r="E140">
        <v>951351.35135135194</v>
      </c>
      <c r="F140">
        <v>561261.26126126002</v>
      </c>
      <c r="G140">
        <v>27</v>
      </c>
      <c r="H140">
        <v>36</v>
      </c>
      <c r="K140">
        <v>32</v>
      </c>
      <c r="L140">
        <v>47</v>
      </c>
      <c r="M140">
        <v>21651351.351351351</v>
      </c>
      <c r="N140">
        <v>16741441.441441443</v>
      </c>
      <c r="O140">
        <v>62793223.423423424</v>
      </c>
      <c r="P140">
        <v>65296126.126126125</v>
      </c>
      <c r="Q140">
        <v>22792972.972972974</v>
      </c>
      <c r="R140">
        <v>6603693.6936936956</v>
      </c>
      <c r="S140">
        <v>6772</v>
      </c>
      <c r="T140">
        <v>6794</v>
      </c>
    </row>
    <row r="141" spans="1:20" x14ac:dyDescent="0.35">
      <c r="A141" s="7" t="s">
        <v>232</v>
      </c>
      <c r="B141" s="12" t="s">
        <v>79</v>
      </c>
      <c r="C141">
        <v>96043789.245385274</v>
      </c>
      <c r="D141">
        <v>100084190.68078974</v>
      </c>
      <c r="E141">
        <v>2430630.6306306319</v>
      </c>
      <c r="F141">
        <v>5628378.3783783838</v>
      </c>
      <c r="G141">
        <v>49</v>
      </c>
      <c r="H141">
        <v>26</v>
      </c>
      <c r="I141">
        <v>2</v>
      </c>
      <c r="K141">
        <v>63</v>
      </c>
      <c r="L141">
        <v>32</v>
      </c>
      <c r="M141">
        <v>20172072.072072074</v>
      </c>
      <c r="N141">
        <v>28668918.918918919</v>
      </c>
      <c r="O141">
        <v>45734162.162162162</v>
      </c>
      <c r="P141">
        <v>46022747.747747742</v>
      </c>
      <c r="Q141">
        <v>23192072.072072066</v>
      </c>
      <c r="R141">
        <v>28190360.360360362</v>
      </c>
      <c r="S141">
        <v>3914</v>
      </c>
      <c r="T141">
        <v>4019</v>
      </c>
    </row>
    <row r="142" spans="1:20" x14ac:dyDescent="0.35">
      <c r="A142" s="7" t="s">
        <v>233</v>
      </c>
      <c r="B142" s="12" t="s">
        <v>61</v>
      </c>
      <c r="C142">
        <v>88225685.542733118</v>
      </c>
      <c r="D142">
        <v>88073171.314764053</v>
      </c>
      <c r="G142">
        <v>25</v>
      </c>
      <c r="H142">
        <v>1</v>
      </c>
      <c r="K142">
        <v>27</v>
      </c>
      <c r="L142">
        <v>3</v>
      </c>
      <c r="O142">
        <v>37190360.360360362</v>
      </c>
      <c r="P142">
        <v>36679351.351351351</v>
      </c>
      <c r="S142">
        <v>1947</v>
      </c>
      <c r="T142">
        <v>1904</v>
      </c>
    </row>
    <row r="143" spans="1:20" x14ac:dyDescent="0.35">
      <c r="A143" s="7" t="s">
        <v>234</v>
      </c>
      <c r="B143" s="12" t="s">
        <v>55</v>
      </c>
      <c r="C143">
        <v>42068941.603400886</v>
      </c>
      <c r="D143">
        <v>42125598.915305957</v>
      </c>
      <c r="E143">
        <v>96396.396396397002</v>
      </c>
      <c r="F143">
        <v>1182882.8828828831</v>
      </c>
      <c r="G143">
        <v>26</v>
      </c>
      <c r="H143">
        <v>4</v>
      </c>
      <c r="K143">
        <v>61</v>
      </c>
      <c r="L143">
        <v>4</v>
      </c>
      <c r="M143">
        <v>1925585.5855855851</v>
      </c>
      <c r="N143">
        <v>4233693.6936936937</v>
      </c>
      <c r="O143">
        <v>8836261.2612612601</v>
      </c>
      <c r="P143">
        <v>10177306.306306306</v>
      </c>
      <c r="Q143">
        <v>1871621.621621622</v>
      </c>
      <c r="R143">
        <v>3783603.6036036038</v>
      </c>
      <c r="S143">
        <v>1083</v>
      </c>
      <c r="T143">
        <v>1063</v>
      </c>
    </row>
    <row r="144" spans="1:20" x14ac:dyDescent="0.35">
      <c r="A144" s="7" t="s">
        <v>235</v>
      </c>
      <c r="B144" s="12" t="s">
        <v>168</v>
      </c>
      <c r="C144">
        <v>197169151.08114201</v>
      </c>
      <c r="D144">
        <v>190510129.2408154</v>
      </c>
      <c r="E144">
        <v>373873.87387387402</v>
      </c>
      <c r="F144">
        <v>927027.02702702605</v>
      </c>
      <c r="G144">
        <v>15</v>
      </c>
      <c r="H144">
        <v>12</v>
      </c>
      <c r="K144">
        <v>17</v>
      </c>
      <c r="L144">
        <v>13</v>
      </c>
      <c r="M144">
        <v>17109357.657657661</v>
      </c>
      <c r="N144">
        <v>30856756.756756756</v>
      </c>
      <c r="O144">
        <v>54863040.540540546</v>
      </c>
      <c r="P144">
        <v>67596567.567567572</v>
      </c>
      <c r="Q144">
        <v>9687477.4774774797</v>
      </c>
      <c r="R144">
        <v>17459189.189189188</v>
      </c>
      <c r="S144">
        <v>5108</v>
      </c>
      <c r="T144">
        <v>8855</v>
      </c>
    </row>
    <row r="145" spans="1:20" x14ac:dyDescent="0.35">
      <c r="A145" s="7" t="s">
        <v>236</v>
      </c>
      <c r="B145" s="12" t="s">
        <v>237</v>
      </c>
      <c r="C145">
        <v>109.577797421</v>
      </c>
      <c r="D145">
        <v>1010.476892713</v>
      </c>
      <c r="E145">
        <v>28923332.432432432</v>
      </c>
      <c r="F145">
        <v>56526835.135135137</v>
      </c>
      <c r="M145">
        <v>22949549.549549554</v>
      </c>
      <c r="N145">
        <v>11846846.846846849</v>
      </c>
      <c r="S145">
        <v>3</v>
      </c>
    </row>
    <row r="146" spans="1:20" x14ac:dyDescent="0.35">
      <c r="A146" s="7" t="s">
        <v>238</v>
      </c>
      <c r="B146" s="12" t="s">
        <v>106</v>
      </c>
      <c r="C146">
        <v>115944470.23577161</v>
      </c>
      <c r="D146">
        <v>118721728.66036454</v>
      </c>
      <c r="E146">
        <v>478378.378378377</v>
      </c>
      <c r="F146">
        <v>344144.14414414403</v>
      </c>
      <c r="G146">
        <v>16</v>
      </c>
      <c r="H146">
        <v>17</v>
      </c>
      <c r="K146">
        <v>17</v>
      </c>
      <c r="L146">
        <v>18</v>
      </c>
      <c r="M146">
        <v>18865225.225225225</v>
      </c>
      <c r="N146">
        <v>16988288.288288288</v>
      </c>
      <c r="O146">
        <v>34028918.918918923</v>
      </c>
      <c r="P146">
        <v>37131621.621621624</v>
      </c>
      <c r="Q146">
        <v>17365675.675675675</v>
      </c>
      <c r="R146">
        <v>14893693.693693694</v>
      </c>
      <c r="S146">
        <v>1930</v>
      </c>
      <c r="T146">
        <v>2184</v>
      </c>
    </row>
    <row r="147" spans="1:20" x14ac:dyDescent="0.35">
      <c r="A147" s="7" t="s">
        <v>3</v>
      </c>
      <c r="B147" s="12" t="s">
        <v>159</v>
      </c>
      <c r="C147">
        <v>234983047.03145576</v>
      </c>
      <c r="D147">
        <v>212453968.7294426</v>
      </c>
      <c r="E147">
        <v>2982882.8828828852</v>
      </c>
      <c r="F147">
        <v>1111711.7117117131</v>
      </c>
      <c r="G147">
        <v>35</v>
      </c>
      <c r="H147">
        <v>37</v>
      </c>
      <c r="K147">
        <v>38</v>
      </c>
      <c r="L147">
        <v>41</v>
      </c>
      <c r="M147">
        <v>40045945.945945941</v>
      </c>
      <c r="N147">
        <v>68457657.657657653</v>
      </c>
      <c r="O147">
        <v>66683495.495495498</v>
      </c>
      <c r="P147">
        <v>61654729.729729727</v>
      </c>
      <c r="Q147">
        <v>40352072.072072074</v>
      </c>
      <c r="R147">
        <v>67517657.657657653</v>
      </c>
      <c r="S147">
        <v>3678</v>
      </c>
      <c r="T147">
        <v>3504</v>
      </c>
    </row>
    <row r="148" spans="1:20" x14ac:dyDescent="0.35">
      <c r="A148" s="7" t="s">
        <v>239</v>
      </c>
      <c r="B148" s="12" t="s">
        <v>179</v>
      </c>
      <c r="C148">
        <v>184623776.73110166</v>
      </c>
      <c r="D148">
        <v>196709934.06855303</v>
      </c>
      <c r="E148">
        <v>5671171.1711711716</v>
      </c>
      <c r="F148">
        <v>81145045.045045033</v>
      </c>
      <c r="G148">
        <v>38</v>
      </c>
      <c r="H148">
        <v>35</v>
      </c>
      <c r="K148">
        <v>47</v>
      </c>
      <c r="L148">
        <v>43</v>
      </c>
      <c r="M148">
        <v>36216216.216216214</v>
      </c>
      <c r="N148">
        <v>33780180.180180177</v>
      </c>
      <c r="O148">
        <v>58730882.882882878</v>
      </c>
      <c r="P148">
        <v>62011702.702702701</v>
      </c>
      <c r="Q148">
        <v>23451621.62162162</v>
      </c>
      <c r="R148">
        <v>27102972.97297297</v>
      </c>
      <c r="S148">
        <v>5168</v>
      </c>
      <c r="T148">
        <v>5139</v>
      </c>
    </row>
    <row r="149" spans="1:20" x14ac:dyDescent="0.35">
      <c r="A149" s="7" t="s">
        <v>240</v>
      </c>
      <c r="B149" s="12" t="s">
        <v>55</v>
      </c>
      <c r="C149">
        <v>130441610.42047252</v>
      </c>
      <c r="D149">
        <v>141660422.81129941</v>
      </c>
      <c r="E149">
        <v>3536936.9369369382</v>
      </c>
      <c r="F149">
        <v>1274774.7747747761</v>
      </c>
      <c r="G149">
        <v>24</v>
      </c>
      <c r="H149">
        <v>36</v>
      </c>
      <c r="K149">
        <v>25</v>
      </c>
      <c r="L149">
        <v>62</v>
      </c>
      <c r="M149">
        <v>17735495.495495494</v>
      </c>
      <c r="N149">
        <v>16013513.513513513</v>
      </c>
      <c r="O149">
        <v>35913717.117117122</v>
      </c>
      <c r="P149">
        <v>42059282.882882878</v>
      </c>
      <c r="Q149">
        <v>16669996.396396397</v>
      </c>
      <c r="R149">
        <v>16907387.387387387</v>
      </c>
      <c r="S149">
        <v>3502</v>
      </c>
      <c r="T149">
        <v>3484</v>
      </c>
    </row>
    <row r="150" spans="1:20" x14ac:dyDescent="0.35">
      <c r="A150" s="7" t="s">
        <v>241</v>
      </c>
      <c r="B150" s="12" t="s">
        <v>242</v>
      </c>
      <c r="C150">
        <v>112536991.15353961</v>
      </c>
      <c r="D150">
        <v>109229097.26886997</v>
      </c>
      <c r="E150">
        <v>39660900.9009009</v>
      </c>
      <c r="F150">
        <v>41052252.252252258</v>
      </c>
      <c r="G150">
        <v>50</v>
      </c>
      <c r="H150">
        <v>29</v>
      </c>
      <c r="K150">
        <v>54</v>
      </c>
      <c r="L150">
        <v>33</v>
      </c>
      <c r="M150">
        <v>11135315.315315319</v>
      </c>
      <c r="N150">
        <v>16681711.711711708</v>
      </c>
      <c r="O150">
        <v>26698196.396396395</v>
      </c>
      <c r="P150">
        <v>30211252.252252251</v>
      </c>
      <c r="Q150">
        <v>7991801.8018018054</v>
      </c>
      <c r="R150">
        <v>14278738.738738736</v>
      </c>
      <c r="S150">
        <v>2805</v>
      </c>
      <c r="T150">
        <v>2908</v>
      </c>
    </row>
    <row r="151" spans="1:20" x14ac:dyDescent="0.35">
      <c r="A151" s="7" t="s">
        <v>243</v>
      </c>
      <c r="B151" s="12" t="s">
        <v>242</v>
      </c>
      <c r="C151">
        <v>294679457.53371006</v>
      </c>
      <c r="D151">
        <v>256410630.90725377</v>
      </c>
      <c r="E151">
        <v>2749549.5495495521</v>
      </c>
      <c r="F151">
        <v>3937387.3873873912</v>
      </c>
      <c r="G151">
        <v>115</v>
      </c>
      <c r="H151">
        <v>94</v>
      </c>
      <c r="K151">
        <v>128</v>
      </c>
      <c r="L151">
        <v>106</v>
      </c>
      <c r="M151">
        <v>69750990.990990996</v>
      </c>
      <c r="N151">
        <v>96100900.9009009</v>
      </c>
      <c r="O151">
        <v>87726450.45045045</v>
      </c>
      <c r="P151">
        <v>85820000</v>
      </c>
      <c r="Q151">
        <v>64984684.684684686</v>
      </c>
      <c r="R151">
        <v>83437747.747747749</v>
      </c>
      <c r="S151">
        <v>6866</v>
      </c>
      <c r="T151">
        <v>6924</v>
      </c>
    </row>
    <row r="152" spans="1:20" x14ac:dyDescent="0.35">
      <c r="A152" s="7" t="s">
        <v>244</v>
      </c>
      <c r="B152" s="12" t="s">
        <v>51</v>
      </c>
      <c r="C152">
        <v>50279277.101657957</v>
      </c>
      <c r="D152">
        <v>46891960.375872672</v>
      </c>
      <c r="E152">
        <v>1285585.585585586</v>
      </c>
      <c r="F152">
        <v>1998198.198198199</v>
      </c>
      <c r="G152">
        <v>9</v>
      </c>
      <c r="H152">
        <v>5</v>
      </c>
      <c r="K152">
        <v>9</v>
      </c>
      <c r="L152">
        <v>7</v>
      </c>
      <c r="M152">
        <v>7080540.5405405406</v>
      </c>
      <c r="N152">
        <v>4362387.3873873875</v>
      </c>
      <c r="O152">
        <v>16351765.765765766</v>
      </c>
      <c r="P152">
        <v>17102018.018018018</v>
      </c>
      <c r="Q152">
        <v>6428918.9189189188</v>
      </c>
      <c r="R152">
        <v>3925900.9009009022</v>
      </c>
      <c r="S152">
        <v>1141</v>
      </c>
      <c r="T152">
        <v>1133</v>
      </c>
    </row>
    <row r="153" spans="1:20" x14ac:dyDescent="0.35">
      <c r="A153" s="7" t="s">
        <v>245</v>
      </c>
      <c r="B153" s="12" t="s">
        <v>182</v>
      </c>
      <c r="C153">
        <v>1578745241.1207237</v>
      </c>
      <c r="D153">
        <v>1548158476.0276167</v>
      </c>
      <c r="E153">
        <v>135570825.22522524</v>
      </c>
      <c r="F153">
        <v>374781102.7027027</v>
      </c>
      <c r="G153">
        <v>681</v>
      </c>
      <c r="H153">
        <v>615</v>
      </c>
      <c r="I153">
        <v>12</v>
      </c>
      <c r="K153">
        <v>1241</v>
      </c>
      <c r="L153">
        <v>833</v>
      </c>
      <c r="M153">
        <v>194219639.63963962</v>
      </c>
      <c r="N153">
        <v>397251411.71171176</v>
      </c>
      <c r="O153">
        <v>351000768.46846849</v>
      </c>
      <c r="P153">
        <v>355119836.03603601</v>
      </c>
      <c r="Q153">
        <v>185599099.09909907</v>
      </c>
      <c r="R153">
        <v>384225180.18018013</v>
      </c>
      <c r="S153">
        <v>42475</v>
      </c>
      <c r="T153">
        <v>40988</v>
      </c>
    </row>
    <row r="154" spans="1:20" x14ac:dyDescent="0.35">
      <c r="A154" s="7" t="s">
        <v>246</v>
      </c>
      <c r="B154" s="12" t="s">
        <v>49</v>
      </c>
      <c r="C154">
        <v>68951082.889459193</v>
      </c>
      <c r="D154">
        <v>75668676.69390811</v>
      </c>
      <c r="E154">
        <v>1621846.846846848</v>
      </c>
      <c r="F154">
        <v>101801.80180180199</v>
      </c>
      <c r="G154">
        <v>5</v>
      </c>
      <c r="H154">
        <v>5</v>
      </c>
      <c r="K154">
        <v>6</v>
      </c>
      <c r="L154">
        <v>5</v>
      </c>
      <c r="M154">
        <v>18083963.963963963</v>
      </c>
      <c r="N154">
        <v>8775675.6756756753</v>
      </c>
      <c r="O154">
        <v>15854162.162162162</v>
      </c>
      <c r="P154">
        <v>20006387.387387387</v>
      </c>
      <c r="Q154">
        <v>20045495.495495494</v>
      </c>
      <c r="R154">
        <v>7851891.891891893</v>
      </c>
      <c r="S154">
        <v>1764</v>
      </c>
      <c r="T154">
        <v>1843</v>
      </c>
    </row>
    <row r="155" spans="1:20" x14ac:dyDescent="0.35">
      <c r="A155" s="7" t="s">
        <v>247</v>
      </c>
      <c r="B155" s="12" t="s">
        <v>95</v>
      </c>
      <c r="C155">
        <v>19595151.108478643</v>
      </c>
      <c r="D155">
        <v>18244706.025268421</v>
      </c>
      <c r="G155">
        <v>1</v>
      </c>
      <c r="K155">
        <v>1</v>
      </c>
      <c r="O155">
        <v>3668639.6396396402</v>
      </c>
      <c r="P155">
        <v>3787747.7477477482</v>
      </c>
      <c r="S155">
        <v>668</v>
      </c>
      <c r="T155">
        <v>710</v>
      </c>
    </row>
    <row r="156" spans="1:20" x14ac:dyDescent="0.35">
      <c r="A156" s="7" t="s">
        <v>248</v>
      </c>
      <c r="B156" s="12" t="s">
        <v>118</v>
      </c>
      <c r="C156">
        <v>65959382.73423183</v>
      </c>
      <c r="D156">
        <v>61259843.628280059</v>
      </c>
      <c r="E156">
        <v>788881.08108108095</v>
      </c>
      <c r="F156">
        <v>1407261.2612612611</v>
      </c>
      <c r="G156">
        <v>8</v>
      </c>
      <c r="H156">
        <v>12</v>
      </c>
      <c r="K156">
        <v>11</v>
      </c>
      <c r="L156">
        <v>17</v>
      </c>
      <c r="M156">
        <v>8148828.8288288312</v>
      </c>
      <c r="N156">
        <v>11896797.297297295</v>
      </c>
      <c r="O156">
        <v>31839981.981981985</v>
      </c>
      <c r="P156">
        <v>31695396.396396395</v>
      </c>
      <c r="Q156">
        <v>9277117.1171171181</v>
      </c>
      <c r="R156">
        <v>9128918.9189189188</v>
      </c>
      <c r="S156">
        <v>1752</v>
      </c>
      <c r="T156">
        <v>1721</v>
      </c>
    </row>
    <row r="157" spans="1:20" x14ac:dyDescent="0.35">
      <c r="A157" s="7" t="s">
        <v>249</v>
      </c>
      <c r="B157" s="12" t="s">
        <v>122</v>
      </c>
      <c r="C157">
        <v>108448363.2241262</v>
      </c>
      <c r="D157">
        <v>98128042.977940157</v>
      </c>
      <c r="E157">
        <v>773873.87387387396</v>
      </c>
      <c r="F157">
        <v>166666.66666666901</v>
      </c>
      <c r="G157">
        <v>68</v>
      </c>
      <c r="H157">
        <v>56</v>
      </c>
      <c r="K157">
        <v>78</v>
      </c>
      <c r="L157">
        <v>64</v>
      </c>
      <c r="M157">
        <v>3981981.981981982</v>
      </c>
      <c r="N157">
        <v>6915315.3153153174</v>
      </c>
      <c r="O157">
        <v>12527531.531531531</v>
      </c>
      <c r="P157">
        <v>11026459.459459459</v>
      </c>
      <c r="Q157">
        <v>3716126.1261261259</v>
      </c>
      <c r="R157">
        <v>3688288.2882882869</v>
      </c>
      <c r="S157">
        <v>2279</v>
      </c>
      <c r="T157">
        <v>2285</v>
      </c>
    </row>
    <row r="158" spans="1:20" x14ac:dyDescent="0.35">
      <c r="A158" s="7" t="s">
        <v>250</v>
      </c>
      <c r="B158" s="12" t="s">
        <v>77</v>
      </c>
      <c r="C158">
        <v>46224270.740809523</v>
      </c>
      <c r="D158">
        <v>42522845.70498459</v>
      </c>
      <c r="G158">
        <v>5</v>
      </c>
      <c r="K158">
        <v>5</v>
      </c>
      <c r="O158">
        <v>4380675.6756756762</v>
      </c>
      <c r="P158">
        <v>5003720.7207207195</v>
      </c>
      <c r="S158">
        <v>1620</v>
      </c>
      <c r="T158">
        <v>1679</v>
      </c>
    </row>
    <row r="159" spans="1:20" x14ac:dyDescent="0.35">
      <c r="A159" s="7" t="s">
        <v>251</v>
      </c>
      <c r="B159" s="12" t="s">
        <v>168</v>
      </c>
      <c r="C159">
        <v>150602150.61461431</v>
      </c>
      <c r="D159">
        <v>154681756.92176992</v>
      </c>
      <c r="F159">
        <v>450450.45045045001</v>
      </c>
      <c r="G159">
        <v>34</v>
      </c>
      <c r="H159">
        <v>4</v>
      </c>
      <c r="K159">
        <v>38</v>
      </c>
      <c r="L159">
        <v>4</v>
      </c>
      <c r="M159">
        <v>1828828.8288288291</v>
      </c>
      <c r="N159">
        <v>5938288.2882882878</v>
      </c>
      <c r="O159">
        <v>28819009.009009007</v>
      </c>
      <c r="P159">
        <v>40381756.756756753</v>
      </c>
      <c r="Q159">
        <v>1480900.900900902</v>
      </c>
      <c r="R159">
        <v>4232792.7927927924</v>
      </c>
      <c r="S159">
        <v>3629</v>
      </c>
      <c r="T159">
        <v>3723</v>
      </c>
    </row>
    <row r="160" spans="1:20" x14ac:dyDescent="0.35">
      <c r="A160" s="7" t="s">
        <v>252</v>
      </c>
      <c r="B160" s="12" t="s">
        <v>90</v>
      </c>
      <c r="C160">
        <v>446046460.95640785</v>
      </c>
      <c r="D160">
        <v>463066125.94016188</v>
      </c>
      <c r="E160">
        <v>2055855.8558558589</v>
      </c>
      <c r="F160">
        <v>3170270.2702702768</v>
      </c>
      <c r="G160">
        <v>79</v>
      </c>
      <c r="H160">
        <v>29</v>
      </c>
      <c r="I160">
        <v>1</v>
      </c>
      <c r="K160">
        <v>90</v>
      </c>
      <c r="L160">
        <v>43</v>
      </c>
      <c r="M160">
        <v>32239819.819819815</v>
      </c>
      <c r="N160">
        <v>33683783.783783786</v>
      </c>
      <c r="O160">
        <v>109616081.08108109</v>
      </c>
      <c r="P160">
        <v>122544837.83783785</v>
      </c>
      <c r="Q160">
        <v>32197297.297297295</v>
      </c>
      <c r="R160">
        <v>35300720.720720723</v>
      </c>
      <c r="S160">
        <v>10354</v>
      </c>
      <c r="T160">
        <v>10332</v>
      </c>
    </row>
    <row r="161" spans="1:20" x14ac:dyDescent="0.35">
      <c r="A161" s="7" t="s">
        <v>253</v>
      </c>
      <c r="B161" s="12" t="s">
        <v>79</v>
      </c>
      <c r="C161">
        <v>129006945.3784737</v>
      </c>
      <c r="D161">
        <v>133783955.63506901</v>
      </c>
      <c r="E161">
        <v>2039639.6396396421</v>
      </c>
      <c r="F161">
        <v>1511711.711711715</v>
      </c>
      <c r="G161">
        <v>24</v>
      </c>
      <c r="H161">
        <v>6</v>
      </c>
      <c r="K161">
        <v>26</v>
      </c>
      <c r="L161">
        <v>9</v>
      </c>
      <c r="M161">
        <v>26314774.774774771</v>
      </c>
      <c r="N161">
        <v>21810000</v>
      </c>
      <c r="O161">
        <v>37285054.054054059</v>
      </c>
      <c r="P161">
        <v>38490513.513513513</v>
      </c>
      <c r="Q161">
        <v>26805945.945945948</v>
      </c>
      <c r="R161">
        <v>22093873.873873875</v>
      </c>
      <c r="S161">
        <v>2839</v>
      </c>
      <c r="T161">
        <v>2810</v>
      </c>
    </row>
    <row r="162" spans="1:20" x14ac:dyDescent="0.35">
      <c r="A162" s="7" t="s">
        <v>254</v>
      </c>
      <c r="B162" s="12" t="s">
        <v>106</v>
      </c>
      <c r="C162">
        <v>258562428.66246417</v>
      </c>
      <c r="D162">
        <v>270145979.4716081</v>
      </c>
      <c r="E162">
        <v>89949389.189189196</v>
      </c>
      <c r="F162">
        <v>140848704.5045045</v>
      </c>
      <c r="G162">
        <v>79</v>
      </c>
      <c r="H162">
        <v>51</v>
      </c>
      <c r="K162">
        <v>169</v>
      </c>
      <c r="L162">
        <v>74</v>
      </c>
      <c r="M162">
        <v>40121981.981981985</v>
      </c>
      <c r="N162">
        <v>58955945.945945941</v>
      </c>
      <c r="O162">
        <v>73820162.162162155</v>
      </c>
      <c r="P162">
        <v>80650540.540540546</v>
      </c>
      <c r="Q162">
        <v>40912972.972972967</v>
      </c>
      <c r="R162">
        <v>58660180.180180177</v>
      </c>
      <c r="S162">
        <v>5457</v>
      </c>
      <c r="T162">
        <v>5296</v>
      </c>
    </row>
    <row r="163" spans="1:20" x14ac:dyDescent="0.35">
      <c r="A163" s="7" t="s">
        <v>255</v>
      </c>
      <c r="B163" s="12" t="s">
        <v>106</v>
      </c>
      <c r="C163">
        <v>164881248.19602412</v>
      </c>
      <c r="D163">
        <v>157243642.34154087</v>
      </c>
      <c r="E163">
        <v>1754054.0540540561</v>
      </c>
      <c r="F163">
        <v>1254954.954954955</v>
      </c>
      <c r="G163">
        <v>16</v>
      </c>
      <c r="H163">
        <v>24</v>
      </c>
      <c r="K163">
        <v>20</v>
      </c>
      <c r="L163">
        <v>28</v>
      </c>
      <c r="M163">
        <v>14954414.414414415</v>
      </c>
      <c r="N163">
        <v>11791891.891891891</v>
      </c>
      <c r="O163">
        <v>51059171.171171166</v>
      </c>
      <c r="P163">
        <v>53621567.567567565</v>
      </c>
      <c r="Q163">
        <v>12293063.063063065</v>
      </c>
      <c r="R163">
        <v>10614594.594594594</v>
      </c>
      <c r="S163">
        <v>3825</v>
      </c>
      <c r="T163">
        <v>3870</v>
      </c>
    </row>
    <row r="164" spans="1:20" x14ac:dyDescent="0.35">
      <c r="A164" s="7" t="s">
        <v>256</v>
      </c>
      <c r="B164" s="12" t="s">
        <v>106</v>
      </c>
      <c r="C164">
        <v>142814705.57586038</v>
      </c>
      <c r="D164">
        <v>154936104.56977153</v>
      </c>
      <c r="E164">
        <v>121621.62162162201</v>
      </c>
      <c r="F164">
        <v>69369.369369370004</v>
      </c>
      <c r="G164">
        <v>21</v>
      </c>
      <c r="H164">
        <v>16</v>
      </c>
      <c r="I164">
        <v>4</v>
      </c>
      <c r="K164">
        <v>25</v>
      </c>
      <c r="L164">
        <v>17</v>
      </c>
      <c r="M164">
        <v>2373873.8738738741</v>
      </c>
      <c r="N164">
        <v>1195495.4954954961</v>
      </c>
      <c r="O164">
        <v>30704475.675675675</v>
      </c>
      <c r="P164">
        <v>36587576.576576576</v>
      </c>
      <c r="Q164">
        <v>1892072.072072072</v>
      </c>
      <c r="R164">
        <v>1222162.1621621619</v>
      </c>
      <c r="S164">
        <v>2083</v>
      </c>
      <c r="T164">
        <v>2116</v>
      </c>
    </row>
    <row r="165" spans="1:20" x14ac:dyDescent="0.35">
      <c r="A165" s="7" t="s">
        <v>257</v>
      </c>
      <c r="B165" s="12" t="s">
        <v>135</v>
      </c>
      <c r="C165">
        <v>217413349.84403735</v>
      </c>
      <c r="D165">
        <v>235117861.57652783</v>
      </c>
      <c r="E165">
        <v>738738.73873873905</v>
      </c>
      <c r="F165">
        <v>621621.62162162096</v>
      </c>
      <c r="G165">
        <v>20</v>
      </c>
      <c r="H165">
        <v>13</v>
      </c>
      <c r="K165">
        <v>20</v>
      </c>
      <c r="L165">
        <v>15</v>
      </c>
      <c r="M165">
        <v>3360360.3603603598</v>
      </c>
      <c r="N165">
        <v>4540540.5405405397</v>
      </c>
      <c r="O165">
        <v>15119126.126126124</v>
      </c>
      <c r="P165">
        <v>23087783.783783782</v>
      </c>
      <c r="Q165">
        <v>4125495.4954954959</v>
      </c>
      <c r="R165">
        <v>4170000</v>
      </c>
      <c r="S165">
        <v>4145</v>
      </c>
      <c r="T165">
        <v>4222</v>
      </c>
    </row>
    <row r="166" spans="1:20" x14ac:dyDescent="0.35">
      <c r="A166" s="7" t="s">
        <v>258</v>
      </c>
      <c r="B166" s="12" t="s">
        <v>168</v>
      </c>
      <c r="C166">
        <v>74502016.588944718</v>
      </c>
      <c r="D166">
        <v>88215189.983351409</v>
      </c>
      <c r="E166">
        <v>1171171.1711711709</v>
      </c>
      <c r="G166">
        <v>19</v>
      </c>
      <c r="H166">
        <v>4</v>
      </c>
      <c r="K166">
        <v>23</v>
      </c>
      <c r="L166">
        <v>4</v>
      </c>
      <c r="M166">
        <v>4375467.5675675673</v>
      </c>
      <c r="N166">
        <v>4199099.0990991006</v>
      </c>
      <c r="O166">
        <v>25646543.243243244</v>
      </c>
      <c r="P166">
        <v>34128711.711711712</v>
      </c>
      <c r="Q166">
        <v>4105495.4954954949</v>
      </c>
      <c r="R166">
        <v>4896396.3963963976</v>
      </c>
      <c r="S166">
        <v>2453</v>
      </c>
      <c r="T166">
        <v>2529</v>
      </c>
    </row>
    <row r="167" spans="1:20" x14ac:dyDescent="0.35">
      <c r="A167" s="7" t="s">
        <v>259</v>
      </c>
      <c r="B167" s="12" t="s">
        <v>61</v>
      </c>
      <c r="C167">
        <v>29761546.96436464</v>
      </c>
      <c r="D167">
        <v>30885676.495557047</v>
      </c>
      <c r="E167">
        <v>265765.76576576702</v>
      </c>
      <c r="F167">
        <v>330180.18018018</v>
      </c>
      <c r="G167">
        <v>16</v>
      </c>
      <c r="H167">
        <v>4</v>
      </c>
      <c r="I167">
        <v>3</v>
      </c>
      <c r="K167">
        <v>22</v>
      </c>
      <c r="L167">
        <v>8</v>
      </c>
      <c r="M167">
        <v>7103603.6036036042</v>
      </c>
      <c r="N167">
        <v>7897747.7477477472</v>
      </c>
      <c r="O167">
        <v>10418054.054054054</v>
      </c>
      <c r="P167">
        <v>11086396.396396397</v>
      </c>
      <c r="Q167">
        <v>7006756.7567567574</v>
      </c>
      <c r="R167">
        <v>6949279.2792792777</v>
      </c>
      <c r="S167">
        <v>628</v>
      </c>
      <c r="T167">
        <v>647</v>
      </c>
    </row>
    <row r="168" spans="1:20" x14ac:dyDescent="0.35">
      <c r="A168" s="7" t="s">
        <v>260</v>
      </c>
      <c r="B168" s="12" t="s">
        <v>261</v>
      </c>
      <c r="C168">
        <v>18530648.00881752</v>
      </c>
      <c r="D168">
        <v>19065115.21245401</v>
      </c>
      <c r="E168">
        <v>78433333.333333328</v>
      </c>
      <c r="F168">
        <v>30680180.180180181</v>
      </c>
      <c r="G168">
        <v>5</v>
      </c>
      <c r="H168">
        <v>1</v>
      </c>
      <c r="K168">
        <v>6</v>
      </c>
      <c r="L168">
        <v>1</v>
      </c>
      <c r="M168">
        <v>5337837.8378378376</v>
      </c>
      <c r="N168">
        <v>2266666.666666667</v>
      </c>
      <c r="O168">
        <v>3198045.0450450452</v>
      </c>
      <c r="P168">
        <v>4696108.1081081089</v>
      </c>
      <c r="Q168">
        <v>1760180.1801801799</v>
      </c>
      <c r="R168">
        <v>920090.09009008994</v>
      </c>
      <c r="S168">
        <v>510</v>
      </c>
      <c r="T168">
        <v>609</v>
      </c>
    </row>
    <row r="169" spans="1:20" x14ac:dyDescent="0.35">
      <c r="A169" s="7" t="s">
        <v>262</v>
      </c>
      <c r="B169" s="12" t="s">
        <v>61</v>
      </c>
      <c r="C169">
        <v>283530759.85755998</v>
      </c>
      <c r="D169">
        <v>281547326.12226737</v>
      </c>
      <c r="E169">
        <v>234612141.44144145</v>
      </c>
      <c r="F169">
        <v>594514870.27027023</v>
      </c>
      <c r="G169">
        <v>222</v>
      </c>
      <c r="H169">
        <v>168</v>
      </c>
      <c r="K169">
        <v>299</v>
      </c>
      <c r="L169">
        <v>295</v>
      </c>
      <c r="M169">
        <v>59318018.018018015</v>
      </c>
      <c r="N169">
        <v>80862656.756756753</v>
      </c>
      <c r="O169">
        <v>103831304.05405405</v>
      </c>
      <c r="P169">
        <v>103018171.17117117</v>
      </c>
      <c r="Q169">
        <v>68048558.558558553</v>
      </c>
      <c r="R169">
        <v>74162252.252252251</v>
      </c>
      <c r="S169">
        <v>6140</v>
      </c>
      <c r="T169">
        <v>6389</v>
      </c>
    </row>
    <row r="170" spans="1:20" x14ac:dyDescent="0.35">
      <c r="A170" s="7" t="s">
        <v>263</v>
      </c>
      <c r="B170" s="12" t="s">
        <v>124</v>
      </c>
      <c r="C170">
        <v>219001282.80534649</v>
      </c>
      <c r="D170">
        <v>206493492.89474291</v>
      </c>
      <c r="E170">
        <v>145745945.94594595</v>
      </c>
      <c r="F170">
        <v>292780180.18018013</v>
      </c>
      <c r="G170">
        <v>46</v>
      </c>
      <c r="H170">
        <v>51</v>
      </c>
      <c r="I170">
        <v>1</v>
      </c>
      <c r="K170">
        <v>62</v>
      </c>
      <c r="L170">
        <v>61</v>
      </c>
      <c r="M170">
        <v>16609279.27927928</v>
      </c>
      <c r="N170">
        <v>14055405.405405408</v>
      </c>
      <c r="O170">
        <v>85860468.468468457</v>
      </c>
      <c r="P170">
        <v>83333171.171171173</v>
      </c>
      <c r="Q170">
        <v>12969729.729729729</v>
      </c>
      <c r="R170">
        <v>14980810.81081081</v>
      </c>
      <c r="S170">
        <v>5581</v>
      </c>
      <c r="T170">
        <v>5545</v>
      </c>
    </row>
    <row r="171" spans="1:20" x14ac:dyDescent="0.35">
      <c r="A171" s="7" t="s">
        <v>264</v>
      </c>
      <c r="B171" s="12" t="s">
        <v>124</v>
      </c>
      <c r="C171">
        <v>92748913.822977856</v>
      </c>
      <c r="D171">
        <v>98629888.386958614</v>
      </c>
      <c r="E171">
        <v>1501126.1261261259</v>
      </c>
      <c r="F171">
        <v>2158108.1081081098</v>
      </c>
      <c r="G171">
        <v>29</v>
      </c>
      <c r="H171">
        <v>65</v>
      </c>
      <c r="I171">
        <v>1</v>
      </c>
      <c r="K171">
        <v>137</v>
      </c>
      <c r="L171">
        <v>77</v>
      </c>
      <c r="M171">
        <v>26226036.036036033</v>
      </c>
      <c r="N171">
        <v>24132882.882882878</v>
      </c>
      <c r="O171">
        <v>38505711.711711712</v>
      </c>
      <c r="P171">
        <v>42324792.79279279</v>
      </c>
      <c r="Q171">
        <v>25432252.252252247</v>
      </c>
      <c r="R171">
        <v>20397477.47747748</v>
      </c>
      <c r="S171">
        <v>2308</v>
      </c>
      <c r="T171">
        <v>2260</v>
      </c>
    </row>
    <row r="172" spans="1:20" x14ac:dyDescent="0.35">
      <c r="A172" s="7" t="s">
        <v>265</v>
      </c>
      <c r="B172" s="12" t="s">
        <v>126</v>
      </c>
      <c r="C172">
        <v>233997025.7990222</v>
      </c>
      <c r="D172">
        <v>243232135.34628004</v>
      </c>
      <c r="E172">
        <v>2299549.5495495498</v>
      </c>
      <c r="F172">
        <v>2785135.1351351398</v>
      </c>
      <c r="G172">
        <v>67</v>
      </c>
      <c r="H172">
        <v>30</v>
      </c>
      <c r="K172">
        <v>67</v>
      </c>
      <c r="L172">
        <v>32</v>
      </c>
      <c r="M172">
        <v>19431531.531531531</v>
      </c>
      <c r="N172">
        <v>25280630.630630627</v>
      </c>
      <c r="O172">
        <v>85164554.954954967</v>
      </c>
      <c r="P172">
        <v>85404819.819819823</v>
      </c>
      <c r="Q172">
        <v>20600223.423423424</v>
      </c>
      <c r="R172">
        <v>20278648.648648649</v>
      </c>
      <c r="S172">
        <v>4428</v>
      </c>
      <c r="T172">
        <v>4486</v>
      </c>
    </row>
    <row r="173" spans="1:20" x14ac:dyDescent="0.35">
      <c r="A173" s="7" t="s">
        <v>266</v>
      </c>
      <c r="B173" s="12" t="s">
        <v>124</v>
      </c>
      <c r="C173">
        <v>223570989.45304307</v>
      </c>
      <c r="D173">
        <v>226401088.99363342</v>
      </c>
      <c r="E173">
        <v>1614414.4144144161</v>
      </c>
      <c r="F173">
        <v>1812612.612612613</v>
      </c>
      <c r="G173">
        <v>28</v>
      </c>
      <c r="H173">
        <v>38</v>
      </c>
      <c r="K173">
        <v>31</v>
      </c>
      <c r="L173">
        <v>41</v>
      </c>
      <c r="M173">
        <v>21373333.333333336</v>
      </c>
      <c r="N173">
        <v>28147207.207207207</v>
      </c>
      <c r="O173">
        <v>78801915.315315306</v>
      </c>
      <c r="P173">
        <v>86327754.954954967</v>
      </c>
      <c r="Q173">
        <v>20548738.738738742</v>
      </c>
      <c r="R173">
        <v>28812972.97297297</v>
      </c>
      <c r="S173">
        <v>4756</v>
      </c>
      <c r="T173">
        <v>4695</v>
      </c>
    </row>
    <row r="174" spans="1:20" x14ac:dyDescent="0.35">
      <c r="A174" s="7" t="s">
        <v>267</v>
      </c>
      <c r="B174" s="12" t="s">
        <v>124</v>
      </c>
      <c r="C174">
        <v>234947941.79700348</v>
      </c>
      <c r="D174">
        <v>241272992.67813289</v>
      </c>
      <c r="E174">
        <v>2524774.7747747749</v>
      </c>
      <c r="F174">
        <v>2091441.441441447</v>
      </c>
      <c r="G174">
        <v>48</v>
      </c>
      <c r="H174">
        <v>48</v>
      </c>
      <c r="K174">
        <v>50</v>
      </c>
      <c r="L174">
        <v>56</v>
      </c>
      <c r="M174">
        <v>25949729.729729731</v>
      </c>
      <c r="N174">
        <v>27664324.324324325</v>
      </c>
      <c r="O174">
        <v>95778529.729729727</v>
      </c>
      <c r="P174">
        <v>94522223.423423424</v>
      </c>
      <c r="Q174">
        <v>25029459.459459458</v>
      </c>
      <c r="R174">
        <v>26660180.180180181</v>
      </c>
      <c r="S174">
        <v>5852</v>
      </c>
      <c r="T174">
        <v>5471</v>
      </c>
    </row>
    <row r="175" spans="1:20" x14ac:dyDescent="0.35">
      <c r="A175" s="7" t="s">
        <v>268</v>
      </c>
      <c r="B175" s="12" t="s">
        <v>179</v>
      </c>
      <c r="C175">
        <v>1185675901.5582423</v>
      </c>
      <c r="D175">
        <v>1194013633.1326826</v>
      </c>
      <c r="E175">
        <v>984971127.02702713</v>
      </c>
      <c r="F175">
        <v>570229578.37837839</v>
      </c>
      <c r="G175">
        <v>585</v>
      </c>
      <c r="H175">
        <v>282</v>
      </c>
      <c r="I175">
        <v>1</v>
      </c>
      <c r="K175">
        <v>1087</v>
      </c>
      <c r="L175">
        <v>417</v>
      </c>
      <c r="M175">
        <v>165042545.94594595</v>
      </c>
      <c r="N175">
        <v>183385360.36036035</v>
      </c>
      <c r="O175">
        <v>360601218.91891891</v>
      </c>
      <c r="P175">
        <v>384323645.04504508</v>
      </c>
      <c r="Q175">
        <v>152658918.91891891</v>
      </c>
      <c r="R175">
        <v>168998063.06306309</v>
      </c>
      <c r="S175">
        <v>33674</v>
      </c>
      <c r="T175">
        <v>37718</v>
      </c>
    </row>
    <row r="176" spans="1:20" x14ac:dyDescent="0.35">
      <c r="A176" s="7" t="s">
        <v>269</v>
      </c>
      <c r="B176" s="12" t="s">
        <v>63</v>
      </c>
      <c r="C176">
        <v>193778111.68880531</v>
      </c>
      <c r="D176">
        <v>204760881.34645408</v>
      </c>
      <c r="E176">
        <v>4615315.3153153192</v>
      </c>
      <c r="F176">
        <v>4228018.0180180203</v>
      </c>
      <c r="G176">
        <v>62</v>
      </c>
      <c r="H176">
        <v>137</v>
      </c>
      <c r="K176">
        <v>70</v>
      </c>
      <c r="L176">
        <v>230</v>
      </c>
      <c r="M176">
        <v>69479369.369369373</v>
      </c>
      <c r="N176">
        <v>33056306.306306306</v>
      </c>
      <c r="O176">
        <v>62515675.675675675</v>
      </c>
      <c r="P176">
        <v>74913448.648648649</v>
      </c>
      <c r="Q176">
        <v>56665135.135135129</v>
      </c>
      <c r="R176">
        <v>43373243.24324324</v>
      </c>
      <c r="S176">
        <v>4707</v>
      </c>
      <c r="T176">
        <v>4929</v>
      </c>
    </row>
    <row r="177" spans="1:20" x14ac:dyDescent="0.35">
      <c r="A177" s="7" t="s">
        <v>270</v>
      </c>
      <c r="B177" s="12" t="s">
        <v>71</v>
      </c>
      <c r="C177">
        <v>251512304.89992785</v>
      </c>
      <c r="D177">
        <v>242139483.12001857</v>
      </c>
      <c r="E177">
        <v>3144054.0540540591</v>
      </c>
      <c r="F177">
        <v>10533333.333333336</v>
      </c>
      <c r="G177">
        <v>84</v>
      </c>
      <c r="H177">
        <v>94</v>
      </c>
      <c r="K177">
        <v>160</v>
      </c>
      <c r="L177">
        <v>126</v>
      </c>
      <c r="M177">
        <v>23114414.414414417</v>
      </c>
      <c r="N177">
        <v>49589856.75675676</v>
      </c>
      <c r="O177">
        <v>114150882.88288288</v>
      </c>
      <c r="P177">
        <v>117248036.03603603</v>
      </c>
      <c r="Q177">
        <v>20663963.963963967</v>
      </c>
      <c r="R177">
        <v>40241621.621621616</v>
      </c>
      <c r="S177">
        <v>6856</v>
      </c>
      <c r="T177">
        <v>6937</v>
      </c>
    </row>
    <row r="178" spans="1:20" x14ac:dyDescent="0.35">
      <c r="A178" s="7" t="s">
        <v>271</v>
      </c>
      <c r="B178" s="12" t="s">
        <v>135</v>
      </c>
      <c r="C178">
        <v>3827921.6118001812</v>
      </c>
      <c r="D178">
        <v>3977380.7413825579</v>
      </c>
      <c r="E178">
        <v>13963963.963963963</v>
      </c>
      <c r="F178">
        <v>21621621.621621624</v>
      </c>
      <c r="O178">
        <v>238378.37837837799</v>
      </c>
      <c r="P178">
        <v>271711.71171171201</v>
      </c>
      <c r="S178">
        <v>222</v>
      </c>
      <c r="T178">
        <v>225</v>
      </c>
    </row>
    <row r="179" spans="1:20" x14ac:dyDescent="0.35">
      <c r="A179" s="7" t="s">
        <v>272</v>
      </c>
      <c r="B179" s="12" t="s">
        <v>77</v>
      </c>
      <c r="C179">
        <v>119614203.92996095</v>
      </c>
      <c r="D179">
        <v>107303656.97899906</v>
      </c>
      <c r="E179">
        <v>67567.567567567996</v>
      </c>
      <c r="F179">
        <v>470270.27027027</v>
      </c>
      <c r="G179">
        <v>16</v>
      </c>
      <c r="H179">
        <v>18</v>
      </c>
      <c r="K179">
        <v>18</v>
      </c>
      <c r="L179">
        <v>19</v>
      </c>
      <c r="M179">
        <v>157657.65765765801</v>
      </c>
      <c r="N179">
        <v>677477.47747747705</v>
      </c>
      <c r="O179">
        <v>7251121.6216216218</v>
      </c>
      <c r="P179">
        <v>8774837.8378378376</v>
      </c>
      <c r="Q179">
        <v>210360.36036036001</v>
      </c>
      <c r="R179">
        <v>502792.79279279301</v>
      </c>
      <c r="S179">
        <v>2467</v>
      </c>
      <c r="T179">
        <v>2494</v>
      </c>
    </row>
    <row r="180" spans="1:20" x14ac:dyDescent="0.35">
      <c r="A180" s="7" t="s">
        <v>273</v>
      </c>
      <c r="B180" s="12" t="s">
        <v>77</v>
      </c>
      <c r="C180">
        <v>40343179.781241685</v>
      </c>
      <c r="D180">
        <v>46300456.428783089</v>
      </c>
      <c r="E180">
        <v>150450.450450451</v>
      </c>
      <c r="F180">
        <v>224324.324324324</v>
      </c>
      <c r="G180">
        <v>3</v>
      </c>
      <c r="H180">
        <v>13</v>
      </c>
      <c r="K180">
        <v>4</v>
      </c>
      <c r="L180">
        <v>14</v>
      </c>
      <c r="M180">
        <v>10073153.153153151</v>
      </c>
      <c r="N180">
        <v>9881981.9819819797</v>
      </c>
      <c r="O180">
        <v>10544423.423423424</v>
      </c>
      <c r="P180">
        <v>14498061.26126126</v>
      </c>
      <c r="Q180">
        <v>8378648.6486486467</v>
      </c>
      <c r="R180">
        <v>10095045.045045046</v>
      </c>
      <c r="S180">
        <v>763</v>
      </c>
      <c r="T180">
        <v>801</v>
      </c>
    </row>
    <row r="181" spans="1:20" x14ac:dyDescent="0.35">
      <c r="A181" s="7" t="s">
        <v>274</v>
      </c>
      <c r="B181" s="12" t="s">
        <v>261</v>
      </c>
      <c r="C181">
        <v>841729795.22884834</v>
      </c>
      <c r="D181">
        <v>889140464.92205095</v>
      </c>
      <c r="E181">
        <v>9407207.2072072104</v>
      </c>
      <c r="F181">
        <v>10717117.117117126</v>
      </c>
      <c r="G181">
        <v>236</v>
      </c>
      <c r="H181">
        <v>334</v>
      </c>
      <c r="K181">
        <v>333</v>
      </c>
      <c r="L181">
        <v>557</v>
      </c>
      <c r="M181">
        <v>168612612.61261261</v>
      </c>
      <c r="N181">
        <v>215738018.01801801</v>
      </c>
      <c r="O181">
        <v>258789950.45045045</v>
      </c>
      <c r="P181">
        <v>295416288.28828824</v>
      </c>
      <c r="Q181">
        <v>150596936.93693691</v>
      </c>
      <c r="R181">
        <v>195985225.22522521</v>
      </c>
      <c r="S181">
        <v>18866</v>
      </c>
      <c r="T181">
        <v>19176</v>
      </c>
    </row>
    <row r="182" spans="1:20" x14ac:dyDescent="0.35">
      <c r="A182" s="7" t="s">
        <v>275</v>
      </c>
      <c r="B182" s="12" t="s">
        <v>261</v>
      </c>
      <c r="C182">
        <v>184369540.4613637</v>
      </c>
      <c r="D182">
        <v>179996310.99965832</v>
      </c>
      <c r="E182">
        <v>1282207.2072072099</v>
      </c>
      <c r="F182">
        <v>480180.18018018402</v>
      </c>
      <c r="G182">
        <v>9</v>
      </c>
      <c r="H182">
        <v>30</v>
      </c>
      <c r="K182">
        <v>12</v>
      </c>
      <c r="L182">
        <v>32</v>
      </c>
      <c r="M182">
        <v>14069819.819819819</v>
      </c>
      <c r="N182">
        <v>15654054.054054054</v>
      </c>
      <c r="O182">
        <v>37507729.729729727</v>
      </c>
      <c r="P182">
        <v>42570135.135135137</v>
      </c>
      <c r="Q182">
        <v>11718918.918918919</v>
      </c>
      <c r="R182">
        <v>12798872.072072072</v>
      </c>
      <c r="S182">
        <v>3830</v>
      </c>
      <c r="T182">
        <v>3826</v>
      </c>
    </row>
    <row r="183" spans="1:20" x14ac:dyDescent="0.35">
      <c r="A183" s="7" t="s">
        <v>276</v>
      </c>
      <c r="B183" s="12" t="s">
        <v>261</v>
      </c>
      <c r="C183">
        <v>205764674.49358684</v>
      </c>
      <c r="D183">
        <v>246768208.92495659</v>
      </c>
      <c r="E183">
        <v>5329369.3693693699</v>
      </c>
      <c r="F183">
        <v>7917976.5765765812</v>
      </c>
      <c r="G183">
        <v>22</v>
      </c>
      <c r="H183">
        <v>45</v>
      </c>
      <c r="K183">
        <v>27</v>
      </c>
      <c r="L183">
        <v>48</v>
      </c>
      <c r="M183">
        <v>42360360.360360362</v>
      </c>
      <c r="N183">
        <v>26377291.891891897</v>
      </c>
      <c r="O183">
        <v>46057909.909909904</v>
      </c>
      <c r="P183">
        <v>67000574.774774775</v>
      </c>
      <c r="Q183">
        <v>39703783.783783786</v>
      </c>
      <c r="R183">
        <v>21986396.396396391</v>
      </c>
      <c r="S183">
        <v>5942</v>
      </c>
      <c r="T183">
        <v>5976</v>
      </c>
    </row>
    <row r="184" spans="1:20" x14ac:dyDescent="0.35">
      <c r="A184" s="7" t="s">
        <v>277</v>
      </c>
      <c r="B184" s="12" t="s">
        <v>135</v>
      </c>
      <c r="C184">
        <v>260612789.64101097</v>
      </c>
      <c r="D184">
        <v>281532805.94502449</v>
      </c>
      <c r="E184">
        <v>328828.82882883103</v>
      </c>
      <c r="F184">
        <v>396396.39639639697</v>
      </c>
      <c r="G184">
        <v>56</v>
      </c>
      <c r="H184">
        <v>25</v>
      </c>
      <c r="K184">
        <v>64</v>
      </c>
      <c r="L184">
        <v>25</v>
      </c>
      <c r="M184">
        <v>14292792.792792793</v>
      </c>
      <c r="N184">
        <v>14360360.36036036</v>
      </c>
      <c r="O184">
        <v>21853527.02702703</v>
      </c>
      <c r="P184">
        <v>29651160.360360362</v>
      </c>
      <c r="Q184">
        <v>5774324.3243243238</v>
      </c>
      <c r="R184">
        <v>6704864.8648648653</v>
      </c>
      <c r="S184">
        <v>5376</v>
      </c>
      <c r="T184">
        <v>6148</v>
      </c>
    </row>
    <row r="185" spans="1:20" x14ac:dyDescent="0.35">
      <c r="A185" s="7" t="s">
        <v>663</v>
      </c>
      <c r="B185" s="12" t="s">
        <v>88</v>
      </c>
      <c r="M185">
        <v>837837.83783783799</v>
      </c>
      <c r="N185">
        <v>1540540.5405405411</v>
      </c>
    </row>
    <row r="186" spans="1:20" x14ac:dyDescent="0.35">
      <c r="A186" s="7" t="s">
        <v>278</v>
      </c>
      <c r="B186" s="12" t="s">
        <v>170</v>
      </c>
      <c r="C186">
        <v>157029316.34450835</v>
      </c>
      <c r="D186">
        <v>143794594.95181522</v>
      </c>
      <c r="E186">
        <v>557657.65765765798</v>
      </c>
      <c r="F186">
        <v>2660360.360360363</v>
      </c>
      <c r="G186">
        <v>29</v>
      </c>
      <c r="H186">
        <v>12</v>
      </c>
      <c r="K186">
        <v>31</v>
      </c>
      <c r="L186">
        <v>13</v>
      </c>
      <c r="M186">
        <v>12307657.657657659</v>
      </c>
      <c r="N186">
        <v>10245945.945945948</v>
      </c>
      <c r="O186">
        <v>70733952.702702701</v>
      </c>
      <c r="P186">
        <v>66864800</v>
      </c>
      <c r="Q186">
        <v>9861441.4414414391</v>
      </c>
      <c r="R186">
        <v>8766846.8468468469</v>
      </c>
      <c r="S186">
        <v>3243</v>
      </c>
      <c r="T186">
        <v>3500</v>
      </c>
    </row>
    <row r="187" spans="1:20" x14ac:dyDescent="0.35">
      <c r="A187" s="7" t="s">
        <v>279</v>
      </c>
      <c r="B187" s="12" t="s">
        <v>170</v>
      </c>
      <c r="C187">
        <v>88954542.994997501</v>
      </c>
      <c r="D187">
        <v>86002561.129913658</v>
      </c>
      <c r="E187">
        <v>30630.630630631</v>
      </c>
      <c r="F187">
        <v>6306.3063063059999</v>
      </c>
      <c r="G187">
        <v>12</v>
      </c>
      <c r="H187">
        <v>41</v>
      </c>
      <c r="K187">
        <v>13</v>
      </c>
      <c r="L187">
        <v>42</v>
      </c>
      <c r="M187">
        <v>6640202.702702703</v>
      </c>
      <c r="N187">
        <v>3970270.2702702698</v>
      </c>
      <c r="O187">
        <v>39244031.531531528</v>
      </c>
      <c r="P187">
        <v>45361270.270270273</v>
      </c>
      <c r="Q187">
        <v>5252072.072072072</v>
      </c>
      <c r="R187">
        <v>4768648.6486486495</v>
      </c>
      <c r="S187">
        <v>2093</v>
      </c>
      <c r="T187">
        <v>2031</v>
      </c>
    </row>
    <row r="188" spans="1:20" x14ac:dyDescent="0.35">
      <c r="A188" s="7" t="s">
        <v>280</v>
      </c>
      <c r="B188" s="12" t="s">
        <v>88</v>
      </c>
      <c r="C188">
        <v>2107986.438301194</v>
      </c>
      <c r="D188">
        <v>2340310.8392850449</v>
      </c>
      <c r="G188">
        <v>4</v>
      </c>
      <c r="K188">
        <v>4</v>
      </c>
      <c r="O188">
        <v>753432.43243243196</v>
      </c>
      <c r="P188">
        <v>1001126.126126126</v>
      </c>
      <c r="S188">
        <v>169</v>
      </c>
      <c r="T188">
        <v>154</v>
      </c>
    </row>
    <row r="189" spans="1:20" x14ac:dyDescent="0.35">
      <c r="A189" s="7" t="s">
        <v>281</v>
      </c>
      <c r="B189" s="12" t="s">
        <v>170</v>
      </c>
      <c r="C189">
        <v>151018945.39522049</v>
      </c>
      <c r="D189">
        <v>173508060.97680962</v>
      </c>
      <c r="E189">
        <v>638738.73873873998</v>
      </c>
      <c r="F189">
        <v>1322072.072072072</v>
      </c>
      <c r="G189">
        <v>38</v>
      </c>
      <c r="H189">
        <v>83</v>
      </c>
      <c r="K189">
        <v>40</v>
      </c>
      <c r="L189">
        <v>96</v>
      </c>
      <c r="M189">
        <v>20343963.963963963</v>
      </c>
      <c r="N189">
        <v>17548738.738738734</v>
      </c>
      <c r="O189">
        <v>62419360.360360362</v>
      </c>
      <c r="P189">
        <v>75460612.612612605</v>
      </c>
      <c r="Q189">
        <v>18129729.729729731</v>
      </c>
      <c r="R189">
        <v>17540000</v>
      </c>
      <c r="S189">
        <v>4086</v>
      </c>
      <c r="T189">
        <v>4448</v>
      </c>
    </row>
    <row r="190" spans="1:20" x14ac:dyDescent="0.35">
      <c r="A190" s="7" t="s">
        <v>282</v>
      </c>
      <c r="B190" s="12" t="s">
        <v>55</v>
      </c>
      <c r="C190">
        <v>113202578.73283532</v>
      </c>
      <c r="D190">
        <v>117698589.67929906</v>
      </c>
      <c r="E190">
        <v>1332432.4324324341</v>
      </c>
      <c r="F190">
        <v>1321621.6216216211</v>
      </c>
      <c r="G190">
        <v>42</v>
      </c>
      <c r="H190">
        <v>47</v>
      </c>
      <c r="K190">
        <v>49</v>
      </c>
      <c r="L190">
        <v>57</v>
      </c>
      <c r="M190">
        <v>12880180.180180177</v>
      </c>
      <c r="N190">
        <v>17900900.9009009</v>
      </c>
      <c r="O190">
        <v>24139531.531531531</v>
      </c>
      <c r="P190">
        <v>27438810.810810812</v>
      </c>
      <c r="Q190">
        <v>12284144.14414414</v>
      </c>
      <c r="R190">
        <v>15626756.75675676</v>
      </c>
      <c r="S190">
        <v>4349</v>
      </c>
      <c r="T190">
        <v>3810</v>
      </c>
    </row>
    <row r="191" spans="1:20" x14ac:dyDescent="0.35">
      <c r="A191" s="7" t="s">
        <v>283</v>
      </c>
      <c r="B191" s="12" t="s">
        <v>284</v>
      </c>
      <c r="C191">
        <v>151486499.92556301</v>
      </c>
      <c r="D191">
        <v>186948023.78681481</v>
      </c>
      <c r="E191">
        <v>313513.51351351402</v>
      </c>
      <c r="F191">
        <v>813513.51351351396</v>
      </c>
      <c r="G191">
        <v>42</v>
      </c>
      <c r="H191">
        <v>43</v>
      </c>
      <c r="K191">
        <v>67</v>
      </c>
      <c r="L191">
        <v>55</v>
      </c>
      <c r="M191">
        <v>7484684.6846846864</v>
      </c>
      <c r="N191">
        <v>6426126.1261261264</v>
      </c>
      <c r="O191">
        <v>24115801.801801801</v>
      </c>
      <c r="P191">
        <v>28741387.387387387</v>
      </c>
      <c r="Q191">
        <v>7875405.4054054059</v>
      </c>
      <c r="R191">
        <v>5707297.297297297</v>
      </c>
      <c r="S191">
        <v>3205</v>
      </c>
      <c r="T191">
        <v>3629</v>
      </c>
    </row>
    <row r="192" spans="1:20" x14ac:dyDescent="0.35">
      <c r="A192" s="7" t="s">
        <v>285</v>
      </c>
      <c r="B192" s="12" t="s">
        <v>284</v>
      </c>
      <c r="C192">
        <v>323284021.39407897</v>
      </c>
      <c r="D192">
        <v>326013509.27208674</v>
      </c>
      <c r="E192">
        <v>2488738.7387387441</v>
      </c>
      <c r="F192">
        <v>4438738.7387387408</v>
      </c>
      <c r="G192">
        <v>59</v>
      </c>
      <c r="H192">
        <v>208</v>
      </c>
      <c r="K192">
        <v>100</v>
      </c>
      <c r="L192">
        <v>335</v>
      </c>
      <c r="M192">
        <v>37407747.747747749</v>
      </c>
      <c r="N192">
        <v>49674774.774774775</v>
      </c>
      <c r="O192">
        <v>68005801.801801801</v>
      </c>
      <c r="P192">
        <v>72700306.306306303</v>
      </c>
      <c r="Q192">
        <v>33681621.621621624</v>
      </c>
      <c r="R192">
        <v>36170630.630630635</v>
      </c>
      <c r="S192">
        <v>8098</v>
      </c>
      <c r="T192">
        <v>8111</v>
      </c>
    </row>
    <row r="193" spans="1:20" x14ac:dyDescent="0.35">
      <c r="A193" s="7" t="s">
        <v>286</v>
      </c>
      <c r="B193" s="12" t="s">
        <v>284</v>
      </c>
      <c r="C193">
        <v>170324938.44062021</v>
      </c>
      <c r="D193">
        <v>181502715.05821911</v>
      </c>
      <c r="E193">
        <v>1333243.2432432461</v>
      </c>
      <c r="F193">
        <v>2196396.3963963981</v>
      </c>
      <c r="G193">
        <v>33</v>
      </c>
      <c r="H193">
        <v>44</v>
      </c>
      <c r="K193">
        <v>46</v>
      </c>
      <c r="L193">
        <v>73</v>
      </c>
      <c r="M193">
        <v>43965945.945945948</v>
      </c>
      <c r="N193">
        <v>55133513.513513513</v>
      </c>
      <c r="O193">
        <v>53099315.315315314</v>
      </c>
      <c r="P193">
        <v>58144720.720720723</v>
      </c>
      <c r="Q193">
        <v>37596306.306306303</v>
      </c>
      <c r="R193">
        <v>49553333.333333336</v>
      </c>
      <c r="S193">
        <v>4613</v>
      </c>
      <c r="T193">
        <v>4759</v>
      </c>
    </row>
    <row r="194" spans="1:20" x14ac:dyDescent="0.35">
      <c r="A194" s="7" t="s">
        <v>287</v>
      </c>
      <c r="B194" s="12" t="s">
        <v>284</v>
      </c>
      <c r="C194">
        <v>127114487.21627522</v>
      </c>
      <c r="D194">
        <v>135507782.45486939</v>
      </c>
      <c r="E194">
        <v>554954.95495495806</v>
      </c>
      <c r="F194">
        <v>709009.00900901004</v>
      </c>
      <c r="G194">
        <v>8</v>
      </c>
      <c r="H194">
        <v>8</v>
      </c>
      <c r="K194">
        <v>10</v>
      </c>
      <c r="L194">
        <v>9</v>
      </c>
      <c r="M194">
        <v>30356756.75675676</v>
      </c>
      <c r="N194">
        <v>12063063.063063065</v>
      </c>
      <c r="O194">
        <v>24581945.945945945</v>
      </c>
      <c r="P194">
        <v>27455315.315315317</v>
      </c>
      <c r="Q194">
        <v>30333963.963963963</v>
      </c>
      <c r="R194">
        <v>9208558.5585585572</v>
      </c>
      <c r="S194">
        <v>2474</v>
      </c>
      <c r="T194">
        <v>2543</v>
      </c>
    </row>
    <row r="195" spans="1:20" x14ac:dyDescent="0.35">
      <c r="A195" s="7" t="s">
        <v>288</v>
      </c>
      <c r="B195" s="12" t="s">
        <v>284</v>
      </c>
      <c r="C195">
        <v>64374109.097055197</v>
      </c>
      <c r="D195">
        <v>66720331.109041177</v>
      </c>
      <c r="E195">
        <v>454054.05405405699</v>
      </c>
      <c r="F195">
        <v>1240540.5405405411</v>
      </c>
      <c r="G195">
        <v>1</v>
      </c>
      <c r="H195">
        <v>1</v>
      </c>
      <c r="K195">
        <v>2</v>
      </c>
      <c r="L195">
        <v>1</v>
      </c>
      <c r="M195">
        <v>12400000</v>
      </c>
      <c r="N195">
        <v>12361261.261261262</v>
      </c>
      <c r="O195">
        <v>11407495.495495494</v>
      </c>
      <c r="P195">
        <v>14128702.702702705</v>
      </c>
      <c r="Q195">
        <v>12126936.936936935</v>
      </c>
      <c r="R195">
        <v>9246486.4864864871</v>
      </c>
      <c r="S195">
        <v>1373</v>
      </c>
      <c r="T195">
        <v>1517</v>
      </c>
    </row>
    <row r="196" spans="1:20" x14ac:dyDescent="0.35">
      <c r="A196" s="7" t="s">
        <v>289</v>
      </c>
      <c r="B196" s="12" t="s">
        <v>284</v>
      </c>
      <c r="C196">
        <v>10407119.897110682</v>
      </c>
      <c r="D196">
        <v>10430843.341637524</v>
      </c>
      <c r="E196">
        <v>212963001.8018018</v>
      </c>
      <c r="F196">
        <v>111824479.27927928</v>
      </c>
      <c r="M196">
        <v>38377811.711711712</v>
      </c>
      <c r="N196">
        <v>22646091.891891893</v>
      </c>
      <c r="O196">
        <v>1697126.1261261259</v>
      </c>
      <c r="P196">
        <v>2222828.8288288289</v>
      </c>
      <c r="Q196">
        <v>18274774.774774775</v>
      </c>
      <c r="R196">
        <v>6229729.7297297288</v>
      </c>
      <c r="S196">
        <v>302</v>
      </c>
      <c r="T196">
        <v>291</v>
      </c>
    </row>
    <row r="197" spans="1:20" x14ac:dyDescent="0.35">
      <c r="A197" s="7" t="s">
        <v>290</v>
      </c>
      <c r="B197" s="12" t="s">
        <v>291</v>
      </c>
      <c r="C197">
        <v>131923439.17592026</v>
      </c>
      <c r="D197">
        <v>134966495.55946735</v>
      </c>
      <c r="E197">
        <v>115315.31531531599</v>
      </c>
      <c r="F197">
        <v>117117.11711711901</v>
      </c>
      <c r="G197">
        <v>32</v>
      </c>
      <c r="H197">
        <v>14</v>
      </c>
      <c r="K197">
        <v>37</v>
      </c>
      <c r="L197">
        <v>17</v>
      </c>
      <c r="M197">
        <v>621621.62162162201</v>
      </c>
      <c r="N197">
        <v>1846846.8468468471</v>
      </c>
      <c r="O197">
        <v>12100623.423423424</v>
      </c>
      <c r="P197">
        <v>16048273.873873875</v>
      </c>
      <c r="Q197">
        <v>754594.59459459502</v>
      </c>
      <c r="R197">
        <v>1183783.7837837839</v>
      </c>
      <c r="S197">
        <v>4230</v>
      </c>
      <c r="T197">
        <v>4567</v>
      </c>
    </row>
    <row r="198" spans="1:20" x14ac:dyDescent="0.35">
      <c r="A198" s="7" t="s">
        <v>292</v>
      </c>
      <c r="B198" s="12" t="s">
        <v>148</v>
      </c>
      <c r="C198">
        <v>307188657.51414984</v>
      </c>
      <c r="D198">
        <v>279496384.83024782</v>
      </c>
      <c r="E198">
        <v>5247027.0270270286</v>
      </c>
      <c r="F198">
        <v>4093973.873873875</v>
      </c>
      <c r="G198">
        <v>76</v>
      </c>
      <c r="H198">
        <v>89</v>
      </c>
      <c r="K198">
        <v>90</v>
      </c>
      <c r="L198">
        <v>110</v>
      </c>
      <c r="M198">
        <v>127206181.98198198</v>
      </c>
      <c r="N198">
        <v>117275824.32432432</v>
      </c>
      <c r="O198">
        <v>121527936.93693694</v>
      </c>
      <c r="P198">
        <v>111581576.57657658</v>
      </c>
      <c r="Q198">
        <v>120497027.02702703</v>
      </c>
      <c r="R198">
        <v>116555045.04504503</v>
      </c>
      <c r="S198">
        <v>7883</v>
      </c>
      <c r="T198">
        <v>7463</v>
      </c>
    </row>
    <row r="199" spans="1:20" x14ac:dyDescent="0.35">
      <c r="A199" s="7" t="s">
        <v>293</v>
      </c>
      <c r="B199" s="12" t="s">
        <v>294</v>
      </c>
      <c r="C199">
        <v>145708269.82099485</v>
      </c>
      <c r="D199">
        <v>157232117.20496795</v>
      </c>
      <c r="E199">
        <v>1395495.4954954961</v>
      </c>
      <c r="F199">
        <v>4611261.261261262</v>
      </c>
      <c r="G199">
        <v>12</v>
      </c>
      <c r="H199">
        <v>5</v>
      </c>
      <c r="K199">
        <v>13</v>
      </c>
      <c r="L199">
        <v>12</v>
      </c>
      <c r="M199">
        <v>32969819.819819815</v>
      </c>
      <c r="N199">
        <v>36036216.216216214</v>
      </c>
      <c r="O199">
        <v>19834792.792792793</v>
      </c>
      <c r="P199">
        <v>21779540.540540539</v>
      </c>
      <c r="Q199">
        <v>34300450.45045045</v>
      </c>
      <c r="R199">
        <v>35838108.108108111</v>
      </c>
      <c r="S199">
        <v>3466</v>
      </c>
      <c r="T199">
        <v>3484</v>
      </c>
    </row>
    <row r="200" spans="1:20" x14ac:dyDescent="0.35">
      <c r="A200" s="7" t="s">
        <v>295</v>
      </c>
      <c r="B200" s="12" t="s">
        <v>291</v>
      </c>
      <c r="C200">
        <v>31604943.478042956</v>
      </c>
      <c r="D200">
        <v>36866999.30385612</v>
      </c>
      <c r="E200">
        <v>806306.30630630604</v>
      </c>
      <c r="F200">
        <v>774774.77477477503</v>
      </c>
      <c r="G200">
        <v>8</v>
      </c>
      <c r="H200">
        <v>6</v>
      </c>
      <c r="K200">
        <v>8</v>
      </c>
      <c r="L200">
        <v>8</v>
      </c>
      <c r="M200">
        <v>2654054.054054054</v>
      </c>
      <c r="N200">
        <v>1743243.243243244</v>
      </c>
      <c r="O200">
        <v>4693376.5765765756</v>
      </c>
      <c r="P200">
        <v>4302864.8648648653</v>
      </c>
      <c r="Q200">
        <v>1968108.1081081091</v>
      </c>
      <c r="R200">
        <v>1694774.774774774</v>
      </c>
      <c r="S200">
        <v>1691</v>
      </c>
      <c r="T200">
        <v>1230</v>
      </c>
    </row>
    <row r="201" spans="1:20" x14ac:dyDescent="0.35">
      <c r="A201" s="7" t="s">
        <v>664</v>
      </c>
      <c r="B201" s="12" t="s">
        <v>480</v>
      </c>
      <c r="E201">
        <v>114905913.51351352</v>
      </c>
      <c r="F201">
        <v>114485815.31531531</v>
      </c>
      <c r="M201">
        <v>4270184.6846846854</v>
      </c>
    </row>
    <row r="202" spans="1:20" x14ac:dyDescent="0.35">
      <c r="A202" s="7" t="s">
        <v>296</v>
      </c>
      <c r="B202" s="12" t="s">
        <v>53</v>
      </c>
      <c r="C202">
        <v>422129515.21288621</v>
      </c>
      <c r="D202">
        <v>433438659.27704173</v>
      </c>
      <c r="E202">
        <v>4759459.4594594641</v>
      </c>
      <c r="F202">
        <v>7479477.4774774816</v>
      </c>
      <c r="G202">
        <v>118</v>
      </c>
      <c r="H202">
        <v>177</v>
      </c>
      <c r="K202">
        <v>174</v>
      </c>
      <c r="L202">
        <v>298</v>
      </c>
      <c r="M202">
        <v>247940360.36036035</v>
      </c>
      <c r="N202">
        <v>85140738.738738731</v>
      </c>
      <c r="O202">
        <v>115170792.7927928</v>
      </c>
      <c r="P202">
        <v>119577972.97297297</v>
      </c>
      <c r="Q202">
        <v>254705135.13513514</v>
      </c>
      <c r="R202">
        <v>79582792.792792782</v>
      </c>
      <c r="S202">
        <v>11395</v>
      </c>
      <c r="T202">
        <v>11567</v>
      </c>
    </row>
    <row r="203" spans="1:20" x14ac:dyDescent="0.35">
      <c r="A203" s="7" t="s">
        <v>297</v>
      </c>
      <c r="B203" s="12" t="s">
        <v>170</v>
      </c>
      <c r="C203">
        <v>121514372.56795457</v>
      </c>
      <c r="D203">
        <v>141526131.51498353</v>
      </c>
      <c r="E203">
        <v>27027.027027028002</v>
      </c>
      <c r="F203">
        <v>90540.540540540998</v>
      </c>
      <c r="G203">
        <v>19</v>
      </c>
      <c r="H203">
        <v>9</v>
      </c>
      <c r="K203">
        <v>25</v>
      </c>
      <c r="L203">
        <v>9</v>
      </c>
      <c r="M203">
        <v>8765765.7657657657</v>
      </c>
      <c r="N203">
        <v>5108558.558558559</v>
      </c>
      <c r="O203">
        <v>28096567.567567568</v>
      </c>
      <c r="P203">
        <v>38156036.036036029</v>
      </c>
      <c r="Q203">
        <v>7091711.7117117122</v>
      </c>
      <c r="R203">
        <v>7483783.7837837841</v>
      </c>
      <c r="S203">
        <v>4529</v>
      </c>
      <c r="T203">
        <v>4457</v>
      </c>
    </row>
    <row r="204" spans="1:20" x14ac:dyDescent="0.35">
      <c r="A204" s="7" t="s">
        <v>298</v>
      </c>
      <c r="B204" s="12" t="s">
        <v>170</v>
      </c>
      <c r="C204">
        <v>165559770.34971705</v>
      </c>
      <c r="D204">
        <v>123802553.32270408</v>
      </c>
      <c r="E204">
        <v>694261.261261262</v>
      </c>
      <c r="F204">
        <v>71621.621621622005</v>
      </c>
      <c r="G204">
        <v>27</v>
      </c>
      <c r="H204">
        <v>17</v>
      </c>
      <c r="K204">
        <v>31</v>
      </c>
      <c r="L204">
        <v>21</v>
      </c>
      <c r="M204">
        <v>1829637342.3423424</v>
      </c>
      <c r="N204">
        <v>1824413963.963964</v>
      </c>
      <c r="O204">
        <v>59784243.24324324</v>
      </c>
      <c r="P204">
        <v>54308396.396396399</v>
      </c>
      <c r="Q204">
        <v>1825278641.4414415</v>
      </c>
      <c r="R204">
        <v>1817502868.4684684</v>
      </c>
      <c r="S204">
        <v>2881</v>
      </c>
      <c r="T204">
        <v>2772</v>
      </c>
    </row>
    <row r="205" spans="1:20" x14ac:dyDescent="0.35">
      <c r="A205" s="7" t="s">
        <v>299</v>
      </c>
      <c r="B205" s="12" t="s">
        <v>90</v>
      </c>
      <c r="C205">
        <v>480969625.19234812</v>
      </c>
      <c r="D205">
        <v>501408673.83006221</v>
      </c>
      <c r="E205">
        <v>7270136.0360360406</v>
      </c>
      <c r="F205">
        <v>2482882.8828828889</v>
      </c>
      <c r="G205">
        <v>93</v>
      </c>
      <c r="H205">
        <v>46</v>
      </c>
      <c r="I205">
        <v>2</v>
      </c>
      <c r="K205">
        <v>153</v>
      </c>
      <c r="L205">
        <v>58</v>
      </c>
      <c r="M205">
        <v>30448411.711711712</v>
      </c>
      <c r="N205">
        <v>579056396.3963964</v>
      </c>
      <c r="O205">
        <v>95159243.243243247</v>
      </c>
      <c r="P205">
        <v>107901576.57657658</v>
      </c>
      <c r="Q205">
        <v>29758738.738738742</v>
      </c>
      <c r="R205">
        <v>409387477.47747749</v>
      </c>
      <c r="S205">
        <v>11026</v>
      </c>
      <c r="T205">
        <v>11098</v>
      </c>
    </row>
    <row r="206" spans="1:20" x14ac:dyDescent="0.35">
      <c r="A206" s="7" t="s">
        <v>300</v>
      </c>
      <c r="B206" s="12" t="s">
        <v>135</v>
      </c>
      <c r="C206">
        <v>267943741.68323374</v>
      </c>
      <c r="D206">
        <v>301230961.22921246</v>
      </c>
      <c r="E206">
        <v>2029729.729729732</v>
      </c>
      <c r="F206">
        <v>2993693.6936936961</v>
      </c>
      <c r="G206">
        <v>63</v>
      </c>
      <c r="H206">
        <v>59</v>
      </c>
      <c r="K206">
        <v>84</v>
      </c>
      <c r="L206">
        <v>87</v>
      </c>
      <c r="M206">
        <v>18637837.837837838</v>
      </c>
      <c r="N206">
        <v>37732432.432432435</v>
      </c>
      <c r="O206">
        <v>32241198.198198196</v>
      </c>
      <c r="P206">
        <v>44206845.045045048</v>
      </c>
      <c r="Q206">
        <v>15907477.477477478</v>
      </c>
      <c r="R206">
        <v>30089549.54954955</v>
      </c>
      <c r="S206">
        <v>6941</v>
      </c>
      <c r="T206">
        <v>7185</v>
      </c>
    </row>
    <row r="207" spans="1:20" x14ac:dyDescent="0.35">
      <c r="A207" s="7" t="s">
        <v>301</v>
      </c>
      <c r="B207" s="12" t="s">
        <v>291</v>
      </c>
      <c r="C207">
        <v>183161630.24972135</v>
      </c>
      <c r="D207">
        <v>187683531.49798447</v>
      </c>
      <c r="E207">
        <v>2547747.7477477491</v>
      </c>
      <c r="F207">
        <v>2230630.6306306361</v>
      </c>
      <c r="G207">
        <v>61</v>
      </c>
      <c r="H207">
        <v>55</v>
      </c>
      <c r="K207">
        <v>71</v>
      </c>
      <c r="L207">
        <v>62</v>
      </c>
      <c r="M207">
        <v>14369369.369369371</v>
      </c>
      <c r="N207">
        <v>17978378.37837838</v>
      </c>
      <c r="O207">
        <v>25554543.243243244</v>
      </c>
      <c r="P207">
        <v>29904135.135135137</v>
      </c>
      <c r="Q207">
        <v>13699549.549549548</v>
      </c>
      <c r="R207">
        <v>22006486.486486487</v>
      </c>
      <c r="S207">
        <v>4364</v>
      </c>
      <c r="T207">
        <v>4517</v>
      </c>
    </row>
    <row r="208" spans="1:20" x14ac:dyDescent="0.35">
      <c r="A208" s="7" t="s">
        <v>302</v>
      </c>
      <c r="B208" s="12" t="s">
        <v>81</v>
      </c>
      <c r="C208">
        <v>269245047.17329413</v>
      </c>
      <c r="D208">
        <v>277571961.91534883</v>
      </c>
      <c r="E208">
        <v>4115990.9909909931</v>
      </c>
      <c r="F208">
        <v>5085585.5855855905</v>
      </c>
      <c r="G208">
        <v>49</v>
      </c>
      <c r="H208">
        <v>14</v>
      </c>
      <c r="I208">
        <v>5</v>
      </c>
      <c r="K208">
        <v>52</v>
      </c>
      <c r="L208">
        <v>22</v>
      </c>
      <c r="M208">
        <v>28817117.117117111</v>
      </c>
      <c r="N208">
        <v>32011718.918918919</v>
      </c>
      <c r="O208">
        <v>56186592.79279279</v>
      </c>
      <c r="P208">
        <v>63143954.954954952</v>
      </c>
      <c r="Q208">
        <v>24261621.62162162</v>
      </c>
      <c r="R208">
        <v>28261891.891891893</v>
      </c>
      <c r="S208">
        <v>5661</v>
      </c>
      <c r="T208">
        <v>5687</v>
      </c>
    </row>
    <row r="209" spans="1:20" x14ac:dyDescent="0.35">
      <c r="A209" s="7" t="s">
        <v>303</v>
      </c>
      <c r="B209" s="12" t="s">
        <v>73</v>
      </c>
      <c r="C209">
        <v>414531477.20397478</v>
      </c>
      <c r="D209">
        <v>440601703.06652319</v>
      </c>
      <c r="E209">
        <v>1285585.585585587</v>
      </c>
      <c r="F209">
        <v>867567.56756757305</v>
      </c>
      <c r="G209">
        <v>105</v>
      </c>
      <c r="H209">
        <v>49</v>
      </c>
      <c r="I209">
        <v>2</v>
      </c>
      <c r="K209">
        <v>115</v>
      </c>
      <c r="L209">
        <v>57</v>
      </c>
      <c r="M209">
        <v>20963063.063063063</v>
      </c>
      <c r="N209">
        <v>39696396.396396399</v>
      </c>
      <c r="O209">
        <v>62608819.819819815</v>
      </c>
      <c r="P209">
        <v>70343052.252252251</v>
      </c>
      <c r="Q209">
        <v>22433693.693693694</v>
      </c>
      <c r="R209">
        <v>24537927.927927926</v>
      </c>
      <c r="S209">
        <v>9027</v>
      </c>
      <c r="T209">
        <v>9069</v>
      </c>
    </row>
    <row r="210" spans="1:20" x14ac:dyDescent="0.35">
      <c r="A210" s="7" t="s">
        <v>304</v>
      </c>
      <c r="B210" s="12" t="s">
        <v>305</v>
      </c>
      <c r="C210">
        <v>1460113.31145779</v>
      </c>
      <c r="D210">
        <v>1715127.226680201</v>
      </c>
      <c r="O210">
        <v>651441.44144144095</v>
      </c>
      <c r="P210">
        <v>326432.43243243202</v>
      </c>
      <c r="S210">
        <v>73</v>
      </c>
      <c r="T210">
        <v>69</v>
      </c>
    </row>
    <row r="211" spans="1:20" x14ac:dyDescent="0.35">
      <c r="A211" s="7" t="s">
        <v>306</v>
      </c>
      <c r="B211" s="12" t="s">
        <v>118</v>
      </c>
      <c r="C211">
        <v>53295282.903020382</v>
      </c>
      <c r="D211">
        <v>54879726.402598239</v>
      </c>
      <c r="E211">
        <v>308108.10810810601</v>
      </c>
      <c r="F211">
        <v>458558.558558558</v>
      </c>
      <c r="G211">
        <v>15</v>
      </c>
      <c r="H211">
        <v>12</v>
      </c>
      <c r="K211">
        <v>38</v>
      </c>
      <c r="L211">
        <v>13</v>
      </c>
      <c r="M211">
        <v>3283243.243243244</v>
      </c>
      <c r="N211">
        <v>3797297.2972972961</v>
      </c>
      <c r="O211">
        <v>23282522.52252252</v>
      </c>
      <c r="P211">
        <v>21936621.621621624</v>
      </c>
      <c r="Q211">
        <v>3000810.81081081</v>
      </c>
      <c r="R211">
        <v>3167837.8378378358</v>
      </c>
      <c r="S211">
        <v>1760</v>
      </c>
      <c r="T211">
        <v>1642</v>
      </c>
    </row>
    <row r="212" spans="1:20" x14ac:dyDescent="0.35">
      <c r="A212" s="7" t="s">
        <v>307</v>
      </c>
      <c r="B212" s="12" t="s">
        <v>308</v>
      </c>
      <c r="C212">
        <v>68406613.731699258</v>
      </c>
      <c r="D212">
        <v>65840786.967704915</v>
      </c>
      <c r="E212">
        <v>354437837.83783782</v>
      </c>
      <c r="F212">
        <v>323175495.4954955</v>
      </c>
      <c r="G212">
        <v>38</v>
      </c>
      <c r="H212">
        <v>20</v>
      </c>
      <c r="K212">
        <v>44</v>
      </c>
      <c r="L212">
        <v>25</v>
      </c>
      <c r="M212">
        <v>2081531.5315315309</v>
      </c>
      <c r="N212">
        <v>7112432.4324324317</v>
      </c>
      <c r="O212">
        <v>36255954.954954952</v>
      </c>
      <c r="P212">
        <v>33477396.396396395</v>
      </c>
      <c r="Q212">
        <v>966936.93693693704</v>
      </c>
      <c r="R212">
        <v>1320450.4504504511</v>
      </c>
      <c r="S212">
        <v>4198</v>
      </c>
      <c r="T212">
        <v>4476</v>
      </c>
    </row>
    <row r="213" spans="1:20" x14ac:dyDescent="0.35">
      <c r="A213" s="7" t="s">
        <v>309</v>
      </c>
      <c r="B213" s="12" t="s">
        <v>141</v>
      </c>
      <c r="C213">
        <v>432576942.9856168</v>
      </c>
      <c r="D213">
        <v>457792370.92080879</v>
      </c>
      <c r="E213">
        <v>1898648.648648656</v>
      </c>
      <c r="F213">
        <v>3132432.4324324359</v>
      </c>
      <c r="G213">
        <v>70</v>
      </c>
      <c r="H213">
        <v>30</v>
      </c>
      <c r="I213">
        <v>4</v>
      </c>
      <c r="K213">
        <v>82</v>
      </c>
      <c r="L213">
        <v>35</v>
      </c>
      <c r="M213">
        <v>83676126.126126125</v>
      </c>
      <c r="N213">
        <v>85621711.711711705</v>
      </c>
      <c r="O213">
        <v>96503121.621621609</v>
      </c>
      <c r="P213">
        <v>106115592.79279278</v>
      </c>
      <c r="Q213">
        <v>45312432.432432443</v>
      </c>
      <c r="R213">
        <v>48717477.477477483</v>
      </c>
      <c r="S213">
        <v>8183</v>
      </c>
      <c r="T213">
        <v>8406</v>
      </c>
    </row>
    <row r="214" spans="1:20" x14ac:dyDescent="0.35">
      <c r="A214" s="7" t="s">
        <v>310</v>
      </c>
      <c r="B214" s="12" t="s">
        <v>133</v>
      </c>
      <c r="C214">
        <v>423297558.18239492</v>
      </c>
      <c r="D214">
        <v>417352436.48456252</v>
      </c>
      <c r="E214">
        <v>66976437.837837838</v>
      </c>
      <c r="F214">
        <v>62251788.288288288</v>
      </c>
      <c r="G214">
        <v>128</v>
      </c>
      <c r="H214">
        <v>74</v>
      </c>
      <c r="K214">
        <v>146</v>
      </c>
      <c r="L214">
        <v>85</v>
      </c>
      <c r="M214">
        <v>25570495.495495494</v>
      </c>
      <c r="N214">
        <v>20493243.243243244</v>
      </c>
      <c r="O214">
        <v>112761918.91891891</v>
      </c>
      <c r="P214">
        <v>124130918.91891891</v>
      </c>
      <c r="Q214">
        <v>14173333.333333336</v>
      </c>
      <c r="R214">
        <v>11304369.369369367</v>
      </c>
      <c r="S214">
        <v>12007</v>
      </c>
      <c r="T214">
        <v>12178</v>
      </c>
    </row>
    <row r="215" spans="1:20" x14ac:dyDescent="0.35">
      <c r="A215" s="7" t="s">
        <v>311</v>
      </c>
      <c r="B215" s="12" t="s">
        <v>73</v>
      </c>
      <c r="C215">
        <v>704719566.99195838</v>
      </c>
      <c r="D215">
        <v>813194876.57845712</v>
      </c>
      <c r="E215">
        <v>5783108.1081081172</v>
      </c>
      <c r="F215">
        <v>4303603.6036036182</v>
      </c>
      <c r="G215">
        <v>159</v>
      </c>
      <c r="H215">
        <v>65</v>
      </c>
      <c r="I215">
        <v>3</v>
      </c>
      <c r="K215">
        <v>195</v>
      </c>
      <c r="L215">
        <v>76</v>
      </c>
      <c r="M215">
        <v>99236036.036036029</v>
      </c>
      <c r="N215">
        <v>119539639.63963965</v>
      </c>
      <c r="O215">
        <v>176555397.29729727</v>
      </c>
      <c r="P215">
        <v>274294437.83783782</v>
      </c>
      <c r="Q215">
        <v>89723466.666666672</v>
      </c>
      <c r="R215">
        <v>105665045.04504506</v>
      </c>
      <c r="S215">
        <v>16586</v>
      </c>
      <c r="T215">
        <v>16915</v>
      </c>
    </row>
    <row r="216" spans="1:20" x14ac:dyDescent="0.35">
      <c r="A216" s="7" t="s">
        <v>312</v>
      </c>
      <c r="B216" s="12" t="s">
        <v>63</v>
      </c>
      <c r="C216">
        <v>121688683.45892011</v>
      </c>
      <c r="D216">
        <v>123209862.58213079</v>
      </c>
      <c r="E216">
        <v>102016216.21621622</v>
      </c>
      <c r="F216">
        <v>86708108.108108118</v>
      </c>
      <c r="G216">
        <v>15</v>
      </c>
      <c r="H216">
        <v>13</v>
      </c>
      <c r="K216">
        <v>16</v>
      </c>
      <c r="L216">
        <v>13</v>
      </c>
      <c r="M216">
        <v>39652162.162162162</v>
      </c>
      <c r="N216">
        <v>25236756.756756756</v>
      </c>
      <c r="O216">
        <v>33747009.009009011</v>
      </c>
      <c r="P216">
        <v>35723549.54954955</v>
      </c>
      <c r="Q216">
        <v>21248648.648648649</v>
      </c>
      <c r="R216">
        <v>24081711.711711712</v>
      </c>
      <c r="S216">
        <v>2247</v>
      </c>
      <c r="T216">
        <v>2300</v>
      </c>
    </row>
    <row r="217" spans="1:20" x14ac:dyDescent="0.35">
      <c r="A217" s="7" t="s">
        <v>313</v>
      </c>
      <c r="B217" s="12" t="s">
        <v>90</v>
      </c>
      <c r="C217">
        <v>41370380.931912139</v>
      </c>
      <c r="D217">
        <v>45171687.820177786</v>
      </c>
      <c r="E217">
        <v>570270.27027027099</v>
      </c>
      <c r="F217">
        <v>1462162.1621621649</v>
      </c>
      <c r="G217">
        <v>11</v>
      </c>
      <c r="H217">
        <v>6</v>
      </c>
      <c r="K217">
        <v>13</v>
      </c>
      <c r="L217">
        <v>7</v>
      </c>
      <c r="M217">
        <v>5869909.9099099096</v>
      </c>
      <c r="N217">
        <v>7525045.0450450452</v>
      </c>
      <c r="O217">
        <v>14633630.630630629</v>
      </c>
      <c r="P217">
        <v>15659693.693693694</v>
      </c>
      <c r="Q217">
        <v>5896126.1261261273</v>
      </c>
      <c r="R217">
        <v>7227117.1171171181</v>
      </c>
      <c r="S217">
        <v>1177</v>
      </c>
      <c r="T217">
        <v>1282</v>
      </c>
    </row>
    <row r="218" spans="1:20" x14ac:dyDescent="0.35">
      <c r="A218" s="7" t="s">
        <v>314</v>
      </c>
      <c r="B218" s="12" t="s">
        <v>93</v>
      </c>
      <c r="C218">
        <v>18457422.781531677</v>
      </c>
      <c r="D218">
        <v>14826040.559711846</v>
      </c>
      <c r="E218">
        <v>144144.144144144</v>
      </c>
      <c r="F218">
        <v>117117.117117117</v>
      </c>
      <c r="G218">
        <v>3</v>
      </c>
      <c r="H218">
        <v>4</v>
      </c>
      <c r="K218">
        <v>3</v>
      </c>
      <c r="L218">
        <v>4</v>
      </c>
      <c r="M218">
        <v>1360360.36036036</v>
      </c>
      <c r="N218">
        <v>2234242.3423423418</v>
      </c>
      <c r="O218">
        <v>1329144.1441441439</v>
      </c>
      <c r="P218">
        <v>1648279.2792792791</v>
      </c>
      <c r="Q218">
        <v>1361261.2612612611</v>
      </c>
      <c r="R218">
        <v>2153153.1531531531</v>
      </c>
      <c r="S218">
        <v>935</v>
      </c>
      <c r="T218">
        <v>446</v>
      </c>
    </row>
    <row r="219" spans="1:20" x14ac:dyDescent="0.35">
      <c r="A219" s="7" t="s">
        <v>315</v>
      </c>
      <c r="B219" s="12" t="s">
        <v>316</v>
      </c>
      <c r="C219">
        <v>142341380.24111313</v>
      </c>
      <c r="D219">
        <v>140791792.45050639</v>
      </c>
      <c r="E219">
        <v>149749215.31531534</v>
      </c>
      <c r="F219">
        <v>193706530.63063061</v>
      </c>
      <c r="G219">
        <v>29</v>
      </c>
      <c r="H219">
        <v>29</v>
      </c>
      <c r="K219">
        <v>31</v>
      </c>
      <c r="L219">
        <v>36</v>
      </c>
      <c r="M219">
        <v>19862162.162162159</v>
      </c>
      <c r="N219">
        <v>42939639.639639638</v>
      </c>
      <c r="O219">
        <v>21867162.162162159</v>
      </c>
      <c r="P219">
        <v>24403531.531531531</v>
      </c>
      <c r="Q219">
        <v>18016036.036036037</v>
      </c>
      <c r="R219">
        <v>25788918.918918915</v>
      </c>
      <c r="S219">
        <v>3449</v>
      </c>
      <c r="T219">
        <v>3603</v>
      </c>
    </row>
    <row r="220" spans="1:20" x14ac:dyDescent="0.35">
      <c r="A220" s="7" t="s">
        <v>317</v>
      </c>
      <c r="B220" s="12" t="s">
        <v>63</v>
      </c>
      <c r="C220">
        <v>240424290.29321107</v>
      </c>
      <c r="D220">
        <v>257801118.31066224</v>
      </c>
      <c r="E220">
        <v>5032432.4324324392</v>
      </c>
      <c r="F220">
        <v>3914414.414414424</v>
      </c>
      <c r="G220">
        <v>96</v>
      </c>
      <c r="H220">
        <v>65</v>
      </c>
      <c r="K220">
        <v>154</v>
      </c>
      <c r="L220">
        <v>94</v>
      </c>
      <c r="M220">
        <v>44717837.837837838</v>
      </c>
      <c r="N220">
        <v>33778018.018018022</v>
      </c>
      <c r="O220">
        <v>83896873.873873875</v>
      </c>
      <c r="P220">
        <v>93548657.657657668</v>
      </c>
      <c r="Q220">
        <v>41836036.036036029</v>
      </c>
      <c r="R220">
        <v>30903063.063063063</v>
      </c>
      <c r="S220">
        <v>9587</v>
      </c>
      <c r="T220">
        <v>8890</v>
      </c>
    </row>
    <row r="221" spans="1:20" x14ac:dyDescent="0.35">
      <c r="A221" s="7" t="s">
        <v>318</v>
      </c>
      <c r="B221" s="12" t="s">
        <v>63</v>
      </c>
      <c r="C221">
        <v>222630752.23372966</v>
      </c>
      <c r="D221">
        <v>246103030.93710786</v>
      </c>
      <c r="E221">
        <v>1879279.2792792809</v>
      </c>
      <c r="F221">
        <v>1831531.5315315339</v>
      </c>
      <c r="G221">
        <v>39</v>
      </c>
      <c r="H221">
        <v>9</v>
      </c>
      <c r="K221">
        <v>45</v>
      </c>
      <c r="L221">
        <v>16</v>
      </c>
      <c r="M221">
        <v>34392972.972972974</v>
      </c>
      <c r="N221">
        <v>32083243.243243244</v>
      </c>
      <c r="O221">
        <v>77905693.693693697</v>
      </c>
      <c r="P221">
        <v>87213081.081081092</v>
      </c>
      <c r="Q221">
        <v>32555225.225225225</v>
      </c>
      <c r="R221">
        <v>35080810.810810804</v>
      </c>
      <c r="S221">
        <v>5478</v>
      </c>
      <c r="T221">
        <v>5518</v>
      </c>
    </row>
    <row r="222" spans="1:20" x14ac:dyDescent="0.35">
      <c r="A222" s="7" t="s">
        <v>319</v>
      </c>
      <c r="B222" s="12" t="s">
        <v>79</v>
      </c>
      <c r="C222">
        <v>232324184.51555362</v>
      </c>
      <c r="D222">
        <v>237027186.04682016</v>
      </c>
      <c r="E222">
        <v>5076576.5765765794</v>
      </c>
      <c r="F222">
        <v>5651801.8018018045</v>
      </c>
      <c r="G222">
        <v>81</v>
      </c>
      <c r="H222">
        <v>69</v>
      </c>
      <c r="I222">
        <v>2</v>
      </c>
      <c r="K222">
        <v>131</v>
      </c>
      <c r="L222">
        <v>74</v>
      </c>
      <c r="M222">
        <v>61946846.846846849</v>
      </c>
      <c r="N222">
        <v>65708558.558558561</v>
      </c>
      <c r="O222">
        <v>102312184.68468469</v>
      </c>
      <c r="P222">
        <v>103455953.15315315</v>
      </c>
      <c r="Q222">
        <v>59400450.45045045</v>
      </c>
      <c r="R222">
        <v>63597297.297297299</v>
      </c>
      <c r="S222">
        <v>8703</v>
      </c>
      <c r="T222">
        <v>8665</v>
      </c>
    </row>
    <row r="223" spans="1:20" x14ac:dyDescent="0.35">
      <c r="A223" s="7" t="s">
        <v>320</v>
      </c>
      <c r="B223" s="12" t="s">
        <v>79</v>
      </c>
      <c r="C223">
        <v>139335152.9159216</v>
      </c>
      <c r="D223">
        <v>140429730.48120174</v>
      </c>
      <c r="E223">
        <v>2581081.0810810821</v>
      </c>
      <c r="F223">
        <v>3027927.9279279308</v>
      </c>
      <c r="G223">
        <v>65</v>
      </c>
      <c r="H223">
        <v>46</v>
      </c>
      <c r="K223">
        <v>106</v>
      </c>
      <c r="L223">
        <v>84</v>
      </c>
      <c r="M223">
        <v>13004504.504504504</v>
      </c>
      <c r="N223">
        <v>15910810.810810812</v>
      </c>
      <c r="O223">
        <v>53721486.486486487</v>
      </c>
      <c r="P223">
        <v>55735027.027027026</v>
      </c>
      <c r="Q223">
        <v>11567297.297297299</v>
      </c>
      <c r="R223">
        <v>14822072.072072072</v>
      </c>
      <c r="S223">
        <v>5584</v>
      </c>
      <c r="T223">
        <v>5717</v>
      </c>
    </row>
    <row r="224" spans="1:20" x14ac:dyDescent="0.35">
      <c r="A224" s="7" t="s">
        <v>321</v>
      </c>
      <c r="B224" s="12" t="s">
        <v>122</v>
      </c>
      <c r="C224">
        <v>1035190.33114909</v>
      </c>
      <c r="D224">
        <v>902064.236564241</v>
      </c>
      <c r="H224">
        <v>2</v>
      </c>
      <c r="L224">
        <v>2</v>
      </c>
      <c r="O224">
        <v>87117.117117116999</v>
      </c>
      <c r="P224">
        <v>353108.10810810799</v>
      </c>
      <c r="S224">
        <v>53</v>
      </c>
      <c r="T224">
        <v>63</v>
      </c>
    </row>
    <row r="225" spans="1:20" x14ac:dyDescent="0.35">
      <c r="A225" s="7" t="s">
        <v>322</v>
      </c>
      <c r="B225" s="12" t="s">
        <v>225</v>
      </c>
      <c r="C225">
        <v>158082544.77243653</v>
      </c>
      <c r="D225">
        <v>168748419.26899308</v>
      </c>
      <c r="E225">
        <v>28828.828828828999</v>
      </c>
      <c r="F225">
        <v>22522.522522522999</v>
      </c>
      <c r="G225">
        <v>31</v>
      </c>
      <c r="H225">
        <v>26</v>
      </c>
      <c r="I225">
        <v>2</v>
      </c>
      <c r="K225">
        <v>36</v>
      </c>
      <c r="L225">
        <v>26</v>
      </c>
      <c r="M225">
        <v>3640360.3603603588</v>
      </c>
      <c r="N225">
        <v>5247747.7477477482</v>
      </c>
      <c r="O225">
        <v>64507772.972972974</v>
      </c>
      <c r="P225">
        <v>71214684.684684694</v>
      </c>
      <c r="Q225">
        <v>4184774.774774773</v>
      </c>
      <c r="R225">
        <v>6205315.3153153146</v>
      </c>
      <c r="S225">
        <v>3892</v>
      </c>
      <c r="T225">
        <v>3947</v>
      </c>
    </row>
    <row r="226" spans="1:20" x14ac:dyDescent="0.35">
      <c r="A226" s="7" t="s">
        <v>323</v>
      </c>
      <c r="B226" s="12" t="s">
        <v>225</v>
      </c>
      <c r="C226">
        <v>112470451.63308913</v>
      </c>
      <c r="D226">
        <v>128294753.52582633</v>
      </c>
      <c r="E226">
        <v>54954.954954956003</v>
      </c>
      <c r="F226">
        <v>49549.549549552001</v>
      </c>
      <c r="G226">
        <v>7</v>
      </c>
      <c r="H226">
        <v>15</v>
      </c>
      <c r="K226">
        <v>7</v>
      </c>
      <c r="L226">
        <v>23</v>
      </c>
      <c r="M226">
        <v>12778558.558558561</v>
      </c>
      <c r="N226">
        <v>11590990.990990993</v>
      </c>
      <c r="O226">
        <v>34510193.693693697</v>
      </c>
      <c r="P226">
        <v>39527972.972972974</v>
      </c>
      <c r="Q226">
        <v>8757117.1171171162</v>
      </c>
      <c r="R226">
        <v>10057117.117117116</v>
      </c>
      <c r="S226">
        <v>2198</v>
      </c>
      <c r="T226">
        <v>2169</v>
      </c>
    </row>
    <row r="227" spans="1:20" x14ac:dyDescent="0.35">
      <c r="A227" s="7" t="s">
        <v>324</v>
      </c>
      <c r="B227" s="12" t="s">
        <v>79</v>
      </c>
      <c r="C227">
        <v>174890330.9793641</v>
      </c>
      <c r="D227">
        <v>173266979.59592628</v>
      </c>
      <c r="E227">
        <v>890090.09009009297</v>
      </c>
      <c r="F227">
        <v>1881081.081081087</v>
      </c>
      <c r="G227">
        <v>109</v>
      </c>
      <c r="H227">
        <v>64</v>
      </c>
      <c r="I227">
        <v>1</v>
      </c>
      <c r="K227">
        <v>147</v>
      </c>
      <c r="L227">
        <v>73</v>
      </c>
      <c r="M227">
        <v>19619819.819819823</v>
      </c>
      <c r="N227">
        <v>24782882.882882889</v>
      </c>
      <c r="O227">
        <v>52166297.297297299</v>
      </c>
      <c r="P227">
        <v>53131045.045045041</v>
      </c>
      <c r="Q227">
        <v>18115135.135135137</v>
      </c>
      <c r="R227">
        <v>21985135.135135137</v>
      </c>
      <c r="S227">
        <v>4594</v>
      </c>
      <c r="T227">
        <v>4596</v>
      </c>
    </row>
    <row r="228" spans="1:20" x14ac:dyDescent="0.35">
      <c r="A228" s="7" t="s">
        <v>325</v>
      </c>
      <c r="B228" s="12" t="s">
        <v>109</v>
      </c>
      <c r="C228">
        <v>1246668520.2039473</v>
      </c>
      <c r="D228">
        <v>1277419004.4336133</v>
      </c>
      <c r="E228">
        <v>1348052025.2252252</v>
      </c>
      <c r="F228">
        <v>999762470.27027035</v>
      </c>
      <c r="G228">
        <v>233</v>
      </c>
      <c r="H228">
        <v>276</v>
      </c>
      <c r="I228">
        <v>4</v>
      </c>
      <c r="K228">
        <v>357</v>
      </c>
      <c r="L228">
        <v>410</v>
      </c>
      <c r="M228">
        <v>546838738.73873878</v>
      </c>
      <c r="N228">
        <v>109304954.95495497</v>
      </c>
      <c r="O228">
        <v>657960540.54054058</v>
      </c>
      <c r="P228">
        <v>664333985.58558559</v>
      </c>
      <c r="Q228">
        <v>100616036.03603603</v>
      </c>
      <c r="R228">
        <v>106230270.27027027</v>
      </c>
      <c r="S228">
        <v>22716</v>
      </c>
      <c r="T228">
        <v>22063</v>
      </c>
    </row>
    <row r="229" spans="1:20" x14ac:dyDescent="0.35">
      <c r="A229" s="7" t="s">
        <v>326</v>
      </c>
      <c r="B229" s="12" t="s">
        <v>225</v>
      </c>
      <c r="C229">
        <v>164129564.58869705</v>
      </c>
      <c r="D229">
        <v>182474768.72931004</v>
      </c>
      <c r="E229">
        <v>525225.22522522602</v>
      </c>
      <c r="F229">
        <v>662162.16216216295</v>
      </c>
      <c r="G229">
        <v>23</v>
      </c>
      <c r="H229">
        <v>27</v>
      </c>
      <c r="K229">
        <v>25</v>
      </c>
      <c r="L229">
        <v>41</v>
      </c>
      <c r="M229">
        <v>15933873.873873873</v>
      </c>
      <c r="N229">
        <v>16157657.657657659</v>
      </c>
      <c r="O229">
        <v>33779531.531531535</v>
      </c>
      <c r="P229">
        <v>42363459.459459454</v>
      </c>
      <c r="Q229">
        <v>14634414.414414413</v>
      </c>
      <c r="R229">
        <v>16060000</v>
      </c>
      <c r="S229">
        <v>4304</v>
      </c>
      <c r="T229">
        <v>4822</v>
      </c>
    </row>
    <row r="230" spans="1:20" x14ac:dyDescent="0.35">
      <c r="A230" s="7" t="s">
        <v>4</v>
      </c>
      <c r="B230" s="12" t="s">
        <v>159</v>
      </c>
      <c r="C230">
        <v>141398326.66826463</v>
      </c>
      <c r="D230">
        <v>136651640.87832817</v>
      </c>
      <c r="E230">
        <v>1817117.117117119</v>
      </c>
      <c r="F230">
        <v>1739189.1891891891</v>
      </c>
      <c r="G230">
        <v>12</v>
      </c>
      <c r="H230">
        <v>26</v>
      </c>
      <c r="I230">
        <v>1</v>
      </c>
      <c r="K230">
        <v>16</v>
      </c>
      <c r="L230">
        <v>32</v>
      </c>
      <c r="M230">
        <v>26933333.333333336</v>
      </c>
      <c r="N230">
        <v>41101801.801801801</v>
      </c>
      <c r="O230">
        <v>49909315.315315314</v>
      </c>
      <c r="P230">
        <v>50858531.531531535</v>
      </c>
      <c r="Q230">
        <v>33847297.297297299</v>
      </c>
      <c r="R230">
        <v>40867927.927927926</v>
      </c>
      <c r="S230">
        <v>3676</v>
      </c>
      <c r="T230">
        <v>3519</v>
      </c>
    </row>
    <row r="231" spans="1:20" x14ac:dyDescent="0.35">
      <c r="A231" s="7" t="s">
        <v>327</v>
      </c>
      <c r="B231" s="12" t="s">
        <v>109</v>
      </c>
      <c r="C231">
        <v>658090564.95585716</v>
      </c>
      <c r="D231">
        <v>669102893.07977116</v>
      </c>
      <c r="E231">
        <v>8216146.8468468534</v>
      </c>
      <c r="F231">
        <v>66708709.909909911</v>
      </c>
      <c r="G231">
        <v>201</v>
      </c>
      <c r="H231">
        <v>213</v>
      </c>
      <c r="I231">
        <v>1</v>
      </c>
      <c r="K231">
        <v>296</v>
      </c>
      <c r="L231">
        <v>292</v>
      </c>
      <c r="M231">
        <v>537646327.92792797</v>
      </c>
      <c r="N231">
        <v>332421745.04504508</v>
      </c>
      <c r="O231">
        <v>203896200.45045045</v>
      </c>
      <c r="P231">
        <v>203030144.14414412</v>
      </c>
      <c r="Q231">
        <v>85543153.153153151</v>
      </c>
      <c r="R231">
        <v>276622882.88288289</v>
      </c>
      <c r="S231">
        <v>20158</v>
      </c>
      <c r="T231">
        <v>20096</v>
      </c>
    </row>
    <row r="232" spans="1:20" x14ac:dyDescent="0.35">
      <c r="A232" s="7" t="s">
        <v>328</v>
      </c>
      <c r="B232" s="12" t="s">
        <v>79</v>
      </c>
      <c r="C232">
        <v>68994906.815070301</v>
      </c>
      <c r="D232">
        <v>67655408.249982357</v>
      </c>
      <c r="E232">
        <v>482882.88288288401</v>
      </c>
      <c r="F232">
        <v>770270.27027027099</v>
      </c>
      <c r="G232">
        <v>24</v>
      </c>
      <c r="H232">
        <v>26</v>
      </c>
      <c r="K232">
        <v>26</v>
      </c>
      <c r="L232">
        <v>26</v>
      </c>
      <c r="M232">
        <v>5347747.7477477482</v>
      </c>
      <c r="N232">
        <v>6131531.5315315323</v>
      </c>
      <c r="O232">
        <v>22974459.459459461</v>
      </c>
      <c r="P232">
        <v>24193252.252252251</v>
      </c>
      <c r="Q232">
        <v>5220000</v>
      </c>
      <c r="R232">
        <v>7811081.0810810812</v>
      </c>
      <c r="S232">
        <v>1837</v>
      </c>
      <c r="T232">
        <v>1829</v>
      </c>
    </row>
    <row r="233" spans="1:20" x14ac:dyDescent="0.35">
      <c r="A233" s="7" t="s">
        <v>329</v>
      </c>
      <c r="B233" s="12" t="s">
        <v>122</v>
      </c>
      <c r="C233">
        <v>177145859.52912495</v>
      </c>
      <c r="D233">
        <v>173268667.08014742</v>
      </c>
      <c r="E233">
        <v>880855.85585585597</v>
      </c>
      <c r="F233">
        <v>495495.49549549801</v>
      </c>
      <c r="G233">
        <v>56</v>
      </c>
      <c r="H233">
        <v>68</v>
      </c>
      <c r="I233">
        <v>9</v>
      </c>
      <c r="K233">
        <v>62</v>
      </c>
      <c r="L233">
        <v>76</v>
      </c>
      <c r="M233">
        <v>16094594.594594596</v>
      </c>
      <c r="N233">
        <v>11846846.846846849</v>
      </c>
      <c r="O233">
        <v>27529486.486486487</v>
      </c>
      <c r="P233">
        <v>31601342.342342343</v>
      </c>
      <c r="Q233">
        <v>12164414.414414413</v>
      </c>
      <c r="R233">
        <v>10195945.945945946</v>
      </c>
      <c r="S233">
        <v>4617</v>
      </c>
      <c r="T233">
        <v>4000</v>
      </c>
    </row>
    <row r="234" spans="1:20" x14ac:dyDescent="0.35">
      <c r="A234" s="7" t="s">
        <v>330</v>
      </c>
      <c r="B234" s="12" t="s">
        <v>331</v>
      </c>
      <c r="C234">
        <v>427096393.37479007</v>
      </c>
      <c r="D234">
        <v>419055071.37459373</v>
      </c>
      <c r="E234">
        <v>5772297.2972973008</v>
      </c>
      <c r="F234">
        <v>2856306.3063063161</v>
      </c>
      <c r="G234">
        <v>168</v>
      </c>
      <c r="H234">
        <v>160</v>
      </c>
      <c r="I234">
        <v>17</v>
      </c>
      <c r="K234">
        <v>207</v>
      </c>
      <c r="L234">
        <v>212</v>
      </c>
      <c r="M234">
        <v>66530630.630630635</v>
      </c>
      <c r="N234">
        <v>46155405.40540541</v>
      </c>
      <c r="O234">
        <v>90161047.297297299</v>
      </c>
      <c r="P234">
        <v>96260673.873873875</v>
      </c>
      <c r="Q234">
        <v>61840990.990990989</v>
      </c>
      <c r="R234">
        <v>51223333.333333336</v>
      </c>
      <c r="S234">
        <v>13939</v>
      </c>
      <c r="T234">
        <v>13749</v>
      </c>
    </row>
    <row r="235" spans="1:20" x14ac:dyDescent="0.35">
      <c r="A235" s="7" t="s">
        <v>332</v>
      </c>
      <c r="B235" s="12" t="s">
        <v>291</v>
      </c>
      <c r="C235">
        <v>635896587.53421712</v>
      </c>
      <c r="D235">
        <v>642577449.91327131</v>
      </c>
      <c r="E235">
        <v>3550900.9009009032</v>
      </c>
      <c r="F235">
        <v>2132432.4324324452</v>
      </c>
      <c r="G235">
        <v>219</v>
      </c>
      <c r="H235">
        <v>173</v>
      </c>
      <c r="K235">
        <v>247</v>
      </c>
      <c r="L235">
        <v>203</v>
      </c>
      <c r="M235">
        <v>70643243.243243247</v>
      </c>
      <c r="N235">
        <v>62371171.171171166</v>
      </c>
      <c r="O235">
        <v>114732637.83783785</v>
      </c>
      <c r="P235">
        <v>118259450.45045045</v>
      </c>
      <c r="Q235">
        <v>58738288.288288288</v>
      </c>
      <c r="R235">
        <v>69893873.873873875</v>
      </c>
      <c r="S235">
        <v>16926</v>
      </c>
      <c r="T235">
        <v>17002</v>
      </c>
    </row>
    <row r="236" spans="1:20" x14ac:dyDescent="0.35">
      <c r="A236" s="7" t="s">
        <v>333</v>
      </c>
      <c r="B236" s="12" t="s">
        <v>291</v>
      </c>
      <c r="C236">
        <v>482438389.26020354</v>
      </c>
      <c r="D236">
        <v>504696437.26136535</v>
      </c>
      <c r="E236">
        <v>5237837.837837846</v>
      </c>
      <c r="F236">
        <v>4040540.5405405471</v>
      </c>
      <c r="G236">
        <v>133</v>
      </c>
      <c r="H236">
        <v>151</v>
      </c>
      <c r="I236">
        <v>1</v>
      </c>
      <c r="K236">
        <v>198</v>
      </c>
      <c r="L236">
        <v>234</v>
      </c>
      <c r="M236">
        <v>68031531.531531543</v>
      </c>
      <c r="N236">
        <v>71078828.828828827</v>
      </c>
      <c r="O236">
        <v>128499900.9009009</v>
      </c>
      <c r="P236">
        <v>139141457.65765765</v>
      </c>
      <c r="Q236">
        <v>65185315.315315314</v>
      </c>
      <c r="R236">
        <v>125809369.36936937</v>
      </c>
      <c r="S236">
        <v>14751</v>
      </c>
      <c r="T236">
        <v>14879</v>
      </c>
    </row>
    <row r="237" spans="1:20" x14ac:dyDescent="0.35">
      <c r="A237" s="7" t="s">
        <v>334</v>
      </c>
      <c r="B237" s="12" t="s">
        <v>61</v>
      </c>
      <c r="C237">
        <v>65942524.183935821</v>
      </c>
      <c r="D237">
        <v>66731024.156740829</v>
      </c>
      <c r="E237">
        <v>1990990.9909909931</v>
      </c>
      <c r="F237">
        <v>748648.64864864806</v>
      </c>
      <c r="G237">
        <v>70</v>
      </c>
      <c r="H237">
        <v>13</v>
      </c>
      <c r="I237">
        <v>2</v>
      </c>
      <c r="K237">
        <v>104</v>
      </c>
      <c r="L237">
        <v>19</v>
      </c>
      <c r="M237">
        <v>26978378.378378376</v>
      </c>
      <c r="N237">
        <v>2955855.855855857</v>
      </c>
      <c r="O237">
        <v>23013495.495495494</v>
      </c>
      <c r="P237">
        <v>22356612.612612613</v>
      </c>
      <c r="Q237">
        <v>25303693.693693694</v>
      </c>
      <c r="R237">
        <v>2519639.6396396402</v>
      </c>
      <c r="S237">
        <v>1923</v>
      </c>
      <c r="T237">
        <v>2747</v>
      </c>
    </row>
    <row r="238" spans="1:20" x14ac:dyDescent="0.35">
      <c r="A238" s="7" t="s">
        <v>335</v>
      </c>
      <c r="B238" s="12" t="s">
        <v>61</v>
      </c>
      <c r="C238">
        <v>13198907.084640073</v>
      </c>
      <c r="D238">
        <v>16093936.062786382</v>
      </c>
      <c r="E238">
        <v>243243.24324324299</v>
      </c>
      <c r="F238">
        <v>490090.09009009099</v>
      </c>
      <c r="G238">
        <v>6</v>
      </c>
      <c r="H238">
        <v>7</v>
      </c>
      <c r="K238">
        <v>7</v>
      </c>
      <c r="L238">
        <v>9</v>
      </c>
      <c r="M238">
        <v>631981.98198198201</v>
      </c>
      <c r="N238">
        <v>938738.73873873998</v>
      </c>
      <c r="O238">
        <v>7245765.7657657648</v>
      </c>
      <c r="P238">
        <v>8218045.0450450452</v>
      </c>
      <c r="Q238">
        <v>850720.72072072094</v>
      </c>
      <c r="R238">
        <v>987567.56756756699</v>
      </c>
      <c r="S238">
        <v>827</v>
      </c>
      <c r="T238">
        <v>865</v>
      </c>
    </row>
    <row r="239" spans="1:20" x14ac:dyDescent="0.35">
      <c r="A239" s="7" t="s">
        <v>336</v>
      </c>
      <c r="B239" s="12" t="s">
        <v>122</v>
      </c>
      <c r="C239">
        <v>1493037.1256821339</v>
      </c>
      <c r="D239">
        <v>1755081.0430714299</v>
      </c>
      <c r="G239">
        <v>1</v>
      </c>
      <c r="K239">
        <v>1</v>
      </c>
      <c r="L239">
        <v>1</v>
      </c>
      <c r="O239">
        <v>97747.747747747999</v>
      </c>
      <c r="P239">
        <v>495720.720720721</v>
      </c>
      <c r="S239">
        <v>147</v>
      </c>
      <c r="T239">
        <v>152</v>
      </c>
    </row>
    <row r="240" spans="1:20" x14ac:dyDescent="0.35">
      <c r="A240" s="7" t="s">
        <v>337</v>
      </c>
      <c r="B240" s="12" t="s">
        <v>122</v>
      </c>
      <c r="C240">
        <v>2378632.2193971141</v>
      </c>
      <c r="D240">
        <v>2378943.8674469618</v>
      </c>
      <c r="G240">
        <v>2</v>
      </c>
      <c r="H240">
        <v>1</v>
      </c>
      <c r="K240">
        <v>2</v>
      </c>
      <c r="L240">
        <v>1</v>
      </c>
      <c r="O240">
        <v>531801.80180180201</v>
      </c>
      <c r="P240">
        <v>1010945.945945946</v>
      </c>
      <c r="S240">
        <v>92</v>
      </c>
      <c r="T240">
        <v>202</v>
      </c>
    </row>
    <row r="241" spans="1:20" x14ac:dyDescent="0.35">
      <c r="A241" s="7" t="s">
        <v>338</v>
      </c>
      <c r="B241" s="12" t="s">
        <v>122</v>
      </c>
      <c r="C241">
        <v>1899190.839863416</v>
      </c>
      <c r="D241">
        <v>2015648.238636503</v>
      </c>
      <c r="G241">
        <v>1</v>
      </c>
      <c r="K241">
        <v>1</v>
      </c>
      <c r="O241">
        <v>18918.918918919</v>
      </c>
      <c r="P241">
        <v>156531.531531532</v>
      </c>
      <c r="S241">
        <v>487</v>
      </c>
      <c r="T241">
        <v>132</v>
      </c>
    </row>
    <row r="242" spans="1:20" x14ac:dyDescent="0.35">
      <c r="A242" s="7" t="s">
        <v>339</v>
      </c>
      <c r="B242" s="12" t="s">
        <v>141</v>
      </c>
      <c r="C242">
        <v>721335858.97681725</v>
      </c>
      <c r="D242">
        <v>744862042.975227</v>
      </c>
      <c r="E242">
        <v>3388288.2882882948</v>
      </c>
      <c r="F242">
        <v>3087387.387387393</v>
      </c>
      <c r="G242">
        <v>276</v>
      </c>
      <c r="H242">
        <v>84</v>
      </c>
      <c r="I242">
        <v>1</v>
      </c>
      <c r="K242">
        <v>313</v>
      </c>
      <c r="L242">
        <v>100</v>
      </c>
      <c r="M242">
        <v>67686306.306306317</v>
      </c>
      <c r="N242">
        <v>79866494.594594598</v>
      </c>
      <c r="O242">
        <v>145416457.65765765</v>
      </c>
      <c r="P242">
        <v>169177949.54954955</v>
      </c>
      <c r="Q242">
        <v>62107297.297297299</v>
      </c>
      <c r="R242">
        <v>69935315.315315306</v>
      </c>
      <c r="S242">
        <v>16189</v>
      </c>
      <c r="T242">
        <v>16052</v>
      </c>
    </row>
    <row r="243" spans="1:20" x14ac:dyDescent="0.35">
      <c r="A243" s="7" t="s">
        <v>340</v>
      </c>
      <c r="B243" s="12" t="s">
        <v>122</v>
      </c>
      <c r="C243">
        <v>112484580.68798703</v>
      </c>
      <c r="D243">
        <v>111639155.22874603</v>
      </c>
      <c r="G243">
        <v>35</v>
      </c>
      <c r="H243">
        <v>32</v>
      </c>
      <c r="K243">
        <v>38</v>
      </c>
      <c r="L243">
        <v>37</v>
      </c>
      <c r="O243">
        <v>7578036.036036036</v>
      </c>
      <c r="P243">
        <v>8348954.9549549548</v>
      </c>
      <c r="S243">
        <v>2537</v>
      </c>
      <c r="T243">
        <v>2442</v>
      </c>
    </row>
    <row r="244" spans="1:20" x14ac:dyDescent="0.35">
      <c r="A244" s="7" t="s">
        <v>341</v>
      </c>
      <c r="B244" s="12" t="s">
        <v>141</v>
      </c>
      <c r="C244">
        <v>384898981.55565697</v>
      </c>
      <c r="D244">
        <v>410745379.65234715</v>
      </c>
      <c r="E244">
        <v>2009459.4594594629</v>
      </c>
      <c r="F244">
        <v>1990990.990990998</v>
      </c>
      <c r="G244">
        <v>75</v>
      </c>
      <c r="H244">
        <v>32</v>
      </c>
      <c r="I244">
        <v>3</v>
      </c>
      <c r="K244">
        <v>91</v>
      </c>
      <c r="L244">
        <v>37</v>
      </c>
      <c r="M244">
        <v>69446126.126126125</v>
      </c>
      <c r="N244">
        <v>69392297.297297299</v>
      </c>
      <c r="O244">
        <v>114738757.2072072</v>
      </c>
      <c r="P244">
        <v>125130558.55855855</v>
      </c>
      <c r="Q244">
        <v>63624054.054054059</v>
      </c>
      <c r="R244">
        <v>63717522.522522517</v>
      </c>
      <c r="S244">
        <v>8908</v>
      </c>
      <c r="T244">
        <v>9082</v>
      </c>
    </row>
    <row r="245" spans="1:20" x14ac:dyDescent="0.35">
      <c r="A245" s="7" t="s">
        <v>342</v>
      </c>
      <c r="B245" s="12" t="s">
        <v>135</v>
      </c>
      <c r="C245">
        <v>42577426.845531143</v>
      </c>
      <c r="D245">
        <v>39364668.190915935</v>
      </c>
      <c r="E245">
        <v>54054.054054054002</v>
      </c>
      <c r="F245">
        <v>27027.027027028002</v>
      </c>
      <c r="G245">
        <v>11</v>
      </c>
      <c r="H245">
        <v>10</v>
      </c>
      <c r="I245">
        <v>1</v>
      </c>
      <c r="K245">
        <v>11</v>
      </c>
      <c r="L245">
        <v>11</v>
      </c>
      <c r="M245">
        <v>1495495.4954954961</v>
      </c>
      <c r="N245">
        <v>1558558.5585585581</v>
      </c>
      <c r="O245">
        <v>4145774.7747747749</v>
      </c>
      <c r="P245">
        <v>4550549.5495495498</v>
      </c>
      <c r="Q245">
        <v>1146576.576576577</v>
      </c>
      <c r="R245">
        <v>754684.68468468403</v>
      </c>
      <c r="S245">
        <v>1302</v>
      </c>
      <c r="T245">
        <v>1297</v>
      </c>
    </row>
    <row r="246" spans="1:20" x14ac:dyDescent="0.35">
      <c r="A246" s="7" t="s">
        <v>343</v>
      </c>
      <c r="B246" s="12" t="s">
        <v>122</v>
      </c>
      <c r="C246">
        <v>1599749.3056139571</v>
      </c>
      <c r="D246">
        <v>2720509.3708809931</v>
      </c>
      <c r="F246">
        <v>1696454.054054054</v>
      </c>
      <c r="G246">
        <v>7</v>
      </c>
      <c r="H246">
        <v>3</v>
      </c>
      <c r="K246">
        <v>12</v>
      </c>
      <c r="L246">
        <v>3</v>
      </c>
      <c r="M246">
        <v>3448218.9189189188</v>
      </c>
      <c r="O246">
        <v>775990.99099099101</v>
      </c>
      <c r="P246">
        <v>1689954.954954955</v>
      </c>
      <c r="S246">
        <v>390</v>
      </c>
      <c r="T246">
        <v>387</v>
      </c>
    </row>
    <row r="247" spans="1:20" x14ac:dyDescent="0.35">
      <c r="A247" s="7" t="s">
        <v>5</v>
      </c>
      <c r="B247" s="12" t="s">
        <v>159</v>
      </c>
      <c r="C247">
        <v>147432628.47826537</v>
      </c>
      <c r="D247">
        <v>153981148.86031601</v>
      </c>
      <c r="E247">
        <v>490090.09009009099</v>
      </c>
      <c r="F247">
        <v>47747.747747747999</v>
      </c>
      <c r="G247">
        <v>21</v>
      </c>
      <c r="H247">
        <v>17</v>
      </c>
      <c r="I247">
        <v>1</v>
      </c>
      <c r="K247">
        <v>21</v>
      </c>
      <c r="L247">
        <v>23</v>
      </c>
      <c r="M247">
        <v>11866666.666666668</v>
      </c>
      <c r="N247">
        <v>14910810.810810808</v>
      </c>
      <c r="O247">
        <v>63157153.153153151</v>
      </c>
      <c r="P247">
        <v>64799882.882882878</v>
      </c>
      <c r="Q247">
        <v>10868468.468468469</v>
      </c>
      <c r="R247">
        <v>13903693.693693694</v>
      </c>
      <c r="S247">
        <v>3026</v>
      </c>
      <c r="T247">
        <v>3474</v>
      </c>
    </row>
    <row r="248" spans="1:20" x14ac:dyDescent="0.35">
      <c r="A248" s="7" t="s">
        <v>344</v>
      </c>
      <c r="B248" s="12" t="s">
        <v>305</v>
      </c>
      <c r="C248">
        <v>15344417.488673832</v>
      </c>
      <c r="D248">
        <v>25201127.25687746</v>
      </c>
      <c r="E248">
        <v>900900.90090090095</v>
      </c>
      <c r="F248">
        <v>360360.36036036001</v>
      </c>
      <c r="G248">
        <v>8</v>
      </c>
      <c r="H248">
        <v>42</v>
      </c>
      <c r="K248">
        <v>10</v>
      </c>
      <c r="L248">
        <v>52</v>
      </c>
      <c r="M248">
        <v>1351351.351351351</v>
      </c>
      <c r="N248">
        <v>360360.36036036001</v>
      </c>
      <c r="O248">
        <v>2432486.4864864862</v>
      </c>
      <c r="P248">
        <v>5417061.2612612611</v>
      </c>
      <c r="Q248">
        <v>218018.01801801799</v>
      </c>
      <c r="R248">
        <v>395495.49549549498</v>
      </c>
      <c r="S248">
        <v>543</v>
      </c>
      <c r="T248">
        <v>605</v>
      </c>
    </row>
    <row r="249" spans="1:20" x14ac:dyDescent="0.35">
      <c r="A249" s="7" t="s">
        <v>345</v>
      </c>
      <c r="B249" s="12" t="s">
        <v>106</v>
      </c>
      <c r="C249">
        <v>300098796.45336938</v>
      </c>
      <c r="D249">
        <v>314494779.98027658</v>
      </c>
      <c r="E249">
        <v>1537387.3873873909</v>
      </c>
      <c r="F249">
        <v>1290090.090090093</v>
      </c>
      <c r="G249">
        <v>52</v>
      </c>
      <c r="H249">
        <v>83</v>
      </c>
      <c r="K249">
        <v>70</v>
      </c>
      <c r="L249">
        <v>90</v>
      </c>
      <c r="M249">
        <v>37355135.135135137</v>
      </c>
      <c r="N249">
        <v>36602702.702702701</v>
      </c>
      <c r="O249">
        <v>73332468.468468457</v>
      </c>
      <c r="P249">
        <v>81919558.558558553</v>
      </c>
      <c r="Q249">
        <v>37258378.378378376</v>
      </c>
      <c r="R249">
        <v>34410000</v>
      </c>
      <c r="S249">
        <v>5920</v>
      </c>
      <c r="T249">
        <v>5846</v>
      </c>
    </row>
    <row r="250" spans="1:20" x14ac:dyDescent="0.35">
      <c r="A250" s="7" t="s">
        <v>346</v>
      </c>
      <c r="B250" s="12" t="s">
        <v>88</v>
      </c>
      <c r="C250">
        <v>89715853.279131904</v>
      </c>
      <c r="D250">
        <v>92770947.995146409</v>
      </c>
      <c r="E250">
        <v>665765.76576576498</v>
      </c>
      <c r="F250">
        <v>693693.69369369501</v>
      </c>
      <c r="G250">
        <v>35</v>
      </c>
      <c r="H250">
        <v>49</v>
      </c>
      <c r="K250">
        <v>40</v>
      </c>
      <c r="L250">
        <v>53</v>
      </c>
      <c r="M250">
        <v>23080180.180180181</v>
      </c>
      <c r="N250">
        <v>21738738.738738742</v>
      </c>
      <c r="O250">
        <v>22745110.810810812</v>
      </c>
      <c r="P250">
        <v>28502754.954954956</v>
      </c>
      <c r="Q250">
        <v>17420493.693693694</v>
      </c>
      <c r="R250">
        <v>15846486.486486487</v>
      </c>
      <c r="S250">
        <v>2216</v>
      </c>
      <c r="T250">
        <v>2382</v>
      </c>
    </row>
    <row r="251" spans="1:20" x14ac:dyDescent="0.35">
      <c r="A251" s="7" t="s">
        <v>347</v>
      </c>
      <c r="B251" s="12" t="s">
        <v>88</v>
      </c>
      <c r="C251">
        <v>247981883.93441525</v>
      </c>
      <c r="D251">
        <v>244950372.38490728</v>
      </c>
      <c r="E251">
        <v>3004504.504504506</v>
      </c>
      <c r="F251">
        <v>1481981.981981989</v>
      </c>
      <c r="G251">
        <v>155</v>
      </c>
      <c r="H251">
        <v>143</v>
      </c>
      <c r="I251">
        <v>3</v>
      </c>
      <c r="K251">
        <v>191</v>
      </c>
      <c r="L251">
        <v>179</v>
      </c>
      <c r="M251">
        <v>24656756.756756756</v>
      </c>
      <c r="N251">
        <v>26959459.459459458</v>
      </c>
      <c r="O251">
        <v>42931133.333333336</v>
      </c>
      <c r="P251">
        <v>46793621.621621616</v>
      </c>
      <c r="Q251">
        <v>18831171.171171173</v>
      </c>
      <c r="R251">
        <v>23032972.972972974</v>
      </c>
      <c r="S251">
        <v>5818</v>
      </c>
      <c r="T251">
        <v>6281</v>
      </c>
    </row>
    <row r="252" spans="1:20" x14ac:dyDescent="0.35">
      <c r="A252" s="7" t="s">
        <v>348</v>
      </c>
      <c r="B252" s="12" t="s">
        <v>88</v>
      </c>
      <c r="C252">
        <v>7765077.4287237236</v>
      </c>
      <c r="D252">
        <v>7853105.8400324248</v>
      </c>
      <c r="G252">
        <v>19</v>
      </c>
      <c r="H252">
        <v>6</v>
      </c>
      <c r="K252">
        <v>20</v>
      </c>
      <c r="L252">
        <v>7</v>
      </c>
      <c r="O252">
        <v>2937243.2432432431</v>
      </c>
      <c r="P252">
        <v>4629459.4594594594</v>
      </c>
      <c r="S252">
        <v>801</v>
      </c>
      <c r="T252">
        <v>790</v>
      </c>
    </row>
    <row r="253" spans="1:20" x14ac:dyDescent="0.35">
      <c r="A253" s="7" t="s">
        <v>349</v>
      </c>
      <c r="B253" s="12" t="s">
        <v>88</v>
      </c>
      <c r="C253">
        <v>3506360.187787577</v>
      </c>
      <c r="D253">
        <v>2617308.5335303419</v>
      </c>
      <c r="G253">
        <v>2</v>
      </c>
      <c r="K253">
        <v>2</v>
      </c>
      <c r="O253">
        <v>1241846.8468468471</v>
      </c>
      <c r="P253">
        <v>828153.15315315302</v>
      </c>
      <c r="S253">
        <v>195</v>
      </c>
      <c r="T253">
        <v>243</v>
      </c>
    </row>
    <row r="254" spans="1:20" x14ac:dyDescent="0.35">
      <c r="A254" s="7" t="s">
        <v>350</v>
      </c>
      <c r="B254" s="12" t="s">
        <v>88</v>
      </c>
      <c r="C254">
        <v>2959052.6382174101</v>
      </c>
      <c r="D254">
        <v>1675702.1825521821</v>
      </c>
      <c r="G254">
        <v>5</v>
      </c>
      <c r="H254">
        <v>5</v>
      </c>
      <c r="K254">
        <v>9</v>
      </c>
      <c r="L254">
        <v>9</v>
      </c>
      <c r="O254">
        <v>1726855.8558558561</v>
      </c>
      <c r="P254">
        <v>1150270.2702702701</v>
      </c>
      <c r="S254">
        <v>624</v>
      </c>
      <c r="T254">
        <v>418</v>
      </c>
    </row>
    <row r="255" spans="1:20" x14ac:dyDescent="0.35">
      <c r="A255" s="7" t="s">
        <v>351</v>
      </c>
      <c r="B255" s="12" t="s">
        <v>88</v>
      </c>
      <c r="C255">
        <v>82378179.15019007</v>
      </c>
      <c r="D255">
        <v>86255550.317312285</v>
      </c>
      <c r="E255">
        <v>128828.82882883</v>
      </c>
      <c r="F255">
        <v>417117.11711712001</v>
      </c>
      <c r="G255">
        <v>65</v>
      </c>
      <c r="H255">
        <v>38</v>
      </c>
      <c r="I255">
        <v>1</v>
      </c>
      <c r="K255">
        <v>72</v>
      </c>
      <c r="L255">
        <v>44</v>
      </c>
      <c r="M255">
        <v>5935135.1351351356</v>
      </c>
      <c r="N255">
        <v>11489189.18918919</v>
      </c>
      <c r="O255">
        <v>16550810.81081081</v>
      </c>
      <c r="P255">
        <v>19926387.387387387</v>
      </c>
      <c r="Q255">
        <v>5189459.4594594594</v>
      </c>
      <c r="R255">
        <v>9416396.3963963967</v>
      </c>
      <c r="S255">
        <v>2032</v>
      </c>
      <c r="T255">
        <v>2076</v>
      </c>
    </row>
    <row r="256" spans="1:20" x14ac:dyDescent="0.35">
      <c r="A256" s="7" t="s">
        <v>352</v>
      </c>
      <c r="B256" s="12" t="s">
        <v>51</v>
      </c>
      <c r="C256">
        <v>219171864.44147477</v>
      </c>
      <c r="D256">
        <v>210534856.77797091</v>
      </c>
      <c r="E256">
        <v>2891891.8918918949</v>
      </c>
      <c r="F256">
        <v>1554054.054054057</v>
      </c>
      <c r="G256">
        <v>57</v>
      </c>
      <c r="H256">
        <v>76</v>
      </c>
      <c r="K256">
        <v>62</v>
      </c>
      <c r="L256">
        <v>122</v>
      </c>
      <c r="M256">
        <v>29632432.432432432</v>
      </c>
      <c r="N256">
        <v>23716171.171171173</v>
      </c>
      <c r="O256">
        <v>86039518.018018022</v>
      </c>
      <c r="P256">
        <v>87564198.198198199</v>
      </c>
      <c r="Q256">
        <v>28314954.954954952</v>
      </c>
      <c r="R256">
        <v>22847162.162162159</v>
      </c>
      <c r="S256">
        <v>5230</v>
      </c>
      <c r="T256">
        <v>5406</v>
      </c>
    </row>
    <row r="257" spans="1:20" x14ac:dyDescent="0.35">
      <c r="A257" s="7" t="s">
        <v>353</v>
      </c>
      <c r="B257" s="12" t="s">
        <v>124</v>
      </c>
      <c r="C257">
        <v>1343836.2750006041</v>
      </c>
      <c r="D257">
        <v>2426556.5253583002</v>
      </c>
      <c r="G257">
        <v>1</v>
      </c>
      <c r="H257">
        <v>1</v>
      </c>
      <c r="K257">
        <v>1</v>
      </c>
      <c r="L257">
        <v>1</v>
      </c>
      <c r="O257">
        <v>543333.33333333302</v>
      </c>
      <c r="P257">
        <v>751171.17117117101</v>
      </c>
      <c r="S257">
        <v>104</v>
      </c>
      <c r="T257">
        <v>175</v>
      </c>
    </row>
    <row r="258" spans="1:20" x14ac:dyDescent="0.35">
      <c r="A258" s="7" t="s">
        <v>354</v>
      </c>
      <c r="B258" s="12" t="s">
        <v>355</v>
      </c>
      <c r="C258">
        <v>384338001.17216271</v>
      </c>
      <c r="D258">
        <v>405836031.62300158</v>
      </c>
      <c r="E258">
        <v>249039127.02702704</v>
      </c>
      <c r="F258">
        <v>208600625.22522521</v>
      </c>
      <c r="G258">
        <v>338</v>
      </c>
      <c r="H258">
        <v>363</v>
      </c>
      <c r="K258">
        <v>509</v>
      </c>
      <c r="L258">
        <v>378</v>
      </c>
      <c r="M258">
        <v>257970990.99099097</v>
      </c>
      <c r="N258">
        <v>170739703.6036036</v>
      </c>
      <c r="O258">
        <v>228330081.08108109</v>
      </c>
      <c r="P258">
        <v>238158441.44144145</v>
      </c>
      <c r="Q258">
        <v>262039279.27927926</v>
      </c>
      <c r="R258">
        <v>159983333.33333334</v>
      </c>
      <c r="S258">
        <v>9848</v>
      </c>
      <c r="T258">
        <v>9581</v>
      </c>
    </row>
    <row r="259" spans="1:20" x14ac:dyDescent="0.35">
      <c r="A259" s="7" t="s">
        <v>356</v>
      </c>
      <c r="B259" s="12" t="s">
        <v>49</v>
      </c>
      <c r="C259">
        <v>260720526.39914659</v>
      </c>
      <c r="D259">
        <v>308722057.00689679</v>
      </c>
      <c r="E259">
        <v>58477477.477477483</v>
      </c>
      <c r="F259">
        <v>29031531.531531531</v>
      </c>
      <c r="G259">
        <v>19</v>
      </c>
      <c r="H259">
        <v>7</v>
      </c>
      <c r="K259">
        <v>22</v>
      </c>
      <c r="L259">
        <v>8</v>
      </c>
      <c r="M259">
        <v>7321171.1711711735</v>
      </c>
      <c r="N259">
        <v>8303603.6036036042</v>
      </c>
      <c r="O259">
        <v>19810729.729729727</v>
      </c>
      <c r="P259">
        <v>25060810.810810808</v>
      </c>
      <c r="Q259">
        <v>420090.09009008901</v>
      </c>
      <c r="R259">
        <v>537027.02702702803</v>
      </c>
      <c r="S259">
        <v>5500</v>
      </c>
      <c r="T259">
        <v>5665</v>
      </c>
    </row>
    <row r="260" spans="1:20" x14ac:dyDescent="0.35">
      <c r="A260" s="7" t="s">
        <v>357</v>
      </c>
      <c r="B260" s="12" t="s">
        <v>124</v>
      </c>
      <c r="C260">
        <v>275903597.14603889</v>
      </c>
      <c r="D260">
        <v>299311709.54045582</v>
      </c>
      <c r="E260">
        <v>112612.612612613</v>
      </c>
      <c r="F260">
        <v>484684.68468468601</v>
      </c>
      <c r="G260">
        <v>62</v>
      </c>
      <c r="H260">
        <v>50</v>
      </c>
      <c r="K260">
        <v>63</v>
      </c>
      <c r="L260">
        <v>60</v>
      </c>
      <c r="M260">
        <v>9353423.4234234244</v>
      </c>
      <c r="N260">
        <v>10844324.324324325</v>
      </c>
      <c r="O260">
        <v>61783238.738738738</v>
      </c>
      <c r="P260">
        <v>74290486.48648648</v>
      </c>
      <c r="Q260">
        <v>7317207.2072072066</v>
      </c>
      <c r="R260">
        <v>10633333.333333332</v>
      </c>
      <c r="S260">
        <v>5451</v>
      </c>
      <c r="T260">
        <v>5413</v>
      </c>
    </row>
    <row r="261" spans="1:20" x14ac:dyDescent="0.35">
      <c r="A261" s="7" t="s">
        <v>358</v>
      </c>
      <c r="B261" s="12" t="s">
        <v>63</v>
      </c>
      <c r="C261">
        <v>156282180.83962616</v>
      </c>
      <c r="D261">
        <v>165423203.09690067</v>
      </c>
      <c r="E261">
        <v>2142342.3423423441</v>
      </c>
      <c r="F261">
        <v>1072972.9729729751</v>
      </c>
      <c r="G261">
        <v>25</v>
      </c>
      <c r="H261">
        <v>6</v>
      </c>
      <c r="K261">
        <v>31</v>
      </c>
      <c r="L261">
        <v>8</v>
      </c>
      <c r="M261">
        <v>30246666.666666668</v>
      </c>
      <c r="N261">
        <v>29767387.387387387</v>
      </c>
      <c r="O261">
        <v>43667954.954954959</v>
      </c>
      <c r="P261">
        <v>52070576.576576576</v>
      </c>
      <c r="Q261">
        <v>28693153.153153151</v>
      </c>
      <c r="R261">
        <v>17960630.630630631</v>
      </c>
      <c r="S261">
        <v>3735</v>
      </c>
      <c r="T261">
        <v>4592</v>
      </c>
    </row>
    <row r="262" spans="1:20" x14ac:dyDescent="0.35">
      <c r="A262" s="7" t="s">
        <v>359</v>
      </c>
      <c r="B262" s="12" t="s">
        <v>316</v>
      </c>
      <c r="C262">
        <v>5679536.8324155612</v>
      </c>
      <c r="D262">
        <v>10233133.302769924</v>
      </c>
      <c r="G262">
        <v>10</v>
      </c>
      <c r="H262">
        <v>12</v>
      </c>
      <c r="K262">
        <v>11</v>
      </c>
      <c r="L262">
        <v>12</v>
      </c>
      <c r="O262">
        <v>2291846.8468468469</v>
      </c>
      <c r="P262">
        <v>5433603.6036036033</v>
      </c>
      <c r="S262">
        <v>244</v>
      </c>
      <c r="T262">
        <v>3549</v>
      </c>
    </row>
    <row r="263" spans="1:20" x14ac:dyDescent="0.35">
      <c r="A263" s="7" t="s">
        <v>360</v>
      </c>
      <c r="B263" s="12" t="s">
        <v>316</v>
      </c>
      <c r="C263">
        <v>156183081.02664927</v>
      </c>
      <c r="D263">
        <v>127367891.02246355</v>
      </c>
      <c r="E263">
        <v>1025225.225225227</v>
      </c>
      <c r="F263">
        <v>239639.63963964299</v>
      </c>
      <c r="G263">
        <v>39</v>
      </c>
      <c r="H263">
        <v>15</v>
      </c>
      <c r="K263">
        <v>46</v>
      </c>
      <c r="L263">
        <v>19</v>
      </c>
      <c r="M263">
        <v>32160720.72072072</v>
      </c>
      <c r="N263">
        <v>27508738.738738734</v>
      </c>
      <c r="O263">
        <v>58281342.342342347</v>
      </c>
      <c r="P263">
        <v>53320072.072072074</v>
      </c>
      <c r="Q263">
        <v>32167477.477477476</v>
      </c>
      <c r="R263">
        <v>32026846.846846849</v>
      </c>
      <c r="S263">
        <v>3291</v>
      </c>
      <c r="T263">
        <v>2850</v>
      </c>
    </row>
    <row r="264" spans="1:20" x14ac:dyDescent="0.35">
      <c r="A264" s="7" t="s">
        <v>361</v>
      </c>
      <c r="B264" s="12" t="s">
        <v>93</v>
      </c>
      <c r="C264">
        <v>287539926.19785851</v>
      </c>
      <c r="D264">
        <v>294483744.77354503</v>
      </c>
      <c r="E264">
        <v>6167567.5675675673</v>
      </c>
      <c r="F264">
        <v>4567567.5675675701</v>
      </c>
      <c r="G264">
        <v>171</v>
      </c>
      <c r="H264">
        <v>57</v>
      </c>
      <c r="I264">
        <v>2</v>
      </c>
      <c r="K264">
        <v>206</v>
      </c>
      <c r="L264">
        <v>87</v>
      </c>
      <c r="M264">
        <v>58247207.20720721</v>
      </c>
      <c r="N264">
        <v>61094144.144144148</v>
      </c>
      <c r="O264">
        <v>87991214.414414421</v>
      </c>
      <c r="P264">
        <v>88492333.333333328</v>
      </c>
      <c r="Q264">
        <v>56094727.927927926</v>
      </c>
      <c r="R264">
        <v>58805405.40540541</v>
      </c>
      <c r="S264">
        <v>6740</v>
      </c>
      <c r="T264">
        <v>6717</v>
      </c>
    </row>
    <row r="265" spans="1:20" x14ac:dyDescent="0.35">
      <c r="A265" s="7" t="s">
        <v>362</v>
      </c>
      <c r="B265" s="12" t="s">
        <v>59</v>
      </c>
      <c r="C265">
        <v>570743357.75529397</v>
      </c>
      <c r="D265">
        <v>599476703.96707082</v>
      </c>
      <c r="E265">
        <v>1388288.2882882911</v>
      </c>
      <c r="F265">
        <v>996396.39639640099</v>
      </c>
      <c r="G265">
        <v>100</v>
      </c>
      <c r="H265">
        <v>204</v>
      </c>
      <c r="K265">
        <v>110</v>
      </c>
      <c r="L265">
        <v>227</v>
      </c>
      <c r="M265">
        <v>25799099.099099103</v>
      </c>
      <c r="N265">
        <v>20870270.270270273</v>
      </c>
      <c r="O265">
        <v>88408022.522522524</v>
      </c>
      <c r="P265">
        <v>110017315.31531531</v>
      </c>
      <c r="Q265">
        <v>22601441.441441439</v>
      </c>
      <c r="R265">
        <v>25440630.630630627</v>
      </c>
      <c r="S265">
        <v>12710</v>
      </c>
      <c r="T265">
        <v>14443</v>
      </c>
    </row>
    <row r="266" spans="1:20" x14ac:dyDescent="0.35">
      <c r="A266" s="7" t="s">
        <v>363</v>
      </c>
      <c r="B266" s="12" t="s">
        <v>49</v>
      </c>
      <c r="C266">
        <v>201089219.85009208</v>
      </c>
      <c r="D266">
        <v>223922347.26875108</v>
      </c>
      <c r="E266">
        <v>282882.88288288302</v>
      </c>
      <c r="F266">
        <v>711711.711711713</v>
      </c>
      <c r="G266">
        <v>9</v>
      </c>
      <c r="H266">
        <v>7</v>
      </c>
      <c r="K266">
        <v>10</v>
      </c>
      <c r="L266">
        <v>8</v>
      </c>
      <c r="M266">
        <v>30434414.414414413</v>
      </c>
      <c r="N266">
        <v>11041441.441441445</v>
      </c>
      <c r="O266">
        <v>33099720.72072072</v>
      </c>
      <c r="P266">
        <v>41160738.738738738</v>
      </c>
      <c r="Q266">
        <v>26662612.612612609</v>
      </c>
      <c r="R266">
        <v>13425675.675675675</v>
      </c>
      <c r="S266">
        <v>3748</v>
      </c>
      <c r="T266">
        <v>3949</v>
      </c>
    </row>
    <row r="267" spans="1:20" x14ac:dyDescent="0.35">
      <c r="A267" s="7" t="s">
        <v>364</v>
      </c>
      <c r="B267" s="12" t="s">
        <v>53</v>
      </c>
      <c r="C267">
        <v>85183345.368046865</v>
      </c>
      <c r="D267">
        <v>84579889.915698975</v>
      </c>
      <c r="E267">
        <v>209909.90990991099</v>
      </c>
      <c r="F267">
        <v>957657.65765766101</v>
      </c>
      <c r="G267">
        <v>60</v>
      </c>
      <c r="H267">
        <v>6</v>
      </c>
      <c r="K267">
        <v>64</v>
      </c>
      <c r="L267">
        <v>7</v>
      </c>
      <c r="M267">
        <v>1813513.5135135129</v>
      </c>
      <c r="N267">
        <v>3678378.3783783801</v>
      </c>
      <c r="O267">
        <v>41497027.027027026</v>
      </c>
      <c r="P267">
        <v>40268081.081081077</v>
      </c>
      <c r="Q267">
        <v>2293963.9639639631</v>
      </c>
      <c r="R267">
        <v>3504504.5045045032</v>
      </c>
      <c r="S267">
        <v>2311</v>
      </c>
      <c r="T267">
        <v>2752</v>
      </c>
    </row>
    <row r="268" spans="1:20" x14ac:dyDescent="0.35">
      <c r="A268" s="7" t="s">
        <v>365</v>
      </c>
      <c r="B268" s="12" t="s">
        <v>53</v>
      </c>
      <c r="C268">
        <v>65700515.380799606</v>
      </c>
      <c r="D268">
        <v>65367121.438108817</v>
      </c>
      <c r="E268">
        <v>2531531.5315315332</v>
      </c>
      <c r="F268">
        <v>1995045.045045044</v>
      </c>
      <c r="G268">
        <v>76</v>
      </c>
      <c r="H268">
        <v>30</v>
      </c>
      <c r="K268">
        <v>175</v>
      </c>
      <c r="L268">
        <v>96</v>
      </c>
      <c r="M268">
        <v>6090090.0900900904</v>
      </c>
      <c r="N268">
        <v>12733783.783783784</v>
      </c>
      <c r="O268">
        <v>36872693.693693697</v>
      </c>
      <c r="P268">
        <v>36520774.774774775</v>
      </c>
      <c r="Q268">
        <v>11259099.099099096</v>
      </c>
      <c r="R268">
        <v>11427657.657657661</v>
      </c>
      <c r="S268">
        <v>2371</v>
      </c>
      <c r="T268">
        <v>2391</v>
      </c>
    </row>
    <row r="269" spans="1:20" x14ac:dyDescent="0.35">
      <c r="A269" s="7" t="s">
        <v>366</v>
      </c>
      <c r="B269" s="12" t="s">
        <v>53</v>
      </c>
      <c r="C269">
        <v>744218376.24345589</v>
      </c>
      <c r="D269">
        <v>742805129.31554854</v>
      </c>
      <c r="E269">
        <v>163913189.18918923</v>
      </c>
      <c r="F269">
        <v>127916736.93693694</v>
      </c>
      <c r="G269">
        <v>280</v>
      </c>
      <c r="H269">
        <v>281</v>
      </c>
      <c r="I269">
        <v>3</v>
      </c>
      <c r="K269">
        <v>449</v>
      </c>
      <c r="L269">
        <v>529</v>
      </c>
      <c r="M269">
        <v>40281081.081081085</v>
      </c>
      <c r="N269">
        <v>522531981.98198199</v>
      </c>
      <c r="O269">
        <v>273502089.1891892</v>
      </c>
      <c r="P269">
        <v>274933243.24324322</v>
      </c>
      <c r="Q269">
        <v>63376666.666666672</v>
      </c>
      <c r="R269">
        <v>64236846.846846849</v>
      </c>
      <c r="S269">
        <v>22157</v>
      </c>
      <c r="T269">
        <v>21086</v>
      </c>
    </row>
    <row r="270" spans="1:20" x14ac:dyDescent="0.35">
      <c r="A270" s="7" t="s">
        <v>367</v>
      </c>
      <c r="B270" s="12" t="s">
        <v>294</v>
      </c>
      <c r="C270">
        <v>426185207.64082789</v>
      </c>
      <c r="D270">
        <v>438100942.25349689</v>
      </c>
      <c r="E270">
        <v>99112448.648648635</v>
      </c>
      <c r="F270">
        <v>122947792.7927928</v>
      </c>
      <c r="G270">
        <v>263</v>
      </c>
      <c r="H270">
        <v>52</v>
      </c>
      <c r="K270">
        <v>318</v>
      </c>
      <c r="L270">
        <v>101</v>
      </c>
      <c r="M270">
        <v>49830360.360360362</v>
      </c>
      <c r="N270">
        <v>79198738.738738731</v>
      </c>
      <c r="O270">
        <v>140594085.58558559</v>
      </c>
      <c r="P270">
        <v>144624951.35135135</v>
      </c>
      <c r="Q270">
        <v>48837387.387387387</v>
      </c>
      <c r="R270">
        <v>68016846.846846849</v>
      </c>
      <c r="S270">
        <v>11134</v>
      </c>
      <c r="T270">
        <v>10580</v>
      </c>
    </row>
    <row r="271" spans="1:20" x14ac:dyDescent="0.35">
      <c r="A271" s="7" t="s">
        <v>368</v>
      </c>
      <c r="B271" s="12" t="s">
        <v>369</v>
      </c>
      <c r="C271">
        <v>179672315.20809838</v>
      </c>
      <c r="D271">
        <v>185330153.84701389</v>
      </c>
      <c r="E271">
        <v>1274774.774774777</v>
      </c>
      <c r="F271">
        <v>5807207.2072072094</v>
      </c>
      <c r="G271">
        <v>37</v>
      </c>
      <c r="H271">
        <v>29</v>
      </c>
      <c r="K271">
        <v>43</v>
      </c>
      <c r="L271">
        <v>30</v>
      </c>
      <c r="M271">
        <v>46967027.027027026</v>
      </c>
      <c r="N271">
        <v>74338828.828828827</v>
      </c>
      <c r="O271">
        <v>76007558.558558553</v>
      </c>
      <c r="P271">
        <v>80180063.06306307</v>
      </c>
      <c r="Q271">
        <v>49406396.396396391</v>
      </c>
      <c r="R271">
        <v>71847567.567567572</v>
      </c>
      <c r="S271">
        <v>3851</v>
      </c>
      <c r="T271">
        <v>3811</v>
      </c>
    </row>
    <row r="272" spans="1:20" x14ac:dyDescent="0.35">
      <c r="A272" s="7" t="s">
        <v>370</v>
      </c>
      <c r="B272" s="12" t="s">
        <v>71</v>
      </c>
      <c r="C272">
        <v>52373529.03739237</v>
      </c>
      <c r="D272">
        <v>54791784.224808104</v>
      </c>
      <c r="E272">
        <v>2053153.1531531559</v>
      </c>
      <c r="F272">
        <v>1279729.729729729</v>
      </c>
      <c r="G272">
        <v>39</v>
      </c>
      <c r="H272">
        <v>25</v>
      </c>
      <c r="K272">
        <v>47</v>
      </c>
      <c r="L272">
        <v>43</v>
      </c>
      <c r="M272">
        <v>10408108.108108109</v>
      </c>
      <c r="N272">
        <v>11399549.549549548</v>
      </c>
      <c r="O272">
        <v>18119108.108108107</v>
      </c>
      <c r="P272">
        <v>17755117.117117114</v>
      </c>
      <c r="Q272">
        <v>9012702.7027027048</v>
      </c>
      <c r="R272">
        <v>10058738.73873874</v>
      </c>
      <c r="S272">
        <v>1237</v>
      </c>
      <c r="T272">
        <v>1268</v>
      </c>
    </row>
    <row r="273" spans="1:20" x14ac:dyDescent="0.35">
      <c r="A273" s="7" t="s">
        <v>371</v>
      </c>
      <c r="B273" s="12" t="s">
        <v>51</v>
      </c>
      <c r="C273">
        <v>110116045.49923737</v>
      </c>
      <c r="D273">
        <v>97545651.346299067</v>
      </c>
      <c r="E273">
        <v>1082882.8828828849</v>
      </c>
      <c r="F273">
        <v>1245495.4954954961</v>
      </c>
      <c r="G273">
        <v>24</v>
      </c>
      <c r="H273">
        <v>18</v>
      </c>
      <c r="K273">
        <v>27</v>
      </c>
      <c r="L273">
        <v>19</v>
      </c>
      <c r="M273">
        <v>7757207.2072072057</v>
      </c>
      <c r="N273">
        <v>7668018.0180180203</v>
      </c>
      <c r="O273">
        <v>49611270.270270273</v>
      </c>
      <c r="P273">
        <v>43235297.297297299</v>
      </c>
      <c r="Q273">
        <v>7458108.1081081089</v>
      </c>
      <c r="R273">
        <v>7895675.6756756762</v>
      </c>
      <c r="S273">
        <v>2728</v>
      </c>
      <c r="T273">
        <v>2472</v>
      </c>
    </row>
    <row r="274" spans="1:20" x14ac:dyDescent="0.35">
      <c r="A274" s="7" t="s">
        <v>372</v>
      </c>
      <c r="B274" s="12" t="s">
        <v>122</v>
      </c>
      <c r="C274">
        <v>108699668.28828381</v>
      </c>
      <c r="D274">
        <v>100552951.82918546</v>
      </c>
      <c r="E274">
        <v>769369.36936937005</v>
      </c>
      <c r="F274">
        <v>617117.11711711797</v>
      </c>
      <c r="G274">
        <v>47</v>
      </c>
      <c r="H274">
        <v>44</v>
      </c>
      <c r="K274">
        <v>59</v>
      </c>
      <c r="L274">
        <v>58</v>
      </c>
      <c r="M274">
        <v>5657657.6576576577</v>
      </c>
      <c r="N274">
        <v>2869369.369369369</v>
      </c>
      <c r="O274">
        <v>11642945.945945948</v>
      </c>
      <c r="P274">
        <v>11690063.063063065</v>
      </c>
      <c r="Q274">
        <v>4086576.5765765761</v>
      </c>
      <c r="R274">
        <v>2824234.2342342339</v>
      </c>
      <c r="S274">
        <v>2830</v>
      </c>
      <c r="T274">
        <v>2695</v>
      </c>
    </row>
    <row r="275" spans="1:20" x14ac:dyDescent="0.35">
      <c r="A275" s="7" t="s">
        <v>373</v>
      </c>
      <c r="B275" s="12" t="s">
        <v>374</v>
      </c>
      <c r="C275">
        <v>247625270.9237183</v>
      </c>
      <c r="D275">
        <v>249362595.18671417</v>
      </c>
      <c r="E275">
        <v>31545279.27927928</v>
      </c>
      <c r="F275">
        <v>58417487.387387395</v>
      </c>
      <c r="G275">
        <v>37</v>
      </c>
      <c r="H275">
        <v>20</v>
      </c>
      <c r="K275">
        <v>42</v>
      </c>
      <c r="L275">
        <v>26</v>
      </c>
      <c r="M275">
        <v>43198198.198198192</v>
      </c>
      <c r="N275">
        <v>81868153.153153151</v>
      </c>
      <c r="O275">
        <v>92811729.729729727</v>
      </c>
      <c r="P275">
        <v>101734806.3063063</v>
      </c>
      <c r="Q275">
        <v>45263243.24324324</v>
      </c>
      <c r="R275">
        <v>53168603.603603609</v>
      </c>
      <c r="S275">
        <v>10457</v>
      </c>
      <c r="T275">
        <v>9267</v>
      </c>
    </row>
    <row r="276" spans="1:20" x14ac:dyDescent="0.35">
      <c r="A276" s="7" t="s">
        <v>375</v>
      </c>
      <c r="B276" s="12" t="s">
        <v>67</v>
      </c>
      <c r="C276">
        <v>183458083.38381994</v>
      </c>
      <c r="D276">
        <v>197250608.93743366</v>
      </c>
      <c r="E276">
        <v>8289189.1891891947</v>
      </c>
      <c r="F276">
        <v>7226126.1261261273</v>
      </c>
      <c r="G276">
        <v>61</v>
      </c>
      <c r="H276">
        <v>37</v>
      </c>
      <c r="K276">
        <v>80</v>
      </c>
      <c r="L276">
        <v>40</v>
      </c>
      <c r="M276">
        <v>178536486.48648649</v>
      </c>
      <c r="N276">
        <v>227683558.55855855</v>
      </c>
      <c r="O276">
        <v>66459954.954954952</v>
      </c>
      <c r="P276">
        <v>74965702.702702701</v>
      </c>
      <c r="Q276">
        <v>124553153.15315315</v>
      </c>
      <c r="R276">
        <v>95165720.720720723</v>
      </c>
      <c r="S276">
        <v>7150</v>
      </c>
      <c r="T276">
        <v>7312</v>
      </c>
    </row>
    <row r="277" spans="1:20" x14ac:dyDescent="0.35">
      <c r="A277" s="7" t="s">
        <v>376</v>
      </c>
      <c r="B277" s="12" t="s">
        <v>355</v>
      </c>
      <c r="C277">
        <v>275750879.47896725</v>
      </c>
      <c r="D277">
        <v>282148860.38971508</v>
      </c>
      <c r="E277">
        <v>2548648.6486486509</v>
      </c>
      <c r="F277">
        <v>2911711.7117117159</v>
      </c>
      <c r="G277">
        <v>411</v>
      </c>
      <c r="H277">
        <v>256</v>
      </c>
      <c r="K277">
        <v>419</v>
      </c>
      <c r="L277">
        <v>272</v>
      </c>
      <c r="M277">
        <v>53094504.504504502</v>
      </c>
      <c r="N277">
        <v>52673423.423423424</v>
      </c>
      <c r="O277">
        <v>170995468.46846849</v>
      </c>
      <c r="P277">
        <v>164211576.57657659</v>
      </c>
      <c r="Q277">
        <v>55616216.216216221</v>
      </c>
      <c r="R277">
        <v>50551441.441441439</v>
      </c>
      <c r="S277">
        <v>7028</v>
      </c>
      <c r="T277">
        <v>6939</v>
      </c>
    </row>
    <row r="278" spans="1:20" x14ac:dyDescent="0.35">
      <c r="A278" s="7" t="s">
        <v>377</v>
      </c>
      <c r="B278" s="12" t="s">
        <v>67</v>
      </c>
      <c r="C278">
        <v>105893002.48559803</v>
      </c>
      <c r="D278">
        <v>109832149.00309612</v>
      </c>
      <c r="E278">
        <v>988288.28828828898</v>
      </c>
      <c r="F278">
        <v>1955855.8558558561</v>
      </c>
      <c r="G278">
        <v>45</v>
      </c>
      <c r="H278">
        <v>14</v>
      </c>
      <c r="K278">
        <v>48</v>
      </c>
      <c r="L278">
        <v>20</v>
      </c>
      <c r="M278">
        <v>7881981.9819819843</v>
      </c>
      <c r="N278">
        <v>12556981.98198198</v>
      </c>
      <c r="O278">
        <v>49909743.24324324</v>
      </c>
      <c r="P278">
        <v>49338774.774774775</v>
      </c>
      <c r="Q278">
        <v>11315855.855855856</v>
      </c>
      <c r="R278">
        <v>13277792.792792792</v>
      </c>
      <c r="S278">
        <v>5037</v>
      </c>
      <c r="T278">
        <v>5060</v>
      </c>
    </row>
    <row r="279" spans="1:20" x14ac:dyDescent="0.35">
      <c r="A279" s="7" t="s">
        <v>378</v>
      </c>
      <c r="B279" s="12" t="s">
        <v>261</v>
      </c>
      <c r="C279">
        <v>89193366.047226101</v>
      </c>
      <c r="D279">
        <v>88925089.896671072</v>
      </c>
      <c r="E279">
        <v>13513.513513514001</v>
      </c>
      <c r="F279">
        <v>315315.31531531602</v>
      </c>
      <c r="G279">
        <v>8</v>
      </c>
      <c r="H279">
        <v>15</v>
      </c>
      <c r="K279">
        <v>8</v>
      </c>
      <c r="L279">
        <v>28</v>
      </c>
      <c r="M279">
        <v>3752252.2522522518</v>
      </c>
      <c r="N279">
        <v>7539639.6396396402</v>
      </c>
      <c r="O279">
        <v>14761504.504504504</v>
      </c>
      <c r="P279">
        <v>20289265.765765768</v>
      </c>
      <c r="Q279">
        <v>2836756.7567567569</v>
      </c>
      <c r="R279">
        <v>5107567.5675675673</v>
      </c>
      <c r="S279">
        <v>1668</v>
      </c>
      <c r="T279">
        <v>1607</v>
      </c>
    </row>
    <row r="280" spans="1:20" x14ac:dyDescent="0.35">
      <c r="A280" s="7" t="s">
        <v>379</v>
      </c>
      <c r="B280" s="12" t="s">
        <v>355</v>
      </c>
      <c r="C280">
        <v>229244907.90942824</v>
      </c>
      <c r="D280">
        <v>224835119.20155635</v>
      </c>
      <c r="E280">
        <v>25088288.288288288</v>
      </c>
      <c r="F280">
        <v>84447747.747747749</v>
      </c>
      <c r="G280">
        <v>53</v>
      </c>
      <c r="H280">
        <v>61</v>
      </c>
      <c r="K280">
        <v>54</v>
      </c>
      <c r="L280">
        <v>66</v>
      </c>
      <c r="M280">
        <v>56438423.423423424</v>
      </c>
      <c r="N280">
        <v>67368918.918918923</v>
      </c>
      <c r="O280">
        <v>128376771.17117117</v>
      </c>
      <c r="P280">
        <v>124977729.72972973</v>
      </c>
      <c r="Q280">
        <v>41418018.018018015</v>
      </c>
      <c r="R280">
        <v>39478918.918918923</v>
      </c>
      <c r="S280">
        <v>4712</v>
      </c>
      <c r="T280">
        <v>4702</v>
      </c>
    </row>
    <row r="281" spans="1:20" x14ac:dyDescent="0.35">
      <c r="A281" s="7" t="s">
        <v>380</v>
      </c>
      <c r="B281" s="12" t="s">
        <v>88</v>
      </c>
      <c r="C281">
        <v>6427137.1948513277</v>
      </c>
      <c r="D281">
        <v>5802092.3934227303</v>
      </c>
      <c r="G281">
        <v>2</v>
      </c>
      <c r="H281">
        <v>1</v>
      </c>
      <c r="K281">
        <v>3</v>
      </c>
      <c r="L281">
        <v>1</v>
      </c>
      <c r="O281">
        <v>340675.67567567597</v>
      </c>
      <c r="P281">
        <v>1280090.0900900899</v>
      </c>
      <c r="S281">
        <v>180</v>
      </c>
      <c r="T281">
        <v>207</v>
      </c>
    </row>
    <row r="282" spans="1:20" x14ac:dyDescent="0.35">
      <c r="A282" s="7" t="s">
        <v>381</v>
      </c>
      <c r="B282" s="12" t="s">
        <v>88</v>
      </c>
      <c r="C282">
        <v>8992921.0633886065</v>
      </c>
      <c r="D282">
        <v>7990788.8902909597</v>
      </c>
      <c r="G282">
        <v>18</v>
      </c>
      <c r="H282">
        <v>23</v>
      </c>
      <c r="K282">
        <v>20</v>
      </c>
      <c r="L282">
        <v>27</v>
      </c>
      <c r="O282">
        <v>1098927.927927928</v>
      </c>
      <c r="P282">
        <v>1670765.7657657659</v>
      </c>
      <c r="S282">
        <v>362</v>
      </c>
      <c r="T282">
        <v>359</v>
      </c>
    </row>
    <row r="283" spans="1:20" x14ac:dyDescent="0.35">
      <c r="A283" s="7" t="s">
        <v>382</v>
      </c>
      <c r="B283" s="12" t="s">
        <v>81</v>
      </c>
      <c r="C283">
        <v>1561650255.4712276</v>
      </c>
      <c r="D283">
        <v>1595176304.4551251</v>
      </c>
      <c r="E283">
        <v>600357409.009009</v>
      </c>
      <c r="F283">
        <v>697549358.55855858</v>
      </c>
      <c r="G283">
        <v>579</v>
      </c>
      <c r="H283">
        <v>339</v>
      </c>
      <c r="I283">
        <v>12</v>
      </c>
      <c r="K283">
        <v>720</v>
      </c>
      <c r="L283">
        <v>568</v>
      </c>
      <c r="M283">
        <v>192685585.58558556</v>
      </c>
      <c r="N283">
        <v>517775878.37837839</v>
      </c>
      <c r="O283">
        <v>404755689.63963962</v>
      </c>
      <c r="P283">
        <v>455165886.48648643</v>
      </c>
      <c r="Q283">
        <v>174118378.37837836</v>
      </c>
      <c r="R283">
        <v>220089099.09909907</v>
      </c>
      <c r="S283">
        <v>36562</v>
      </c>
      <c r="T283">
        <v>38785</v>
      </c>
    </row>
    <row r="284" spans="1:20" x14ac:dyDescent="0.35">
      <c r="A284" s="7" t="s">
        <v>383</v>
      </c>
      <c r="B284" s="12" t="s">
        <v>81</v>
      </c>
      <c r="C284">
        <v>428611979.64715356</v>
      </c>
      <c r="D284">
        <v>423313988.00026232</v>
      </c>
      <c r="E284">
        <v>5010135.1351351393</v>
      </c>
      <c r="F284">
        <v>4703603.6036036089</v>
      </c>
      <c r="G284">
        <v>123</v>
      </c>
      <c r="H284">
        <v>142</v>
      </c>
      <c r="I284">
        <v>1</v>
      </c>
      <c r="K284">
        <v>197</v>
      </c>
      <c r="L284">
        <v>250</v>
      </c>
      <c r="M284">
        <v>83057657.657657668</v>
      </c>
      <c r="N284">
        <v>103081981.98198198</v>
      </c>
      <c r="O284">
        <v>177323339.1891892</v>
      </c>
      <c r="P284">
        <v>181865098.1981982</v>
      </c>
      <c r="Q284">
        <v>72480039.639639631</v>
      </c>
      <c r="R284">
        <v>93214277.477477476</v>
      </c>
      <c r="S284">
        <v>9882</v>
      </c>
      <c r="T284">
        <v>9809</v>
      </c>
    </row>
    <row r="285" spans="1:20" x14ac:dyDescent="0.35">
      <c r="A285" s="7" t="s">
        <v>384</v>
      </c>
      <c r="B285" s="12" t="s">
        <v>81</v>
      </c>
      <c r="C285">
        <v>542875287.30064392</v>
      </c>
      <c r="D285">
        <v>563901568.56088233</v>
      </c>
      <c r="E285">
        <v>565835.13513513596</v>
      </c>
      <c r="F285">
        <v>933333.33333333605</v>
      </c>
      <c r="G285">
        <v>75</v>
      </c>
      <c r="H285">
        <v>35</v>
      </c>
      <c r="I285">
        <v>2</v>
      </c>
      <c r="K285">
        <v>83</v>
      </c>
      <c r="L285">
        <v>42</v>
      </c>
      <c r="M285">
        <v>19589689.189189192</v>
      </c>
      <c r="N285">
        <v>31850450.450450446</v>
      </c>
      <c r="O285">
        <v>108678864.86486487</v>
      </c>
      <c r="P285">
        <v>122508628.82882883</v>
      </c>
      <c r="Q285">
        <v>28911081.081081081</v>
      </c>
      <c r="R285">
        <v>36966576.576576576</v>
      </c>
      <c r="S285">
        <v>9360</v>
      </c>
      <c r="T285">
        <v>9607</v>
      </c>
    </row>
    <row r="286" spans="1:20" x14ac:dyDescent="0.35">
      <c r="A286" s="7" t="s">
        <v>385</v>
      </c>
      <c r="B286" s="12" t="s">
        <v>69</v>
      </c>
      <c r="C286">
        <v>238215244.04714772</v>
      </c>
      <c r="D286">
        <v>224524243.41813371</v>
      </c>
      <c r="E286">
        <v>15104504.504504504</v>
      </c>
      <c r="F286">
        <v>24704504.504504509</v>
      </c>
      <c r="G286">
        <v>53</v>
      </c>
      <c r="H286">
        <v>24</v>
      </c>
      <c r="K286">
        <v>58</v>
      </c>
      <c r="L286">
        <v>35</v>
      </c>
      <c r="M286">
        <v>10517117.117117116</v>
      </c>
      <c r="N286">
        <v>13107207.207207208</v>
      </c>
      <c r="O286">
        <v>34145126.126126125</v>
      </c>
      <c r="P286">
        <v>33325365.765765768</v>
      </c>
      <c r="Q286">
        <v>8433333.3333333321</v>
      </c>
      <c r="R286">
        <v>9233513.5135135148</v>
      </c>
      <c r="S286">
        <v>4843</v>
      </c>
      <c r="T286">
        <v>5393</v>
      </c>
    </row>
    <row r="287" spans="1:20" x14ac:dyDescent="0.35">
      <c r="A287" s="7" t="s">
        <v>386</v>
      </c>
      <c r="B287" s="12" t="s">
        <v>168</v>
      </c>
      <c r="C287">
        <v>87004910.635064363</v>
      </c>
      <c r="D287">
        <v>93280425.852261692</v>
      </c>
      <c r="E287">
        <v>1670270.2702702719</v>
      </c>
      <c r="F287">
        <v>1031531.531531531</v>
      </c>
      <c r="G287">
        <v>30</v>
      </c>
      <c r="H287">
        <v>16</v>
      </c>
      <c r="K287">
        <v>37</v>
      </c>
      <c r="L287">
        <v>21</v>
      </c>
      <c r="M287">
        <v>21655020.72072072</v>
      </c>
      <c r="N287">
        <v>12046846.846846843</v>
      </c>
      <c r="O287">
        <v>36339252.252252258</v>
      </c>
      <c r="P287">
        <v>43384511.711711712</v>
      </c>
      <c r="Q287">
        <v>19525585.585585583</v>
      </c>
      <c r="R287">
        <v>15549189.189189188</v>
      </c>
      <c r="S287">
        <v>2356</v>
      </c>
      <c r="T287">
        <v>2499</v>
      </c>
    </row>
    <row r="288" spans="1:20" x14ac:dyDescent="0.35">
      <c r="A288" s="7" t="s">
        <v>387</v>
      </c>
      <c r="B288" s="12" t="s">
        <v>95</v>
      </c>
      <c r="C288">
        <v>482440905.24673408</v>
      </c>
      <c r="D288">
        <v>488763717.3214311</v>
      </c>
      <c r="E288">
        <v>657657.65765765903</v>
      </c>
      <c r="F288">
        <v>1463963.9639639659</v>
      </c>
      <c r="G288">
        <v>109</v>
      </c>
      <c r="H288">
        <v>104</v>
      </c>
      <c r="I288">
        <v>1</v>
      </c>
      <c r="K288">
        <v>121</v>
      </c>
      <c r="L288">
        <v>118</v>
      </c>
      <c r="M288">
        <v>19288288.288288288</v>
      </c>
      <c r="N288">
        <v>19806306.306306306</v>
      </c>
      <c r="O288">
        <v>59212477.477477483</v>
      </c>
      <c r="P288">
        <v>73154387.387387395</v>
      </c>
      <c r="Q288">
        <v>15296666.666666668</v>
      </c>
      <c r="R288">
        <v>12346936.936936937</v>
      </c>
      <c r="S288">
        <v>8274</v>
      </c>
      <c r="T288">
        <v>9532</v>
      </c>
    </row>
    <row r="289" spans="1:20" x14ac:dyDescent="0.35">
      <c r="A289" s="7" t="s">
        <v>388</v>
      </c>
      <c r="B289" s="12" t="s">
        <v>215</v>
      </c>
      <c r="C289">
        <v>84855874.953867063</v>
      </c>
      <c r="D289">
        <v>92132695.738276705</v>
      </c>
      <c r="E289">
        <v>936036.03603603703</v>
      </c>
      <c r="F289">
        <v>1188288.288288289</v>
      </c>
      <c r="G289">
        <v>37</v>
      </c>
      <c r="H289">
        <v>1</v>
      </c>
      <c r="K289">
        <v>40</v>
      </c>
      <c r="L289">
        <v>3</v>
      </c>
      <c r="M289">
        <v>2737837.8378378381</v>
      </c>
      <c r="N289">
        <v>4280180.1801801799</v>
      </c>
      <c r="O289">
        <v>40521252.252252258</v>
      </c>
      <c r="P289">
        <v>43833315.315315314</v>
      </c>
      <c r="Q289">
        <v>2241531.5315315309</v>
      </c>
      <c r="R289">
        <v>3496216.2162162159</v>
      </c>
      <c r="S289">
        <v>2249</v>
      </c>
      <c r="T289">
        <v>2515</v>
      </c>
    </row>
    <row r="290" spans="1:20" x14ac:dyDescent="0.35">
      <c r="A290" s="7" t="s">
        <v>389</v>
      </c>
      <c r="B290" s="12" t="s">
        <v>118</v>
      </c>
      <c r="C290">
        <v>34397371.262975216</v>
      </c>
      <c r="D290">
        <v>32924554.734518953</v>
      </c>
      <c r="E290">
        <v>534234.23423423304</v>
      </c>
      <c r="F290">
        <v>293693.69369369501</v>
      </c>
      <c r="G290">
        <v>18</v>
      </c>
      <c r="H290">
        <v>21</v>
      </c>
      <c r="K290">
        <v>27</v>
      </c>
      <c r="L290">
        <v>25</v>
      </c>
      <c r="M290">
        <v>9137953.1531531531</v>
      </c>
      <c r="N290">
        <v>7088229.7297297288</v>
      </c>
      <c r="O290">
        <v>15766135.135135137</v>
      </c>
      <c r="P290">
        <v>14278846.846846849</v>
      </c>
      <c r="Q290">
        <v>6807117.1171171172</v>
      </c>
      <c r="R290">
        <v>5775135.1351351338</v>
      </c>
      <c r="S290">
        <v>1724</v>
      </c>
      <c r="T290">
        <v>1781</v>
      </c>
    </row>
    <row r="291" spans="1:20" x14ac:dyDescent="0.35">
      <c r="A291" s="7" t="s">
        <v>390</v>
      </c>
      <c r="B291" s="12" t="s">
        <v>316</v>
      </c>
      <c r="C291">
        <v>148925063.73349836</v>
      </c>
      <c r="D291">
        <v>147356873.25713351</v>
      </c>
      <c r="E291">
        <v>381081.08108108101</v>
      </c>
      <c r="F291">
        <v>31531.531531533001</v>
      </c>
      <c r="G291">
        <v>14</v>
      </c>
      <c r="H291">
        <v>11</v>
      </c>
      <c r="I291">
        <v>1</v>
      </c>
      <c r="K291">
        <v>14</v>
      </c>
      <c r="L291">
        <v>12</v>
      </c>
      <c r="M291">
        <v>4435135.1351351347</v>
      </c>
      <c r="N291">
        <v>6680180.1801801799</v>
      </c>
      <c r="O291">
        <v>30603297.297297295</v>
      </c>
      <c r="P291">
        <v>30633459.459459461</v>
      </c>
      <c r="Q291">
        <v>5729369.3693693699</v>
      </c>
      <c r="R291">
        <v>6664594.5945945941</v>
      </c>
      <c r="S291">
        <v>2529</v>
      </c>
      <c r="T291">
        <v>2827</v>
      </c>
    </row>
    <row r="292" spans="1:20" x14ac:dyDescent="0.35">
      <c r="A292" s="7" t="s">
        <v>391</v>
      </c>
      <c r="B292" s="12" t="s">
        <v>225</v>
      </c>
      <c r="C292">
        <v>64336988.269782484</v>
      </c>
      <c r="D292">
        <v>63111729.368619055</v>
      </c>
      <c r="G292">
        <v>6</v>
      </c>
      <c r="H292">
        <v>4</v>
      </c>
      <c r="K292">
        <v>6</v>
      </c>
      <c r="L292">
        <v>4</v>
      </c>
      <c r="O292">
        <v>12132657.657657659</v>
      </c>
      <c r="P292">
        <v>12713585.585585587</v>
      </c>
      <c r="S292">
        <v>1441</v>
      </c>
      <c r="T292">
        <v>1505</v>
      </c>
    </row>
    <row r="293" spans="1:20" x14ac:dyDescent="0.35">
      <c r="A293" s="7" t="s">
        <v>6</v>
      </c>
      <c r="B293" s="12" t="s">
        <v>194</v>
      </c>
      <c r="C293">
        <v>536923485.35343707</v>
      </c>
      <c r="D293">
        <v>522160443.94500732</v>
      </c>
      <c r="E293">
        <v>6261736.0360360453</v>
      </c>
      <c r="F293">
        <v>20326950.45045045</v>
      </c>
      <c r="G293">
        <v>275</v>
      </c>
      <c r="H293">
        <v>201</v>
      </c>
      <c r="K293">
        <v>725</v>
      </c>
      <c r="L293">
        <v>914</v>
      </c>
      <c r="M293">
        <v>195703724.32432431</v>
      </c>
      <c r="N293">
        <v>389162716.21621621</v>
      </c>
      <c r="O293">
        <v>365875837.83783782</v>
      </c>
      <c r="P293">
        <v>347257522.52252251</v>
      </c>
      <c r="Q293">
        <v>164039819.81981981</v>
      </c>
      <c r="R293">
        <v>347577027.02702701</v>
      </c>
      <c r="S293">
        <v>12977</v>
      </c>
      <c r="T293">
        <v>12561</v>
      </c>
    </row>
    <row r="294" spans="1:20" x14ac:dyDescent="0.35">
      <c r="A294" s="7" t="s">
        <v>392</v>
      </c>
      <c r="B294" s="12" t="s">
        <v>122</v>
      </c>
      <c r="C294">
        <v>24364366.064293273</v>
      </c>
      <c r="D294">
        <v>23101860.096892934</v>
      </c>
      <c r="G294">
        <v>9</v>
      </c>
      <c r="H294">
        <v>13</v>
      </c>
      <c r="K294">
        <v>9</v>
      </c>
      <c r="L294">
        <v>16</v>
      </c>
      <c r="O294">
        <v>1081081.0810810809</v>
      </c>
      <c r="P294">
        <v>1610369.369369369</v>
      </c>
      <c r="S294">
        <v>534</v>
      </c>
      <c r="T294">
        <v>528</v>
      </c>
    </row>
    <row r="295" spans="1:20" x14ac:dyDescent="0.35">
      <c r="A295" s="7" t="s">
        <v>393</v>
      </c>
      <c r="B295" s="12" t="s">
        <v>135</v>
      </c>
      <c r="C295">
        <v>71608109.033155978</v>
      </c>
      <c r="D295">
        <v>78879352.307640448</v>
      </c>
      <c r="E295">
        <v>67567.567567567996</v>
      </c>
      <c r="F295">
        <v>528828.82882883004</v>
      </c>
      <c r="G295">
        <v>22</v>
      </c>
      <c r="H295">
        <v>13</v>
      </c>
      <c r="K295">
        <v>27</v>
      </c>
      <c r="L295">
        <v>16</v>
      </c>
      <c r="M295">
        <v>5040540.5405405387</v>
      </c>
      <c r="N295">
        <v>7274324.3243243229</v>
      </c>
      <c r="O295">
        <v>14114556.756756756</v>
      </c>
      <c r="P295">
        <v>22178189.189189188</v>
      </c>
      <c r="Q295">
        <v>1543063.0630630639</v>
      </c>
      <c r="R295">
        <v>3010000.0000000009</v>
      </c>
      <c r="S295">
        <v>3548</v>
      </c>
      <c r="T295">
        <v>3728</v>
      </c>
    </row>
    <row r="296" spans="1:20" x14ac:dyDescent="0.35">
      <c r="A296" s="7" t="s">
        <v>394</v>
      </c>
      <c r="B296" s="12" t="s">
        <v>59</v>
      </c>
      <c r="C296">
        <v>352516916.51368743</v>
      </c>
      <c r="D296">
        <v>374898969.86370516</v>
      </c>
      <c r="E296">
        <v>23555630.630630635</v>
      </c>
      <c r="F296">
        <v>21406306.306306314</v>
      </c>
      <c r="G296">
        <v>117</v>
      </c>
      <c r="H296">
        <v>106</v>
      </c>
      <c r="K296">
        <v>155</v>
      </c>
      <c r="L296">
        <v>118</v>
      </c>
      <c r="M296">
        <v>33280180.180180185</v>
      </c>
      <c r="N296">
        <v>44919819.819819823</v>
      </c>
      <c r="O296">
        <v>57227027.027027026</v>
      </c>
      <c r="P296">
        <v>67809513.513513505</v>
      </c>
      <c r="Q296">
        <v>33401171.17117117</v>
      </c>
      <c r="R296">
        <v>41648648.648648649</v>
      </c>
      <c r="S296">
        <v>9789</v>
      </c>
      <c r="T296">
        <v>9110</v>
      </c>
    </row>
    <row r="297" spans="1:20" x14ac:dyDescent="0.35">
      <c r="A297" s="7" t="s">
        <v>395</v>
      </c>
      <c r="B297" s="12" t="s">
        <v>135</v>
      </c>
      <c r="C297">
        <v>120834574.5263802</v>
      </c>
      <c r="D297">
        <v>131628584.73205176</v>
      </c>
      <c r="E297">
        <v>658558.55855855905</v>
      </c>
      <c r="F297">
        <v>872072.07207207195</v>
      </c>
      <c r="G297">
        <v>25</v>
      </c>
      <c r="H297">
        <v>14</v>
      </c>
      <c r="K297">
        <v>29</v>
      </c>
      <c r="L297">
        <v>17</v>
      </c>
      <c r="M297">
        <v>17113513.513513513</v>
      </c>
      <c r="N297">
        <v>21719819.819819819</v>
      </c>
      <c r="O297">
        <v>22753549.54954955</v>
      </c>
      <c r="P297">
        <v>29107315.315315317</v>
      </c>
      <c r="Q297">
        <v>11477117.117117116</v>
      </c>
      <c r="R297">
        <v>13522522.522522524</v>
      </c>
      <c r="S297">
        <v>3905</v>
      </c>
      <c r="T297">
        <v>4001</v>
      </c>
    </row>
    <row r="298" spans="1:20" x14ac:dyDescent="0.35">
      <c r="A298" s="7" t="s">
        <v>396</v>
      </c>
      <c r="B298" s="12" t="s">
        <v>55</v>
      </c>
      <c r="C298">
        <v>50886453.244956017</v>
      </c>
      <c r="D298">
        <v>50192948.581084825</v>
      </c>
      <c r="E298">
        <v>42342.342342342003</v>
      </c>
      <c r="F298">
        <v>531531.53153153101</v>
      </c>
      <c r="G298">
        <v>14</v>
      </c>
      <c r="H298">
        <v>13</v>
      </c>
      <c r="K298">
        <v>15</v>
      </c>
      <c r="L298">
        <v>14</v>
      </c>
      <c r="M298">
        <v>2763063.0630630632</v>
      </c>
      <c r="N298">
        <v>3099099.0990990992</v>
      </c>
      <c r="O298">
        <v>8493585.5855855867</v>
      </c>
      <c r="P298">
        <v>8278450.4504504511</v>
      </c>
      <c r="Q298">
        <v>2948378.3783783782</v>
      </c>
      <c r="R298">
        <v>2813693.6936936942</v>
      </c>
      <c r="S298">
        <v>1564</v>
      </c>
      <c r="T298">
        <v>1452</v>
      </c>
    </row>
    <row r="299" spans="1:20" x14ac:dyDescent="0.35">
      <c r="A299" s="7" t="s">
        <v>397</v>
      </c>
      <c r="B299" s="12" t="s">
        <v>398</v>
      </c>
      <c r="C299">
        <v>360464773.85120136</v>
      </c>
      <c r="D299">
        <v>358768104.9835059</v>
      </c>
      <c r="E299">
        <v>2566666.666666667</v>
      </c>
      <c r="F299">
        <v>4567117.11711712</v>
      </c>
      <c r="G299">
        <v>150</v>
      </c>
      <c r="H299">
        <v>139</v>
      </c>
      <c r="I299">
        <v>1</v>
      </c>
      <c r="K299">
        <v>291</v>
      </c>
      <c r="L299">
        <v>169</v>
      </c>
      <c r="M299">
        <v>42047747.747747742</v>
      </c>
      <c r="N299">
        <v>43653378.378378384</v>
      </c>
      <c r="O299">
        <v>71871217.117117122</v>
      </c>
      <c r="P299">
        <v>76914900.9009009</v>
      </c>
      <c r="Q299">
        <v>38972252.252252251</v>
      </c>
      <c r="R299">
        <v>39415000</v>
      </c>
      <c r="S299">
        <v>9951</v>
      </c>
      <c r="T299">
        <v>9602</v>
      </c>
    </row>
    <row r="300" spans="1:20" x14ac:dyDescent="0.35">
      <c r="A300" s="7" t="s">
        <v>399</v>
      </c>
      <c r="B300" s="12" t="s">
        <v>400</v>
      </c>
      <c r="C300">
        <v>392341138.42694944</v>
      </c>
      <c r="D300">
        <v>399065960.12315238</v>
      </c>
      <c r="E300">
        <v>5600675.6756756781</v>
      </c>
      <c r="F300">
        <v>1672972.972972973</v>
      </c>
      <c r="G300">
        <v>87</v>
      </c>
      <c r="H300">
        <v>80</v>
      </c>
      <c r="K300">
        <v>96</v>
      </c>
      <c r="L300">
        <v>93</v>
      </c>
      <c r="M300">
        <v>43660360.360360362</v>
      </c>
      <c r="N300">
        <v>46822043.24324324</v>
      </c>
      <c r="O300">
        <v>71994855.855855852</v>
      </c>
      <c r="P300">
        <v>81772234.234234244</v>
      </c>
      <c r="Q300">
        <v>42274864.864864863</v>
      </c>
      <c r="R300">
        <v>44542882.882882878</v>
      </c>
      <c r="S300">
        <v>11593</v>
      </c>
      <c r="T300">
        <v>11375</v>
      </c>
    </row>
    <row r="301" spans="1:20" x14ac:dyDescent="0.35">
      <c r="A301" s="7" t="s">
        <v>401</v>
      </c>
      <c r="B301" s="12" t="s">
        <v>141</v>
      </c>
      <c r="C301">
        <v>125680339.12435512</v>
      </c>
      <c r="D301">
        <v>130559223.04299437</v>
      </c>
      <c r="E301">
        <v>1838738.7387387401</v>
      </c>
      <c r="F301">
        <v>1504504.5045045051</v>
      </c>
      <c r="G301">
        <v>41</v>
      </c>
      <c r="H301">
        <v>24</v>
      </c>
      <c r="K301">
        <v>42</v>
      </c>
      <c r="L301">
        <v>28</v>
      </c>
      <c r="M301">
        <v>27437117.117117122</v>
      </c>
      <c r="N301">
        <v>31590090.090090089</v>
      </c>
      <c r="O301">
        <v>40539972.972972974</v>
      </c>
      <c r="P301">
        <v>43059270.270270273</v>
      </c>
      <c r="Q301">
        <v>25962522.52252252</v>
      </c>
      <c r="R301">
        <v>28627837.837837841</v>
      </c>
      <c r="S301">
        <v>3236</v>
      </c>
      <c r="T301">
        <v>3177</v>
      </c>
    </row>
    <row r="302" spans="1:20" x14ac:dyDescent="0.35">
      <c r="A302" s="7" t="s">
        <v>402</v>
      </c>
      <c r="B302" s="12" t="s">
        <v>122</v>
      </c>
      <c r="C302">
        <v>33672591.701471105</v>
      </c>
      <c r="D302">
        <v>31278140.153492633</v>
      </c>
      <c r="E302">
        <v>387387.38738738699</v>
      </c>
      <c r="F302">
        <v>94594.594594594993</v>
      </c>
      <c r="G302">
        <v>15</v>
      </c>
      <c r="H302">
        <v>26</v>
      </c>
      <c r="K302">
        <v>20</v>
      </c>
      <c r="L302">
        <v>34</v>
      </c>
      <c r="M302">
        <v>2189189.1891891891</v>
      </c>
      <c r="N302">
        <v>1896396.3963963969</v>
      </c>
      <c r="O302">
        <v>3379425.6756756762</v>
      </c>
      <c r="P302">
        <v>5080450.4504504502</v>
      </c>
      <c r="Q302">
        <v>871081.08108108095</v>
      </c>
      <c r="R302">
        <v>1503873.8738738729</v>
      </c>
      <c r="S302">
        <v>1066</v>
      </c>
      <c r="T302">
        <v>1059</v>
      </c>
    </row>
    <row r="303" spans="1:20" x14ac:dyDescent="0.35">
      <c r="A303" s="7" t="s">
        <v>403</v>
      </c>
      <c r="B303" s="12" t="s">
        <v>291</v>
      </c>
      <c r="C303">
        <v>53978218.178084962</v>
      </c>
      <c r="D303">
        <v>55496533.268864423</v>
      </c>
      <c r="E303">
        <v>348198.19819820003</v>
      </c>
      <c r="F303">
        <v>63063.063063062997</v>
      </c>
      <c r="G303">
        <v>9</v>
      </c>
      <c r="H303">
        <v>9</v>
      </c>
      <c r="K303">
        <v>12</v>
      </c>
      <c r="L303">
        <v>13</v>
      </c>
      <c r="M303">
        <v>1172972.972972973</v>
      </c>
      <c r="N303">
        <v>3531531.5315315309</v>
      </c>
      <c r="O303">
        <v>7074360.3603603598</v>
      </c>
      <c r="P303">
        <v>8390522.5225225221</v>
      </c>
      <c r="Q303">
        <v>2307747.7477477472</v>
      </c>
      <c r="R303">
        <v>1889279.27927928</v>
      </c>
      <c r="S303">
        <v>1637</v>
      </c>
      <c r="T303">
        <v>2339</v>
      </c>
    </row>
    <row r="304" spans="1:20" x14ac:dyDescent="0.35">
      <c r="A304" s="7" t="s">
        <v>404</v>
      </c>
      <c r="B304" s="12" t="s">
        <v>122</v>
      </c>
      <c r="C304">
        <v>61995363.778968945</v>
      </c>
      <c r="D304">
        <v>54502370.035771891</v>
      </c>
      <c r="E304">
        <v>55630.630630631</v>
      </c>
      <c r="G304">
        <v>12</v>
      </c>
      <c r="H304">
        <v>8</v>
      </c>
      <c r="K304">
        <v>13</v>
      </c>
      <c r="L304">
        <v>8</v>
      </c>
      <c r="M304">
        <v>58558.558558559002</v>
      </c>
      <c r="O304">
        <v>4883504.5045045046</v>
      </c>
      <c r="P304">
        <v>5917567.5675675683</v>
      </c>
      <c r="R304">
        <v>13513.513513514001</v>
      </c>
      <c r="S304">
        <v>1048</v>
      </c>
      <c r="T304">
        <v>1058</v>
      </c>
    </row>
    <row r="305" spans="1:20" x14ac:dyDescent="0.35">
      <c r="A305" s="7" t="s">
        <v>405</v>
      </c>
      <c r="B305" s="12" t="s">
        <v>369</v>
      </c>
      <c r="C305">
        <v>133570565.74832378</v>
      </c>
      <c r="D305">
        <v>142743248.50875989</v>
      </c>
      <c r="E305">
        <v>88161651.351351351</v>
      </c>
      <c r="F305">
        <v>79672468.468468487</v>
      </c>
      <c r="G305">
        <v>102</v>
      </c>
      <c r="H305">
        <v>9</v>
      </c>
      <c r="K305">
        <v>155</v>
      </c>
      <c r="L305">
        <v>11</v>
      </c>
      <c r="M305">
        <v>28907657.657657657</v>
      </c>
      <c r="N305">
        <v>35565045.045045048</v>
      </c>
      <c r="O305">
        <v>48512216.216216214</v>
      </c>
      <c r="P305">
        <v>47721618.018018015</v>
      </c>
      <c r="Q305">
        <v>25645315.315315314</v>
      </c>
      <c r="R305">
        <v>34653783.783783786</v>
      </c>
      <c r="S305">
        <v>3871</v>
      </c>
      <c r="T305">
        <v>3763</v>
      </c>
    </row>
    <row r="306" spans="1:20" x14ac:dyDescent="0.35">
      <c r="A306" s="7" t="s">
        <v>406</v>
      </c>
      <c r="B306" s="12" t="s">
        <v>141</v>
      </c>
      <c r="C306">
        <v>65582817.414902039</v>
      </c>
      <c r="D306">
        <v>67481956.287921205</v>
      </c>
      <c r="E306">
        <v>55066441.441441439</v>
      </c>
      <c r="F306">
        <v>102465945.94594595</v>
      </c>
      <c r="G306">
        <v>14</v>
      </c>
      <c r="H306">
        <v>3</v>
      </c>
      <c r="K306">
        <v>16</v>
      </c>
      <c r="L306">
        <v>5</v>
      </c>
      <c r="M306">
        <v>8414774.7747747749</v>
      </c>
      <c r="N306">
        <v>12781036.036036037</v>
      </c>
      <c r="O306">
        <v>17992917.117117118</v>
      </c>
      <c r="P306">
        <v>20934180.180180181</v>
      </c>
      <c r="Q306">
        <v>9811081.0810810793</v>
      </c>
      <c r="R306">
        <v>12692882.882882884</v>
      </c>
      <c r="S306">
        <v>1445</v>
      </c>
      <c r="T306">
        <v>1466</v>
      </c>
    </row>
    <row r="307" spans="1:20" x14ac:dyDescent="0.35">
      <c r="A307" s="7" t="s">
        <v>407</v>
      </c>
      <c r="B307" s="12" t="s">
        <v>55</v>
      </c>
      <c r="C307">
        <v>90648511.761814505</v>
      </c>
      <c r="D307">
        <v>93352145.311723664</v>
      </c>
      <c r="E307">
        <v>1735135.135135137</v>
      </c>
      <c r="F307">
        <v>3562162.1621621619</v>
      </c>
      <c r="G307">
        <v>107</v>
      </c>
      <c r="H307">
        <v>65</v>
      </c>
      <c r="I307">
        <v>1</v>
      </c>
      <c r="K307">
        <v>191</v>
      </c>
      <c r="L307">
        <v>99</v>
      </c>
      <c r="M307">
        <v>8802702.7027027048</v>
      </c>
      <c r="N307">
        <v>10539639.63963964</v>
      </c>
      <c r="O307">
        <v>20801522.522522524</v>
      </c>
      <c r="P307">
        <v>22008846.846846849</v>
      </c>
      <c r="Q307">
        <v>9498198.1981981974</v>
      </c>
      <c r="R307">
        <v>9845315.3153153136</v>
      </c>
      <c r="S307">
        <v>2129</v>
      </c>
      <c r="T307">
        <v>2210</v>
      </c>
    </row>
    <row r="308" spans="1:20" x14ac:dyDescent="0.35">
      <c r="A308" s="7" t="s">
        <v>408</v>
      </c>
      <c r="B308" s="12" t="s">
        <v>135</v>
      </c>
      <c r="C308">
        <v>41289059.213695347</v>
      </c>
      <c r="D308">
        <v>46115334.537537009</v>
      </c>
      <c r="E308">
        <v>27027.027027027001</v>
      </c>
      <c r="F308">
        <v>239639.639639639</v>
      </c>
      <c r="G308">
        <v>6</v>
      </c>
      <c r="K308">
        <v>6</v>
      </c>
      <c r="L308">
        <v>1</v>
      </c>
      <c r="M308">
        <v>1594594.5945945941</v>
      </c>
      <c r="N308">
        <v>3572972.9729729728</v>
      </c>
      <c r="O308">
        <v>3848801.8018018012</v>
      </c>
      <c r="P308">
        <v>5652873.8738738736</v>
      </c>
      <c r="Q308">
        <v>1082972.9729729721</v>
      </c>
      <c r="R308">
        <v>3207207.2072072071</v>
      </c>
      <c r="S308">
        <v>903</v>
      </c>
      <c r="T308">
        <v>934</v>
      </c>
    </row>
    <row r="309" spans="1:20" x14ac:dyDescent="0.35">
      <c r="A309" s="7" t="s">
        <v>409</v>
      </c>
      <c r="B309" s="12" t="s">
        <v>291</v>
      </c>
      <c r="C309">
        <v>22607737.976329539</v>
      </c>
      <c r="D309">
        <v>23489872.436131574</v>
      </c>
      <c r="E309">
        <v>334234.23423423502</v>
      </c>
      <c r="F309">
        <v>198198.19819819901</v>
      </c>
      <c r="G309">
        <v>8</v>
      </c>
      <c r="H309">
        <v>9</v>
      </c>
      <c r="K309">
        <v>9</v>
      </c>
      <c r="L309">
        <v>9</v>
      </c>
      <c r="M309">
        <v>5075675.6756756762</v>
      </c>
      <c r="N309">
        <v>2180180.1801801799</v>
      </c>
      <c r="O309">
        <v>4509369.369369369</v>
      </c>
      <c r="P309">
        <v>5238531.5315315323</v>
      </c>
      <c r="Q309">
        <v>2615495.4954954949</v>
      </c>
      <c r="R309">
        <v>1481261.2612612611</v>
      </c>
      <c r="S309">
        <v>897</v>
      </c>
      <c r="T309">
        <v>900</v>
      </c>
    </row>
    <row r="310" spans="1:20" x14ac:dyDescent="0.35">
      <c r="A310" s="7" t="s">
        <v>410</v>
      </c>
      <c r="B310" s="12" t="s">
        <v>179</v>
      </c>
      <c r="C310">
        <v>410140040.91970676</v>
      </c>
      <c r="D310">
        <v>402388029.3392061</v>
      </c>
      <c r="E310">
        <v>1804504.5045045081</v>
      </c>
      <c r="F310">
        <v>4102702.7027027048</v>
      </c>
      <c r="G310">
        <v>117</v>
      </c>
      <c r="H310">
        <v>64</v>
      </c>
      <c r="K310">
        <v>247</v>
      </c>
      <c r="L310">
        <v>77</v>
      </c>
      <c r="M310">
        <v>48029810.810810819</v>
      </c>
      <c r="N310">
        <v>50593243.24324324</v>
      </c>
      <c r="O310">
        <v>142592378.37837839</v>
      </c>
      <c r="P310">
        <v>148747673.87387389</v>
      </c>
      <c r="Q310">
        <v>41891081.081081077</v>
      </c>
      <c r="R310">
        <v>49545045.045045041</v>
      </c>
      <c r="S310">
        <v>9477</v>
      </c>
      <c r="T310">
        <v>8779</v>
      </c>
    </row>
    <row r="311" spans="1:20" x14ac:dyDescent="0.35">
      <c r="A311" s="7" t="s">
        <v>411</v>
      </c>
      <c r="B311" s="12" t="s">
        <v>55</v>
      </c>
      <c r="C311">
        <v>745554613.3914485</v>
      </c>
      <c r="D311">
        <v>731671612.27975678</v>
      </c>
      <c r="E311">
        <v>114438554.95495497</v>
      </c>
      <c r="F311">
        <v>221424612.61261261</v>
      </c>
      <c r="G311">
        <v>270</v>
      </c>
      <c r="H311">
        <v>183</v>
      </c>
      <c r="K311">
        <v>345</v>
      </c>
      <c r="L311">
        <v>312</v>
      </c>
      <c r="M311">
        <v>55887837.837837838</v>
      </c>
      <c r="N311">
        <v>69018468.468468472</v>
      </c>
      <c r="O311">
        <v>154696342.34234235</v>
      </c>
      <c r="P311">
        <v>156095151.35135135</v>
      </c>
      <c r="Q311">
        <v>49190360.360360362</v>
      </c>
      <c r="R311">
        <v>61534504.504504502</v>
      </c>
      <c r="S311">
        <v>19465</v>
      </c>
      <c r="T311">
        <v>19928</v>
      </c>
    </row>
    <row r="312" spans="1:20" x14ac:dyDescent="0.35">
      <c r="A312" s="7" t="s">
        <v>412</v>
      </c>
      <c r="B312" s="12" t="s">
        <v>225</v>
      </c>
      <c r="C312">
        <v>382868434.56252098</v>
      </c>
      <c r="D312">
        <v>445792805.03569126</v>
      </c>
      <c r="E312">
        <v>1655855.85585586</v>
      </c>
      <c r="F312">
        <v>3018018.0180180199</v>
      </c>
      <c r="G312">
        <v>138</v>
      </c>
      <c r="H312">
        <v>106</v>
      </c>
      <c r="K312">
        <v>159</v>
      </c>
      <c r="L312">
        <v>127</v>
      </c>
      <c r="M312">
        <v>35920000</v>
      </c>
      <c r="N312">
        <v>61545945.945945948</v>
      </c>
      <c r="O312">
        <v>111273518.91891891</v>
      </c>
      <c r="P312">
        <v>135304954.95495495</v>
      </c>
      <c r="Q312">
        <v>43394908.108108103</v>
      </c>
      <c r="R312">
        <v>55307117.117117122</v>
      </c>
      <c r="S312">
        <v>13574</v>
      </c>
      <c r="T312">
        <v>13843</v>
      </c>
    </row>
    <row r="313" spans="1:20" x14ac:dyDescent="0.35">
      <c r="A313" s="7" t="s">
        <v>413</v>
      </c>
      <c r="B313" s="12" t="s">
        <v>414</v>
      </c>
      <c r="C313">
        <v>150070906.46064338</v>
      </c>
      <c r="D313">
        <v>146630627.13976511</v>
      </c>
      <c r="E313">
        <v>3314864.864864869</v>
      </c>
      <c r="F313">
        <v>43249549.54954955</v>
      </c>
      <c r="G313">
        <v>11</v>
      </c>
      <c r="H313">
        <v>4</v>
      </c>
      <c r="K313">
        <v>11</v>
      </c>
      <c r="L313">
        <v>19</v>
      </c>
      <c r="M313">
        <v>5381981.9819819862</v>
      </c>
      <c r="N313">
        <v>7165540.5405405406</v>
      </c>
      <c r="O313">
        <v>62492630.630630635</v>
      </c>
      <c r="P313">
        <v>65949072.072072074</v>
      </c>
      <c r="Q313">
        <v>3079369.369369369</v>
      </c>
      <c r="R313">
        <v>3043423.4234234239</v>
      </c>
      <c r="S313">
        <v>4289</v>
      </c>
      <c r="T313">
        <v>4077</v>
      </c>
    </row>
    <row r="314" spans="1:20" x14ac:dyDescent="0.35">
      <c r="A314" s="7" t="s">
        <v>415</v>
      </c>
      <c r="B314" s="12" t="s">
        <v>215</v>
      </c>
      <c r="C314">
        <v>970308937.19149435</v>
      </c>
      <c r="D314">
        <v>901309472.96735275</v>
      </c>
      <c r="E314">
        <v>611707710.8108108</v>
      </c>
      <c r="F314">
        <v>319334802.7027027</v>
      </c>
      <c r="G314">
        <v>1048</v>
      </c>
      <c r="H314">
        <v>479</v>
      </c>
      <c r="I314">
        <v>3</v>
      </c>
      <c r="K314">
        <v>1124</v>
      </c>
      <c r="L314">
        <v>707</v>
      </c>
      <c r="M314">
        <v>137193468.46846846</v>
      </c>
      <c r="N314">
        <v>117470540.54054053</v>
      </c>
      <c r="O314">
        <v>440027245.04504508</v>
      </c>
      <c r="P314">
        <v>408540288.2882883</v>
      </c>
      <c r="Q314">
        <v>126008018.01801802</v>
      </c>
      <c r="R314">
        <v>120222702.7027027</v>
      </c>
      <c r="S314">
        <v>24315</v>
      </c>
      <c r="T314">
        <v>24036</v>
      </c>
    </row>
    <row r="315" spans="1:20" x14ac:dyDescent="0.35">
      <c r="A315" s="7" t="s">
        <v>416</v>
      </c>
      <c r="B315" s="12" t="s">
        <v>414</v>
      </c>
      <c r="C315">
        <v>83362448.846913755</v>
      </c>
      <c r="D315">
        <v>80320592.700435519</v>
      </c>
      <c r="E315">
        <v>692342.342342344</v>
      </c>
      <c r="F315">
        <v>1534234.234234235</v>
      </c>
      <c r="G315">
        <v>24</v>
      </c>
      <c r="H315">
        <v>10</v>
      </c>
      <c r="K315">
        <v>31</v>
      </c>
      <c r="L315">
        <v>14</v>
      </c>
      <c r="M315">
        <v>14126344.144144144</v>
      </c>
      <c r="N315">
        <v>13277927.927927928</v>
      </c>
      <c r="O315">
        <v>31802632.882882886</v>
      </c>
      <c r="P315">
        <v>33044396.396396395</v>
      </c>
      <c r="Q315">
        <v>11722162.162162161</v>
      </c>
      <c r="R315">
        <v>12420720.72072072</v>
      </c>
      <c r="S315">
        <v>2972</v>
      </c>
      <c r="T315">
        <v>3040</v>
      </c>
    </row>
    <row r="316" spans="1:20" x14ac:dyDescent="0.35">
      <c r="A316" s="7" t="s">
        <v>417</v>
      </c>
      <c r="B316" s="12" t="s">
        <v>237</v>
      </c>
      <c r="C316">
        <v>600032444.03706193</v>
      </c>
      <c r="D316">
        <v>606921195.81105053</v>
      </c>
      <c r="E316">
        <v>2443243.2432432468</v>
      </c>
      <c r="F316">
        <v>3075225.2252252279</v>
      </c>
      <c r="G316">
        <v>224</v>
      </c>
      <c r="H316">
        <v>157</v>
      </c>
      <c r="I316">
        <v>5</v>
      </c>
      <c r="K316">
        <v>324</v>
      </c>
      <c r="L316">
        <v>256</v>
      </c>
      <c r="M316">
        <v>72185765.765765756</v>
      </c>
      <c r="N316">
        <v>58624054.054054059</v>
      </c>
      <c r="O316">
        <v>141675477.47747746</v>
      </c>
      <c r="P316">
        <v>154975736.93693691</v>
      </c>
      <c r="Q316">
        <v>72478198.198198199</v>
      </c>
      <c r="R316">
        <v>46338738.738738745</v>
      </c>
      <c r="S316">
        <v>10816</v>
      </c>
      <c r="T316">
        <v>10553</v>
      </c>
    </row>
    <row r="317" spans="1:20" x14ac:dyDescent="0.35">
      <c r="A317" s="7" t="s">
        <v>418</v>
      </c>
      <c r="B317" s="12" t="s">
        <v>118</v>
      </c>
      <c r="C317">
        <v>585724675.14165294</v>
      </c>
      <c r="D317">
        <v>590948441.82538414</v>
      </c>
      <c r="E317">
        <v>644068964.86486495</v>
      </c>
      <c r="F317">
        <v>368776954.95495492</v>
      </c>
      <c r="G317">
        <v>415</v>
      </c>
      <c r="H317">
        <v>377</v>
      </c>
      <c r="I317">
        <v>1</v>
      </c>
      <c r="K317">
        <v>745</v>
      </c>
      <c r="L317">
        <v>1034</v>
      </c>
      <c r="M317">
        <v>134267018.01801804</v>
      </c>
      <c r="N317">
        <v>167180678.37837836</v>
      </c>
      <c r="O317">
        <v>265733759.45945945</v>
      </c>
      <c r="P317">
        <v>300795477.47747749</v>
      </c>
      <c r="Q317">
        <v>135901891.8918919</v>
      </c>
      <c r="R317">
        <v>164847072.07207206</v>
      </c>
      <c r="S317">
        <v>17755</v>
      </c>
      <c r="T317">
        <v>18116</v>
      </c>
    </row>
    <row r="318" spans="1:20" x14ac:dyDescent="0.35">
      <c r="A318" s="7" t="s">
        <v>419</v>
      </c>
      <c r="B318" s="12" t="s">
        <v>148</v>
      </c>
      <c r="C318">
        <v>13918202.192491461</v>
      </c>
      <c r="D318">
        <v>15664754.234922053</v>
      </c>
      <c r="E318">
        <v>86385585.585585579</v>
      </c>
      <c r="F318">
        <v>37142342.342342347</v>
      </c>
      <c r="G318">
        <v>3</v>
      </c>
      <c r="H318">
        <v>3</v>
      </c>
      <c r="K318">
        <v>3</v>
      </c>
      <c r="L318">
        <v>3</v>
      </c>
      <c r="M318">
        <v>8595045.0450450443</v>
      </c>
      <c r="N318">
        <v>3931081.0810810812</v>
      </c>
      <c r="O318">
        <v>5095126.1261261273</v>
      </c>
      <c r="P318">
        <v>5358234.2342342352</v>
      </c>
      <c r="S318">
        <v>466</v>
      </c>
      <c r="T318">
        <v>452</v>
      </c>
    </row>
    <row r="319" spans="1:20" x14ac:dyDescent="0.35">
      <c r="A319" s="7" t="s">
        <v>420</v>
      </c>
      <c r="B319" s="12" t="s">
        <v>305</v>
      </c>
      <c r="C319">
        <v>126791909.8012394</v>
      </c>
      <c r="D319">
        <v>116447422.94494537</v>
      </c>
      <c r="E319">
        <v>3337162.162162161</v>
      </c>
      <c r="F319">
        <v>2309909.909909918</v>
      </c>
      <c r="G319">
        <v>86</v>
      </c>
      <c r="H319">
        <v>41</v>
      </c>
      <c r="K319">
        <v>100</v>
      </c>
      <c r="L319">
        <v>54</v>
      </c>
      <c r="M319">
        <v>23781981.981981985</v>
      </c>
      <c r="N319">
        <v>29234234.234234232</v>
      </c>
      <c r="O319">
        <v>27034872.072072074</v>
      </c>
      <c r="P319">
        <v>26152009.009009007</v>
      </c>
      <c r="Q319">
        <v>20376126.126126125</v>
      </c>
      <c r="R319">
        <v>25951891.891891893</v>
      </c>
      <c r="S319">
        <v>2316</v>
      </c>
      <c r="T319">
        <v>2255</v>
      </c>
    </row>
    <row r="320" spans="1:20" x14ac:dyDescent="0.35">
      <c r="A320" s="7" t="s">
        <v>421</v>
      </c>
      <c r="B320" s="12" t="s">
        <v>305</v>
      </c>
      <c r="C320">
        <v>145519716.25506222</v>
      </c>
      <c r="D320">
        <v>142321577.48116317</v>
      </c>
      <c r="E320">
        <v>4580855.8558558542</v>
      </c>
      <c r="F320">
        <v>4053153.1531531708</v>
      </c>
      <c r="G320">
        <v>482</v>
      </c>
      <c r="H320">
        <v>228</v>
      </c>
      <c r="K320">
        <v>655</v>
      </c>
      <c r="L320">
        <v>597</v>
      </c>
      <c r="M320">
        <v>28760360.360360354</v>
      </c>
      <c r="N320">
        <v>31728828.82882883</v>
      </c>
      <c r="O320">
        <v>44232189.189189196</v>
      </c>
      <c r="P320">
        <v>51438095.495495498</v>
      </c>
      <c r="Q320">
        <v>21990810.810810808</v>
      </c>
      <c r="R320">
        <v>29405675.675675672</v>
      </c>
      <c r="S320">
        <v>3174</v>
      </c>
      <c r="T320">
        <v>3005</v>
      </c>
    </row>
    <row r="321" spans="1:20" x14ac:dyDescent="0.35">
      <c r="A321" s="7" t="s">
        <v>422</v>
      </c>
      <c r="B321" s="12" t="s">
        <v>122</v>
      </c>
      <c r="C321">
        <v>5381886.9268131722</v>
      </c>
      <c r="D321">
        <v>7466298.876636656</v>
      </c>
      <c r="E321">
        <v>60789355.855855852</v>
      </c>
      <c r="F321">
        <v>71766401.801801801</v>
      </c>
      <c r="G321">
        <v>2</v>
      </c>
      <c r="H321">
        <v>4</v>
      </c>
      <c r="K321">
        <v>3</v>
      </c>
      <c r="L321">
        <v>4</v>
      </c>
      <c r="M321">
        <v>13378451.351351352</v>
      </c>
      <c r="O321">
        <v>459135.13513513497</v>
      </c>
      <c r="P321">
        <v>643243.24324324296</v>
      </c>
      <c r="R321">
        <v>82432.432432432004</v>
      </c>
      <c r="S321">
        <v>301</v>
      </c>
      <c r="T321">
        <v>32</v>
      </c>
    </row>
    <row r="322" spans="1:20" x14ac:dyDescent="0.35">
      <c r="A322" s="7" t="s">
        <v>423</v>
      </c>
      <c r="B322" s="12" t="s">
        <v>61</v>
      </c>
      <c r="C322">
        <v>74440456.443343654</v>
      </c>
      <c r="D322">
        <v>71981142.450964555</v>
      </c>
      <c r="E322">
        <v>910810.81081081205</v>
      </c>
      <c r="F322">
        <v>908558.55855855905</v>
      </c>
      <c r="G322">
        <v>42</v>
      </c>
      <c r="H322">
        <v>31</v>
      </c>
      <c r="I322">
        <v>5</v>
      </c>
      <c r="K322">
        <v>44</v>
      </c>
      <c r="L322">
        <v>50</v>
      </c>
      <c r="M322">
        <v>14615315.315315315</v>
      </c>
      <c r="N322">
        <v>17670720.72072072</v>
      </c>
      <c r="O322">
        <v>26013837.837837841</v>
      </c>
      <c r="P322">
        <v>27421189.189189188</v>
      </c>
      <c r="Q322">
        <v>14457837.837837836</v>
      </c>
      <c r="R322">
        <v>18584594.594594598</v>
      </c>
      <c r="S322">
        <v>2113</v>
      </c>
      <c r="T322">
        <v>2156</v>
      </c>
    </row>
    <row r="323" spans="1:20" x14ac:dyDescent="0.35">
      <c r="A323" s="7" t="s">
        <v>424</v>
      </c>
      <c r="B323" s="12" t="s">
        <v>182</v>
      </c>
      <c r="C323">
        <v>736551068.83777344</v>
      </c>
      <c r="D323">
        <v>761783924.44710076</v>
      </c>
      <c r="E323">
        <v>8059459.459459465</v>
      </c>
      <c r="F323">
        <v>8693243.2432432529</v>
      </c>
      <c r="G323">
        <v>288</v>
      </c>
      <c r="H323">
        <v>275</v>
      </c>
      <c r="I323">
        <v>1</v>
      </c>
      <c r="K323">
        <v>375</v>
      </c>
      <c r="L323">
        <v>354</v>
      </c>
      <c r="M323">
        <v>101070720.72072071</v>
      </c>
      <c r="N323">
        <v>141233558.55855855</v>
      </c>
      <c r="O323">
        <v>216187070.27027026</v>
      </c>
      <c r="P323">
        <v>223118486.48648649</v>
      </c>
      <c r="Q323">
        <v>98500270.270270273</v>
      </c>
      <c r="R323">
        <v>139016846.84684685</v>
      </c>
      <c r="S323">
        <v>23424</v>
      </c>
      <c r="T323">
        <v>21637</v>
      </c>
    </row>
    <row r="324" spans="1:20" x14ac:dyDescent="0.35">
      <c r="A324" s="7" t="s">
        <v>425</v>
      </c>
      <c r="B324" s="12" t="s">
        <v>77</v>
      </c>
      <c r="C324">
        <v>22799512.825452849</v>
      </c>
      <c r="D324">
        <v>21177883.227427784</v>
      </c>
      <c r="E324">
        <v>54054.054054054999</v>
      </c>
      <c r="F324">
        <v>139639.63963963999</v>
      </c>
      <c r="G324">
        <v>4</v>
      </c>
      <c r="H324">
        <v>3</v>
      </c>
      <c r="K324">
        <v>4</v>
      </c>
      <c r="L324">
        <v>4</v>
      </c>
      <c r="M324">
        <v>1972972.972972973</v>
      </c>
      <c r="N324">
        <v>2662162.1621621619</v>
      </c>
      <c r="O324">
        <v>2191009.0090090092</v>
      </c>
      <c r="P324">
        <v>3660810.8108108109</v>
      </c>
      <c r="Q324">
        <v>1984954.9549549541</v>
      </c>
      <c r="R324">
        <v>1856036.036036036</v>
      </c>
      <c r="S324">
        <v>902</v>
      </c>
      <c r="T324">
        <v>907</v>
      </c>
    </row>
    <row r="325" spans="1:20" x14ac:dyDescent="0.35">
      <c r="A325" s="7" t="s">
        <v>426</v>
      </c>
      <c r="B325" s="12" t="s">
        <v>77</v>
      </c>
      <c r="C325">
        <v>86009363.514282465</v>
      </c>
      <c r="D325">
        <v>85668209.397896558</v>
      </c>
      <c r="E325">
        <v>145045.04504504599</v>
      </c>
      <c r="F325">
        <v>934234.23423423397</v>
      </c>
      <c r="G325">
        <v>18</v>
      </c>
      <c r="H325">
        <v>23</v>
      </c>
      <c r="K325">
        <v>19</v>
      </c>
      <c r="L325">
        <v>25</v>
      </c>
      <c r="M325">
        <v>10428918.918918919</v>
      </c>
      <c r="N325">
        <v>12701531.531531531</v>
      </c>
      <c r="O325">
        <v>19001504.504504506</v>
      </c>
      <c r="P325">
        <v>20500756.756756756</v>
      </c>
      <c r="Q325">
        <v>8598468.4684684668</v>
      </c>
      <c r="R325">
        <v>8422702.702702703</v>
      </c>
      <c r="S325">
        <v>1427</v>
      </c>
      <c r="T325">
        <v>1501</v>
      </c>
    </row>
    <row r="326" spans="1:20" x14ac:dyDescent="0.35">
      <c r="A326" s="7" t="s">
        <v>427</v>
      </c>
      <c r="B326" s="12" t="s">
        <v>331</v>
      </c>
      <c r="C326">
        <v>435719297.56206238</v>
      </c>
      <c r="D326">
        <v>405872888.55168772</v>
      </c>
      <c r="E326">
        <v>2858333.3333333381</v>
      </c>
      <c r="F326">
        <v>1635135.135135144</v>
      </c>
      <c r="G326">
        <v>159</v>
      </c>
      <c r="H326">
        <v>144</v>
      </c>
      <c r="K326">
        <v>185</v>
      </c>
      <c r="L326">
        <v>171</v>
      </c>
      <c r="M326">
        <v>23047747.747747749</v>
      </c>
      <c r="N326">
        <v>42479729.729729727</v>
      </c>
      <c r="O326">
        <v>75614434.684684694</v>
      </c>
      <c r="P326">
        <v>78274288.288288295</v>
      </c>
      <c r="Q326">
        <v>20831261.261261258</v>
      </c>
      <c r="R326">
        <v>38105765.765765771</v>
      </c>
      <c r="S326">
        <v>11886</v>
      </c>
      <c r="T326">
        <v>11841</v>
      </c>
    </row>
    <row r="327" spans="1:20" x14ac:dyDescent="0.35">
      <c r="A327" s="7" t="s">
        <v>428</v>
      </c>
      <c r="B327" s="12" t="s">
        <v>242</v>
      </c>
      <c r="C327">
        <v>113109848.0381442</v>
      </c>
      <c r="D327">
        <v>105917095.21589981</v>
      </c>
      <c r="E327">
        <v>807207.20720720803</v>
      </c>
      <c r="F327">
        <v>1374774.774774774</v>
      </c>
      <c r="G327">
        <v>40</v>
      </c>
      <c r="H327">
        <v>31</v>
      </c>
      <c r="K327">
        <v>44</v>
      </c>
      <c r="L327">
        <v>34</v>
      </c>
      <c r="M327">
        <v>12355945.945945943</v>
      </c>
      <c r="N327">
        <v>15191891.891891887</v>
      </c>
      <c r="O327">
        <v>43267918.918918923</v>
      </c>
      <c r="P327">
        <v>43335684.684684686</v>
      </c>
      <c r="Q327">
        <v>12657027.02702702</v>
      </c>
      <c r="R327">
        <v>17183333.333333328</v>
      </c>
      <c r="S327">
        <v>5800</v>
      </c>
      <c r="T327">
        <v>5522</v>
      </c>
    </row>
    <row r="328" spans="1:20" x14ac:dyDescent="0.35">
      <c r="A328" s="7" t="s">
        <v>429</v>
      </c>
      <c r="B328" s="12" t="s">
        <v>284</v>
      </c>
      <c r="C328">
        <v>47803609.798858508</v>
      </c>
      <c r="D328">
        <v>59160520.161151879</v>
      </c>
      <c r="E328">
        <v>542342.342342344</v>
      </c>
      <c r="F328">
        <v>1381081.0810810809</v>
      </c>
      <c r="G328">
        <v>5</v>
      </c>
      <c r="H328">
        <v>44</v>
      </c>
      <c r="K328">
        <v>33</v>
      </c>
      <c r="L328">
        <v>59</v>
      </c>
      <c r="M328">
        <v>25109909.909909911</v>
      </c>
      <c r="N328">
        <v>15254954.954954956</v>
      </c>
      <c r="O328">
        <v>9262864.8648648635</v>
      </c>
      <c r="P328">
        <v>14872621.621621622</v>
      </c>
      <c r="Q328">
        <v>26582522.522522524</v>
      </c>
      <c r="R328">
        <v>12533243.243243244</v>
      </c>
      <c r="S328">
        <v>1203</v>
      </c>
      <c r="T328">
        <v>1362</v>
      </c>
    </row>
    <row r="329" spans="1:20" x14ac:dyDescent="0.35">
      <c r="A329" s="7" t="s">
        <v>430</v>
      </c>
      <c r="B329" s="12" t="s">
        <v>284</v>
      </c>
      <c r="C329">
        <v>15408604.142676856</v>
      </c>
      <c r="D329">
        <v>15020114.827004084</v>
      </c>
      <c r="E329">
        <v>73135135.135135129</v>
      </c>
      <c r="F329">
        <v>57413513.513513513</v>
      </c>
      <c r="H329">
        <v>1</v>
      </c>
      <c r="L329">
        <v>1</v>
      </c>
      <c r="M329">
        <v>3724324.3243243229</v>
      </c>
      <c r="N329">
        <v>5192792.7927927934</v>
      </c>
      <c r="O329">
        <v>1085045.045045045</v>
      </c>
      <c r="P329">
        <v>1647297.297297297</v>
      </c>
      <c r="Q329">
        <v>2885855.8558558552</v>
      </c>
      <c r="R329">
        <v>4479639.6396396393</v>
      </c>
      <c r="S329">
        <v>498</v>
      </c>
      <c r="T329">
        <v>484</v>
      </c>
    </row>
    <row r="330" spans="1:20" x14ac:dyDescent="0.35">
      <c r="A330" s="7" t="s">
        <v>431</v>
      </c>
      <c r="B330" s="12" t="s">
        <v>284</v>
      </c>
      <c r="C330">
        <v>32985682.767886236</v>
      </c>
      <c r="D330">
        <v>36123118.444289826</v>
      </c>
      <c r="E330">
        <v>198198.19819819799</v>
      </c>
      <c r="F330">
        <v>364864.86486486503</v>
      </c>
      <c r="G330">
        <v>4</v>
      </c>
      <c r="H330">
        <v>1</v>
      </c>
      <c r="K330">
        <v>4</v>
      </c>
      <c r="L330">
        <v>1</v>
      </c>
      <c r="M330">
        <v>288288.28828828799</v>
      </c>
      <c r="N330">
        <v>364864.86486486503</v>
      </c>
      <c r="O330">
        <v>2789819.8198198192</v>
      </c>
      <c r="P330">
        <v>3394864.8648648639</v>
      </c>
      <c r="Q330">
        <v>173423.423423423</v>
      </c>
      <c r="R330">
        <v>205585.585585586</v>
      </c>
      <c r="S330">
        <v>744</v>
      </c>
      <c r="T330">
        <v>791</v>
      </c>
    </row>
    <row r="331" spans="1:20" x14ac:dyDescent="0.35">
      <c r="A331" s="7" t="s">
        <v>432</v>
      </c>
      <c r="B331" s="12" t="s">
        <v>79</v>
      </c>
      <c r="C331">
        <v>190432072.7398676</v>
      </c>
      <c r="D331">
        <v>196073131.60098401</v>
      </c>
      <c r="E331">
        <v>2454054.0540540572</v>
      </c>
      <c r="F331">
        <v>4404504.5045045074</v>
      </c>
      <c r="G331">
        <v>148</v>
      </c>
      <c r="H331">
        <v>107</v>
      </c>
      <c r="K331">
        <v>250</v>
      </c>
      <c r="L331">
        <v>183</v>
      </c>
      <c r="M331">
        <v>18368468.468468469</v>
      </c>
      <c r="N331">
        <v>27963063.063063066</v>
      </c>
      <c r="O331">
        <v>83781918.918918908</v>
      </c>
      <c r="P331">
        <v>85910324.324324325</v>
      </c>
      <c r="Q331">
        <v>19653873.873873875</v>
      </c>
      <c r="R331">
        <v>24489909.909909911</v>
      </c>
      <c r="S331">
        <v>6387</v>
      </c>
      <c r="T331">
        <v>6509</v>
      </c>
    </row>
    <row r="332" spans="1:20" x14ac:dyDescent="0.35">
      <c r="A332" s="7" t="s">
        <v>433</v>
      </c>
      <c r="B332" s="12" t="s">
        <v>106</v>
      </c>
      <c r="C332">
        <v>172249510.57162863</v>
      </c>
      <c r="D332">
        <v>165212007.08524027</v>
      </c>
      <c r="E332">
        <v>510810.81081081199</v>
      </c>
      <c r="F332">
        <v>943243.24324324296</v>
      </c>
      <c r="G332">
        <v>21</v>
      </c>
      <c r="H332">
        <v>35</v>
      </c>
      <c r="I332">
        <v>1</v>
      </c>
      <c r="K332">
        <v>23</v>
      </c>
      <c r="L332">
        <v>42</v>
      </c>
      <c r="M332">
        <v>19529504.504504506</v>
      </c>
      <c r="N332">
        <v>19327927.927927926</v>
      </c>
      <c r="O332">
        <v>40784117.117117122</v>
      </c>
      <c r="P332">
        <v>45855639.639639638</v>
      </c>
      <c r="Q332">
        <v>22977342.342342343</v>
      </c>
      <c r="R332">
        <v>20902882.882882886</v>
      </c>
      <c r="S332">
        <v>3741</v>
      </c>
      <c r="T332">
        <v>3516</v>
      </c>
    </row>
    <row r="333" spans="1:20" x14ac:dyDescent="0.35">
      <c r="A333" s="7" t="s">
        <v>434</v>
      </c>
      <c r="B333" s="12" t="s">
        <v>73</v>
      </c>
      <c r="C333">
        <v>935027005.17869687</v>
      </c>
      <c r="D333">
        <v>935918445.81408775</v>
      </c>
      <c r="E333">
        <v>5679729.7297297446</v>
      </c>
      <c r="F333">
        <v>5227027.0270270463</v>
      </c>
      <c r="G333">
        <v>237</v>
      </c>
      <c r="H333">
        <v>231</v>
      </c>
      <c r="I333">
        <v>4</v>
      </c>
      <c r="K333">
        <v>346</v>
      </c>
      <c r="L333">
        <v>273</v>
      </c>
      <c r="M333">
        <v>134461711.7117117</v>
      </c>
      <c r="N333">
        <v>149650900.9009009</v>
      </c>
      <c r="O333">
        <v>197681619.36936939</v>
      </c>
      <c r="P333">
        <v>214183774.77477479</v>
      </c>
      <c r="Q333">
        <v>104421171.17117117</v>
      </c>
      <c r="R333">
        <v>108791261.26126127</v>
      </c>
      <c r="S333">
        <v>18393</v>
      </c>
      <c r="T333">
        <v>18001</v>
      </c>
    </row>
    <row r="334" spans="1:20" x14ac:dyDescent="0.35">
      <c r="A334" s="7" t="s">
        <v>435</v>
      </c>
      <c r="B334" s="12" t="s">
        <v>73</v>
      </c>
      <c r="C334">
        <v>644793202.39648676</v>
      </c>
      <c r="D334">
        <v>662975293.66328955</v>
      </c>
      <c r="E334">
        <v>36092117.117117122</v>
      </c>
      <c r="F334">
        <v>69511981.981981993</v>
      </c>
      <c r="G334">
        <v>145</v>
      </c>
      <c r="H334">
        <v>97</v>
      </c>
      <c r="I334">
        <v>2</v>
      </c>
      <c r="K334">
        <v>185</v>
      </c>
      <c r="L334">
        <v>110</v>
      </c>
      <c r="M334">
        <v>68369144.144144148</v>
      </c>
      <c r="N334">
        <v>84482432.432432428</v>
      </c>
      <c r="O334">
        <v>121403675.67567568</v>
      </c>
      <c r="P334">
        <v>143234801.8018018</v>
      </c>
      <c r="Q334">
        <v>53515585.585585587</v>
      </c>
      <c r="R334">
        <v>56644144.144144148</v>
      </c>
      <c r="S334">
        <v>14874</v>
      </c>
      <c r="T334">
        <v>13836</v>
      </c>
    </row>
    <row r="335" spans="1:20" x14ac:dyDescent="0.35">
      <c r="A335" s="7" t="s">
        <v>436</v>
      </c>
      <c r="B335" s="12" t="s">
        <v>95</v>
      </c>
      <c r="C335">
        <v>45408951.479631871</v>
      </c>
      <c r="D335">
        <v>48701958.170065679</v>
      </c>
      <c r="E335">
        <v>13513.513513514001</v>
      </c>
      <c r="G335">
        <v>3</v>
      </c>
      <c r="H335">
        <v>6</v>
      </c>
      <c r="K335">
        <v>3</v>
      </c>
      <c r="L335">
        <v>7</v>
      </c>
      <c r="M335">
        <v>554054.05405405397</v>
      </c>
      <c r="N335">
        <v>450450.45045045001</v>
      </c>
      <c r="O335">
        <v>11057900.9009009</v>
      </c>
      <c r="P335">
        <v>13701153.153153151</v>
      </c>
      <c r="Q335">
        <v>381801.80180180201</v>
      </c>
      <c r="R335">
        <v>273423.42342342302</v>
      </c>
      <c r="S335">
        <v>868</v>
      </c>
      <c r="T335">
        <v>877</v>
      </c>
    </row>
    <row r="336" spans="1:20" x14ac:dyDescent="0.35">
      <c r="A336" s="7" t="s">
        <v>437</v>
      </c>
      <c r="B336" s="12" t="s">
        <v>90</v>
      </c>
      <c r="C336">
        <v>233772399.42440149</v>
      </c>
      <c r="D336">
        <v>253000828.1412214</v>
      </c>
      <c r="E336">
        <v>3038738.738738745</v>
      </c>
      <c r="F336">
        <v>4180180.1801801901</v>
      </c>
      <c r="G336">
        <v>67</v>
      </c>
      <c r="H336">
        <v>38</v>
      </c>
      <c r="K336">
        <v>74</v>
      </c>
      <c r="L336">
        <v>43</v>
      </c>
      <c r="M336">
        <v>30869009.009009011</v>
      </c>
      <c r="N336">
        <v>35402792.792792797</v>
      </c>
      <c r="O336">
        <v>105148148.64864865</v>
      </c>
      <c r="P336">
        <v>118186963.96396397</v>
      </c>
      <c r="Q336">
        <v>33605405.40540541</v>
      </c>
      <c r="R336">
        <v>38524324.324324325</v>
      </c>
      <c r="S336">
        <v>5315</v>
      </c>
      <c r="T336">
        <v>5638</v>
      </c>
    </row>
    <row r="337" spans="1:20" x14ac:dyDescent="0.35">
      <c r="A337" s="7" t="s">
        <v>438</v>
      </c>
      <c r="B337" s="12" t="s">
        <v>71</v>
      </c>
      <c r="C337">
        <v>7235276.8324208474</v>
      </c>
      <c r="D337">
        <v>6680091.2497110376</v>
      </c>
      <c r="G337">
        <v>5</v>
      </c>
      <c r="H337">
        <v>5</v>
      </c>
      <c r="K337">
        <v>5</v>
      </c>
      <c r="L337">
        <v>5</v>
      </c>
      <c r="O337">
        <v>4670711.7117117113</v>
      </c>
      <c r="P337">
        <v>4750126.1261261264</v>
      </c>
      <c r="S337">
        <v>2569</v>
      </c>
      <c r="T337">
        <v>1142</v>
      </c>
    </row>
    <row r="338" spans="1:20" x14ac:dyDescent="0.35">
      <c r="A338" s="7" t="s">
        <v>439</v>
      </c>
      <c r="B338" s="12" t="s">
        <v>196</v>
      </c>
      <c r="C338">
        <v>1105011071.7921116</v>
      </c>
      <c r="D338">
        <v>1115661249.28794</v>
      </c>
      <c r="E338">
        <v>165846923.42342341</v>
      </c>
      <c r="F338">
        <v>237603189.18918923</v>
      </c>
      <c r="G338">
        <v>300</v>
      </c>
      <c r="H338">
        <v>164</v>
      </c>
      <c r="K338">
        <v>366</v>
      </c>
      <c r="L338">
        <v>245</v>
      </c>
      <c r="M338">
        <v>98303783.783783779</v>
      </c>
      <c r="N338">
        <v>94119369.369369373</v>
      </c>
      <c r="O338">
        <v>191284648.64864865</v>
      </c>
      <c r="P338">
        <v>197372466.66666666</v>
      </c>
      <c r="Q338">
        <v>90100090.090090096</v>
      </c>
      <c r="R338">
        <v>82999369.369369373</v>
      </c>
      <c r="S338">
        <v>20582</v>
      </c>
      <c r="T338">
        <v>22210</v>
      </c>
    </row>
    <row r="339" spans="1:20" x14ac:dyDescent="0.35">
      <c r="A339" s="7" t="s">
        <v>440</v>
      </c>
      <c r="B339" s="12" t="s">
        <v>179</v>
      </c>
      <c r="C339">
        <v>553760472.47575939</v>
      </c>
      <c r="D339">
        <v>545776555.01030457</v>
      </c>
      <c r="E339">
        <v>4245945.9459459493</v>
      </c>
      <c r="F339">
        <v>3919819.8198198238</v>
      </c>
      <c r="G339">
        <v>123</v>
      </c>
      <c r="H339">
        <v>57</v>
      </c>
      <c r="I339">
        <v>1</v>
      </c>
      <c r="K339">
        <v>212</v>
      </c>
      <c r="L339">
        <v>72</v>
      </c>
      <c r="M339">
        <v>101616026.12612613</v>
      </c>
      <c r="N339">
        <v>84842792.792792797</v>
      </c>
      <c r="O339">
        <v>222345364.86486486</v>
      </c>
      <c r="P339">
        <v>230036774.77477479</v>
      </c>
      <c r="Q339">
        <v>86334504.504504502</v>
      </c>
      <c r="R339">
        <v>82264774.774774775</v>
      </c>
      <c r="S339">
        <v>14459</v>
      </c>
      <c r="T339">
        <v>14765</v>
      </c>
    </row>
    <row r="340" spans="1:20" x14ac:dyDescent="0.35">
      <c r="A340" s="7" t="s">
        <v>441</v>
      </c>
      <c r="B340" s="12" t="s">
        <v>79</v>
      </c>
      <c r="C340">
        <v>235692385.86132994</v>
      </c>
      <c r="D340">
        <v>230012899.66820887</v>
      </c>
      <c r="E340">
        <v>3370270.2702702712</v>
      </c>
      <c r="F340">
        <v>4508108.1081081098</v>
      </c>
      <c r="G340">
        <v>47</v>
      </c>
      <c r="H340">
        <v>95</v>
      </c>
      <c r="I340">
        <v>4</v>
      </c>
      <c r="K340">
        <v>84</v>
      </c>
      <c r="L340">
        <v>141</v>
      </c>
      <c r="M340">
        <v>21838738.738738734</v>
      </c>
      <c r="N340">
        <v>31035135.135135137</v>
      </c>
      <c r="O340">
        <v>47890585.585585587</v>
      </c>
      <c r="P340">
        <v>51689666.666666664</v>
      </c>
      <c r="Q340">
        <v>23105675.675675675</v>
      </c>
      <c r="R340">
        <v>27221891.891891893</v>
      </c>
      <c r="S340">
        <v>4891</v>
      </c>
      <c r="T340">
        <v>4759</v>
      </c>
    </row>
    <row r="341" spans="1:20" x14ac:dyDescent="0.35">
      <c r="A341" s="7" t="s">
        <v>442</v>
      </c>
      <c r="B341" s="12" t="s">
        <v>79</v>
      </c>
      <c r="C341">
        <v>98420295.493739143</v>
      </c>
      <c r="D341">
        <v>105431817.34543747</v>
      </c>
      <c r="E341">
        <v>1543243.2432432431</v>
      </c>
      <c r="F341">
        <v>1707207.207207209</v>
      </c>
      <c r="G341">
        <v>20</v>
      </c>
      <c r="H341">
        <v>21</v>
      </c>
      <c r="I341">
        <v>1</v>
      </c>
      <c r="K341">
        <v>28</v>
      </c>
      <c r="L341">
        <v>24</v>
      </c>
      <c r="M341">
        <v>18148468.468468469</v>
      </c>
      <c r="N341">
        <v>22822342.342342343</v>
      </c>
      <c r="O341">
        <v>21211594.59459459</v>
      </c>
      <c r="P341">
        <v>22082936.936936937</v>
      </c>
      <c r="Q341">
        <v>19428018.018018015</v>
      </c>
      <c r="R341">
        <v>20249909.909909908</v>
      </c>
      <c r="S341">
        <v>2309</v>
      </c>
      <c r="T341">
        <v>2405</v>
      </c>
    </row>
    <row r="342" spans="1:20" x14ac:dyDescent="0.35">
      <c r="A342" s="7" t="s">
        <v>443</v>
      </c>
      <c r="B342" s="12" t="s">
        <v>124</v>
      </c>
      <c r="C342">
        <v>1839391.3699010969</v>
      </c>
      <c r="D342">
        <v>875940.34296637203</v>
      </c>
      <c r="M342">
        <v>189189.189189189</v>
      </c>
      <c r="N342">
        <v>108108.108108108</v>
      </c>
      <c r="O342">
        <v>715450.45045044995</v>
      </c>
      <c r="P342">
        <v>300261.26126126101</v>
      </c>
      <c r="S342">
        <v>310</v>
      </c>
      <c r="T342">
        <v>294</v>
      </c>
    </row>
    <row r="343" spans="1:20" x14ac:dyDescent="0.35">
      <c r="A343" s="7" t="s">
        <v>444</v>
      </c>
      <c r="B343" s="12" t="s">
        <v>141</v>
      </c>
      <c r="C343">
        <v>240210744.76403293</v>
      </c>
      <c r="D343">
        <v>244798660.36051151</v>
      </c>
      <c r="E343">
        <v>1293243.2432432431</v>
      </c>
      <c r="F343">
        <v>4491441.4414414456</v>
      </c>
      <c r="G343">
        <v>41</v>
      </c>
      <c r="H343">
        <v>48</v>
      </c>
      <c r="I343">
        <v>8</v>
      </c>
      <c r="K343">
        <v>49</v>
      </c>
      <c r="L343">
        <v>54</v>
      </c>
      <c r="M343">
        <v>25727387.387387387</v>
      </c>
      <c r="N343">
        <v>36752072.072072074</v>
      </c>
      <c r="O343">
        <v>66201756.756756753</v>
      </c>
      <c r="P343">
        <v>71356594.594594598</v>
      </c>
      <c r="Q343">
        <v>22403963.963963959</v>
      </c>
      <c r="R343">
        <v>30486306.306306303</v>
      </c>
      <c r="S343">
        <v>5419</v>
      </c>
      <c r="T343">
        <v>5658</v>
      </c>
    </row>
    <row r="344" spans="1:20" x14ac:dyDescent="0.35">
      <c r="A344" s="7" t="s">
        <v>445</v>
      </c>
      <c r="B344" s="12" t="s">
        <v>77</v>
      </c>
      <c r="C344">
        <v>26595570.160012688</v>
      </c>
      <c r="D344">
        <v>24572965.907191951</v>
      </c>
      <c r="E344">
        <v>240540.540540541</v>
      </c>
      <c r="F344">
        <v>126126.12612612599</v>
      </c>
      <c r="G344">
        <v>3</v>
      </c>
      <c r="H344">
        <v>2</v>
      </c>
      <c r="K344">
        <v>3</v>
      </c>
      <c r="L344">
        <v>2</v>
      </c>
      <c r="M344">
        <v>5245045.0450450452</v>
      </c>
      <c r="N344">
        <v>7108108.1081081079</v>
      </c>
      <c r="O344">
        <v>6159297.297297297</v>
      </c>
      <c r="P344">
        <v>5899252.2522522518</v>
      </c>
      <c r="Q344">
        <v>4226306.3063063063</v>
      </c>
      <c r="R344">
        <v>5886216.2162162159</v>
      </c>
      <c r="S344">
        <v>625</v>
      </c>
      <c r="T344">
        <v>581</v>
      </c>
    </row>
    <row r="345" spans="1:20" x14ac:dyDescent="0.35">
      <c r="A345" s="7" t="s">
        <v>446</v>
      </c>
      <c r="B345" s="12" t="s">
        <v>90</v>
      </c>
      <c r="C345">
        <v>734956911.91290212</v>
      </c>
      <c r="D345">
        <v>733576182.80652225</v>
      </c>
      <c r="E345">
        <v>410265150.45045048</v>
      </c>
      <c r="F345">
        <v>638914359.45945942</v>
      </c>
      <c r="G345">
        <v>290</v>
      </c>
      <c r="H345">
        <v>165</v>
      </c>
      <c r="I345">
        <v>3</v>
      </c>
      <c r="K345">
        <v>914</v>
      </c>
      <c r="L345">
        <v>323</v>
      </c>
      <c r="M345">
        <v>260616126.12612614</v>
      </c>
      <c r="N345">
        <v>109193333.33333334</v>
      </c>
      <c r="O345">
        <v>242240151.35135135</v>
      </c>
      <c r="P345">
        <v>241912432.43243241</v>
      </c>
      <c r="Q345">
        <v>152699189.1891892</v>
      </c>
      <c r="R345">
        <v>108645675.67567568</v>
      </c>
      <c r="S345">
        <v>16201</v>
      </c>
      <c r="T345">
        <v>16139</v>
      </c>
    </row>
    <row r="346" spans="1:20" x14ac:dyDescent="0.35">
      <c r="A346" s="7" t="s">
        <v>447</v>
      </c>
      <c r="B346" s="12" t="s">
        <v>49</v>
      </c>
      <c r="C346">
        <v>72558676.397234172</v>
      </c>
      <c r="D346">
        <v>73821030.193055764</v>
      </c>
      <c r="E346">
        <v>2095495.4954954949</v>
      </c>
      <c r="F346">
        <v>978378.37837837904</v>
      </c>
      <c r="G346">
        <v>5</v>
      </c>
      <c r="H346">
        <v>3</v>
      </c>
      <c r="K346">
        <v>6</v>
      </c>
      <c r="L346">
        <v>4</v>
      </c>
      <c r="M346">
        <v>18740360.360360362</v>
      </c>
      <c r="N346">
        <v>12963063.063063065</v>
      </c>
      <c r="O346">
        <v>24639801.801801801</v>
      </c>
      <c r="P346">
        <v>27441837.837837841</v>
      </c>
      <c r="Q346">
        <v>18504594.594594598</v>
      </c>
      <c r="R346">
        <v>13056126.126126125</v>
      </c>
      <c r="S346">
        <v>1091</v>
      </c>
      <c r="T346">
        <v>1106</v>
      </c>
    </row>
    <row r="347" spans="1:20" x14ac:dyDescent="0.35">
      <c r="A347" s="7" t="s">
        <v>448</v>
      </c>
      <c r="B347" s="12" t="s">
        <v>449</v>
      </c>
      <c r="C347">
        <v>145284978.99886778</v>
      </c>
      <c r="D347">
        <v>158195115.10031888</v>
      </c>
      <c r="E347">
        <v>3472972.9729729742</v>
      </c>
      <c r="F347">
        <v>3180180.1801801799</v>
      </c>
      <c r="G347">
        <v>132</v>
      </c>
      <c r="H347">
        <v>68</v>
      </c>
      <c r="K347">
        <v>177</v>
      </c>
      <c r="L347">
        <v>89</v>
      </c>
      <c r="M347">
        <v>11486306.306306308</v>
      </c>
      <c r="N347">
        <v>63861936.936936937</v>
      </c>
      <c r="O347">
        <v>59900774.774774775</v>
      </c>
      <c r="P347">
        <v>63781864.864864863</v>
      </c>
      <c r="Q347">
        <v>12863243.243243245</v>
      </c>
      <c r="R347">
        <v>63696621.621621624</v>
      </c>
      <c r="S347">
        <v>5741</v>
      </c>
      <c r="T347">
        <v>6048</v>
      </c>
    </row>
    <row r="348" spans="1:20" x14ac:dyDescent="0.35">
      <c r="A348" s="7" t="s">
        <v>450</v>
      </c>
      <c r="B348" s="12" t="s">
        <v>77</v>
      </c>
      <c r="C348">
        <v>34612770.108251661</v>
      </c>
      <c r="D348">
        <v>38055802.104607321</v>
      </c>
      <c r="E348">
        <v>527927.92792792898</v>
      </c>
      <c r="F348">
        <v>346846.84684684902</v>
      </c>
      <c r="G348">
        <v>22</v>
      </c>
      <c r="H348">
        <v>16</v>
      </c>
      <c r="K348">
        <v>22</v>
      </c>
      <c r="L348">
        <v>23</v>
      </c>
      <c r="M348">
        <v>9363783.7837837841</v>
      </c>
      <c r="N348">
        <v>11615315.315315315</v>
      </c>
      <c r="O348">
        <v>12356980.180180181</v>
      </c>
      <c r="P348">
        <v>13017477.477477476</v>
      </c>
      <c r="Q348">
        <v>7993333.333333334</v>
      </c>
      <c r="R348">
        <v>8453693.6936936956</v>
      </c>
      <c r="S348">
        <v>1826</v>
      </c>
      <c r="T348">
        <v>1897</v>
      </c>
    </row>
    <row r="349" spans="1:20" x14ac:dyDescent="0.35">
      <c r="A349" s="7" t="s">
        <v>451</v>
      </c>
      <c r="B349" s="12" t="s">
        <v>84</v>
      </c>
      <c r="C349">
        <v>1312913747.0106726</v>
      </c>
      <c r="D349">
        <v>1360787118.5558121</v>
      </c>
      <c r="E349">
        <v>300657636.03603601</v>
      </c>
      <c r="F349">
        <v>460235178.37837839</v>
      </c>
      <c r="G349">
        <v>405</v>
      </c>
      <c r="H349">
        <v>219</v>
      </c>
      <c r="I349">
        <v>2</v>
      </c>
      <c r="K349">
        <v>521</v>
      </c>
      <c r="L349">
        <v>373</v>
      </c>
      <c r="M349">
        <v>171206756.75675678</v>
      </c>
      <c r="N349">
        <v>211833963.96396396</v>
      </c>
      <c r="O349">
        <v>286082200.45045048</v>
      </c>
      <c r="P349">
        <v>318204457.65765768</v>
      </c>
      <c r="Q349">
        <v>155334369.36936939</v>
      </c>
      <c r="R349">
        <v>192475360.36036035</v>
      </c>
      <c r="S349">
        <v>31255</v>
      </c>
      <c r="T349">
        <v>31946</v>
      </c>
    </row>
    <row r="350" spans="1:20" x14ac:dyDescent="0.35">
      <c r="A350" s="7" t="s">
        <v>452</v>
      </c>
      <c r="B350" s="12" t="s">
        <v>71</v>
      </c>
      <c r="C350">
        <v>85652907.934326649</v>
      </c>
      <c r="D350">
        <v>86339433.816522121</v>
      </c>
      <c r="E350">
        <v>379279.27927927999</v>
      </c>
      <c r="F350">
        <v>1120270.2702702719</v>
      </c>
      <c r="G350">
        <v>20</v>
      </c>
      <c r="H350">
        <v>7</v>
      </c>
      <c r="K350">
        <v>20</v>
      </c>
      <c r="L350">
        <v>9</v>
      </c>
      <c r="M350">
        <v>2481981.9819819829</v>
      </c>
      <c r="N350">
        <v>5994144.1441441448</v>
      </c>
      <c r="O350">
        <v>52512693.693693697</v>
      </c>
      <c r="P350">
        <v>49680468.468468472</v>
      </c>
      <c r="Q350">
        <v>2081081.0810810809</v>
      </c>
      <c r="R350">
        <v>4364144.1441441439</v>
      </c>
      <c r="S350">
        <v>2751</v>
      </c>
      <c r="T350">
        <v>2784</v>
      </c>
    </row>
    <row r="351" spans="1:20" x14ac:dyDescent="0.35">
      <c r="A351" s="7" t="s">
        <v>453</v>
      </c>
      <c r="B351" s="12" t="s">
        <v>168</v>
      </c>
      <c r="C351">
        <v>104239718.36191149</v>
      </c>
      <c r="D351">
        <v>108566963.87680992</v>
      </c>
      <c r="E351">
        <v>1396396.396396396</v>
      </c>
      <c r="F351">
        <v>2231531.5315315318</v>
      </c>
      <c r="G351">
        <v>4</v>
      </c>
      <c r="H351">
        <v>17</v>
      </c>
      <c r="K351">
        <v>4</v>
      </c>
      <c r="L351">
        <v>19</v>
      </c>
      <c r="M351">
        <v>3710360.3603603598</v>
      </c>
      <c r="N351">
        <v>4105405.405405404</v>
      </c>
      <c r="O351">
        <v>20155414.414414417</v>
      </c>
      <c r="P351">
        <v>27503270.270270273</v>
      </c>
      <c r="Q351">
        <v>4536576.5765765756</v>
      </c>
      <c r="R351">
        <v>3543423.423423422</v>
      </c>
      <c r="S351">
        <v>2640</v>
      </c>
      <c r="T351">
        <v>2927</v>
      </c>
    </row>
    <row r="352" spans="1:20" x14ac:dyDescent="0.35">
      <c r="A352" s="7" t="s">
        <v>454</v>
      </c>
      <c r="B352" s="12" t="s">
        <v>122</v>
      </c>
      <c r="C352">
        <v>4335806.0155542651</v>
      </c>
      <c r="D352">
        <v>4663918.9028377766</v>
      </c>
      <c r="E352">
        <v>34234.234234233998</v>
      </c>
      <c r="G352">
        <v>2</v>
      </c>
      <c r="K352">
        <v>2</v>
      </c>
      <c r="M352">
        <v>36036.036036035999</v>
      </c>
      <c r="O352">
        <v>420360.36036036001</v>
      </c>
      <c r="P352">
        <v>359945.94594594598</v>
      </c>
      <c r="S352">
        <v>120</v>
      </c>
      <c r="T352">
        <v>130</v>
      </c>
    </row>
    <row r="353" spans="1:20" x14ac:dyDescent="0.35">
      <c r="A353" s="7" t="s">
        <v>455</v>
      </c>
      <c r="B353" s="12" t="s">
        <v>225</v>
      </c>
      <c r="C353">
        <v>35405225.472629339</v>
      </c>
      <c r="D353">
        <v>37664406.17651388</v>
      </c>
      <c r="K353">
        <v>1</v>
      </c>
      <c r="O353">
        <v>6858864.8648648653</v>
      </c>
      <c r="P353">
        <v>10819000</v>
      </c>
      <c r="Q353">
        <v>155045.045045045</v>
      </c>
      <c r="R353">
        <v>94234.234234233998</v>
      </c>
      <c r="S353">
        <v>1255</v>
      </c>
      <c r="T353">
        <v>1298</v>
      </c>
    </row>
    <row r="354" spans="1:20" x14ac:dyDescent="0.35">
      <c r="A354" s="7" t="s">
        <v>456</v>
      </c>
      <c r="B354" s="12" t="s">
        <v>95</v>
      </c>
      <c r="C354">
        <v>58193628.19022385</v>
      </c>
      <c r="D354">
        <v>69443268.963762268</v>
      </c>
      <c r="E354">
        <v>495495.49549549603</v>
      </c>
      <c r="F354">
        <v>1162162.162162164</v>
      </c>
      <c r="G354">
        <v>16</v>
      </c>
      <c r="H354">
        <v>25</v>
      </c>
      <c r="K354">
        <v>19</v>
      </c>
      <c r="L354">
        <v>29</v>
      </c>
      <c r="M354">
        <v>19018018.018018015</v>
      </c>
      <c r="N354">
        <v>14945945.945945946</v>
      </c>
      <c r="O354">
        <v>13385202.702702701</v>
      </c>
      <c r="P354">
        <v>18729139.639639638</v>
      </c>
      <c r="Q354">
        <v>18880270.270270269</v>
      </c>
      <c r="R354">
        <v>13239279.279279277</v>
      </c>
      <c r="S354">
        <v>2059</v>
      </c>
      <c r="T354">
        <v>2116</v>
      </c>
    </row>
    <row r="355" spans="1:20" x14ac:dyDescent="0.35">
      <c r="A355" s="7" t="s">
        <v>457</v>
      </c>
      <c r="B355" s="12" t="s">
        <v>61</v>
      </c>
      <c r="C355">
        <v>7798355.4126190273</v>
      </c>
      <c r="D355">
        <v>9617559.2439315151</v>
      </c>
      <c r="E355">
        <v>170270.27027027</v>
      </c>
      <c r="G355">
        <v>5</v>
      </c>
      <c r="H355">
        <v>2</v>
      </c>
      <c r="K355">
        <v>6</v>
      </c>
      <c r="L355">
        <v>3</v>
      </c>
      <c r="M355">
        <v>1206306.306306307</v>
      </c>
      <c r="N355">
        <v>450450.45045045001</v>
      </c>
      <c r="O355">
        <v>3596837.8378378381</v>
      </c>
      <c r="P355">
        <v>5092180.1801801799</v>
      </c>
      <c r="Q355">
        <v>620270.27027026995</v>
      </c>
      <c r="R355">
        <v>523783.78378378402</v>
      </c>
      <c r="S355">
        <v>558</v>
      </c>
      <c r="T355">
        <v>562</v>
      </c>
    </row>
    <row r="356" spans="1:20" x14ac:dyDescent="0.35">
      <c r="A356" s="7" t="s">
        <v>458</v>
      </c>
      <c r="B356" s="12" t="s">
        <v>215</v>
      </c>
      <c r="C356">
        <v>145468583.73760867</v>
      </c>
      <c r="D356">
        <v>141161054.0500381</v>
      </c>
      <c r="E356">
        <v>396396.39639639598</v>
      </c>
      <c r="G356">
        <v>33</v>
      </c>
      <c r="H356">
        <v>1</v>
      </c>
      <c r="K356">
        <v>36</v>
      </c>
      <c r="L356">
        <v>2</v>
      </c>
      <c r="M356">
        <v>936936.93693693704</v>
      </c>
      <c r="N356">
        <v>360360.36036036001</v>
      </c>
      <c r="O356">
        <v>74105819.819819823</v>
      </c>
      <c r="P356">
        <v>75404189.189189181</v>
      </c>
      <c r="Q356">
        <v>1726126.1261261259</v>
      </c>
      <c r="R356">
        <v>427117.11711711698</v>
      </c>
      <c r="S356">
        <v>2903</v>
      </c>
      <c r="T356">
        <v>3004</v>
      </c>
    </row>
    <row r="357" spans="1:20" x14ac:dyDescent="0.35">
      <c r="A357" s="7" t="s">
        <v>459</v>
      </c>
      <c r="B357" s="12" t="s">
        <v>460</v>
      </c>
      <c r="C357">
        <v>561063970.63919044</v>
      </c>
      <c r="D357">
        <v>603037843.39838398</v>
      </c>
      <c r="E357">
        <v>11826126.126126133</v>
      </c>
      <c r="F357">
        <v>18771171.171171181</v>
      </c>
      <c r="G357">
        <v>360</v>
      </c>
      <c r="H357">
        <v>234</v>
      </c>
      <c r="K357">
        <v>490</v>
      </c>
      <c r="L357">
        <v>361</v>
      </c>
      <c r="M357">
        <v>225269864.86486486</v>
      </c>
      <c r="N357">
        <v>198850540.54054055</v>
      </c>
      <c r="O357">
        <v>201670092.34234235</v>
      </c>
      <c r="P357">
        <v>226462545.94594595</v>
      </c>
      <c r="Q357">
        <v>133648603.6036036</v>
      </c>
      <c r="R357">
        <v>154063963.96396396</v>
      </c>
      <c r="S357">
        <v>24214</v>
      </c>
      <c r="T357">
        <v>25360</v>
      </c>
    </row>
    <row r="358" spans="1:20" x14ac:dyDescent="0.35">
      <c r="A358" s="7" t="s">
        <v>461</v>
      </c>
      <c r="B358" s="12" t="s">
        <v>460</v>
      </c>
      <c r="C358">
        <v>1729455369.7314122</v>
      </c>
      <c r="D358">
        <v>1908104257.8459675</v>
      </c>
      <c r="E358">
        <v>13441441.441441445</v>
      </c>
      <c r="F358">
        <v>19637837.837837841</v>
      </c>
      <c r="G358">
        <v>470</v>
      </c>
      <c r="H358">
        <v>402</v>
      </c>
      <c r="I358">
        <v>5</v>
      </c>
      <c r="K358">
        <v>588</v>
      </c>
      <c r="L358">
        <v>629</v>
      </c>
      <c r="M358">
        <v>100947432.43243241</v>
      </c>
      <c r="N358">
        <v>144161756.75675678</v>
      </c>
      <c r="O358">
        <v>1055659149.0990992</v>
      </c>
      <c r="P358">
        <v>1206750963.963964</v>
      </c>
      <c r="Q358">
        <v>94957072.072072059</v>
      </c>
      <c r="R358">
        <v>134372117.11711711</v>
      </c>
      <c r="S358">
        <v>30121</v>
      </c>
      <c r="T358">
        <v>31841</v>
      </c>
    </row>
    <row r="359" spans="1:20" x14ac:dyDescent="0.35">
      <c r="A359" s="7" t="s">
        <v>462</v>
      </c>
      <c r="B359" s="12" t="s">
        <v>460</v>
      </c>
      <c r="C359">
        <v>892356442.68006122</v>
      </c>
      <c r="D359">
        <v>900731647.78167701</v>
      </c>
      <c r="E359">
        <v>23587775.675675679</v>
      </c>
      <c r="F359">
        <v>33299247.747747745</v>
      </c>
      <c r="G359">
        <v>396</v>
      </c>
      <c r="H359">
        <v>354</v>
      </c>
      <c r="I359">
        <v>6</v>
      </c>
      <c r="K359">
        <v>491</v>
      </c>
      <c r="L359">
        <v>565</v>
      </c>
      <c r="M359">
        <v>610142425.22522521</v>
      </c>
      <c r="N359">
        <v>1039252626.1261261</v>
      </c>
      <c r="O359">
        <v>250018833.33333334</v>
      </c>
      <c r="P359">
        <v>265616322.52252254</v>
      </c>
      <c r="Q359">
        <v>422620315.31531531</v>
      </c>
      <c r="R359">
        <v>127666171.17117117</v>
      </c>
      <c r="S359">
        <v>23028</v>
      </c>
      <c r="T359">
        <v>24637</v>
      </c>
    </row>
    <row r="360" spans="1:20" x14ac:dyDescent="0.35">
      <c r="A360" s="7" t="s">
        <v>463</v>
      </c>
      <c r="B360" s="12" t="s">
        <v>460</v>
      </c>
      <c r="C360">
        <v>648891052.34188664</v>
      </c>
      <c r="D360">
        <v>597417600.27066493</v>
      </c>
      <c r="E360">
        <v>3869369.3693693751</v>
      </c>
      <c r="F360">
        <v>7960360.3603603588</v>
      </c>
      <c r="G360">
        <v>267</v>
      </c>
      <c r="H360">
        <v>113</v>
      </c>
      <c r="I360">
        <v>5</v>
      </c>
      <c r="K360">
        <v>310</v>
      </c>
      <c r="L360">
        <v>139</v>
      </c>
      <c r="M360">
        <v>129425360.36036035</v>
      </c>
      <c r="N360">
        <v>74929666.666666657</v>
      </c>
      <c r="O360">
        <v>148675594.5945946</v>
      </c>
      <c r="P360">
        <v>151016863.06306309</v>
      </c>
      <c r="Q360">
        <v>64943738.738738738</v>
      </c>
      <c r="R360">
        <v>71019954.954954952</v>
      </c>
      <c r="S360">
        <v>18755</v>
      </c>
      <c r="T360">
        <v>17682</v>
      </c>
    </row>
    <row r="361" spans="1:20" x14ac:dyDescent="0.35">
      <c r="A361" s="7" t="s">
        <v>464</v>
      </c>
      <c r="B361" s="12" t="s">
        <v>460</v>
      </c>
      <c r="C361">
        <v>628317649.03500366</v>
      </c>
      <c r="D361">
        <v>657926059.31700301</v>
      </c>
      <c r="E361">
        <v>321331576.57657659</v>
      </c>
      <c r="F361">
        <v>137540540.54054055</v>
      </c>
      <c r="G361">
        <v>589</v>
      </c>
      <c r="H361">
        <v>319</v>
      </c>
      <c r="I361">
        <v>1</v>
      </c>
      <c r="K361">
        <v>726</v>
      </c>
      <c r="L361">
        <v>1051</v>
      </c>
      <c r="M361">
        <v>169140450.45045045</v>
      </c>
      <c r="N361">
        <v>264844819.81981981</v>
      </c>
      <c r="O361">
        <v>252802691.44144145</v>
      </c>
      <c r="P361">
        <v>266276648.64864865</v>
      </c>
      <c r="Q361">
        <v>162722072.07207206</v>
      </c>
      <c r="R361">
        <v>211354324.32432431</v>
      </c>
      <c r="S361">
        <v>26155</v>
      </c>
      <c r="T361">
        <v>26813</v>
      </c>
    </row>
    <row r="362" spans="1:20" x14ac:dyDescent="0.35">
      <c r="A362" s="7" t="s">
        <v>465</v>
      </c>
      <c r="B362" s="12" t="s">
        <v>460</v>
      </c>
      <c r="C362">
        <v>727103308.98442852</v>
      </c>
      <c r="D362">
        <v>709216154.4178015</v>
      </c>
      <c r="E362">
        <v>1500872972.9729731</v>
      </c>
      <c r="F362">
        <v>1139693970.2702701</v>
      </c>
      <c r="G362">
        <v>278</v>
      </c>
      <c r="H362">
        <v>145</v>
      </c>
      <c r="K362">
        <v>332</v>
      </c>
      <c r="L362">
        <v>208</v>
      </c>
      <c r="M362">
        <v>98505076.576576576</v>
      </c>
      <c r="N362">
        <v>141247297.2972973</v>
      </c>
      <c r="O362">
        <v>312484131.08108109</v>
      </c>
      <c r="P362">
        <v>321963126.12612617</v>
      </c>
      <c r="Q362">
        <v>97864504.504504502</v>
      </c>
      <c r="R362">
        <v>138029729.72972974</v>
      </c>
      <c r="S362">
        <v>30210</v>
      </c>
      <c r="T362">
        <v>29060</v>
      </c>
    </row>
    <row r="363" spans="1:20" x14ac:dyDescent="0.35">
      <c r="A363" s="7" t="s">
        <v>466</v>
      </c>
      <c r="B363" s="12" t="s">
        <v>55</v>
      </c>
      <c r="C363">
        <v>46913575.92232427</v>
      </c>
      <c r="D363">
        <v>47698311.566957422</v>
      </c>
      <c r="E363">
        <v>344144.144144146</v>
      </c>
      <c r="F363">
        <v>556756.75675675704</v>
      </c>
      <c r="G363">
        <v>13</v>
      </c>
      <c r="H363">
        <v>5</v>
      </c>
      <c r="K363">
        <v>20</v>
      </c>
      <c r="L363">
        <v>8</v>
      </c>
      <c r="M363">
        <v>4418738.7387387389</v>
      </c>
      <c r="N363">
        <v>5478198.1981981993</v>
      </c>
      <c r="O363">
        <v>10247198.198198199</v>
      </c>
      <c r="P363">
        <v>10123045.045045044</v>
      </c>
      <c r="Q363">
        <v>4678018.0180180166</v>
      </c>
      <c r="R363">
        <v>5037477.4774774779</v>
      </c>
      <c r="S363">
        <v>1230</v>
      </c>
      <c r="T363">
        <v>1193</v>
      </c>
    </row>
    <row r="364" spans="1:20" x14ac:dyDescent="0.35">
      <c r="A364" s="7" t="s">
        <v>467</v>
      </c>
      <c r="B364" s="12" t="s">
        <v>88</v>
      </c>
      <c r="C364">
        <v>1792748.9922280789</v>
      </c>
      <c r="D364">
        <v>2133914.7183611351</v>
      </c>
      <c r="F364">
        <v>567066.66666666698</v>
      </c>
      <c r="H364">
        <v>1</v>
      </c>
      <c r="L364">
        <v>1</v>
      </c>
      <c r="N364">
        <v>2702702.702702703</v>
      </c>
      <c r="O364">
        <v>295945.94594594598</v>
      </c>
      <c r="P364">
        <v>987387.38738738699</v>
      </c>
      <c r="S364">
        <v>98</v>
      </c>
      <c r="T364">
        <v>93</v>
      </c>
    </row>
    <row r="365" spans="1:20" x14ac:dyDescent="0.35">
      <c r="A365" s="7" t="s">
        <v>468</v>
      </c>
      <c r="B365" s="12" t="s">
        <v>144</v>
      </c>
      <c r="C365">
        <v>223426550.21893448</v>
      </c>
      <c r="D365">
        <v>249832108.69513789</v>
      </c>
      <c r="E365">
        <v>248648.64864865001</v>
      </c>
      <c r="F365">
        <v>256756.756756758</v>
      </c>
      <c r="G365">
        <v>64</v>
      </c>
      <c r="H365">
        <v>6</v>
      </c>
      <c r="K365">
        <v>69</v>
      </c>
      <c r="L365">
        <v>6</v>
      </c>
      <c r="M365">
        <v>9978378.3783783801</v>
      </c>
      <c r="N365">
        <v>16472972.972972976</v>
      </c>
      <c r="O365">
        <v>34029834.234234229</v>
      </c>
      <c r="P365">
        <v>48237178.378378376</v>
      </c>
      <c r="Q365">
        <v>8884954.9549549557</v>
      </c>
      <c r="R365">
        <v>10666529.729729731</v>
      </c>
      <c r="S365">
        <v>4908</v>
      </c>
      <c r="T365">
        <v>4987</v>
      </c>
    </row>
    <row r="366" spans="1:20" x14ac:dyDescent="0.35">
      <c r="A366" s="7" t="s">
        <v>469</v>
      </c>
      <c r="B366" s="12" t="s">
        <v>81</v>
      </c>
      <c r="C366">
        <v>198150082.57677394</v>
      </c>
      <c r="D366">
        <v>191457396.01742455</v>
      </c>
      <c r="E366">
        <v>85135.135135138</v>
      </c>
      <c r="F366">
        <v>940540.54054054304</v>
      </c>
      <c r="G366">
        <v>36</v>
      </c>
      <c r="H366">
        <v>16</v>
      </c>
      <c r="K366">
        <v>40</v>
      </c>
      <c r="L366">
        <v>17</v>
      </c>
      <c r="M366">
        <v>6056306.3063063063</v>
      </c>
      <c r="N366">
        <v>7390990.9909909898</v>
      </c>
      <c r="O366">
        <v>74464387.387387395</v>
      </c>
      <c r="P366">
        <v>73489317.117117122</v>
      </c>
      <c r="Q366">
        <v>5136036.036036036</v>
      </c>
      <c r="R366">
        <v>4221981.9819819806</v>
      </c>
      <c r="S366">
        <v>5158</v>
      </c>
      <c r="T366">
        <v>5169</v>
      </c>
    </row>
    <row r="367" spans="1:20" x14ac:dyDescent="0.35">
      <c r="A367" s="7" t="s">
        <v>470</v>
      </c>
      <c r="B367" s="12" t="s">
        <v>471</v>
      </c>
      <c r="C367">
        <v>232994431.45590666</v>
      </c>
      <c r="D367">
        <v>232484415.98899606</v>
      </c>
      <c r="E367">
        <v>1617117.1171171181</v>
      </c>
      <c r="F367">
        <v>1703603.603603604</v>
      </c>
      <c r="G367">
        <v>22</v>
      </c>
      <c r="H367">
        <v>16</v>
      </c>
      <c r="K367">
        <v>24</v>
      </c>
      <c r="L367">
        <v>20</v>
      </c>
      <c r="M367">
        <v>20436936.936936937</v>
      </c>
      <c r="N367">
        <v>12604504.504504504</v>
      </c>
      <c r="O367">
        <v>71945324.324324325</v>
      </c>
      <c r="P367">
        <v>78327590.990990996</v>
      </c>
      <c r="Q367">
        <v>19976576.576576579</v>
      </c>
      <c r="R367">
        <v>29696918.918918919</v>
      </c>
      <c r="S367">
        <v>5438</v>
      </c>
      <c r="T367">
        <v>5520</v>
      </c>
    </row>
    <row r="368" spans="1:20" x14ac:dyDescent="0.35">
      <c r="A368" s="7" t="s">
        <v>472</v>
      </c>
      <c r="B368" s="12" t="s">
        <v>471</v>
      </c>
      <c r="C368">
        <v>18706161.056262139</v>
      </c>
      <c r="D368">
        <v>20194353.823222347</v>
      </c>
      <c r="E368">
        <v>177477.47747747699</v>
      </c>
      <c r="F368">
        <v>27027.027027027001</v>
      </c>
      <c r="K368">
        <v>1</v>
      </c>
      <c r="L368">
        <v>1</v>
      </c>
      <c r="M368">
        <v>2736036.036036036</v>
      </c>
      <c r="N368">
        <v>27027.027027027001</v>
      </c>
      <c r="O368">
        <v>1774369.369369369</v>
      </c>
      <c r="P368">
        <v>2508360.3603603598</v>
      </c>
      <c r="Q368">
        <v>2692792.7927927929</v>
      </c>
      <c r="R368">
        <v>111711.71171171201</v>
      </c>
      <c r="S368">
        <v>629</v>
      </c>
      <c r="T368">
        <v>658</v>
      </c>
    </row>
    <row r="369" spans="1:20" x14ac:dyDescent="0.35">
      <c r="A369" s="7" t="s">
        <v>473</v>
      </c>
      <c r="B369" s="12" t="s">
        <v>471</v>
      </c>
      <c r="C369">
        <v>2436079.405546783</v>
      </c>
      <c r="D369">
        <v>2543599.6361355479</v>
      </c>
      <c r="E369">
        <v>84381981.981981978</v>
      </c>
      <c r="F369">
        <v>63675675.675675683</v>
      </c>
      <c r="G369">
        <v>1</v>
      </c>
      <c r="K369">
        <v>1</v>
      </c>
      <c r="M369">
        <v>3841891.8918918921</v>
      </c>
      <c r="N369">
        <v>310810.810810811</v>
      </c>
      <c r="O369">
        <v>498468.468468468</v>
      </c>
      <c r="P369">
        <v>653603.60360360402</v>
      </c>
      <c r="Q369">
        <v>2549549.5495495498</v>
      </c>
      <c r="R369">
        <v>3796756.756756756</v>
      </c>
      <c r="S369">
        <v>415</v>
      </c>
      <c r="T369">
        <v>390</v>
      </c>
    </row>
    <row r="370" spans="1:20" x14ac:dyDescent="0.35">
      <c r="A370" s="7" t="s">
        <v>474</v>
      </c>
      <c r="B370" s="12" t="s">
        <v>471</v>
      </c>
      <c r="C370">
        <v>82348954.780611396</v>
      </c>
      <c r="D370">
        <v>81484299.439425945</v>
      </c>
      <c r="E370">
        <v>422522.52252252301</v>
      </c>
      <c r="F370">
        <v>1348103.603603604</v>
      </c>
      <c r="G370">
        <v>11</v>
      </c>
      <c r="H370">
        <v>8</v>
      </c>
      <c r="K370">
        <v>11</v>
      </c>
      <c r="L370">
        <v>9</v>
      </c>
      <c r="M370">
        <v>25674774.774774775</v>
      </c>
      <c r="N370">
        <v>7434774.7747747749</v>
      </c>
      <c r="O370">
        <v>11335756.756756756</v>
      </c>
      <c r="P370">
        <v>13957277.477477476</v>
      </c>
      <c r="Q370">
        <v>15517927.927927928</v>
      </c>
      <c r="R370">
        <v>10256126.126126124</v>
      </c>
      <c r="S370">
        <v>2231</v>
      </c>
      <c r="T370">
        <v>2240</v>
      </c>
    </row>
    <row r="371" spans="1:20" x14ac:dyDescent="0.35">
      <c r="A371" s="7" t="s">
        <v>475</v>
      </c>
      <c r="B371" s="12" t="s">
        <v>471</v>
      </c>
      <c r="C371">
        <v>115880755.47633655</v>
      </c>
      <c r="D371">
        <v>115000191.39605963</v>
      </c>
      <c r="E371">
        <v>1012612.6126126139</v>
      </c>
      <c r="F371">
        <v>677477.47747747798</v>
      </c>
      <c r="G371">
        <v>30</v>
      </c>
      <c r="H371">
        <v>6</v>
      </c>
      <c r="K371">
        <v>31</v>
      </c>
      <c r="L371">
        <v>6</v>
      </c>
      <c r="M371">
        <v>9120720.7207207195</v>
      </c>
      <c r="N371">
        <v>3384144.144144143</v>
      </c>
      <c r="O371">
        <v>25394603.603603605</v>
      </c>
      <c r="P371">
        <v>28032459.459459461</v>
      </c>
      <c r="Q371">
        <v>9285675.6756756753</v>
      </c>
      <c r="R371">
        <v>10355225.225225225</v>
      </c>
      <c r="S371">
        <v>2371</v>
      </c>
      <c r="T371">
        <v>2665</v>
      </c>
    </row>
    <row r="372" spans="1:20" x14ac:dyDescent="0.35">
      <c r="A372" s="7" t="s">
        <v>476</v>
      </c>
      <c r="B372" s="12" t="s">
        <v>471</v>
      </c>
      <c r="C372">
        <v>42482791.693993852</v>
      </c>
      <c r="D372">
        <v>43260102.892221667</v>
      </c>
      <c r="E372">
        <v>336036.03603603703</v>
      </c>
      <c r="F372">
        <v>423423.423423425</v>
      </c>
      <c r="G372">
        <v>4</v>
      </c>
      <c r="H372">
        <v>5</v>
      </c>
      <c r="K372">
        <v>4</v>
      </c>
      <c r="L372">
        <v>6</v>
      </c>
      <c r="M372">
        <v>6534234.2342342362</v>
      </c>
      <c r="N372">
        <v>2472972.9729729728</v>
      </c>
      <c r="O372">
        <v>8740016.2162162177</v>
      </c>
      <c r="P372">
        <v>11193342.342342341</v>
      </c>
      <c r="Q372">
        <v>6040810.81081081</v>
      </c>
      <c r="R372">
        <v>6883963.963963965</v>
      </c>
      <c r="S372">
        <v>1399</v>
      </c>
      <c r="T372">
        <v>1410</v>
      </c>
    </row>
    <row r="373" spans="1:20" x14ac:dyDescent="0.35">
      <c r="A373" s="7" t="s">
        <v>477</v>
      </c>
      <c r="B373" s="12" t="s">
        <v>471</v>
      </c>
      <c r="C373">
        <v>438882061.60065144</v>
      </c>
      <c r="D373">
        <v>453814125.73561954</v>
      </c>
      <c r="E373">
        <v>172678420.72072074</v>
      </c>
      <c r="F373">
        <v>91601728.828828827</v>
      </c>
      <c r="G373">
        <v>180</v>
      </c>
      <c r="H373">
        <v>333</v>
      </c>
      <c r="K373">
        <v>296</v>
      </c>
      <c r="L373">
        <v>361</v>
      </c>
      <c r="M373">
        <v>145052218.01801801</v>
      </c>
      <c r="N373">
        <v>90822168.468468457</v>
      </c>
      <c r="O373">
        <v>114289358.55855855</v>
      </c>
      <c r="P373">
        <v>125429670.27027027</v>
      </c>
      <c r="Q373">
        <v>117340360.36036037</v>
      </c>
      <c r="R373">
        <v>88001801.801801786</v>
      </c>
      <c r="S373">
        <v>16136</v>
      </c>
      <c r="T373">
        <v>16276</v>
      </c>
    </row>
    <row r="374" spans="1:20" x14ac:dyDescent="0.35">
      <c r="A374" s="7" t="s">
        <v>478</v>
      </c>
      <c r="B374" s="12" t="s">
        <v>261</v>
      </c>
      <c r="C374">
        <v>543125340.420169</v>
      </c>
      <c r="D374">
        <v>518447945.94938439</v>
      </c>
      <c r="E374">
        <v>3075000</v>
      </c>
      <c r="F374">
        <v>4883783.783783786</v>
      </c>
      <c r="G374">
        <v>106</v>
      </c>
      <c r="H374">
        <v>64</v>
      </c>
      <c r="I374">
        <v>1</v>
      </c>
      <c r="K374">
        <v>111</v>
      </c>
      <c r="L374">
        <v>73</v>
      </c>
      <c r="M374">
        <v>73138738.738738731</v>
      </c>
      <c r="N374">
        <v>75896396.396396399</v>
      </c>
      <c r="O374">
        <v>142030310.8108108</v>
      </c>
      <c r="P374">
        <v>147533720.72072074</v>
      </c>
      <c r="Q374">
        <v>68452972.972972974</v>
      </c>
      <c r="R374">
        <v>74817117.117117122</v>
      </c>
      <c r="S374">
        <v>10973</v>
      </c>
      <c r="T374">
        <v>11834</v>
      </c>
    </row>
    <row r="375" spans="1:20" x14ac:dyDescent="0.35">
      <c r="A375" s="7" t="s">
        <v>479</v>
      </c>
      <c r="B375" s="12" t="s">
        <v>480</v>
      </c>
      <c r="C375">
        <v>36431748.910106264</v>
      </c>
      <c r="D375">
        <v>36773000.38579943</v>
      </c>
      <c r="E375">
        <v>406306.30630630697</v>
      </c>
      <c r="F375">
        <v>627027.02702702698</v>
      </c>
      <c r="G375">
        <v>10</v>
      </c>
      <c r="H375">
        <v>10</v>
      </c>
      <c r="K375">
        <v>10</v>
      </c>
      <c r="L375">
        <v>11</v>
      </c>
      <c r="M375">
        <v>11525675.675675675</v>
      </c>
      <c r="N375">
        <v>15756576.576576576</v>
      </c>
      <c r="O375">
        <v>8611036.0360360369</v>
      </c>
      <c r="P375">
        <v>10054223.423423424</v>
      </c>
      <c r="Q375">
        <v>11554684.684684685</v>
      </c>
      <c r="R375">
        <v>16097207.207207208</v>
      </c>
      <c r="S375">
        <v>764</v>
      </c>
      <c r="T375">
        <v>772</v>
      </c>
    </row>
    <row r="376" spans="1:20" x14ac:dyDescent="0.35">
      <c r="A376" s="7" t="s">
        <v>481</v>
      </c>
      <c r="B376" s="12" t="s">
        <v>124</v>
      </c>
      <c r="C376">
        <v>278120221.70217526</v>
      </c>
      <c r="D376">
        <v>273471107.34913647</v>
      </c>
      <c r="E376">
        <v>1969369.369369372</v>
      </c>
      <c r="F376">
        <v>1648648.6486486511</v>
      </c>
      <c r="G376">
        <v>57</v>
      </c>
      <c r="H376">
        <v>39</v>
      </c>
      <c r="K376">
        <v>61</v>
      </c>
      <c r="L376">
        <v>46</v>
      </c>
      <c r="M376">
        <v>16253693.693693692</v>
      </c>
      <c r="N376">
        <v>18591351.351351351</v>
      </c>
      <c r="O376">
        <v>103741058.55855855</v>
      </c>
      <c r="P376">
        <v>111763890.0900901</v>
      </c>
      <c r="Q376">
        <v>16751801.801801801</v>
      </c>
      <c r="R376">
        <v>17937027.027027026</v>
      </c>
      <c r="S376">
        <v>5496</v>
      </c>
      <c r="T376">
        <v>5556</v>
      </c>
    </row>
    <row r="377" spans="1:20" x14ac:dyDescent="0.35">
      <c r="A377" s="7" t="s">
        <v>482</v>
      </c>
      <c r="B377" s="12" t="s">
        <v>471</v>
      </c>
      <c r="C377">
        <v>22028495.625233341</v>
      </c>
      <c r="D377">
        <v>22753640.769029889</v>
      </c>
      <c r="E377">
        <v>88288.288288288997</v>
      </c>
      <c r="F377">
        <v>324324.32432432502</v>
      </c>
      <c r="G377">
        <v>3</v>
      </c>
      <c r="H377">
        <v>2</v>
      </c>
      <c r="K377">
        <v>4</v>
      </c>
      <c r="L377">
        <v>2</v>
      </c>
      <c r="M377">
        <v>1439639.63963964</v>
      </c>
      <c r="N377">
        <v>788288.28828828898</v>
      </c>
      <c r="O377">
        <v>3436612.612612613</v>
      </c>
      <c r="P377">
        <v>3214054.054054054</v>
      </c>
      <c r="Q377">
        <v>847387.38738738699</v>
      </c>
      <c r="R377">
        <v>922882.88288288296</v>
      </c>
      <c r="S377">
        <v>586</v>
      </c>
      <c r="T377">
        <v>609</v>
      </c>
    </row>
    <row r="378" spans="1:20" x14ac:dyDescent="0.35">
      <c r="A378" s="7" t="s">
        <v>483</v>
      </c>
      <c r="B378" s="12" t="s">
        <v>168</v>
      </c>
      <c r="C378">
        <v>228780625.39440635</v>
      </c>
      <c r="D378">
        <v>240723626.84739223</v>
      </c>
      <c r="E378">
        <v>2536936.9369369391</v>
      </c>
      <c r="F378">
        <v>5549549.5495495489</v>
      </c>
      <c r="G378">
        <v>202</v>
      </c>
      <c r="H378">
        <v>25</v>
      </c>
      <c r="K378">
        <v>287</v>
      </c>
      <c r="L378">
        <v>61</v>
      </c>
      <c r="M378">
        <v>20515352.252252255</v>
      </c>
      <c r="N378">
        <v>25883108.108108103</v>
      </c>
      <c r="O378">
        <v>95799639.639639631</v>
      </c>
      <c r="P378">
        <v>102097288.2882883</v>
      </c>
      <c r="Q378">
        <v>19399639.639639638</v>
      </c>
      <c r="R378">
        <v>25603648.648648649</v>
      </c>
      <c r="S378">
        <v>8425</v>
      </c>
      <c r="T378">
        <v>8731</v>
      </c>
    </row>
    <row r="379" spans="1:20" x14ac:dyDescent="0.35">
      <c r="A379" s="7" t="s">
        <v>484</v>
      </c>
      <c r="B379" s="12" t="s">
        <v>168</v>
      </c>
      <c r="C379">
        <v>260549014.50909755</v>
      </c>
      <c r="D379">
        <v>269290897.47682345</v>
      </c>
      <c r="E379">
        <v>475801317.11711711</v>
      </c>
      <c r="F379">
        <v>358690022.52252251</v>
      </c>
      <c r="G379">
        <v>451</v>
      </c>
      <c r="H379">
        <v>127</v>
      </c>
      <c r="K379">
        <v>898</v>
      </c>
      <c r="L379">
        <v>596</v>
      </c>
      <c r="M379">
        <v>41853379.279279292</v>
      </c>
      <c r="N379">
        <v>46104954.954954952</v>
      </c>
      <c r="O379">
        <v>98919714.414414421</v>
      </c>
      <c r="P379">
        <v>112223581.98198198</v>
      </c>
      <c r="Q379">
        <v>41714367.567567565</v>
      </c>
      <c r="R379">
        <v>44092025.225225225</v>
      </c>
      <c r="S379">
        <v>9764</v>
      </c>
      <c r="T379">
        <v>9662</v>
      </c>
    </row>
    <row r="380" spans="1:20" x14ac:dyDescent="0.35">
      <c r="A380" s="7" t="s">
        <v>485</v>
      </c>
      <c r="B380" s="12" t="s">
        <v>51</v>
      </c>
      <c r="C380">
        <v>154937933.71676174</v>
      </c>
      <c r="D380">
        <v>159024362.91575611</v>
      </c>
      <c r="E380">
        <v>2138738.7387387408</v>
      </c>
      <c r="F380">
        <v>2871171.1711711749</v>
      </c>
      <c r="G380">
        <v>47</v>
      </c>
      <c r="H380">
        <v>24</v>
      </c>
      <c r="K380">
        <v>49</v>
      </c>
      <c r="L380">
        <v>28</v>
      </c>
      <c r="M380">
        <v>24122792.792792793</v>
      </c>
      <c r="N380">
        <v>24196216.216216218</v>
      </c>
      <c r="O380">
        <v>69085637.837837845</v>
      </c>
      <c r="P380">
        <v>71701819.819819823</v>
      </c>
      <c r="Q380">
        <v>24059279.27927928</v>
      </c>
      <c r="R380">
        <v>21724684.684684686</v>
      </c>
      <c r="S380">
        <v>3619</v>
      </c>
      <c r="T380">
        <v>3680</v>
      </c>
    </row>
    <row r="381" spans="1:20" x14ac:dyDescent="0.35">
      <c r="A381" s="7" t="s">
        <v>486</v>
      </c>
      <c r="B381" s="12" t="s">
        <v>135</v>
      </c>
      <c r="C381">
        <v>208243250.38763446</v>
      </c>
      <c r="D381">
        <v>215851266.41985634</v>
      </c>
      <c r="E381">
        <v>1341441.4414414419</v>
      </c>
      <c r="F381">
        <v>1301801.8018018031</v>
      </c>
      <c r="G381">
        <v>35</v>
      </c>
      <c r="H381">
        <v>47</v>
      </c>
      <c r="K381">
        <v>37</v>
      </c>
      <c r="L381">
        <v>54</v>
      </c>
      <c r="M381">
        <v>32277477.477477476</v>
      </c>
      <c r="N381">
        <v>33717117.117117114</v>
      </c>
      <c r="O381">
        <v>39689754.954954959</v>
      </c>
      <c r="P381">
        <v>48461729.729729727</v>
      </c>
      <c r="Q381">
        <v>19359099.0990991</v>
      </c>
      <c r="R381">
        <v>28537117.117117114</v>
      </c>
      <c r="S381">
        <v>4553</v>
      </c>
      <c r="T381">
        <v>4761</v>
      </c>
    </row>
    <row r="382" spans="1:20" x14ac:dyDescent="0.35">
      <c r="A382" s="7" t="s">
        <v>487</v>
      </c>
      <c r="B382" s="12" t="s">
        <v>77</v>
      </c>
      <c r="C382">
        <v>43784753.443471693</v>
      </c>
      <c r="D382">
        <v>57342526.519689403</v>
      </c>
      <c r="E382">
        <v>927927.92792792898</v>
      </c>
      <c r="F382">
        <v>540540.54054054106</v>
      </c>
      <c r="G382">
        <v>12</v>
      </c>
      <c r="H382">
        <v>15</v>
      </c>
      <c r="K382">
        <v>13</v>
      </c>
      <c r="L382">
        <v>16</v>
      </c>
      <c r="M382">
        <v>9929819.8198198192</v>
      </c>
      <c r="N382">
        <v>11355855.855855856</v>
      </c>
      <c r="O382">
        <v>17872329.729729731</v>
      </c>
      <c r="P382">
        <v>20694945.945945945</v>
      </c>
      <c r="Q382">
        <v>9347744.1441441458</v>
      </c>
      <c r="R382">
        <v>10626936.936936935</v>
      </c>
      <c r="S382">
        <v>1457</v>
      </c>
      <c r="T382">
        <v>1521</v>
      </c>
    </row>
    <row r="383" spans="1:20" x14ac:dyDescent="0.35">
      <c r="A383" s="7" t="s">
        <v>488</v>
      </c>
      <c r="B383" s="12" t="s">
        <v>308</v>
      </c>
      <c r="C383">
        <v>359123805.60176891</v>
      </c>
      <c r="D383">
        <v>361692514.40950382</v>
      </c>
      <c r="E383">
        <v>3991891.8918918972</v>
      </c>
      <c r="F383">
        <v>5004954.9549549539</v>
      </c>
      <c r="G383">
        <v>133</v>
      </c>
      <c r="H383">
        <v>82</v>
      </c>
      <c r="K383">
        <v>158</v>
      </c>
      <c r="L383">
        <v>99</v>
      </c>
      <c r="M383">
        <v>95461351.351351365</v>
      </c>
      <c r="N383">
        <v>95415900.9009009</v>
      </c>
      <c r="O383">
        <v>153389396.3963964</v>
      </c>
      <c r="P383">
        <v>155252918.91891891</v>
      </c>
      <c r="Q383">
        <v>78490990.990990996</v>
      </c>
      <c r="R383">
        <v>85241036.036036029</v>
      </c>
      <c r="S383">
        <v>11548</v>
      </c>
      <c r="T383">
        <v>12538</v>
      </c>
    </row>
    <row r="384" spans="1:20" x14ac:dyDescent="0.35">
      <c r="A384" s="7" t="s">
        <v>489</v>
      </c>
      <c r="B384" s="12" t="s">
        <v>316</v>
      </c>
      <c r="C384">
        <v>79828645.126632586</v>
      </c>
      <c r="D384">
        <v>78450342.262565657</v>
      </c>
      <c r="E384">
        <v>1063963.963963965</v>
      </c>
      <c r="F384">
        <v>903603.60360360902</v>
      </c>
      <c r="G384">
        <v>5</v>
      </c>
      <c r="H384">
        <v>6</v>
      </c>
      <c r="K384">
        <v>6</v>
      </c>
      <c r="L384">
        <v>6</v>
      </c>
      <c r="M384">
        <v>36937747.747747742</v>
      </c>
      <c r="N384">
        <v>51721981.981981985</v>
      </c>
      <c r="O384">
        <v>34280000</v>
      </c>
      <c r="P384">
        <v>31474972.972972974</v>
      </c>
      <c r="Q384">
        <v>35723333.333333336</v>
      </c>
      <c r="R384">
        <v>50533873.873873875</v>
      </c>
      <c r="S384">
        <v>1645</v>
      </c>
      <c r="T384">
        <v>1760</v>
      </c>
    </row>
    <row r="385" spans="1:20" x14ac:dyDescent="0.35">
      <c r="A385" s="7" t="s">
        <v>490</v>
      </c>
      <c r="B385" s="12" t="s">
        <v>182</v>
      </c>
      <c r="C385">
        <v>187786950.02628317</v>
      </c>
      <c r="D385">
        <v>199498797.74190903</v>
      </c>
      <c r="E385">
        <v>1317567.5675675671</v>
      </c>
      <c r="F385">
        <v>1311711.7117117131</v>
      </c>
      <c r="G385">
        <v>92</v>
      </c>
      <c r="H385">
        <v>67</v>
      </c>
      <c r="I385">
        <v>1</v>
      </c>
      <c r="K385">
        <v>141</v>
      </c>
      <c r="L385">
        <v>89</v>
      </c>
      <c r="M385">
        <v>13749729.729729729</v>
      </c>
      <c r="N385">
        <v>23284684.684684686</v>
      </c>
      <c r="O385">
        <v>55734261.261261262</v>
      </c>
      <c r="P385">
        <v>63507405.40540541</v>
      </c>
      <c r="Q385">
        <v>14407477.477477476</v>
      </c>
      <c r="R385">
        <v>23746126.126126129</v>
      </c>
      <c r="S385">
        <v>6370</v>
      </c>
      <c r="T385">
        <v>6438</v>
      </c>
    </row>
    <row r="386" spans="1:20" x14ac:dyDescent="0.35">
      <c r="A386" s="7" t="s">
        <v>666</v>
      </c>
      <c r="B386" s="12" t="s">
        <v>67</v>
      </c>
      <c r="E386">
        <v>242972972.97297296</v>
      </c>
      <c r="F386">
        <v>406418918.91891891</v>
      </c>
      <c r="M386">
        <v>12066441.441441443</v>
      </c>
      <c r="N386">
        <v>12748063.063063065</v>
      </c>
    </row>
    <row r="387" spans="1:20" x14ac:dyDescent="0.35">
      <c r="A387" s="7" t="s">
        <v>491</v>
      </c>
      <c r="B387" s="12" t="s">
        <v>221</v>
      </c>
      <c r="C387">
        <v>107866536.55713484</v>
      </c>
      <c r="D387">
        <v>112043550.94639479</v>
      </c>
      <c r="E387">
        <v>60360.360360359999</v>
      </c>
      <c r="G387">
        <v>37</v>
      </c>
      <c r="H387">
        <v>31</v>
      </c>
      <c r="K387">
        <v>46</v>
      </c>
      <c r="L387">
        <v>49</v>
      </c>
      <c r="M387">
        <v>2269369.3693693699</v>
      </c>
      <c r="N387">
        <v>1650450.450450452</v>
      </c>
      <c r="O387">
        <v>26682340.540540539</v>
      </c>
      <c r="P387">
        <v>30015081.081081081</v>
      </c>
      <c r="Q387">
        <v>1531981.9819819829</v>
      </c>
      <c r="R387">
        <v>850000.00000000105</v>
      </c>
      <c r="S387">
        <v>3959</v>
      </c>
      <c r="T387">
        <v>4403</v>
      </c>
    </row>
    <row r="388" spans="1:20" x14ac:dyDescent="0.35">
      <c r="A388" s="7" t="s">
        <v>492</v>
      </c>
      <c r="B388" s="12" t="s">
        <v>221</v>
      </c>
      <c r="C388">
        <v>36689080.060478032</v>
      </c>
      <c r="D388">
        <v>27903029.907138191</v>
      </c>
      <c r="E388">
        <v>429729.72972973099</v>
      </c>
      <c r="F388">
        <v>76576.576576577005</v>
      </c>
      <c r="G388">
        <v>20</v>
      </c>
      <c r="H388">
        <v>6</v>
      </c>
      <c r="I388">
        <v>1</v>
      </c>
      <c r="K388">
        <v>22</v>
      </c>
      <c r="L388">
        <v>6</v>
      </c>
      <c r="M388">
        <v>15057207.207207208</v>
      </c>
      <c r="N388">
        <v>11418918.918918921</v>
      </c>
      <c r="O388">
        <v>10770486.486486485</v>
      </c>
      <c r="P388">
        <v>10399727.927927928</v>
      </c>
      <c r="Q388">
        <v>14591171.171171172</v>
      </c>
      <c r="R388">
        <v>11327927.927927928</v>
      </c>
      <c r="S388">
        <v>1189</v>
      </c>
      <c r="T388">
        <v>1149</v>
      </c>
    </row>
    <row r="389" spans="1:20" x14ac:dyDescent="0.35">
      <c r="A389" s="7" t="s">
        <v>493</v>
      </c>
      <c r="B389" s="12" t="s">
        <v>61</v>
      </c>
      <c r="C389">
        <v>123676464.87103495</v>
      </c>
      <c r="D389">
        <v>131583432.48680778</v>
      </c>
      <c r="E389">
        <v>2830630.6306306371</v>
      </c>
      <c r="F389">
        <v>2627927.9279279332</v>
      </c>
      <c r="G389">
        <v>26</v>
      </c>
      <c r="H389">
        <v>15</v>
      </c>
      <c r="K389">
        <v>78</v>
      </c>
      <c r="L389">
        <v>21</v>
      </c>
      <c r="M389">
        <v>28460990.990990993</v>
      </c>
      <c r="N389">
        <v>25276576.576576576</v>
      </c>
      <c r="O389">
        <v>56167279.279279277</v>
      </c>
      <c r="P389">
        <v>60908531.531531535</v>
      </c>
      <c r="Q389">
        <v>25530720.72072072</v>
      </c>
      <c r="R389">
        <v>24499099.099099096</v>
      </c>
      <c r="S389">
        <v>3679</v>
      </c>
      <c r="T389">
        <v>3687</v>
      </c>
    </row>
    <row r="390" spans="1:20" x14ac:dyDescent="0.35">
      <c r="A390" s="7" t="s">
        <v>494</v>
      </c>
      <c r="B390" s="12" t="s">
        <v>449</v>
      </c>
      <c r="C390">
        <v>151665039.73533145</v>
      </c>
      <c r="D390">
        <v>148381186.6946035</v>
      </c>
      <c r="E390">
        <v>212612.61261261301</v>
      </c>
      <c r="F390">
        <v>869369.36936937098</v>
      </c>
      <c r="G390">
        <v>94</v>
      </c>
      <c r="H390">
        <v>66</v>
      </c>
      <c r="K390">
        <v>105</v>
      </c>
      <c r="L390">
        <v>88</v>
      </c>
      <c r="M390">
        <v>11707207.207207208</v>
      </c>
      <c r="N390">
        <v>20179054.054054055</v>
      </c>
      <c r="O390">
        <v>54443135.135135137</v>
      </c>
      <c r="P390">
        <v>57724522.522522517</v>
      </c>
      <c r="Q390">
        <v>12381531.531531531</v>
      </c>
      <c r="R390">
        <v>20225855.855855856</v>
      </c>
      <c r="S390">
        <v>4993</v>
      </c>
      <c r="T390">
        <v>4718</v>
      </c>
    </row>
    <row r="391" spans="1:20" x14ac:dyDescent="0.35">
      <c r="A391" s="7" t="s">
        <v>7</v>
      </c>
      <c r="B391" s="12" t="s">
        <v>194</v>
      </c>
      <c r="C391">
        <v>128183315.89437096</v>
      </c>
      <c r="D391">
        <v>124463680.24475735</v>
      </c>
      <c r="E391">
        <v>277477.47747747903</v>
      </c>
      <c r="F391">
        <v>107207.207207207</v>
      </c>
      <c r="G391">
        <v>39</v>
      </c>
      <c r="H391">
        <v>31</v>
      </c>
      <c r="K391">
        <v>45</v>
      </c>
      <c r="L391">
        <v>39</v>
      </c>
      <c r="M391">
        <v>24680630.630630631</v>
      </c>
      <c r="N391">
        <v>36359009.009009011</v>
      </c>
      <c r="O391">
        <v>89803162.162162155</v>
      </c>
      <c r="P391">
        <v>82551891.891891882</v>
      </c>
      <c r="Q391">
        <v>26442072.072072074</v>
      </c>
      <c r="R391">
        <v>36980360.360360362</v>
      </c>
      <c r="S391">
        <v>4915</v>
      </c>
      <c r="T391">
        <v>5114</v>
      </c>
    </row>
    <row r="392" spans="1:20" x14ac:dyDescent="0.35">
      <c r="A392" s="7" t="s">
        <v>495</v>
      </c>
      <c r="B392" s="12" t="s">
        <v>331</v>
      </c>
      <c r="C392">
        <v>147063416.53462428</v>
      </c>
      <c r="D392">
        <v>148512696.24421147</v>
      </c>
      <c r="E392">
        <v>288288.28828828799</v>
      </c>
      <c r="F392">
        <v>136936.936936938</v>
      </c>
      <c r="G392">
        <v>75</v>
      </c>
      <c r="H392">
        <v>58</v>
      </c>
      <c r="K392">
        <v>93</v>
      </c>
      <c r="L392">
        <v>75</v>
      </c>
      <c r="M392">
        <v>7072072.072072072</v>
      </c>
      <c r="N392">
        <v>8290990.9909909908</v>
      </c>
      <c r="O392">
        <v>36718189.189189196</v>
      </c>
      <c r="P392">
        <v>38924225.225225225</v>
      </c>
      <c r="Q392">
        <v>6084774.774774774</v>
      </c>
      <c r="R392">
        <v>7855045.0450450443</v>
      </c>
      <c r="S392">
        <v>6132</v>
      </c>
      <c r="T392">
        <v>6062</v>
      </c>
    </row>
    <row r="393" spans="1:20" x14ac:dyDescent="0.35">
      <c r="A393" s="7" t="s">
        <v>496</v>
      </c>
      <c r="B393" s="12" t="s">
        <v>331</v>
      </c>
      <c r="C393">
        <v>250594006.34567177</v>
      </c>
      <c r="D393">
        <v>254206905.75939927</v>
      </c>
      <c r="E393">
        <v>1052027.02702703</v>
      </c>
      <c r="F393">
        <v>346846.84684685001</v>
      </c>
      <c r="G393">
        <v>112</v>
      </c>
      <c r="H393">
        <v>81</v>
      </c>
      <c r="K393">
        <v>127</v>
      </c>
      <c r="L393">
        <v>102</v>
      </c>
      <c r="M393">
        <v>7967567.5675675683</v>
      </c>
      <c r="N393">
        <v>12395495.495495496</v>
      </c>
      <c r="O393">
        <v>58780590.090090096</v>
      </c>
      <c r="P393">
        <v>62339360.360360362</v>
      </c>
      <c r="Q393">
        <v>9168738.7387387399</v>
      </c>
      <c r="R393">
        <v>14823243.243243244</v>
      </c>
      <c r="S393">
        <v>6924</v>
      </c>
      <c r="T393">
        <v>7143</v>
      </c>
    </row>
    <row r="394" spans="1:20" x14ac:dyDescent="0.35">
      <c r="A394" s="7" t="s">
        <v>497</v>
      </c>
      <c r="B394" s="12" t="s">
        <v>331</v>
      </c>
      <c r="C394">
        <v>252233754.29478607</v>
      </c>
      <c r="D394">
        <v>233609203.51345196</v>
      </c>
      <c r="E394">
        <v>3154729.7297297311</v>
      </c>
      <c r="F394">
        <v>1990990.990990995</v>
      </c>
      <c r="G394">
        <v>117</v>
      </c>
      <c r="H394">
        <v>89</v>
      </c>
      <c r="K394">
        <v>145</v>
      </c>
      <c r="L394">
        <v>128</v>
      </c>
      <c r="M394">
        <v>30457657.657657657</v>
      </c>
      <c r="N394">
        <v>26908828.82882883</v>
      </c>
      <c r="O394">
        <v>56487378.378378376</v>
      </c>
      <c r="P394">
        <v>56754189.189189196</v>
      </c>
      <c r="Q394">
        <v>30991711.711711712</v>
      </c>
      <c r="R394">
        <v>26811801.801801801</v>
      </c>
      <c r="S394">
        <v>9302</v>
      </c>
      <c r="T394">
        <v>8569</v>
      </c>
    </row>
    <row r="395" spans="1:20" x14ac:dyDescent="0.35">
      <c r="A395" s="7" t="s">
        <v>498</v>
      </c>
      <c r="B395" s="12" t="s">
        <v>331</v>
      </c>
      <c r="C395">
        <v>975462981.2504586</v>
      </c>
      <c r="D395">
        <v>917604596.39587998</v>
      </c>
      <c r="E395">
        <v>1005729374.7747748</v>
      </c>
      <c r="F395">
        <v>67024086.486486495</v>
      </c>
      <c r="G395">
        <v>713</v>
      </c>
      <c r="H395">
        <v>474</v>
      </c>
      <c r="K395">
        <v>967</v>
      </c>
      <c r="L395">
        <v>557</v>
      </c>
      <c r="M395">
        <v>217735871.17117116</v>
      </c>
      <c r="N395">
        <v>309905122.52252251</v>
      </c>
      <c r="O395">
        <v>202459081.08108109</v>
      </c>
      <c r="P395">
        <v>197775540.54054055</v>
      </c>
      <c r="Q395">
        <v>154723783.78378376</v>
      </c>
      <c r="R395">
        <v>225500180.18018019</v>
      </c>
      <c r="S395">
        <v>28357</v>
      </c>
      <c r="T395">
        <v>26550</v>
      </c>
    </row>
    <row r="396" spans="1:20" x14ac:dyDescent="0.35">
      <c r="A396" s="7" t="s">
        <v>499</v>
      </c>
      <c r="B396" s="12" t="s">
        <v>331</v>
      </c>
      <c r="C396">
        <v>764485499.66912806</v>
      </c>
      <c r="D396">
        <v>753228791.7565515</v>
      </c>
      <c r="E396">
        <v>5459909.9099099152</v>
      </c>
      <c r="F396">
        <v>3283783.7837837981</v>
      </c>
      <c r="G396">
        <v>308</v>
      </c>
      <c r="H396">
        <v>248</v>
      </c>
      <c r="I396">
        <v>2</v>
      </c>
      <c r="K396">
        <v>354</v>
      </c>
      <c r="L396">
        <v>318</v>
      </c>
      <c r="M396">
        <v>169526576.57657659</v>
      </c>
      <c r="N396">
        <v>97302252.252252251</v>
      </c>
      <c r="O396">
        <v>191974398.64864865</v>
      </c>
      <c r="P396">
        <v>200067794.5945946</v>
      </c>
      <c r="Q396">
        <v>168925135.13513514</v>
      </c>
      <c r="R396">
        <v>96808648.648648635</v>
      </c>
      <c r="S396">
        <v>25960</v>
      </c>
      <c r="T396">
        <v>26788</v>
      </c>
    </row>
    <row r="397" spans="1:20" x14ac:dyDescent="0.35">
      <c r="A397" s="7" t="s">
        <v>500</v>
      </c>
      <c r="B397" s="12" t="s">
        <v>144</v>
      </c>
      <c r="C397">
        <v>323487172.3796047</v>
      </c>
      <c r="D397">
        <v>337529067.48813426</v>
      </c>
      <c r="E397">
        <v>1202927.9279279299</v>
      </c>
      <c r="F397">
        <v>486486.48648649198</v>
      </c>
      <c r="G397">
        <v>126</v>
      </c>
      <c r="H397">
        <v>49</v>
      </c>
      <c r="K397">
        <v>137</v>
      </c>
      <c r="L397">
        <v>67</v>
      </c>
      <c r="M397">
        <v>31924324.324324321</v>
      </c>
      <c r="N397">
        <v>24867567.567567568</v>
      </c>
      <c r="O397">
        <v>51637754.954954952</v>
      </c>
      <c r="P397">
        <v>62632099.099099107</v>
      </c>
      <c r="Q397">
        <v>20073333.333333332</v>
      </c>
      <c r="R397">
        <v>18891621.62162162</v>
      </c>
      <c r="S397">
        <v>8396</v>
      </c>
      <c r="T397">
        <v>8454</v>
      </c>
    </row>
    <row r="398" spans="1:20" x14ac:dyDescent="0.35">
      <c r="A398" s="7" t="s">
        <v>501</v>
      </c>
      <c r="B398" s="12" t="s">
        <v>221</v>
      </c>
      <c r="C398">
        <v>384603605.40858519</v>
      </c>
      <c r="D398">
        <v>403605497.74848896</v>
      </c>
      <c r="E398">
        <v>4169594.5945945992</v>
      </c>
      <c r="F398">
        <v>10478378.378378384</v>
      </c>
      <c r="G398">
        <v>165</v>
      </c>
      <c r="H398">
        <v>192</v>
      </c>
      <c r="I398">
        <v>4</v>
      </c>
      <c r="K398">
        <v>212</v>
      </c>
      <c r="L398">
        <v>245</v>
      </c>
      <c r="M398">
        <v>159525855.85585585</v>
      </c>
      <c r="N398">
        <v>286854864.86486489</v>
      </c>
      <c r="O398">
        <v>116633576.57657658</v>
      </c>
      <c r="P398">
        <v>127316414.41441442</v>
      </c>
      <c r="Q398">
        <v>159504864.86486486</v>
      </c>
      <c r="R398">
        <v>268472792.7927928</v>
      </c>
      <c r="S398">
        <v>13444</v>
      </c>
      <c r="T398">
        <v>14504</v>
      </c>
    </row>
    <row r="399" spans="1:20" x14ac:dyDescent="0.35">
      <c r="A399" s="7" t="s">
        <v>502</v>
      </c>
      <c r="B399" s="12" t="s">
        <v>398</v>
      </c>
      <c r="C399">
        <v>1093461816.5404503</v>
      </c>
      <c r="D399">
        <v>1118923098.5856912</v>
      </c>
      <c r="E399">
        <v>60690633.333333336</v>
      </c>
      <c r="F399">
        <v>249474956.75675678</v>
      </c>
      <c r="G399">
        <v>338</v>
      </c>
      <c r="H399">
        <v>208</v>
      </c>
      <c r="K399">
        <v>445</v>
      </c>
      <c r="L399">
        <v>263</v>
      </c>
      <c r="M399">
        <v>119869144.14414415</v>
      </c>
      <c r="N399">
        <v>148590045.04504505</v>
      </c>
      <c r="O399">
        <v>232204894.5945946</v>
      </c>
      <c r="P399">
        <v>252881895.4954955</v>
      </c>
      <c r="Q399">
        <v>111644639.63963965</v>
      </c>
      <c r="R399">
        <v>132774189.1891892</v>
      </c>
      <c r="S399">
        <v>27041</v>
      </c>
      <c r="T399">
        <v>27196</v>
      </c>
    </row>
    <row r="400" spans="1:20" x14ac:dyDescent="0.35">
      <c r="A400" s="7" t="s">
        <v>503</v>
      </c>
      <c r="B400" s="12" t="s">
        <v>71</v>
      </c>
      <c r="C400">
        <v>16673871.071357805</v>
      </c>
      <c r="D400">
        <v>16967125.474739209</v>
      </c>
      <c r="E400">
        <v>211711.71171171201</v>
      </c>
      <c r="F400">
        <v>640540.54054054001</v>
      </c>
      <c r="G400">
        <v>6</v>
      </c>
      <c r="H400">
        <v>5</v>
      </c>
      <c r="K400">
        <v>8</v>
      </c>
      <c r="L400">
        <v>8</v>
      </c>
      <c r="M400">
        <v>941441.441441442</v>
      </c>
      <c r="N400">
        <v>2615315.315315315</v>
      </c>
      <c r="O400">
        <v>11758369.369369367</v>
      </c>
      <c r="P400">
        <v>13312162.162162162</v>
      </c>
      <c r="Q400">
        <v>765135.13513513503</v>
      </c>
      <c r="R400">
        <v>2013423.423423423</v>
      </c>
      <c r="S400">
        <v>702</v>
      </c>
      <c r="T400">
        <v>683</v>
      </c>
    </row>
    <row r="401" spans="1:20" x14ac:dyDescent="0.35">
      <c r="A401" s="7" t="s">
        <v>504</v>
      </c>
      <c r="B401" s="12" t="s">
        <v>331</v>
      </c>
      <c r="C401">
        <v>457751011.42191422</v>
      </c>
      <c r="D401">
        <v>458928200.68752378</v>
      </c>
      <c r="E401">
        <v>3477252.252252256</v>
      </c>
      <c r="F401">
        <v>3772072.0720720799</v>
      </c>
      <c r="G401">
        <v>182</v>
      </c>
      <c r="H401">
        <v>144</v>
      </c>
      <c r="K401">
        <v>220</v>
      </c>
      <c r="L401">
        <v>174</v>
      </c>
      <c r="M401">
        <v>50014414.414414413</v>
      </c>
      <c r="N401">
        <v>59718018.018018015</v>
      </c>
      <c r="O401">
        <v>119164164.41441442</v>
      </c>
      <c r="P401">
        <v>121139178.37837839</v>
      </c>
      <c r="Q401">
        <v>49335945.945945941</v>
      </c>
      <c r="R401">
        <v>57970000</v>
      </c>
      <c r="S401">
        <v>15911</v>
      </c>
      <c r="T401">
        <v>16066</v>
      </c>
    </row>
    <row r="402" spans="1:20" x14ac:dyDescent="0.35">
      <c r="A402" s="7" t="s">
        <v>505</v>
      </c>
      <c r="B402" s="12" t="s">
        <v>284</v>
      </c>
      <c r="C402">
        <v>141329788.46383762</v>
      </c>
      <c r="D402">
        <v>152116795.76891062</v>
      </c>
      <c r="E402">
        <v>290990.99099099101</v>
      </c>
      <c r="F402">
        <v>1728828.82882883</v>
      </c>
      <c r="G402">
        <v>24</v>
      </c>
      <c r="H402">
        <v>11</v>
      </c>
      <c r="K402">
        <v>26</v>
      </c>
      <c r="L402">
        <v>13</v>
      </c>
      <c r="M402">
        <v>13191891.891891891</v>
      </c>
      <c r="N402">
        <v>12620720.72072072</v>
      </c>
      <c r="O402">
        <v>25185837.837837838</v>
      </c>
      <c r="P402">
        <v>29148522.522522524</v>
      </c>
      <c r="Q402">
        <v>11795585.585585587</v>
      </c>
      <c r="R402">
        <v>11991711.711711712</v>
      </c>
      <c r="S402">
        <v>3031</v>
      </c>
      <c r="T402">
        <v>2539</v>
      </c>
    </row>
    <row r="403" spans="1:20" x14ac:dyDescent="0.35">
      <c r="A403" s="7" t="s">
        <v>506</v>
      </c>
      <c r="B403" s="12" t="s">
        <v>261</v>
      </c>
      <c r="C403">
        <v>86254340.964444205</v>
      </c>
      <c r="D403">
        <v>100804676.94047104</v>
      </c>
      <c r="E403">
        <v>54954.954954954999</v>
      </c>
      <c r="G403">
        <v>3</v>
      </c>
      <c r="H403">
        <v>10</v>
      </c>
      <c r="K403">
        <v>5</v>
      </c>
      <c r="L403">
        <v>15</v>
      </c>
      <c r="M403">
        <v>1856756.7567567569</v>
      </c>
      <c r="N403">
        <v>2702702.702702703</v>
      </c>
      <c r="O403">
        <v>19067063.063063063</v>
      </c>
      <c r="P403">
        <v>28274709.909909911</v>
      </c>
      <c r="Q403">
        <v>1402702.7027027039</v>
      </c>
      <c r="R403">
        <v>3331981.9819819811</v>
      </c>
      <c r="S403">
        <v>2097</v>
      </c>
      <c r="T403">
        <v>2277</v>
      </c>
    </row>
    <row r="404" spans="1:20" x14ac:dyDescent="0.35">
      <c r="A404" s="7" t="s">
        <v>507</v>
      </c>
      <c r="B404" s="12" t="s">
        <v>237</v>
      </c>
      <c r="C404">
        <v>212119673.52543747</v>
      </c>
      <c r="D404">
        <v>214258148.8115595</v>
      </c>
      <c r="E404">
        <v>627477.47747747903</v>
      </c>
      <c r="F404">
        <v>2746846.846846859</v>
      </c>
      <c r="G404">
        <v>28</v>
      </c>
      <c r="H404">
        <v>83</v>
      </c>
      <c r="I404">
        <v>1</v>
      </c>
      <c r="K404">
        <v>72</v>
      </c>
      <c r="L404">
        <v>148</v>
      </c>
      <c r="M404">
        <v>44237477.477477469</v>
      </c>
      <c r="N404">
        <v>39068918.918918923</v>
      </c>
      <c r="O404">
        <v>47060504.504504502</v>
      </c>
      <c r="P404">
        <v>50364279.279279277</v>
      </c>
      <c r="Q404">
        <v>44927747.747747742</v>
      </c>
      <c r="R404">
        <v>33888198.198198199</v>
      </c>
      <c r="S404">
        <v>4440</v>
      </c>
      <c r="T404">
        <v>4581</v>
      </c>
    </row>
    <row r="405" spans="1:20" x14ac:dyDescent="0.35">
      <c r="A405" s="7" t="s">
        <v>508</v>
      </c>
      <c r="B405" s="12" t="s">
        <v>135</v>
      </c>
      <c r="C405">
        <v>23076632.359907135</v>
      </c>
      <c r="D405">
        <v>36355847.733121134</v>
      </c>
      <c r="H405">
        <v>1</v>
      </c>
      <c r="L405">
        <v>1</v>
      </c>
      <c r="O405">
        <v>3796927.927927928</v>
      </c>
      <c r="P405">
        <v>6412144.1441441439</v>
      </c>
      <c r="S405">
        <v>1279</v>
      </c>
      <c r="T405">
        <v>1170</v>
      </c>
    </row>
    <row r="406" spans="1:20" x14ac:dyDescent="0.35">
      <c r="A406" s="7" t="s">
        <v>509</v>
      </c>
      <c r="B406" s="12" t="s">
        <v>398</v>
      </c>
      <c r="C406">
        <v>221528189.89136386</v>
      </c>
      <c r="D406">
        <v>229039091.58904251</v>
      </c>
      <c r="E406">
        <v>1052252.252252253</v>
      </c>
      <c r="F406">
        <v>657207.20720720803</v>
      </c>
      <c r="G406">
        <v>37</v>
      </c>
      <c r="H406">
        <v>48</v>
      </c>
      <c r="K406">
        <v>69</v>
      </c>
      <c r="L406">
        <v>53</v>
      </c>
      <c r="M406">
        <v>24693243.243243244</v>
      </c>
      <c r="N406">
        <v>23676801.801801801</v>
      </c>
      <c r="O406">
        <v>34801234.234234229</v>
      </c>
      <c r="P406">
        <v>36061927.927927926</v>
      </c>
      <c r="Q406">
        <v>23809189.189189188</v>
      </c>
      <c r="R406">
        <v>21537792.792792793</v>
      </c>
      <c r="S406">
        <v>4449</v>
      </c>
      <c r="T406">
        <v>4499</v>
      </c>
    </row>
    <row r="407" spans="1:20" x14ac:dyDescent="0.35">
      <c r="A407" s="7" t="s">
        <v>510</v>
      </c>
      <c r="B407" s="12" t="s">
        <v>135</v>
      </c>
      <c r="C407">
        <v>247268808.6241183</v>
      </c>
      <c r="D407">
        <v>265164999.45053828</v>
      </c>
      <c r="E407">
        <v>219360763.06306309</v>
      </c>
      <c r="F407">
        <v>245300579.27927929</v>
      </c>
      <c r="G407">
        <v>61</v>
      </c>
      <c r="H407">
        <v>52</v>
      </c>
      <c r="K407">
        <v>70</v>
      </c>
      <c r="L407">
        <v>55</v>
      </c>
      <c r="M407">
        <v>60482882.882882878</v>
      </c>
      <c r="N407">
        <v>57796141.441441439</v>
      </c>
      <c r="O407">
        <v>39884204.954954959</v>
      </c>
      <c r="P407">
        <v>45972045.045045048</v>
      </c>
      <c r="Q407">
        <v>19418648.648648649</v>
      </c>
      <c r="R407">
        <v>21043333.333333336</v>
      </c>
      <c r="S407">
        <v>5536</v>
      </c>
      <c r="T407">
        <v>5597</v>
      </c>
    </row>
    <row r="408" spans="1:20" x14ac:dyDescent="0.35">
      <c r="A408" s="7" t="s">
        <v>511</v>
      </c>
      <c r="B408" s="12" t="s">
        <v>135</v>
      </c>
      <c r="C408">
        <v>677843918.22653735</v>
      </c>
      <c r="D408">
        <v>702537159.78312695</v>
      </c>
      <c r="E408">
        <v>4048648.648648656</v>
      </c>
      <c r="F408">
        <v>6333333.3333333386</v>
      </c>
      <c r="G408">
        <v>144</v>
      </c>
      <c r="H408">
        <v>115</v>
      </c>
      <c r="K408">
        <v>200</v>
      </c>
      <c r="L408">
        <v>147</v>
      </c>
      <c r="M408">
        <v>49208108.108108111</v>
      </c>
      <c r="N408">
        <v>68593243.243243247</v>
      </c>
      <c r="O408">
        <v>70896738.738738731</v>
      </c>
      <c r="P408">
        <v>80592054.054054052</v>
      </c>
      <c r="Q408">
        <v>48144234.234234229</v>
      </c>
      <c r="R408">
        <v>59582252.252252258</v>
      </c>
      <c r="S408">
        <v>16504</v>
      </c>
      <c r="T408">
        <v>16762</v>
      </c>
    </row>
    <row r="409" spans="1:20" x14ac:dyDescent="0.35">
      <c r="A409" s="7" t="s">
        <v>8</v>
      </c>
      <c r="B409" s="12" t="s">
        <v>159</v>
      </c>
      <c r="C409">
        <v>176839983.0470475</v>
      </c>
      <c r="D409">
        <v>181013756.79416934</v>
      </c>
      <c r="E409">
        <v>3286486.486486488</v>
      </c>
      <c r="F409">
        <v>3174774.7747747768</v>
      </c>
      <c r="G409">
        <v>7</v>
      </c>
      <c r="H409">
        <v>42</v>
      </c>
      <c r="K409">
        <v>9</v>
      </c>
      <c r="L409">
        <v>42</v>
      </c>
      <c r="M409">
        <v>23289189.189189192</v>
      </c>
      <c r="N409">
        <v>39583783.783783786</v>
      </c>
      <c r="O409">
        <v>51555108.108108111</v>
      </c>
      <c r="P409">
        <v>54921243.243243247</v>
      </c>
      <c r="Q409">
        <v>21432162.162162159</v>
      </c>
      <c r="R409">
        <v>35142072.072072074</v>
      </c>
      <c r="S409">
        <v>3835</v>
      </c>
      <c r="T409">
        <v>3785</v>
      </c>
    </row>
    <row r="410" spans="1:20" x14ac:dyDescent="0.35">
      <c r="A410" s="7" t="s">
        <v>512</v>
      </c>
      <c r="B410" s="12" t="s">
        <v>135</v>
      </c>
      <c r="C410">
        <v>129023483.44475299</v>
      </c>
      <c r="D410">
        <v>154043418.68572521</v>
      </c>
      <c r="E410">
        <v>522522.52252252301</v>
      </c>
      <c r="F410">
        <v>441441.441441442</v>
      </c>
      <c r="G410">
        <v>10</v>
      </c>
      <c r="K410">
        <v>12</v>
      </c>
      <c r="M410">
        <v>5927927.927927929</v>
      </c>
      <c r="N410">
        <v>13504504.504504504</v>
      </c>
      <c r="O410">
        <v>18753756.756756756</v>
      </c>
      <c r="P410">
        <v>23764711.711711712</v>
      </c>
      <c r="Q410">
        <v>3919819.8198198201</v>
      </c>
      <c r="R410">
        <v>4871171.1711711707</v>
      </c>
      <c r="S410">
        <v>3850</v>
      </c>
      <c r="T410">
        <v>3296</v>
      </c>
    </row>
    <row r="411" spans="1:20" x14ac:dyDescent="0.35">
      <c r="A411" s="7" t="s">
        <v>513</v>
      </c>
      <c r="B411" s="12" t="s">
        <v>63</v>
      </c>
      <c r="C411">
        <v>560214000.50932968</v>
      </c>
      <c r="D411">
        <v>549912211.54823005</v>
      </c>
      <c r="E411">
        <v>3276576.5765765812</v>
      </c>
      <c r="F411">
        <v>3651351.3513513529</v>
      </c>
      <c r="G411">
        <v>151</v>
      </c>
      <c r="H411">
        <v>65</v>
      </c>
      <c r="K411">
        <v>210</v>
      </c>
      <c r="L411">
        <v>107</v>
      </c>
      <c r="M411">
        <v>40365855.855855852</v>
      </c>
      <c r="N411">
        <v>37191171.171171173</v>
      </c>
      <c r="O411">
        <v>117136272.97297297</v>
      </c>
      <c r="P411">
        <v>122937744.14414415</v>
      </c>
      <c r="Q411">
        <v>36973333.333333336</v>
      </c>
      <c r="R411">
        <v>37138691.891891897</v>
      </c>
      <c r="S411">
        <v>14295</v>
      </c>
      <c r="T411">
        <v>15454</v>
      </c>
    </row>
    <row r="412" spans="1:20" x14ac:dyDescent="0.35">
      <c r="A412" s="7" t="s">
        <v>514</v>
      </c>
      <c r="B412" s="12" t="s">
        <v>118</v>
      </c>
      <c r="C412">
        <v>57834719.881636307</v>
      </c>
      <c r="D412">
        <v>49681796.939879969</v>
      </c>
      <c r="E412">
        <v>4885585.5855855849</v>
      </c>
      <c r="F412">
        <v>92669549.54954955</v>
      </c>
      <c r="G412">
        <v>27</v>
      </c>
      <c r="H412">
        <v>19</v>
      </c>
      <c r="K412">
        <v>27</v>
      </c>
      <c r="L412">
        <v>22</v>
      </c>
      <c r="M412">
        <v>4283153.1531531541</v>
      </c>
      <c r="N412">
        <v>6210585.5855855867</v>
      </c>
      <c r="O412">
        <v>24654702.702702705</v>
      </c>
      <c r="P412">
        <v>23656387.387387387</v>
      </c>
      <c r="Q412">
        <v>1707027.0270270291</v>
      </c>
      <c r="R412">
        <v>4090495.4954954949</v>
      </c>
      <c r="S412">
        <v>2000</v>
      </c>
      <c r="T412">
        <v>1935</v>
      </c>
    </row>
    <row r="413" spans="1:20" x14ac:dyDescent="0.35">
      <c r="A413" s="7" t="s">
        <v>515</v>
      </c>
      <c r="B413" s="12" t="s">
        <v>305</v>
      </c>
      <c r="C413">
        <v>105361867.38600001</v>
      </c>
      <c r="D413">
        <v>100189940.3487459</v>
      </c>
      <c r="E413">
        <v>1468468.4684684691</v>
      </c>
      <c r="F413">
        <v>355855.85585585702</v>
      </c>
      <c r="G413">
        <v>57</v>
      </c>
      <c r="H413">
        <v>63</v>
      </c>
      <c r="I413">
        <v>2</v>
      </c>
      <c r="K413">
        <v>59</v>
      </c>
      <c r="L413">
        <v>69</v>
      </c>
      <c r="M413">
        <v>9823873.8738738745</v>
      </c>
      <c r="N413">
        <v>3692792.792792792</v>
      </c>
      <c r="O413">
        <v>10554144.144144144</v>
      </c>
      <c r="P413">
        <v>12610243.243243244</v>
      </c>
      <c r="Q413">
        <v>9895225.2252252251</v>
      </c>
      <c r="R413">
        <v>3581441.441441441</v>
      </c>
      <c r="S413">
        <v>1490</v>
      </c>
      <c r="T413">
        <v>1420</v>
      </c>
    </row>
    <row r="414" spans="1:20" x14ac:dyDescent="0.35">
      <c r="A414" s="7" t="s">
        <v>516</v>
      </c>
      <c r="B414" s="12" t="s">
        <v>305</v>
      </c>
      <c r="C414">
        <v>28121540.02632181</v>
      </c>
      <c r="D414">
        <v>34718799.349336296</v>
      </c>
      <c r="E414">
        <v>96661033.333333328</v>
      </c>
      <c r="F414">
        <v>124577916.21621622</v>
      </c>
      <c r="G414">
        <v>6</v>
      </c>
      <c r="H414">
        <v>6</v>
      </c>
      <c r="K414">
        <v>8</v>
      </c>
      <c r="L414">
        <v>6</v>
      </c>
      <c r="M414">
        <v>3777027.0270270258</v>
      </c>
      <c r="N414">
        <v>5747747.747747751</v>
      </c>
      <c r="O414">
        <v>4235234.2342342343</v>
      </c>
      <c r="P414">
        <v>5909585.5855855849</v>
      </c>
      <c r="Q414">
        <v>2437207.2072072062</v>
      </c>
      <c r="R414">
        <v>4211621.6216216199</v>
      </c>
      <c r="S414">
        <v>599</v>
      </c>
      <c r="T414">
        <v>1367</v>
      </c>
    </row>
    <row r="415" spans="1:20" x14ac:dyDescent="0.35">
      <c r="A415" s="7" t="s">
        <v>517</v>
      </c>
      <c r="B415" s="12" t="s">
        <v>305</v>
      </c>
      <c r="C415">
        <v>63654352.630697109</v>
      </c>
      <c r="D415">
        <v>65139698.80989363</v>
      </c>
      <c r="E415">
        <v>683783.78378378297</v>
      </c>
      <c r="F415">
        <v>171171.17117117401</v>
      </c>
      <c r="G415">
        <v>32</v>
      </c>
      <c r="H415">
        <v>17</v>
      </c>
      <c r="K415">
        <v>35</v>
      </c>
      <c r="L415">
        <v>22</v>
      </c>
      <c r="M415">
        <v>3366666.666666666</v>
      </c>
      <c r="N415">
        <v>5810810.81081081</v>
      </c>
      <c r="O415">
        <v>9381765.7657657657</v>
      </c>
      <c r="P415">
        <v>9736099.0990990996</v>
      </c>
      <c r="Q415">
        <v>2957567.5675675678</v>
      </c>
      <c r="R415">
        <v>5446846.8468468469</v>
      </c>
      <c r="S415">
        <v>1074</v>
      </c>
      <c r="T415">
        <v>1138</v>
      </c>
    </row>
    <row r="416" spans="1:20" x14ac:dyDescent="0.35">
      <c r="A416" s="7" t="s">
        <v>518</v>
      </c>
      <c r="B416" s="12" t="s">
        <v>305</v>
      </c>
      <c r="C416">
        <v>49698494.058203414</v>
      </c>
      <c r="D416">
        <v>48604309.789874189</v>
      </c>
      <c r="E416">
        <v>94594.594594594993</v>
      </c>
      <c r="F416">
        <v>9009.0090090100002</v>
      </c>
      <c r="G416">
        <v>20</v>
      </c>
      <c r="H416">
        <v>13</v>
      </c>
      <c r="K416">
        <v>20</v>
      </c>
      <c r="L416">
        <v>14</v>
      </c>
      <c r="M416">
        <v>1040540.5405405411</v>
      </c>
      <c r="N416">
        <v>1873873.8738738741</v>
      </c>
      <c r="O416">
        <v>6636567.5675675683</v>
      </c>
      <c r="P416">
        <v>7419045.0450450452</v>
      </c>
      <c r="Q416">
        <v>995405.40540540498</v>
      </c>
      <c r="R416">
        <v>1240090.090090089</v>
      </c>
      <c r="S416">
        <v>797</v>
      </c>
      <c r="T416">
        <v>805</v>
      </c>
    </row>
    <row r="417" spans="1:20" x14ac:dyDescent="0.35">
      <c r="A417" s="7" t="s">
        <v>519</v>
      </c>
      <c r="B417" s="12" t="s">
        <v>449</v>
      </c>
      <c r="C417">
        <v>49925986.516620658</v>
      </c>
      <c r="D417">
        <v>48987990.991205417</v>
      </c>
      <c r="E417">
        <v>319819.81981982</v>
      </c>
      <c r="F417">
        <v>1387387.3873873891</v>
      </c>
      <c r="G417">
        <v>11</v>
      </c>
      <c r="H417">
        <v>16</v>
      </c>
      <c r="K417">
        <v>13</v>
      </c>
      <c r="L417">
        <v>25</v>
      </c>
      <c r="M417">
        <v>2595045.0450450461</v>
      </c>
      <c r="N417">
        <v>55985405.40540541</v>
      </c>
      <c r="O417">
        <v>16730038.288288288</v>
      </c>
      <c r="P417">
        <v>16561513.513513515</v>
      </c>
      <c r="Q417">
        <v>3492342.3423423418</v>
      </c>
      <c r="R417">
        <v>55476216.216216214</v>
      </c>
      <c r="S417">
        <v>1729</v>
      </c>
      <c r="T417">
        <v>1894</v>
      </c>
    </row>
    <row r="418" spans="1:20" x14ac:dyDescent="0.35">
      <c r="A418" s="7" t="s">
        <v>520</v>
      </c>
      <c r="B418" s="12" t="s">
        <v>86</v>
      </c>
      <c r="C418">
        <v>155491969.1381574</v>
      </c>
      <c r="D418">
        <v>161346943.97845179</v>
      </c>
      <c r="E418">
        <v>1072072.0720720729</v>
      </c>
      <c r="F418">
        <v>2432432.4324324359</v>
      </c>
      <c r="G418">
        <v>24</v>
      </c>
      <c r="H418">
        <v>9</v>
      </c>
      <c r="K418">
        <v>29</v>
      </c>
      <c r="L418">
        <v>10</v>
      </c>
      <c r="M418">
        <v>25315315.315315314</v>
      </c>
      <c r="N418">
        <v>48974864.864864863</v>
      </c>
      <c r="O418">
        <v>39182630.630630635</v>
      </c>
      <c r="P418">
        <v>46577072.072072074</v>
      </c>
      <c r="Q418">
        <v>22270763.963963959</v>
      </c>
      <c r="R418">
        <v>40599729.729729727</v>
      </c>
      <c r="S418">
        <v>4025</v>
      </c>
      <c r="T418">
        <v>4017</v>
      </c>
    </row>
    <row r="419" spans="1:20" x14ac:dyDescent="0.35">
      <c r="A419" s="7" t="s">
        <v>521</v>
      </c>
      <c r="B419" s="12" t="s">
        <v>305</v>
      </c>
      <c r="C419">
        <v>80618469.374104202</v>
      </c>
      <c r="D419">
        <v>81982455.382584468</v>
      </c>
      <c r="E419">
        <v>44144.144144143997</v>
      </c>
      <c r="G419">
        <v>11</v>
      </c>
      <c r="H419">
        <v>10</v>
      </c>
      <c r="K419">
        <v>11</v>
      </c>
      <c r="L419">
        <v>12</v>
      </c>
      <c r="M419">
        <v>4225225.2252252251</v>
      </c>
      <c r="N419">
        <v>3873873.8738738731</v>
      </c>
      <c r="O419">
        <v>13650576.576576576</v>
      </c>
      <c r="P419">
        <v>15856972.972972974</v>
      </c>
      <c r="Q419">
        <v>2509999.9999999991</v>
      </c>
      <c r="R419">
        <v>3474414.4144144128</v>
      </c>
      <c r="S419">
        <v>1341</v>
      </c>
      <c r="T419">
        <v>1356</v>
      </c>
    </row>
    <row r="420" spans="1:20" x14ac:dyDescent="0.35">
      <c r="A420" s="7" t="s">
        <v>522</v>
      </c>
      <c r="B420" s="12" t="s">
        <v>400</v>
      </c>
      <c r="C420">
        <v>549744012.80244875</v>
      </c>
      <c r="D420">
        <v>556548149.43934393</v>
      </c>
      <c r="E420">
        <v>142178325.22522524</v>
      </c>
      <c r="F420">
        <v>132426428.82882883</v>
      </c>
      <c r="G420">
        <v>239</v>
      </c>
      <c r="H420">
        <v>92</v>
      </c>
      <c r="I420">
        <v>1</v>
      </c>
      <c r="K420">
        <v>567</v>
      </c>
      <c r="L420">
        <v>167</v>
      </c>
      <c r="M420">
        <v>106115765.76576576</v>
      </c>
      <c r="N420">
        <v>176333333.33333334</v>
      </c>
      <c r="O420">
        <v>140576972.97297299</v>
      </c>
      <c r="P420">
        <v>142532684.68468469</v>
      </c>
      <c r="Q420">
        <v>86177477.477477476</v>
      </c>
      <c r="R420">
        <v>117325809.009009</v>
      </c>
      <c r="S420">
        <v>13571</v>
      </c>
      <c r="T420">
        <v>13727</v>
      </c>
    </row>
    <row r="421" spans="1:20" x14ac:dyDescent="0.35">
      <c r="A421" s="7" t="s">
        <v>523</v>
      </c>
      <c r="B421" s="12" t="s">
        <v>144</v>
      </c>
      <c r="C421">
        <v>154506953.15561885</v>
      </c>
      <c r="D421">
        <v>164597130.59413853</v>
      </c>
      <c r="E421">
        <v>266666.66666666802</v>
      </c>
      <c r="F421">
        <v>337837.83783783799</v>
      </c>
      <c r="G421">
        <v>46</v>
      </c>
      <c r="H421">
        <v>8</v>
      </c>
      <c r="K421">
        <v>49</v>
      </c>
      <c r="L421">
        <v>12</v>
      </c>
      <c r="M421">
        <v>9275675.6756756753</v>
      </c>
      <c r="N421">
        <v>7995495.4954954954</v>
      </c>
      <c r="O421">
        <v>20398108.108108107</v>
      </c>
      <c r="P421">
        <v>21225610.810810808</v>
      </c>
      <c r="Q421">
        <v>8729369.3693693709</v>
      </c>
      <c r="R421">
        <v>7622882.8828828828</v>
      </c>
      <c r="S421">
        <v>2970</v>
      </c>
      <c r="T421">
        <v>2971</v>
      </c>
    </row>
    <row r="422" spans="1:20" x14ac:dyDescent="0.35">
      <c r="A422" s="7" t="s">
        <v>524</v>
      </c>
      <c r="B422" s="12" t="s">
        <v>67</v>
      </c>
      <c r="C422">
        <v>108545530.01443154</v>
      </c>
      <c r="D422">
        <v>99519582.885452896</v>
      </c>
      <c r="E422">
        <v>2582882.8828828852</v>
      </c>
      <c r="F422">
        <v>1309909.9099099101</v>
      </c>
      <c r="G422">
        <v>24</v>
      </c>
      <c r="H422">
        <v>22</v>
      </c>
      <c r="K422">
        <v>28</v>
      </c>
      <c r="L422">
        <v>24</v>
      </c>
      <c r="M422">
        <v>58564504.504504502</v>
      </c>
      <c r="N422">
        <v>27659009.009009011</v>
      </c>
      <c r="O422">
        <v>51383450.45045045</v>
      </c>
      <c r="P422">
        <v>50076351.351351351</v>
      </c>
      <c r="Q422">
        <v>40710810.810810804</v>
      </c>
      <c r="R422">
        <v>21466936.936936941</v>
      </c>
      <c r="S422">
        <v>3747</v>
      </c>
      <c r="T422">
        <v>3715</v>
      </c>
    </row>
    <row r="423" spans="1:20" x14ac:dyDescent="0.35">
      <c r="A423" s="7" t="s">
        <v>525</v>
      </c>
      <c r="B423" s="12" t="s">
        <v>221</v>
      </c>
      <c r="C423">
        <v>138863469.22764599</v>
      </c>
      <c r="D423">
        <v>140781484.66788375</v>
      </c>
      <c r="E423">
        <v>467383230.63063067</v>
      </c>
      <c r="F423">
        <v>351750982.88288289</v>
      </c>
      <c r="G423">
        <v>44</v>
      </c>
      <c r="H423">
        <v>39</v>
      </c>
      <c r="K423">
        <v>53</v>
      </c>
      <c r="L423">
        <v>41</v>
      </c>
      <c r="M423">
        <v>24311261.261261258</v>
      </c>
      <c r="N423">
        <v>10576000.9009009</v>
      </c>
      <c r="O423">
        <v>34365243.243243247</v>
      </c>
      <c r="P423">
        <v>37455872.072072074</v>
      </c>
      <c r="Q423">
        <v>5943513.5135135157</v>
      </c>
      <c r="R423">
        <v>5273738.738738738</v>
      </c>
      <c r="S423">
        <v>4742</v>
      </c>
      <c r="T423">
        <v>4415</v>
      </c>
    </row>
    <row r="424" spans="1:20" x14ac:dyDescent="0.35">
      <c r="A424" s="7" t="s">
        <v>526</v>
      </c>
      <c r="B424" s="12" t="s">
        <v>414</v>
      </c>
      <c r="C424">
        <v>1534986511.0089607</v>
      </c>
      <c r="D424">
        <v>1552985543.666147</v>
      </c>
      <c r="E424">
        <v>553922700.90090096</v>
      </c>
      <c r="F424">
        <v>409539408.10810816</v>
      </c>
      <c r="G424">
        <v>353</v>
      </c>
      <c r="H424">
        <v>550</v>
      </c>
      <c r="I424">
        <v>2</v>
      </c>
      <c r="K424">
        <v>831</v>
      </c>
      <c r="L424">
        <v>1072</v>
      </c>
      <c r="M424">
        <v>115709495.4954955</v>
      </c>
      <c r="N424">
        <v>162263873.87387389</v>
      </c>
      <c r="O424">
        <v>446922427.92792791</v>
      </c>
      <c r="P424">
        <v>491703047.74774778</v>
      </c>
      <c r="Q424">
        <v>124188198.19819821</v>
      </c>
      <c r="R424">
        <v>156026306.3063063</v>
      </c>
      <c r="S424">
        <v>32284</v>
      </c>
      <c r="T424">
        <v>33005</v>
      </c>
    </row>
    <row r="425" spans="1:20" x14ac:dyDescent="0.35">
      <c r="A425" s="7" t="s">
        <v>527</v>
      </c>
      <c r="B425" s="12" t="s">
        <v>414</v>
      </c>
      <c r="C425">
        <v>169486612.93470553</v>
      </c>
      <c r="D425">
        <v>178760210.54313552</v>
      </c>
      <c r="E425">
        <v>296621.62162162201</v>
      </c>
      <c r="F425">
        <v>31531.531531532</v>
      </c>
      <c r="G425">
        <v>32</v>
      </c>
      <c r="H425">
        <v>14</v>
      </c>
      <c r="K425">
        <v>37</v>
      </c>
      <c r="L425">
        <v>30</v>
      </c>
      <c r="M425">
        <v>10700768.46846847</v>
      </c>
      <c r="N425">
        <v>10181531.531531531</v>
      </c>
      <c r="O425">
        <v>53346243.243243247</v>
      </c>
      <c r="P425">
        <v>57677058.558558561</v>
      </c>
      <c r="Q425">
        <v>8452522.5225225221</v>
      </c>
      <c r="R425">
        <v>8267027.0270270258</v>
      </c>
      <c r="S425">
        <v>4460</v>
      </c>
      <c r="T425">
        <v>4384</v>
      </c>
    </row>
    <row r="426" spans="1:20" x14ac:dyDescent="0.35">
      <c r="A426" s="7" t="s">
        <v>667</v>
      </c>
      <c r="B426" s="12" t="s">
        <v>190</v>
      </c>
      <c r="C426">
        <v>176733.33233800399</v>
      </c>
      <c r="G426">
        <v>1</v>
      </c>
      <c r="K426">
        <v>1</v>
      </c>
      <c r="O426">
        <v>124549.54954955001</v>
      </c>
      <c r="S426">
        <v>141</v>
      </c>
    </row>
    <row r="427" spans="1:20" x14ac:dyDescent="0.35">
      <c r="A427" s="7" t="s">
        <v>528</v>
      </c>
      <c r="B427" s="12" t="s">
        <v>148</v>
      </c>
      <c r="C427">
        <v>357245879.98351973</v>
      </c>
      <c r="D427">
        <v>334565570.23235893</v>
      </c>
      <c r="E427">
        <v>6755180.1801801817</v>
      </c>
      <c r="F427">
        <v>6000900.9009009041</v>
      </c>
      <c r="G427">
        <v>155</v>
      </c>
      <c r="H427">
        <v>110</v>
      </c>
      <c r="K427">
        <v>410</v>
      </c>
      <c r="L427">
        <v>125</v>
      </c>
      <c r="M427">
        <v>87848871.171171173</v>
      </c>
      <c r="N427">
        <v>84723256.756756753</v>
      </c>
      <c r="O427">
        <v>130927025.22522523</v>
      </c>
      <c r="P427">
        <v>130988054.05405405</v>
      </c>
      <c r="Q427">
        <v>87340540.540540546</v>
      </c>
      <c r="R427">
        <v>85176036.036036029</v>
      </c>
      <c r="S427">
        <v>10215</v>
      </c>
      <c r="T427">
        <v>10006</v>
      </c>
    </row>
    <row r="428" spans="1:20" x14ac:dyDescent="0.35">
      <c r="A428" s="7" t="s">
        <v>529</v>
      </c>
      <c r="B428" s="12" t="s">
        <v>122</v>
      </c>
      <c r="C428">
        <v>39374289.808322027</v>
      </c>
      <c r="D428">
        <v>35217904.463410467</v>
      </c>
      <c r="E428">
        <v>347747.74774774897</v>
      </c>
      <c r="F428">
        <v>285585.58558558603</v>
      </c>
      <c r="G428">
        <v>22</v>
      </c>
      <c r="H428">
        <v>20</v>
      </c>
      <c r="K428">
        <v>23</v>
      </c>
      <c r="L428">
        <v>22</v>
      </c>
      <c r="M428">
        <v>3703603.6036036038</v>
      </c>
      <c r="N428">
        <v>3258558.558558559</v>
      </c>
      <c r="O428">
        <v>4780013.5135135138</v>
      </c>
      <c r="P428">
        <v>4765162.1621621624</v>
      </c>
      <c r="Q428">
        <v>3210630.630630631</v>
      </c>
      <c r="R428">
        <v>3022612.6126126121</v>
      </c>
      <c r="S428">
        <v>943</v>
      </c>
      <c r="T428">
        <v>921</v>
      </c>
    </row>
    <row r="429" spans="1:20" x14ac:dyDescent="0.35">
      <c r="A429" s="7" t="s">
        <v>530</v>
      </c>
      <c r="B429" s="12" t="s">
        <v>449</v>
      </c>
      <c r="C429">
        <v>69504618.416391134</v>
      </c>
      <c r="D429">
        <v>96630580.89454253</v>
      </c>
      <c r="E429">
        <v>194045045.04504505</v>
      </c>
      <c r="F429">
        <v>50160360.360360362</v>
      </c>
      <c r="G429">
        <v>56</v>
      </c>
      <c r="H429">
        <v>15</v>
      </c>
      <c r="K429">
        <v>143</v>
      </c>
      <c r="L429">
        <v>18</v>
      </c>
      <c r="M429">
        <v>6498198.1981981955</v>
      </c>
      <c r="N429">
        <v>9561036.0360360369</v>
      </c>
      <c r="O429">
        <v>34124795.045045041</v>
      </c>
      <c r="P429">
        <v>46721648.648648649</v>
      </c>
      <c r="Q429">
        <v>3748198.198198196</v>
      </c>
      <c r="R429">
        <v>8600540.5405405406</v>
      </c>
      <c r="S429">
        <v>2103</v>
      </c>
      <c r="T429">
        <v>2230</v>
      </c>
    </row>
    <row r="430" spans="1:20" x14ac:dyDescent="0.35">
      <c r="A430" s="7" t="s">
        <v>531</v>
      </c>
      <c r="B430" s="12" t="s">
        <v>449</v>
      </c>
      <c r="C430">
        <v>164657511.57166433</v>
      </c>
      <c r="D430">
        <v>172683630.20708993</v>
      </c>
      <c r="E430">
        <v>1111711.7117117119</v>
      </c>
      <c r="F430">
        <v>2082882.882882884</v>
      </c>
      <c r="G430">
        <v>63</v>
      </c>
      <c r="H430">
        <v>152</v>
      </c>
      <c r="K430">
        <v>72</v>
      </c>
      <c r="L430">
        <v>160</v>
      </c>
      <c r="M430">
        <v>7314864.8648648653</v>
      </c>
      <c r="N430">
        <v>11586711.711711712</v>
      </c>
      <c r="O430">
        <v>77159099.0990991</v>
      </c>
      <c r="P430">
        <v>83708702.702702701</v>
      </c>
      <c r="Q430">
        <v>7604324.3243243266</v>
      </c>
      <c r="R430">
        <v>12458333.333333332</v>
      </c>
      <c r="S430">
        <v>5156</v>
      </c>
      <c r="T430">
        <v>5155</v>
      </c>
    </row>
    <row r="431" spans="1:20" x14ac:dyDescent="0.35">
      <c r="A431" s="7" t="s">
        <v>532</v>
      </c>
      <c r="B431" s="12" t="s">
        <v>124</v>
      </c>
      <c r="C431">
        <v>443280607.327411</v>
      </c>
      <c r="D431">
        <v>452572109.07844728</v>
      </c>
      <c r="E431">
        <v>241563298.1981982</v>
      </c>
      <c r="F431">
        <v>294913859.45945948</v>
      </c>
      <c r="G431">
        <v>165</v>
      </c>
      <c r="H431">
        <v>330</v>
      </c>
      <c r="I431">
        <v>5</v>
      </c>
      <c r="K431">
        <v>460</v>
      </c>
      <c r="L431">
        <v>593</v>
      </c>
      <c r="M431">
        <v>123305225.22522523</v>
      </c>
      <c r="N431">
        <v>123621171.17117117</v>
      </c>
      <c r="O431">
        <v>156912250.45045045</v>
      </c>
      <c r="P431">
        <v>160946056.75675678</v>
      </c>
      <c r="Q431">
        <v>123169819.81981982</v>
      </c>
      <c r="R431">
        <v>122516306.3063063</v>
      </c>
      <c r="S431">
        <v>11286</v>
      </c>
      <c r="T431">
        <v>11297</v>
      </c>
    </row>
    <row r="432" spans="1:20" x14ac:dyDescent="0.35">
      <c r="A432" s="7" t="s">
        <v>533</v>
      </c>
      <c r="B432" s="12" t="s">
        <v>86</v>
      </c>
      <c r="C432">
        <v>129729494.11411709</v>
      </c>
      <c r="D432">
        <v>147545712.70730472</v>
      </c>
      <c r="E432">
        <v>279279.27927928098</v>
      </c>
      <c r="F432">
        <v>3424324.3243243238</v>
      </c>
      <c r="G432">
        <v>28</v>
      </c>
      <c r="H432">
        <v>12</v>
      </c>
      <c r="K432">
        <v>37</v>
      </c>
      <c r="L432">
        <v>13</v>
      </c>
      <c r="M432">
        <v>14100540.540540541</v>
      </c>
      <c r="N432">
        <v>49304054.054054052</v>
      </c>
      <c r="O432">
        <v>27765810.810810812</v>
      </c>
      <c r="P432">
        <v>39018441.441441439</v>
      </c>
      <c r="Q432">
        <v>9008018.0180180185</v>
      </c>
      <c r="R432">
        <v>39799009.009009011</v>
      </c>
      <c r="S432">
        <v>3620</v>
      </c>
      <c r="T432">
        <v>4015</v>
      </c>
    </row>
    <row r="433" spans="1:20" x14ac:dyDescent="0.35">
      <c r="A433" s="7" t="s">
        <v>9</v>
      </c>
      <c r="B433" s="12" t="s">
        <v>159</v>
      </c>
      <c r="C433">
        <v>345751260.50880229</v>
      </c>
      <c r="D433">
        <v>331025226.04577494</v>
      </c>
      <c r="E433">
        <v>9676219.8198198248</v>
      </c>
      <c r="F433">
        <v>5616379.2792792777</v>
      </c>
      <c r="G433">
        <v>52</v>
      </c>
      <c r="H433">
        <v>77</v>
      </c>
      <c r="K433">
        <v>58</v>
      </c>
      <c r="L433">
        <v>100</v>
      </c>
      <c r="M433">
        <v>463877789.1891892</v>
      </c>
      <c r="N433">
        <v>455994442.34234232</v>
      </c>
      <c r="O433">
        <v>125239693.6936937</v>
      </c>
      <c r="P433">
        <v>120823628.82882883</v>
      </c>
      <c r="Q433">
        <v>392006126.12612617</v>
      </c>
      <c r="R433">
        <v>419844909.9099099</v>
      </c>
      <c r="S433">
        <v>7910</v>
      </c>
      <c r="T433">
        <v>6885</v>
      </c>
    </row>
    <row r="434" spans="1:20" x14ac:dyDescent="0.35">
      <c r="A434" s="7" t="s">
        <v>534</v>
      </c>
      <c r="B434" s="12" t="s">
        <v>95</v>
      </c>
      <c r="C434">
        <v>335831899.82682145</v>
      </c>
      <c r="D434">
        <v>353558673.00689572</v>
      </c>
      <c r="E434">
        <v>1202702.7027027069</v>
      </c>
      <c r="F434">
        <v>1101801.8018018049</v>
      </c>
      <c r="G434">
        <v>68</v>
      </c>
      <c r="H434">
        <v>77</v>
      </c>
      <c r="K434">
        <v>76</v>
      </c>
      <c r="L434">
        <v>85</v>
      </c>
      <c r="M434">
        <v>26788288.288288292</v>
      </c>
      <c r="N434">
        <v>37890090.090090089</v>
      </c>
      <c r="O434">
        <v>45671387.387387395</v>
      </c>
      <c r="P434">
        <v>55211068.468468465</v>
      </c>
      <c r="Q434">
        <v>19148828.828828827</v>
      </c>
      <c r="R434">
        <v>22235405.40540541</v>
      </c>
      <c r="S434">
        <v>6883</v>
      </c>
      <c r="T434">
        <v>6495</v>
      </c>
    </row>
    <row r="435" spans="1:20" x14ac:dyDescent="0.35">
      <c r="A435" s="7" t="s">
        <v>535</v>
      </c>
      <c r="B435" s="12" t="s">
        <v>305</v>
      </c>
      <c r="C435">
        <v>8910765.0515263993</v>
      </c>
      <c r="D435">
        <v>12780313.43911572</v>
      </c>
      <c r="G435">
        <v>2</v>
      </c>
      <c r="H435">
        <v>6</v>
      </c>
      <c r="K435">
        <v>2</v>
      </c>
      <c r="L435">
        <v>6</v>
      </c>
      <c r="O435">
        <v>1504009.009009009</v>
      </c>
      <c r="P435">
        <v>1457477.4774774781</v>
      </c>
      <c r="S435">
        <v>394</v>
      </c>
      <c r="T435">
        <v>375</v>
      </c>
    </row>
    <row r="436" spans="1:20" x14ac:dyDescent="0.35">
      <c r="A436" s="7" t="s">
        <v>536</v>
      </c>
      <c r="B436" s="12" t="s">
        <v>305</v>
      </c>
      <c r="C436">
        <v>137174932.86929098</v>
      </c>
      <c r="D436">
        <v>133056705.33751661</v>
      </c>
      <c r="E436">
        <v>662162.16216216295</v>
      </c>
      <c r="F436">
        <v>1481981.981981982</v>
      </c>
      <c r="G436">
        <v>15</v>
      </c>
      <c r="H436">
        <v>28</v>
      </c>
      <c r="K436">
        <v>19</v>
      </c>
      <c r="L436">
        <v>31</v>
      </c>
      <c r="M436">
        <v>11851351.351351352</v>
      </c>
      <c r="N436">
        <v>10229729.729729732</v>
      </c>
      <c r="O436">
        <v>12297117.117117116</v>
      </c>
      <c r="P436">
        <v>11530576.576576576</v>
      </c>
      <c r="Q436">
        <v>4259099.0990990996</v>
      </c>
      <c r="R436">
        <v>6293153.1531531531</v>
      </c>
      <c r="S436">
        <v>2691</v>
      </c>
      <c r="T436">
        <v>2670</v>
      </c>
    </row>
    <row r="437" spans="1:20" x14ac:dyDescent="0.35">
      <c r="A437" s="7" t="s">
        <v>537</v>
      </c>
      <c r="B437" s="12" t="s">
        <v>86</v>
      </c>
      <c r="C437">
        <v>119365039.84509507</v>
      </c>
      <c r="D437">
        <v>128171214.51043214</v>
      </c>
      <c r="E437">
        <v>304194053.15315318</v>
      </c>
      <c r="F437">
        <v>508472558.55855858</v>
      </c>
      <c r="G437">
        <v>47</v>
      </c>
      <c r="H437">
        <v>71</v>
      </c>
      <c r="I437">
        <v>4</v>
      </c>
      <c r="K437">
        <v>58</v>
      </c>
      <c r="L437">
        <v>111</v>
      </c>
      <c r="M437">
        <v>73669729.729729727</v>
      </c>
      <c r="N437">
        <v>91600720.720720723</v>
      </c>
      <c r="O437">
        <v>56626837.837837838</v>
      </c>
      <c r="P437">
        <v>62748900.9009009</v>
      </c>
      <c r="Q437">
        <v>34550450.45045045</v>
      </c>
      <c r="R437">
        <v>60986126.126126125</v>
      </c>
      <c r="S437">
        <v>3021</v>
      </c>
      <c r="T437">
        <v>3200</v>
      </c>
    </row>
    <row r="438" spans="1:20" x14ac:dyDescent="0.35">
      <c r="A438" s="7" t="s">
        <v>538</v>
      </c>
      <c r="B438" s="12" t="s">
        <v>449</v>
      </c>
      <c r="C438">
        <v>165493842.16620269</v>
      </c>
      <c r="D438">
        <v>156797603.83262098</v>
      </c>
      <c r="E438">
        <v>1495495.495495497</v>
      </c>
      <c r="F438">
        <v>332882.88288288401</v>
      </c>
      <c r="G438">
        <v>159</v>
      </c>
      <c r="H438">
        <v>47</v>
      </c>
      <c r="I438">
        <v>2</v>
      </c>
      <c r="K438">
        <v>243</v>
      </c>
      <c r="L438">
        <v>53</v>
      </c>
      <c r="M438">
        <v>13451981.98198198</v>
      </c>
      <c r="N438">
        <v>8938963.9639639631</v>
      </c>
      <c r="O438">
        <v>47014268.468468465</v>
      </c>
      <c r="P438">
        <v>48255972.972972974</v>
      </c>
      <c r="Q438">
        <v>15215765.765765764</v>
      </c>
      <c r="R438">
        <v>7970405.405405404</v>
      </c>
      <c r="S438">
        <v>4598</v>
      </c>
      <c r="T438">
        <v>5257</v>
      </c>
    </row>
    <row r="439" spans="1:20" x14ac:dyDescent="0.35">
      <c r="A439" s="7" t="s">
        <v>539</v>
      </c>
      <c r="B439" s="12" t="s">
        <v>118</v>
      </c>
      <c r="C439">
        <v>381217496.10407817</v>
      </c>
      <c r="D439">
        <v>360300576.2947439</v>
      </c>
      <c r="E439">
        <v>8053153.1531531578</v>
      </c>
      <c r="F439">
        <v>8167567.5675675711</v>
      </c>
      <c r="G439">
        <v>104</v>
      </c>
      <c r="H439">
        <v>106</v>
      </c>
      <c r="K439">
        <v>149</v>
      </c>
      <c r="L439">
        <v>174</v>
      </c>
      <c r="M439">
        <v>82132341.441441447</v>
      </c>
      <c r="N439">
        <v>77387263.963963971</v>
      </c>
      <c r="O439">
        <v>217112351.35135135</v>
      </c>
      <c r="P439">
        <v>204295081.08108109</v>
      </c>
      <c r="Q439">
        <v>75642612.612612605</v>
      </c>
      <c r="R439">
        <v>66241756.75675676</v>
      </c>
      <c r="S439">
        <v>11501</v>
      </c>
      <c r="T439">
        <v>11261</v>
      </c>
    </row>
    <row r="440" spans="1:20" x14ac:dyDescent="0.35">
      <c r="A440" s="7" t="s">
        <v>540</v>
      </c>
      <c r="B440" s="12" t="s">
        <v>84</v>
      </c>
      <c r="C440">
        <v>1175521707.3817313</v>
      </c>
      <c r="D440">
        <v>1148923615.964226</v>
      </c>
      <c r="E440">
        <v>5280257.6576576568</v>
      </c>
      <c r="F440">
        <v>6920720.7207207251</v>
      </c>
      <c r="G440">
        <v>253</v>
      </c>
      <c r="H440">
        <v>139</v>
      </c>
      <c r="I440">
        <v>1</v>
      </c>
      <c r="K440">
        <v>293</v>
      </c>
      <c r="L440">
        <v>180</v>
      </c>
      <c r="M440">
        <v>77918549.54954955</v>
      </c>
      <c r="N440">
        <v>79435135.135135129</v>
      </c>
      <c r="O440">
        <v>129429850</v>
      </c>
      <c r="P440">
        <v>135293927.92792794</v>
      </c>
      <c r="Q440">
        <v>68835989.189189196</v>
      </c>
      <c r="R440">
        <v>69999819.819819823</v>
      </c>
      <c r="S440">
        <v>21867</v>
      </c>
      <c r="T440">
        <v>21494</v>
      </c>
    </row>
    <row r="441" spans="1:20" x14ac:dyDescent="0.35">
      <c r="A441" s="7" t="s">
        <v>541</v>
      </c>
      <c r="B441" s="12" t="s">
        <v>316</v>
      </c>
      <c r="C441">
        <v>144944344.43923378</v>
      </c>
      <c r="D441">
        <v>140172682.66266322</v>
      </c>
      <c r="E441">
        <v>1826351.3513513519</v>
      </c>
      <c r="F441">
        <v>2347747.7477477519</v>
      </c>
      <c r="G441">
        <v>22</v>
      </c>
      <c r="H441">
        <v>16</v>
      </c>
      <c r="K441">
        <v>24</v>
      </c>
      <c r="L441">
        <v>16</v>
      </c>
      <c r="M441">
        <v>8450900.9009009004</v>
      </c>
      <c r="N441">
        <v>21166666.666666668</v>
      </c>
      <c r="O441">
        <v>28441801.801801801</v>
      </c>
      <c r="P441">
        <v>28453801.801801801</v>
      </c>
      <c r="Q441">
        <v>7746306.3063063063</v>
      </c>
      <c r="R441">
        <v>17950360.360360362</v>
      </c>
      <c r="S441">
        <v>2581</v>
      </c>
      <c r="T441">
        <v>2588</v>
      </c>
    </row>
    <row r="442" spans="1:20" x14ac:dyDescent="0.35">
      <c r="A442" s="7" t="s">
        <v>542</v>
      </c>
      <c r="B442" s="12" t="s">
        <v>170</v>
      </c>
      <c r="C442">
        <v>1000587431.8746669</v>
      </c>
      <c r="D442">
        <v>1038459645.7379954</v>
      </c>
      <c r="E442">
        <v>2712612.6126126158</v>
      </c>
      <c r="F442">
        <v>4077477.4774774788</v>
      </c>
      <c r="G442">
        <v>129</v>
      </c>
      <c r="H442">
        <v>150</v>
      </c>
      <c r="I442">
        <v>1</v>
      </c>
      <c r="K442">
        <v>182</v>
      </c>
      <c r="L442">
        <v>174</v>
      </c>
      <c r="M442">
        <v>54440247.747747742</v>
      </c>
      <c r="N442">
        <v>65419188.288288288</v>
      </c>
      <c r="O442">
        <v>369662222.97297299</v>
      </c>
      <c r="P442">
        <v>406144684.68468469</v>
      </c>
      <c r="Q442">
        <v>58162342.342342347</v>
      </c>
      <c r="R442">
        <v>66130720.720720723</v>
      </c>
      <c r="S442">
        <v>21928</v>
      </c>
      <c r="T442">
        <v>22522</v>
      </c>
    </row>
    <row r="443" spans="1:20" x14ac:dyDescent="0.35">
      <c r="A443" s="7" t="s">
        <v>543</v>
      </c>
      <c r="B443" s="12" t="s">
        <v>480</v>
      </c>
      <c r="C443">
        <v>312068203.94248551</v>
      </c>
      <c r="D443">
        <v>304825281.06592417</v>
      </c>
      <c r="E443">
        <v>81081.081081084005</v>
      </c>
      <c r="F443">
        <v>1204504.5045045039</v>
      </c>
      <c r="G443">
        <v>31</v>
      </c>
      <c r="H443">
        <v>23</v>
      </c>
      <c r="K443">
        <v>34</v>
      </c>
      <c r="L443">
        <v>28</v>
      </c>
      <c r="M443">
        <v>1009009.009009012</v>
      </c>
      <c r="N443">
        <v>2420720.7207207298</v>
      </c>
      <c r="O443">
        <v>40842765.765765771</v>
      </c>
      <c r="P443">
        <v>57459279.279279277</v>
      </c>
      <c r="Q443">
        <v>464144.14414414403</v>
      </c>
      <c r="R443">
        <v>2237477.4774774848</v>
      </c>
      <c r="S443">
        <v>5444</v>
      </c>
      <c r="T443">
        <v>5456</v>
      </c>
    </row>
    <row r="444" spans="1:20" x14ac:dyDescent="0.35">
      <c r="A444" s="7" t="s">
        <v>544</v>
      </c>
      <c r="B444" s="12" t="s">
        <v>81</v>
      </c>
      <c r="C444">
        <v>73963372.783937171</v>
      </c>
      <c r="D444">
        <v>84169782.732768565</v>
      </c>
      <c r="E444">
        <v>35204954.954954959</v>
      </c>
      <c r="F444">
        <v>92330360.360360369</v>
      </c>
      <c r="G444">
        <v>26</v>
      </c>
      <c r="H444">
        <v>5</v>
      </c>
      <c r="K444">
        <v>31</v>
      </c>
      <c r="L444">
        <v>10</v>
      </c>
      <c r="M444">
        <v>10522522.52252252</v>
      </c>
      <c r="N444">
        <v>10162882.88288288</v>
      </c>
      <c r="O444">
        <v>27322900.9009009</v>
      </c>
      <c r="P444">
        <v>30644774.774774775</v>
      </c>
      <c r="Q444">
        <v>7515945.9459459456</v>
      </c>
      <c r="R444">
        <v>7324594.594594595</v>
      </c>
      <c r="S444">
        <v>2369</v>
      </c>
      <c r="T444">
        <v>2345</v>
      </c>
    </row>
    <row r="445" spans="1:20" x14ac:dyDescent="0.35">
      <c r="A445" s="7" t="s">
        <v>545</v>
      </c>
      <c r="B445" s="12" t="s">
        <v>170</v>
      </c>
      <c r="C445">
        <v>79060695.24480933</v>
      </c>
      <c r="D445">
        <v>116892412.66932347</v>
      </c>
      <c r="E445">
        <v>277477.47747747699</v>
      </c>
      <c r="F445">
        <v>460360.36036036001</v>
      </c>
      <c r="G445">
        <v>14</v>
      </c>
      <c r="H445">
        <v>2</v>
      </c>
      <c r="K445">
        <v>15</v>
      </c>
      <c r="L445">
        <v>3</v>
      </c>
      <c r="M445">
        <v>1178378.378378378</v>
      </c>
      <c r="N445">
        <v>460360.36036036001</v>
      </c>
      <c r="O445">
        <v>34020304.504504502</v>
      </c>
      <c r="P445">
        <v>43262594.59459459</v>
      </c>
      <c r="Q445">
        <v>502882.88288288302</v>
      </c>
      <c r="R445">
        <v>1016396.396396396</v>
      </c>
      <c r="S445">
        <v>2475</v>
      </c>
      <c r="T445">
        <v>2593</v>
      </c>
    </row>
    <row r="446" spans="1:20" x14ac:dyDescent="0.35">
      <c r="A446" s="7" t="s">
        <v>546</v>
      </c>
      <c r="B446" s="12" t="s">
        <v>225</v>
      </c>
      <c r="C446">
        <v>6557.0870177610004</v>
      </c>
      <c r="D446">
        <v>42305.486981403003</v>
      </c>
      <c r="P446">
        <v>6081.0810810809999</v>
      </c>
    </row>
    <row r="447" spans="1:20" x14ac:dyDescent="0.35">
      <c r="A447" s="7" t="s">
        <v>547</v>
      </c>
      <c r="B447" s="12" t="s">
        <v>137</v>
      </c>
      <c r="C447">
        <v>198368788.32410285</v>
      </c>
      <c r="D447">
        <v>207651279.51630121</v>
      </c>
      <c r="E447">
        <v>790990.99099099403</v>
      </c>
      <c r="F447">
        <v>1116666.6666666679</v>
      </c>
      <c r="G447">
        <v>65</v>
      </c>
      <c r="H447">
        <v>33</v>
      </c>
      <c r="K447">
        <v>71</v>
      </c>
      <c r="L447">
        <v>35</v>
      </c>
      <c r="M447">
        <v>40847747.747747742</v>
      </c>
      <c r="N447">
        <v>43846396.396396391</v>
      </c>
      <c r="O447">
        <v>63924890.090090089</v>
      </c>
      <c r="P447">
        <v>85603765.765765756</v>
      </c>
      <c r="Q447">
        <v>34889009.009009011</v>
      </c>
      <c r="R447">
        <v>34548378.378378376</v>
      </c>
      <c r="S447">
        <v>4928</v>
      </c>
      <c r="T447">
        <v>4533</v>
      </c>
    </row>
    <row r="448" spans="1:20" x14ac:dyDescent="0.35">
      <c r="A448" s="7" t="s">
        <v>548</v>
      </c>
      <c r="B448" s="12" t="s">
        <v>137</v>
      </c>
      <c r="C448">
        <v>379552541.67315811</v>
      </c>
      <c r="D448">
        <v>368573651.58477658</v>
      </c>
      <c r="E448">
        <v>225470956.75675678</v>
      </c>
      <c r="F448">
        <v>234123671.17117116</v>
      </c>
      <c r="G448">
        <v>187</v>
      </c>
      <c r="H448">
        <v>142</v>
      </c>
      <c r="I448">
        <v>6</v>
      </c>
      <c r="K448">
        <v>217</v>
      </c>
      <c r="L448">
        <v>168</v>
      </c>
      <c r="M448">
        <v>92467567.567567572</v>
      </c>
      <c r="N448">
        <v>86611711.711711705</v>
      </c>
      <c r="O448">
        <v>124799626.12612613</v>
      </c>
      <c r="P448">
        <v>127166882.88288288</v>
      </c>
      <c r="Q448">
        <v>79412828.828828827</v>
      </c>
      <c r="R448">
        <v>73178738.738738731</v>
      </c>
      <c r="S448">
        <v>15394</v>
      </c>
      <c r="T448">
        <v>12588</v>
      </c>
    </row>
    <row r="449" spans="1:20" x14ac:dyDescent="0.35">
      <c r="A449" s="7" t="s">
        <v>549</v>
      </c>
      <c r="B449" s="12" t="s">
        <v>137</v>
      </c>
      <c r="C449">
        <v>421049405.06395215</v>
      </c>
      <c r="D449">
        <v>434090607.10700697</v>
      </c>
      <c r="E449">
        <v>3326126.1261261269</v>
      </c>
      <c r="F449">
        <v>1853153.1531531529</v>
      </c>
      <c r="G449">
        <v>64</v>
      </c>
      <c r="H449">
        <v>93</v>
      </c>
      <c r="I449">
        <v>6</v>
      </c>
      <c r="K449">
        <v>71</v>
      </c>
      <c r="L449">
        <v>97</v>
      </c>
      <c r="M449">
        <v>16218018.018018017</v>
      </c>
      <c r="N449">
        <v>21042342.342342343</v>
      </c>
      <c r="O449">
        <v>69511061.261261269</v>
      </c>
      <c r="P449">
        <v>75938207.207207203</v>
      </c>
      <c r="Q449">
        <v>15854504.504504506</v>
      </c>
      <c r="R449">
        <v>16570090.090090089</v>
      </c>
      <c r="S449">
        <v>8553</v>
      </c>
      <c r="T449">
        <v>8485</v>
      </c>
    </row>
    <row r="450" spans="1:20" x14ac:dyDescent="0.35">
      <c r="A450" s="7" t="s">
        <v>550</v>
      </c>
      <c r="B450" s="12" t="s">
        <v>137</v>
      </c>
      <c r="C450">
        <v>173854384.5129616</v>
      </c>
      <c r="D450">
        <v>168720610.64774412</v>
      </c>
      <c r="E450">
        <v>523423.42342342401</v>
      </c>
      <c r="F450">
        <v>1072072.072072072</v>
      </c>
      <c r="G450">
        <v>31</v>
      </c>
      <c r="H450">
        <v>40</v>
      </c>
      <c r="K450">
        <v>35</v>
      </c>
      <c r="L450">
        <v>42</v>
      </c>
      <c r="M450">
        <v>15289189.189189188</v>
      </c>
      <c r="N450">
        <v>15067567.567567568</v>
      </c>
      <c r="O450">
        <v>29140603.603603605</v>
      </c>
      <c r="P450">
        <v>33495531.531531531</v>
      </c>
      <c r="Q450">
        <v>11080900.9009009</v>
      </c>
      <c r="R450">
        <v>11522342.342342343</v>
      </c>
      <c r="S450">
        <v>3711</v>
      </c>
      <c r="T450">
        <v>3746</v>
      </c>
    </row>
    <row r="451" spans="1:20" x14ac:dyDescent="0.35">
      <c r="A451" s="7" t="s">
        <v>551</v>
      </c>
      <c r="B451" s="12" t="s">
        <v>88</v>
      </c>
      <c r="C451">
        <v>70671308.427860156</v>
      </c>
      <c r="D451">
        <v>72994998.793127745</v>
      </c>
      <c r="E451">
        <v>133333.33333333299</v>
      </c>
      <c r="F451">
        <v>27027.027027028002</v>
      </c>
      <c r="G451">
        <v>27</v>
      </c>
      <c r="H451">
        <v>19</v>
      </c>
      <c r="K451">
        <v>30</v>
      </c>
      <c r="L451">
        <v>23</v>
      </c>
      <c r="M451">
        <v>4616216.2162162159</v>
      </c>
      <c r="N451">
        <v>4207207.2072072066</v>
      </c>
      <c r="O451">
        <v>11069117.117117116</v>
      </c>
      <c r="P451">
        <v>12998765.765765766</v>
      </c>
      <c r="Q451">
        <v>4470720.7207207214</v>
      </c>
      <c r="R451">
        <v>3029459.4594594599</v>
      </c>
      <c r="S451">
        <v>1435</v>
      </c>
      <c r="T451">
        <v>1371</v>
      </c>
    </row>
    <row r="452" spans="1:20" x14ac:dyDescent="0.35">
      <c r="A452" s="7" t="s">
        <v>552</v>
      </c>
      <c r="B452" s="12" t="s">
        <v>88</v>
      </c>
      <c r="C452">
        <v>109550801.05074114</v>
      </c>
      <c r="D452">
        <v>111248315.03198785</v>
      </c>
      <c r="E452">
        <v>414414.41441441502</v>
      </c>
      <c r="F452">
        <v>436936.93693693797</v>
      </c>
      <c r="G452">
        <v>66</v>
      </c>
      <c r="H452">
        <v>43</v>
      </c>
      <c r="K452">
        <v>78</v>
      </c>
      <c r="L452">
        <v>51</v>
      </c>
      <c r="M452">
        <v>11104504.504504504</v>
      </c>
      <c r="N452">
        <v>11099099.0990991</v>
      </c>
      <c r="O452">
        <v>16903322.52252252</v>
      </c>
      <c r="P452">
        <v>17391243.243243244</v>
      </c>
      <c r="Q452">
        <v>7123783.7837837832</v>
      </c>
      <c r="R452">
        <v>8329819.8198198201</v>
      </c>
      <c r="S452">
        <v>2544</v>
      </c>
      <c r="T452">
        <v>2658</v>
      </c>
    </row>
    <row r="453" spans="1:20" x14ac:dyDescent="0.35">
      <c r="A453" s="7" t="s">
        <v>553</v>
      </c>
      <c r="B453" s="12" t="s">
        <v>67</v>
      </c>
      <c r="C453">
        <v>215462523.24173969</v>
      </c>
      <c r="D453">
        <v>222452717.02459162</v>
      </c>
      <c r="E453">
        <v>7189189.1891891891</v>
      </c>
      <c r="F453">
        <v>8715315.3153153192</v>
      </c>
      <c r="G453">
        <v>136</v>
      </c>
      <c r="H453">
        <v>56</v>
      </c>
      <c r="I453">
        <v>1</v>
      </c>
      <c r="K453">
        <v>157</v>
      </c>
      <c r="L453">
        <v>76</v>
      </c>
      <c r="M453">
        <v>189767747.74774775</v>
      </c>
      <c r="N453">
        <v>198540990.99099097</v>
      </c>
      <c r="O453">
        <v>91431290.540540546</v>
      </c>
      <c r="P453">
        <v>93752405.405405402</v>
      </c>
      <c r="Q453">
        <v>132502522.52252252</v>
      </c>
      <c r="R453">
        <v>84940630.630630627</v>
      </c>
      <c r="S453">
        <v>9529</v>
      </c>
      <c r="T453">
        <v>9200</v>
      </c>
    </row>
    <row r="454" spans="1:20" x14ac:dyDescent="0.35">
      <c r="A454" s="7" t="s">
        <v>554</v>
      </c>
      <c r="B454" s="12" t="s">
        <v>555</v>
      </c>
      <c r="C454">
        <v>427538531.89989734</v>
      </c>
      <c r="D454">
        <v>427600528.40915155</v>
      </c>
      <c r="E454">
        <v>10774324.324324328</v>
      </c>
      <c r="F454">
        <v>13460810.810810814</v>
      </c>
      <c r="G454">
        <v>68</v>
      </c>
      <c r="H454">
        <v>37</v>
      </c>
      <c r="I454">
        <v>5</v>
      </c>
      <c r="K454">
        <v>97</v>
      </c>
      <c r="L454">
        <v>51</v>
      </c>
      <c r="M454">
        <v>138636936.93693694</v>
      </c>
      <c r="N454">
        <v>146373423.42342341</v>
      </c>
      <c r="O454">
        <v>117538585.58558558</v>
      </c>
      <c r="P454">
        <v>138528153.15315315</v>
      </c>
      <c r="Q454">
        <v>135269549.54954955</v>
      </c>
      <c r="R454">
        <v>126782342.34234233</v>
      </c>
      <c r="S454">
        <v>9147</v>
      </c>
      <c r="T454">
        <v>9008</v>
      </c>
    </row>
    <row r="455" spans="1:20" x14ac:dyDescent="0.35">
      <c r="A455" s="7" t="s">
        <v>556</v>
      </c>
      <c r="B455" s="12" t="s">
        <v>555</v>
      </c>
      <c r="C455">
        <v>66252699.973888755</v>
      </c>
      <c r="D455">
        <v>68654424.961012557</v>
      </c>
      <c r="E455">
        <v>164470122.52252254</v>
      </c>
      <c r="F455">
        <v>125379655.85585585</v>
      </c>
      <c r="G455">
        <v>26</v>
      </c>
      <c r="H455">
        <v>11</v>
      </c>
      <c r="K455">
        <v>28</v>
      </c>
      <c r="L455">
        <v>15</v>
      </c>
      <c r="M455">
        <v>10968468.468468469</v>
      </c>
      <c r="N455">
        <v>16127477.477477478</v>
      </c>
      <c r="O455">
        <v>24476567.567567568</v>
      </c>
      <c r="P455">
        <v>27820576.576576576</v>
      </c>
      <c r="Q455">
        <v>9054414.4144144114</v>
      </c>
      <c r="R455">
        <v>5388828.8288288293</v>
      </c>
      <c r="S455">
        <v>1606</v>
      </c>
      <c r="T455">
        <v>1619</v>
      </c>
    </row>
    <row r="456" spans="1:20" x14ac:dyDescent="0.35">
      <c r="A456" s="7" t="s">
        <v>557</v>
      </c>
      <c r="B456" s="12" t="s">
        <v>122</v>
      </c>
      <c r="C456">
        <v>49588784.481678389</v>
      </c>
      <c r="D456">
        <v>50912849.904619753</v>
      </c>
      <c r="E456">
        <v>180180.18018018</v>
      </c>
      <c r="F456">
        <v>157657.65765765801</v>
      </c>
      <c r="G456">
        <v>22</v>
      </c>
      <c r="H456">
        <v>26</v>
      </c>
      <c r="K456">
        <v>26</v>
      </c>
      <c r="L456">
        <v>28</v>
      </c>
      <c r="M456">
        <v>180180.18018018</v>
      </c>
      <c r="N456">
        <v>157657.65765765801</v>
      </c>
      <c r="O456">
        <v>4744270.2702702703</v>
      </c>
      <c r="P456">
        <v>6855405.405405405</v>
      </c>
      <c r="Q456">
        <v>118918.91891891899</v>
      </c>
      <c r="R456">
        <v>198198.19819819799</v>
      </c>
      <c r="S456">
        <v>1342</v>
      </c>
      <c r="T456">
        <v>1381</v>
      </c>
    </row>
    <row r="457" spans="1:20" x14ac:dyDescent="0.35">
      <c r="A457" s="7" t="s">
        <v>558</v>
      </c>
      <c r="B457" s="12" t="s">
        <v>71</v>
      </c>
      <c r="C457">
        <v>396221727.52949828</v>
      </c>
      <c r="D457">
        <v>391469525.81234759</v>
      </c>
      <c r="E457">
        <v>4233333.3333333395</v>
      </c>
      <c r="F457">
        <v>8089189.1891891947</v>
      </c>
      <c r="G457">
        <v>90</v>
      </c>
      <c r="H457">
        <v>62</v>
      </c>
      <c r="I457">
        <v>1</v>
      </c>
      <c r="K457">
        <v>104</v>
      </c>
      <c r="L457">
        <v>81</v>
      </c>
      <c r="M457">
        <v>54582882.882882886</v>
      </c>
      <c r="N457">
        <v>107177477.47747748</v>
      </c>
      <c r="O457">
        <v>167246567.56756756</v>
      </c>
      <c r="P457">
        <v>166715486.48648649</v>
      </c>
      <c r="Q457">
        <v>48044144.144144148</v>
      </c>
      <c r="R457">
        <v>95979639.639639646</v>
      </c>
      <c r="S457">
        <v>10105</v>
      </c>
      <c r="T457">
        <v>10129</v>
      </c>
    </row>
    <row r="458" spans="1:20" x14ac:dyDescent="0.35">
      <c r="A458" s="7" t="s">
        <v>559</v>
      </c>
      <c r="B458" s="12" t="s">
        <v>63</v>
      </c>
      <c r="C458">
        <v>714914370.76183987</v>
      </c>
      <c r="D458">
        <v>711835733.77501535</v>
      </c>
      <c r="E458">
        <v>12227027.02702703</v>
      </c>
      <c r="F458">
        <v>13593693.693693697</v>
      </c>
      <c r="G458">
        <v>247</v>
      </c>
      <c r="H458">
        <v>307</v>
      </c>
      <c r="K458">
        <v>386</v>
      </c>
      <c r="L458">
        <v>686</v>
      </c>
      <c r="M458">
        <v>117909189.18918918</v>
      </c>
      <c r="N458">
        <v>235217657.65765765</v>
      </c>
      <c r="O458">
        <v>165028860.36036035</v>
      </c>
      <c r="P458">
        <v>183001614.41441441</v>
      </c>
      <c r="Q458">
        <v>110464954.95495497</v>
      </c>
      <c r="R458">
        <v>141272162.16216215</v>
      </c>
      <c r="S458">
        <v>18291</v>
      </c>
      <c r="T458">
        <v>18315</v>
      </c>
    </row>
    <row r="459" spans="1:20" x14ac:dyDescent="0.35">
      <c r="A459" s="7" t="s">
        <v>560</v>
      </c>
      <c r="B459" s="12" t="s">
        <v>480</v>
      </c>
      <c r="C459">
        <v>337430915.48355621</v>
      </c>
      <c r="D459">
        <v>344990002.30584836</v>
      </c>
      <c r="E459">
        <v>32345945.945945948</v>
      </c>
      <c r="F459">
        <v>55273423.423423424</v>
      </c>
      <c r="G459">
        <v>122</v>
      </c>
      <c r="H459">
        <v>73</v>
      </c>
      <c r="I459">
        <v>1</v>
      </c>
      <c r="K459">
        <v>152</v>
      </c>
      <c r="L459">
        <v>83</v>
      </c>
      <c r="M459">
        <v>58676306.30630631</v>
      </c>
      <c r="N459">
        <v>44895945.945945941</v>
      </c>
      <c r="O459">
        <v>103382908.10810812</v>
      </c>
      <c r="P459">
        <v>108333612.61261261</v>
      </c>
      <c r="Q459">
        <v>45300630.630630635</v>
      </c>
      <c r="R459">
        <v>51265360.360360362</v>
      </c>
      <c r="S459">
        <v>7824</v>
      </c>
      <c r="T459">
        <v>7777</v>
      </c>
    </row>
    <row r="460" spans="1:20" x14ac:dyDescent="0.35">
      <c r="A460" s="7" t="s">
        <v>561</v>
      </c>
      <c r="B460" s="12" t="s">
        <v>237</v>
      </c>
      <c r="C460">
        <v>58943150.64284867</v>
      </c>
      <c r="D460">
        <v>62016872.733493373</v>
      </c>
      <c r="E460">
        <v>80181081.081081092</v>
      </c>
      <c r="F460">
        <v>81177477.477477476</v>
      </c>
      <c r="G460">
        <v>20</v>
      </c>
      <c r="H460">
        <v>16</v>
      </c>
      <c r="K460">
        <v>22</v>
      </c>
      <c r="L460">
        <v>18</v>
      </c>
      <c r="M460">
        <v>5184864.8648648644</v>
      </c>
      <c r="N460">
        <v>3884684.684684685</v>
      </c>
      <c r="O460">
        <v>22330378.37837838</v>
      </c>
      <c r="P460">
        <v>24756171.171171173</v>
      </c>
      <c r="Q460">
        <v>3866306.3063063049</v>
      </c>
      <c r="R460">
        <v>2176756.756756756</v>
      </c>
      <c r="S460">
        <v>2264</v>
      </c>
      <c r="T460">
        <v>2175</v>
      </c>
    </row>
    <row r="461" spans="1:20" x14ac:dyDescent="0.35">
      <c r="A461" s="7" t="s">
        <v>562</v>
      </c>
      <c r="B461" s="12" t="s">
        <v>61</v>
      </c>
      <c r="C461">
        <v>55179741.057582639</v>
      </c>
      <c r="D461">
        <v>54081991.638293698</v>
      </c>
      <c r="E461">
        <v>1988288.2882882869</v>
      </c>
      <c r="F461">
        <v>1658108.1081081079</v>
      </c>
      <c r="G461">
        <v>19</v>
      </c>
      <c r="H461">
        <v>41</v>
      </c>
      <c r="K461">
        <v>35</v>
      </c>
      <c r="L461">
        <v>67</v>
      </c>
      <c r="M461">
        <v>16429729.729729732</v>
      </c>
      <c r="N461">
        <v>13685135.135135137</v>
      </c>
      <c r="O461">
        <v>19879153.153153151</v>
      </c>
      <c r="P461">
        <v>19255405.405405402</v>
      </c>
      <c r="Q461">
        <v>14964324.324324325</v>
      </c>
      <c r="R461">
        <v>12768288.288288288</v>
      </c>
      <c r="S461">
        <v>1275</v>
      </c>
      <c r="T461">
        <v>1218</v>
      </c>
    </row>
    <row r="462" spans="1:20" x14ac:dyDescent="0.35">
      <c r="A462" s="7" t="s">
        <v>563</v>
      </c>
      <c r="B462" s="12" t="s">
        <v>564</v>
      </c>
      <c r="C462">
        <v>309475380.49423695</v>
      </c>
      <c r="D462">
        <v>330349366.2538026</v>
      </c>
      <c r="E462">
        <v>627750863.96396399</v>
      </c>
      <c r="F462">
        <v>487092300</v>
      </c>
      <c r="G462">
        <v>303</v>
      </c>
      <c r="H462">
        <v>251</v>
      </c>
      <c r="I462">
        <v>3</v>
      </c>
      <c r="K462">
        <v>679</v>
      </c>
      <c r="L462">
        <v>495</v>
      </c>
      <c r="M462">
        <v>469868439.63963962</v>
      </c>
      <c r="N462">
        <v>435333695.4954955</v>
      </c>
      <c r="O462">
        <v>130224585.58558558</v>
      </c>
      <c r="P462">
        <v>157681171.17117116</v>
      </c>
      <c r="Q462">
        <v>228867358.55855855</v>
      </c>
      <c r="R462">
        <v>567124536.93693697</v>
      </c>
      <c r="S462">
        <v>9861</v>
      </c>
      <c r="T462">
        <v>8684</v>
      </c>
    </row>
    <row r="463" spans="1:20" x14ac:dyDescent="0.35">
      <c r="A463" s="7" t="s">
        <v>565</v>
      </c>
      <c r="B463" s="12" t="s">
        <v>564</v>
      </c>
      <c r="C463">
        <v>418687849.68882465</v>
      </c>
      <c r="D463">
        <v>424124926.88279045</v>
      </c>
      <c r="E463">
        <v>4845045.045045048</v>
      </c>
      <c r="F463">
        <v>7829279.2792792823</v>
      </c>
      <c r="G463">
        <v>145</v>
      </c>
      <c r="H463">
        <v>107</v>
      </c>
      <c r="K463">
        <v>155</v>
      </c>
      <c r="L463">
        <v>209</v>
      </c>
      <c r="M463">
        <v>41175091.891891889</v>
      </c>
      <c r="N463">
        <v>59734279.279279277</v>
      </c>
      <c r="O463">
        <v>173543477.47747746</v>
      </c>
      <c r="P463">
        <v>184136693.6936937</v>
      </c>
      <c r="Q463">
        <v>44700315.315315314</v>
      </c>
      <c r="R463">
        <v>62274009.009009011</v>
      </c>
      <c r="S463">
        <v>12242</v>
      </c>
      <c r="T463">
        <v>11115</v>
      </c>
    </row>
    <row r="464" spans="1:20" x14ac:dyDescent="0.35">
      <c r="A464" s="7" t="s">
        <v>566</v>
      </c>
      <c r="B464" s="12" t="s">
        <v>564</v>
      </c>
      <c r="C464">
        <v>303198820.35081249</v>
      </c>
      <c r="D464">
        <v>325897128.67517674</v>
      </c>
      <c r="E464">
        <v>4319781.9819819853</v>
      </c>
      <c r="F464">
        <v>5296658.5585585563</v>
      </c>
      <c r="G464">
        <v>280</v>
      </c>
      <c r="H464">
        <v>154</v>
      </c>
      <c r="K464">
        <v>358</v>
      </c>
      <c r="L464">
        <v>240</v>
      </c>
      <c r="M464">
        <v>35942928.828828834</v>
      </c>
      <c r="N464">
        <v>55942703.603603601</v>
      </c>
      <c r="O464">
        <v>135998396.3963964</v>
      </c>
      <c r="P464">
        <v>152330198.1981982</v>
      </c>
      <c r="Q464">
        <v>31877657.657657661</v>
      </c>
      <c r="R464">
        <v>53813423.423423424</v>
      </c>
      <c r="S464">
        <v>11374</v>
      </c>
      <c r="T464">
        <v>12306</v>
      </c>
    </row>
    <row r="465" spans="1:20" x14ac:dyDescent="0.35">
      <c r="A465" s="7" t="s">
        <v>567</v>
      </c>
      <c r="B465" s="12" t="s">
        <v>564</v>
      </c>
      <c r="C465">
        <v>200050813.66728485</v>
      </c>
      <c r="D465">
        <v>213197533.35194355</v>
      </c>
      <c r="E465">
        <v>2326126.1261261259</v>
      </c>
      <c r="F465">
        <v>4742792.7927927943</v>
      </c>
      <c r="G465">
        <v>20</v>
      </c>
      <c r="H465">
        <v>22</v>
      </c>
      <c r="K465">
        <v>28</v>
      </c>
      <c r="L465">
        <v>24</v>
      </c>
      <c r="M465">
        <v>34252178.378378376</v>
      </c>
      <c r="N465">
        <v>47049774.774774775</v>
      </c>
      <c r="O465">
        <v>118861855.85585585</v>
      </c>
      <c r="P465">
        <v>120019342.34234233</v>
      </c>
      <c r="Q465">
        <v>32407972.97297297</v>
      </c>
      <c r="R465">
        <v>48232117.117117122</v>
      </c>
      <c r="S465">
        <v>6364</v>
      </c>
      <c r="T465">
        <v>7367</v>
      </c>
    </row>
    <row r="466" spans="1:20" x14ac:dyDescent="0.35">
      <c r="A466" s="7" t="s">
        <v>568</v>
      </c>
      <c r="B466" s="12" t="s">
        <v>564</v>
      </c>
      <c r="C466">
        <v>117556611.10880056</v>
      </c>
      <c r="D466">
        <v>120597814.40615104</v>
      </c>
      <c r="E466">
        <v>37037837.837837838</v>
      </c>
      <c r="F466">
        <v>116953153.15315315</v>
      </c>
      <c r="G466">
        <v>33</v>
      </c>
      <c r="H466">
        <v>34</v>
      </c>
      <c r="I466">
        <v>2</v>
      </c>
      <c r="K466">
        <v>41</v>
      </c>
      <c r="L466">
        <v>36</v>
      </c>
      <c r="M466">
        <v>45297560.360360362</v>
      </c>
      <c r="N466">
        <v>52817117.117117122</v>
      </c>
      <c r="O466">
        <v>47641250.45045045</v>
      </c>
      <c r="P466">
        <v>52883207.20720721</v>
      </c>
      <c r="Q466">
        <v>22831531.531531528</v>
      </c>
      <c r="R466">
        <v>42757162.162162162</v>
      </c>
      <c r="S466">
        <v>4755</v>
      </c>
      <c r="T466">
        <v>4938</v>
      </c>
    </row>
    <row r="467" spans="1:20" x14ac:dyDescent="0.35">
      <c r="A467" s="7" t="s">
        <v>569</v>
      </c>
      <c r="B467" s="12" t="s">
        <v>49</v>
      </c>
      <c r="C467">
        <v>261353590.07460245</v>
      </c>
      <c r="D467">
        <v>287477228.62366945</v>
      </c>
      <c r="E467">
        <v>1236036.036036039</v>
      </c>
      <c r="F467">
        <v>1056756.7567567581</v>
      </c>
      <c r="G467">
        <v>11</v>
      </c>
      <c r="H467">
        <v>16</v>
      </c>
      <c r="K467">
        <v>13</v>
      </c>
      <c r="L467">
        <v>19</v>
      </c>
      <c r="M467">
        <v>11145945.945945948</v>
      </c>
      <c r="N467">
        <v>9615315.3153153155</v>
      </c>
      <c r="O467">
        <v>32778320.72072072</v>
      </c>
      <c r="P467">
        <v>38887268.468468472</v>
      </c>
      <c r="Q467">
        <v>10793333.333333332</v>
      </c>
      <c r="R467">
        <v>12533466.666666668</v>
      </c>
      <c r="S467">
        <v>5989</v>
      </c>
      <c r="T467">
        <v>6071</v>
      </c>
    </row>
    <row r="468" spans="1:20" x14ac:dyDescent="0.35">
      <c r="A468" s="7" t="s">
        <v>570</v>
      </c>
      <c r="B468" s="12" t="s">
        <v>170</v>
      </c>
      <c r="C468">
        <v>4121707284.3358755</v>
      </c>
      <c r="D468">
        <v>3042821123.4367447</v>
      </c>
      <c r="E468">
        <v>3329758095.4954958</v>
      </c>
      <c r="F468">
        <v>3372870209.9099102</v>
      </c>
      <c r="G468">
        <v>1300</v>
      </c>
      <c r="H468">
        <v>999</v>
      </c>
      <c r="I468">
        <v>10</v>
      </c>
      <c r="K468">
        <v>1757</v>
      </c>
      <c r="L468">
        <v>2325</v>
      </c>
      <c r="M468">
        <v>503772708.1081081</v>
      </c>
      <c r="N468">
        <v>654219121.62162161</v>
      </c>
      <c r="O468">
        <v>2757725905.405405</v>
      </c>
      <c r="P468">
        <v>3055255625.2252254</v>
      </c>
      <c r="Q468">
        <v>476712609.009009</v>
      </c>
      <c r="R468">
        <v>627392563.96396387</v>
      </c>
      <c r="S468">
        <v>59119</v>
      </c>
      <c r="T468">
        <v>58107</v>
      </c>
    </row>
    <row r="469" spans="1:20" x14ac:dyDescent="0.35">
      <c r="A469" s="7" t="s">
        <v>571</v>
      </c>
      <c r="B469" s="12" t="s">
        <v>221</v>
      </c>
      <c r="C469">
        <v>237690208.39015689</v>
      </c>
      <c r="D469">
        <v>242313473.24181247</v>
      </c>
      <c r="E469">
        <v>1236036.0360360381</v>
      </c>
      <c r="F469">
        <v>2084684.6846846831</v>
      </c>
      <c r="G469">
        <v>22</v>
      </c>
      <c r="H469">
        <v>24</v>
      </c>
      <c r="K469">
        <v>24</v>
      </c>
      <c r="L469">
        <v>26</v>
      </c>
      <c r="M469">
        <v>11977927.927927926</v>
      </c>
      <c r="N469">
        <v>20058648.648648649</v>
      </c>
      <c r="O469">
        <v>39895261.261261262</v>
      </c>
      <c r="P469">
        <v>44705854.054054059</v>
      </c>
      <c r="Q469">
        <v>10533243.24324324</v>
      </c>
      <c r="R469">
        <v>19170360.360360362</v>
      </c>
      <c r="S469">
        <v>4855</v>
      </c>
      <c r="T469">
        <v>5034</v>
      </c>
    </row>
    <row r="470" spans="1:20" x14ac:dyDescent="0.35">
      <c r="A470" s="7" t="s">
        <v>572</v>
      </c>
      <c r="B470" s="12" t="s">
        <v>86</v>
      </c>
      <c r="C470">
        <v>285663589.06549335</v>
      </c>
      <c r="D470">
        <v>322379418.89405137</v>
      </c>
      <c r="E470">
        <v>225225.22522522701</v>
      </c>
      <c r="F470">
        <v>1939639.63963964</v>
      </c>
      <c r="G470">
        <v>30</v>
      </c>
      <c r="H470">
        <v>9</v>
      </c>
      <c r="K470">
        <v>32</v>
      </c>
      <c r="L470">
        <v>9</v>
      </c>
      <c r="M470">
        <v>21164042.342342347</v>
      </c>
      <c r="N470">
        <v>66780270.270270273</v>
      </c>
      <c r="O470">
        <v>65982187.387387387</v>
      </c>
      <c r="P470">
        <v>83486749.54954955</v>
      </c>
      <c r="Q470">
        <v>17568648.648648653</v>
      </c>
      <c r="R470">
        <v>53601981.981981985</v>
      </c>
      <c r="S470">
        <v>4980</v>
      </c>
      <c r="T470">
        <v>5118</v>
      </c>
    </row>
    <row r="471" spans="1:20" x14ac:dyDescent="0.35">
      <c r="A471" s="7" t="s">
        <v>573</v>
      </c>
      <c r="B471" s="12" t="s">
        <v>480</v>
      </c>
      <c r="C471">
        <v>153429625.79238948</v>
      </c>
      <c r="D471">
        <v>137979659.85506967</v>
      </c>
      <c r="E471">
        <v>2456756.7567567611</v>
      </c>
      <c r="F471">
        <v>2922522.5225225259</v>
      </c>
      <c r="G471">
        <v>95</v>
      </c>
      <c r="H471">
        <v>65</v>
      </c>
      <c r="K471">
        <v>124</v>
      </c>
      <c r="L471">
        <v>77</v>
      </c>
      <c r="M471">
        <v>25981081.081081085</v>
      </c>
      <c r="N471">
        <v>40036036.036036037</v>
      </c>
      <c r="O471">
        <v>62743120.720720723</v>
      </c>
      <c r="P471">
        <v>62149396.396396399</v>
      </c>
      <c r="Q471">
        <v>23880360.360360362</v>
      </c>
      <c r="R471">
        <v>38756666.666666672</v>
      </c>
      <c r="S471">
        <v>5158</v>
      </c>
      <c r="T471">
        <v>5252</v>
      </c>
    </row>
    <row r="472" spans="1:20" x14ac:dyDescent="0.35">
      <c r="A472" s="7" t="s">
        <v>574</v>
      </c>
      <c r="B472" s="12" t="s">
        <v>95</v>
      </c>
      <c r="C472">
        <v>393527876.90600902</v>
      </c>
      <c r="D472">
        <v>425445673.60986692</v>
      </c>
      <c r="E472">
        <v>2304504.5045045041</v>
      </c>
      <c r="F472">
        <v>3282882.8828828861</v>
      </c>
      <c r="G472">
        <v>70</v>
      </c>
      <c r="H472">
        <v>107</v>
      </c>
      <c r="K472">
        <v>93</v>
      </c>
      <c r="L472">
        <v>244</v>
      </c>
      <c r="M472">
        <v>845646846.84684682</v>
      </c>
      <c r="N472">
        <v>29764864.864864863</v>
      </c>
      <c r="O472">
        <v>86852955.405405402</v>
      </c>
      <c r="P472">
        <v>98321331.531531543</v>
      </c>
      <c r="Q472">
        <v>32338558.558558561</v>
      </c>
      <c r="R472">
        <v>30756036.036036037</v>
      </c>
      <c r="S472">
        <v>9630</v>
      </c>
      <c r="T472">
        <v>9953</v>
      </c>
    </row>
    <row r="473" spans="1:20" x14ac:dyDescent="0.35">
      <c r="A473" s="7" t="s">
        <v>575</v>
      </c>
      <c r="B473" s="12" t="s">
        <v>308</v>
      </c>
      <c r="C473">
        <v>906542015.5914284</v>
      </c>
      <c r="D473">
        <v>927490303.04218662</v>
      </c>
      <c r="E473">
        <v>17731261.261261273</v>
      </c>
      <c r="F473">
        <v>14903153.153153148</v>
      </c>
      <c r="G473">
        <v>379</v>
      </c>
      <c r="H473">
        <v>371</v>
      </c>
      <c r="I473">
        <v>4</v>
      </c>
      <c r="K473">
        <v>462</v>
      </c>
      <c r="L473">
        <v>468</v>
      </c>
      <c r="M473">
        <v>946883648.64864874</v>
      </c>
      <c r="N473">
        <v>255179909.90990993</v>
      </c>
      <c r="O473">
        <v>363948840.990991</v>
      </c>
      <c r="P473">
        <v>391084675.67567563</v>
      </c>
      <c r="Q473">
        <v>204577792.7927928</v>
      </c>
      <c r="R473">
        <v>138822162.16216215</v>
      </c>
      <c r="S473">
        <v>33087</v>
      </c>
      <c r="T473">
        <v>33477</v>
      </c>
    </row>
    <row r="474" spans="1:20" x14ac:dyDescent="0.35">
      <c r="A474" s="7" t="s">
        <v>10</v>
      </c>
      <c r="B474" s="12" t="s">
        <v>194</v>
      </c>
      <c r="C474">
        <v>144935794.30772361</v>
      </c>
      <c r="D474">
        <v>146486788.12023684</v>
      </c>
      <c r="G474">
        <v>22</v>
      </c>
      <c r="H474">
        <v>13</v>
      </c>
      <c r="K474">
        <v>23</v>
      </c>
      <c r="L474">
        <v>14</v>
      </c>
      <c r="O474">
        <v>87458349.54954955</v>
      </c>
      <c r="P474">
        <v>87277891.891891882</v>
      </c>
      <c r="Q474">
        <v>19639.639639640001</v>
      </c>
      <c r="R474">
        <v>527387.38738738699</v>
      </c>
      <c r="S474">
        <v>3604</v>
      </c>
      <c r="T474">
        <v>3745</v>
      </c>
    </row>
    <row r="475" spans="1:20" x14ac:dyDescent="0.35">
      <c r="A475" s="7" t="s">
        <v>576</v>
      </c>
      <c r="B475" s="12" t="s">
        <v>88</v>
      </c>
      <c r="C475">
        <v>3260605.1159844901</v>
      </c>
      <c r="D475">
        <v>3735532.4037408209</v>
      </c>
      <c r="G475">
        <v>16</v>
      </c>
      <c r="H475">
        <v>6</v>
      </c>
      <c r="K475">
        <v>18</v>
      </c>
      <c r="L475">
        <v>6</v>
      </c>
      <c r="O475">
        <v>1135872.072072072</v>
      </c>
      <c r="P475">
        <v>1391171.1711711709</v>
      </c>
      <c r="S475">
        <v>242</v>
      </c>
      <c r="T475">
        <v>194</v>
      </c>
    </row>
    <row r="476" spans="1:20" x14ac:dyDescent="0.35">
      <c r="A476" s="7" t="s">
        <v>577</v>
      </c>
      <c r="B476" s="12" t="s">
        <v>284</v>
      </c>
      <c r="C476">
        <v>201296177.08130926</v>
      </c>
      <c r="D476">
        <v>211110642.11187574</v>
      </c>
      <c r="E476">
        <v>323423.42342342302</v>
      </c>
      <c r="F476">
        <v>409009.00900900899</v>
      </c>
      <c r="G476">
        <v>24</v>
      </c>
      <c r="H476">
        <v>10</v>
      </c>
      <c r="I476">
        <v>1</v>
      </c>
      <c r="K476">
        <v>27</v>
      </c>
      <c r="L476">
        <v>14</v>
      </c>
      <c r="M476">
        <v>16143243.243243244</v>
      </c>
      <c r="N476">
        <v>19021621.62162162</v>
      </c>
      <c r="O476">
        <v>31954702.702702705</v>
      </c>
      <c r="P476">
        <v>34231324.324324325</v>
      </c>
      <c r="Q476">
        <v>15958018.01801802</v>
      </c>
      <c r="R476">
        <v>16467207.207207208</v>
      </c>
      <c r="S476">
        <v>3566</v>
      </c>
      <c r="T476">
        <v>3582</v>
      </c>
    </row>
    <row r="477" spans="1:20" x14ac:dyDescent="0.35">
      <c r="A477" s="7" t="s">
        <v>578</v>
      </c>
      <c r="B477" s="12" t="s">
        <v>308</v>
      </c>
      <c r="C477">
        <v>859000733.69400156</v>
      </c>
      <c r="D477">
        <v>903907835.57365489</v>
      </c>
      <c r="E477">
        <v>8220270.270270275</v>
      </c>
      <c r="F477">
        <v>13704954.954954952</v>
      </c>
      <c r="G477">
        <v>383</v>
      </c>
      <c r="H477">
        <v>272</v>
      </c>
      <c r="K477">
        <v>461</v>
      </c>
      <c r="L477">
        <v>341</v>
      </c>
      <c r="M477">
        <v>122193963.96396397</v>
      </c>
      <c r="N477">
        <v>225002529.72972974</v>
      </c>
      <c r="O477">
        <v>363601000</v>
      </c>
      <c r="P477">
        <v>381142385.58558559</v>
      </c>
      <c r="Q477">
        <v>99868738.738738731</v>
      </c>
      <c r="R477">
        <v>101088468.46846846</v>
      </c>
      <c r="S477">
        <v>37816</v>
      </c>
      <c r="T477">
        <v>39279</v>
      </c>
    </row>
    <row r="478" spans="1:20" x14ac:dyDescent="0.35">
      <c r="A478" s="7" t="s">
        <v>579</v>
      </c>
      <c r="B478" s="12" t="s">
        <v>331</v>
      </c>
      <c r="C478">
        <v>806308251.57507503</v>
      </c>
      <c r="D478">
        <v>817092828.95268285</v>
      </c>
      <c r="E478">
        <v>7690540.5405405452</v>
      </c>
      <c r="F478">
        <v>5479279.2792792851</v>
      </c>
      <c r="G478">
        <v>310</v>
      </c>
      <c r="H478">
        <v>277</v>
      </c>
      <c r="I478">
        <v>14</v>
      </c>
      <c r="K478">
        <v>385</v>
      </c>
      <c r="L478">
        <v>354</v>
      </c>
      <c r="M478">
        <v>148070270.27027026</v>
      </c>
      <c r="N478">
        <v>87721801.801801801</v>
      </c>
      <c r="O478">
        <v>176593207.2072072</v>
      </c>
      <c r="P478">
        <v>184279457.65765765</v>
      </c>
      <c r="Q478">
        <v>135568288.2882883</v>
      </c>
      <c r="R478">
        <v>85760180.180180192</v>
      </c>
      <c r="S478">
        <v>27836</v>
      </c>
      <c r="T478">
        <v>28643</v>
      </c>
    </row>
    <row r="479" spans="1:20" x14ac:dyDescent="0.35">
      <c r="A479" s="7" t="s">
        <v>580</v>
      </c>
      <c r="B479" s="12" t="s">
        <v>67</v>
      </c>
      <c r="C479">
        <v>123276911.12105143</v>
      </c>
      <c r="D479">
        <v>121443176.37763911</v>
      </c>
      <c r="E479">
        <v>337837.83783783799</v>
      </c>
      <c r="F479">
        <v>69369.369369369</v>
      </c>
      <c r="G479">
        <v>19</v>
      </c>
      <c r="H479">
        <v>10</v>
      </c>
      <c r="K479">
        <v>21</v>
      </c>
      <c r="L479">
        <v>11</v>
      </c>
      <c r="M479">
        <v>4116216.2162162159</v>
      </c>
      <c r="N479">
        <v>2548198.1981981941</v>
      </c>
      <c r="O479">
        <v>32676662.162162159</v>
      </c>
      <c r="P479">
        <v>30581423.423423424</v>
      </c>
      <c r="Q479">
        <v>3383693.6936936919</v>
      </c>
      <c r="R479">
        <v>3112162.1621621582</v>
      </c>
      <c r="S479">
        <v>3367</v>
      </c>
      <c r="T479">
        <v>3273</v>
      </c>
    </row>
    <row r="480" spans="1:20" x14ac:dyDescent="0.35">
      <c r="A480" s="7" t="s">
        <v>581</v>
      </c>
      <c r="B480" s="12" t="s">
        <v>237</v>
      </c>
      <c r="C480">
        <v>12011.332970474001</v>
      </c>
      <c r="D480">
        <v>29967.210575399</v>
      </c>
      <c r="P480">
        <v>34234.234234233998</v>
      </c>
    </row>
    <row r="481" spans="1:20" x14ac:dyDescent="0.35">
      <c r="A481" s="7" t="s">
        <v>582</v>
      </c>
      <c r="B481" s="12" t="s">
        <v>63</v>
      </c>
      <c r="C481">
        <v>318145859.37228817</v>
      </c>
      <c r="D481">
        <v>329352504.87339628</v>
      </c>
      <c r="E481">
        <v>3136036.0360360462</v>
      </c>
      <c r="F481">
        <v>1663063.063063066</v>
      </c>
      <c r="G481">
        <v>188</v>
      </c>
      <c r="H481">
        <v>39</v>
      </c>
      <c r="K481">
        <v>190</v>
      </c>
      <c r="L481">
        <v>77</v>
      </c>
      <c r="M481">
        <v>29878378.378378376</v>
      </c>
      <c r="N481">
        <v>31447207.207207207</v>
      </c>
      <c r="O481">
        <v>72454306.306306303</v>
      </c>
      <c r="P481">
        <v>82472216.216216207</v>
      </c>
      <c r="Q481">
        <v>29200180.180180181</v>
      </c>
      <c r="R481">
        <v>29636936.936936937</v>
      </c>
      <c r="S481">
        <v>6746</v>
      </c>
      <c r="T481">
        <v>6782</v>
      </c>
    </row>
    <row r="482" spans="1:20" x14ac:dyDescent="0.35">
      <c r="A482" s="7" t="s">
        <v>583</v>
      </c>
      <c r="B482" s="12" t="s">
        <v>49</v>
      </c>
      <c r="C482">
        <v>290321566.33866203</v>
      </c>
      <c r="D482">
        <v>276305492.11752868</v>
      </c>
      <c r="E482">
        <v>1428423.4234234239</v>
      </c>
      <c r="F482">
        <v>4161261.261261262</v>
      </c>
      <c r="G482">
        <v>43</v>
      </c>
      <c r="H482">
        <v>6</v>
      </c>
      <c r="K482">
        <v>44</v>
      </c>
      <c r="L482">
        <v>11</v>
      </c>
      <c r="M482">
        <v>93963873.873873875</v>
      </c>
      <c r="N482">
        <v>29661261.261261258</v>
      </c>
      <c r="O482">
        <v>42978090.090090089</v>
      </c>
      <c r="P482">
        <v>47503243.24324324</v>
      </c>
      <c r="Q482">
        <v>85200000</v>
      </c>
      <c r="R482">
        <v>58856036.036036029</v>
      </c>
      <c r="S482">
        <v>5229</v>
      </c>
      <c r="T482">
        <v>7433</v>
      </c>
    </row>
    <row r="483" spans="1:20" x14ac:dyDescent="0.35">
      <c r="A483" s="7" t="s">
        <v>584</v>
      </c>
      <c r="B483" s="12" t="s">
        <v>55</v>
      </c>
      <c r="C483">
        <v>57214488.488847598</v>
      </c>
      <c r="D483">
        <v>56420613.5223516</v>
      </c>
      <c r="E483">
        <v>550450.45045045298</v>
      </c>
      <c r="F483">
        <v>2186936.9369369382</v>
      </c>
      <c r="G483">
        <v>21</v>
      </c>
      <c r="H483">
        <v>49</v>
      </c>
      <c r="K483">
        <v>42</v>
      </c>
      <c r="L483">
        <v>155</v>
      </c>
      <c r="M483">
        <v>9040630.6306306291</v>
      </c>
      <c r="N483">
        <v>14646936.936936935</v>
      </c>
      <c r="O483">
        <v>14958353.603603603</v>
      </c>
      <c r="P483">
        <v>16846774.774774775</v>
      </c>
      <c r="Q483">
        <v>8368558.558558559</v>
      </c>
      <c r="R483">
        <v>11205405.405405404</v>
      </c>
      <c r="S483">
        <v>1985</v>
      </c>
      <c r="T483">
        <v>1997</v>
      </c>
    </row>
    <row r="484" spans="1:20" x14ac:dyDescent="0.35">
      <c r="A484" s="7" t="s">
        <v>585</v>
      </c>
      <c r="B484" s="12" t="s">
        <v>71</v>
      </c>
      <c r="C484">
        <v>147684561.26719213</v>
      </c>
      <c r="D484">
        <v>142660839.90693045</v>
      </c>
      <c r="E484">
        <v>102702.702702703</v>
      </c>
      <c r="F484">
        <v>854954.95495495596</v>
      </c>
      <c r="G484">
        <v>36</v>
      </c>
      <c r="H484">
        <v>11</v>
      </c>
      <c r="I484">
        <v>2</v>
      </c>
      <c r="K484">
        <v>40</v>
      </c>
      <c r="L484">
        <v>14</v>
      </c>
      <c r="M484">
        <v>1590990.9909909931</v>
      </c>
      <c r="N484">
        <v>3404504.5045045032</v>
      </c>
      <c r="O484">
        <v>66810909.909909911</v>
      </c>
      <c r="P484">
        <v>65448936.936936937</v>
      </c>
      <c r="Q484">
        <v>1812612.6126126139</v>
      </c>
      <c r="R484">
        <v>2651351.3513513501</v>
      </c>
      <c r="S484">
        <v>3622</v>
      </c>
      <c r="T484">
        <v>3657</v>
      </c>
    </row>
    <row r="485" spans="1:20" x14ac:dyDescent="0.35">
      <c r="A485" s="7" t="s">
        <v>586</v>
      </c>
      <c r="B485" s="12" t="s">
        <v>331</v>
      </c>
      <c r="C485">
        <v>545064546.2480011</v>
      </c>
      <c r="D485">
        <v>530752728.65770477</v>
      </c>
      <c r="E485">
        <v>5559459.4594594594</v>
      </c>
      <c r="F485">
        <v>2313513.5135135199</v>
      </c>
      <c r="G485">
        <v>233</v>
      </c>
      <c r="H485">
        <v>228</v>
      </c>
      <c r="K485">
        <v>286</v>
      </c>
      <c r="L485">
        <v>271</v>
      </c>
      <c r="M485">
        <v>59772072.072072074</v>
      </c>
      <c r="N485">
        <v>47252027.027027026</v>
      </c>
      <c r="O485">
        <v>139017120.72072071</v>
      </c>
      <c r="P485">
        <v>141982924.32432431</v>
      </c>
      <c r="Q485">
        <v>56372162.162162162</v>
      </c>
      <c r="R485">
        <v>51885450.45045045</v>
      </c>
      <c r="S485">
        <v>20000</v>
      </c>
      <c r="T485">
        <v>19991</v>
      </c>
    </row>
    <row r="486" spans="1:20" x14ac:dyDescent="0.35">
      <c r="A486" s="7" t="s">
        <v>587</v>
      </c>
      <c r="B486" s="12" t="s">
        <v>67</v>
      </c>
      <c r="C486">
        <v>262198406.37122968</v>
      </c>
      <c r="D486">
        <v>284274238.003452</v>
      </c>
      <c r="E486">
        <v>711642336.93693697</v>
      </c>
      <c r="F486">
        <v>728171911.71171176</v>
      </c>
      <c r="G486">
        <v>132</v>
      </c>
      <c r="H486">
        <v>95</v>
      </c>
      <c r="K486">
        <v>258</v>
      </c>
      <c r="L486">
        <v>104</v>
      </c>
      <c r="M486">
        <v>75719594.594594598</v>
      </c>
      <c r="N486">
        <v>163241915.31531534</v>
      </c>
      <c r="O486">
        <v>129491054.05405405</v>
      </c>
      <c r="P486">
        <v>143875531.53153154</v>
      </c>
      <c r="Q486">
        <v>57306531.531531528</v>
      </c>
      <c r="R486">
        <v>41719954.954954952</v>
      </c>
      <c r="S486">
        <v>10658</v>
      </c>
      <c r="T486">
        <v>10764</v>
      </c>
    </row>
    <row r="487" spans="1:20" x14ac:dyDescent="0.35">
      <c r="A487" s="7" t="s">
        <v>11</v>
      </c>
      <c r="B487" s="12" t="s">
        <v>194</v>
      </c>
      <c r="C487">
        <v>125178321.80425437</v>
      </c>
      <c r="D487">
        <v>118792779.77663475</v>
      </c>
      <c r="E487">
        <v>130630.63063063299</v>
      </c>
      <c r="F487">
        <v>20720.720720721001</v>
      </c>
      <c r="G487">
        <v>28</v>
      </c>
      <c r="H487">
        <v>26</v>
      </c>
      <c r="K487">
        <v>34</v>
      </c>
      <c r="L487">
        <v>28</v>
      </c>
      <c r="M487">
        <v>2563063.0630630651</v>
      </c>
      <c r="N487">
        <v>3083783.7837837841</v>
      </c>
      <c r="O487">
        <v>42493200.45045045</v>
      </c>
      <c r="P487">
        <v>46762900.900900893</v>
      </c>
      <c r="Q487">
        <v>3125315.315315316</v>
      </c>
      <c r="R487">
        <v>2456486.4864864871</v>
      </c>
      <c r="S487">
        <v>3929</v>
      </c>
      <c r="T487">
        <v>4012</v>
      </c>
    </row>
    <row r="488" spans="1:20" x14ac:dyDescent="0.35">
      <c r="A488" s="7" t="s">
        <v>12</v>
      </c>
      <c r="B488" s="12" t="s">
        <v>194</v>
      </c>
      <c r="C488">
        <v>81205751.154581204</v>
      </c>
      <c r="D488">
        <v>78193428.228523716</v>
      </c>
      <c r="E488">
        <v>3270270.2702702722</v>
      </c>
      <c r="F488">
        <v>140540.540540541</v>
      </c>
      <c r="G488">
        <v>14</v>
      </c>
      <c r="H488">
        <v>12</v>
      </c>
      <c r="K488">
        <v>14</v>
      </c>
      <c r="L488">
        <v>16</v>
      </c>
      <c r="M488">
        <v>6873873.8738738736</v>
      </c>
      <c r="N488">
        <v>590990.99099099101</v>
      </c>
      <c r="O488">
        <v>32250378.37837838</v>
      </c>
      <c r="P488">
        <v>34147855.855855852</v>
      </c>
      <c r="Q488">
        <v>8173153.1531531531</v>
      </c>
      <c r="R488">
        <v>2693333.333333333</v>
      </c>
      <c r="S488">
        <v>2933</v>
      </c>
      <c r="T488">
        <v>3177</v>
      </c>
    </row>
    <row r="489" spans="1:20" x14ac:dyDescent="0.35">
      <c r="A489" s="7" t="s">
        <v>588</v>
      </c>
      <c r="B489" s="12" t="s">
        <v>61</v>
      </c>
      <c r="C489">
        <v>67909283.672684669</v>
      </c>
      <c r="D489">
        <v>67714341.054107681</v>
      </c>
      <c r="E489">
        <v>525225.22522522497</v>
      </c>
      <c r="F489">
        <v>1646846.846846849</v>
      </c>
      <c r="G489">
        <v>22</v>
      </c>
      <c r="H489">
        <v>20</v>
      </c>
      <c r="I489">
        <v>2</v>
      </c>
      <c r="K489">
        <v>37</v>
      </c>
      <c r="L489">
        <v>41</v>
      </c>
      <c r="M489">
        <v>11579279.27927928</v>
      </c>
      <c r="N489">
        <v>14520720.72072072</v>
      </c>
      <c r="O489">
        <v>25068371.62162162</v>
      </c>
      <c r="P489">
        <v>26042637.837837841</v>
      </c>
      <c r="Q489">
        <v>11111531.531531531</v>
      </c>
      <c r="R489">
        <v>12517070.270270268</v>
      </c>
      <c r="S489">
        <v>1801</v>
      </c>
      <c r="T489">
        <v>1887</v>
      </c>
    </row>
    <row r="490" spans="1:20" x14ac:dyDescent="0.35">
      <c r="A490" s="7" t="s">
        <v>589</v>
      </c>
      <c r="B490" s="12" t="s">
        <v>308</v>
      </c>
      <c r="C490">
        <v>1880457335.310842</v>
      </c>
      <c r="D490">
        <v>1895666913.8630409</v>
      </c>
      <c r="E490">
        <v>1716101901.8018017</v>
      </c>
      <c r="F490">
        <v>1264816635.1351352</v>
      </c>
      <c r="G490">
        <v>860</v>
      </c>
      <c r="H490">
        <v>500</v>
      </c>
      <c r="I490">
        <v>2</v>
      </c>
      <c r="K490">
        <v>1031</v>
      </c>
      <c r="L490">
        <v>631</v>
      </c>
      <c r="M490">
        <v>495810360.36036038</v>
      </c>
      <c r="N490">
        <v>501020135.13513511</v>
      </c>
      <c r="O490">
        <v>601621797.29729724</v>
      </c>
      <c r="P490">
        <v>634915468.46846843</v>
      </c>
      <c r="Q490">
        <v>380884054.05405408</v>
      </c>
      <c r="R490">
        <v>324397657.65765768</v>
      </c>
      <c r="S490">
        <v>64048</v>
      </c>
      <c r="T490">
        <v>63069</v>
      </c>
    </row>
    <row r="491" spans="1:20" x14ac:dyDescent="0.35">
      <c r="A491" s="7" t="s">
        <v>590</v>
      </c>
      <c r="B491" s="12" t="s">
        <v>53</v>
      </c>
      <c r="C491">
        <v>448554775.60715169</v>
      </c>
      <c r="D491">
        <v>474080578.16114688</v>
      </c>
      <c r="E491">
        <v>8456829.7297297344</v>
      </c>
      <c r="F491">
        <v>12701351.351351356</v>
      </c>
      <c r="G491">
        <v>103</v>
      </c>
      <c r="H491">
        <v>249</v>
      </c>
      <c r="K491">
        <v>216</v>
      </c>
      <c r="L491">
        <v>352</v>
      </c>
      <c r="M491">
        <v>135571297.2972973</v>
      </c>
      <c r="N491">
        <v>195629279.27927929</v>
      </c>
      <c r="O491">
        <v>181853468.46846849</v>
      </c>
      <c r="P491">
        <v>200170000</v>
      </c>
      <c r="Q491">
        <v>148988063.06306309</v>
      </c>
      <c r="R491">
        <v>185000540.54054055</v>
      </c>
      <c r="S491">
        <v>13991</v>
      </c>
      <c r="T491">
        <v>14123</v>
      </c>
    </row>
    <row r="492" spans="1:20" x14ac:dyDescent="0.35">
      <c r="A492" s="7" t="s">
        <v>591</v>
      </c>
      <c r="B492" s="12" t="s">
        <v>55</v>
      </c>
      <c r="C492">
        <v>38652661.008442536</v>
      </c>
      <c r="D492">
        <v>37296570.388494611</v>
      </c>
      <c r="E492">
        <v>681081.08108108095</v>
      </c>
      <c r="F492">
        <v>1781081.0810810821</v>
      </c>
      <c r="G492">
        <v>17</v>
      </c>
      <c r="H492">
        <v>32</v>
      </c>
      <c r="K492">
        <v>20</v>
      </c>
      <c r="L492">
        <v>40</v>
      </c>
      <c r="M492">
        <v>6086486.4864864862</v>
      </c>
      <c r="N492">
        <v>5886936.9369369382</v>
      </c>
      <c r="O492">
        <v>12023585.585585587</v>
      </c>
      <c r="P492">
        <v>13214166.666666668</v>
      </c>
      <c r="Q492">
        <v>6563243.2432432454</v>
      </c>
      <c r="R492">
        <v>8351351.3513513496</v>
      </c>
      <c r="S492">
        <v>1584</v>
      </c>
      <c r="T492">
        <v>1635</v>
      </c>
    </row>
    <row r="493" spans="1:20" x14ac:dyDescent="0.35">
      <c r="A493" s="7" t="s">
        <v>592</v>
      </c>
      <c r="B493" s="12" t="s">
        <v>170</v>
      </c>
      <c r="C493">
        <v>1092866654.7796056</v>
      </c>
      <c r="D493">
        <v>1098940862.6853452</v>
      </c>
      <c r="E493">
        <v>6803378.378378381</v>
      </c>
      <c r="F493">
        <v>19828200.000000007</v>
      </c>
      <c r="G493">
        <v>88</v>
      </c>
      <c r="H493">
        <v>99</v>
      </c>
      <c r="I493">
        <v>2</v>
      </c>
      <c r="K493">
        <v>104</v>
      </c>
      <c r="L493">
        <v>133</v>
      </c>
      <c r="M493">
        <v>213742340.54054055</v>
      </c>
      <c r="N493">
        <v>238826668.46846849</v>
      </c>
      <c r="O493">
        <v>369401977.47747749</v>
      </c>
      <c r="P493">
        <v>396484828.82882881</v>
      </c>
      <c r="Q493">
        <v>190133693.6936937</v>
      </c>
      <c r="R493">
        <v>176636756.75675678</v>
      </c>
      <c r="S493">
        <v>23753</v>
      </c>
      <c r="T493">
        <v>23195</v>
      </c>
    </row>
    <row r="494" spans="1:20" x14ac:dyDescent="0.35">
      <c r="A494" s="7" t="s">
        <v>593</v>
      </c>
      <c r="B494" s="12" t="s">
        <v>88</v>
      </c>
      <c r="C494">
        <v>5497747.8183719646</v>
      </c>
      <c r="D494">
        <v>4850149.6621529358</v>
      </c>
      <c r="G494">
        <v>2</v>
      </c>
      <c r="K494">
        <v>2</v>
      </c>
      <c r="O494">
        <v>1453828.8288288291</v>
      </c>
      <c r="P494">
        <v>2040045.045045045</v>
      </c>
      <c r="S494">
        <v>291</v>
      </c>
      <c r="T494">
        <v>244</v>
      </c>
    </row>
    <row r="495" spans="1:20" x14ac:dyDescent="0.35">
      <c r="A495" s="7" t="s">
        <v>594</v>
      </c>
      <c r="B495" s="12" t="s">
        <v>144</v>
      </c>
      <c r="C495">
        <v>78439580.863087773</v>
      </c>
      <c r="D495">
        <v>77086350.652482018</v>
      </c>
      <c r="E495">
        <v>199099.099099101</v>
      </c>
      <c r="F495">
        <v>121621.621621623</v>
      </c>
      <c r="G495">
        <v>26</v>
      </c>
      <c r="H495">
        <v>3</v>
      </c>
      <c r="K495">
        <v>27</v>
      </c>
      <c r="L495">
        <v>3</v>
      </c>
      <c r="M495">
        <v>8577477.4774774797</v>
      </c>
      <c r="N495">
        <v>6788288.2882882887</v>
      </c>
      <c r="O495">
        <v>8572333.3333333321</v>
      </c>
      <c r="P495">
        <v>8290540.5405405397</v>
      </c>
      <c r="Q495">
        <v>4168558.55855856</v>
      </c>
      <c r="R495">
        <v>4226666.666666667</v>
      </c>
      <c r="S495">
        <v>1602</v>
      </c>
      <c r="T495">
        <v>1545</v>
      </c>
    </row>
    <row r="496" spans="1:20" x14ac:dyDescent="0.35">
      <c r="A496" s="7" t="s">
        <v>595</v>
      </c>
      <c r="B496" s="12" t="s">
        <v>291</v>
      </c>
      <c r="C496">
        <v>20446832.712198064</v>
      </c>
      <c r="D496">
        <v>20045759.648554593</v>
      </c>
      <c r="E496">
        <v>139142061.26126125</v>
      </c>
      <c r="F496">
        <v>132637990.990991</v>
      </c>
      <c r="G496">
        <v>1</v>
      </c>
      <c r="H496">
        <v>10</v>
      </c>
      <c r="K496">
        <v>1</v>
      </c>
      <c r="L496">
        <v>12</v>
      </c>
      <c r="M496">
        <v>19256480.180180181</v>
      </c>
      <c r="N496">
        <v>20384922.52252252</v>
      </c>
      <c r="O496">
        <v>1238243.2432432431</v>
      </c>
      <c r="P496">
        <v>1178288.2882882881</v>
      </c>
      <c r="S496">
        <v>684</v>
      </c>
      <c r="T496">
        <v>775</v>
      </c>
    </row>
    <row r="497" spans="1:20" x14ac:dyDescent="0.35">
      <c r="A497" s="7" t="s">
        <v>596</v>
      </c>
      <c r="B497" s="12" t="s">
        <v>93</v>
      </c>
      <c r="C497">
        <v>26820457.298334602</v>
      </c>
      <c r="D497">
        <v>27567941.395400625</v>
      </c>
      <c r="E497">
        <v>1308108.1081081079</v>
      </c>
      <c r="F497">
        <v>1434684.684684684</v>
      </c>
      <c r="G497">
        <v>18</v>
      </c>
      <c r="H497">
        <v>8</v>
      </c>
      <c r="K497">
        <v>18</v>
      </c>
      <c r="L497">
        <v>9</v>
      </c>
      <c r="M497">
        <v>3542342.3423423418</v>
      </c>
      <c r="N497">
        <v>6444594.5945945941</v>
      </c>
      <c r="O497">
        <v>4889090.0900900904</v>
      </c>
      <c r="P497">
        <v>5051747.7477477482</v>
      </c>
      <c r="Q497">
        <v>3752342.3423423432</v>
      </c>
      <c r="R497">
        <v>6353603.6036036033</v>
      </c>
      <c r="S497">
        <v>716</v>
      </c>
      <c r="T497">
        <v>1256</v>
      </c>
    </row>
    <row r="498" spans="1:20" x14ac:dyDescent="0.35">
      <c r="A498" s="7" t="s">
        <v>597</v>
      </c>
      <c r="B498" s="12" t="s">
        <v>51</v>
      </c>
      <c r="C498">
        <v>93469220.359569609</v>
      </c>
      <c r="D498">
        <v>96540310.284065589</v>
      </c>
      <c r="E498">
        <v>2499774.7747747749</v>
      </c>
      <c r="F498">
        <v>1004504.504504506</v>
      </c>
      <c r="G498">
        <v>10</v>
      </c>
      <c r="H498">
        <v>8</v>
      </c>
      <c r="K498">
        <v>10</v>
      </c>
      <c r="L498">
        <v>10</v>
      </c>
      <c r="M498">
        <v>12519729.729729729</v>
      </c>
      <c r="N498">
        <v>4285225.2252252251</v>
      </c>
      <c r="O498">
        <v>20181753.153153151</v>
      </c>
      <c r="P498">
        <v>21551477.477477476</v>
      </c>
      <c r="Q498">
        <v>11493333.333333332</v>
      </c>
      <c r="R498">
        <v>7115585.5855855839</v>
      </c>
      <c r="S498">
        <v>1659</v>
      </c>
      <c r="T498">
        <v>1582</v>
      </c>
    </row>
    <row r="499" spans="1:20" x14ac:dyDescent="0.35">
      <c r="A499" s="7" t="s">
        <v>598</v>
      </c>
      <c r="B499" s="12" t="s">
        <v>90</v>
      </c>
      <c r="C499">
        <v>143806366.19091845</v>
      </c>
      <c r="D499">
        <v>148878922.80215314</v>
      </c>
      <c r="E499">
        <v>1979279.279279283</v>
      </c>
      <c r="F499">
        <v>3509909.9099099138</v>
      </c>
      <c r="G499">
        <v>32</v>
      </c>
      <c r="H499">
        <v>45</v>
      </c>
      <c r="I499">
        <v>1</v>
      </c>
      <c r="K499">
        <v>180</v>
      </c>
      <c r="L499">
        <v>49</v>
      </c>
      <c r="M499">
        <v>12533693.693693692</v>
      </c>
      <c r="N499">
        <v>29516216.21621621</v>
      </c>
      <c r="O499">
        <v>34992432.432432435</v>
      </c>
      <c r="P499">
        <v>41392432.432432435</v>
      </c>
      <c r="Q499">
        <v>11108558.558558553</v>
      </c>
      <c r="R499">
        <v>28939189.189189192</v>
      </c>
      <c r="S499">
        <v>3582</v>
      </c>
      <c r="T499">
        <v>4367</v>
      </c>
    </row>
    <row r="500" spans="1:20" x14ac:dyDescent="0.35">
      <c r="A500" s="7" t="s">
        <v>599</v>
      </c>
      <c r="B500" s="12" t="s">
        <v>144</v>
      </c>
      <c r="C500">
        <v>55752674.240974113</v>
      </c>
      <c r="D500">
        <v>53782468.991689615</v>
      </c>
      <c r="E500">
        <v>1199099.0990991001</v>
      </c>
      <c r="F500">
        <v>234234.234234234</v>
      </c>
      <c r="G500">
        <v>3</v>
      </c>
      <c r="H500">
        <v>2</v>
      </c>
      <c r="K500">
        <v>3</v>
      </c>
      <c r="L500">
        <v>3</v>
      </c>
      <c r="M500">
        <v>6154054.0540540544</v>
      </c>
      <c r="N500">
        <v>2486486.4864864862</v>
      </c>
      <c r="O500">
        <v>5495774.7747747749</v>
      </c>
      <c r="P500">
        <v>5163621.6216216208</v>
      </c>
      <c r="Q500">
        <v>4008378.3783783782</v>
      </c>
      <c r="R500">
        <v>2906216.2162162149</v>
      </c>
      <c r="S500">
        <v>1145</v>
      </c>
      <c r="T500">
        <v>1107</v>
      </c>
    </row>
    <row r="501" spans="1:20" x14ac:dyDescent="0.35">
      <c r="A501" s="7" t="s">
        <v>600</v>
      </c>
      <c r="B501" s="12" t="s">
        <v>126</v>
      </c>
      <c r="C501">
        <v>143228236.1917125</v>
      </c>
      <c r="D501">
        <v>151377791.93452042</v>
      </c>
      <c r="E501">
        <v>93157364.864864871</v>
      </c>
      <c r="F501">
        <v>141000235.13513514</v>
      </c>
      <c r="G501">
        <v>16</v>
      </c>
      <c r="H501">
        <v>20</v>
      </c>
      <c r="K501">
        <v>20</v>
      </c>
      <c r="L501">
        <v>22</v>
      </c>
      <c r="M501">
        <v>29398783.783783782</v>
      </c>
      <c r="N501">
        <v>19010180.180180181</v>
      </c>
      <c r="O501">
        <v>54839270.270270273</v>
      </c>
      <c r="P501">
        <v>57948558.558558561</v>
      </c>
      <c r="Q501">
        <v>17393603.603603605</v>
      </c>
      <c r="R501">
        <v>10685675.675675675</v>
      </c>
      <c r="S501">
        <v>3355</v>
      </c>
      <c r="T501">
        <v>3419</v>
      </c>
    </row>
    <row r="502" spans="1:20" x14ac:dyDescent="0.35">
      <c r="A502" s="7" t="s">
        <v>601</v>
      </c>
      <c r="B502" s="12" t="s">
        <v>51</v>
      </c>
      <c r="C502">
        <v>349156020.79637009</v>
      </c>
      <c r="D502">
        <v>378713537.22073686</v>
      </c>
      <c r="E502">
        <v>3761261.261261262</v>
      </c>
      <c r="F502">
        <v>3048648.6486486518</v>
      </c>
      <c r="G502">
        <v>30</v>
      </c>
      <c r="H502">
        <v>33</v>
      </c>
      <c r="I502">
        <v>1</v>
      </c>
      <c r="K502">
        <v>33</v>
      </c>
      <c r="L502">
        <v>35</v>
      </c>
      <c r="M502">
        <v>51844594.59459459</v>
      </c>
      <c r="N502">
        <v>34457027.027027026</v>
      </c>
      <c r="O502">
        <v>146645288.2882883</v>
      </c>
      <c r="P502">
        <v>161778792.7927928</v>
      </c>
      <c r="Q502">
        <v>49680990.990990989</v>
      </c>
      <c r="R502">
        <v>37743423.423423424</v>
      </c>
      <c r="S502">
        <v>7655</v>
      </c>
      <c r="T502">
        <v>7801</v>
      </c>
    </row>
    <row r="503" spans="1:20" x14ac:dyDescent="0.35">
      <c r="A503" s="7" t="s">
        <v>602</v>
      </c>
      <c r="B503" s="12" t="s">
        <v>90</v>
      </c>
      <c r="C503">
        <v>102065696.19255221</v>
      </c>
      <c r="D503">
        <v>102438823.58145469</v>
      </c>
      <c r="E503">
        <v>873873.87387387897</v>
      </c>
      <c r="F503">
        <v>2814414.414414417</v>
      </c>
      <c r="G503">
        <v>10</v>
      </c>
      <c r="H503">
        <v>9</v>
      </c>
      <c r="K503">
        <v>10</v>
      </c>
      <c r="L503">
        <v>10</v>
      </c>
      <c r="M503">
        <v>27081081.081081085</v>
      </c>
      <c r="N503">
        <v>33600191.891891889</v>
      </c>
      <c r="O503">
        <v>31534207.207207207</v>
      </c>
      <c r="P503">
        <v>33391837.837837841</v>
      </c>
      <c r="Q503">
        <v>25573873.873873871</v>
      </c>
      <c r="R503">
        <v>33298828.82882883</v>
      </c>
      <c r="S503">
        <v>2374</v>
      </c>
      <c r="T503">
        <v>2406</v>
      </c>
    </row>
    <row r="504" spans="1:20" x14ac:dyDescent="0.35">
      <c r="A504" s="7" t="s">
        <v>603</v>
      </c>
      <c r="B504" s="12" t="s">
        <v>88</v>
      </c>
      <c r="C504">
        <v>89929170.303344682</v>
      </c>
      <c r="D504">
        <v>93302344.912999138</v>
      </c>
      <c r="E504">
        <v>4220720.7207207214</v>
      </c>
      <c r="F504">
        <v>23675675.675675675</v>
      </c>
      <c r="G504">
        <v>11</v>
      </c>
      <c r="H504">
        <v>10</v>
      </c>
      <c r="K504">
        <v>13</v>
      </c>
      <c r="L504">
        <v>11</v>
      </c>
      <c r="M504">
        <v>985585.58558558498</v>
      </c>
      <c r="N504">
        <v>1513513.5135135141</v>
      </c>
      <c r="O504">
        <v>6668495.4954954954</v>
      </c>
      <c r="P504">
        <v>10664495.495495496</v>
      </c>
      <c r="Q504">
        <v>1041081.0810810809</v>
      </c>
      <c r="R504">
        <v>1550270.270270271</v>
      </c>
      <c r="S504">
        <v>1194</v>
      </c>
      <c r="T504">
        <v>1204</v>
      </c>
    </row>
    <row r="505" spans="1:20" x14ac:dyDescent="0.35">
      <c r="A505" s="7" t="s">
        <v>604</v>
      </c>
      <c r="B505" s="12" t="s">
        <v>141</v>
      </c>
      <c r="C505">
        <v>733146206.19021225</v>
      </c>
      <c r="D505">
        <v>768961104.32878327</v>
      </c>
      <c r="E505">
        <v>256708153.15315315</v>
      </c>
      <c r="F505">
        <v>407200606.3063063</v>
      </c>
      <c r="G505">
        <v>343</v>
      </c>
      <c r="H505">
        <v>323</v>
      </c>
      <c r="I505">
        <v>8</v>
      </c>
      <c r="K505">
        <v>593</v>
      </c>
      <c r="L505">
        <v>485</v>
      </c>
      <c r="M505">
        <v>126684864.86486487</v>
      </c>
      <c r="N505">
        <v>156832567.56756759</v>
      </c>
      <c r="O505">
        <v>182199897.29729727</v>
      </c>
      <c r="P505">
        <v>200746933.33333334</v>
      </c>
      <c r="Q505">
        <v>130055045.04504503</v>
      </c>
      <c r="R505">
        <v>155188827.02702704</v>
      </c>
      <c r="S505">
        <v>18821</v>
      </c>
      <c r="T505">
        <v>19749</v>
      </c>
    </row>
    <row r="506" spans="1:20" x14ac:dyDescent="0.35">
      <c r="A506" s="7" t="s">
        <v>668</v>
      </c>
      <c r="B506" s="12" t="s">
        <v>215</v>
      </c>
      <c r="E506">
        <v>2477477.4774774769</v>
      </c>
      <c r="F506">
        <v>88153153.153153151</v>
      </c>
      <c r="M506">
        <v>19819.819819820001</v>
      </c>
      <c r="N506">
        <v>39639.639639640001</v>
      </c>
    </row>
    <row r="507" spans="1:20" x14ac:dyDescent="0.35">
      <c r="A507" s="7" t="s">
        <v>605</v>
      </c>
      <c r="B507" s="12" t="s">
        <v>225</v>
      </c>
      <c r="C507">
        <v>124068739.59015101</v>
      </c>
      <c r="D507">
        <v>139065046.22337094</v>
      </c>
      <c r="E507">
        <v>78378.378378377995</v>
      </c>
      <c r="F507">
        <v>1044144.144144144</v>
      </c>
      <c r="G507">
        <v>21</v>
      </c>
      <c r="H507">
        <v>20</v>
      </c>
      <c r="K507">
        <v>24</v>
      </c>
      <c r="L507">
        <v>22</v>
      </c>
      <c r="M507">
        <v>3952252.2522522518</v>
      </c>
      <c r="N507">
        <v>3557657.6576576568</v>
      </c>
      <c r="O507">
        <v>42139864.864864863</v>
      </c>
      <c r="P507">
        <v>51360936.936936937</v>
      </c>
      <c r="Q507">
        <v>4683693.6936936928</v>
      </c>
      <c r="R507">
        <v>4400990.9909909908</v>
      </c>
      <c r="S507">
        <v>3675</v>
      </c>
      <c r="T507">
        <v>3455</v>
      </c>
    </row>
    <row r="508" spans="1:20" x14ac:dyDescent="0.35">
      <c r="A508" s="7" t="s">
        <v>606</v>
      </c>
      <c r="B508" s="12" t="s">
        <v>225</v>
      </c>
      <c r="C508">
        <v>81468046.049500629</v>
      </c>
      <c r="D508">
        <v>89184669.573917255</v>
      </c>
      <c r="E508">
        <v>48648.648648649003</v>
      </c>
      <c r="F508">
        <v>33333.333333333998</v>
      </c>
      <c r="G508">
        <v>29</v>
      </c>
      <c r="H508">
        <v>17</v>
      </c>
      <c r="K508">
        <v>29</v>
      </c>
      <c r="L508">
        <v>19</v>
      </c>
      <c r="M508">
        <v>4553153.1531531531</v>
      </c>
      <c r="N508">
        <v>6465585.5855855849</v>
      </c>
      <c r="O508">
        <v>24707135.135135137</v>
      </c>
      <c r="P508">
        <v>30915909.909909911</v>
      </c>
      <c r="Q508">
        <v>5108018.0180180185</v>
      </c>
      <c r="R508">
        <v>6516846.8468468469</v>
      </c>
      <c r="S508">
        <v>5805</v>
      </c>
      <c r="T508">
        <v>3177</v>
      </c>
    </row>
    <row r="509" spans="1:20" x14ac:dyDescent="0.35">
      <c r="A509" s="7" t="s">
        <v>607</v>
      </c>
      <c r="B509" s="12" t="s">
        <v>242</v>
      </c>
      <c r="C509">
        <v>67686907.820646062</v>
      </c>
      <c r="D509">
        <v>74236237.88992779</v>
      </c>
      <c r="E509">
        <v>329729.72972973099</v>
      </c>
      <c r="F509">
        <v>69369.369369370004</v>
      </c>
      <c r="G509">
        <v>37</v>
      </c>
      <c r="H509">
        <v>33</v>
      </c>
      <c r="K509">
        <v>42</v>
      </c>
      <c r="L509">
        <v>37</v>
      </c>
      <c r="M509">
        <v>7103153.1531531522</v>
      </c>
      <c r="N509">
        <v>2698198.1981981969</v>
      </c>
      <c r="O509">
        <v>20799081.081081081</v>
      </c>
      <c r="P509">
        <v>24516423.423423424</v>
      </c>
      <c r="Q509">
        <v>6617657.657657655</v>
      </c>
      <c r="R509">
        <v>3398018.018018018</v>
      </c>
      <c r="S509">
        <v>2350</v>
      </c>
      <c r="T509">
        <v>2388</v>
      </c>
    </row>
    <row r="510" spans="1:20" x14ac:dyDescent="0.35">
      <c r="A510" s="7" t="s">
        <v>608</v>
      </c>
      <c r="B510" s="12" t="s">
        <v>141</v>
      </c>
      <c r="C510">
        <v>20836225.117275503</v>
      </c>
      <c r="D510">
        <v>20549998.827583633</v>
      </c>
      <c r="E510">
        <v>2702.7027027029999</v>
      </c>
      <c r="F510">
        <v>18918.918918919</v>
      </c>
      <c r="G510">
        <v>4</v>
      </c>
      <c r="H510">
        <v>2</v>
      </c>
      <c r="I510">
        <v>1</v>
      </c>
      <c r="K510">
        <v>4</v>
      </c>
      <c r="L510">
        <v>3</v>
      </c>
      <c r="M510">
        <v>227927.92792792799</v>
      </c>
      <c r="N510">
        <v>734234.23423423397</v>
      </c>
      <c r="O510">
        <v>2495756.7567567569</v>
      </c>
      <c r="P510">
        <v>3550855.8558558561</v>
      </c>
      <c r="Q510">
        <v>496756.75675675698</v>
      </c>
      <c r="R510">
        <v>736306.30630630697</v>
      </c>
      <c r="S510">
        <v>406</v>
      </c>
      <c r="T510">
        <v>310</v>
      </c>
    </row>
    <row r="511" spans="1:20" x14ac:dyDescent="0.35">
      <c r="A511" s="7" t="s">
        <v>669</v>
      </c>
      <c r="B511" s="12" t="s">
        <v>190</v>
      </c>
      <c r="T511">
        <v>8</v>
      </c>
    </row>
    <row r="512" spans="1:20" x14ac:dyDescent="0.35">
      <c r="A512" s="7" t="s">
        <v>609</v>
      </c>
      <c r="B512" s="12" t="s">
        <v>190</v>
      </c>
      <c r="C512">
        <v>77783159.854993239</v>
      </c>
      <c r="D512">
        <v>71542250.306446239</v>
      </c>
      <c r="E512">
        <v>33170519.819819819</v>
      </c>
      <c r="F512">
        <v>66590932.432432435</v>
      </c>
      <c r="G512">
        <v>50</v>
      </c>
      <c r="H512">
        <v>16</v>
      </c>
      <c r="K512">
        <v>55</v>
      </c>
      <c r="L512">
        <v>19</v>
      </c>
      <c r="M512">
        <v>22836707.207207207</v>
      </c>
      <c r="N512">
        <v>14900900.9009009</v>
      </c>
      <c r="O512">
        <v>19749959.459459461</v>
      </c>
      <c r="P512">
        <v>17869729.729729731</v>
      </c>
      <c r="Q512">
        <v>4609459.4594594603</v>
      </c>
      <c r="R512">
        <v>3492342.3423423432</v>
      </c>
      <c r="S512">
        <v>1501</v>
      </c>
      <c r="T512">
        <v>1400</v>
      </c>
    </row>
    <row r="513" spans="1:20" x14ac:dyDescent="0.35">
      <c r="A513" s="7" t="s">
        <v>610</v>
      </c>
      <c r="B513" s="12" t="s">
        <v>190</v>
      </c>
      <c r="C513">
        <v>230791359.12617335</v>
      </c>
      <c r="D513">
        <v>222108526.73212788</v>
      </c>
      <c r="E513">
        <v>175675.675675676</v>
      </c>
      <c r="F513">
        <v>108108.10810811</v>
      </c>
      <c r="G513">
        <v>74</v>
      </c>
      <c r="H513">
        <v>71</v>
      </c>
      <c r="K513">
        <v>78</v>
      </c>
      <c r="L513">
        <v>75</v>
      </c>
      <c r="M513">
        <v>9770270.2702702694</v>
      </c>
      <c r="N513">
        <v>10558558.558558557</v>
      </c>
      <c r="O513">
        <v>40189396.396396391</v>
      </c>
      <c r="P513">
        <v>38875981.981981985</v>
      </c>
      <c r="Q513">
        <v>6185585.5855855849</v>
      </c>
      <c r="R513">
        <v>5823423.4234234234</v>
      </c>
      <c r="S513">
        <v>4985</v>
      </c>
      <c r="T513">
        <v>4982</v>
      </c>
    </row>
    <row r="514" spans="1:20" x14ac:dyDescent="0.35">
      <c r="A514" s="7" t="s">
        <v>611</v>
      </c>
      <c r="B514" s="12" t="s">
        <v>190</v>
      </c>
      <c r="C514">
        <v>89561136.050474331</v>
      </c>
      <c r="D514">
        <v>100559826.58548738</v>
      </c>
      <c r="E514">
        <v>1875450.4504504539</v>
      </c>
      <c r="F514">
        <v>599099.09909909999</v>
      </c>
      <c r="G514">
        <v>17</v>
      </c>
      <c r="H514">
        <v>17</v>
      </c>
      <c r="K514">
        <v>17</v>
      </c>
      <c r="L514">
        <v>17</v>
      </c>
      <c r="M514">
        <v>10927027.027027028</v>
      </c>
      <c r="N514">
        <v>8220720.7207207233</v>
      </c>
      <c r="O514">
        <v>10293144.144144144</v>
      </c>
      <c r="P514">
        <v>15106693.693693694</v>
      </c>
      <c r="Q514">
        <v>9301711.7117117122</v>
      </c>
      <c r="R514">
        <v>5922522.5225225212</v>
      </c>
      <c r="S514">
        <v>1651</v>
      </c>
      <c r="T514">
        <v>1712</v>
      </c>
    </row>
    <row r="515" spans="1:20" x14ac:dyDescent="0.35">
      <c r="A515" s="7" t="s">
        <v>612</v>
      </c>
      <c r="B515" s="12" t="s">
        <v>190</v>
      </c>
      <c r="C515">
        <v>33801856.085436508</v>
      </c>
      <c r="D515">
        <v>38667502.204851247</v>
      </c>
      <c r="E515">
        <v>431981.981981983</v>
      </c>
      <c r="F515">
        <v>58558.558558559998</v>
      </c>
      <c r="G515">
        <v>14</v>
      </c>
      <c r="H515">
        <v>33</v>
      </c>
      <c r="K515">
        <v>17</v>
      </c>
      <c r="L515">
        <v>45</v>
      </c>
      <c r="M515">
        <v>4896756.7567567574</v>
      </c>
      <c r="N515">
        <v>7126126.1261261273</v>
      </c>
      <c r="O515">
        <v>6256873.8738738745</v>
      </c>
      <c r="P515">
        <v>8308639.6396396402</v>
      </c>
      <c r="Q515">
        <v>3685135.1351351351</v>
      </c>
      <c r="R515">
        <v>4578288.2882882887</v>
      </c>
      <c r="S515">
        <v>1034</v>
      </c>
      <c r="T515">
        <v>987</v>
      </c>
    </row>
    <row r="516" spans="1:20" x14ac:dyDescent="0.35">
      <c r="A516" s="7" t="s">
        <v>613</v>
      </c>
      <c r="B516" s="12" t="s">
        <v>144</v>
      </c>
      <c r="C516">
        <v>235641879.83183733</v>
      </c>
      <c r="D516">
        <v>273918763.38293654</v>
      </c>
      <c r="E516">
        <v>970706.30630630697</v>
      </c>
      <c r="F516">
        <v>652037.83783784194</v>
      </c>
      <c r="G516">
        <v>144</v>
      </c>
      <c r="H516">
        <v>66</v>
      </c>
      <c r="I516">
        <v>10</v>
      </c>
      <c r="K516">
        <v>170</v>
      </c>
      <c r="L516">
        <v>226</v>
      </c>
      <c r="M516">
        <v>24779279.27927928</v>
      </c>
      <c r="N516">
        <v>27554054.054054052</v>
      </c>
      <c r="O516">
        <v>30736211.711711712</v>
      </c>
      <c r="P516">
        <v>42208027.027027026</v>
      </c>
      <c r="Q516">
        <v>24428691.891891889</v>
      </c>
      <c r="R516">
        <v>25529189.189189184</v>
      </c>
      <c r="S516">
        <v>4952</v>
      </c>
      <c r="T516">
        <v>7441</v>
      </c>
    </row>
    <row r="517" spans="1:20" x14ac:dyDescent="0.35">
      <c r="A517" s="7" t="s">
        <v>614</v>
      </c>
      <c r="B517" s="12" t="s">
        <v>190</v>
      </c>
      <c r="C517">
        <v>294309809.33708274</v>
      </c>
      <c r="D517">
        <v>318726929.08928668</v>
      </c>
      <c r="E517">
        <v>1383558.5585585609</v>
      </c>
      <c r="F517">
        <v>1256756.756756759</v>
      </c>
      <c r="G517">
        <v>105</v>
      </c>
      <c r="H517">
        <v>135</v>
      </c>
      <c r="I517">
        <v>1</v>
      </c>
      <c r="K517">
        <v>143</v>
      </c>
      <c r="L517">
        <v>190</v>
      </c>
      <c r="M517">
        <v>10872072.072072072</v>
      </c>
      <c r="N517">
        <v>9261261.2612612639</v>
      </c>
      <c r="O517">
        <v>28682583.783783782</v>
      </c>
      <c r="P517">
        <v>35631297.297297299</v>
      </c>
      <c r="Q517">
        <v>9279772.972972976</v>
      </c>
      <c r="R517">
        <v>8149909.9099099142</v>
      </c>
      <c r="S517">
        <v>8015</v>
      </c>
      <c r="T517">
        <v>7512</v>
      </c>
    </row>
    <row r="518" spans="1:20" x14ac:dyDescent="0.35">
      <c r="A518" s="7" t="s">
        <v>615</v>
      </c>
      <c r="B518" s="12" t="s">
        <v>55</v>
      </c>
      <c r="C518">
        <v>205232958.26078364</v>
      </c>
      <c r="D518">
        <v>206917815.71260762</v>
      </c>
      <c r="E518">
        <v>3514414.4144144179</v>
      </c>
      <c r="F518">
        <v>5812612.6126126125</v>
      </c>
      <c r="G518">
        <v>62</v>
      </c>
      <c r="H518">
        <v>47</v>
      </c>
      <c r="K518">
        <v>73</v>
      </c>
      <c r="L518">
        <v>68</v>
      </c>
      <c r="M518">
        <v>32994594.59459459</v>
      </c>
      <c r="N518">
        <v>39943243.243243247</v>
      </c>
      <c r="O518">
        <v>65071855.855855852</v>
      </c>
      <c r="P518">
        <v>66886630.630630635</v>
      </c>
      <c r="Q518">
        <v>32756396.396396395</v>
      </c>
      <c r="R518">
        <v>39244144.144144148</v>
      </c>
      <c r="S518">
        <v>6429</v>
      </c>
      <c r="T518">
        <v>6608</v>
      </c>
    </row>
    <row r="519" spans="1:20" x14ac:dyDescent="0.35">
      <c r="A519" s="7" t="s">
        <v>616</v>
      </c>
      <c r="B519" s="12" t="s">
        <v>55</v>
      </c>
      <c r="C519">
        <v>111283865.3158406</v>
      </c>
      <c r="D519">
        <v>115508002.06484431</v>
      </c>
      <c r="E519">
        <v>681981.98198198294</v>
      </c>
      <c r="F519">
        <v>287387.38738738699</v>
      </c>
      <c r="G519">
        <v>13</v>
      </c>
      <c r="H519">
        <v>10</v>
      </c>
      <c r="I519">
        <v>1</v>
      </c>
      <c r="K519">
        <v>17</v>
      </c>
      <c r="L519">
        <v>12</v>
      </c>
      <c r="M519">
        <v>4187387.3873873879</v>
      </c>
      <c r="N519">
        <v>3834234.2342342339</v>
      </c>
      <c r="O519">
        <v>18894477.477477476</v>
      </c>
      <c r="P519">
        <v>21011099.0990991</v>
      </c>
      <c r="Q519">
        <v>3469459.4594594599</v>
      </c>
      <c r="R519">
        <v>3672342.3423423418</v>
      </c>
      <c r="S519">
        <v>2780</v>
      </c>
      <c r="T519">
        <v>2870</v>
      </c>
    </row>
    <row r="520" spans="1:20" x14ac:dyDescent="0.35">
      <c r="A520" s="7" t="s">
        <v>617</v>
      </c>
      <c r="B520" s="12" t="s">
        <v>61</v>
      </c>
      <c r="C520">
        <v>174322385.95732751</v>
      </c>
      <c r="D520">
        <v>185904378.60560784</v>
      </c>
      <c r="E520">
        <v>2595495.4954954959</v>
      </c>
      <c r="F520">
        <v>2066666.66666667</v>
      </c>
      <c r="G520">
        <v>82</v>
      </c>
      <c r="H520">
        <v>32</v>
      </c>
      <c r="K520">
        <v>123</v>
      </c>
      <c r="L520">
        <v>37</v>
      </c>
      <c r="M520">
        <v>25607657.657657657</v>
      </c>
      <c r="N520">
        <v>35877477.477477483</v>
      </c>
      <c r="O520">
        <v>57866675.675675683</v>
      </c>
      <c r="P520">
        <v>60605225.225225225</v>
      </c>
      <c r="Q520">
        <v>25975225.225225225</v>
      </c>
      <c r="R520">
        <v>30145765.765765768</v>
      </c>
      <c r="S520">
        <v>4302</v>
      </c>
      <c r="T520">
        <v>4307</v>
      </c>
    </row>
    <row r="521" spans="1:20" x14ac:dyDescent="0.35">
      <c r="A521" s="7" t="s">
        <v>618</v>
      </c>
      <c r="B521" s="12" t="s">
        <v>61</v>
      </c>
      <c r="C521">
        <v>184002315.1702359</v>
      </c>
      <c r="D521">
        <v>183974674.88452408</v>
      </c>
      <c r="E521">
        <v>1321621.6216216241</v>
      </c>
      <c r="F521">
        <v>2380180.180180185</v>
      </c>
      <c r="G521">
        <v>49</v>
      </c>
      <c r="H521">
        <v>37</v>
      </c>
      <c r="K521">
        <v>55</v>
      </c>
      <c r="L521">
        <v>54</v>
      </c>
      <c r="M521">
        <v>24036936.936936941</v>
      </c>
      <c r="N521">
        <v>37812612.612612613</v>
      </c>
      <c r="O521">
        <v>97720130.630630627</v>
      </c>
      <c r="P521">
        <v>96121216.216216221</v>
      </c>
      <c r="Q521">
        <v>22662792.792792793</v>
      </c>
      <c r="R521">
        <v>33471441.441441439</v>
      </c>
      <c r="S521">
        <v>5384</v>
      </c>
      <c r="T521">
        <v>5353</v>
      </c>
    </row>
    <row r="522" spans="1:20" x14ac:dyDescent="0.35">
      <c r="A522" s="7" t="s">
        <v>619</v>
      </c>
      <c r="B522" s="12" t="s">
        <v>61</v>
      </c>
      <c r="C522">
        <v>234509794.41858771</v>
      </c>
      <c r="D522">
        <v>249267042.84068039</v>
      </c>
      <c r="E522">
        <v>2817117.1171171232</v>
      </c>
      <c r="F522">
        <v>6462162.1621621642</v>
      </c>
      <c r="G522">
        <v>41</v>
      </c>
      <c r="H522">
        <v>18</v>
      </c>
      <c r="K522">
        <v>51</v>
      </c>
      <c r="L522">
        <v>30</v>
      </c>
      <c r="M522">
        <v>34215315.315315321</v>
      </c>
      <c r="N522">
        <v>57561261.261261262</v>
      </c>
      <c r="O522">
        <v>77868977.927927926</v>
      </c>
      <c r="P522">
        <v>83491117.117117122</v>
      </c>
      <c r="Q522">
        <v>32975405.405405413</v>
      </c>
      <c r="R522">
        <v>52997387.387387387</v>
      </c>
      <c r="S522">
        <v>5798</v>
      </c>
      <c r="T522">
        <v>6066</v>
      </c>
    </row>
    <row r="523" spans="1:20" x14ac:dyDescent="0.35">
      <c r="A523" s="7" t="s">
        <v>620</v>
      </c>
      <c r="B523" s="12" t="s">
        <v>621</v>
      </c>
      <c r="C523">
        <v>281739692.92524469</v>
      </c>
      <c r="D523">
        <v>284372211.23193216</v>
      </c>
      <c r="E523">
        <v>42849245.945945948</v>
      </c>
      <c r="F523">
        <v>48796916.216216221</v>
      </c>
      <c r="G523">
        <v>164</v>
      </c>
      <c r="H523">
        <v>68</v>
      </c>
      <c r="I523">
        <v>1</v>
      </c>
      <c r="K523">
        <v>366</v>
      </c>
      <c r="L523">
        <v>105</v>
      </c>
      <c r="M523">
        <v>29265242.342342343</v>
      </c>
      <c r="N523">
        <v>26960810.810810816</v>
      </c>
      <c r="O523">
        <v>33460126.126126129</v>
      </c>
      <c r="P523">
        <v>38697342.342342347</v>
      </c>
      <c r="Q523">
        <v>20895585.585585587</v>
      </c>
      <c r="R523">
        <v>17302522.52252252</v>
      </c>
      <c r="S523">
        <v>8885</v>
      </c>
      <c r="T523">
        <v>7484</v>
      </c>
    </row>
    <row r="524" spans="1:20" x14ac:dyDescent="0.35">
      <c r="A524" s="7" t="s">
        <v>622</v>
      </c>
      <c r="B524" s="12" t="s">
        <v>621</v>
      </c>
      <c r="C524">
        <v>205167444.59738004</v>
      </c>
      <c r="D524">
        <v>205282816.36408412</v>
      </c>
      <c r="E524">
        <v>4172072.0720720738</v>
      </c>
      <c r="F524">
        <v>2387387.3873873912</v>
      </c>
      <c r="G524">
        <v>74</v>
      </c>
      <c r="H524">
        <v>66</v>
      </c>
      <c r="I524">
        <v>1</v>
      </c>
      <c r="K524">
        <v>94</v>
      </c>
      <c r="L524">
        <v>81</v>
      </c>
      <c r="M524">
        <v>18586486.486486487</v>
      </c>
      <c r="N524">
        <v>15842342.342342343</v>
      </c>
      <c r="O524">
        <v>33304232.432432432</v>
      </c>
      <c r="P524">
        <v>34724525.225225225</v>
      </c>
      <c r="Q524">
        <v>15624774.774774777</v>
      </c>
      <c r="R524">
        <v>16926216.216216218</v>
      </c>
      <c r="S524">
        <v>6033</v>
      </c>
      <c r="T524">
        <v>5794</v>
      </c>
    </row>
    <row r="525" spans="1:20" x14ac:dyDescent="0.35">
      <c r="A525" s="7" t="s">
        <v>623</v>
      </c>
      <c r="B525" s="12" t="s">
        <v>621</v>
      </c>
      <c r="C525">
        <v>214442350.54630113</v>
      </c>
      <c r="D525">
        <v>210031254.50438231</v>
      </c>
      <c r="E525">
        <v>1338288.288288292</v>
      </c>
      <c r="F525">
        <v>37627027.027027033</v>
      </c>
      <c r="G525">
        <v>80</v>
      </c>
      <c r="H525">
        <v>71</v>
      </c>
      <c r="I525">
        <v>1</v>
      </c>
      <c r="K525">
        <v>101</v>
      </c>
      <c r="L525">
        <v>84</v>
      </c>
      <c r="M525">
        <v>16884684.684684686</v>
      </c>
      <c r="N525">
        <v>15876306.306306308</v>
      </c>
      <c r="O525">
        <v>33497741.441441439</v>
      </c>
      <c r="P525">
        <v>37285989.189189196</v>
      </c>
      <c r="Q525">
        <v>12071891.891891897</v>
      </c>
      <c r="R525">
        <v>11738241.441441439</v>
      </c>
      <c r="S525">
        <v>5717</v>
      </c>
      <c r="T525">
        <v>5666</v>
      </c>
    </row>
    <row r="526" spans="1:20" x14ac:dyDescent="0.35">
      <c r="A526" s="7" t="s">
        <v>624</v>
      </c>
      <c r="B526" s="12" t="s">
        <v>621</v>
      </c>
      <c r="C526">
        <v>158388416.19355422</v>
      </c>
      <c r="D526">
        <v>160339989.10272697</v>
      </c>
      <c r="E526">
        <v>400000.00000000099</v>
      </c>
      <c r="F526">
        <v>1371171.1711711721</v>
      </c>
      <c r="G526">
        <v>33</v>
      </c>
      <c r="H526">
        <v>81</v>
      </c>
      <c r="I526">
        <v>4</v>
      </c>
      <c r="K526">
        <v>49</v>
      </c>
      <c r="L526">
        <v>87</v>
      </c>
      <c r="M526">
        <v>11645945.945945945</v>
      </c>
      <c r="N526">
        <v>11985135.135135137</v>
      </c>
      <c r="O526">
        <v>20557328.828828827</v>
      </c>
      <c r="P526">
        <v>23412610.810810808</v>
      </c>
      <c r="Q526">
        <v>12530000</v>
      </c>
      <c r="R526">
        <v>13494864.864864863</v>
      </c>
      <c r="S526">
        <v>3304</v>
      </c>
      <c r="T526">
        <v>3493</v>
      </c>
    </row>
    <row r="527" spans="1:20" x14ac:dyDescent="0.35">
      <c r="A527" s="7" t="s">
        <v>625</v>
      </c>
      <c r="B527" s="12" t="s">
        <v>261</v>
      </c>
      <c r="C527">
        <v>83903441.487408161</v>
      </c>
      <c r="D527">
        <v>90136135.821935445</v>
      </c>
      <c r="E527">
        <v>315315.31531531602</v>
      </c>
      <c r="F527">
        <v>212612.61261261301</v>
      </c>
      <c r="G527">
        <v>15</v>
      </c>
      <c r="H527">
        <v>1</v>
      </c>
      <c r="K527">
        <v>15</v>
      </c>
      <c r="L527">
        <v>1</v>
      </c>
      <c r="M527">
        <v>4749549.5495495498</v>
      </c>
      <c r="N527">
        <v>9593513.5135135148</v>
      </c>
      <c r="O527">
        <v>26740135.135135137</v>
      </c>
      <c r="P527">
        <v>31312522.522522524</v>
      </c>
      <c r="Q527">
        <v>9566036.0360360369</v>
      </c>
      <c r="R527">
        <v>12779909.90990991</v>
      </c>
      <c r="S527">
        <v>2014</v>
      </c>
      <c r="T527">
        <v>2155</v>
      </c>
    </row>
    <row r="528" spans="1:20" x14ac:dyDescent="0.35">
      <c r="A528" s="7" t="s">
        <v>626</v>
      </c>
      <c r="B528" s="12" t="s">
        <v>53</v>
      </c>
      <c r="C528">
        <v>128527548.46860096</v>
      </c>
      <c r="D528">
        <v>130842954.21053843</v>
      </c>
      <c r="E528">
        <v>113513.513513515</v>
      </c>
      <c r="F528">
        <v>832432.43243243301</v>
      </c>
      <c r="G528">
        <v>38</v>
      </c>
      <c r="H528">
        <v>25</v>
      </c>
      <c r="K528">
        <v>92</v>
      </c>
      <c r="L528">
        <v>77</v>
      </c>
      <c r="M528">
        <v>2996396.3963963981</v>
      </c>
      <c r="N528">
        <v>4526126.1261261282</v>
      </c>
      <c r="O528">
        <v>46514180.180180185</v>
      </c>
      <c r="P528">
        <v>45721684.684684686</v>
      </c>
      <c r="Q528">
        <v>2613603.6036036038</v>
      </c>
      <c r="R528">
        <v>3611981.9819819811</v>
      </c>
      <c r="S528">
        <v>4350</v>
      </c>
      <c r="T528">
        <v>4295</v>
      </c>
    </row>
    <row r="529" spans="1:20" x14ac:dyDescent="0.35">
      <c r="A529" s="7" t="s">
        <v>627</v>
      </c>
      <c r="B529" s="12" t="s">
        <v>97</v>
      </c>
      <c r="C529">
        <v>328404060.45546246</v>
      </c>
      <c r="D529">
        <v>297972232.53082931</v>
      </c>
      <c r="E529">
        <v>82378378.378378391</v>
      </c>
      <c r="F529">
        <v>162094144.14414415</v>
      </c>
      <c r="G529">
        <v>154</v>
      </c>
      <c r="H529">
        <v>154</v>
      </c>
      <c r="K529">
        <v>188</v>
      </c>
      <c r="L529">
        <v>178</v>
      </c>
      <c r="M529">
        <v>81902027.027027026</v>
      </c>
      <c r="N529">
        <v>75117117.117117122</v>
      </c>
      <c r="O529">
        <v>108802248.1981982</v>
      </c>
      <c r="P529">
        <v>107269304.50450452</v>
      </c>
      <c r="Q529">
        <v>61965225.225225225</v>
      </c>
      <c r="R529">
        <v>70444998.198198199</v>
      </c>
      <c r="S529">
        <v>10870</v>
      </c>
      <c r="T529">
        <v>10993</v>
      </c>
    </row>
    <row r="530" spans="1:20" x14ac:dyDescent="0.35">
      <c r="A530" s="7" t="s">
        <v>628</v>
      </c>
      <c r="B530" s="12" t="s">
        <v>97</v>
      </c>
      <c r="C530">
        <v>537495109.76698804</v>
      </c>
      <c r="D530">
        <v>530253419.23354703</v>
      </c>
      <c r="E530">
        <v>3303603.6036036029</v>
      </c>
      <c r="F530">
        <v>5390990.9909909908</v>
      </c>
      <c r="G530">
        <v>123</v>
      </c>
      <c r="H530">
        <v>130</v>
      </c>
      <c r="I530">
        <v>2</v>
      </c>
      <c r="K530">
        <v>200</v>
      </c>
      <c r="L530">
        <v>156</v>
      </c>
      <c r="M530">
        <v>123586396.3963964</v>
      </c>
      <c r="N530">
        <v>115295720.72072072</v>
      </c>
      <c r="O530">
        <v>220476272.52252254</v>
      </c>
      <c r="P530">
        <v>216458216.21621624</v>
      </c>
      <c r="Q530">
        <v>121672342.34234233</v>
      </c>
      <c r="R530">
        <v>126222927.92792793</v>
      </c>
      <c r="S530">
        <v>13867</v>
      </c>
      <c r="T530">
        <v>13752</v>
      </c>
    </row>
    <row r="531" spans="1:20" x14ac:dyDescent="0.35">
      <c r="A531" s="7" t="s">
        <v>629</v>
      </c>
      <c r="B531" s="12" t="s">
        <v>449</v>
      </c>
      <c r="C531">
        <v>392050240.30103475</v>
      </c>
      <c r="D531">
        <v>381564493.88476264</v>
      </c>
      <c r="E531">
        <v>163690242.34234235</v>
      </c>
      <c r="F531">
        <v>252262102.70270273</v>
      </c>
      <c r="G531">
        <v>136</v>
      </c>
      <c r="H531">
        <v>170</v>
      </c>
      <c r="I531">
        <v>1</v>
      </c>
      <c r="K531">
        <v>166</v>
      </c>
      <c r="L531">
        <v>234</v>
      </c>
      <c r="M531">
        <v>109638378.37837839</v>
      </c>
      <c r="N531">
        <v>90590990.990990996</v>
      </c>
      <c r="O531">
        <v>117307827.02702703</v>
      </c>
      <c r="P531">
        <v>126382567.56756757</v>
      </c>
      <c r="Q531">
        <v>117366126.12612613</v>
      </c>
      <c r="R531">
        <v>72072342.342342332</v>
      </c>
      <c r="S531">
        <v>11623</v>
      </c>
      <c r="T531">
        <v>10977</v>
      </c>
    </row>
    <row r="532" spans="1:20" x14ac:dyDescent="0.35">
      <c r="A532" s="7" t="s">
        <v>630</v>
      </c>
      <c r="B532" s="12" t="s">
        <v>79</v>
      </c>
      <c r="C532">
        <v>17508016.427354779</v>
      </c>
      <c r="D532">
        <v>19199077.488471832</v>
      </c>
      <c r="E532">
        <v>313513.51351351303</v>
      </c>
      <c r="F532">
        <v>290990.990990992</v>
      </c>
      <c r="G532">
        <v>3</v>
      </c>
      <c r="H532">
        <v>2</v>
      </c>
      <c r="K532">
        <v>3</v>
      </c>
      <c r="L532">
        <v>2</v>
      </c>
      <c r="M532">
        <v>944144.14414414403</v>
      </c>
      <c r="N532">
        <v>1543243.243243244</v>
      </c>
      <c r="O532">
        <v>4845702.702702703</v>
      </c>
      <c r="P532">
        <v>6114612.6126126116</v>
      </c>
      <c r="Q532">
        <v>1057297.297297297</v>
      </c>
      <c r="R532">
        <v>1343153.1531531529</v>
      </c>
      <c r="S532">
        <v>370</v>
      </c>
      <c r="T532">
        <v>376</v>
      </c>
    </row>
    <row r="533" spans="1:20" x14ac:dyDescent="0.35">
      <c r="A533" s="7" t="s">
        <v>631</v>
      </c>
      <c r="B533" s="12" t="s">
        <v>242</v>
      </c>
      <c r="C533">
        <v>102633891.85325702</v>
      </c>
      <c r="D533">
        <v>96232673.616483629</v>
      </c>
      <c r="E533">
        <v>362837.83783783898</v>
      </c>
      <c r="F533">
        <v>1095495.4954954961</v>
      </c>
      <c r="G533">
        <v>40</v>
      </c>
      <c r="H533">
        <v>18</v>
      </c>
      <c r="K533">
        <v>45</v>
      </c>
      <c r="L533">
        <v>27</v>
      </c>
      <c r="M533">
        <v>9112882.8828828838</v>
      </c>
      <c r="N533">
        <v>26230270.270270273</v>
      </c>
      <c r="O533">
        <v>23515144.144144144</v>
      </c>
      <c r="P533">
        <v>24086594.594594598</v>
      </c>
      <c r="Q533">
        <v>9113783.7837837841</v>
      </c>
      <c r="R533">
        <v>24619909.909909911</v>
      </c>
      <c r="S533">
        <v>2647</v>
      </c>
      <c r="T533">
        <v>2833</v>
      </c>
    </row>
    <row r="534" spans="1:20" x14ac:dyDescent="0.35">
      <c r="A534" s="7" t="s">
        <v>632</v>
      </c>
      <c r="B534" s="12" t="s">
        <v>69</v>
      </c>
      <c r="C534">
        <v>454066985.65082973</v>
      </c>
      <c r="D534">
        <v>471598632.12832713</v>
      </c>
      <c r="E534">
        <v>5314189.18918919</v>
      </c>
      <c r="F534">
        <v>2638738.7387387408</v>
      </c>
      <c r="G534">
        <v>273</v>
      </c>
      <c r="H534">
        <v>68</v>
      </c>
      <c r="K534">
        <v>311</v>
      </c>
      <c r="L534">
        <v>95</v>
      </c>
      <c r="M534">
        <v>43843243.24324324</v>
      </c>
      <c r="N534">
        <v>53731936.936936937</v>
      </c>
      <c r="O534">
        <v>78001539.639639631</v>
      </c>
      <c r="P534">
        <v>92831942.342342332</v>
      </c>
      <c r="Q534">
        <v>36602612.612612605</v>
      </c>
      <c r="R534">
        <v>38397252.252252258</v>
      </c>
      <c r="S534">
        <v>8795</v>
      </c>
      <c r="T534">
        <v>8958</v>
      </c>
    </row>
    <row r="535" spans="1:20" x14ac:dyDescent="0.35">
      <c r="A535" s="7" t="s">
        <v>633</v>
      </c>
      <c r="B535" s="12" t="s">
        <v>71</v>
      </c>
      <c r="C535">
        <v>3291631.7425878928</v>
      </c>
      <c r="D535">
        <v>3412346.002949493</v>
      </c>
      <c r="E535">
        <v>40540.540540540998</v>
      </c>
      <c r="F535">
        <v>124324.324324324</v>
      </c>
      <c r="G535">
        <v>2</v>
      </c>
      <c r="K535">
        <v>2</v>
      </c>
      <c r="M535">
        <v>40540.540540540998</v>
      </c>
      <c r="N535">
        <v>178378.37837837799</v>
      </c>
      <c r="O535">
        <v>1908873.8738738741</v>
      </c>
      <c r="P535">
        <v>2086306.306306306</v>
      </c>
      <c r="Q535">
        <v>164864.864864865</v>
      </c>
      <c r="S535">
        <v>186</v>
      </c>
      <c r="T535">
        <v>200</v>
      </c>
    </row>
    <row r="536" spans="1:20" x14ac:dyDescent="0.35">
      <c r="A536" s="7" t="s">
        <v>634</v>
      </c>
      <c r="B536" s="12" t="s">
        <v>61</v>
      </c>
      <c r="C536">
        <v>34405802.903568447</v>
      </c>
      <c r="D536">
        <v>34722014.150255047</v>
      </c>
      <c r="E536">
        <v>29729.729729729999</v>
      </c>
      <c r="F536">
        <v>345045.04504504602</v>
      </c>
      <c r="G536">
        <v>10</v>
      </c>
      <c r="H536">
        <v>2</v>
      </c>
      <c r="K536">
        <v>10</v>
      </c>
      <c r="L536">
        <v>4</v>
      </c>
      <c r="M536">
        <v>1372072.072072072</v>
      </c>
      <c r="N536">
        <v>2417117.1171171172</v>
      </c>
      <c r="O536">
        <v>15097576.576576576</v>
      </c>
      <c r="P536">
        <v>13493414.414414415</v>
      </c>
      <c r="Q536">
        <v>202252.25225225199</v>
      </c>
      <c r="R536">
        <v>2130180.1801801808</v>
      </c>
      <c r="S536">
        <v>1062</v>
      </c>
      <c r="T536">
        <v>1062</v>
      </c>
    </row>
    <row r="537" spans="1:20" x14ac:dyDescent="0.35">
      <c r="A537" s="7" t="s">
        <v>635</v>
      </c>
      <c r="B537" s="12" t="s">
        <v>81</v>
      </c>
      <c r="C537">
        <v>355847944.24016941</v>
      </c>
      <c r="D537">
        <v>371119841.94864857</v>
      </c>
      <c r="E537">
        <v>3224774.7747747782</v>
      </c>
      <c r="F537">
        <v>3100900.900900905</v>
      </c>
      <c r="G537">
        <v>47</v>
      </c>
      <c r="H537">
        <v>40</v>
      </c>
      <c r="I537">
        <v>1</v>
      </c>
      <c r="K537">
        <v>51</v>
      </c>
      <c r="L537">
        <v>52</v>
      </c>
      <c r="M537">
        <v>41786936.936936937</v>
      </c>
      <c r="N537">
        <v>49569369.369369365</v>
      </c>
      <c r="O537">
        <v>71886049.54954955</v>
      </c>
      <c r="P537">
        <v>76233711.711711705</v>
      </c>
      <c r="Q537">
        <v>36010900.9009009</v>
      </c>
      <c r="R537">
        <v>45834144.144144148</v>
      </c>
      <c r="S537">
        <v>8135</v>
      </c>
      <c r="T537">
        <v>6217</v>
      </c>
    </row>
    <row r="538" spans="1:20" x14ac:dyDescent="0.35">
      <c r="A538" s="7" t="s">
        <v>636</v>
      </c>
      <c r="B538" s="12" t="s">
        <v>135</v>
      </c>
      <c r="C538">
        <v>64208895.825957201</v>
      </c>
      <c r="D538">
        <v>66901705.39493797</v>
      </c>
      <c r="E538">
        <v>310810.810810811</v>
      </c>
      <c r="G538">
        <v>14</v>
      </c>
      <c r="H538">
        <v>6</v>
      </c>
      <c r="K538">
        <v>14</v>
      </c>
      <c r="L538">
        <v>6</v>
      </c>
      <c r="M538">
        <v>4698198.1981981983</v>
      </c>
      <c r="N538">
        <v>1162162.1621621619</v>
      </c>
      <c r="O538">
        <v>3198324.3243243252</v>
      </c>
      <c r="P538">
        <v>5011216.2162162159</v>
      </c>
      <c r="Q538">
        <v>4549009.0090090092</v>
      </c>
      <c r="R538">
        <v>707297.29729729705</v>
      </c>
      <c r="S538">
        <v>1444</v>
      </c>
      <c r="T538">
        <v>1538</v>
      </c>
    </row>
    <row r="539" spans="1:20" x14ac:dyDescent="0.35">
      <c r="A539" s="7" t="s">
        <v>637</v>
      </c>
      <c r="B539" s="12" t="s">
        <v>480</v>
      </c>
      <c r="C539">
        <v>193747802.22867501</v>
      </c>
      <c r="D539">
        <v>193698779.9720279</v>
      </c>
      <c r="E539">
        <v>1643243.243243251</v>
      </c>
      <c r="F539">
        <v>1351351.3513513519</v>
      </c>
      <c r="G539">
        <v>52</v>
      </c>
      <c r="H539">
        <v>40</v>
      </c>
      <c r="K539">
        <v>60</v>
      </c>
      <c r="L539">
        <v>44</v>
      </c>
      <c r="M539">
        <v>52590476.576576576</v>
      </c>
      <c r="N539">
        <v>51080765.765765771</v>
      </c>
      <c r="O539">
        <v>68087342.342342347</v>
      </c>
      <c r="P539">
        <v>74171657.657657668</v>
      </c>
      <c r="Q539">
        <v>48927252.252252251</v>
      </c>
      <c r="R539">
        <v>57915720.720720731</v>
      </c>
      <c r="S539">
        <v>5819</v>
      </c>
      <c r="T539">
        <v>5663</v>
      </c>
    </row>
    <row r="540" spans="1:20" x14ac:dyDescent="0.35">
      <c r="A540" s="7" t="s">
        <v>638</v>
      </c>
      <c r="B540" s="12" t="s">
        <v>144</v>
      </c>
      <c r="C540">
        <v>329743729.85896128</v>
      </c>
      <c r="D540">
        <v>353532616.1228475</v>
      </c>
      <c r="E540">
        <v>3216666.6666666688</v>
      </c>
      <c r="F540">
        <v>2091891.8918918991</v>
      </c>
      <c r="G540">
        <v>77</v>
      </c>
      <c r="H540">
        <v>25</v>
      </c>
      <c r="K540">
        <v>102</v>
      </c>
      <c r="L540">
        <v>31</v>
      </c>
      <c r="M540">
        <v>24842342.342342339</v>
      </c>
      <c r="N540">
        <v>20487387.387387387</v>
      </c>
      <c r="O540">
        <v>40265394.144144148</v>
      </c>
      <c r="P540">
        <v>42531558.558558561</v>
      </c>
      <c r="Q540">
        <v>18830630.630630631</v>
      </c>
      <c r="R540">
        <v>16522972.97297297</v>
      </c>
      <c r="S540">
        <v>9426</v>
      </c>
      <c r="T540">
        <v>10320</v>
      </c>
    </row>
    <row r="541" spans="1:20" x14ac:dyDescent="0.35">
      <c r="A541" s="7" t="s">
        <v>639</v>
      </c>
      <c r="B541" s="12" t="s">
        <v>242</v>
      </c>
      <c r="C541">
        <v>355787127.77040672</v>
      </c>
      <c r="D541">
        <v>355677990.619515</v>
      </c>
      <c r="E541">
        <v>86917243.243243247</v>
      </c>
      <c r="F541">
        <v>110917748.64864865</v>
      </c>
      <c r="G541">
        <v>191</v>
      </c>
      <c r="H541">
        <v>158</v>
      </c>
      <c r="K541">
        <v>230</v>
      </c>
      <c r="L541">
        <v>187</v>
      </c>
      <c r="M541">
        <v>35958198.198198199</v>
      </c>
      <c r="N541">
        <v>45192297.297297306</v>
      </c>
      <c r="O541">
        <v>114659331.53153154</v>
      </c>
      <c r="P541">
        <v>128769981.98198198</v>
      </c>
      <c r="Q541">
        <v>19601891.891891893</v>
      </c>
      <c r="R541">
        <v>31456531.531531535</v>
      </c>
      <c r="S541">
        <v>12601</v>
      </c>
      <c r="T541">
        <v>12702</v>
      </c>
    </row>
    <row r="542" spans="1:20" x14ac:dyDescent="0.35">
      <c r="A542" s="7" t="s">
        <v>640</v>
      </c>
      <c r="B542" s="12" t="s">
        <v>133</v>
      </c>
      <c r="C542">
        <v>133714857.14403698</v>
      </c>
      <c r="D542">
        <v>146552422.70115221</v>
      </c>
      <c r="E542">
        <v>102702.702702703</v>
      </c>
      <c r="F542">
        <v>54954.954954954999</v>
      </c>
      <c r="G542">
        <v>60</v>
      </c>
      <c r="H542">
        <v>53</v>
      </c>
      <c r="K542">
        <v>65</v>
      </c>
      <c r="L542">
        <v>62</v>
      </c>
      <c r="M542">
        <v>3560360.3603603612</v>
      </c>
      <c r="N542">
        <v>3808333.333333334</v>
      </c>
      <c r="O542">
        <v>49538549.54954955</v>
      </c>
      <c r="P542">
        <v>52513673.873873875</v>
      </c>
      <c r="Q542">
        <v>3402162.1621621619</v>
      </c>
      <c r="R542">
        <v>4228513.5135135129</v>
      </c>
      <c r="S542">
        <v>5374</v>
      </c>
      <c r="T542">
        <v>5444</v>
      </c>
    </row>
    <row r="543" spans="1:20" x14ac:dyDescent="0.35">
      <c r="A543" s="7" t="s">
        <v>641</v>
      </c>
      <c r="B543" s="12" t="s">
        <v>135</v>
      </c>
      <c r="C543">
        <v>414013101.30153251</v>
      </c>
      <c r="D543">
        <v>450660412.16451657</v>
      </c>
      <c r="E543">
        <v>1250450.4504504539</v>
      </c>
      <c r="F543">
        <v>2654054.0540540591</v>
      </c>
      <c r="G543">
        <v>66</v>
      </c>
      <c r="H543">
        <v>54</v>
      </c>
      <c r="K543">
        <v>74</v>
      </c>
      <c r="L543">
        <v>63</v>
      </c>
      <c r="M543">
        <v>33183063.063063059</v>
      </c>
      <c r="N543">
        <v>42827027.027027026</v>
      </c>
      <c r="O543">
        <v>54342421.621621624</v>
      </c>
      <c r="P543">
        <v>66050486.486486487</v>
      </c>
      <c r="Q543">
        <v>26235989.189189192</v>
      </c>
      <c r="R543">
        <v>35117117.117117114</v>
      </c>
      <c r="S543">
        <v>7397</v>
      </c>
      <c r="T543">
        <v>7662</v>
      </c>
    </row>
    <row r="544" spans="1:20" x14ac:dyDescent="0.35">
      <c r="A544" s="7" t="s">
        <v>642</v>
      </c>
      <c r="B544" s="12" t="s">
        <v>81</v>
      </c>
      <c r="C544">
        <v>220145000.17743692</v>
      </c>
      <c r="D544">
        <v>224334501.51882109</v>
      </c>
      <c r="E544">
        <v>1101801.801801804</v>
      </c>
      <c r="F544">
        <v>1294594.594594595</v>
      </c>
      <c r="G544">
        <v>37</v>
      </c>
      <c r="H544">
        <v>26</v>
      </c>
      <c r="K544">
        <v>52</v>
      </c>
      <c r="L544">
        <v>50</v>
      </c>
      <c r="M544">
        <v>18611711.711711712</v>
      </c>
      <c r="N544">
        <v>27333333.333333332</v>
      </c>
      <c r="O544">
        <v>78977887.387387395</v>
      </c>
      <c r="P544">
        <v>83092313.51351352</v>
      </c>
      <c r="Q544">
        <v>21249099.0990991</v>
      </c>
      <c r="R544">
        <v>25676306.306306306</v>
      </c>
      <c r="S544">
        <v>4769</v>
      </c>
      <c r="T544">
        <v>5091</v>
      </c>
    </row>
    <row r="545" spans="1:20" x14ac:dyDescent="0.35">
      <c r="A545" s="7" t="s">
        <v>643</v>
      </c>
      <c r="B545" s="12" t="s">
        <v>170</v>
      </c>
      <c r="C545">
        <v>357442498.00269598</v>
      </c>
      <c r="D545">
        <v>389451739.05219197</v>
      </c>
      <c r="E545">
        <v>1190990.990990991</v>
      </c>
      <c r="F545">
        <v>2419819.8198198201</v>
      </c>
      <c r="G545">
        <v>36</v>
      </c>
      <c r="H545">
        <v>45</v>
      </c>
      <c r="I545">
        <v>2</v>
      </c>
      <c r="K545">
        <v>37</v>
      </c>
      <c r="L545">
        <v>48</v>
      </c>
      <c r="M545">
        <v>33303799.0990991</v>
      </c>
      <c r="N545">
        <v>35572972.972972974</v>
      </c>
      <c r="O545">
        <v>128616414.41441442</v>
      </c>
      <c r="P545">
        <v>150868702.70270273</v>
      </c>
      <c r="Q545">
        <v>29609639.639639638</v>
      </c>
      <c r="R545">
        <v>33873423.423423424</v>
      </c>
      <c r="S545">
        <v>8935</v>
      </c>
      <c r="T545">
        <v>8946</v>
      </c>
    </row>
    <row r="546" spans="1:20" x14ac:dyDescent="0.35">
      <c r="A546" s="7" t="s">
        <v>644</v>
      </c>
      <c r="B546" s="12" t="s">
        <v>59</v>
      </c>
      <c r="C546">
        <v>616914124.65113378</v>
      </c>
      <c r="D546">
        <v>627005274.97504056</v>
      </c>
      <c r="E546">
        <v>6223423.4234234244</v>
      </c>
      <c r="F546">
        <v>4715315.3153153257</v>
      </c>
      <c r="G546">
        <v>163</v>
      </c>
      <c r="H546">
        <v>123</v>
      </c>
      <c r="K546">
        <v>187</v>
      </c>
      <c r="L546">
        <v>159</v>
      </c>
      <c r="M546">
        <v>41938288.288288288</v>
      </c>
      <c r="N546">
        <v>76933783.783783793</v>
      </c>
      <c r="O546">
        <v>127582292.79279278</v>
      </c>
      <c r="P546">
        <v>133422709.9099099</v>
      </c>
      <c r="Q546">
        <v>46087837.837837838</v>
      </c>
      <c r="R546">
        <v>85786666.666666657</v>
      </c>
      <c r="S546">
        <v>18285</v>
      </c>
      <c r="T546">
        <v>18474</v>
      </c>
    </row>
    <row r="547" spans="1:20" x14ac:dyDescent="0.35">
      <c r="A547" s="7" t="s">
        <v>645</v>
      </c>
      <c r="B547" s="12" t="s">
        <v>59</v>
      </c>
      <c r="C547">
        <v>776185740.7044121</v>
      </c>
      <c r="D547">
        <v>804370806.77988374</v>
      </c>
      <c r="E547">
        <v>194701127.02702704</v>
      </c>
      <c r="F547">
        <v>294766408.1081081</v>
      </c>
      <c r="G547">
        <v>398</v>
      </c>
      <c r="H547">
        <v>318</v>
      </c>
      <c r="I547">
        <v>1</v>
      </c>
      <c r="K547">
        <v>533</v>
      </c>
      <c r="L547">
        <v>492</v>
      </c>
      <c r="M547">
        <v>127667567.56756756</v>
      </c>
      <c r="N547">
        <v>175264864.86486486</v>
      </c>
      <c r="O547">
        <v>222819554.05405405</v>
      </c>
      <c r="P547">
        <v>232598753.15315315</v>
      </c>
      <c r="Q547">
        <v>121693783.78378378</v>
      </c>
      <c r="R547">
        <v>177722201.8018018</v>
      </c>
      <c r="S547">
        <v>21753</v>
      </c>
      <c r="T547">
        <v>22453</v>
      </c>
    </row>
    <row r="548" spans="1:20" x14ac:dyDescent="0.35">
      <c r="A548" s="7" t="s">
        <v>646</v>
      </c>
      <c r="B548" s="12" t="s">
        <v>308</v>
      </c>
      <c r="C548">
        <v>254876094.07358742</v>
      </c>
      <c r="D548">
        <v>244775512.16420829</v>
      </c>
      <c r="E548">
        <v>1720720.7207207209</v>
      </c>
      <c r="F548">
        <v>1672072.072072072</v>
      </c>
      <c r="G548">
        <v>18</v>
      </c>
      <c r="H548">
        <v>19</v>
      </c>
      <c r="K548">
        <v>20</v>
      </c>
      <c r="L548">
        <v>26</v>
      </c>
      <c r="M548">
        <v>4773873.8738738727</v>
      </c>
      <c r="N548">
        <v>4922072.0720720729</v>
      </c>
      <c r="O548">
        <v>42669608.108108111</v>
      </c>
      <c r="P548">
        <v>45247283.783783786</v>
      </c>
      <c r="Q548">
        <v>4544684.6846846836</v>
      </c>
      <c r="R548">
        <v>4894234.2342342343</v>
      </c>
      <c r="S548">
        <v>5114</v>
      </c>
      <c r="T548">
        <v>5193</v>
      </c>
    </row>
    <row r="549" spans="1:20" x14ac:dyDescent="0.35">
      <c r="A549" s="7" t="s">
        <v>13</v>
      </c>
      <c r="B549" s="12" t="s">
        <v>159</v>
      </c>
      <c r="C549">
        <v>287022511.12714487</v>
      </c>
      <c r="D549">
        <v>274824001.20752674</v>
      </c>
      <c r="E549">
        <v>94715315.315315321</v>
      </c>
      <c r="F549">
        <v>314675225.22522521</v>
      </c>
      <c r="G549">
        <v>51</v>
      </c>
      <c r="H549">
        <v>92</v>
      </c>
      <c r="K549">
        <v>230</v>
      </c>
      <c r="L549">
        <v>137</v>
      </c>
      <c r="M549">
        <v>77989774.77477479</v>
      </c>
      <c r="N549">
        <v>92307432.432432428</v>
      </c>
      <c r="O549">
        <v>167218036.03603604</v>
      </c>
      <c r="P549">
        <v>158877072.07207206</v>
      </c>
      <c r="Q549">
        <v>58512745.945945941</v>
      </c>
      <c r="R549">
        <v>69022702.702702701</v>
      </c>
      <c r="S549">
        <v>7265</v>
      </c>
      <c r="T549">
        <v>7281</v>
      </c>
    </row>
    <row r="550" spans="1:20" x14ac:dyDescent="0.35">
      <c r="A550" s="7" t="s">
        <v>647</v>
      </c>
      <c r="B550" s="12" t="s">
        <v>122</v>
      </c>
      <c r="C550">
        <v>198633460.57690987</v>
      </c>
      <c r="D550">
        <v>204319493.79469568</v>
      </c>
      <c r="E550">
        <v>149549.54954954999</v>
      </c>
      <c r="F550">
        <v>45045.045045045001</v>
      </c>
      <c r="G550">
        <v>44</v>
      </c>
      <c r="H550">
        <v>57</v>
      </c>
      <c r="K550">
        <v>48</v>
      </c>
      <c r="L550">
        <v>58</v>
      </c>
      <c r="M550">
        <v>1144144.1441441439</v>
      </c>
      <c r="N550">
        <v>675675.67567567504</v>
      </c>
      <c r="O550">
        <v>17169925.675675675</v>
      </c>
      <c r="P550">
        <v>20460340.540540542</v>
      </c>
      <c r="Q550">
        <v>885045.04504504602</v>
      </c>
      <c r="R550">
        <v>553153.15315315302</v>
      </c>
      <c r="S550">
        <v>3173</v>
      </c>
      <c r="T550">
        <v>3961</v>
      </c>
    </row>
    <row r="551" spans="1:20" x14ac:dyDescent="0.35">
      <c r="A551" s="7" t="s">
        <v>648</v>
      </c>
      <c r="B551" s="12" t="s">
        <v>316</v>
      </c>
      <c r="C551">
        <v>70267062.437783331</v>
      </c>
      <c r="D551">
        <v>62225932.015967228</v>
      </c>
      <c r="E551">
        <v>1258558.5585585581</v>
      </c>
      <c r="F551">
        <v>1199099.0990991041</v>
      </c>
      <c r="G551">
        <v>32</v>
      </c>
      <c r="H551">
        <v>9</v>
      </c>
      <c r="K551">
        <v>36</v>
      </c>
      <c r="L551">
        <v>11</v>
      </c>
      <c r="M551">
        <v>11681981.98198198</v>
      </c>
      <c r="N551">
        <v>19678828.82882883</v>
      </c>
      <c r="O551">
        <v>18212441.441441439</v>
      </c>
      <c r="P551">
        <v>17920837.837837838</v>
      </c>
      <c r="Q551">
        <v>12893873.873873873</v>
      </c>
      <c r="R551">
        <v>16249099.0990991</v>
      </c>
      <c r="S551">
        <v>1252</v>
      </c>
      <c r="T551">
        <v>1292</v>
      </c>
    </row>
    <row r="552" spans="1:20" x14ac:dyDescent="0.35">
      <c r="A552" s="7" t="s">
        <v>649</v>
      </c>
      <c r="B552" s="12" t="s">
        <v>261</v>
      </c>
      <c r="C552">
        <v>182874128.1267297</v>
      </c>
      <c r="D552">
        <v>200518568.37097824</v>
      </c>
      <c r="E552">
        <v>1179504.5045045039</v>
      </c>
      <c r="F552">
        <v>762162.16216216295</v>
      </c>
      <c r="G552">
        <v>49</v>
      </c>
      <c r="H552">
        <v>35</v>
      </c>
      <c r="K552">
        <v>54</v>
      </c>
      <c r="L552">
        <v>38</v>
      </c>
      <c r="M552">
        <v>39010810.810810804</v>
      </c>
      <c r="N552">
        <v>32329729.729729727</v>
      </c>
      <c r="O552">
        <v>59360891.891891897</v>
      </c>
      <c r="P552">
        <v>69198162.162162155</v>
      </c>
      <c r="Q552">
        <v>38633963.963963971</v>
      </c>
      <c r="R552">
        <v>38276756.75675676</v>
      </c>
      <c r="S552">
        <v>4310</v>
      </c>
      <c r="T552">
        <v>4659</v>
      </c>
    </row>
    <row r="553" spans="1:20" x14ac:dyDescent="0.35">
      <c r="A553" s="7" t="s">
        <v>650</v>
      </c>
      <c r="B553" s="12" t="s">
        <v>225</v>
      </c>
      <c r="C553">
        <v>174047603.56485972</v>
      </c>
      <c r="D553">
        <v>213068920.20140898</v>
      </c>
      <c r="E553">
        <v>1338513.513513515</v>
      </c>
      <c r="F553">
        <v>1009909.909909911</v>
      </c>
      <c r="G553">
        <v>52</v>
      </c>
      <c r="H553">
        <v>58</v>
      </c>
      <c r="K553">
        <v>60</v>
      </c>
      <c r="L553">
        <v>70</v>
      </c>
      <c r="M553">
        <v>15395855.855855858</v>
      </c>
      <c r="N553">
        <v>15841801.801801799</v>
      </c>
      <c r="O553">
        <v>41638369.369369365</v>
      </c>
      <c r="P553">
        <v>52136837.837837838</v>
      </c>
      <c r="Q553">
        <v>15294054.054054055</v>
      </c>
      <c r="R553">
        <v>14020720.72072072</v>
      </c>
      <c r="S553">
        <v>5513</v>
      </c>
      <c r="T553">
        <v>5768</v>
      </c>
    </row>
    <row r="554" spans="1:20" x14ac:dyDescent="0.35">
      <c r="A554" s="7" t="s">
        <v>651</v>
      </c>
      <c r="B554" s="12" t="s">
        <v>225</v>
      </c>
      <c r="C554">
        <v>141137626.55254209</v>
      </c>
      <c r="D554">
        <v>169856169.56333077</v>
      </c>
      <c r="E554">
        <v>118915315.31531531</v>
      </c>
      <c r="F554">
        <v>156742342.34234235</v>
      </c>
      <c r="G554">
        <v>28</v>
      </c>
      <c r="H554">
        <v>35</v>
      </c>
      <c r="K554">
        <v>31</v>
      </c>
      <c r="L554">
        <v>36</v>
      </c>
      <c r="M554">
        <v>11634234.234234232</v>
      </c>
      <c r="N554">
        <v>8347747.7477477472</v>
      </c>
      <c r="O554">
        <v>20857603.603603605</v>
      </c>
      <c r="P554">
        <v>28313135.135135137</v>
      </c>
      <c r="Q554">
        <v>6425225.2252252223</v>
      </c>
      <c r="R554">
        <v>5871801.8018017989</v>
      </c>
      <c r="S554">
        <v>3099</v>
      </c>
      <c r="T554">
        <v>3127</v>
      </c>
    </row>
    <row r="555" spans="1:20" x14ac:dyDescent="0.35">
      <c r="A555" s="7" t="s">
        <v>652</v>
      </c>
      <c r="B555" s="12" t="s">
        <v>225</v>
      </c>
      <c r="C555">
        <v>541730246.58318341</v>
      </c>
      <c r="D555">
        <v>630562898.62256706</v>
      </c>
      <c r="E555">
        <v>120560363.96396397</v>
      </c>
      <c r="F555">
        <v>168868307.2072072</v>
      </c>
      <c r="G555">
        <v>186</v>
      </c>
      <c r="H555">
        <v>198</v>
      </c>
      <c r="K555">
        <v>285</v>
      </c>
      <c r="L555">
        <v>248</v>
      </c>
      <c r="M555">
        <v>96504504.504504502</v>
      </c>
      <c r="N555">
        <v>115199459.45945945</v>
      </c>
      <c r="O555">
        <v>136533319.81981984</v>
      </c>
      <c r="P555">
        <v>162479063.06306309</v>
      </c>
      <c r="Q555">
        <v>78927477.477477476</v>
      </c>
      <c r="R555">
        <v>95735675.675675675</v>
      </c>
      <c r="S555">
        <v>18305</v>
      </c>
      <c r="T555">
        <v>18534</v>
      </c>
    </row>
    <row r="556" spans="1:20" x14ac:dyDescent="0.35">
      <c r="A556" s="7" t="s">
        <v>653</v>
      </c>
      <c r="B556" s="12" t="s">
        <v>225</v>
      </c>
      <c r="C556">
        <v>68410433.56329371</v>
      </c>
      <c r="D556">
        <v>79774582.880161583</v>
      </c>
      <c r="E556">
        <v>207207.207207208</v>
      </c>
      <c r="F556">
        <v>59459.459459459998</v>
      </c>
      <c r="G556">
        <v>15</v>
      </c>
      <c r="H556">
        <v>14</v>
      </c>
      <c r="K556">
        <v>17</v>
      </c>
      <c r="L556">
        <v>14</v>
      </c>
      <c r="M556">
        <v>1648648.6486486481</v>
      </c>
      <c r="N556">
        <v>2311711.7117117108</v>
      </c>
      <c r="O556">
        <v>11237063.063063065</v>
      </c>
      <c r="P556">
        <v>14743790.990990993</v>
      </c>
      <c r="Q556">
        <v>1290540.5405405399</v>
      </c>
      <c r="R556">
        <v>1212252.2522522521</v>
      </c>
      <c r="S556">
        <v>1720</v>
      </c>
      <c r="T556">
        <v>1889</v>
      </c>
    </row>
    <row r="557" spans="1:20" x14ac:dyDescent="0.35">
      <c r="A557" s="7" t="s">
        <v>654</v>
      </c>
      <c r="B557" s="12" t="s">
        <v>97</v>
      </c>
      <c r="C557">
        <v>346464851.86883301</v>
      </c>
      <c r="D557">
        <v>340427291.1442818</v>
      </c>
      <c r="E557">
        <v>110568747.74774775</v>
      </c>
      <c r="F557">
        <v>139897464.86486486</v>
      </c>
      <c r="G557">
        <v>177</v>
      </c>
      <c r="H557">
        <v>86</v>
      </c>
      <c r="K557">
        <v>192</v>
      </c>
      <c r="L557">
        <v>103</v>
      </c>
      <c r="M557">
        <v>64922378.378378376</v>
      </c>
      <c r="N557">
        <v>18252252.252252251</v>
      </c>
      <c r="O557">
        <v>49100531.531531528</v>
      </c>
      <c r="P557">
        <v>45259657.657657653</v>
      </c>
      <c r="Q557">
        <v>5831621.6216216227</v>
      </c>
      <c r="R557">
        <v>14089819.819819819</v>
      </c>
      <c r="S557">
        <v>8722</v>
      </c>
      <c r="T557">
        <v>8224</v>
      </c>
    </row>
    <row r="558" spans="1:20" x14ac:dyDescent="0.35">
      <c r="A558" s="7" t="s">
        <v>655</v>
      </c>
      <c r="B558" s="12" t="s">
        <v>67</v>
      </c>
      <c r="C558">
        <v>215513636.69308311</v>
      </c>
      <c r="D558">
        <v>198751366.02942589</v>
      </c>
      <c r="E558">
        <v>5295495.4954954972</v>
      </c>
      <c r="F558">
        <v>4127927.9279279271</v>
      </c>
      <c r="G558">
        <v>80</v>
      </c>
      <c r="H558">
        <v>46</v>
      </c>
      <c r="K558">
        <v>87</v>
      </c>
      <c r="L558">
        <v>49</v>
      </c>
      <c r="M558">
        <v>79015135.135135129</v>
      </c>
      <c r="N558">
        <v>64042297.297297299</v>
      </c>
      <c r="O558">
        <v>139332144.14414415</v>
      </c>
      <c r="P558">
        <v>131752405.4054054</v>
      </c>
      <c r="Q558">
        <v>63159459.459459461</v>
      </c>
      <c r="R558">
        <v>58974189.189189196</v>
      </c>
      <c r="S558">
        <v>5415</v>
      </c>
      <c r="T558">
        <v>5409</v>
      </c>
    </row>
    <row r="559" spans="1:20" x14ac:dyDescent="0.35">
      <c r="A559" s="7" t="s">
        <v>656</v>
      </c>
      <c r="B559" s="12" t="s">
        <v>69</v>
      </c>
      <c r="C559">
        <v>337136738.13569438</v>
      </c>
      <c r="D559">
        <v>348010201.74614549</v>
      </c>
      <c r="E559">
        <v>971171.17117117299</v>
      </c>
      <c r="F559">
        <v>372072.072072073</v>
      </c>
      <c r="G559">
        <v>60</v>
      </c>
      <c r="H559">
        <v>36</v>
      </c>
      <c r="I559">
        <v>1</v>
      </c>
      <c r="K559">
        <v>63</v>
      </c>
      <c r="L559">
        <v>43</v>
      </c>
      <c r="M559">
        <v>15436936.936936935</v>
      </c>
      <c r="N559">
        <v>19075675.675675675</v>
      </c>
      <c r="O559">
        <v>46664045.045045048</v>
      </c>
      <c r="P559">
        <v>52894981.981981985</v>
      </c>
      <c r="Q559">
        <v>12136306.306306304</v>
      </c>
      <c r="R559">
        <v>15356486.486486487</v>
      </c>
      <c r="S559">
        <v>7018</v>
      </c>
      <c r="T559">
        <v>7408</v>
      </c>
    </row>
    <row r="560" spans="1:20" x14ac:dyDescent="0.35">
      <c r="A560" s="7" t="s">
        <v>14</v>
      </c>
      <c r="B560" s="12" t="s">
        <v>159</v>
      </c>
      <c r="C560">
        <v>147205784.42166126</v>
      </c>
      <c r="D560">
        <v>152626377.73059314</v>
      </c>
      <c r="E560">
        <v>854954.95495495806</v>
      </c>
      <c r="F560">
        <v>160360.36036036201</v>
      </c>
      <c r="G560">
        <v>21</v>
      </c>
      <c r="H560">
        <v>20</v>
      </c>
      <c r="K560">
        <v>24</v>
      </c>
      <c r="L560">
        <v>23</v>
      </c>
      <c r="M560">
        <v>30068468.468468472</v>
      </c>
      <c r="N560">
        <v>25063513.513513513</v>
      </c>
      <c r="O560">
        <v>49693063.063063063</v>
      </c>
      <c r="P560">
        <v>53388513.513513513</v>
      </c>
      <c r="Q560">
        <v>33100180.180180181</v>
      </c>
      <c r="R560">
        <v>22704324.324324325</v>
      </c>
      <c r="S560">
        <v>3915</v>
      </c>
      <c r="T560">
        <v>3974</v>
      </c>
    </row>
    <row r="561" spans="1:20" x14ac:dyDescent="0.35">
      <c r="A561" s="7" t="s">
        <v>657</v>
      </c>
      <c r="B561" s="12" t="s">
        <v>305</v>
      </c>
      <c r="C561">
        <v>160814960.17962837</v>
      </c>
      <c r="D561">
        <v>165692760.64265046</v>
      </c>
      <c r="E561">
        <v>639639.63963963802</v>
      </c>
      <c r="F561">
        <v>520720.72072072001</v>
      </c>
      <c r="G561">
        <v>45</v>
      </c>
      <c r="H561">
        <v>39</v>
      </c>
      <c r="K561">
        <v>52</v>
      </c>
      <c r="L561">
        <v>44</v>
      </c>
      <c r="M561">
        <v>26481081.081081081</v>
      </c>
      <c r="N561">
        <v>27133333.333333336</v>
      </c>
      <c r="O561">
        <v>43186184.684684686</v>
      </c>
      <c r="P561">
        <v>53550306.306306303</v>
      </c>
      <c r="Q561">
        <v>24557747.747747753</v>
      </c>
      <c r="R561">
        <v>26230450.45045045</v>
      </c>
      <c r="S561">
        <v>3093</v>
      </c>
      <c r="T561">
        <v>3104</v>
      </c>
    </row>
    <row r="562" spans="1:20" x14ac:dyDescent="0.35">
      <c r="A562" s="7" t="s">
        <v>658</v>
      </c>
      <c r="B562" s="12" t="s">
        <v>49</v>
      </c>
      <c r="C562">
        <v>193638050.01940793</v>
      </c>
      <c r="D562">
        <v>195433711.14989239</v>
      </c>
      <c r="E562">
        <v>1092792.7927927941</v>
      </c>
      <c r="F562">
        <v>2854954.9549549599</v>
      </c>
      <c r="G562">
        <v>51</v>
      </c>
      <c r="H562">
        <v>10</v>
      </c>
      <c r="K562">
        <v>120</v>
      </c>
      <c r="L562">
        <v>10</v>
      </c>
      <c r="M562">
        <v>52202702.702702701</v>
      </c>
      <c r="N562">
        <v>17842342.342342339</v>
      </c>
      <c r="O562">
        <v>62339027.027027026</v>
      </c>
      <c r="P562">
        <v>61248459.459459454</v>
      </c>
      <c r="Q562">
        <v>41165225.225225225</v>
      </c>
      <c r="R562">
        <v>17921891.891891893</v>
      </c>
      <c r="S562">
        <v>3567</v>
      </c>
      <c r="T562">
        <v>3159</v>
      </c>
    </row>
    <row r="563" spans="1:20" x14ac:dyDescent="0.35">
      <c r="A563" s="7" t="s">
        <v>659</v>
      </c>
      <c r="B563" s="12" t="s">
        <v>55</v>
      </c>
      <c r="C563">
        <v>64694672.518131837</v>
      </c>
      <c r="D563">
        <v>66301720.474568374</v>
      </c>
      <c r="E563">
        <v>520720.72072072001</v>
      </c>
      <c r="F563">
        <v>2704504.5045045051</v>
      </c>
      <c r="H563">
        <v>10</v>
      </c>
      <c r="L563">
        <v>19</v>
      </c>
      <c r="M563">
        <v>5047747.7477477482</v>
      </c>
      <c r="N563">
        <v>7506306.3063063072</v>
      </c>
      <c r="O563">
        <v>15170630.630630633</v>
      </c>
      <c r="P563">
        <v>15884351.351351352</v>
      </c>
      <c r="Q563">
        <v>4519459.4594594603</v>
      </c>
      <c r="R563">
        <v>5710450.4504504511</v>
      </c>
      <c r="S563">
        <v>1529</v>
      </c>
      <c r="T563">
        <v>1591</v>
      </c>
    </row>
    <row r="564" spans="1:20" x14ac:dyDescent="0.35">
      <c r="A564" s="7" t="s">
        <v>660</v>
      </c>
      <c r="B564" s="12" t="s">
        <v>51</v>
      </c>
      <c r="C564">
        <v>281143828.35689873</v>
      </c>
      <c r="D564">
        <v>296497479.19218683</v>
      </c>
      <c r="E564">
        <v>249604465.76576576</v>
      </c>
      <c r="F564">
        <v>151257082.88288289</v>
      </c>
      <c r="G564">
        <v>44</v>
      </c>
      <c r="H564">
        <v>13</v>
      </c>
      <c r="K564">
        <v>59</v>
      </c>
      <c r="L564">
        <v>17</v>
      </c>
      <c r="M564">
        <v>146073693.6936937</v>
      </c>
      <c r="N564">
        <v>160663333.33333334</v>
      </c>
      <c r="O564">
        <v>141715864.86486486</v>
      </c>
      <c r="P564">
        <v>151666792.7927928</v>
      </c>
      <c r="Q564">
        <v>57845765.765765771</v>
      </c>
      <c r="R564">
        <v>59041441.441441439</v>
      </c>
      <c r="S564">
        <v>5801</v>
      </c>
      <c r="T564">
        <v>5876</v>
      </c>
    </row>
    <row r="565" spans="1:20" x14ac:dyDescent="0.35">
      <c r="A565" s="7" t="s">
        <v>661</v>
      </c>
      <c r="B565" s="12" t="s">
        <v>84</v>
      </c>
      <c r="C565">
        <v>345439017.46906596</v>
      </c>
      <c r="D565">
        <v>340743918.37957209</v>
      </c>
      <c r="E565">
        <v>2812404.5045045051</v>
      </c>
      <c r="F565">
        <v>3500000.0000000009</v>
      </c>
      <c r="G565">
        <v>104</v>
      </c>
      <c r="H565">
        <v>98</v>
      </c>
      <c r="K565">
        <v>120</v>
      </c>
      <c r="L565">
        <v>121</v>
      </c>
      <c r="M565">
        <v>55721983.783783793</v>
      </c>
      <c r="N565">
        <v>42305180.180180177</v>
      </c>
      <c r="O565">
        <v>89115630.630630627</v>
      </c>
      <c r="P565">
        <v>94193890.090090096</v>
      </c>
      <c r="Q565">
        <v>30085540.540540539</v>
      </c>
      <c r="R565">
        <v>35802117.117117114</v>
      </c>
      <c r="S565">
        <v>8891</v>
      </c>
      <c r="T565">
        <v>8950</v>
      </c>
    </row>
    <row r="566" spans="1:20" x14ac:dyDescent="0.35">
      <c r="A566" s="7" t="s">
        <v>653</v>
      </c>
      <c r="B566" s="12" t="s">
        <v>225</v>
      </c>
      <c r="C566">
        <v>62301544.8229234</v>
      </c>
      <c r="D566">
        <v>71377129.029889196</v>
      </c>
      <c r="E566">
        <v>207207.207207208</v>
      </c>
      <c r="F566">
        <v>58558.558558559002</v>
      </c>
      <c r="G566">
        <v>13</v>
      </c>
      <c r="H566">
        <v>13</v>
      </c>
      <c r="K566">
        <v>14</v>
      </c>
      <c r="L566">
        <v>13</v>
      </c>
      <c r="M566">
        <v>1108108.1081081079</v>
      </c>
      <c r="N566">
        <v>2310810.81081081</v>
      </c>
      <c r="O566">
        <v>10288459.459459459</v>
      </c>
      <c r="P566">
        <v>13497169.369369367</v>
      </c>
      <c r="Q566">
        <v>1260810.8108108109</v>
      </c>
      <c r="R566">
        <v>1083333.333333333</v>
      </c>
      <c r="S566">
        <v>1736</v>
      </c>
      <c r="T566">
        <v>1759</v>
      </c>
    </row>
    <row r="567" spans="1:20" x14ac:dyDescent="0.35">
      <c r="A567" s="7" t="s">
        <v>654</v>
      </c>
      <c r="B567" s="12" t="s">
        <v>97</v>
      </c>
      <c r="C567">
        <v>309909210.15658551</v>
      </c>
      <c r="D567">
        <v>309048383.33268827</v>
      </c>
      <c r="E567">
        <v>730630.63063063298</v>
      </c>
      <c r="F567">
        <v>1213513.5135135141</v>
      </c>
      <c r="G567">
        <v>161</v>
      </c>
      <c r="H567">
        <v>69</v>
      </c>
      <c r="K567">
        <v>173</v>
      </c>
      <c r="L567">
        <v>85</v>
      </c>
      <c r="M567">
        <v>6692792.7927927943</v>
      </c>
      <c r="N567">
        <v>15630630.630630633</v>
      </c>
      <c r="O567">
        <v>44036747.747747742</v>
      </c>
      <c r="P567">
        <v>40410855.855855852</v>
      </c>
      <c r="Q567">
        <v>5383783.7837837832</v>
      </c>
      <c r="R567">
        <v>11499639.63963964</v>
      </c>
      <c r="S567">
        <v>8441</v>
      </c>
      <c r="T567">
        <v>8320</v>
      </c>
    </row>
    <row r="568" spans="1:20" x14ac:dyDescent="0.35">
      <c r="A568" s="7" t="s">
        <v>655</v>
      </c>
      <c r="B568" s="12" t="s">
        <v>67</v>
      </c>
      <c r="C568">
        <v>193275154.44886276</v>
      </c>
      <c r="D568">
        <v>175850750.13964742</v>
      </c>
      <c r="E568">
        <v>3045945.9459459451</v>
      </c>
      <c r="F568">
        <v>3582882.8828828819</v>
      </c>
      <c r="G568">
        <v>74</v>
      </c>
      <c r="H568">
        <v>37</v>
      </c>
      <c r="K568">
        <v>80</v>
      </c>
      <c r="L568">
        <v>39</v>
      </c>
      <c r="M568">
        <v>73264324.324324325</v>
      </c>
      <c r="N568">
        <v>60781036.036036029</v>
      </c>
      <c r="O568">
        <v>124865162.16216215</v>
      </c>
      <c r="P568">
        <v>116105468.46846846</v>
      </c>
      <c r="Q568">
        <v>47677837.837837838</v>
      </c>
      <c r="R568">
        <v>49236891.891891889</v>
      </c>
      <c r="S568">
        <v>5259</v>
      </c>
      <c r="T568">
        <v>5592</v>
      </c>
    </row>
    <row r="569" spans="1:20" x14ac:dyDescent="0.35">
      <c r="A569" s="7" t="s">
        <v>656</v>
      </c>
      <c r="B569" s="12" t="s">
        <v>69</v>
      </c>
      <c r="C569">
        <v>300738616.4619379</v>
      </c>
      <c r="D569">
        <v>315286171.68226177</v>
      </c>
      <c r="E569">
        <v>944144.144144146</v>
      </c>
      <c r="F569">
        <v>358558.55855855998</v>
      </c>
      <c r="G569">
        <v>58</v>
      </c>
      <c r="H569">
        <v>35</v>
      </c>
      <c r="K569">
        <v>62</v>
      </c>
      <c r="L569">
        <v>41</v>
      </c>
      <c r="M569">
        <v>12055855.855855856</v>
      </c>
      <c r="N569">
        <v>18997297.297297299</v>
      </c>
      <c r="O569">
        <v>41228288.288288288</v>
      </c>
      <c r="P569">
        <v>48045261.261261262</v>
      </c>
      <c r="Q569">
        <v>10740810.810810812</v>
      </c>
      <c r="R569">
        <v>14817657.657657661</v>
      </c>
      <c r="S569">
        <v>6091</v>
      </c>
      <c r="T569">
        <v>6912</v>
      </c>
    </row>
    <row r="570" spans="1:20" x14ac:dyDescent="0.35">
      <c r="A570" s="7" t="s">
        <v>14</v>
      </c>
      <c r="B570" s="12" t="s">
        <v>159</v>
      </c>
      <c r="C570">
        <v>132298469.86364251</v>
      </c>
      <c r="D570">
        <v>137635055.77657807</v>
      </c>
      <c r="E570">
        <v>830630.63063063298</v>
      </c>
      <c r="F570">
        <v>160360.36036036201</v>
      </c>
      <c r="G570">
        <v>19</v>
      </c>
      <c r="H570">
        <v>18</v>
      </c>
      <c r="K570">
        <v>22</v>
      </c>
      <c r="L570">
        <v>22</v>
      </c>
      <c r="M570">
        <v>29449549.549549554</v>
      </c>
      <c r="N570">
        <v>19658108.108108107</v>
      </c>
      <c r="O570">
        <v>45125450.45045045</v>
      </c>
      <c r="P570">
        <v>48412369.369369365</v>
      </c>
      <c r="Q570">
        <v>32098468.468468472</v>
      </c>
      <c r="R570">
        <v>20217927.927927926</v>
      </c>
      <c r="S570">
        <v>3806</v>
      </c>
      <c r="T570">
        <v>4089</v>
      </c>
    </row>
    <row r="571" spans="1:20" x14ac:dyDescent="0.35">
      <c r="A571" s="7" t="s">
        <v>657</v>
      </c>
      <c r="B571" s="12" t="s">
        <v>305</v>
      </c>
      <c r="C571">
        <v>143432369.34788302</v>
      </c>
      <c r="D571">
        <v>150073366.98743346</v>
      </c>
      <c r="E571">
        <v>578378.37837837695</v>
      </c>
      <c r="F571">
        <v>493693.69369369303</v>
      </c>
      <c r="G571">
        <v>24</v>
      </c>
      <c r="H571">
        <v>37</v>
      </c>
      <c r="K571">
        <v>28</v>
      </c>
      <c r="L571">
        <v>40</v>
      </c>
      <c r="M571">
        <v>21942342.342342343</v>
      </c>
      <c r="N571">
        <v>27106306.306306306</v>
      </c>
      <c r="O571">
        <v>36547806.306306303</v>
      </c>
      <c r="P571">
        <v>48923279.279279277</v>
      </c>
      <c r="Q571">
        <v>21219099.0990991</v>
      </c>
      <c r="R571">
        <v>24647837.837837841</v>
      </c>
      <c r="S571">
        <v>3070</v>
      </c>
      <c r="T571">
        <v>3084</v>
      </c>
    </row>
    <row r="572" spans="1:20" x14ac:dyDescent="0.35">
      <c r="A572" s="7" t="s">
        <v>658</v>
      </c>
      <c r="B572" s="12" t="s">
        <v>49</v>
      </c>
      <c r="C572">
        <v>173158008.08994815</v>
      </c>
      <c r="D572">
        <v>178064778.39322439</v>
      </c>
      <c r="E572">
        <v>863963.96396396495</v>
      </c>
      <c r="F572">
        <v>2760360.3603603649</v>
      </c>
      <c r="G572">
        <v>26</v>
      </c>
      <c r="H572">
        <v>9</v>
      </c>
      <c r="K572">
        <v>31</v>
      </c>
      <c r="L572">
        <v>9</v>
      </c>
      <c r="M572">
        <v>41685585.585585587</v>
      </c>
      <c r="N572">
        <v>17297297.297297295</v>
      </c>
      <c r="O572">
        <v>53455018.018018015</v>
      </c>
      <c r="P572">
        <v>55238369.369369365</v>
      </c>
      <c r="Q572">
        <v>37620630.630630635</v>
      </c>
      <c r="R572">
        <v>17836306.306306306</v>
      </c>
      <c r="S572">
        <v>3216</v>
      </c>
      <c r="T572">
        <v>3056</v>
      </c>
    </row>
    <row r="573" spans="1:20" x14ac:dyDescent="0.35">
      <c r="A573" s="7" t="s">
        <v>659</v>
      </c>
      <c r="B573" s="12" t="s">
        <v>55</v>
      </c>
      <c r="C573">
        <v>58499163.264758267</v>
      </c>
      <c r="D573">
        <v>59794834.12491186</v>
      </c>
      <c r="E573">
        <v>250450.45045045001</v>
      </c>
      <c r="F573">
        <v>2578378.3783783801</v>
      </c>
      <c r="H573">
        <v>9</v>
      </c>
      <c r="L573">
        <v>19</v>
      </c>
      <c r="M573">
        <v>4056756.7567567569</v>
      </c>
      <c r="N573">
        <v>7380180.1801801799</v>
      </c>
      <c r="O573">
        <v>13809774.774774777</v>
      </c>
      <c r="P573">
        <v>14329891.891891891</v>
      </c>
      <c r="Q573">
        <v>4280720.7207207223</v>
      </c>
      <c r="R573">
        <v>5291261.2612612611</v>
      </c>
      <c r="S573">
        <v>1497</v>
      </c>
      <c r="T573">
        <v>1598</v>
      </c>
    </row>
    <row r="574" spans="1:20" x14ac:dyDescent="0.35">
      <c r="A574" s="7" t="s">
        <v>660</v>
      </c>
      <c r="B574" s="12" t="s">
        <v>51</v>
      </c>
      <c r="C574">
        <v>253747315.66371119</v>
      </c>
      <c r="D574">
        <v>267983116.39670351</v>
      </c>
      <c r="E574">
        <v>1028828.828828831</v>
      </c>
      <c r="F574">
        <v>1212612.6126126121</v>
      </c>
      <c r="G574">
        <v>41</v>
      </c>
      <c r="H574">
        <v>9</v>
      </c>
      <c r="K574">
        <v>54</v>
      </c>
      <c r="L574">
        <v>14</v>
      </c>
      <c r="M574">
        <v>55152432.432432435</v>
      </c>
      <c r="N574">
        <v>50409279.279279277</v>
      </c>
      <c r="O574">
        <v>127004963.96396397</v>
      </c>
      <c r="P574">
        <v>135096540.54054055</v>
      </c>
      <c r="Q574">
        <v>50698918.918918923</v>
      </c>
      <c r="R574">
        <v>51922342.342342347</v>
      </c>
      <c r="S574">
        <v>5817</v>
      </c>
      <c r="T574">
        <v>5732</v>
      </c>
    </row>
    <row r="575" spans="1:20" x14ac:dyDescent="0.35">
      <c r="A575" s="7" t="s">
        <v>661</v>
      </c>
      <c r="B575" s="12" t="s">
        <v>84</v>
      </c>
      <c r="C575">
        <v>311422534.01624048</v>
      </c>
      <c r="D575">
        <v>308922578.58725983</v>
      </c>
      <c r="E575">
        <v>2315107.207207208</v>
      </c>
      <c r="F575">
        <v>3053153.1531531578</v>
      </c>
      <c r="G575">
        <v>98</v>
      </c>
      <c r="H575">
        <v>91</v>
      </c>
      <c r="K575">
        <v>114</v>
      </c>
      <c r="L575">
        <v>112</v>
      </c>
      <c r="M575">
        <v>53210722.522522531</v>
      </c>
      <c r="N575">
        <v>41858333.333333336</v>
      </c>
      <c r="O575">
        <v>80130225.225225225</v>
      </c>
      <c r="P575">
        <v>85384511.711711705</v>
      </c>
      <c r="Q575">
        <v>27515900.900900904</v>
      </c>
      <c r="R575">
        <v>31656351.351351351</v>
      </c>
      <c r="S575">
        <v>8825</v>
      </c>
      <c r="T575">
        <v>8921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2026-08-21T13:09:38Z</dcterms:modified>
</cp:coreProperties>
</file>