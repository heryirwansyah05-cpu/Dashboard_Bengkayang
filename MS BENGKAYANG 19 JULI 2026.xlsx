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<sst xmlns="http://schemas.openxmlformats.org/spreadsheetml/2006/main" count="68" uniqueCount="42">
  <si>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</si>
  <si>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</si>
  <si>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</si>
  <si>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</si>
  <si>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</si>
  <si>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</si>
  <si>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</si>
  <si>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</si>
  <si>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</si>
  <si>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</si>
  <si>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</si>
  <si>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</si>
  <si>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</si>
  <si>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</si>
  <si>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</si>
  <si>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</si>
  <si>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</si>
  <si>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</si>
  <si>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</si>
  <si>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</si>
  <si>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</si>
  <si>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</si>
  <si>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</si>
  <si>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</si>
  <si>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</si>
  <si>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</si>
  <si>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</si>
  <si>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</si>
  <si>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</si>
  <si>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</si>
  <si>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</si>
  <si>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</si>
  <si>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</si>
  <si>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</si>
  <si>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</si>
  <si>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</si>
  <si>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</si>
  <si>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</si>
  <si>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</si>
  <si>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</si>
  <si>
    <t>VLR SUBS MTD</t>
  </si>
  <si>
    <t>VLR SUBS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</si>
</sst>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  <xf numFmtId="0" fontId="2" fillId="2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N19"/>
  <sheetViews>
    <sheetView tabSelected="1" topLeftCell="E1" zoomScale="44" workbookViewId="0">
      <selection activeCell="M5" sqref="M5:N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3" width="18" style="2" bestFit="1" customWidth="1"/>
    <col min="14" max="14" width="19.08984375" style="2" bestFit="1" customWidth="1"/>
    <col min="15" max="16384" width="11.7265625" style="2"/>
  </cols>
  <sheetData>
    <row r="4" spans="1:14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4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  <c r="M5" s="3" t="s">
        <v>40</v>
      </c>
      <c r="N5" s="3" t="s">
        <v>41</v>
      </c>
    </row>
    <row r="6" spans="1:14" ht="64.5" customHeight="1" x14ac:dyDescent="0.35">
      <c r="A6" s="4" t="s">
        <v>2</v>
      </c>
      <c r="B6" s="1" t="s">
        <v>17</v>
      </c>
      <c r="C6" s="5">
        <f>VLOOKUP(A:A,MASTER!A:J,10,0)</f>
        <v>11435885.059074299</v>
      </c>
      <c r="D6" s="5">
        <f>VLOOKUP(A:A,MASTER!A:K,11,0)</f>
        <v>7512201.2733524209</v>
      </c>
      <c r="E6" s="5">
        <f>VLOOKUP(A:A,MASTER!A:H,8,0)</f>
        <v>40540.540540542002</v>
      </c>
      <c r="F6" s="5">
        <f>VLOOKUP(A:A,MASTER!A:I,9,0)</f>
        <v>90090.090090090001</v>
      </c>
      <c r="G6" s="5">
        <f>VLOOKUP(A:A,MASTER!A:F,6,0)</f>
        <v>40540.540540542002</v>
      </c>
      <c r="H6" s="5">
        <f>VLOOKUP(A:A,MASTER!A:G,7,0)</f>
        <v>180180.18018018</v>
      </c>
      <c r="I6" s="5">
        <f>VLOOKUP(A:A,MASTER!A:D,4,0)</f>
        <v>7065675.6756756762</v>
      </c>
      <c r="J6" s="5">
        <f>VLOOKUP(A:A,MASTER!A:E,5,0)</f>
        <v>4115666.666666667</v>
      </c>
      <c r="K6" s="5">
        <f>VLOOKUP(A:A,MASTER!A:B,2,0)</f>
        <v>157657.65765765801</v>
      </c>
      <c r="L6" s="5">
        <f>VLOOKUP(A:A,MASTER!A:C,3,0)</f>
        <v>203603.60360360399</v>
      </c>
      <c r="M6" s="12">
        <v>8054</v>
      </c>
      <c r="N6" s="12">
        <v>7964</v>
      </c>
    </row>
    <row r="7" spans="1:14" ht="64.5" customHeight="1" x14ac:dyDescent="0.35">
      <c r="A7" s="4" t="s">
        <v>6</v>
      </c>
      <c r="B7" s="1" t="s">
        <v>17</v>
      </c>
      <c r="C7" s="5">
        <f>VLOOKUP(A:A,MASTER!A:J,10,0)</f>
        <v>277758523.3629142</v>
      </c>
      <c r="D7" s="5">
        <f>VLOOKUP(A:A,MASTER!A:K,11,0)</f>
        <v>286604689.71433705</v>
      </c>
      <c r="E7" s="5">
        <f>VLOOKUP(A:A,MASTER!A:H,8,0)</f>
        <v>4900000.0000000093</v>
      </c>
      <c r="F7" s="5">
        <f>VLOOKUP(A:A,MASTER!A:I,9,0)</f>
        <v>4013513.5135135092</v>
      </c>
      <c r="G7" s="5">
        <f>VLOOKUP(A:A,MASTER!A:F,6,0)</f>
        <v>125583783.78378379</v>
      </c>
      <c r="H7" s="5">
        <f>VLOOKUP(A:A,MASTER!A:G,7,0)</f>
        <v>176542522.52252254</v>
      </c>
      <c r="I7" s="5">
        <f>VLOOKUP(A:A,MASTER!A:D,4,0)</f>
        <v>195797351.35135135</v>
      </c>
      <c r="J7" s="5">
        <f>VLOOKUP(A:A,MASTER!A:E,5,0)</f>
        <v>185211054.05405405</v>
      </c>
      <c r="K7" s="5">
        <f>VLOOKUP(A:A,MASTER!A:B,2,0)</f>
        <v>122320360.36036037</v>
      </c>
      <c r="L7" s="5">
        <f>VLOOKUP(A:A,MASTER!A:C,3,0)</f>
        <v>161384324.32432431</v>
      </c>
      <c r="M7" s="12">
        <v>1100</v>
      </c>
      <c r="N7" s="12">
        <v>34</v>
      </c>
    </row>
    <row r="8" spans="1:14" ht="64.5" customHeight="1" x14ac:dyDescent="0.35">
      <c r="A8" s="4" t="s">
        <v>7</v>
      </c>
      <c r="B8" s="1" t="s">
        <v>17</v>
      </c>
      <c r="C8" s="5">
        <f>VLOOKUP(A:A,MASTER!A:J,10,0)</f>
        <v>68804127.337667182</v>
      </c>
      <c r="D8" s="5">
        <f>VLOOKUP(A:A,MASTER!A:K,11,0)</f>
        <v>67518859.38323462</v>
      </c>
      <c r="E8" s="5">
        <f>VLOOKUP(A:A,MASTER!A:H,8,0)</f>
        <v>192792.792792794</v>
      </c>
      <c r="F8" s="5">
        <f>VLOOKUP(A:A,MASTER!A:I,9,0)</f>
        <v>37837.837837838</v>
      </c>
      <c r="G8" s="5">
        <f>VLOOKUP(A:A,MASTER!A:F,6,0)</f>
        <v>7053153.1531531513</v>
      </c>
      <c r="H8" s="5">
        <f>VLOOKUP(A:A,MASTER!A:G,7,0)</f>
        <v>19690990.990990993</v>
      </c>
      <c r="I8" s="5">
        <f>VLOOKUP(A:A,MASTER!A:D,4,0)</f>
        <v>49546756.756756753</v>
      </c>
      <c r="J8" s="5">
        <f>VLOOKUP(A:A,MASTER!A:E,5,0)</f>
        <v>44390981.981981985</v>
      </c>
      <c r="K8" s="5">
        <f>VLOOKUP(A:A,MASTER!A:B,2,0)</f>
        <v>9568468.4684684686</v>
      </c>
      <c r="L8" s="5">
        <f>VLOOKUP(A:A,MASTER!A:C,3,0)</f>
        <v>20761801.801801801</v>
      </c>
      <c r="M8" s="12">
        <v>3627</v>
      </c>
      <c r="N8" s="12">
        <v>3489</v>
      </c>
    </row>
    <row r="9" spans="1:14" ht="64.5" customHeight="1" x14ac:dyDescent="0.35">
      <c r="A9" s="4" t="s">
        <v>10</v>
      </c>
      <c r="B9" s="1" t="s">
        <v>17</v>
      </c>
      <c r="C9" s="5">
        <f>VLOOKUP(A:A,MASTER!A:J,10,0)</f>
        <v>75147468.387961403</v>
      </c>
      <c r="D9" s="5">
        <f>VLOOKUP(A:A,MASTER!A:K,11,0)</f>
        <v>79776886.755025342</v>
      </c>
      <c r="E9" s="5">
        <f>VLOOKUP(A:A,MASTER!A:H,8,0)</f>
        <v>250713227.02702704</v>
      </c>
      <c r="F9" s="5">
        <f>VLOOKUP(A:A,MASTER!A:I,9,0)</f>
        <v>203189164.86486486</v>
      </c>
      <c r="G9" s="5">
        <f>VLOOKUP(A:A,MASTER!A:F,6,0)</f>
        <v>786261.26126126095</v>
      </c>
      <c r="H9" s="5">
        <f>VLOOKUP(A:A,MASTER!A:G,7,0)</f>
        <v>88288.288288287993</v>
      </c>
      <c r="I9" s="5">
        <f>VLOOKUP(A:A,MASTER!A:D,4,0)</f>
        <v>45267727.927927926</v>
      </c>
      <c r="J9" s="5">
        <f>VLOOKUP(A:A,MASTER!A:E,5,0)</f>
        <v>48507468.468468465</v>
      </c>
      <c r="K9" s="5">
        <f>VLOOKUP(A:A,MASTER!A:B,2,0)</f>
        <v>11081.081081081</v>
      </c>
      <c r="L9" s="5">
        <f>VLOOKUP(A:A,MASTER!A:C,3,0)</f>
        <v>357117.11711711599</v>
      </c>
      <c r="M9" s="12">
        <v>3620</v>
      </c>
      <c r="N9" s="12">
        <v>3407</v>
      </c>
    </row>
    <row r="10" spans="1:14" ht="64.5" customHeight="1" x14ac:dyDescent="0.35">
      <c r="A10" s="4" t="s">
        <v>11</v>
      </c>
      <c r="B10" s="1" t="s">
        <v>17</v>
      </c>
      <c r="C10" s="5">
        <f>VLOOKUP(A:A,MASTER!A:J,10,0)</f>
        <v>64957111.005213201</v>
      </c>
      <c r="D10" s="5">
        <f>VLOOKUP(A:A,MASTER!A:K,11,0)</f>
        <v>63299657.685326733</v>
      </c>
      <c r="E10" s="5">
        <f>VLOOKUP(A:A,MASTER!A:H,8,0)</f>
        <v>112612.612612615</v>
      </c>
      <c r="F10" s="5">
        <f>VLOOKUP(A:A,MASTER!A:I,9,0)</f>
        <v>18018.018018018</v>
      </c>
      <c r="G10" s="5">
        <f>VLOOKUP(A:A,MASTER!A:F,6,0)</f>
        <v>1914414.4144144161</v>
      </c>
      <c r="H10" s="5">
        <f>VLOOKUP(A:A,MASTER!A:G,7,0)</f>
        <v>2450450.4504504511</v>
      </c>
      <c r="I10" s="5">
        <f>VLOOKUP(A:A,MASTER!A:D,4,0)</f>
        <v>22453972.97297297</v>
      </c>
      <c r="J10" s="5">
        <f>VLOOKUP(A:A,MASTER!A:E,5,0)</f>
        <v>26245450.45045045</v>
      </c>
      <c r="K10" s="5">
        <f>VLOOKUP(A:A,MASTER!A:B,2,0)</f>
        <v>1365315.315315316</v>
      </c>
      <c r="L10" s="5">
        <f>VLOOKUP(A:A,MASTER!A:C,3,0)</f>
        <v>1430810.8108108109</v>
      </c>
      <c r="M10" s="12">
        <v>3016</v>
      </c>
      <c r="N10" s="12">
        <v>2926</v>
      </c>
    </row>
    <row r="11" spans="1:14" ht="64.5" customHeight="1" x14ac:dyDescent="0.35">
      <c r="A11" s="4" t="s">
        <v>12</v>
      </c>
      <c r="B11" s="1" t="s">
        <v>17</v>
      </c>
      <c r="C11" s="5">
        <f>VLOOKUP(A:A,MASTER!A:J,10,0)</f>
        <v>41953519.313358799</v>
      </c>
      <c r="D11" s="5">
        <f>VLOOKUP(A:A,MASTER!A:K,11,0)</f>
        <v>43643150.56357944</v>
      </c>
      <c r="E11" s="5">
        <f>VLOOKUP(A:A,MASTER!A:H,8,0)</f>
        <v>389189.18918919301</v>
      </c>
      <c r="F11" s="5">
        <f>VLOOKUP(A:A,MASTER!A:I,9,0)</f>
        <v>100900.900900901</v>
      </c>
      <c r="G11" s="5">
        <f>VLOOKUP(A:A,MASTER!A:F,6,0)</f>
        <v>3542342.342342345</v>
      </c>
      <c r="H11" s="5">
        <f>VLOOKUP(A:A,MASTER!A:G,7,0)</f>
        <v>551351.35135135101</v>
      </c>
      <c r="I11" s="5">
        <f>VLOOKUP(A:A,MASTER!A:D,4,0)</f>
        <v>17375801.801801801</v>
      </c>
      <c r="J11" s="5">
        <f>VLOOKUP(A:A,MASTER!A:E,5,0)</f>
        <v>19426288.288288288</v>
      </c>
      <c r="K11" s="5">
        <f>VLOOKUP(A:A,MASTER!A:B,2,0)</f>
        <v>4952522.5225225231</v>
      </c>
      <c r="L11" s="5">
        <f>VLOOKUP(A:A,MASTER!A:C,3,0)</f>
        <v>1949549.5495495489</v>
      </c>
      <c r="M11" s="12">
        <v>14019</v>
      </c>
      <c r="N11" s="12">
        <v>13799</v>
      </c>
    </row>
    <row r="12" spans="1:14" ht="64.5" customHeight="1" x14ac:dyDescent="0.35">
      <c r="A12" s="4" t="s">
        <v>1</v>
      </c>
      <c r="B12" s="1" t="s">
        <v>16</v>
      </c>
      <c r="C12" s="5">
        <f>VLOOKUP(A:A,MASTER!A:J,10,0)</f>
        <v>167024012.88379335</v>
      </c>
      <c r="D12" s="5">
        <f>VLOOKUP(A:A,MASTER!A:K,11,0)</f>
        <v>175844154.47865763</v>
      </c>
      <c r="E12" s="5">
        <f>VLOOKUP(A:A,MASTER!A:H,8,0)</f>
        <v>1124324.3243243259</v>
      </c>
      <c r="F12" s="5">
        <f>VLOOKUP(A:A,MASTER!A:I,9,0)</f>
        <v>817117.11711711797</v>
      </c>
      <c r="G12" s="5">
        <f>VLOOKUP(A:A,MASTER!A:F,6,0)</f>
        <v>22881531.531531531</v>
      </c>
      <c r="H12" s="5">
        <f>VLOOKUP(A:A,MASTER!A:G,7,0)</f>
        <v>22989414.414414417</v>
      </c>
      <c r="I12" s="5">
        <f>VLOOKUP(A:A,MASTER!A:D,4,0)</f>
        <v>80831972.972972974</v>
      </c>
      <c r="J12" s="5">
        <f>VLOOKUP(A:A,MASTER!A:E,5,0)</f>
        <v>81628792.792792797</v>
      </c>
      <c r="K12" s="5">
        <f>VLOOKUP(A:A,MASTER!A:B,2,0)</f>
        <v>20012882.882882878</v>
      </c>
      <c r="L12" s="5">
        <f>VLOOKUP(A:A,MASTER!A:C,3,0)</f>
        <v>22198333.333333336</v>
      </c>
      <c r="M12" s="12">
        <v>4423</v>
      </c>
      <c r="N12" s="12">
        <v>4627</v>
      </c>
    </row>
    <row r="13" spans="1:14" ht="64.5" customHeight="1" x14ac:dyDescent="0.35">
      <c r="A13" s="4" t="s">
        <v>3</v>
      </c>
      <c r="B13" s="1" t="s">
        <v>16</v>
      </c>
      <c r="C13" s="5">
        <f>VLOOKUP(A:A,MASTER!A:J,10,0)</f>
        <v>124479909.43520992</v>
      </c>
      <c r="D13" s="5">
        <f>VLOOKUP(A:A,MASTER!A:K,11,0)</f>
        <v>111464263.10669373</v>
      </c>
      <c r="E13" s="5">
        <f>VLOOKUP(A:A,MASTER!A:H,8,0)</f>
        <v>1681081.081081083</v>
      </c>
      <c r="F13" s="5">
        <f>VLOOKUP(A:A,MASTER!A:I,9,0)</f>
        <v>578828.82882882899</v>
      </c>
      <c r="G13" s="5">
        <f>VLOOKUP(A:A,MASTER!A:F,6,0)</f>
        <v>19211711.711711712</v>
      </c>
      <c r="H13" s="5">
        <f>VLOOKUP(A:A,MASTER!A:G,7,0)</f>
        <v>55008108.108108111</v>
      </c>
      <c r="I13" s="5">
        <f>VLOOKUP(A:A,MASTER!A:D,4,0)</f>
        <v>35350648.648648649</v>
      </c>
      <c r="J13" s="5">
        <f>VLOOKUP(A:A,MASTER!A:E,5,0)</f>
        <v>31949162.162162162</v>
      </c>
      <c r="K13" s="5">
        <f>VLOOKUP(A:A,MASTER!A:B,2,0)</f>
        <v>18814324.324324325</v>
      </c>
      <c r="L13" s="5">
        <f>VLOOKUP(A:A,MASTER!A:C,3,0)</f>
        <v>50869549.54954955</v>
      </c>
      <c r="M13" s="12">
        <v>6018</v>
      </c>
      <c r="N13" s="12">
        <v>3449</v>
      </c>
    </row>
    <row r="14" spans="1:14" ht="64.5" customHeight="1" x14ac:dyDescent="0.35">
      <c r="A14" s="4" t="s">
        <v>4</v>
      </c>
      <c r="B14" s="1" t="s">
        <v>16</v>
      </c>
      <c r="C14" s="5">
        <f>VLOOKUP(A:A,MASTER!A:J,10,0)</f>
        <v>77443561.495953918</v>
      </c>
      <c r="D14" s="5">
        <f>VLOOKUP(A:A,MASTER!A:K,11,0)</f>
        <v>73133788.445529953</v>
      </c>
      <c r="E14" s="5">
        <f>VLOOKUP(A:A,MASTER!A:H,8,0)</f>
        <v>851351.35135135299</v>
      </c>
      <c r="F14" s="5">
        <f>VLOOKUP(A:A,MASTER!A:I,9,0)</f>
        <v>703603.60360360402</v>
      </c>
      <c r="G14" s="5">
        <f>VLOOKUP(A:A,MASTER!A:F,6,0)</f>
        <v>19953153.153153151</v>
      </c>
      <c r="H14" s="5">
        <f>VLOOKUP(A:A,MASTER!A:G,7,0)</f>
        <v>28203603.603603605</v>
      </c>
      <c r="I14" s="5">
        <f>VLOOKUP(A:A,MASTER!A:D,4,0)</f>
        <v>26811324.324324325</v>
      </c>
      <c r="J14" s="5">
        <f>VLOOKUP(A:A,MASTER!A:E,5,0)</f>
        <v>28138891.891891893</v>
      </c>
      <c r="K14" s="5">
        <f>VLOOKUP(A:A,MASTER!A:B,2,0)</f>
        <v>21801981.981981982</v>
      </c>
      <c r="L14" s="5">
        <f>VLOOKUP(A:A,MASTER!A:C,3,0)</f>
        <v>21557027.02702703</v>
      </c>
      <c r="M14" s="12">
        <v>7259</v>
      </c>
      <c r="N14" s="12">
        <v>7191</v>
      </c>
    </row>
    <row r="15" spans="1:14" ht="64.5" customHeight="1" x14ac:dyDescent="0.35">
      <c r="A15" s="4" t="s">
        <v>5</v>
      </c>
      <c r="B15" s="1" t="s">
        <v>16</v>
      </c>
      <c r="C15" s="5">
        <f>VLOOKUP(A:A,MASTER!A:J,10,0)</f>
        <v>83638677.803553104</v>
      </c>
      <c r="D15" s="5">
        <f>VLOOKUP(A:A,MASTER!A:K,11,0)</f>
        <v>83241276.547920391</v>
      </c>
      <c r="E15" s="5">
        <f>VLOOKUP(A:A,MASTER!A:H,8,0)</f>
        <v>150450.45045045001</v>
      </c>
      <c r="F15" s="5">
        <f>VLOOKUP(A:A,MASTER!A:I,9,0)</f>
        <v>13513.513513514001</v>
      </c>
      <c r="G15" s="5">
        <f>VLOOKUP(A:A,MASTER!A:F,6,0)</f>
        <v>6797297.2972972961</v>
      </c>
      <c r="H15" s="5">
        <f>VLOOKUP(A:A,MASTER!A:G,7,0)</f>
        <v>11175675.675675675</v>
      </c>
      <c r="I15" s="5">
        <f>VLOOKUP(A:A,MASTER!A:D,4,0)</f>
        <v>34689288.288288288</v>
      </c>
      <c r="J15" s="5">
        <f>VLOOKUP(A:A,MASTER!A:E,5,0)</f>
        <v>34429891.891891889</v>
      </c>
      <c r="K15" s="5">
        <f>VLOOKUP(A:A,MASTER!A:B,2,0)</f>
        <v>5917567.5675675683</v>
      </c>
      <c r="L15" s="5">
        <f>VLOOKUP(A:A,MASTER!A:C,3,0)</f>
        <v>9870000</v>
      </c>
      <c r="M15" s="12">
        <v>3674</v>
      </c>
      <c r="N15" s="12">
        <v>3667</v>
      </c>
    </row>
    <row r="16" spans="1:14" ht="64.5" customHeight="1" x14ac:dyDescent="0.35">
      <c r="A16" s="4" t="s">
        <v>8</v>
      </c>
      <c r="B16" s="1" t="s">
        <v>16</v>
      </c>
      <c r="C16" s="5">
        <f>VLOOKUP(A:A,MASTER!A:J,10,0)</f>
        <v>92677006.923511267</v>
      </c>
      <c r="D16" s="5">
        <f>VLOOKUP(A:A,MASTER!A:K,11,0)</f>
        <v>99911377.220618293</v>
      </c>
      <c r="E16" s="5">
        <f>VLOOKUP(A:A,MASTER!A:H,8,0)</f>
        <v>1301801.801801804</v>
      </c>
      <c r="F16" s="5">
        <f>VLOOKUP(A:A,MASTER!A:I,9,0)</f>
        <v>1115315.315315316</v>
      </c>
      <c r="G16" s="5">
        <f>VLOOKUP(A:A,MASTER!A:F,6,0)</f>
        <v>12918918.918918921</v>
      </c>
      <c r="H16" s="5">
        <f>VLOOKUP(A:A,MASTER!A:G,7,0)</f>
        <v>19396396.396396399</v>
      </c>
      <c r="I16" s="5">
        <f>VLOOKUP(A:A,MASTER!A:D,4,0)</f>
        <v>27309549.54954955</v>
      </c>
      <c r="J16" s="5">
        <f>VLOOKUP(A:A,MASTER!A:E,5,0)</f>
        <v>30287387.387387387</v>
      </c>
      <c r="K16" s="5">
        <f>VLOOKUP(A:A,MASTER!A:B,2,0)</f>
        <v>12188738.738738736</v>
      </c>
      <c r="L16" s="5">
        <f>VLOOKUP(A:A,MASTER!A:C,3,0)</f>
        <v>18979459.459459461</v>
      </c>
      <c r="M16" s="12">
        <v>3875</v>
      </c>
      <c r="N16" s="12">
        <v>4035</v>
      </c>
    </row>
    <row r="17" spans="1:14" ht="64.5" customHeight="1" x14ac:dyDescent="0.35">
      <c r="A17" s="4" t="s">
        <v>9</v>
      </c>
      <c r="B17" s="1" t="s">
        <v>16</v>
      </c>
      <c r="C17" s="5">
        <f>VLOOKUP(A:A,MASTER!A:J,10,0)</f>
        <v>184208203.93830642</v>
      </c>
      <c r="D17" s="5">
        <f>VLOOKUP(A:A,MASTER!A:K,11,0)</f>
        <v>178909452.82663804</v>
      </c>
      <c r="E17" s="5">
        <f>VLOOKUP(A:A,MASTER!A:H,8,0)</f>
        <v>1532432.4324324371</v>
      </c>
      <c r="F17" s="5">
        <f>VLOOKUP(A:A,MASTER!A:I,9,0)</f>
        <v>894144.14414414496</v>
      </c>
      <c r="G17" s="5">
        <f>VLOOKUP(A:A,MASTER!A:F,6,0)</f>
        <v>197469369.36936939</v>
      </c>
      <c r="H17" s="5">
        <f>VLOOKUP(A:A,MASTER!A:G,7,0)</f>
        <v>264517477.47747746</v>
      </c>
      <c r="I17" s="5">
        <f>VLOOKUP(A:A,MASTER!A:D,4,0)</f>
        <v>68568540.540540546</v>
      </c>
      <c r="J17" s="5">
        <f>VLOOKUP(A:A,MASTER!A:E,5,0)</f>
        <v>64665108.108108103</v>
      </c>
      <c r="K17" s="5">
        <f>VLOOKUP(A:A,MASTER!A:B,2,0)</f>
        <v>184796486.48648649</v>
      </c>
      <c r="L17" s="5">
        <f>VLOOKUP(A:A,MASTER!A:C,3,0)</f>
        <v>240402882.88288289</v>
      </c>
      <c r="M17" s="12">
        <v>2921</v>
      </c>
      <c r="N17" s="12">
        <v>3061</v>
      </c>
    </row>
    <row r="18" spans="1:14" ht="64.5" customHeight="1" x14ac:dyDescent="0.35">
      <c r="A18" s="4" t="s">
        <v>13</v>
      </c>
      <c r="B18" s="1" t="s">
        <v>16</v>
      </c>
      <c r="C18" s="5">
        <f>VLOOKUP(A:A,MASTER!A:J,10,0)</f>
        <v>151110852.08540854</v>
      </c>
      <c r="D18" s="5">
        <f>VLOOKUP(A:A,MASTER!A:K,11,0)</f>
        <v>146960764.92853495</v>
      </c>
      <c r="E18" s="5">
        <f>VLOOKUP(A:A,MASTER!A:H,8,0)</f>
        <v>912612.61261261499</v>
      </c>
      <c r="F18" s="5">
        <f>VLOOKUP(A:A,MASTER!A:I,9,0)</f>
        <v>189189.18918918999</v>
      </c>
      <c r="G18" s="5">
        <f>VLOOKUP(A:A,MASTER!A:F,6,0)</f>
        <v>37331621.621621616</v>
      </c>
      <c r="H18" s="5">
        <f>VLOOKUP(A:A,MASTER!A:G,7,0)</f>
        <v>35474774.774774775</v>
      </c>
      <c r="I18" s="5">
        <f>VLOOKUP(A:A,MASTER!A:D,4,0)</f>
        <v>87426378.378378391</v>
      </c>
      <c r="J18" s="5">
        <f>VLOOKUP(A:A,MASTER!A:E,5,0)</f>
        <v>83530387.387387395</v>
      </c>
      <c r="K18" s="5">
        <f>VLOOKUP(A:A,MASTER!A:B,2,0)</f>
        <v>38159639.639639638</v>
      </c>
      <c r="L18" s="5">
        <f>VLOOKUP(A:A,MASTER!A:C,3,0)</f>
        <v>35027297.297297299</v>
      </c>
      <c r="M18" s="12">
        <v>7031</v>
      </c>
      <c r="N18" s="12">
        <v>6924</v>
      </c>
    </row>
    <row r="19" spans="1:14" ht="64.5" customHeight="1" x14ac:dyDescent="0.35">
      <c r="A19" s="4" t="s">
        <v>14</v>
      </c>
      <c r="B19" s="1" t="s">
        <v>16</v>
      </c>
      <c r="C19" s="5">
        <f>VLOOKUP(A:A,MASTER!A:J,10,0)</f>
        <v>78813022.56256333</v>
      </c>
      <c r="D19" s="5">
        <f>VLOOKUP(A:A,MASTER!A:K,11,0)</f>
        <v>86101440.05152458</v>
      </c>
      <c r="E19" s="5">
        <f>VLOOKUP(A:A,MASTER!A:H,8,0)</f>
        <v>669369.36936937098</v>
      </c>
      <c r="F19" s="5">
        <f>VLOOKUP(A:A,MASTER!A:I,9,0)</f>
        <v>124324.324324325</v>
      </c>
      <c r="G19" s="5">
        <f>VLOOKUP(A:A,MASTER!A:F,6,0)</f>
        <v>22243243.243243244</v>
      </c>
      <c r="H19" s="5">
        <f>VLOOKUP(A:A,MASTER!A:G,7,0)</f>
        <v>16811261.261261258</v>
      </c>
      <c r="I19" s="5">
        <f>VLOOKUP(A:A,MASTER!A:D,4,0)</f>
        <v>27161783.783783782</v>
      </c>
      <c r="J19" s="5">
        <f>VLOOKUP(A:A,MASTER!A:E,5,0)</f>
        <v>29936234.234234232</v>
      </c>
      <c r="K19" s="5">
        <f>VLOOKUP(A:A,MASTER!A:B,2,0)</f>
        <v>27517477.47747748</v>
      </c>
      <c r="L19" s="5">
        <f>VLOOKUP(A:A,MASTER!A:C,3,0)</f>
        <v>15241801.801801801</v>
      </c>
      <c r="M19" s="12">
        <v>3941</v>
      </c>
      <c r="N19" s="12">
        <v>4169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7"/>
  <sheetViews>
    <sheetView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J3" sqref="J3:K1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2" spans="1:11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</row>
    <row r="3" spans="1:11" x14ac:dyDescent="0.35">
      <c r="A3" s="9" t="s">
        <v>1</v>
      </c>
      <c r="B3">
        <v>20012882.882882878</v>
      </c>
      <c r="C3">
        <v>22198333.333333336</v>
      </c>
      <c r="D3">
        <v>80831972.972972974</v>
      </c>
      <c r="E3">
        <v>81628792.792792797</v>
      </c>
      <c r="F3">
        <v>22881531.531531531</v>
      </c>
      <c r="G3">
        <v>22989414.414414417</v>
      </c>
      <c r="H3">
        <v>1124324.3243243259</v>
      </c>
      <c r="I3">
        <v>817117.11711711797</v>
      </c>
      <c r="J3">
        <v>167024012.88379335</v>
      </c>
      <c r="K3">
        <v>175844154.47865763</v>
      </c>
    </row>
    <row r="4" spans="1:11" x14ac:dyDescent="0.35">
      <c r="A4" s="9" t="s">
        <v>2</v>
      </c>
      <c r="B4">
        <v>157657.65765765801</v>
      </c>
      <c r="C4">
        <v>203603.60360360399</v>
      </c>
      <c r="D4">
        <v>7065675.6756756762</v>
      </c>
      <c r="E4">
        <v>4115666.666666667</v>
      </c>
      <c r="F4">
        <v>40540.540540542002</v>
      </c>
      <c r="G4">
        <v>180180.18018018</v>
      </c>
      <c r="H4">
        <v>40540.540540542002</v>
      </c>
      <c r="I4">
        <v>90090.090090090001</v>
      </c>
      <c r="J4">
        <v>11435885.059074299</v>
      </c>
      <c r="K4">
        <v>7512201.2733524209</v>
      </c>
    </row>
    <row r="5" spans="1:11" x14ac:dyDescent="0.35">
      <c r="A5" s="9" t="s">
        <v>3</v>
      </c>
      <c r="B5">
        <v>18814324.324324325</v>
      </c>
      <c r="C5">
        <v>50869549.54954955</v>
      </c>
      <c r="D5">
        <v>35350648.648648649</v>
      </c>
      <c r="E5">
        <v>31949162.162162162</v>
      </c>
      <c r="F5">
        <v>19211711.711711712</v>
      </c>
      <c r="G5">
        <v>55008108.108108111</v>
      </c>
      <c r="H5">
        <v>1681081.081081083</v>
      </c>
      <c r="I5">
        <v>578828.82882882899</v>
      </c>
      <c r="J5">
        <v>124479909.43520992</v>
      </c>
      <c r="K5">
        <v>111464263.10669373</v>
      </c>
    </row>
    <row r="6" spans="1:11" x14ac:dyDescent="0.35">
      <c r="A6" s="9" t="s">
        <v>4</v>
      </c>
      <c r="B6">
        <v>21801981.981981982</v>
      </c>
      <c r="C6">
        <v>21557027.02702703</v>
      </c>
      <c r="D6">
        <v>26811324.324324325</v>
      </c>
      <c r="E6">
        <v>28138891.891891893</v>
      </c>
      <c r="F6">
        <v>19953153.153153151</v>
      </c>
      <c r="G6">
        <v>28203603.603603605</v>
      </c>
      <c r="H6">
        <v>851351.35135135299</v>
      </c>
      <c r="I6">
        <v>703603.60360360402</v>
      </c>
      <c r="J6">
        <v>77443561.495953918</v>
      </c>
      <c r="K6">
        <v>73133788.445529953</v>
      </c>
    </row>
    <row r="7" spans="1:11" x14ac:dyDescent="0.35">
      <c r="A7" s="9" t="s">
        <v>5</v>
      </c>
      <c r="B7">
        <v>5917567.5675675683</v>
      </c>
      <c r="C7">
        <v>9870000</v>
      </c>
      <c r="D7">
        <v>34689288.288288288</v>
      </c>
      <c r="E7">
        <v>34429891.891891889</v>
      </c>
      <c r="F7">
        <v>6797297.2972972961</v>
      </c>
      <c r="G7">
        <v>11175675.675675675</v>
      </c>
      <c r="H7">
        <v>150450.45045045001</v>
      </c>
      <c r="I7">
        <v>13513.513513514001</v>
      </c>
      <c r="J7">
        <v>83638677.803553104</v>
      </c>
      <c r="K7">
        <v>83241276.547920391</v>
      </c>
    </row>
    <row r="8" spans="1:11" x14ac:dyDescent="0.35">
      <c r="A8" s="9" t="s">
        <v>6</v>
      </c>
      <c r="B8">
        <v>122320360.36036037</v>
      </c>
      <c r="C8">
        <v>161384324.32432431</v>
      </c>
      <c r="D8">
        <v>195797351.35135135</v>
      </c>
      <c r="E8">
        <v>185211054.05405405</v>
      </c>
      <c r="F8">
        <v>125583783.78378379</v>
      </c>
      <c r="G8">
        <v>176542522.52252254</v>
      </c>
      <c r="H8">
        <v>4900000.0000000093</v>
      </c>
      <c r="I8">
        <v>4013513.5135135092</v>
      </c>
      <c r="J8">
        <v>277758523.3629142</v>
      </c>
      <c r="K8">
        <v>286604689.71433705</v>
      </c>
    </row>
    <row r="9" spans="1:11" x14ac:dyDescent="0.35">
      <c r="A9" s="9" t="s">
        <v>7</v>
      </c>
      <c r="B9">
        <v>9568468.4684684686</v>
      </c>
      <c r="C9">
        <v>20761801.801801801</v>
      </c>
      <c r="D9">
        <v>49546756.756756753</v>
      </c>
      <c r="E9">
        <v>44390981.981981985</v>
      </c>
      <c r="F9">
        <v>7053153.1531531513</v>
      </c>
      <c r="G9">
        <v>19690990.990990993</v>
      </c>
      <c r="H9">
        <v>192792.792792794</v>
      </c>
      <c r="I9">
        <v>37837.837837838</v>
      </c>
      <c r="J9">
        <v>68804127.337667182</v>
      </c>
      <c r="K9">
        <v>67518859.38323462</v>
      </c>
    </row>
    <row r="10" spans="1:11" x14ac:dyDescent="0.35">
      <c r="A10" s="9" t="s">
        <v>8</v>
      </c>
      <c r="B10">
        <v>12188738.738738736</v>
      </c>
      <c r="C10">
        <v>18979459.459459461</v>
      </c>
      <c r="D10">
        <v>27309549.54954955</v>
      </c>
      <c r="E10">
        <v>30287387.387387387</v>
      </c>
      <c r="F10">
        <v>12918918.918918921</v>
      </c>
      <c r="G10">
        <v>19396396.396396399</v>
      </c>
      <c r="H10">
        <v>1301801.801801804</v>
      </c>
      <c r="I10">
        <v>1115315.315315316</v>
      </c>
      <c r="J10">
        <v>92677006.923511267</v>
      </c>
      <c r="K10">
        <v>99911377.220618293</v>
      </c>
    </row>
    <row r="11" spans="1:11" x14ac:dyDescent="0.35">
      <c r="A11" s="9" t="s">
        <v>9</v>
      </c>
      <c r="B11">
        <v>184796486.48648649</v>
      </c>
      <c r="C11">
        <v>240402882.88288289</v>
      </c>
      <c r="D11">
        <v>68568540.540540546</v>
      </c>
      <c r="E11">
        <v>64665108.108108103</v>
      </c>
      <c r="F11">
        <v>197469369.36936939</v>
      </c>
      <c r="G11">
        <v>264517477.47747746</v>
      </c>
      <c r="H11">
        <v>1532432.4324324371</v>
      </c>
      <c r="I11">
        <v>894144.14414414496</v>
      </c>
      <c r="J11">
        <v>184208203.93830642</v>
      </c>
      <c r="K11">
        <v>178909452.82663804</v>
      </c>
    </row>
    <row r="12" spans="1:11" x14ac:dyDescent="0.35">
      <c r="A12" s="9" t="s">
        <v>10</v>
      </c>
      <c r="B12">
        <v>11081.081081081</v>
      </c>
      <c r="C12">
        <v>357117.11711711599</v>
      </c>
      <c r="D12">
        <v>45267727.927927926</v>
      </c>
      <c r="E12">
        <v>48507468.468468465</v>
      </c>
      <c r="F12">
        <v>786261.26126126095</v>
      </c>
      <c r="G12">
        <v>88288.288288287993</v>
      </c>
      <c r="H12">
        <v>250713227.02702704</v>
      </c>
      <c r="I12">
        <v>203189164.86486486</v>
      </c>
      <c r="J12">
        <v>75147468.387961403</v>
      </c>
      <c r="K12">
        <v>79776886.755025342</v>
      </c>
    </row>
    <row r="13" spans="1:11" x14ac:dyDescent="0.35">
      <c r="A13" s="9" t="s">
        <v>11</v>
      </c>
      <c r="B13">
        <v>1365315.315315316</v>
      </c>
      <c r="C13">
        <v>1430810.8108108109</v>
      </c>
      <c r="D13">
        <v>22453972.97297297</v>
      </c>
      <c r="E13">
        <v>26245450.45045045</v>
      </c>
      <c r="F13">
        <v>1914414.4144144161</v>
      </c>
      <c r="G13">
        <v>2450450.4504504511</v>
      </c>
      <c r="H13">
        <v>112612.612612615</v>
      </c>
      <c r="I13">
        <v>18018.018018018</v>
      </c>
      <c r="J13">
        <v>64957111.005213201</v>
      </c>
      <c r="K13">
        <v>63299657.685326733</v>
      </c>
    </row>
    <row r="14" spans="1:11" x14ac:dyDescent="0.35">
      <c r="A14" s="9" t="s">
        <v>12</v>
      </c>
      <c r="B14">
        <v>4952522.5225225231</v>
      </c>
      <c r="C14">
        <v>1949549.5495495489</v>
      </c>
      <c r="D14">
        <v>17375801.801801801</v>
      </c>
      <c r="E14">
        <v>19426288.288288288</v>
      </c>
      <c r="F14">
        <v>3542342.342342345</v>
      </c>
      <c r="G14">
        <v>551351.35135135101</v>
      </c>
      <c r="H14">
        <v>389189.18918919301</v>
      </c>
      <c r="I14">
        <v>100900.900900901</v>
      </c>
      <c r="J14">
        <v>41953519.313358799</v>
      </c>
      <c r="K14">
        <v>43643150.56357944</v>
      </c>
    </row>
    <row r="15" spans="1:11" x14ac:dyDescent="0.35">
      <c r="A15" s="9" t="s">
        <v>13</v>
      </c>
      <c r="B15">
        <v>38159639.639639638</v>
      </c>
      <c r="C15">
        <v>35027297.297297299</v>
      </c>
      <c r="D15">
        <v>87426378.378378391</v>
      </c>
      <c r="E15">
        <v>83530387.387387395</v>
      </c>
      <c r="F15">
        <v>37331621.621621616</v>
      </c>
      <c r="G15">
        <v>35474774.774774775</v>
      </c>
      <c r="H15">
        <v>912612.61261261499</v>
      </c>
      <c r="I15">
        <v>189189.18918918999</v>
      </c>
      <c r="J15">
        <v>151110852.08540854</v>
      </c>
      <c r="K15">
        <v>146960764.92853495</v>
      </c>
    </row>
    <row r="16" spans="1:11" x14ac:dyDescent="0.35">
      <c r="A16" s="9" t="s">
        <v>14</v>
      </c>
      <c r="B16">
        <v>27517477.47747748</v>
      </c>
      <c r="C16">
        <v>15241801.801801801</v>
      </c>
      <c r="D16">
        <v>27161783.783783782</v>
      </c>
      <c r="E16">
        <v>29936234.234234232</v>
      </c>
      <c r="F16">
        <v>22243243.243243244</v>
      </c>
      <c r="G16">
        <v>16811261.261261258</v>
      </c>
      <c r="H16">
        <v>669369.36936937098</v>
      </c>
      <c r="I16">
        <v>124324.324324325</v>
      </c>
      <c r="J16">
        <v>78813022.56256333</v>
      </c>
      <c r="K16">
        <v>86101440.05152458</v>
      </c>
    </row>
    <row r="17" spans="1:11" x14ac:dyDescent="0.35">
      <c r="A17" s="10" t="s">
        <v>34</v>
      </c>
      <c r="B17" s="11">
        <f>SUM(B3:B16)</f>
        <v>467584504.5045045</v>
      </c>
      <c r="C17" s="11">
        <f t="shared" ref="C17:K17" si="0">SUM(C3:C16)</f>
        <v>600233558.55855858</v>
      </c>
      <c r="D17" s="11">
        <f t="shared" si="0"/>
        <v>725656772.97297311</v>
      </c>
      <c r="E17" s="11">
        <f t="shared" si="0"/>
        <v>712462765.76576567</v>
      </c>
      <c r="F17" s="11">
        <f t="shared" si="0"/>
        <v>477727342.34234226</v>
      </c>
      <c r="G17" s="11">
        <f t="shared" si="0"/>
        <v>653080495.49549544</v>
      </c>
      <c r="H17" s="11">
        <f t="shared" si="0"/>
        <v>264571785.58558559</v>
      </c>
      <c r="I17" s="11">
        <f t="shared" si="0"/>
        <v>211885561.26126125</v>
      </c>
      <c r="J17" s="11">
        <f t="shared" si="0"/>
        <v>1499451881.5944889</v>
      </c>
      <c r="K17" s="11">
        <f t="shared" si="0"/>
        <v>1503921962.9809732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2026-08-12T16:22:51Z</dcterms:modified>
</cp:coreProperties>
</file>