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640" activeTab="1"/>
  </bookViews>
  <sheets>
    <sheet name="Sheet1" sheetId="1" r:id="rId1"/>
    <sheet name="MASTER" sheetId="2" r:id="rId2"/>
  </sheets>
  <definedNames>
    <definedName name="_xlnm._FilterDatabase" localSheetId="0" hidden="1">Sheet1!$A$5:$T$22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6" i="1"/>
  <c r="W13" i="1" l="1"/>
  <c r="W8" i="1"/>
  <c r="W7" i="1"/>
  <c r="W9" i="1"/>
  <c r="W11" i="1"/>
  <c r="W6" i="1"/>
  <c r="W10" i="1"/>
  <c r="W22" i="1"/>
  <c r="W21" i="1"/>
  <c r="W12" i="1"/>
  <c r="W20" i="1"/>
  <c r="W19" i="1"/>
  <c r="W17" i="1"/>
  <c r="W18" i="1"/>
  <c r="W16" i="1"/>
  <c r="W15" i="1"/>
  <c r="W14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R6" i="1"/>
  <c r="S6" i="1"/>
  <c r="P6" i="1"/>
  <c r="O6" i="1"/>
  <c r="M6" i="1"/>
  <c r="L6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D6" i="1"/>
  <c r="C6" i="1"/>
  <c r="T20" i="1" l="1"/>
  <c r="T22" i="1"/>
  <c r="K17" i="1"/>
  <c r="K16" i="1"/>
  <c r="T21" i="1"/>
  <c r="N21" i="1"/>
  <c r="N22" i="1"/>
  <c r="Q21" i="1"/>
  <c r="Q22" i="1"/>
  <c r="Q20" i="1"/>
  <c r="N20" i="1"/>
  <c r="K15" i="1"/>
  <c r="K13" i="1"/>
  <c r="K18" i="1"/>
  <c r="K12" i="1"/>
  <c r="K11" i="1"/>
  <c r="K22" i="1"/>
  <c r="K10" i="1"/>
  <c r="K21" i="1"/>
  <c r="K9" i="1"/>
  <c r="K14" i="1"/>
  <c r="K20" i="1"/>
  <c r="K8" i="1"/>
  <c r="K19" i="1"/>
  <c r="K7" i="1"/>
  <c r="K6" i="1"/>
  <c r="H19" i="1"/>
  <c r="H7" i="1"/>
  <c r="H20" i="1"/>
  <c r="H8" i="1"/>
  <c r="H22" i="1"/>
  <c r="H10" i="1"/>
  <c r="H21" i="1"/>
  <c r="H9" i="1"/>
  <c r="H18" i="1"/>
  <c r="H6" i="1"/>
  <c r="H17" i="1"/>
  <c r="H16" i="1"/>
  <c r="H15" i="1"/>
  <c r="H14" i="1"/>
  <c r="H13" i="1"/>
  <c r="H12" i="1"/>
  <c r="H11" i="1"/>
  <c r="E20" i="1"/>
  <c r="E8" i="1"/>
  <c r="E13" i="1"/>
  <c r="E7" i="1"/>
  <c r="E18" i="1"/>
  <c r="E19" i="1"/>
  <c r="E17" i="1"/>
  <c r="E16" i="1"/>
  <c r="E15" i="1"/>
  <c r="E21" i="1"/>
  <c r="E9" i="1"/>
  <c r="E14" i="1"/>
  <c r="E12" i="1"/>
  <c r="E22" i="1"/>
  <c r="E10" i="1"/>
  <c r="E11" i="1"/>
  <c r="T15" i="1"/>
  <c r="T17" i="1"/>
  <c r="T14" i="1" l="1"/>
  <c r="T19" i="1"/>
  <c r="T7" i="1"/>
  <c r="T18" i="1"/>
  <c r="T16" i="1"/>
  <c r="T10" i="1"/>
  <c r="T11" i="1"/>
  <c r="T9" i="1"/>
  <c r="T8" i="1"/>
  <c r="T13" i="1"/>
  <c r="T12" i="1"/>
  <c r="T6" i="1"/>
  <c r="Q12" i="1" l="1"/>
  <c r="Q14" i="1"/>
  <c r="Q15" i="1"/>
  <c r="Q17" i="1"/>
  <c r="N10" i="1"/>
  <c r="N12" i="1"/>
  <c r="N6" i="1"/>
  <c r="Q16" i="1" l="1"/>
  <c r="N11" i="1"/>
  <c r="N8" i="1"/>
  <c r="Q10" i="1"/>
  <c r="Q19" i="1"/>
  <c r="Q7" i="1"/>
  <c r="N9" i="1"/>
  <c r="Q13" i="1"/>
  <c r="Q8" i="1"/>
  <c r="Q9" i="1"/>
  <c r="N16" i="1"/>
  <c r="N15" i="1"/>
  <c r="N19" i="1"/>
  <c r="N7" i="1"/>
  <c r="Q11" i="1"/>
  <c r="Q18" i="1"/>
  <c r="N18" i="1"/>
  <c r="N17" i="1"/>
  <c r="N14" i="1"/>
  <c r="N13" i="1"/>
  <c r="Q6" i="1"/>
  <c r="E6" i="1"/>
</calcChain>
</file>

<file path=xl/sharedStrings.xml><?xml version="1.0" encoding="utf-8"?>
<sst xmlns="http://schemas.openxmlformats.org/spreadsheetml/2006/main" count="1233" uniqueCount="673">
  <si>
    <t>KECAMATAN</t>
  </si>
  <si>
    <t>BENGKAYANG|BENGKAYANG</t>
  </si>
  <si>
    <t>CAPKALA|BENGKAYANG</t>
  </si>
  <si>
    <t>JAGOI BABANG|BENGKAYANG</t>
  </si>
  <si>
    <t>LEDO|BENGKAYANG</t>
  </si>
  <si>
    <t>LUMAR|BENGKAYANG</t>
  </si>
  <si>
    <t>MONTERADO|BENGKAYANG</t>
  </si>
  <si>
    <t>SAMALANTAN|BENGKAYANG</t>
  </si>
  <si>
    <t>SANGGAU LEDO|BENGKAYANG</t>
  </si>
  <si>
    <t>SELUAS|BENGKAYANG</t>
  </si>
  <si>
    <t>SUNGAI BETUNG|BENGKAYANG</t>
  </si>
  <si>
    <t>SUNGAI RAYA KEPULAUAN|BENGKAYANG</t>
  </si>
  <si>
    <t>SUNGAI RAYA|BENGKAYANG</t>
  </si>
  <si>
    <t>TERIAK|BENGKAYANG</t>
  </si>
  <si>
    <t>TUJUH BELAS|BENGKAYANG</t>
  </si>
  <si>
    <t>PARTNER</t>
  </si>
  <si>
    <t>SDP JAGOI BABANG</t>
  </si>
  <si>
    <t>SDP MONTERADO</t>
  </si>
  <si>
    <t>REVENUE MTD</t>
  </si>
  <si>
    <t>PRIMARY MTD</t>
  </si>
  <si>
    <t>SECONDARY MTD</t>
  </si>
  <si>
    <t>TERTIARY B# MTD</t>
  </si>
  <si>
    <t>TRADE SUPPLY MTD</t>
  </si>
  <si>
    <t>REVENUE LMTD</t>
  </si>
  <si>
    <t>PRIMARY LMTD</t>
  </si>
  <si>
    <t>SECONDARY LMTD</t>
  </si>
  <si>
    <t>TERTIARY B# LMTD</t>
  </si>
  <si>
    <t>TRADE SUPPLY LMTD</t>
  </si>
  <si>
    <t>VLR SUBS MTD</t>
  </si>
  <si>
    <t>VLR SUBS LMTD</t>
  </si>
  <si>
    <t>VLR_SUBS</t>
  </si>
  <si>
    <t>MTD</t>
  </si>
  <si>
    <t>LMTD</t>
  </si>
  <si>
    <t>GROWTH</t>
  </si>
  <si>
    <t>LEMBAH BAWANG|BENGKAYANG</t>
  </si>
  <si>
    <t>SIDING|BENGKAYANG</t>
  </si>
  <si>
    <t>SUTI SEMARANG|BENGKAYANG</t>
  </si>
  <si>
    <t>parameter</t>
  </si>
  <si>
    <t>Prepaid Rev</t>
  </si>
  <si>
    <t>Primary</t>
  </si>
  <si>
    <t>QSC 100MB</t>
  </si>
  <si>
    <t>RGUGA-Trad</t>
  </si>
  <si>
    <t>Secondary</t>
  </si>
  <si>
    <t>Tertiary B#</t>
  </si>
  <si>
    <t>Trade Supply</t>
  </si>
  <si>
    <t>kec_unik</t>
  </si>
  <si>
    <t>pt_id</t>
  </si>
  <si>
    <t>AIR UPAS|KETAPANG</t>
  </si>
  <si>
    <t>PT-PEMAHAN</t>
  </si>
  <si>
    <t>ALALAK|BARITO KUALA</t>
  </si>
  <si>
    <t>PT-MEKAR SARI</t>
  </si>
  <si>
    <t>ALUH-ALUH|BANJAR</t>
  </si>
  <si>
    <t>PT-MARTAPURA</t>
  </si>
  <si>
    <t>AMUNTAI SELATAN|HULU SUNGAI UTARA</t>
  </si>
  <si>
    <t>PT-TANJUNG</t>
  </si>
  <si>
    <t>AMUNTAI TENGAH|HULU SUNGAI UTARA</t>
  </si>
  <si>
    <t>AMUNTAI UTARA|HULU SUNGAI UTARA</t>
  </si>
  <si>
    <t>ANGGANA|KUTAI KARTANEGARA</t>
  </si>
  <si>
    <t>PT-TENGGARONG</t>
  </si>
  <si>
    <t>ANGKINANG|HULU SUNGAI SELATAN</t>
  </si>
  <si>
    <t>PT-KANDANGAN</t>
  </si>
  <si>
    <t>ANGSANA|TANAH BUMBU</t>
  </si>
  <si>
    <t>PT-BATULICIN</t>
  </si>
  <si>
    <t>ANJIR MUARA|BARITO KUALA</t>
  </si>
  <si>
    <t>ANJIR PASAR|BARITO KUALA</t>
  </si>
  <si>
    <t>ANJONGAN|MEMPAWAH</t>
  </si>
  <si>
    <t>PT-MEMPAWAH</t>
  </si>
  <si>
    <t>ANTANG KALANG|KOTAWARINGIN TIMUR</t>
  </si>
  <si>
    <t>PT-ANTANG KALANG</t>
  </si>
  <si>
    <t>ARANIO|BANJAR</t>
  </si>
  <si>
    <t>PT-KARANG INTAN</t>
  </si>
  <si>
    <t>ARUT SELATAN|KOTAWARINGIN BARAT</t>
  </si>
  <si>
    <t>PT-PANGKALANBUN</t>
  </si>
  <si>
    <t>ARUT UTARA|KOTAWARINGIN BARAT</t>
  </si>
  <si>
    <t>ASTAMBUL|BANJAR</t>
  </si>
  <si>
    <t>AWANG|BARITO TIMUR</t>
  </si>
  <si>
    <t>PT-SOUTH BARITO</t>
  </si>
  <si>
    <t>AWAYAN|BALANGAN</t>
  </si>
  <si>
    <t>PT-BARABAI</t>
  </si>
  <si>
    <t>BAAMANG|KOTAWARINGIN TIMUR</t>
  </si>
  <si>
    <t>PT-SAMPIT</t>
  </si>
  <si>
    <t>BABIRIK|HULU SUNGAI UTARA</t>
  </si>
  <si>
    <t>BABULU|PENAJAM PASER UTARA</t>
  </si>
  <si>
    <t>PT-PENAJAM</t>
  </si>
  <si>
    <t>BADAU|KAPUAS HULU</t>
  </si>
  <si>
    <t>PT-BADAU KAPUAS</t>
  </si>
  <si>
    <t>BAHAU HULU|MALINAU</t>
  </si>
  <si>
    <t>PT-MALINAU BARAT</t>
  </si>
  <si>
    <t>BAJUIN|TANAH LAUT</t>
  </si>
  <si>
    <t>PT-PELAIHARI</t>
  </si>
  <si>
    <t>BAKARANGAN|TAPIN</t>
  </si>
  <si>
    <t>BAKUMPAI|BARITO KUALA</t>
  </si>
  <si>
    <t>PT-MARABAHAN</t>
  </si>
  <si>
    <t>BALAI RIAM|SUKAMARA</t>
  </si>
  <si>
    <t>PT-LAMANDAU</t>
  </si>
  <si>
    <t>BALAI|SANGGAU</t>
  </si>
  <si>
    <t>PT-TAYAN HILIR</t>
  </si>
  <si>
    <t>BALIKPAPAN BARAT|KOTA BALIKPAPAN</t>
  </si>
  <si>
    <t>PT-BALIKPAPAN</t>
  </si>
  <si>
    <t>BALIKPAPAN KOTA|KOTA BALIKPAPAN</t>
  </si>
  <si>
    <t>BALIKPAPAN SELATAN|KOTA BALIKPAPAN</t>
  </si>
  <si>
    <t>BALIKPAPAN TENGAH|KOTA BALIKPAPAN</t>
  </si>
  <si>
    <t>BALIKPAPAN TIMUR|KOTA BALIKPAPAN</t>
  </si>
  <si>
    <t>BALIKPAPAN UTARA|KOTA BALIKPAPAN</t>
  </si>
  <si>
    <t>BANAMA TINGANG|PULANG PISAU</t>
  </si>
  <si>
    <t>PT-PULANG PISAU</t>
  </si>
  <si>
    <t>BANJANG|HULU SUNGAI UTARA</t>
  </si>
  <si>
    <t>BANJARBARU SELATAN|KOTA BANJARBARU</t>
  </si>
  <si>
    <t>PT-BANJARBARU</t>
  </si>
  <si>
    <t>BANJARBARU UTARA|KOTA BANJARBARU</t>
  </si>
  <si>
    <t>BANJARMASIN BARAT|KOTA BANJARMASIN</t>
  </si>
  <si>
    <t>PT-BANJARMASIN</t>
  </si>
  <si>
    <t>BANJARMASIN SELATAN|KOTA BANJARMASIN</t>
  </si>
  <si>
    <t>BANJARMASIN TENGAH|KOTA BANJARMASIN</t>
  </si>
  <si>
    <t>BANJARMASIN TIMUR|KOTA BANJARMASIN</t>
  </si>
  <si>
    <t>BANJARMASIN UTARA|KOTA BANJARMASIN</t>
  </si>
  <si>
    <t>BANUA LAWAS|TABALONG</t>
  </si>
  <si>
    <t>PT-LANDAK</t>
  </si>
  <si>
    <t>BARABAI|HULU SUNGAI TENGAH</t>
  </si>
  <si>
    <t>BARAMBAI|BARITO KUALA</t>
  </si>
  <si>
    <t>BARONG TONGKOK|KUTAI BARAT</t>
  </si>
  <si>
    <t>PT-MELAK</t>
  </si>
  <si>
    <t>BASARANG|KAPUAS</t>
  </si>
  <si>
    <t>PT-KAPUAS</t>
  </si>
  <si>
    <t>BATAGUH|KAPUAS</t>
  </si>
  <si>
    <t>PT-KAPUAS KUALA</t>
  </si>
  <si>
    <t>BATANG ALAI SELATAN|HULU SUNGAI TENGAH</t>
  </si>
  <si>
    <t>BATANG ALAI TIMUR|HULU SUNGAI TENGAH</t>
  </si>
  <si>
    <t>BATANG ALAI UTARA|HULU SUNGAI TENGAH</t>
  </si>
  <si>
    <t>BATANG LUPAR|KAPUAS HULU</t>
  </si>
  <si>
    <t>BATI - BATI|TANAH LAUT</t>
  </si>
  <si>
    <t>BATU AMPAR|KUBU RAYA</t>
  </si>
  <si>
    <t>PT-BATU AMPAR</t>
  </si>
  <si>
    <t>BATU AMPAR|KUTAI TIMUR</t>
  </si>
  <si>
    <t>PT-SANGATTA UTARA</t>
  </si>
  <si>
    <t>BATU AMPAR|SERUYAN</t>
  </si>
  <si>
    <t>PT-SERUYAN</t>
  </si>
  <si>
    <t>BATU AMPAR|TANAH LAUT</t>
  </si>
  <si>
    <t>BATU BENAWA|HULU SUNGAI TENGAH</t>
  </si>
  <si>
    <t>BATU ENGAU|PASER</t>
  </si>
  <si>
    <t>PT-GROGOT</t>
  </si>
  <si>
    <t>BATU LICIN|TANAH BUMBU</t>
  </si>
  <si>
    <t>BATU PUTIH|BERAU</t>
  </si>
  <si>
    <t>PT-BATU PUTIH</t>
  </si>
  <si>
    <t>BATU SOPANG|PASER</t>
  </si>
  <si>
    <t>BATUMANDI|BALANGAN</t>
  </si>
  <si>
    <t>BEDUWAI|SANGGAU</t>
  </si>
  <si>
    <t>PT-KEMBAYAN</t>
  </si>
  <si>
    <t>BELANTIKAN RAYA|LAMANDAU</t>
  </si>
  <si>
    <t>BELAWANG|BARITO KUALA</t>
  </si>
  <si>
    <t>BELIMBING HULU|MELAWI</t>
  </si>
  <si>
    <t>PT-BELIMBING</t>
  </si>
  <si>
    <t>BELIMBING|MELAWI</t>
  </si>
  <si>
    <t>BELITANG HILIR|SEKADAU</t>
  </si>
  <si>
    <t>PT-BELITANG</t>
  </si>
  <si>
    <t>BELITANG HULU|SEKADAU</t>
  </si>
  <si>
    <t>BELITANG|SEKADAU</t>
  </si>
  <si>
    <t>BENGALON|KUTAI TIMUR</t>
  </si>
  <si>
    <t>PT-JAGOI BABANG</t>
  </si>
  <si>
    <t>BENTIAN BESAR|KUTAI BARAT</t>
  </si>
  <si>
    <t>BENUA KAYONG|KETAPANG</t>
  </si>
  <si>
    <t>PT-KETAPANG</t>
  </si>
  <si>
    <t>BENUA LIMA|BARITO TIMUR</t>
  </si>
  <si>
    <t>BERUNTUNG BARU|BANJAR</t>
  </si>
  <si>
    <t>BETAYAU|TANA TIDUNG</t>
  </si>
  <si>
    <t>BIATAN|BERAU</t>
  </si>
  <si>
    <t>BIKA|KAPUAS HULU</t>
  </si>
  <si>
    <t>PT-PUTUSSIBAU</t>
  </si>
  <si>
    <t>BINJAI HULU|SINTANG</t>
  </si>
  <si>
    <t>PT-SINTANG</t>
  </si>
  <si>
    <t>BINTANG ARA|TABALONG</t>
  </si>
  <si>
    <t>BINUANG|TAPIN</t>
  </si>
  <si>
    <t>BONGAN|KUTAI BARAT</t>
  </si>
  <si>
    <t>BONTANG BARAT|KOTA BONTANG</t>
  </si>
  <si>
    <t>PT-BONTANG</t>
  </si>
  <si>
    <t>BONTANG SELATAN|KOTA BONTANG</t>
  </si>
  <si>
    <t>BONTANG UTARA|KOTA BONTANG</t>
  </si>
  <si>
    <t>BONTI|SANGGAU</t>
  </si>
  <si>
    <t>PT-SANGGAU</t>
  </si>
  <si>
    <t>BOYAN TANJUNG|KAPUAS HULU</t>
  </si>
  <si>
    <t>BUKIT BATU|KOTA PALANGKARAYA</t>
  </si>
  <si>
    <t>PT-PALANGKARAYA</t>
  </si>
  <si>
    <t>BULIK TIMUR|LAMANDAU</t>
  </si>
  <si>
    <t>BULIK|LAMANDAU</t>
  </si>
  <si>
    <t>BUMI MAKMUR|TANAH LAUT</t>
  </si>
  <si>
    <t>BUNGUR|TAPIN</t>
  </si>
  <si>
    <t>BUNUT HILIR|KAPUAS HULU</t>
  </si>
  <si>
    <t>BUNUT HULU|KAPUAS HULU</t>
  </si>
  <si>
    <t>BUNYU|BULUNGAN</t>
  </si>
  <si>
    <t>PT-TANJUNG SELOR</t>
  </si>
  <si>
    <t>BUSANG|KUTAI TIMUR</t>
  </si>
  <si>
    <t>CANDI LARAS SELATAN|TAPIN</t>
  </si>
  <si>
    <t>CANDI LARAS UTARA|TAPIN</t>
  </si>
  <si>
    <t>PT-MONTERADO</t>
  </si>
  <si>
    <t>CEMPAGA HULU|KOTAWARINGIN TIMUR</t>
  </si>
  <si>
    <t>PT-PARENGGEAN</t>
  </si>
  <si>
    <t>CEMPAGA|KOTAWARINGIN TIMUR</t>
  </si>
  <si>
    <t>CEMPAKA|KOTA BANJARBARU</t>
  </si>
  <si>
    <t>CERBON|BARITO KUALA</t>
  </si>
  <si>
    <t>DADAHUP|KAPUAS</t>
  </si>
  <si>
    <t>DAHA SELATAN|HULU SUNGAI SELATAN</t>
  </si>
  <si>
    <t>DAHA UTARA|HULU SUNGAI SELATAN</t>
  </si>
  <si>
    <t>DAMAI|KUTAI BARAT</t>
  </si>
  <si>
    <t>DANAU PANGGANG|HULU SUNGAI UTARA</t>
  </si>
  <si>
    <t>DANAU SELULUK|SERUYAN</t>
  </si>
  <si>
    <t>DANAU SEMBULUH|SERUYAN</t>
  </si>
  <si>
    <t>DEDAI|SINTANG</t>
  </si>
  <si>
    <t>DELTA PAWAN|KETAPANG</t>
  </si>
  <si>
    <t>DUSUN HILIR|BARITO SELATAN</t>
  </si>
  <si>
    <t>DUSUN SELATAN|BARITO SELATAN</t>
  </si>
  <si>
    <t>DUSUN TENGAH|BARITO TIMUR</t>
  </si>
  <si>
    <t>DUSUN TIMUR|BARITO TIMUR</t>
  </si>
  <si>
    <t>DUSUN UTARA|BARITO SELATAN</t>
  </si>
  <si>
    <t>ELLA HILIR|MELAWI</t>
  </si>
  <si>
    <t>PT-MELAWI</t>
  </si>
  <si>
    <t>EMBALOH HILIR|KAPUAS HULU</t>
  </si>
  <si>
    <t>EMBALOH HULU|KAPUAS HULU</t>
  </si>
  <si>
    <t>EMPANANG|KAPUAS HULU</t>
  </si>
  <si>
    <t>ENTIKONG|SANGGAU</t>
  </si>
  <si>
    <t>GALING|SAMBAS</t>
  </si>
  <si>
    <t>PT-SAMBAS</t>
  </si>
  <si>
    <t>GAMBUT|BANJAR</t>
  </si>
  <si>
    <t>GUNUNG BINTANG AWAI|BARITO SELATAN</t>
  </si>
  <si>
    <t>GUNUNG PUREI|BARITO UTARA</t>
  </si>
  <si>
    <t>PT-NORTH BARITO</t>
  </si>
  <si>
    <t>GUNUNG TABUR|BERAU</t>
  </si>
  <si>
    <t>GUNUNG TIMANG|BARITO UTARA</t>
  </si>
  <si>
    <t>HALONG|BALANGAN</t>
  </si>
  <si>
    <t>HANAU|SERUYAN</t>
  </si>
  <si>
    <t>HANTAKAN|HULU SUNGAI TENGAH</t>
  </si>
  <si>
    <t>HARUAI|TABALONG</t>
  </si>
  <si>
    <t>HARUYAN|HULU SUNGAI TENGAH</t>
  </si>
  <si>
    <t>HATUNGUN|TAPIN</t>
  </si>
  <si>
    <t>HAUR GADING|HULU SUNGAI UTARA</t>
  </si>
  <si>
    <t>HULU GURUNG|KAPUAS HULU</t>
  </si>
  <si>
    <t>HULU SUNGAI|KETAPANG</t>
  </si>
  <si>
    <t>PT-SANDAI</t>
  </si>
  <si>
    <t>JABIREN RAYA|PULANG PISAU</t>
  </si>
  <si>
    <t>JANGKANG|SANGGAU</t>
  </si>
  <si>
    <t>JARO|TABALONG</t>
  </si>
  <si>
    <t>JAWAI SELATAN|SAMBAS</t>
  </si>
  <si>
    <t>PT-JAWAI</t>
  </si>
  <si>
    <t>JAWAI|SAMBAS</t>
  </si>
  <si>
    <t>JEJANGKIT|BARITO KUALA</t>
  </si>
  <si>
    <t>JEKAN RAYA|KOTA PALANGKARAYA</t>
  </si>
  <si>
    <t>JELAI HULU|KETAPANG</t>
  </si>
  <si>
    <t>JELAI|SUKAMARA</t>
  </si>
  <si>
    <t>JELIMPO|LANDAK</t>
  </si>
  <si>
    <t>JEMPANG|KUTAI BARAT</t>
  </si>
  <si>
    <t>JENAMAS|BARITO SELATAN</t>
  </si>
  <si>
    <t>JONGKONG|KAPUAS HULU</t>
  </si>
  <si>
    <t>JORONG|TANAH LAUT</t>
  </si>
  <si>
    <t>JUAI|BALANGAN</t>
  </si>
  <si>
    <t>KAHAYAN HILIR|PULANG PISAU</t>
  </si>
  <si>
    <t>KAHAYAN KUALA|PULANG PISAU</t>
  </si>
  <si>
    <t>KAHAYAN TENGAH|PULANG PISAU</t>
  </si>
  <si>
    <t>KALIORANG|KUTAI TIMUR</t>
  </si>
  <si>
    <t>KALIS|KAPUAS HULU</t>
  </si>
  <si>
    <t>KALUMPANG|HULU SUNGAI SELATAN</t>
  </si>
  <si>
    <t>KAMIPANG|KATINGAN</t>
  </si>
  <si>
    <t>PT-BUKIT RAYA</t>
  </si>
  <si>
    <t>KANDANGAN|HULU SUNGAI SELATAN</t>
  </si>
  <si>
    <t>KAPUAS BARAT|KAPUAS</t>
  </si>
  <si>
    <t>KAPUAS HILIR|KAPUAS</t>
  </si>
  <si>
    <t>KAPUAS KUALA|KAPUAS</t>
  </si>
  <si>
    <t>KAPUAS MURUNG|KAPUAS</t>
  </si>
  <si>
    <t>KAPUAS TIMUR|KAPUAS</t>
  </si>
  <si>
    <t>KAPUAS|SANGGAU</t>
  </si>
  <si>
    <t>KARANG BINTANG|TANAH BUMBU</t>
  </si>
  <si>
    <t>KARANG INTAN|BANJAR</t>
  </si>
  <si>
    <t>KARANGAN|KUTAI TIMUR</t>
  </si>
  <si>
    <t>KARAU KUALA|BARITO SELATAN</t>
  </si>
  <si>
    <t>KARUSEN JANANG|BARITO TIMUR</t>
  </si>
  <si>
    <t>KATINGAN HILIR|KATINGAN</t>
  </si>
  <si>
    <t>KATINGAN KUALA|KATINGAN</t>
  </si>
  <si>
    <t>KATINGAN TENGAH|KATINGAN</t>
  </si>
  <si>
    <t>KAUBUN|KUTAI TIMUR</t>
  </si>
  <si>
    <t>KAYAN HILIR|SINTANG</t>
  </si>
  <si>
    <t>KAYAN HULU|SINTANG</t>
  </si>
  <si>
    <t>KAYAN SELATAN|MALINAU</t>
  </si>
  <si>
    <t>KELAM PERMAI|SINTANG</t>
  </si>
  <si>
    <t>KELUA|TABALONG</t>
  </si>
  <si>
    <t>KELUMPANG BARAT|KOTABARU</t>
  </si>
  <si>
    <t>PT-KOTABARU</t>
  </si>
  <si>
    <t>KELUMPANG HILIR|KOTABARU</t>
  </si>
  <si>
    <t>KELUMPANG HULU|KOTABARU</t>
  </si>
  <si>
    <t>KELUMPANG SELATAN|KOTABARU</t>
  </si>
  <si>
    <t>KELUMPANG TENGAH|KOTABARU</t>
  </si>
  <si>
    <t>KELUMPANG UTARA|KOTABARU</t>
  </si>
  <si>
    <t>KEMBANG JANGGUT|KUTAI KARTANEGARA</t>
  </si>
  <si>
    <t>PT-MUARA KAMAN</t>
  </si>
  <si>
    <t>KEMBAYAN|SANGGAU</t>
  </si>
  <si>
    <t>KENDAWANGAN|KETAPANG</t>
  </si>
  <si>
    <t>PT-KENDAWANGAN</t>
  </si>
  <si>
    <t>KENOHAN|KUTAI KARTANEGARA</t>
  </si>
  <si>
    <t>KERTAK HANYAR|BANJAR</t>
  </si>
  <si>
    <t>KETUNGAU HILIR|SINTANG</t>
  </si>
  <si>
    <t>KETUNGAU TENGAH|SINTANG</t>
  </si>
  <si>
    <t>KINTAP|TANAH LAUT</t>
  </si>
  <si>
    <t>KONGBENG|KUTAI TIMUR</t>
  </si>
  <si>
    <t>KOTA BANGUN|KUTAI KARTANEGARA</t>
  </si>
  <si>
    <t>KOTA BESI|KOTAWARINGIN TIMUR</t>
  </si>
  <si>
    <t>KOTAWARINGIN LAMA|KOTAWARINGIN BARAT</t>
  </si>
  <si>
    <t>KRAYAN BARAT|NUNUKAN</t>
  </si>
  <si>
    <t>PT-NUNUKAN</t>
  </si>
  <si>
    <t>KUALA BEHE|LANDAK</t>
  </si>
  <si>
    <t>KUALA MANDOR-B|KUBU RAYA</t>
  </si>
  <si>
    <t>PT-KUBU RAYA</t>
  </si>
  <si>
    <t>KUARO|PASER</t>
  </si>
  <si>
    <t>KUBU|KUBU RAYA</t>
  </si>
  <si>
    <t>KUMAI|KOTAWARINGIN BARAT</t>
  </si>
  <si>
    <t>KURANJI|TANAH BUMBU</t>
  </si>
  <si>
    <t>KURAU|TANAH LAUT</t>
  </si>
  <si>
    <t>KURIPAN|BARITO KUALA</t>
  </si>
  <si>
    <t>KURUN|GUNUNG MAS</t>
  </si>
  <si>
    <t>PT-RUNGAN</t>
  </si>
  <si>
    <t>KUSAN HILIR|TANAH BUMBU</t>
  </si>
  <si>
    <t>KUSAN HULU|TANAH BUMBU</t>
  </si>
  <si>
    <t>LABUAN AMAS SELATAN|HULU SUNGAI TENGAH</t>
  </si>
  <si>
    <t>LABUAN AMAS UTARA|HULU SUNGAI TENGAH</t>
  </si>
  <si>
    <t>LAHAM|MAHAKAM ULU</t>
  </si>
  <si>
    <t>LAHEI BARAT|BARITO UTARA</t>
  </si>
  <si>
    <t>LAHEI|BARITO UTARA</t>
  </si>
  <si>
    <t>LAMPIHONG|BALANGAN</t>
  </si>
  <si>
    <t>LANDASAN ULIN|KOTA BANJARBARU</t>
  </si>
  <si>
    <t>LAUNG TUHUP|MURUNG RAYA</t>
  </si>
  <si>
    <t>LIANG ANGGANG|KOTA BANJARBARU</t>
  </si>
  <si>
    <t>LIMPASU|HULU SUNGAI TENGAH</t>
  </si>
  <si>
    <t>LINGGANG BIGUNG|KUTAI BARAT</t>
  </si>
  <si>
    <t>LOA JANAN ILIR|KOTA SAMARINDA</t>
  </si>
  <si>
    <t>PT-SAMARINDA</t>
  </si>
  <si>
    <t>LOA JANAN|KUTAI KARTANEGARA</t>
  </si>
  <si>
    <t>LOA KULU|KUTAI KARTANEGARA</t>
  </si>
  <si>
    <t>LOKPAIKAT|TAPIN</t>
  </si>
  <si>
    <t>LOKSADO|HULU SUNGAI SELATAN</t>
  </si>
  <si>
    <t>LONG APARI|MAHAKAM ULU</t>
  </si>
  <si>
    <t>LONG BAGUN|MAHAKAM ULU</t>
  </si>
  <si>
    <t>LONG HUBUNG|MAHAKAM ULU</t>
  </si>
  <si>
    <t>LONG IKIS|PASER</t>
  </si>
  <si>
    <t>LONG IRAM|KUTAI BARAT</t>
  </si>
  <si>
    <t>LONG KALI|PASER</t>
  </si>
  <si>
    <t>LONG MESANGAT|KUTAI TIMUR</t>
  </si>
  <si>
    <t>LONG PAHANGAI|MAHAKAM ULU</t>
  </si>
  <si>
    <t>LUMBIS|NUNUKAN</t>
  </si>
  <si>
    <t>MALIKU|PULANG PISAU</t>
  </si>
  <si>
    <t>MALINAU BARAT|MALINAU</t>
  </si>
  <si>
    <t>MALINAU KOTA|MALINAU</t>
  </si>
  <si>
    <t>MALINAU SELATAN HILIR|MALINAU</t>
  </si>
  <si>
    <t>MALINAU SELATAN HULU|MALINAU</t>
  </si>
  <si>
    <t>MALINAU SELATAN|MALINAU</t>
  </si>
  <si>
    <t>MALINAU UTARA|MALINAU</t>
  </si>
  <si>
    <t>MANDASTANA|BARITO KUALA</t>
  </si>
  <si>
    <t>MANDAU TALAWANG|KAPUAS</t>
  </si>
  <si>
    <t>MANDOR|LANDAK</t>
  </si>
  <si>
    <t>PT-MANDOR</t>
  </si>
  <si>
    <t>MANIS MATA|KETAPANG</t>
  </si>
  <si>
    <t>MANTANGAI|KAPUAS</t>
  </si>
  <si>
    <t>MANTEWE|TANAH BUMBU</t>
  </si>
  <si>
    <t>MANUHING RAYA|GUNUNG MAS</t>
  </si>
  <si>
    <t>MANUHING|GUNUNG MAS</t>
  </si>
  <si>
    <t>MARABAHAN|BARITO KUALA</t>
  </si>
  <si>
    <t>MARANG KAYU|KUTAI KARTANEGARA</t>
  </si>
  <si>
    <t>MARAU|KETAPANG</t>
  </si>
  <si>
    <t>MARTAPURA BARAT|BANJAR</t>
  </si>
  <si>
    <t>MARTAPURA TIMUR|BANJAR</t>
  </si>
  <si>
    <t>MARTAPURA|BANJAR</t>
  </si>
  <si>
    <t>MATAN HILIR SELATAN|KETAPANG</t>
  </si>
  <si>
    <t>MATAN HILIR UTARA|KETAPANG</t>
  </si>
  <si>
    <t>PT-MUARA PAWAN</t>
  </si>
  <si>
    <t>MATARAMAN|BANJAR</t>
  </si>
  <si>
    <t>MEKAR SARI|BARITO KUALA</t>
  </si>
  <si>
    <t>MELAK|KUTAI BARAT</t>
  </si>
  <si>
    <t>MELIAU|SANGGAU</t>
  </si>
  <si>
    <t>PT-MELIAU</t>
  </si>
  <si>
    <t>MEMPAWAH HILIR|MEMPAWAH</t>
  </si>
  <si>
    <t>MEMPAWAH HULU|LANDAK</t>
  </si>
  <si>
    <t>MEMPAWAH TIMUR|MEMPAWAH</t>
  </si>
  <si>
    <t>MENDAWAI|KATINGAN</t>
  </si>
  <si>
    <t>MENJALIN|LANDAK</t>
  </si>
  <si>
    <t>MENTARANG HULU|MALINAU</t>
  </si>
  <si>
    <t>MENTARANG|MALINAU</t>
  </si>
  <si>
    <t>MENTAWA BARU KETAPANG|KOTAWARINGIN TIMUR</t>
  </si>
  <si>
    <t>MENTAYA HILIR SELATAN|KOTAWARINGIN TIMUR</t>
  </si>
  <si>
    <t>MENTAYA HILIR UTARA|KOTAWARINGIN TIMUR</t>
  </si>
  <si>
    <t>MENTAYA HULU|KOTAWARINGIN TIMUR</t>
  </si>
  <si>
    <t>MENTEBAH|KAPUAS HULU</t>
  </si>
  <si>
    <t>MENTHOBI RAYA|LAMANDAU</t>
  </si>
  <si>
    <t>MENUKUNG|MELAWI</t>
  </si>
  <si>
    <t>MENYUKE|LANDAK</t>
  </si>
  <si>
    <t>MIHING RAYA|GUNUNG MAS</t>
  </si>
  <si>
    <t>MONTALLAT|BARITO UTARA</t>
  </si>
  <si>
    <t>MOOK MANAAR BULATN|KUTAI BARAT</t>
  </si>
  <si>
    <t>MUARA ANCALONG|KUTAI TIMUR</t>
  </si>
  <si>
    <t>MUARA BADAK|KUTAI KARTANEGARA</t>
  </si>
  <si>
    <t>MUARA BENGKAL|KUTAI TIMUR</t>
  </si>
  <si>
    <t>MUARA HARUS|TABALONG</t>
  </si>
  <si>
    <t>MUARA JAWA|KUTAI KARTANEGARA</t>
  </si>
  <si>
    <t>PT-SAMBOJA</t>
  </si>
  <si>
    <t>MUARA KAMAN|KUTAI KARTANEGARA</t>
  </si>
  <si>
    <t>PT-SEBULU</t>
  </si>
  <si>
    <t>MUARA KOMAM|PASER</t>
  </si>
  <si>
    <t>MUARA LAWA|KUTAI BARAT</t>
  </si>
  <si>
    <t>MUARA MUNTAI|KUTAI KARTANEGARA</t>
  </si>
  <si>
    <t>MUARA PAHU|KUTAI BARAT</t>
  </si>
  <si>
    <t>MUARA PAWAN|KETAPANG</t>
  </si>
  <si>
    <t>MUARA SAMU|PASER</t>
  </si>
  <si>
    <t>MUARA UYA|TABALONG</t>
  </si>
  <si>
    <t>MUARA WAHAU|KUTAI TIMUR</t>
  </si>
  <si>
    <t>MUARA WIS|KUTAI KARTANEGARA</t>
  </si>
  <si>
    <t>MUKOK|SANGGAU</t>
  </si>
  <si>
    <t>MURUNG PUDAK|TABALONG</t>
  </si>
  <si>
    <t>MURUNG|MURUNG RAYA</t>
  </si>
  <si>
    <t>NANGA MAHAP|SEKADAU</t>
  </si>
  <si>
    <t>PT-SEKADAU</t>
  </si>
  <si>
    <t>NANGA PINOH|MELAWI</t>
  </si>
  <si>
    <t>NANGA TAMAN|SEKADAU</t>
  </si>
  <si>
    <t>NANGA TAYAP|KETAPANG</t>
  </si>
  <si>
    <t>NGABANG|LANDAK</t>
  </si>
  <si>
    <t>NOYAN|SANGGAU</t>
  </si>
  <si>
    <t>NUNUKAN SELATAN|NUNUKAN</t>
  </si>
  <si>
    <t>NUNUKAN|NUNUKAN</t>
  </si>
  <si>
    <t>NYUATAN|KUTAI BARAT</t>
  </si>
  <si>
    <t>PADANG BATUNG|HULU SUNGAI SELATAN</t>
  </si>
  <si>
    <t>PAHANDUT|KOTA PALANGKARAYA</t>
  </si>
  <si>
    <t>PAJU EPAT|BARITO TIMUR</t>
  </si>
  <si>
    <t>PAKU|BARITO TIMUR</t>
  </si>
  <si>
    <t>PALARAN|KOTA SAMARINDA</t>
  </si>
  <si>
    <t>PALOH|SAMBAS</t>
  </si>
  <si>
    <t>PAMUKAN BARAT|KOTABARU</t>
  </si>
  <si>
    <t>PAMUKAN SELATAN|KOTABARU</t>
  </si>
  <si>
    <t>PAMUKAN UTARA|KOTABARU</t>
  </si>
  <si>
    <t>PANDAWAN|HULU SUNGAI TENGAH</t>
  </si>
  <si>
    <t>PANDIH BATU|PULANG PISAU</t>
  </si>
  <si>
    <t>PANGKALAN BANTENG|KOTAWARINGIN BARAT</t>
  </si>
  <si>
    <t>PANGKALAN LADA|KOTAWARINGIN BARAT</t>
  </si>
  <si>
    <t>PANTAI LUNCI|SUKAMARA</t>
  </si>
  <si>
    <t>PANYIPATAN|TANAH LAUT</t>
  </si>
  <si>
    <t>PARAMASAN|BANJAR</t>
  </si>
  <si>
    <t>PARENGGEAN|KOTAWARINGIN TIMUR</t>
  </si>
  <si>
    <t>PARINDU|SANGGAU</t>
  </si>
  <si>
    <t>PARINGIN SELATAN|BALANGAN</t>
  </si>
  <si>
    <t>PARINGIN|BALANGAN</t>
  </si>
  <si>
    <t>PASAK TALAWANG|KAPUAS</t>
  </si>
  <si>
    <t>PASER BELENGKONG|PASER</t>
  </si>
  <si>
    <t>PATANGKEP TUTUI|BARITO TIMUR</t>
  </si>
  <si>
    <t>PELAIHARI|TANAH LAUT</t>
  </si>
  <si>
    <t>PEMAHAN|KETAPANG</t>
  </si>
  <si>
    <t>PEMANGKAT|SAMBAS</t>
  </si>
  <si>
    <t>PT-PEMANGKAT</t>
  </si>
  <si>
    <t>PEMATANG KARAU|BARITO TIMUR</t>
  </si>
  <si>
    <t>PENAJAM|PENAJAM PASER UTARA</t>
  </si>
  <si>
    <t>PENGARON|BANJAR</t>
  </si>
  <si>
    <t>PENGKADAN|KAPUAS HULU</t>
  </si>
  <si>
    <t>PENYINGGAHAN|KUTAI BARAT</t>
  </si>
  <si>
    <t>PERMATA INTAN|MURUNG RAYA</t>
  </si>
  <si>
    <t>PERMATA KECUBUNG|SUKAMARA</t>
  </si>
  <si>
    <t>PIANI|TAPIN</t>
  </si>
  <si>
    <t>PINOH UTARA|MELAWI</t>
  </si>
  <si>
    <t>PONTIANAK BARAT|KOTA PONTIANAK</t>
  </si>
  <si>
    <t>PT-PONTIANAK</t>
  </si>
  <si>
    <t>PONTIANAK KOTA|KOTA PONTIANAK</t>
  </si>
  <si>
    <t>PONTIANAK SELATAN|KOTA PONTIANAK</t>
  </si>
  <si>
    <t>PONTIANAK TENGGARA|KOTA PONTIANAK</t>
  </si>
  <si>
    <t>PONTIANAK TIMUR|KOTA PONTIANAK</t>
  </si>
  <si>
    <t>PONTIANAK UTARA|KOTA PONTIANAK</t>
  </si>
  <si>
    <t>PUGAAN|TABALONG</t>
  </si>
  <si>
    <t>PUJUNGAN|MALINAU</t>
  </si>
  <si>
    <t>PULAU DERAWAN|BERAU</t>
  </si>
  <si>
    <t>PULAU HANAUT|KOTAWARINGIN TIMUR</t>
  </si>
  <si>
    <t>PULAU LAUT BARAT|KOTABARU</t>
  </si>
  <si>
    <t>PT-PULAU LAUT UTARA</t>
  </si>
  <si>
    <t>PULAU LAUT KEPULAUAN|KOTABARU</t>
  </si>
  <si>
    <t>PULAU LAUT SELATAN|KOTABARU</t>
  </si>
  <si>
    <t>PULAU LAUT TANJUNG SELAYAR|KOTABARU</t>
  </si>
  <si>
    <t>PULAU LAUT TENGAH|KOTABARU</t>
  </si>
  <si>
    <t>PULAU LAUT TIMUR|KOTABARU</t>
  </si>
  <si>
    <t>PULAU LAUT UTARA|KOTABARU</t>
  </si>
  <si>
    <t>PULAU MALAN|KATINGAN</t>
  </si>
  <si>
    <t>PULAU MAYA|KAYONG UTARA</t>
  </si>
  <si>
    <t>PT-KAYONG UTARA</t>
  </si>
  <si>
    <t>PULAU PETAK|KAPUAS</t>
  </si>
  <si>
    <t>PULAU SEBUKU|KOTABARU</t>
  </si>
  <si>
    <t>PUTUSSIBAU SELATAN|KAPUAS HULU</t>
  </si>
  <si>
    <t>PUTUSSIBAU UTARA|KAPUAS HULU</t>
  </si>
  <si>
    <t>RANTAU BADAUH|BARITO KUALA</t>
  </si>
  <si>
    <t>RANTAU PULUNG|KUTAI TIMUR</t>
  </si>
  <si>
    <t>RAREN BATUAH|BARITO TIMUR</t>
  </si>
  <si>
    <t>RASAU JAYA|KUBU RAYA</t>
  </si>
  <si>
    <t>RUNGAN|GUNUNG MAS</t>
  </si>
  <si>
    <t>SABANGAU|KOTA PALANGKARAYA</t>
  </si>
  <si>
    <t>SAJAD|SAMBAS</t>
  </si>
  <si>
    <t>SAJINGAN BESAR|SAMBAS</t>
  </si>
  <si>
    <t>SALAM BABARIS|TAPIN</t>
  </si>
  <si>
    <t>SALATIGA|SAMBAS</t>
  </si>
  <si>
    <t>SAMARINDA ILIR|KOTA SAMARINDA</t>
  </si>
  <si>
    <t>SAMARINDA KOTA|KOTA SAMARINDA</t>
  </si>
  <si>
    <t>SAMARINDA SEBERANG|KOTA SAMARINDA</t>
  </si>
  <si>
    <t>SAMARINDA ULU|KOTA SAMARINDA</t>
  </si>
  <si>
    <t>SAMARINDA UTARA|KOTA SAMARINDA</t>
  </si>
  <si>
    <t>SAMBALIUNG|BERAU</t>
  </si>
  <si>
    <t>SAMBAS|SAMBAS</t>
  </si>
  <si>
    <t>SAMBOJA|KUTAI KARTANEGARA</t>
  </si>
  <si>
    <t>SAMBUNG MAKMUR|BANJAR</t>
  </si>
  <si>
    <t>SAMBUTAN|KOTA SAMARINDA</t>
  </si>
  <si>
    <t>SAMPANAHAN|KOTABARU</t>
  </si>
  <si>
    <t>SANAMAN MANTIKEI|KATINGAN</t>
  </si>
  <si>
    <t>SANDAI|KETAPANG</t>
  </si>
  <si>
    <t>SANDARAN|KUTAI TIMUR</t>
  </si>
  <si>
    <t>SANGASANGA|KUTAI KARTANEGARA</t>
  </si>
  <si>
    <t>SANGATTA SELATAN|KUTAI TIMUR</t>
  </si>
  <si>
    <t>SANGATTA UTARA|KUTAI TIMUR</t>
  </si>
  <si>
    <t>SANGKULIRANG|KUTAI TIMUR</t>
  </si>
  <si>
    <t>SATUI|TANAH BUMBU</t>
  </si>
  <si>
    <t>SEBANGKI|LANDAK</t>
  </si>
  <si>
    <t>SEBATIK BARAT|NUNUKAN</t>
  </si>
  <si>
    <t>SEBATIK TIMUR|NUNUKAN</t>
  </si>
  <si>
    <t>SEBATIK UTARA|NUNUKAN</t>
  </si>
  <si>
    <t>SEBATIK|NUNUKAN</t>
  </si>
  <si>
    <t>SEBAWI|SAMBAS</t>
  </si>
  <si>
    <t>SEBERUANG|KAPUAS HULU</t>
  </si>
  <si>
    <t>SEBUKU|NUNUKAN</t>
  </si>
  <si>
    <t>SEBULU|KUTAI KARTANEGARA</t>
  </si>
  <si>
    <t>SEGAH|BERAU</t>
  </si>
  <si>
    <t>SEGEDONG|MEMPAWAH</t>
  </si>
  <si>
    <t>SEJANGKUNG|SAMBAS</t>
  </si>
  <si>
    <t>SEKADAU HILIR|SEKADAU</t>
  </si>
  <si>
    <t>SEKADAU HULU|SEKADAU</t>
  </si>
  <si>
    <t>SEKAYAM|SANGGAU</t>
  </si>
  <si>
    <t>SEKOLAQ DARAT|KUTAI BARAT</t>
  </si>
  <si>
    <t>SELAKAU TIMUR|SAMBAS</t>
  </si>
  <si>
    <t>SELAKAU|SAMBAS</t>
  </si>
  <si>
    <t>SELAT|KAPUAS</t>
  </si>
  <si>
    <t>SELIMBAU|KAPUAS HULU</t>
  </si>
  <si>
    <t>SEMATU JAYA|LAMANDAU</t>
  </si>
  <si>
    <t>SEMBAKUNG ATULAI|NUNUKAN</t>
  </si>
  <si>
    <t>SEMBAKUNG|NUNUKAN</t>
  </si>
  <si>
    <t>SEMITAU|KAPUAS HULU</t>
  </si>
  <si>
    <t>SEMPARUK|SAMBAS</t>
  </si>
  <si>
    <t>SENGAH TEMILA|LANDAK</t>
  </si>
  <si>
    <t>SEPAKU|PENAJAM PASER UTARA</t>
  </si>
  <si>
    <t>SEPANG SIMIN|GUNUNG MAS</t>
  </si>
  <si>
    <t>SEPAUK|SINTANG</t>
  </si>
  <si>
    <t>SEPONTI|KAYONG UTARA</t>
  </si>
  <si>
    <t>SERANAU|KOTAWARINGIN TIMUR</t>
  </si>
  <si>
    <t>SERAWAI|SINTANG</t>
  </si>
  <si>
    <t>SERIBU RIAM|MURUNG RAYA</t>
  </si>
  <si>
    <t>SERUYAN HILIR TIMUR|SERUYAN</t>
  </si>
  <si>
    <t>SERUYAN HILIR|SERUYAN</t>
  </si>
  <si>
    <t>SERUYAN RAYA|SERUYAN</t>
  </si>
  <si>
    <t>SERUYAN TENGAH|SERUYAN</t>
  </si>
  <si>
    <t>SESAYAP HILIR|TANA TIDUNG</t>
  </si>
  <si>
    <t>SESAYAP|TANA TIDUNG</t>
  </si>
  <si>
    <t>SIANTAN|MEMPAWAH</t>
  </si>
  <si>
    <t>SILAT HILIR|KAPUAS HULU</t>
  </si>
  <si>
    <t>PT-SILAT HILIR</t>
  </si>
  <si>
    <t>SILAT HULU|KAPUAS HULU</t>
  </si>
  <si>
    <t>SILUQ NGURAI|KUTAI BARAT</t>
  </si>
  <si>
    <t>SIMPANG EMPAT|BANJAR</t>
  </si>
  <si>
    <t>SIMPANG EMPAT|TANAH BUMBU</t>
  </si>
  <si>
    <t>SIMPANG HILIR|KAYONG UTARA</t>
  </si>
  <si>
    <t>SIMPANG HULU|KETAPANG</t>
  </si>
  <si>
    <t>SIMPUR|HULU SUNGAI SELATAN</t>
  </si>
  <si>
    <t>SINGKAWANG BARAT|KOTA SINGKAWANG</t>
  </si>
  <si>
    <t>PT-SINGKAWANG</t>
  </si>
  <si>
    <t>SINGKAWANG SELATAN|KOTA SINGKAWANG</t>
  </si>
  <si>
    <t>SINGKAWANG TENGAH|KOTA SINGKAWANG</t>
  </si>
  <si>
    <t>SINGKAWANG TIMUR|KOTA SINGKAWANG</t>
  </si>
  <si>
    <t>SINGKAWANG UTARA|KOTA SINGKAWANG</t>
  </si>
  <si>
    <t>SINGKUP|KETAPANG</t>
  </si>
  <si>
    <t>SINTANG|SINTANG</t>
  </si>
  <si>
    <t>SUBAH|SAMBAS</t>
  </si>
  <si>
    <t>SUHAID|KAPUAS HULU</t>
  </si>
  <si>
    <t>SUKADANA|KAYONG UTARA</t>
  </si>
  <si>
    <t>SUKAMARA|SUKAMARA</t>
  </si>
  <si>
    <t>SUNGAI AMBAWANG|KUBU RAYA</t>
  </si>
  <si>
    <t>SUNGAI BOH|MALINAU</t>
  </si>
  <si>
    <t>SUNGAI DURIAN|KOTABARU</t>
  </si>
  <si>
    <t>SUNGAI KAKAP|KUBU RAYA</t>
  </si>
  <si>
    <t>SUNGAI KUNJANG|KOTA SAMARINDA</t>
  </si>
  <si>
    <t>SUNGAI KUNYIT|MEMPAWAH</t>
  </si>
  <si>
    <t>SUNGAI LAUR|KETAPANG</t>
  </si>
  <si>
    <t>SUNGAI LOBAN|TANAH BUMBU</t>
  </si>
  <si>
    <t>SUNGAI MELAYU RAYAK|KETAPANG</t>
  </si>
  <si>
    <t>SUNGAI PANDAN|HULU SUNGAI UTARA</t>
  </si>
  <si>
    <t>SUNGAI PINANG|BANJAR</t>
  </si>
  <si>
    <t>SUNGAI PINANG|KOTA SAMARINDA</t>
  </si>
  <si>
    <t>SUNGAI PINYUH|MEMPAWAH</t>
  </si>
  <si>
    <t>SUNGAI RAYA|HULU SUNGAI SELATAN</t>
  </si>
  <si>
    <t>SUNGAI RAYA|KUBU RAYA</t>
  </si>
  <si>
    <t>SUNGAI TABUK|BANJAR</t>
  </si>
  <si>
    <t>SUNGAI TABUKAN|HULU SUNGAI UTARA</t>
  </si>
  <si>
    <t>SUNGAI TEBELIAN|SINTANG</t>
  </si>
  <si>
    <t>SUNGAI TUBU|MALINAU</t>
  </si>
  <si>
    <t>TABALAR|BERAU</t>
  </si>
  <si>
    <t>TABANG|KUTAI KARTANEGARA</t>
  </si>
  <si>
    <t>TABUKAN|BARITO KUALA</t>
  </si>
  <si>
    <t>TABUNGANEN|BARITO KUALA</t>
  </si>
  <si>
    <t>TAKISUNG|TANAH LAUT</t>
  </si>
  <si>
    <t>TALISAYAN|BERAU</t>
  </si>
  <si>
    <t>TAMBAN CATUR|KAPUAS</t>
  </si>
  <si>
    <t>TAMBAN|BARITO KUALA</t>
  </si>
  <si>
    <t>TAMBANG ULANG|TANAH LAUT</t>
  </si>
  <si>
    <t>TANA LIA|TANA TIDUNG</t>
  </si>
  <si>
    <t>TANAH GROGOT|PASER</t>
  </si>
  <si>
    <t>TANAH SIANG SELATAN|MURUNG RAYA</t>
  </si>
  <si>
    <t>TANAH SIANG|MURUNG RAYA</t>
  </si>
  <si>
    <t>TANGARAN|SAMBAS</t>
  </si>
  <si>
    <t>TANJUNG HARAPAN|PASER</t>
  </si>
  <si>
    <t>TANJUNG PALAS TENGAH|BULUNGAN</t>
  </si>
  <si>
    <t>TANJUNG PALAS TIMUR|BULUNGAN</t>
  </si>
  <si>
    <t>TANJUNG PALAS UTARA|BULUNGAN</t>
  </si>
  <si>
    <t>TANJUNG PALAS|BULUNGAN</t>
  </si>
  <si>
    <t>TANJUNG REDEB|BERAU</t>
  </si>
  <si>
    <t>TANJUNG SELOR|BULUNGAN</t>
  </si>
  <si>
    <t>TANJUNG|TABALONG</t>
  </si>
  <si>
    <t>TANTA|TABALONG</t>
  </si>
  <si>
    <t>TAPIN SELATAN|TAPIN</t>
  </si>
  <si>
    <t>TAPIN TENGAH|TAPIN</t>
  </si>
  <si>
    <t>TAPIN UTARA|TAPIN</t>
  </si>
  <si>
    <t>TARAKAN BARAT|KOTA TARAKAN</t>
  </si>
  <si>
    <t>PT-TARAKAN BARAT</t>
  </si>
  <si>
    <t>TARAKAN TENGAH|KOTA TARAKAN</t>
  </si>
  <si>
    <t>TARAKAN TIMUR|KOTA TARAKAN</t>
  </si>
  <si>
    <t>TARAKAN UTARA|KOTA TARAKAN</t>
  </si>
  <si>
    <t>TASIK PAYAWAN|KATINGAN</t>
  </si>
  <si>
    <t>TATAH MAKMUR|BANJAR</t>
  </si>
  <si>
    <t>TAYAN HILIR|SANGGAU</t>
  </si>
  <si>
    <t>TAYAN HULU|SANGGAU</t>
  </si>
  <si>
    <t>TEBAS|SAMBAS</t>
  </si>
  <si>
    <t>TEBING TINGGI|BALANGAN</t>
  </si>
  <si>
    <t>TEKARANG|SAMBAS</t>
  </si>
  <si>
    <t>TELAGA ANTANG|KOTAWARINGIN TIMUR</t>
  </si>
  <si>
    <t>TELAGA BAUNTUNG|BANJAR</t>
  </si>
  <si>
    <t>TELAGA LANGSAT|HULU SUNGAI SELATAN</t>
  </si>
  <si>
    <t>TELAWANG|KOTAWARINGIN TIMUR</t>
  </si>
  <si>
    <t>TELEN|KUTAI TIMUR</t>
  </si>
  <si>
    <t>TELUK BATANG|KAYONG UTARA</t>
  </si>
  <si>
    <t>TELUK BAYUR|BERAU</t>
  </si>
  <si>
    <t>TELUK KERAMAT|SAMBAS</t>
  </si>
  <si>
    <t>TELUK PAKEDAI|KUBU RAYA</t>
  </si>
  <si>
    <t>TELUK PANDAN|KUTAI TIMUR</t>
  </si>
  <si>
    <t>TELUK SAMPIT|KOTAWARINGIN TIMUR</t>
  </si>
  <si>
    <t>TEMPUNAK|SINTANG</t>
  </si>
  <si>
    <t>TENGGARONG SEBERANG|KUTAI KARTANEGARA</t>
  </si>
  <si>
    <t>TENGGARONG|KUTAI KARTANEGARA</t>
  </si>
  <si>
    <t>TERENTANG|KUBU RAYA</t>
  </si>
  <si>
    <t>TERING|KUTAI BARAT</t>
  </si>
  <si>
    <t>TEWAH|GUNUNG MAS</t>
  </si>
  <si>
    <t>TEWANG SANGALANG GARING|KATINGAN</t>
  </si>
  <si>
    <t>TEWEH BARU|BARITO UTARA</t>
  </si>
  <si>
    <t>TEWEH SELATAN|BARITO UTARA</t>
  </si>
  <si>
    <t>TEWEH TENGAH|BARITO UTARA</t>
  </si>
  <si>
    <t>TEWEH TIMUR|BARITO UTARA</t>
  </si>
  <si>
    <t>TOBA|SANGGAU</t>
  </si>
  <si>
    <t>TOHO|MEMPAWAH</t>
  </si>
  <si>
    <t>TUALAN HULU|KOTAWARINGIN TIMUR</t>
  </si>
  <si>
    <t>TULIN ONSOI|NUNUKAN</t>
  </si>
  <si>
    <t>TUMBANG TITI|KETAPANG</t>
  </si>
  <si>
    <t>UPAU|TABALONG</t>
  </si>
  <si>
    <t>WANARAYA|BARITO KUALA</t>
  </si>
  <si>
    <t>WARU|PENAJAM PASER UTARA</t>
  </si>
  <si>
    <t>SEKATAK|BULUNGAN</t>
  </si>
  <si>
    <t>RGUGA TRADE MTD</t>
  </si>
  <si>
    <t>RGUGA TRADE LMTD</t>
  </si>
  <si>
    <t>RGUGA FWA ALL CHANNEL</t>
  </si>
  <si>
    <t>Total</t>
  </si>
  <si>
    <t>MURUK RIAN|TANA TIDUNG</t>
  </si>
  <si>
    <t>KAHAYAN HULU UTARA|GUNUNG MAS</t>
  </si>
  <si>
    <t>RUNGAN BARAT|GUNUNG MAS</t>
  </si>
  <si>
    <t>SADANIANG|MEMPAWAH</t>
  </si>
  <si>
    <t>SOKAN|MELAWI</t>
  </si>
  <si>
    <t>TANJUNG PALAS BARAT|BULUNGAN</t>
  </si>
  <si>
    <t>TIMPAH|KAPUAS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</si>
</sst>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indexed="8"/>
      <name val="Century Gothic"/>
      <family val="2"/>
    </font>
    <font>
      <sz val="14"/>
      <color theme="1"/>
      <name val="Calibri"/>
      <family val="2"/>
      <scheme val="minor"/>
    </font>
    <font>
      <b/>
      <sz val="14"/>
      <color indexed="9"/>
      <name val="Century Gothic"/>
      <family val="2"/>
    </font>
    <font>
      <sz val="11"/>
      <color theme="1"/>
      <name val="Calibri"/>
      <family val="2"/>
      <scheme val="minor"/>
    </font>
    <font>
      <sz val="11"/>
      <color indexed="8"/>
      <name val="Century Gothic"/>
      <family val="2"/>
    </font>
    <font>
      <sz val="14"/>
      <color theme="1"/>
      <name val="Century Gothic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3" borderId="1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3" fontId="1" fillId="3" borderId="1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2" xfId="0" applyBorder="1"/>
    <xf numFmtId="10" fontId="1" fillId="3" borderId="1" xfId="1" applyNumberFormat="1" applyFont="1" applyFill="1" applyBorder="1" applyAlignment="1" applyProtection="1">
      <alignment horizontal="center" vertical="center"/>
    </xf>
    <xf numFmtId="0" fontId="5" fillId="3" borderId="3" xfId="0" applyNumberFormat="1" applyFont="1" applyFill="1" applyBorder="1" applyAlignment="1" applyProtection="1">
      <alignment horizontal="right" vertical="center" indent="1"/>
    </xf>
    <xf numFmtId="0" fontId="0" fillId="0" borderId="0" xfId="0" applyAlignment="1"/>
    <xf numFmtId="0" fontId="0" fillId="0" borderId="4" xfId="0" applyBorder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0" fillId="0" borderId="4" xfId="0" applyBorder="1" applyAlignment="1"/>
    <xf numFmtId="0" fontId="7" fillId="0" borderId="0" xfId="0" applyFont="1"/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22"/>
  <sheetViews>
    <sheetView zoomScale="44" workbookViewId="0">
      <pane xSplit="1" ySplit="5" topLeftCell="Q18" activePane="bottomRight" state="frozen"/>
      <selection pane="topRight" activeCell="B1" sqref="B1"/>
      <selection pane="bottomLeft" activeCell="A6" sqref="A6"/>
      <selection pane="bottomRight" activeCell="A5" sqref="A5:W22"/>
    </sheetView>
  </sheetViews>
  <sheetFormatPr defaultColWidth="11.7265625" defaultRowHeight="64.5" customHeight="1" x14ac:dyDescent="0.35"/>
  <cols>
    <col min="1" max="1" width="60.6328125" style="2" bestFit="1" customWidth="1"/>
    <col min="2" max="2" width="29.54296875" style="5" bestFit="1" customWidth="1"/>
    <col min="3" max="17" width="40.7265625" style="5" customWidth="1"/>
    <col min="18" max="20" width="40.7265625" style="2" customWidth="1"/>
    <col min="21" max="23" width="40.7265625" style="5" customWidth="1"/>
    <col min="24" max="25" width="34.90625" style="2" customWidth="1"/>
    <col min="26" max="16384" width="11.7265625" style="2"/>
  </cols>
  <sheetData>
    <row r="4" spans="1:23" ht="64.5" customHeight="1" x14ac:dyDescent="0.3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23" ht="64.5" customHeight="1" x14ac:dyDescent="0.35">
      <c r="A5" s="3" t="s">
        <v>0</v>
      </c>
      <c r="B5" s="3" t="s">
        <v>15</v>
      </c>
      <c r="C5" s="3" t="s">
        <v>18</v>
      </c>
      <c r="D5" s="3" t="s">
        <v>23</v>
      </c>
      <c r="E5" s="3" t="s">
        <v>33</v>
      </c>
      <c r="F5" s="3" t="s">
        <v>19</v>
      </c>
      <c r="G5" s="3" t="s">
        <v>24</v>
      </c>
      <c r="H5" s="3" t="s">
        <v>33</v>
      </c>
      <c r="I5" s="3" t="s">
        <v>20</v>
      </c>
      <c r="J5" s="3" t="s">
        <v>25</v>
      </c>
      <c r="K5" s="3" t="s">
        <v>33</v>
      </c>
      <c r="L5" s="3" t="s">
        <v>21</v>
      </c>
      <c r="M5" s="3" t="s">
        <v>26</v>
      </c>
      <c r="N5" s="3" t="s">
        <v>33</v>
      </c>
      <c r="O5" s="3" t="s">
        <v>22</v>
      </c>
      <c r="P5" s="3" t="s">
        <v>27</v>
      </c>
      <c r="Q5" s="3" t="s">
        <v>33</v>
      </c>
      <c r="R5" s="3" t="s">
        <v>28</v>
      </c>
      <c r="S5" s="3" t="s">
        <v>29</v>
      </c>
      <c r="T5" s="3" t="s">
        <v>33</v>
      </c>
      <c r="U5" s="3" t="s">
        <v>662</v>
      </c>
      <c r="V5" s="3" t="s">
        <v>663</v>
      </c>
      <c r="W5" s="3" t="s">
        <v>33</v>
      </c>
    </row>
    <row r="6" spans="1:23" ht="64.5" customHeight="1" x14ac:dyDescent="0.35">
      <c r="A6" s="10" t="s">
        <v>1</v>
      </c>
      <c r="B6" s="1" t="s">
        <v>16</v>
      </c>
      <c r="C6" s="4">
        <f>IFERROR(VLOOKUP($A:$A,MASTER!$A:$T,3,0),0)</f>
        <v>208962045.42749488</v>
      </c>
      <c r="D6" s="4">
        <f>IFERROR(VLOOKUP($A:$A,MASTER!$A:$T,4,0),0)</f>
        <v>200710065.22616184</v>
      </c>
      <c r="E6" s="9">
        <f>IFERROR(C6/D6-1,0)</f>
        <v>4.1113933135513925E-2</v>
      </c>
      <c r="F6" s="4">
        <f>IFERROR(VLOOKUP(A:A,MASTER!A:E,5,0),0)</f>
        <v>418468.46846847102</v>
      </c>
      <c r="G6" s="4">
        <f>IFERROR(VLOOKUP(A:A,MASTER!A:F,6,0),0)</f>
        <v>1239639.639639643</v>
      </c>
      <c r="H6" s="9">
        <f>IFERROR(F6/G6-1,0)</f>
        <v>-0.66242732558139417</v>
      </c>
      <c r="I6" s="4">
        <f>IFERROR(VLOOKUP(A:A,MASTER!A:M,13,0),0)</f>
        <v>17877567.567567568</v>
      </c>
      <c r="J6" s="4">
        <f>IFERROR(VLOOKUP($A:$A,MASTER!$A:$T,14,0),0)</f>
        <v>25190000</v>
      </c>
      <c r="K6" s="9">
        <f>IFERROR(I6/J6-1,0)</f>
        <v>-0.29029108505091039</v>
      </c>
      <c r="L6" s="4">
        <f>IFERROR(VLOOKUP($A:$A,MASTER!$A:$T,15,0),0)</f>
        <v>99988783.783783793</v>
      </c>
      <c r="M6" s="4">
        <f>IFERROR(VLOOKUP($A:$A,MASTER!$A:$T,16,0),0)</f>
        <v>96201414.414414421</v>
      </c>
      <c r="N6" s="9">
        <f>IFERROR(L6/M6-1,0)</f>
        <v>3.9369165125309191E-2</v>
      </c>
      <c r="O6" s="4">
        <f>IFERROR(VLOOKUP($A:$A,MASTER!$A:$T,17,0),0)</f>
        <v>18706666.666666664</v>
      </c>
      <c r="P6" s="4">
        <f>IFERROR(VLOOKUP($A:$A,MASTER!$A:$T,18,0),0)</f>
        <v>22817657.657657657</v>
      </c>
      <c r="Q6" s="9">
        <f>IFERROR(O6/P6-1,0)</f>
        <v>-0.18016709044678536</v>
      </c>
      <c r="R6" s="4">
        <f>IFERROR(VLOOKUP($A:$A,MASTER!$A:$T,19,0),0)</f>
        <v>8150</v>
      </c>
      <c r="S6" s="4">
        <f>IFERROR(VLOOKUP($A:$A,MASTER!$A:$T,20,0),0)</f>
        <v>8094</v>
      </c>
      <c r="T6" s="9">
        <f>IFERROR(R6/S6-1,0)</f>
        <v>6.9187052137384963E-3</v>
      </c>
      <c r="U6" s="13">
        <f>IFERROR(VLOOKUP(A:A,MASTER!A:K,11,0),0)</f>
        <v>354</v>
      </c>
      <c r="V6" s="13">
        <f>IFERROR(VLOOKUP(A:A,MASTER!A:L,12,0),0)</f>
        <v>135</v>
      </c>
      <c r="W6" s="9">
        <f>IFERROR(U6/V6-1,0)</f>
        <v>1.6222222222222222</v>
      </c>
    </row>
    <row r="7" spans="1:23" ht="64.5" customHeight="1" x14ac:dyDescent="0.35">
      <c r="A7" s="10" t="s">
        <v>2</v>
      </c>
      <c r="B7" s="1" t="s">
        <v>17</v>
      </c>
      <c r="C7" s="4">
        <f>IFERROR(VLOOKUP($A:$A,MASTER!$A:$T,3,0),0)</f>
        <v>24968411.489844091</v>
      </c>
      <c r="D7" s="4">
        <f>IFERROR(VLOOKUP($A:$A,MASTER!$A:$T,4,0),0)</f>
        <v>15542536.569016691</v>
      </c>
      <c r="E7" s="9">
        <f t="shared" ref="E7:E22" si="0">IFERROR(C7/D7-1,0)</f>
        <v>0.60645666677197552</v>
      </c>
      <c r="F7" s="4">
        <f>IFERROR(VLOOKUP(A:A,MASTER!A:E,5,0),0)</f>
        <v>16216.216216215</v>
      </c>
      <c r="G7" s="4">
        <f>IFERROR(VLOOKUP(A:A,MASTER!A:F,6,0),0)</f>
        <v>40540.540540542002</v>
      </c>
      <c r="H7" s="9">
        <f t="shared" ref="H7:H22" si="1">IFERROR(F7/G7-1,0)</f>
        <v>-0.6000000000000445</v>
      </c>
      <c r="I7" s="4">
        <f>IFERROR(VLOOKUP(A:A,MASTER!A:M,13,0),0)</f>
        <v>217567.56756756699</v>
      </c>
      <c r="J7" s="4">
        <f>IFERROR(VLOOKUP($A:$A,MASTER!$A:$T,14,0),0)</f>
        <v>40540.540540542002</v>
      </c>
      <c r="K7" s="9">
        <f t="shared" ref="K7:K22" si="2">IFERROR(I7/J7-1,0)</f>
        <v>4.3666666666664593</v>
      </c>
      <c r="L7" s="4">
        <f>IFERROR(VLOOKUP($A:$A,MASTER!$A:$T,15,0),0)</f>
        <v>12765720.72072072</v>
      </c>
      <c r="M7" s="4">
        <f>IFERROR(VLOOKUP($A:$A,MASTER!$A:$T,16,0),0)</f>
        <v>9733333.3333333321</v>
      </c>
      <c r="N7" s="9">
        <f t="shared" ref="N7:N22" si="3">IFERROR(L7/M7-1,0)</f>
        <v>0.31154664938911525</v>
      </c>
      <c r="O7" s="4">
        <f>IFERROR(VLOOKUP($A:$A,MASTER!$A:$T,17,0),0)</f>
        <v>201351.35135135101</v>
      </c>
      <c r="P7" s="4">
        <f>IFERROR(VLOOKUP($A:$A,MASTER!$A:$T,18,0),0)</f>
        <v>157657.65765765801</v>
      </c>
      <c r="Q7" s="9">
        <f t="shared" ref="Q7:Q22" si="4">IFERROR(O7/P7-1,0)</f>
        <v>0.27714285714285203</v>
      </c>
      <c r="R7" s="4">
        <f>IFERROR(VLOOKUP($A:$A,MASTER!$A:$T,19,0),0)</f>
        <v>1269</v>
      </c>
      <c r="S7" s="4">
        <f>IFERROR(VLOOKUP($A:$A,MASTER!$A:$T,20,0),0)</f>
        <v>1327</v>
      </c>
      <c r="T7" s="9">
        <f t="shared" ref="T7:T22" si="5">IFERROR(R7/S7-1,0)</f>
        <v>-4.3707611152976611E-2</v>
      </c>
      <c r="U7" s="13">
        <f>IFERROR(VLOOKUP(A:A,MASTER!A:K,11,0),0)</f>
        <v>4</v>
      </c>
      <c r="V7" s="13">
        <f>IFERROR(VLOOKUP(A:A,MASTER!A:L,12,0),0)</f>
        <v>3</v>
      </c>
      <c r="W7" s="9">
        <f t="shared" ref="W7:W22" si="6">IFERROR(U7/V7-1,0)</f>
        <v>0.33333333333333326</v>
      </c>
    </row>
    <row r="8" spans="1:23" ht="64.5" customHeight="1" x14ac:dyDescent="0.35">
      <c r="A8" s="10" t="s">
        <v>3</v>
      </c>
      <c r="B8" s="1" t="s">
        <v>16</v>
      </c>
      <c r="C8" s="4">
        <f>IFERROR(VLOOKUP($A:$A,MASTER!$A:$T,3,0),0)</f>
        <v>154904938.64137411</v>
      </c>
      <c r="D8" s="4">
        <f>IFERROR(VLOOKUP($A:$A,MASTER!$A:$T,4,0),0)</f>
        <v>149251136.31914622</v>
      </c>
      <c r="E8" s="9">
        <f t="shared" si="0"/>
        <v>3.7881134185392629E-2</v>
      </c>
      <c r="F8" s="4">
        <f>IFERROR(VLOOKUP(A:A,MASTER!A:E,5,0),0)</f>
        <v>1519369.3693693699</v>
      </c>
      <c r="G8" s="4">
        <f>IFERROR(VLOOKUP(A:A,MASTER!A:F,6,0),0)</f>
        <v>2480180.1801801831</v>
      </c>
      <c r="H8" s="9">
        <f t="shared" si="1"/>
        <v>-0.38739556847075973</v>
      </c>
      <c r="I8" s="4">
        <f>IFERROR(VLOOKUP(A:A,MASTER!A:M,13,0),0)</f>
        <v>30104054.054054055</v>
      </c>
      <c r="J8" s="4">
        <f>IFERROR(VLOOKUP($A:$A,MASTER!$A:$T,14,0),0)</f>
        <v>21508108.108108107</v>
      </c>
      <c r="K8" s="9">
        <f t="shared" si="2"/>
        <v>0.39966071877356124</v>
      </c>
      <c r="L8" s="4">
        <f>IFERROR(VLOOKUP($A:$A,MASTER!$A:$T,15,0),0)</f>
        <v>39032747.747747742</v>
      </c>
      <c r="M8" s="4">
        <f>IFERROR(VLOOKUP($A:$A,MASTER!$A:$T,16,0),0)</f>
        <v>43299873.873873875</v>
      </c>
      <c r="N8" s="9">
        <f t="shared" si="3"/>
        <v>-9.8548234541182222E-2</v>
      </c>
      <c r="O8" s="4">
        <f>IFERROR(VLOOKUP($A:$A,MASTER!$A:$T,17,0),0)</f>
        <v>30418198.198198199</v>
      </c>
      <c r="P8" s="4">
        <f>IFERROR(VLOOKUP($A:$A,MASTER!$A:$T,18,0),0)</f>
        <v>21694684.684684686</v>
      </c>
      <c r="Q8" s="9">
        <f t="shared" si="4"/>
        <v>0.4021037244976351</v>
      </c>
      <c r="R8" s="4">
        <f>IFERROR(VLOOKUP($A:$A,MASTER!$A:$T,19,0),0)</f>
        <v>3729</v>
      </c>
      <c r="S8" s="4">
        <f>IFERROR(VLOOKUP($A:$A,MASTER!$A:$T,20,0),0)</f>
        <v>3640</v>
      </c>
      <c r="T8" s="9">
        <f t="shared" si="5"/>
        <v>2.4450549450549364E-2</v>
      </c>
      <c r="U8" s="13">
        <f>IFERROR(VLOOKUP(A:A,MASTER!A:K,11,0),0)</f>
        <v>26</v>
      </c>
      <c r="V8" s="13">
        <f>IFERROR(VLOOKUP(A:A,MASTER!A:L,12,0),0)</f>
        <v>26</v>
      </c>
      <c r="W8" s="9">
        <f t="shared" si="6"/>
        <v>0</v>
      </c>
    </row>
    <row r="9" spans="1:23" ht="64.5" customHeight="1" x14ac:dyDescent="0.35">
      <c r="A9" s="10" t="s">
        <v>4</v>
      </c>
      <c r="B9" s="1" t="s">
        <v>16</v>
      </c>
      <c r="C9" s="4">
        <f>IFERROR(VLOOKUP($A:$A,MASTER!$A:$T,3,0),0)</f>
        <v>91334901.344475359</v>
      </c>
      <c r="D9" s="4">
        <f>IFERROR(VLOOKUP($A:$A,MASTER!$A:$T,4,0),0)</f>
        <v>91172327.769588932</v>
      </c>
      <c r="E9" s="9">
        <f t="shared" si="0"/>
        <v>1.7831460363422202E-3</v>
      </c>
      <c r="F9" s="4">
        <f>IFERROR(VLOOKUP(A:A,MASTER!A:E,5,0),0)</f>
        <v>733333.33333333395</v>
      </c>
      <c r="G9" s="4">
        <f>IFERROR(VLOOKUP(A:A,MASTER!A:F,6,0),0)</f>
        <v>854054.05405405595</v>
      </c>
      <c r="H9" s="9">
        <f t="shared" si="1"/>
        <v>-0.1413502109704653</v>
      </c>
      <c r="I9" s="4">
        <f>IFERROR(VLOOKUP(A:A,MASTER!A:M,13,0),0)</f>
        <v>12349099.0990991</v>
      </c>
      <c r="J9" s="4">
        <f>IFERROR(VLOOKUP($A:$A,MASTER!$A:$T,14,0),0)</f>
        <v>20766666.666666668</v>
      </c>
      <c r="K9" s="9">
        <f t="shared" si="2"/>
        <v>-0.40534033230662447</v>
      </c>
      <c r="L9" s="4">
        <f>IFERROR(VLOOKUP($A:$A,MASTER!$A:$T,15,0),0)</f>
        <v>32929684.684684683</v>
      </c>
      <c r="M9" s="4">
        <f>IFERROR(VLOOKUP($A:$A,MASTER!$A:$T,16,0),0)</f>
        <v>31396369.369369369</v>
      </c>
      <c r="N9" s="9">
        <f t="shared" si="3"/>
        <v>4.88373447667243E-2</v>
      </c>
      <c r="O9" s="4">
        <f>IFERROR(VLOOKUP($A:$A,MASTER!$A:$T,17,0),0)</f>
        <v>14609279.27927928</v>
      </c>
      <c r="P9" s="4">
        <f>IFERROR(VLOOKUP($A:$A,MASTER!$A:$T,18,0),0)</f>
        <v>23664324.324324321</v>
      </c>
      <c r="Q9" s="9">
        <f t="shared" si="4"/>
        <v>-0.3826454083769234</v>
      </c>
      <c r="R9" s="4">
        <f>IFERROR(VLOOKUP($A:$A,MASTER!$A:$T,19,0),0)</f>
        <v>3476</v>
      </c>
      <c r="S9" s="4">
        <f>IFERROR(VLOOKUP($A:$A,MASTER!$A:$T,20,0),0)</f>
        <v>5201</v>
      </c>
      <c r="T9" s="9">
        <f t="shared" si="5"/>
        <v>-0.33166698711786191</v>
      </c>
      <c r="U9" s="13">
        <f>IFERROR(VLOOKUP(A:A,MASTER!A:K,11,0),0)</f>
        <v>8</v>
      </c>
      <c r="V9" s="13">
        <f>IFERROR(VLOOKUP(A:A,MASTER!A:L,12,0),0)</f>
        <v>7</v>
      </c>
      <c r="W9" s="9">
        <f t="shared" si="6"/>
        <v>0.14285714285714279</v>
      </c>
    </row>
    <row r="10" spans="1:23" ht="64.5" customHeight="1" x14ac:dyDescent="0.35">
      <c r="A10" s="10" t="s">
        <v>34</v>
      </c>
      <c r="B10" s="1" t="s">
        <v>17</v>
      </c>
      <c r="C10" s="4">
        <f>IFERROR(VLOOKUP($A:$A,MASTER!$A:$T,3,0),0)</f>
        <v>0</v>
      </c>
      <c r="D10" s="4">
        <f>IFERROR(VLOOKUP($A:$A,MASTER!$A:$T,4,0),0)</f>
        <v>0</v>
      </c>
      <c r="E10" s="9">
        <f t="shared" si="0"/>
        <v>0</v>
      </c>
      <c r="F10" s="4">
        <f>IFERROR(VLOOKUP(A:A,MASTER!A:E,5,0),0)</f>
        <v>121927270.27027027</v>
      </c>
      <c r="G10" s="4">
        <f>IFERROR(VLOOKUP(A:A,MASTER!A:F,6,0),0)</f>
        <v>235311094.5945946</v>
      </c>
      <c r="H10" s="9">
        <f t="shared" si="1"/>
        <v>-0.48184648717761269</v>
      </c>
      <c r="I10" s="4">
        <f>IFERROR(VLOOKUP(A:A,MASTER!A:M,13,0),0)</f>
        <v>0</v>
      </c>
      <c r="J10" s="4">
        <f>IFERROR(VLOOKUP($A:$A,MASTER!$A:$T,14,0),0)</f>
        <v>0</v>
      </c>
      <c r="K10" s="9">
        <f t="shared" si="2"/>
        <v>0</v>
      </c>
      <c r="L10" s="4">
        <f>IFERROR(VLOOKUP($A:$A,MASTER!$A:$T,15,0),0)</f>
        <v>0</v>
      </c>
      <c r="M10" s="4">
        <f>IFERROR(VLOOKUP($A:$A,MASTER!$A:$T,16,0),0)</f>
        <v>0</v>
      </c>
      <c r="N10" s="9">
        <f t="shared" si="3"/>
        <v>0</v>
      </c>
      <c r="O10" s="4">
        <f>IFERROR(VLOOKUP($A:$A,MASTER!$A:$T,17,0),0)</f>
        <v>0</v>
      </c>
      <c r="P10" s="4">
        <f>IFERROR(VLOOKUP($A:$A,MASTER!$A:$T,18,0),0)</f>
        <v>0</v>
      </c>
      <c r="Q10" s="9">
        <f t="shared" si="4"/>
        <v>0</v>
      </c>
      <c r="R10" s="4">
        <f>IFERROR(VLOOKUP($A:$A,MASTER!$A:$T,19,0),0)</f>
        <v>0</v>
      </c>
      <c r="S10" s="4">
        <f>IFERROR(VLOOKUP($A:$A,MASTER!$A:$T,20,0),0)</f>
        <v>0</v>
      </c>
      <c r="T10" s="9">
        <f t="shared" si="5"/>
        <v>0</v>
      </c>
      <c r="U10" s="13">
        <f>IFERROR(VLOOKUP(A:A,MASTER!A:K,11,0),0)</f>
        <v>0</v>
      </c>
      <c r="V10" s="13">
        <f>IFERROR(VLOOKUP(A:A,MASTER!A:L,12,0),0)</f>
        <v>0</v>
      </c>
      <c r="W10" s="9">
        <f t="shared" si="6"/>
        <v>0</v>
      </c>
    </row>
    <row r="11" spans="1:23" ht="64.5" customHeight="1" x14ac:dyDescent="0.35">
      <c r="A11" s="10" t="s">
        <v>5</v>
      </c>
      <c r="B11" s="1" t="s">
        <v>16</v>
      </c>
      <c r="C11" s="4">
        <f>IFERROR(VLOOKUP($A:$A,MASTER!$A:$T,3,0),0)</f>
        <v>87679461.612138674</v>
      </c>
      <c r="D11" s="4">
        <f>IFERROR(VLOOKUP($A:$A,MASTER!$A:$T,4,0),0)</f>
        <v>99709795.460406393</v>
      </c>
      <c r="E11" s="9">
        <f t="shared" si="0"/>
        <v>-0.12065348035985923</v>
      </c>
      <c r="F11" s="4">
        <f>IFERROR(VLOOKUP(A:A,MASTER!A:E,5,0),0)</f>
        <v>4395045.0450450452</v>
      </c>
      <c r="G11" s="4">
        <f>IFERROR(VLOOKUP(A:A,MASTER!A:F,6,0),0)</f>
        <v>92116216.216216221</v>
      </c>
      <c r="H11" s="9">
        <f t="shared" si="1"/>
        <v>-0.95228804193684047</v>
      </c>
      <c r="I11" s="4">
        <f>IFERROR(VLOOKUP(A:A,MASTER!A:M,13,0),0)</f>
        <v>27880360.360360362</v>
      </c>
      <c r="J11" s="4">
        <f>IFERROR(VLOOKUP($A:$A,MASTER!$A:$T,14,0),0)</f>
        <v>19855405.405405402</v>
      </c>
      <c r="K11" s="9">
        <f t="shared" si="2"/>
        <v>0.40416978606592746</v>
      </c>
      <c r="L11" s="4">
        <f>IFERROR(VLOOKUP($A:$A,MASTER!$A:$T,15,0),0)</f>
        <v>39280180.180180185</v>
      </c>
      <c r="M11" s="4">
        <f>IFERROR(VLOOKUP($A:$A,MASTER!$A:$T,16,0),0)</f>
        <v>40891540.540540546</v>
      </c>
      <c r="N11" s="9">
        <f t="shared" si="3"/>
        <v>-3.940571421521355E-2</v>
      </c>
      <c r="O11" s="4">
        <f>IFERROR(VLOOKUP($A:$A,MASTER!$A:$T,17,0),0)</f>
        <v>4997027.0270270258</v>
      </c>
      <c r="P11" s="4">
        <f>IFERROR(VLOOKUP($A:$A,MASTER!$A:$T,18,0),0)</f>
        <v>7447567.5675675683</v>
      </c>
      <c r="Q11" s="9">
        <f t="shared" si="4"/>
        <v>-0.32903904775729442</v>
      </c>
      <c r="R11" s="4">
        <f>IFERROR(VLOOKUP($A:$A,MASTER!$A:$T,19,0),0)</f>
        <v>3123</v>
      </c>
      <c r="S11" s="4">
        <f>IFERROR(VLOOKUP($A:$A,MASTER!$A:$T,20,0),0)</f>
        <v>2941</v>
      </c>
      <c r="T11" s="9">
        <f t="shared" si="5"/>
        <v>6.1883713022781395E-2</v>
      </c>
      <c r="U11" s="13">
        <f>IFERROR(VLOOKUP(A:A,MASTER!A:K,11,0),0)</f>
        <v>9</v>
      </c>
      <c r="V11" s="13">
        <f>IFERROR(VLOOKUP(A:A,MASTER!A:L,12,0),0)</f>
        <v>12</v>
      </c>
      <c r="W11" s="9">
        <f t="shared" si="6"/>
        <v>-0.25</v>
      </c>
    </row>
    <row r="12" spans="1:23" ht="64.5" customHeight="1" x14ac:dyDescent="0.35">
      <c r="A12" s="10" t="s">
        <v>6</v>
      </c>
      <c r="B12" s="1" t="s">
        <v>17</v>
      </c>
      <c r="C12" s="4">
        <f>IFERROR(VLOOKUP($A:$A,MASTER!$A:$T,3,0),0)</f>
        <v>356404563.82936603</v>
      </c>
      <c r="D12" s="4">
        <f>IFERROR(VLOOKUP($A:$A,MASTER!$A:$T,4,0),0)</f>
        <v>333459728.71282148</v>
      </c>
      <c r="E12" s="9">
        <f t="shared" si="0"/>
        <v>6.8808414152777164E-2</v>
      </c>
      <c r="F12" s="4">
        <f>IFERROR(VLOOKUP(A:A,MASTER!A:E,5,0),0)</f>
        <v>6194144.1441441393</v>
      </c>
      <c r="G12" s="4">
        <f>IFERROR(VLOOKUP(A:A,MASTER!A:F,6,0),0)</f>
        <v>5340540.540540549</v>
      </c>
      <c r="H12" s="9">
        <f t="shared" si="1"/>
        <v>0.159834682860996</v>
      </c>
      <c r="I12" s="4">
        <f>IFERROR(VLOOKUP(A:A,MASTER!A:M,13,0),0)</f>
        <v>169790540.54054055</v>
      </c>
      <c r="J12" s="4">
        <f>IFERROR(VLOOKUP($A:$A,MASTER!$A:$T,14,0),0)</f>
        <v>154279279.27927929</v>
      </c>
      <c r="K12" s="9">
        <f t="shared" si="2"/>
        <v>0.1005401459854014</v>
      </c>
      <c r="L12" s="4">
        <f>IFERROR(VLOOKUP($A:$A,MASTER!$A:$T,15,0),0)</f>
        <v>233640360.36036035</v>
      </c>
      <c r="M12" s="4">
        <f>IFERROR(VLOOKUP($A:$A,MASTER!$A:$T,16,0),0)</f>
        <v>230136882.88288289</v>
      </c>
      <c r="N12" s="9">
        <f t="shared" si="3"/>
        <v>1.5223450642026792E-2</v>
      </c>
      <c r="O12" s="4">
        <f>IFERROR(VLOOKUP($A:$A,MASTER!$A:$T,17,0),0)</f>
        <v>139431441.44144145</v>
      </c>
      <c r="P12" s="4">
        <f>IFERROR(VLOOKUP($A:$A,MASTER!$A:$T,18,0),0)</f>
        <v>134512702.7027027</v>
      </c>
      <c r="Q12" s="9">
        <f t="shared" si="4"/>
        <v>3.656709470487729E-2</v>
      </c>
      <c r="R12" s="4">
        <f>IFERROR(VLOOKUP($A:$A,MASTER!$A:$T,19,0),0)</f>
        <v>13158</v>
      </c>
      <c r="S12" s="4">
        <f>IFERROR(VLOOKUP($A:$A,MASTER!$A:$T,20,0),0)</f>
        <v>12783</v>
      </c>
      <c r="T12" s="9">
        <f t="shared" si="5"/>
        <v>2.9335836658061387E-2</v>
      </c>
      <c r="U12" s="13">
        <f>IFERROR(VLOOKUP(A:A,MASTER!A:K,11,0),0)</f>
        <v>504</v>
      </c>
      <c r="V12" s="13">
        <f>IFERROR(VLOOKUP(A:A,MASTER!A:L,12,0),0)</f>
        <v>578</v>
      </c>
      <c r="W12" s="9">
        <f t="shared" si="6"/>
        <v>-0.12802768166089962</v>
      </c>
    </row>
    <row r="13" spans="1:23" ht="64.5" customHeight="1" x14ac:dyDescent="0.35">
      <c r="A13" s="10" t="s">
        <v>7</v>
      </c>
      <c r="B13" s="1" t="s">
        <v>17</v>
      </c>
      <c r="C13" s="4">
        <f>IFERROR(VLOOKUP($A:$A,MASTER!$A:$T,3,0),0)</f>
        <v>77526033.31313695</v>
      </c>
      <c r="D13" s="4">
        <f>IFERROR(VLOOKUP($A:$A,MASTER!$A:$T,4,0),0)</f>
        <v>80897189.0030265</v>
      </c>
      <c r="E13" s="9">
        <f t="shared" si="0"/>
        <v>-4.1672099258769468E-2</v>
      </c>
      <c r="F13" s="4">
        <f>IFERROR(VLOOKUP(A:A,MASTER!A:E,5,0),0)</f>
        <v>39189.189189188997</v>
      </c>
      <c r="G13" s="4">
        <f>IFERROR(VLOOKUP(A:A,MASTER!A:F,6,0),0)</f>
        <v>210810.81081081199</v>
      </c>
      <c r="H13" s="9">
        <f t="shared" si="1"/>
        <v>-0.8141025641025661</v>
      </c>
      <c r="I13" s="4">
        <f>IFERROR(VLOOKUP(A:A,MASTER!A:M,13,0),0)</f>
        <v>20006756.75675676</v>
      </c>
      <c r="J13" s="4">
        <f>IFERROR(VLOOKUP($A:$A,MASTER!$A:$T,14,0),0)</f>
        <v>16372972.972972972</v>
      </c>
      <c r="K13" s="9">
        <f t="shared" si="2"/>
        <v>0.22193793331132405</v>
      </c>
      <c r="L13" s="4">
        <f>IFERROR(VLOOKUP($A:$A,MASTER!$A:$T,15,0),0)</f>
        <v>52325765.765765771</v>
      </c>
      <c r="M13" s="4">
        <f>IFERROR(VLOOKUP($A:$A,MASTER!$A:$T,16,0),0)</f>
        <v>56972738.738738738</v>
      </c>
      <c r="N13" s="9">
        <f t="shared" si="3"/>
        <v>-8.1564851468396204E-2</v>
      </c>
      <c r="O13" s="4">
        <f>IFERROR(VLOOKUP($A:$A,MASTER!$A:$T,17,0),0)</f>
        <v>18856576.576576579</v>
      </c>
      <c r="P13" s="4">
        <f>IFERROR(VLOOKUP($A:$A,MASTER!$A:$T,18,0),0)</f>
        <v>19149459.459459461</v>
      </c>
      <c r="Q13" s="9">
        <f t="shared" si="4"/>
        <v>-1.5294577035081969E-2</v>
      </c>
      <c r="R13" s="4">
        <f>IFERROR(VLOOKUP($A:$A,MASTER!$A:$T,19,0),0)</f>
        <v>4692</v>
      </c>
      <c r="S13" s="4">
        <f>IFERROR(VLOOKUP($A:$A,MASTER!$A:$T,20,0),0)</f>
        <v>4794</v>
      </c>
      <c r="T13" s="9">
        <f t="shared" si="5"/>
        <v>-2.1276595744680882E-2</v>
      </c>
      <c r="U13" s="13">
        <f>IFERROR(VLOOKUP(A:A,MASTER!A:K,11,0),0)</f>
        <v>26</v>
      </c>
      <c r="V13" s="13">
        <f>IFERROR(VLOOKUP(A:A,MASTER!A:L,12,0),0)</f>
        <v>34</v>
      </c>
      <c r="W13" s="9">
        <f t="shared" si="6"/>
        <v>-0.23529411764705888</v>
      </c>
    </row>
    <row r="14" spans="1:23" ht="64.5" customHeight="1" x14ac:dyDescent="0.35">
      <c r="A14" s="10" t="s">
        <v>8</v>
      </c>
      <c r="B14" s="1" t="s">
        <v>16</v>
      </c>
      <c r="C14" s="4">
        <f>IFERROR(VLOOKUP($A:$A,MASTER!$A:$T,3,0),0)</f>
        <v>114447569.76806754</v>
      </c>
      <c r="D14" s="4">
        <f>IFERROR(VLOOKUP($A:$A,MASTER!$A:$T,4,0),0)</f>
        <v>110595422.34053099</v>
      </c>
      <c r="E14" s="9">
        <f t="shared" si="0"/>
        <v>3.4830984375424867E-2</v>
      </c>
      <c r="F14" s="4">
        <f>IFERROR(VLOOKUP(A:A,MASTER!A:E,5,0),0)</f>
        <v>1381981.981981985</v>
      </c>
      <c r="G14" s="4">
        <f>IFERROR(VLOOKUP(A:A,MASTER!A:F,6,0),0)</f>
        <v>1498198.1981982009</v>
      </c>
      <c r="H14" s="9">
        <f t="shared" si="1"/>
        <v>-7.7570655441971947E-2</v>
      </c>
      <c r="I14" s="4">
        <f>IFERROR(VLOOKUP(A:A,MASTER!A:M,13,0),0)</f>
        <v>18324324.324324325</v>
      </c>
      <c r="J14" s="4">
        <f>IFERROR(VLOOKUP($A:$A,MASTER!$A:$T,14,0),0)</f>
        <v>13322522.522522524</v>
      </c>
      <c r="K14" s="9">
        <f t="shared" si="2"/>
        <v>0.37543954557749504</v>
      </c>
      <c r="L14" s="4">
        <f>IFERROR(VLOOKUP($A:$A,MASTER!$A:$T,15,0),0)</f>
        <v>32753918.918918919</v>
      </c>
      <c r="M14" s="4">
        <f>IFERROR(VLOOKUP($A:$A,MASTER!$A:$T,16,0),0)</f>
        <v>32151207.207207207</v>
      </c>
      <c r="N14" s="9">
        <f t="shared" si="3"/>
        <v>1.8746161157413788E-2</v>
      </c>
      <c r="O14" s="4">
        <f>IFERROR(VLOOKUP($A:$A,MASTER!$A:$T,17,0),0)</f>
        <v>16726126.126126124</v>
      </c>
      <c r="P14" s="4">
        <f>IFERROR(VLOOKUP($A:$A,MASTER!$A:$T,18,0),0)</f>
        <v>12859909.909909908</v>
      </c>
      <c r="Q14" s="9">
        <f t="shared" si="4"/>
        <v>0.3006410031875022</v>
      </c>
      <c r="R14" s="4">
        <f>IFERROR(VLOOKUP($A:$A,MASTER!$A:$T,19,0),0)</f>
        <v>3755</v>
      </c>
      <c r="S14" s="4">
        <f>IFERROR(VLOOKUP($A:$A,MASTER!$A:$T,20,0),0)</f>
        <v>4562</v>
      </c>
      <c r="T14" s="9">
        <f t="shared" si="5"/>
        <v>-0.17689609820254271</v>
      </c>
      <c r="U14" s="13">
        <f>IFERROR(VLOOKUP(A:A,MASTER!A:K,11,0),0)</f>
        <v>12</v>
      </c>
      <c r="V14" s="13">
        <f>IFERROR(VLOOKUP(A:A,MASTER!A:L,12,0),0)</f>
        <v>4</v>
      </c>
      <c r="W14" s="9">
        <f t="shared" si="6"/>
        <v>2</v>
      </c>
    </row>
    <row r="15" spans="1:23" ht="64.5" customHeight="1" x14ac:dyDescent="0.35">
      <c r="A15" s="10" t="s">
        <v>9</v>
      </c>
      <c r="B15" s="1" t="s">
        <v>16</v>
      </c>
      <c r="C15" s="4">
        <f>IFERROR(VLOOKUP($A:$A,MASTER!$A:$T,3,0),0)</f>
        <v>228818636.59262165</v>
      </c>
      <c r="D15" s="4">
        <f>IFERROR(VLOOKUP($A:$A,MASTER!$A:$T,4,0),0)</f>
        <v>218416447.41202441</v>
      </c>
      <c r="E15" s="9">
        <f t="shared" si="0"/>
        <v>4.7625484728145873E-2</v>
      </c>
      <c r="F15" s="4">
        <f>IFERROR(VLOOKUP(A:A,MASTER!A:E,5,0),0)</f>
        <v>1239099.0990991029</v>
      </c>
      <c r="G15" s="4">
        <f>IFERROR(VLOOKUP(A:A,MASTER!A:F,6,0),0)</f>
        <v>1790990.990990995</v>
      </c>
      <c r="H15" s="9">
        <f t="shared" si="1"/>
        <v>-0.30814889336016038</v>
      </c>
      <c r="I15" s="4">
        <f>IFERROR(VLOOKUP(A:A,MASTER!A:M,13,0),0)</f>
        <v>406988648.64864862</v>
      </c>
      <c r="J15" s="4">
        <f>IFERROR(VLOOKUP($A:$A,MASTER!$A:$T,14,0),0)</f>
        <v>245900900.9009009</v>
      </c>
      <c r="K15" s="9">
        <f t="shared" si="2"/>
        <v>0.65509214141784189</v>
      </c>
      <c r="L15" s="4">
        <f>IFERROR(VLOOKUP($A:$A,MASTER!$A:$T,15,0),0)</f>
        <v>80866567.567567572</v>
      </c>
      <c r="M15" s="4">
        <f>IFERROR(VLOOKUP($A:$A,MASTER!$A:$T,16,0),0)</f>
        <v>80221846.846846849</v>
      </c>
      <c r="N15" s="9">
        <f t="shared" si="3"/>
        <v>8.0367224897175404E-3</v>
      </c>
      <c r="O15" s="4">
        <f>IFERROR(VLOOKUP($A:$A,MASTER!$A:$T,17,0),0)</f>
        <v>320627387.38738739</v>
      </c>
      <c r="P15" s="4">
        <f>IFERROR(VLOOKUP($A:$A,MASTER!$A:$T,18,0),0)</f>
        <v>231596936.93693691</v>
      </c>
      <c r="Q15" s="9">
        <f t="shared" si="4"/>
        <v>0.38441980981248114</v>
      </c>
      <c r="R15" s="4">
        <f>IFERROR(VLOOKUP($A:$A,MASTER!$A:$T,19,0),0)</f>
        <v>7523</v>
      </c>
      <c r="S15" s="4">
        <f>IFERROR(VLOOKUP($A:$A,MASTER!$A:$T,20,0),0)</f>
        <v>6133</v>
      </c>
      <c r="T15" s="9">
        <f t="shared" si="5"/>
        <v>0.22664275232349573</v>
      </c>
      <c r="U15" s="13">
        <f>IFERROR(VLOOKUP(A:A,MASTER!A:K,11,0),0)</f>
        <v>47</v>
      </c>
      <c r="V15" s="13">
        <f>IFERROR(VLOOKUP(A:A,MASTER!A:L,12,0),0)</f>
        <v>36</v>
      </c>
      <c r="W15" s="9">
        <f t="shared" si="6"/>
        <v>0.30555555555555558</v>
      </c>
    </row>
    <row r="16" spans="1:23" ht="64.5" customHeight="1" x14ac:dyDescent="0.35">
      <c r="A16" s="10" t="s">
        <v>35</v>
      </c>
      <c r="B16" s="1" t="s">
        <v>16</v>
      </c>
      <c r="C16" s="4">
        <f>IFERROR(VLOOKUP($A:$A,MASTER!$A:$T,3,0),0)</f>
        <v>0</v>
      </c>
      <c r="D16" s="4">
        <f>IFERROR(VLOOKUP($A:$A,MASTER!$A:$T,4,0),0)</f>
        <v>0</v>
      </c>
      <c r="E16" s="9">
        <f t="shared" si="0"/>
        <v>0</v>
      </c>
      <c r="F16" s="4">
        <f>IFERROR(VLOOKUP(A:A,MASTER!A:E,5,0),0)</f>
        <v>0</v>
      </c>
      <c r="G16" s="4">
        <f>IFERROR(VLOOKUP(A:A,MASTER!A:F,6,0),0)</f>
        <v>0</v>
      </c>
      <c r="H16" s="9">
        <f t="shared" si="1"/>
        <v>0</v>
      </c>
      <c r="I16" s="4">
        <f>IFERROR(VLOOKUP(A:A,MASTER!A:M,13,0),0)</f>
        <v>0</v>
      </c>
      <c r="J16" s="4">
        <f>IFERROR(VLOOKUP($A:$A,MASTER!$A:$T,14,0),0)</f>
        <v>0</v>
      </c>
      <c r="K16" s="9">
        <f t="shared" si="2"/>
        <v>0</v>
      </c>
      <c r="L16" s="4">
        <f>IFERROR(VLOOKUP($A:$A,MASTER!$A:$T,15,0),0)</f>
        <v>0</v>
      </c>
      <c r="M16" s="4">
        <f>IFERROR(VLOOKUP($A:$A,MASTER!$A:$T,16,0),0)</f>
        <v>0</v>
      </c>
      <c r="N16" s="9">
        <f t="shared" si="3"/>
        <v>0</v>
      </c>
      <c r="O16" s="4">
        <f>IFERROR(VLOOKUP($A:$A,MASTER!$A:$T,17,0),0)</f>
        <v>0</v>
      </c>
      <c r="P16" s="4">
        <f>IFERROR(VLOOKUP($A:$A,MASTER!$A:$T,18,0),0)</f>
        <v>0</v>
      </c>
      <c r="Q16" s="9">
        <f t="shared" si="4"/>
        <v>0</v>
      </c>
      <c r="R16" s="4">
        <f>IFERROR(VLOOKUP($A:$A,MASTER!$A:$T,19,0),0)</f>
        <v>0</v>
      </c>
      <c r="S16" s="4">
        <f>IFERROR(VLOOKUP($A:$A,MASTER!$A:$T,20,0),0)</f>
        <v>0</v>
      </c>
      <c r="T16" s="9">
        <f t="shared" si="5"/>
        <v>0</v>
      </c>
      <c r="U16" s="13">
        <f>IFERROR(VLOOKUP(A:A,MASTER!A:K,11,0),0)</f>
        <v>0</v>
      </c>
      <c r="V16" s="13">
        <f>IFERROR(VLOOKUP(A:A,MASTER!A:L,12,0),0)</f>
        <v>0</v>
      </c>
      <c r="W16" s="9">
        <f t="shared" si="6"/>
        <v>0</v>
      </c>
    </row>
    <row r="17" spans="1:23" ht="64.5" customHeight="1" x14ac:dyDescent="0.35">
      <c r="A17" s="10" t="s">
        <v>10</v>
      </c>
      <c r="B17" s="1" t="s">
        <v>17</v>
      </c>
      <c r="C17" s="4">
        <f>IFERROR(VLOOKUP($A:$A,MASTER!$A:$T,3,0),0)</f>
        <v>95725204.751485482</v>
      </c>
      <c r="D17" s="4">
        <f>IFERROR(VLOOKUP($A:$A,MASTER!$A:$T,4,0),0)</f>
        <v>89978473.913992941</v>
      </c>
      <c r="E17" s="9">
        <f t="shared" si="0"/>
        <v>6.3867840690270183E-2</v>
      </c>
      <c r="F17" s="4">
        <f>IFERROR(VLOOKUP(A:A,MASTER!A:E,5,0),0)</f>
        <v>16666666.666666668</v>
      </c>
      <c r="G17" s="4">
        <f>IFERROR(VLOOKUP(A:A,MASTER!A:F,6,0),0)</f>
        <v>18108108.108108107</v>
      </c>
      <c r="H17" s="9">
        <f t="shared" si="1"/>
        <v>-7.9601990049751103E-2</v>
      </c>
      <c r="I17" s="4">
        <f>IFERROR(VLOOKUP(A:A,MASTER!A:M,13,0),0)</f>
        <v>420045.04504504497</v>
      </c>
      <c r="J17" s="4">
        <f>IFERROR(VLOOKUP($A:$A,MASTER!$A:$T,14,0),0)</f>
        <v>440540.540540541</v>
      </c>
      <c r="K17" s="9">
        <f t="shared" si="2"/>
        <v>-4.6523517382414226E-2</v>
      </c>
      <c r="L17" s="4">
        <f>IFERROR(VLOOKUP($A:$A,MASTER!$A:$T,15,0),0)</f>
        <v>55199864.864864863</v>
      </c>
      <c r="M17" s="4">
        <f>IFERROR(VLOOKUP($A:$A,MASTER!$A:$T,16,0),0)</f>
        <v>53496511.711711712</v>
      </c>
      <c r="N17" s="9">
        <f t="shared" si="3"/>
        <v>3.184045274451508E-2</v>
      </c>
      <c r="O17" s="4">
        <f>IFERROR(VLOOKUP($A:$A,MASTER!$A:$T,17,0),0)</f>
        <v>0</v>
      </c>
      <c r="P17" s="4">
        <f>IFERROR(VLOOKUP($A:$A,MASTER!$A:$T,18,0),0)</f>
        <v>19639.639639640001</v>
      </c>
      <c r="Q17" s="9">
        <f t="shared" si="4"/>
        <v>-1</v>
      </c>
      <c r="R17" s="4">
        <f>IFERROR(VLOOKUP($A:$A,MASTER!$A:$T,19,0),0)</f>
        <v>3867</v>
      </c>
      <c r="S17" s="4">
        <f>IFERROR(VLOOKUP($A:$A,MASTER!$A:$T,20,0),0)</f>
        <v>3562</v>
      </c>
      <c r="T17" s="9">
        <f t="shared" si="5"/>
        <v>8.5626052779337547E-2</v>
      </c>
      <c r="U17" s="13">
        <f>IFERROR(VLOOKUP(A:A,MASTER!A:K,11,0),0)</f>
        <v>8</v>
      </c>
      <c r="V17" s="13">
        <f>IFERROR(VLOOKUP(A:A,MASTER!A:L,12,0),0)</f>
        <v>14</v>
      </c>
      <c r="W17" s="9">
        <f t="shared" si="6"/>
        <v>-0.4285714285714286</v>
      </c>
    </row>
    <row r="18" spans="1:23" ht="64.5" customHeight="1" x14ac:dyDescent="0.35">
      <c r="A18" s="10" t="s">
        <v>11</v>
      </c>
      <c r="B18" s="1" t="s">
        <v>17</v>
      </c>
      <c r="C18" s="4">
        <f>IFERROR(VLOOKUP($A:$A,MASTER!$A:$T,3,0),0)</f>
        <v>76419111.194984332</v>
      </c>
      <c r="D18" s="4">
        <f>IFERROR(VLOOKUP($A:$A,MASTER!$A:$T,4,0),0)</f>
        <v>77748382.100207418</v>
      </c>
      <c r="E18" s="9">
        <f t="shared" si="0"/>
        <v>-1.7097087673282108E-2</v>
      </c>
      <c r="F18" s="4">
        <f>IFERROR(VLOOKUP(A:A,MASTER!A:E,5,0),0)</f>
        <v>337837.83783783799</v>
      </c>
      <c r="G18" s="4">
        <f>IFERROR(VLOOKUP(A:A,MASTER!A:F,6,0),0)</f>
        <v>112612.612612615</v>
      </c>
      <c r="H18" s="9">
        <f t="shared" si="1"/>
        <v>1.9999999999999374</v>
      </c>
      <c r="I18" s="4">
        <f>IFERROR(VLOOKUP(A:A,MASTER!A:M,13,0),0)</f>
        <v>2564864.8648648658</v>
      </c>
      <c r="J18" s="4">
        <f>IFERROR(VLOOKUP($A:$A,MASTER!$A:$T,14,0),0)</f>
        <v>1914414.4144144161</v>
      </c>
      <c r="K18" s="9">
        <f t="shared" si="2"/>
        <v>0.3397647058823523</v>
      </c>
      <c r="L18" s="4">
        <f>IFERROR(VLOOKUP($A:$A,MASTER!$A:$T,15,0),0)</f>
        <v>24426441.441441439</v>
      </c>
      <c r="M18" s="4">
        <f>IFERROR(VLOOKUP($A:$A,MASTER!$A:$T,16,0),0)</f>
        <v>26436531.531531531</v>
      </c>
      <c r="N18" s="9">
        <f t="shared" si="3"/>
        <v>-7.6034561784045107E-2</v>
      </c>
      <c r="O18" s="4">
        <f>IFERROR(VLOOKUP($A:$A,MASTER!$A:$T,17,0),0)</f>
        <v>2608558.5585585572</v>
      </c>
      <c r="P18" s="4">
        <f>IFERROR(VLOOKUP($A:$A,MASTER!$A:$T,18,0),0)</f>
        <v>1468468.4684684691</v>
      </c>
      <c r="Q18" s="9">
        <f t="shared" si="4"/>
        <v>0.7763803680981578</v>
      </c>
      <c r="R18" s="4">
        <f>IFERROR(VLOOKUP($A:$A,MASTER!$A:$T,19,0),0)</f>
        <v>4067</v>
      </c>
      <c r="S18" s="4">
        <f>IFERROR(VLOOKUP($A:$A,MASTER!$A:$T,20,0),0)</f>
        <v>4975</v>
      </c>
      <c r="T18" s="9">
        <f t="shared" si="5"/>
        <v>-0.18251256281407036</v>
      </c>
      <c r="U18" s="13">
        <f>IFERROR(VLOOKUP(A:A,MASTER!A:K,11,0),0)</f>
        <v>22</v>
      </c>
      <c r="V18" s="13">
        <f>IFERROR(VLOOKUP(A:A,MASTER!A:L,12,0),0)</f>
        <v>22</v>
      </c>
      <c r="W18" s="9">
        <f t="shared" si="6"/>
        <v>0</v>
      </c>
    </row>
    <row r="19" spans="1:23" ht="64.5" customHeight="1" x14ac:dyDescent="0.35">
      <c r="A19" s="10" t="s">
        <v>12</v>
      </c>
      <c r="B19" s="1" t="s">
        <v>17</v>
      </c>
      <c r="C19" s="4">
        <f>IFERROR(VLOOKUP($A:$A,MASTER!$A:$T,3,0),0)</f>
        <v>54563535.995484665</v>
      </c>
      <c r="D19" s="4">
        <f>IFERROR(VLOOKUP($A:$A,MASTER!$A:$T,4,0),0)</f>
        <v>50154501.679410063</v>
      </c>
      <c r="E19" s="9">
        <f t="shared" si="0"/>
        <v>8.7909044421522919E-2</v>
      </c>
      <c r="F19" s="4">
        <f>IFERROR(VLOOKUP(A:A,MASTER!A:E,5,0),0)</f>
        <v>57657.657657659001</v>
      </c>
      <c r="G19" s="4">
        <f>IFERROR(VLOOKUP(A:A,MASTER!A:F,6,0),0)</f>
        <v>2304504.5045045069</v>
      </c>
      <c r="H19" s="9">
        <f t="shared" si="1"/>
        <v>-0.97498045347928008</v>
      </c>
      <c r="I19" s="4">
        <f>IFERROR(VLOOKUP(A:A,MASTER!A:M,13,0),0)</f>
        <v>4590540.5405405406</v>
      </c>
      <c r="J19" s="4">
        <f>IFERROR(VLOOKUP($A:$A,MASTER!$A:$T,14,0),0)</f>
        <v>5457657.6576576587</v>
      </c>
      <c r="K19" s="9">
        <f t="shared" si="2"/>
        <v>-0.1588808187520635</v>
      </c>
      <c r="L19" s="4">
        <f>IFERROR(VLOOKUP($A:$A,MASTER!$A:$T,15,0),0)</f>
        <v>20210405.405405402</v>
      </c>
      <c r="M19" s="4">
        <f>IFERROR(VLOOKUP($A:$A,MASTER!$A:$T,16,0),0)</f>
        <v>20240036.036036037</v>
      </c>
      <c r="N19" s="9">
        <f t="shared" si="3"/>
        <v>-1.4639613574738419E-3</v>
      </c>
      <c r="O19" s="4">
        <f>IFERROR(VLOOKUP($A:$A,MASTER!$A:$T,17,0),0)</f>
        <v>2435135.1351351328</v>
      </c>
      <c r="P19" s="4">
        <f>IFERROR(VLOOKUP($A:$A,MASTER!$A:$T,18,0),0)</f>
        <v>6950180.1801801808</v>
      </c>
      <c r="Q19" s="9">
        <f t="shared" si="4"/>
        <v>-0.64962992728168345</v>
      </c>
      <c r="R19" s="4">
        <f>IFERROR(VLOOKUP($A:$A,MASTER!$A:$T,19,0),0)</f>
        <v>2885</v>
      </c>
      <c r="S19" s="4">
        <f>IFERROR(VLOOKUP($A:$A,MASTER!$A:$T,20,0),0)</f>
        <v>3058</v>
      </c>
      <c r="T19" s="9">
        <f t="shared" si="5"/>
        <v>-5.6572923479398352E-2</v>
      </c>
      <c r="U19" s="13">
        <f>IFERROR(VLOOKUP(A:A,MASTER!A:K,11,0),0)</f>
        <v>18</v>
      </c>
      <c r="V19" s="13">
        <f>IFERROR(VLOOKUP(A:A,MASTER!A:L,12,0),0)</f>
        <v>7</v>
      </c>
      <c r="W19" s="9">
        <f t="shared" si="6"/>
        <v>1.5714285714285716</v>
      </c>
    </row>
    <row r="20" spans="1:23" ht="64.5" customHeight="1" x14ac:dyDescent="0.35">
      <c r="A20" s="10" t="s">
        <v>36</v>
      </c>
      <c r="B20" s="1" t="s">
        <v>16</v>
      </c>
      <c r="C20" s="4">
        <f>IFERROR(VLOOKUP($A:$A,MASTER!$A:$T,3,0),0)</f>
        <v>0</v>
      </c>
      <c r="D20" s="4">
        <f>IFERROR(VLOOKUP($A:$A,MASTER!$A:$T,4,0),0)</f>
        <v>0</v>
      </c>
      <c r="E20" s="9">
        <f t="shared" si="0"/>
        <v>0</v>
      </c>
      <c r="F20" s="4">
        <f>IFERROR(VLOOKUP(A:A,MASTER!A:E,5,0),0)</f>
        <v>0</v>
      </c>
      <c r="G20" s="4">
        <f>IFERROR(VLOOKUP(A:A,MASTER!A:F,6,0),0)</f>
        <v>0</v>
      </c>
      <c r="H20" s="9">
        <f t="shared" si="1"/>
        <v>0</v>
      </c>
      <c r="I20" s="4">
        <f>IFERROR(VLOOKUP(A:A,MASTER!A:M,13,0),0)</f>
        <v>0</v>
      </c>
      <c r="J20" s="4">
        <f>IFERROR(VLOOKUP($A:$A,MASTER!$A:$T,14,0),0)</f>
        <v>0</v>
      </c>
      <c r="K20" s="9">
        <f t="shared" si="2"/>
        <v>0</v>
      </c>
      <c r="L20" s="4">
        <f>IFERROR(VLOOKUP($A:$A,MASTER!$A:$T,15,0),0)</f>
        <v>0</v>
      </c>
      <c r="M20" s="4">
        <f>IFERROR(VLOOKUP($A:$A,MASTER!$A:$T,16,0),0)</f>
        <v>0</v>
      </c>
      <c r="N20" s="9">
        <f t="shared" si="3"/>
        <v>0</v>
      </c>
      <c r="O20" s="4">
        <f>IFERROR(VLOOKUP($A:$A,MASTER!$A:$T,17,0),0)</f>
        <v>0</v>
      </c>
      <c r="P20" s="4">
        <f>IFERROR(VLOOKUP($A:$A,MASTER!$A:$T,18,0),0)</f>
        <v>0</v>
      </c>
      <c r="Q20" s="9">
        <f t="shared" si="4"/>
        <v>0</v>
      </c>
      <c r="R20" s="4">
        <f>IFERROR(VLOOKUP($A:$A,MASTER!$A:$T,19,0),0)</f>
        <v>0</v>
      </c>
      <c r="S20" s="4">
        <f>IFERROR(VLOOKUP($A:$A,MASTER!$A:$T,20,0),0)</f>
        <v>0</v>
      </c>
      <c r="T20" s="9">
        <f t="shared" si="5"/>
        <v>0</v>
      </c>
      <c r="U20" s="13">
        <f>IFERROR(VLOOKUP(A:A,MASTER!A:K,11,0),0)</f>
        <v>0</v>
      </c>
      <c r="V20" s="13">
        <f>IFERROR(VLOOKUP(A:A,MASTER!A:L,12,0),0)</f>
        <v>0</v>
      </c>
      <c r="W20" s="9">
        <f t="shared" si="6"/>
        <v>0</v>
      </c>
    </row>
    <row r="21" spans="1:23" ht="64.5" customHeight="1" x14ac:dyDescent="0.35">
      <c r="A21" s="10" t="s">
        <v>13</v>
      </c>
      <c r="B21" s="1" t="s">
        <v>16</v>
      </c>
      <c r="C21" s="4">
        <f>IFERROR(VLOOKUP($A:$A,MASTER!$A:$T,3,0),0)</f>
        <v>194312897.91637087</v>
      </c>
      <c r="D21" s="4">
        <f>IFERROR(VLOOKUP($A:$A,MASTER!$A:$T,4,0),0)</f>
        <v>182133674.37086722</v>
      </c>
      <c r="E21" s="9">
        <f t="shared" si="0"/>
        <v>6.6869696598246042E-2</v>
      </c>
      <c r="F21" s="4">
        <f>IFERROR(VLOOKUP(A:A,MASTER!A:E,5,0),0)</f>
        <v>453917951.35135138</v>
      </c>
      <c r="G21" s="4">
        <f>IFERROR(VLOOKUP(A:A,MASTER!A:F,6,0),0)</f>
        <v>330404641.44144148</v>
      </c>
      <c r="H21" s="9">
        <f t="shared" si="1"/>
        <v>0.37382437901315169</v>
      </c>
      <c r="I21" s="4">
        <f>IFERROR(VLOOKUP(A:A,MASTER!A:M,13,0),0)</f>
        <v>55165590.090090089</v>
      </c>
      <c r="J21" s="4">
        <f>IFERROR(VLOOKUP($A:$A,MASTER!$A:$T,14,0),0)</f>
        <v>64902702.702702701</v>
      </c>
      <c r="K21" s="9">
        <f t="shared" si="2"/>
        <v>-0.15002630410038587</v>
      </c>
      <c r="L21" s="4">
        <f>IFERROR(VLOOKUP($A:$A,MASTER!$A:$T,15,0),0)</f>
        <v>111974644.14414415</v>
      </c>
      <c r="M21" s="4">
        <f>IFERROR(VLOOKUP($A:$A,MASTER!$A:$T,16,0),0)</f>
        <v>102395351.35135135</v>
      </c>
      <c r="N21" s="9">
        <f t="shared" si="3"/>
        <v>9.3552028157246836E-2</v>
      </c>
      <c r="O21" s="4">
        <f>IFERROR(VLOOKUP($A:$A,MASTER!$A:$T,17,0),0)</f>
        <v>33375585.585585583</v>
      </c>
      <c r="P21" s="4">
        <f>IFERROR(VLOOKUP($A:$A,MASTER!$A:$T,18,0),0)</f>
        <v>42757207.20720721</v>
      </c>
      <c r="Q21" s="9">
        <f t="shared" si="4"/>
        <v>-0.21941614605830129</v>
      </c>
      <c r="R21" s="4">
        <f>IFERROR(VLOOKUP($A:$A,MASTER!$A:$T,19,0),0)</f>
        <v>7420</v>
      </c>
      <c r="S21" s="4">
        <f>IFERROR(VLOOKUP($A:$A,MASTER!$A:$T,20,0),0)</f>
        <v>7093</v>
      </c>
      <c r="T21" s="9">
        <f t="shared" si="5"/>
        <v>4.6101790497673711E-2</v>
      </c>
      <c r="U21" s="13">
        <f>IFERROR(VLOOKUP(A:A,MASTER!A:K,11,0),0)</f>
        <v>248</v>
      </c>
      <c r="V21" s="13">
        <f>IFERROR(VLOOKUP(A:A,MASTER!A:L,12,0),0)</f>
        <v>104</v>
      </c>
      <c r="W21" s="9">
        <f t="shared" si="6"/>
        <v>1.3846153846153846</v>
      </c>
    </row>
    <row r="22" spans="1:23" ht="64.5" customHeight="1" x14ac:dyDescent="0.35">
      <c r="A22" s="10" t="s">
        <v>14</v>
      </c>
      <c r="B22" s="1" t="s">
        <v>16</v>
      </c>
      <c r="C22" s="4">
        <f>IFERROR(VLOOKUP($A:$A,MASTER!$A:$T,3,0),0)</f>
        <v>101971695.10773975</v>
      </c>
      <c r="D22" s="4">
        <f>IFERROR(VLOOKUP($A:$A,MASTER!$A:$T,4,0),0)</f>
        <v>92309852.376240969</v>
      </c>
      <c r="E22" s="9">
        <f t="shared" si="0"/>
        <v>0.10466751362702409</v>
      </c>
      <c r="F22" s="4">
        <f>IFERROR(VLOOKUP(A:A,MASTER!A:E,5,0),0)</f>
        <v>80180.180180184005</v>
      </c>
      <c r="G22" s="4">
        <f>IFERROR(VLOOKUP(A:A,MASTER!A:F,6,0),0)</f>
        <v>713513.513513515</v>
      </c>
      <c r="H22" s="9">
        <f t="shared" si="1"/>
        <v>-0.88762626262625755</v>
      </c>
      <c r="I22" s="4">
        <f>IFERROR(VLOOKUP(A:A,MASTER!A:M,13,0),0)</f>
        <v>9575495.4954954963</v>
      </c>
      <c r="J22" s="4">
        <f>IFERROR(VLOOKUP($A:$A,MASTER!$A:$T,14,0),0)</f>
        <v>26611711.711711712</v>
      </c>
      <c r="K22" s="9">
        <f t="shared" si="2"/>
        <v>-0.64017739259961404</v>
      </c>
      <c r="L22" s="4">
        <f>IFERROR(VLOOKUP($A:$A,MASTER!$A:$T,15,0),0)</f>
        <v>33544675.675675675</v>
      </c>
      <c r="M22" s="4">
        <f>IFERROR(VLOOKUP($A:$A,MASTER!$A:$T,16,0),0)</f>
        <v>31675387.387387387</v>
      </c>
      <c r="N22" s="9">
        <f t="shared" si="3"/>
        <v>5.9013904563409048E-2</v>
      </c>
      <c r="O22" s="4">
        <f>IFERROR(VLOOKUP($A:$A,MASTER!$A:$T,17,0),0)</f>
        <v>10369459.459459459</v>
      </c>
      <c r="P22" s="4">
        <f>IFERROR(VLOOKUP($A:$A,MASTER!$A:$T,18,0),0)</f>
        <v>29439099.0990991</v>
      </c>
      <c r="Q22" s="9">
        <f t="shared" si="4"/>
        <v>-0.6477657341159333</v>
      </c>
      <c r="R22" s="4">
        <f>IFERROR(VLOOKUP($A:$A,MASTER!$A:$T,19,0),0)</f>
        <v>3797</v>
      </c>
      <c r="S22" s="4">
        <f>IFERROR(VLOOKUP($A:$A,MASTER!$A:$T,20,0),0)</f>
        <v>3106</v>
      </c>
      <c r="T22" s="9">
        <f t="shared" si="5"/>
        <v>0.22247263361236325</v>
      </c>
      <c r="U22" s="13">
        <f>IFERROR(VLOOKUP(A:A,MASTER!A:K,11,0),0)</f>
        <v>10</v>
      </c>
      <c r="V22" s="13">
        <f>IFERROR(VLOOKUP(A:A,MASTER!A:L,12,0),0)</f>
        <v>19</v>
      </c>
      <c r="W22" s="9">
        <f t="shared" si="6"/>
        <v>-0.47368421052631582</v>
      </c>
    </row>
  </sheetData>
  <autoFilter ref="A5:T22"/>
  <conditionalFormatting sqref="E6:E22">
    <cfRule type="cellIs" dxfId="6" priority="12" operator="lessThan">
      <formula>0</formula>
    </cfRule>
  </conditionalFormatting>
  <conditionalFormatting sqref="H6:H22">
    <cfRule type="cellIs" dxfId="5" priority="6" operator="lessThan">
      <formula>0</formula>
    </cfRule>
  </conditionalFormatting>
  <conditionalFormatting sqref="K6:K22">
    <cfRule type="cellIs" dxfId="4" priority="5" operator="lessThan">
      <formula>0</formula>
    </cfRule>
  </conditionalFormatting>
  <conditionalFormatting sqref="N6:N22">
    <cfRule type="cellIs" dxfId="3" priority="4" operator="lessThan">
      <formula>0</formula>
    </cfRule>
  </conditionalFormatting>
  <conditionalFormatting sqref="Q6:Q22">
    <cfRule type="cellIs" dxfId="2" priority="3" operator="lessThan">
      <formula>0</formula>
    </cfRule>
  </conditionalFormatting>
  <conditionalFormatting sqref="T6:T22">
    <cfRule type="cellIs" dxfId="1" priority="2" operator="lessThan">
      <formula>0</formula>
    </cfRule>
  </conditionalFormatting>
  <conditionalFormatting sqref="W6:W22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4"/>
  <sheetViews>
    <sheetView tabSelected="1" workbookViewId="0">
      <pane xSplit="1" ySplit="3" topLeftCell="B559" activePane="bottomRight" state="frozen"/>
      <selection pane="topRight" activeCell="B1" sqref="B1"/>
      <selection pane="bottomLeft" activeCell="A4" sqref="A4"/>
      <selection pane="bottomRight" activeCell="A3" sqref="A3:T568"/>
    </sheetView>
  </sheetViews>
  <sheetFormatPr defaultRowHeight="14.5" x14ac:dyDescent="0.35"/>
  <cols>
    <col min="1" max="1" width="36.90625" bestFit="1" customWidth="1"/>
    <col min="2" max="2" width="19.36328125" bestFit="1" customWidth="1"/>
    <col min="3" max="3" width="25.81640625" bestFit="1" customWidth="1"/>
    <col min="4" max="4" width="17.6328125" bestFit="1" customWidth="1"/>
    <col min="5" max="5" width="18.6328125" bestFit="1" customWidth="1"/>
    <col min="6" max="6" width="11.81640625" bestFit="1" customWidth="1"/>
    <col min="7" max="8" width="10.453125" bestFit="1" customWidth="1"/>
    <col min="9" max="10" width="10.453125" customWidth="1"/>
    <col min="11" max="12" width="11.36328125" bestFit="1" customWidth="1"/>
    <col min="13" max="18" width="11.81640625" bestFit="1" customWidth="1"/>
  </cols>
  <sheetData>
    <row r="1" spans="1:20" x14ac:dyDescent="0.35">
      <c r="L1" s="7"/>
      <c r="M1" s="7"/>
    </row>
    <row r="2" spans="1:20" x14ac:dyDescent="0.35">
      <c r="A2" s="7" t="s">
        <v>37</v>
      </c>
      <c r="B2" s="11"/>
      <c r="C2" s="7" t="s">
        <v>38</v>
      </c>
      <c r="D2" s="7" t="s">
        <v>38</v>
      </c>
      <c r="E2" s="7" t="s">
        <v>39</v>
      </c>
      <c r="F2" s="7" t="s">
        <v>39</v>
      </c>
      <c r="G2" s="7" t="s">
        <v>40</v>
      </c>
      <c r="H2" s="7" t="s">
        <v>40</v>
      </c>
      <c r="I2" s="7" t="s">
        <v>664</v>
      </c>
      <c r="J2" s="7" t="s">
        <v>664</v>
      </c>
      <c r="K2" s="7" t="s">
        <v>41</v>
      </c>
      <c r="L2" s="7" t="s">
        <v>41</v>
      </c>
      <c r="M2" s="7" t="s">
        <v>42</v>
      </c>
      <c r="N2" s="7" t="s">
        <v>42</v>
      </c>
      <c r="O2" s="7" t="s">
        <v>43</v>
      </c>
      <c r="P2" s="7" t="s">
        <v>43</v>
      </c>
      <c r="Q2" s="7" t="s">
        <v>44</v>
      </c>
      <c r="R2" s="7" t="s">
        <v>44</v>
      </c>
      <c r="S2" s="7" t="s">
        <v>30</v>
      </c>
      <c r="T2" s="7" t="s">
        <v>30</v>
      </c>
    </row>
    <row r="3" spans="1:20" x14ac:dyDescent="0.35">
      <c r="A3" s="8" t="s">
        <v>45</v>
      </c>
      <c r="B3" s="8" t="s">
        <v>46</v>
      </c>
      <c r="C3" s="8" t="s">
        <v>31</v>
      </c>
      <c r="D3" s="8" t="s">
        <v>32</v>
      </c>
      <c r="E3" s="8" t="s">
        <v>31</v>
      </c>
      <c r="F3" s="8" t="s">
        <v>32</v>
      </c>
      <c r="G3" s="8" t="s">
        <v>31</v>
      </c>
      <c r="H3" s="8" t="s">
        <v>32</v>
      </c>
      <c r="I3" s="8" t="s">
        <v>31</v>
      </c>
      <c r="J3" s="8" t="s">
        <v>32</v>
      </c>
      <c r="K3" s="8" t="s">
        <v>31</v>
      </c>
      <c r="L3" s="8" t="s">
        <v>32</v>
      </c>
      <c r="M3" s="8" t="s">
        <v>31</v>
      </c>
      <c r="N3" s="8" t="s">
        <v>32</v>
      </c>
      <c r="O3" s="8" t="s">
        <v>31</v>
      </c>
      <c r="P3" s="8" t="s">
        <v>32</v>
      </c>
      <c r="Q3" s="8" t="s">
        <v>31</v>
      </c>
      <c r="R3" s="8" t="s">
        <v>32</v>
      </c>
      <c r="S3" s="8" t="s">
        <v>31</v>
      </c>
      <c r="T3" s="8" t="s">
        <v>32</v>
      </c>
    </row>
    <row r="4" spans="1:20" x14ac:dyDescent="0.35">
      <c r="A4" s="7" t="s">
        <v>47</v>
      </c>
      <c r="B4" s="12" t="s">
        <v>48</v>
      </c>
      <c r="C4">
        <v>272459043.09930468</v>
      </c>
      <c r="D4">
        <v>292191287.34118587</v>
      </c>
      <c r="E4">
        <v>75731385.585585579</v>
      </c>
      <c r="F4">
        <v>87773542.342342332</v>
      </c>
      <c r="G4">
        <v>14</v>
      </c>
      <c r="H4">
        <v>33</v>
      </c>
      <c r="K4">
        <v>15</v>
      </c>
      <c r="L4">
        <v>44</v>
      </c>
      <c r="M4">
        <v>17165585.585585583</v>
      </c>
      <c r="N4">
        <v>28350630.630630631</v>
      </c>
      <c r="O4">
        <v>32053018.018018018</v>
      </c>
      <c r="P4">
        <v>37055864.864864863</v>
      </c>
      <c r="Q4">
        <v>10545675.675675672</v>
      </c>
      <c r="R4">
        <v>20635135.135135137</v>
      </c>
      <c r="S4">
        <v>7466</v>
      </c>
      <c r="T4">
        <v>8300</v>
      </c>
    </row>
    <row r="5" spans="1:20" x14ac:dyDescent="0.35">
      <c r="A5" s="7" t="s">
        <v>49</v>
      </c>
      <c r="B5" s="12" t="s">
        <v>50</v>
      </c>
      <c r="C5">
        <v>471539987.99742931</v>
      </c>
      <c r="D5">
        <v>447142002.40579087</v>
      </c>
      <c r="E5">
        <v>2847027.0270270291</v>
      </c>
      <c r="F5">
        <v>3945945.9459459521</v>
      </c>
      <c r="G5">
        <v>94</v>
      </c>
      <c r="H5">
        <v>291</v>
      </c>
      <c r="I5">
        <v>8</v>
      </c>
      <c r="K5">
        <v>112</v>
      </c>
      <c r="L5">
        <v>476</v>
      </c>
      <c r="M5">
        <v>110466216.21621621</v>
      </c>
      <c r="N5">
        <v>82717927.927927941</v>
      </c>
      <c r="O5">
        <v>139277211.7117117</v>
      </c>
      <c r="P5">
        <v>141352333.33333331</v>
      </c>
      <c r="Q5">
        <v>105166216.21621622</v>
      </c>
      <c r="R5">
        <v>79771531.531531543</v>
      </c>
      <c r="S5">
        <v>21277</v>
      </c>
      <c r="T5">
        <v>19616</v>
      </c>
    </row>
    <row r="6" spans="1:20" x14ac:dyDescent="0.35">
      <c r="A6" s="7" t="s">
        <v>51</v>
      </c>
      <c r="B6" s="12" t="s">
        <v>52</v>
      </c>
      <c r="C6">
        <v>110734324.25153089</v>
      </c>
      <c r="D6">
        <v>112386617.61573569</v>
      </c>
      <c r="E6">
        <v>61261.261261262</v>
      </c>
      <c r="F6">
        <v>2621621.6216216208</v>
      </c>
      <c r="G6">
        <v>19</v>
      </c>
      <c r="H6">
        <v>43</v>
      </c>
      <c r="K6">
        <v>19</v>
      </c>
      <c r="L6">
        <v>52</v>
      </c>
      <c r="M6">
        <v>17159009.009009007</v>
      </c>
      <c r="N6">
        <v>28903153.153153151</v>
      </c>
      <c r="O6">
        <v>37959936.936936937</v>
      </c>
      <c r="P6">
        <v>35768891.891891889</v>
      </c>
      <c r="Q6">
        <v>7299999.9999999991</v>
      </c>
      <c r="R6">
        <v>21724684.684684686</v>
      </c>
      <c r="S6">
        <v>5132</v>
      </c>
      <c r="T6">
        <v>4611</v>
      </c>
    </row>
    <row r="7" spans="1:20" x14ac:dyDescent="0.35">
      <c r="A7" s="7" t="s">
        <v>53</v>
      </c>
      <c r="B7" s="12" t="s">
        <v>54</v>
      </c>
      <c r="C7">
        <v>60546272.704943024</v>
      </c>
      <c r="D7">
        <v>59966807.016543172</v>
      </c>
      <c r="E7">
        <v>649099.09909909999</v>
      </c>
      <c r="F7">
        <v>451351.35135135503</v>
      </c>
      <c r="G7">
        <v>10</v>
      </c>
      <c r="H7">
        <v>16</v>
      </c>
      <c r="K7">
        <v>14</v>
      </c>
      <c r="L7">
        <v>19</v>
      </c>
      <c r="M7">
        <v>7708108.1081081051</v>
      </c>
      <c r="N7">
        <v>5530990.9909909917</v>
      </c>
      <c r="O7">
        <v>20104873.873873871</v>
      </c>
      <c r="P7">
        <v>19014795.045045044</v>
      </c>
      <c r="Q7">
        <v>7459009.0090090102</v>
      </c>
      <c r="R7">
        <v>5865315.3153153146</v>
      </c>
      <c r="S7">
        <v>3867</v>
      </c>
      <c r="T7">
        <v>2920</v>
      </c>
    </row>
    <row r="8" spans="1:20" x14ac:dyDescent="0.35">
      <c r="A8" s="7" t="s">
        <v>55</v>
      </c>
      <c r="B8" s="12" t="s">
        <v>54</v>
      </c>
      <c r="C8">
        <v>101830037.08304279</v>
      </c>
      <c r="D8">
        <v>99074865.122339204</v>
      </c>
      <c r="E8">
        <v>402252.25225225399</v>
      </c>
      <c r="F8">
        <v>1970270.2702702731</v>
      </c>
      <c r="G8">
        <v>29</v>
      </c>
      <c r="H8">
        <v>30</v>
      </c>
      <c r="K8">
        <v>47</v>
      </c>
      <c r="L8">
        <v>87</v>
      </c>
      <c r="M8">
        <v>26962612.612612613</v>
      </c>
      <c r="N8">
        <v>18670090.090090092</v>
      </c>
      <c r="O8">
        <v>25127054.054054055</v>
      </c>
      <c r="P8">
        <v>28465846.846846849</v>
      </c>
      <c r="Q8">
        <v>22413783.783783779</v>
      </c>
      <c r="R8">
        <v>35404864.864864863</v>
      </c>
      <c r="S8">
        <v>4544</v>
      </c>
      <c r="T8">
        <v>5039</v>
      </c>
    </row>
    <row r="9" spans="1:20" x14ac:dyDescent="0.35">
      <c r="A9" s="7" t="s">
        <v>56</v>
      </c>
      <c r="B9" s="12" t="s">
        <v>54</v>
      </c>
      <c r="C9">
        <v>51520091.442919955</v>
      </c>
      <c r="D9">
        <v>47988785.821167491</v>
      </c>
      <c r="E9">
        <v>548828.82882882899</v>
      </c>
      <c r="F9">
        <v>652252.25225225405</v>
      </c>
      <c r="G9">
        <v>5</v>
      </c>
      <c r="H9">
        <v>11</v>
      </c>
      <c r="K9">
        <v>8</v>
      </c>
      <c r="L9">
        <v>12</v>
      </c>
      <c r="M9">
        <v>4486666.6666666651</v>
      </c>
      <c r="N9">
        <v>5538738.7387387408</v>
      </c>
      <c r="O9">
        <v>15561351.351351352</v>
      </c>
      <c r="P9">
        <v>14565477.477477478</v>
      </c>
      <c r="Q9">
        <v>3845315.3153153141</v>
      </c>
      <c r="R9">
        <v>4532432.4324324336</v>
      </c>
      <c r="S9">
        <v>2095</v>
      </c>
      <c r="T9">
        <v>2051</v>
      </c>
    </row>
    <row r="10" spans="1:20" x14ac:dyDescent="0.35">
      <c r="A10" s="7" t="s">
        <v>57</v>
      </c>
      <c r="B10" s="12" t="s">
        <v>58</v>
      </c>
      <c r="C10">
        <v>131472233.11491528</v>
      </c>
      <c r="D10">
        <v>132150607.33949433</v>
      </c>
      <c r="E10">
        <v>905405.40540540603</v>
      </c>
      <c r="F10">
        <v>121621.621621623</v>
      </c>
      <c r="G10">
        <v>37</v>
      </c>
      <c r="H10">
        <v>39</v>
      </c>
      <c r="K10">
        <v>46</v>
      </c>
      <c r="L10">
        <v>44</v>
      </c>
      <c r="M10">
        <v>3626126.1261261259</v>
      </c>
      <c r="N10">
        <v>3364864.8648648649</v>
      </c>
      <c r="O10">
        <v>23009414.414414413</v>
      </c>
      <c r="P10">
        <v>24730387.387387384</v>
      </c>
      <c r="Q10">
        <v>2607837.8378378381</v>
      </c>
      <c r="R10">
        <v>2124504.5045045051</v>
      </c>
      <c r="S10">
        <v>5649</v>
      </c>
      <c r="T10">
        <v>5395</v>
      </c>
    </row>
    <row r="11" spans="1:20" x14ac:dyDescent="0.35">
      <c r="A11" s="7" t="s">
        <v>59</v>
      </c>
      <c r="B11" s="12" t="s">
        <v>60</v>
      </c>
      <c r="C11">
        <v>56411947.444064625</v>
      </c>
      <c r="D11">
        <v>55910661.396042399</v>
      </c>
      <c r="E11">
        <v>199639.63963963999</v>
      </c>
      <c r="F11">
        <v>423423.423423425</v>
      </c>
      <c r="G11">
        <v>10</v>
      </c>
      <c r="H11">
        <v>20</v>
      </c>
      <c r="K11">
        <v>10</v>
      </c>
      <c r="L11">
        <v>31</v>
      </c>
      <c r="M11">
        <v>5641081.0810810803</v>
      </c>
      <c r="N11">
        <v>7486486.4864864862</v>
      </c>
      <c r="O11">
        <v>26727963.963963963</v>
      </c>
      <c r="P11">
        <v>25562657.657657661</v>
      </c>
      <c r="Q11">
        <v>5193333.333333333</v>
      </c>
      <c r="R11">
        <v>6654594.5945945941</v>
      </c>
      <c r="S11">
        <v>2932</v>
      </c>
      <c r="T11">
        <v>2983</v>
      </c>
    </row>
    <row r="12" spans="1:20" x14ac:dyDescent="0.35">
      <c r="A12" s="7" t="s">
        <v>61</v>
      </c>
      <c r="B12" s="12" t="s">
        <v>62</v>
      </c>
      <c r="C12">
        <v>269171095.57837391</v>
      </c>
      <c r="D12">
        <v>256247918.80705881</v>
      </c>
      <c r="E12">
        <v>57657.657657659998</v>
      </c>
      <c r="F12">
        <v>2955405.4054054138</v>
      </c>
      <c r="G12">
        <v>56</v>
      </c>
      <c r="H12">
        <v>30</v>
      </c>
      <c r="K12">
        <v>75</v>
      </c>
      <c r="L12">
        <v>35</v>
      </c>
      <c r="M12">
        <v>4732792.792792798</v>
      </c>
      <c r="N12">
        <v>47861441.441441439</v>
      </c>
      <c r="O12">
        <v>27708108.108108107</v>
      </c>
      <c r="P12">
        <v>26394549.549549554</v>
      </c>
      <c r="Q12">
        <v>5435405.4054054087</v>
      </c>
      <c r="R12">
        <v>44792342.342342339</v>
      </c>
      <c r="S12">
        <v>8766</v>
      </c>
      <c r="T12">
        <v>8765</v>
      </c>
    </row>
    <row r="13" spans="1:20" x14ac:dyDescent="0.35">
      <c r="A13" s="7" t="s">
        <v>63</v>
      </c>
      <c r="B13" s="12" t="s">
        <v>50</v>
      </c>
      <c r="C13">
        <v>141046799.55988646</v>
      </c>
      <c r="D13">
        <v>136825084.77390406</v>
      </c>
      <c r="E13">
        <v>649549.54954955098</v>
      </c>
      <c r="F13">
        <v>1553153.1531531571</v>
      </c>
      <c r="G13">
        <v>23</v>
      </c>
      <c r="H13">
        <v>55</v>
      </c>
      <c r="K13">
        <v>25</v>
      </c>
      <c r="L13">
        <v>80</v>
      </c>
      <c r="M13">
        <v>52203963.963963971</v>
      </c>
      <c r="N13">
        <v>24123783.783783782</v>
      </c>
      <c r="O13">
        <v>52009531.531531528</v>
      </c>
      <c r="P13">
        <v>50581297.297297299</v>
      </c>
      <c r="Q13">
        <v>51675135.135135137</v>
      </c>
      <c r="R13">
        <v>25756936.936936937</v>
      </c>
      <c r="S13">
        <v>3740</v>
      </c>
      <c r="T13">
        <v>5738</v>
      </c>
    </row>
    <row r="14" spans="1:20" x14ac:dyDescent="0.35">
      <c r="A14" s="7" t="s">
        <v>64</v>
      </c>
      <c r="B14" s="12" t="s">
        <v>50</v>
      </c>
      <c r="C14">
        <v>144906046.08596584</v>
      </c>
      <c r="D14">
        <v>139521763.25796971</v>
      </c>
      <c r="E14">
        <v>1277027.027027027</v>
      </c>
      <c r="F14">
        <v>2169369.3693693699</v>
      </c>
      <c r="G14">
        <v>17</v>
      </c>
      <c r="H14">
        <v>37</v>
      </c>
      <c r="K14">
        <v>22</v>
      </c>
      <c r="L14">
        <v>48</v>
      </c>
      <c r="M14">
        <v>24660450.450450446</v>
      </c>
      <c r="N14">
        <v>14965045.045045044</v>
      </c>
      <c r="O14">
        <v>54183855.855855852</v>
      </c>
      <c r="P14">
        <v>51662864.864864863</v>
      </c>
      <c r="Q14">
        <v>23907117.117117114</v>
      </c>
      <c r="R14">
        <v>13845585.585585587</v>
      </c>
      <c r="S14">
        <v>4255</v>
      </c>
      <c r="T14">
        <v>5571</v>
      </c>
    </row>
    <row r="15" spans="1:20" x14ac:dyDescent="0.35">
      <c r="A15" s="7" t="s">
        <v>65</v>
      </c>
      <c r="B15" s="12" t="s">
        <v>66</v>
      </c>
      <c r="C15">
        <v>144831626.41696396</v>
      </c>
      <c r="D15">
        <v>140475900.76322064</v>
      </c>
      <c r="E15">
        <v>1464054.0540540561</v>
      </c>
      <c r="F15">
        <v>3115315.3153153192</v>
      </c>
      <c r="G15">
        <v>58</v>
      </c>
      <c r="H15">
        <v>37</v>
      </c>
      <c r="K15">
        <v>65</v>
      </c>
      <c r="L15">
        <v>60</v>
      </c>
      <c r="M15">
        <v>33800720.720720723</v>
      </c>
      <c r="N15">
        <v>126898828.82882883</v>
      </c>
      <c r="O15">
        <v>71782243.243243247</v>
      </c>
      <c r="P15">
        <v>72445207.207207203</v>
      </c>
      <c r="Q15">
        <v>23680360.360360362</v>
      </c>
      <c r="R15">
        <v>58436576.576576576</v>
      </c>
      <c r="S15">
        <v>5866</v>
      </c>
      <c r="T15">
        <v>5427</v>
      </c>
    </row>
    <row r="16" spans="1:20" x14ac:dyDescent="0.35">
      <c r="A16" s="7" t="s">
        <v>67</v>
      </c>
      <c r="B16" s="12" t="s">
        <v>68</v>
      </c>
      <c r="C16">
        <v>83885800.506289735</v>
      </c>
      <c r="D16">
        <v>82195090.737140596</v>
      </c>
      <c r="E16">
        <v>4815765.7657657666</v>
      </c>
      <c r="F16">
        <v>14998198.198198196</v>
      </c>
      <c r="G16">
        <v>40</v>
      </c>
      <c r="H16">
        <v>23</v>
      </c>
      <c r="K16">
        <v>48</v>
      </c>
      <c r="L16">
        <v>27</v>
      </c>
      <c r="M16">
        <v>14985495.495495496</v>
      </c>
      <c r="N16">
        <v>16263513.513513513</v>
      </c>
      <c r="O16">
        <v>22015630.630630631</v>
      </c>
      <c r="P16">
        <v>22377360.360360362</v>
      </c>
      <c r="Q16">
        <v>10748828.82882883</v>
      </c>
      <c r="R16">
        <v>10884774.774774775</v>
      </c>
      <c r="S16">
        <v>3521</v>
      </c>
      <c r="T16">
        <v>3117</v>
      </c>
    </row>
    <row r="17" spans="1:20" x14ac:dyDescent="0.35">
      <c r="A17" s="7" t="s">
        <v>69</v>
      </c>
      <c r="B17" s="12" t="s">
        <v>70</v>
      </c>
      <c r="C17">
        <v>6518856.2585546663</v>
      </c>
      <c r="D17">
        <v>6429961.9524664916</v>
      </c>
      <c r="F17">
        <v>13513.513513514001</v>
      </c>
      <c r="G17">
        <v>1</v>
      </c>
      <c r="H17">
        <v>1</v>
      </c>
      <c r="K17">
        <v>1</v>
      </c>
      <c r="L17">
        <v>1</v>
      </c>
      <c r="M17">
        <v>275675.67567567498</v>
      </c>
      <c r="N17">
        <v>193693.69369369399</v>
      </c>
      <c r="O17">
        <v>1439054.054054054</v>
      </c>
      <c r="P17">
        <v>2063153.1531531529</v>
      </c>
      <c r="Q17">
        <v>254054.054054054</v>
      </c>
      <c r="R17">
        <v>158558.55855855899</v>
      </c>
      <c r="S17">
        <v>581</v>
      </c>
      <c r="T17">
        <v>278</v>
      </c>
    </row>
    <row r="18" spans="1:20" x14ac:dyDescent="0.35">
      <c r="A18" s="7" t="s">
        <v>71</v>
      </c>
      <c r="B18" s="12" t="s">
        <v>72</v>
      </c>
      <c r="C18">
        <v>1181101463.1642401</v>
      </c>
      <c r="D18">
        <v>1131066668.3075881</v>
      </c>
      <c r="E18">
        <v>327093852.25225228</v>
      </c>
      <c r="F18">
        <v>307788915.31531531</v>
      </c>
      <c r="G18">
        <v>299</v>
      </c>
      <c r="H18">
        <v>277</v>
      </c>
      <c r="I18">
        <v>15</v>
      </c>
      <c r="K18">
        <v>486</v>
      </c>
      <c r="L18">
        <v>498</v>
      </c>
      <c r="M18">
        <v>139725908.1081081</v>
      </c>
      <c r="N18">
        <v>124611718.91891891</v>
      </c>
      <c r="O18">
        <v>222588095.4954955</v>
      </c>
      <c r="P18">
        <v>227480125.67567569</v>
      </c>
      <c r="Q18">
        <v>116392792.7927928</v>
      </c>
      <c r="R18">
        <v>106110583.78378378</v>
      </c>
      <c r="S18">
        <v>46886</v>
      </c>
      <c r="T18">
        <v>45716</v>
      </c>
    </row>
    <row r="19" spans="1:20" x14ac:dyDescent="0.35">
      <c r="A19" s="7" t="s">
        <v>73</v>
      </c>
      <c r="B19" s="12" t="s">
        <v>72</v>
      </c>
      <c r="C19">
        <v>113705665.55338061</v>
      </c>
      <c r="D19">
        <v>115451508.03762588</v>
      </c>
      <c r="E19">
        <v>3603.603603604</v>
      </c>
      <c r="F19">
        <v>72972.972972974007</v>
      </c>
      <c r="G19">
        <v>28</v>
      </c>
      <c r="H19">
        <v>33</v>
      </c>
      <c r="K19">
        <v>35</v>
      </c>
      <c r="L19">
        <v>35</v>
      </c>
      <c r="M19">
        <v>2553153.1531531531</v>
      </c>
      <c r="N19">
        <v>2460360.3603603598</v>
      </c>
      <c r="O19">
        <v>15571711.711711712</v>
      </c>
      <c r="P19">
        <v>16435360.36036036</v>
      </c>
      <c r="Q19">
        <v>1796846.8468468459</v>
      </c>
      <c r="R19">
        <v>2521891.8918918921</v>
      </c>
      <c r="S19">
        <v>3723</v>
      </c>
      <c r="T19">
        <v>3433</v>
      </c>
    </row>
    <row r="20" spans="1:20" x14ac:dyDescent="0.35">
      <c r="A20" s="7" t="s">
        <v>74</v>
      </c>
      <c r="B20" s="12" t="s">
        <v>70</v>
      </c>
      <c r="C20">
        <v>115698135.28747974</v>
      </c>
      <c r="D20">
        <v>112054558.53812882</v>
      </c>
      <c r="E20">
        <v>483423.423423425</v>
      </c>
      <c r="F20">
        <v>3482882.882882888</v>
      </c>
      <c r="G20">
        <v>30</v>
      </c>
      <c r="H20">
        <v>36</v>
      </c>
      <c r="K20">
        <v>35</v>
      </c>
      <c r="L20">
        <v>55</v>
      </c>
      <c r="M20">
        <v>21473963.963963967</v>
      </c>
      <c r="N20">
        <v>25227927.927927937</v>
      </c>
      <c r="O20">
        <v>38841018.018018015</v>
      </c>
      <c r="P20">
        <v>40642567.567567565</v>
      </c>
      <c r="Q20">
        <v>33562252.252252251</v>
      </c>
      <c r="R20">
        <v>22709189.189189192</v>
      </c>
      <c r="S20">
        <v>4142</v>
      </c>
      <c r="T20">
        <v>4114</v>
      </c>
    </row>
    <row r="21" spans="1:20" x14ac:dyDescent="0.35">
      <c r="A21" s="7" t="s">
        <v>75</v>
      </c>
      <c r="B21" s="12" t="s">
        <v>76</v>
      </c>
      <c r="C21">
        <v>32494224.548385359</v>
      </c>
      <c r="D21">
        <v>32635387.162572883</v>
      </c>
      <c r="E21">
        <v>77477.477477477994</v>
      </c>
      <c r="F21">
        <v>77477.477477477994</v>
      </c>
      <c r="G21">
        <v>9</v>
      </c>
      <c r="H21">
        <v>5</v>
      </c>
      <c r="K21">
        <v>10</v>
      </c>
      <c r="L21">
        <v>5</v>
      </c>
      <c r="M21">
        <v>4108108.1081081089</v>
      </c>
      <c r="N21">
        <v>3284864.8648648639</v>
      </c>
      <c r="O21">
        <v>8002252.2522522528</v>
      </c>
      <c r="P21">
        <v>8334567.5675675692</v>
      </c>
      <c r="Q21">
        <v>2980900.9009009008</v>
      </c>
      <c r="R21">
        <v>2572522.5225225221</v>
      </c>
      <c r="S21">
        <v>1465</v>
      </c>
      <c r="T21">
        <v>1436</v>
      </c>
    </row>
    <row r="22" spans="1:20" x14ac:dyDescent="0.35">
      <c r="A22" s="7" t="s">
        <v>77</v>
      </c>
      <c r="B22" s="12" t="s">
        <v>78</v>
      </c>
      <c r="C22">
        <v>75314670.746197984</v>
      </c>
      <c r="D22">
        <v>69189584.991496414</v>
      </c>
      <c r="E22">
        <v>460450.45045045001</v>
      </c>
      <c r="F22">
        <v>881081.081081082</v>
      </c>
      <c r="G22">
        <v>20</v>
      </c>
      <c r="H22">
        <v>13</v>
      </c>
      <c r="K22">
        <v>21</v>
      </c>
      <c r="L22">
        <v>16</v>
      </c>
      <c r="M22">
        <v>10037027.027027026</v>
      </c>
      <c r="N22">
        <v>6962162.1621621624</v>
      </c>
      <c r="O22">
        <v>24030900.900900904</v>
      </c>
      <c r="P22">
        <v>22398279.27927928</v>
      </c>
      <c r="Q22">
        <v>7923423.4234234216</v>
      </c>
      <c r="R22">
        <v>9288378.3783783801</v>
      </c>
      <c r="S22">
        <v>3122</v>
      </c>
      <c r="T22">
        <v>2462</v>
      </c>
    </row>
    <row r="23" spans="1:20" x14ac:dyDescent="0.35">
      <c r="A23" s="7" t="s">
        <v>79</v>
      </c>
      <c r="B23" s="12" t="s">
        <v>80</v>
      </c>
      <c r="C23">
        <v>693711633.28257239</v>
      </c>
      <c r="D23">
        <v>661946388.38559818</v>
      </c>
      <c r="E23">
        <v>2150900.9009009069</v>
      </c>
      <c r="F23">
        <v>3300000.0000000098</v>
      </c>
      <c r="G23">
        <v>216</v>
      </c>
      <c r="H23">
        <v>417</v>
      </c>
      <c r="I23">
        <v>3</v>
      </c>
      <c r="K23">
        <v>274</v>
      </c>
      <c r="L23">
        <v>511</v>
      </c>
      <c r="M23">
        <v>203337207.2072072</v>
      </c>
      <c r="N23">
        <v>68203603.603603601</v>
      </c>
      <c r="O23">
        <v>169025049.54954955</v>
      </c>
      <c r="P23">
        <v>170443283.78378376</v>
      </c>
      <c r="Q23">
        <v>58872162.162162162</v>
      </c>
      <c r="R23">
        <v>57167027.027027033</v>
      </c>
      <c r="S23">
        <v>26560</v>
      </c>
      <c r="T23">
        <v>26398</v>
      </c>
    </row>
    <row r="24" spans="1:20" x14ac:dyDescent="0.35">
      <c r="A24" s="7" t="s">
        <v>81</v>
      </c>
      <c r="B24" s="12" t="s">
        <v>54</v>
      </c>
      <c r="C24">
        <v>19548627.113515697</v>
      </c>
      <c r="D24">
        <v>19733579.623725541</v>
      </c>
      <c r="E24">
        <v>141441.441441442</v>
      </c>
      <c r="F24">
        <v>125225.22522522599</v>
      </c>
      <c r="G24">
        <v>7</v>
      </c>
      <c r="H24">
        <v>7</v>
      </c>
      <c r="K24">
        <v>9</v>
      </c>
      <c r="L24">
        <v>8</v>
      </c>
      <c r="M24">
        <v>2213963.9639639622</v>
      </c>
      <c r="N24">
        <v>958558.55855855905</v>
      </c>
      <c r="O24">
        <v>4250900.9009009013</v>
      </c>
      <c r="P24">
        <v>4431036.036036035</v>
      </c>
      <c r="Q24">
        <v>2199549.5495495489</v>
      </c>
      <c r="R24">
        <v>1110720.7207207221</v>
      </c>
      <c r="S24">
        <v>1128</v>
      </c>
      <c r="T24">
        <v>1454</v>
      </c>
    </row>
    <row r="25" spans="1:20" x14ac:dyDescent="0.35">
      <c r="A25" s="7" t="s">
        <v>82</v>
      </c>
      <c r="B25" s="12" t="s">
        <v>83</v>
      </c>
      <c r="C25">
        <v>481040743.46195537</v>
      </c>
      <c r="D25">
        <v>470543001.05432391</v>
      </c>
      <c r="E25">
        <v>2927117.117117119</v>
      </c>
      <c r="F25">
        <v>4441666.6666666679</v>
      </c>
      <c r="G25">
        <v>77</v>
      </c>
      <c r="H25">
        <v>85</v>
      </c>
      <c r="I25">
        <v>1</v>
      </c>
      <c r="K25">
        <v>92</v>
      </c>
      <c r="L25">
        <v>97</v>
      </c>
      <c r="M25">
        <v>86865855.855855852</v>
      </c>
      <c r="N25">
        <v>107705855.85585585</v>
      </c>
      <c r="O25">
        <v>130443691.89189188</v>
      </c>
      <c r="P25">
        <v>135134896.3963964</v>
      </c>
      <c r="Q25">
        <v>75558108.108108118</v>
      </c>
      <c r="R25">
        <v>66709459.459459454</v>
      </c>
      <c r="S25">
        <v>15052</v>
      </c>
      <c r="T25">
        <v>15486</v>
      </c>
    </row>
    <row r="26" spans="1:20" x14ac:dyDescent="0.35">
      <c r="A26" s="7" t="s">
        <v>84</v>
      </c>
      <c r="B26" s="12" t="s">
        <v>85</v>
      </c>
      <c r="C26">
        <v>49728471.390761822</v>
      </c>
      <c r="D26">
        <v>43130759.098969266</v>
      </c>
      <c r="E26">
        <v>136936.93693693701</v>
      </c>
      <c r="F26">
        <v>993468.46846847003</v>
      </c>
      <c r="G26">
        <v>17</v>
      </c>
      <c r="H26">
        <v>28</v>
      </c>
      <c r="K26">
        <v>24</v>
      </c>
      <c r="L26">
        <v>34</v>
      </c>
      <c r="M26">
        <v>46418468.468468465</v>
      </c>
      <c r="N26">
        <v>69661621.621621624</v>
      </c>
      <c r="O26">
        <v>16959414.414414417</v>
      </c>
      <c r="P26">
        <v>16440639.63963964</v>
      </c>
      <c r="Q26">
        <v>34920090.090090089</v>
      </c>
      <c r="R26">
        <v>61225765.765765771</v>
      </c>
      <c r="S26">
        <v>2299</v>
      </c>
      <c r="T26">
        <v>2090</v>
      </c>
    </row>
    <row r="27" spans="1:20" x14ac:dyDescent="0.35">
      <c r="A27" s="7" t="s">
        <v>86</v>
      </c>
      <c r="B27" s="12" t="s">
        <v>87</v>
      </c>
      <c r="C27">
        <v>1960981.062761137</v>
      </c>
      <c r="D27">
        <v>1703110.343722577</v>
      </c>
      <c r="G27">
        <v>2</v>
      </c>
      <c r="H27">
        <v>1</v>
      </c>
      <c r="K27">
        <v>2</v>
      </c>
      <c r="L27">
        <v>1</v>
      </c>
      <c r="M27">
        <v>108108.108108108</v>
      </c>
      <c r="N27">
        <v>567567.56756756804</v>
      </c>
      <c r="O27">
        <v>628423.42342342297</v>
      </c>
      <c r="P27">
        <v>778837.83783783799</v>
      </c>
      <c r="S27">
        <v>158</v>
      </c>
      <c r="T27">
        <v>165</v>
      </c>
    </row>
    <row r="28" spans="1:20" x14ac:dyDescent="0.35">
      <c r="A28" s="7" t="s">
        <v>88</v>
      </c>
      <c r="B28" s="12" t="s">
        <v>89</v>
      </c>
      <c r="C28">
        <v>97519098.635378346</v>
      </c>
      <c r="D28">
        <v>96306799.949341103</v>
      </c>
      <c r="E28">
        <v>45045.045045045001</v>
      </c>
      <c r="F28">
        <v>892792.79279279395</v>
      </c>
      <c r="G28">
        <v>10</v>
      </c>
      <c r="H28">
        <v>12</v>
      </c>
      <c r="K28">
        <v>13</v>
      </c>
      <c r="L28">
        <v>13</v>
      </c>
      <c r="M28">
        <v>8907747.7477477454</v>
      </c>
      <c r="N28">
        <v>14812792.792792792</v>
      </c>
      <c r="O28">
        <v>34039189.189189196</v>
      </c>
      <c r="P28">
        <v>33288261.261261258</v>
      </c>
      <c r="Q28">
        <v>7552162.1621621596</v>
      </c>
      <c r="R28">
        <v>15190540.540540539</v>
      </c>
      <c r="S28">
        <v>3440</v>
      </c>
      <c r="T28">
        <v>3189</v>
      </c>
    </row>
    <row r="29" spans="1:20" x14ac:dyDescent="0.35">
      <c r="A29" s="7" t="s">
        <v>90</v>
      </c>
      <c r="B29" s="12" t="s">
        <v>60</v>
      </c>
      <c r="C29">
        <v>32540972.326377809</v>
      </c>
      <c r="D29">
        <v>35411954.912593521</v>
      </c>
      <c r="E29">
        <v>54954.954954954999</v>
      </c>
      <c r="F29">
        <v>73873.873873874996</v>
      </c>
      <c r="G29">
        <v>11</v>
      </c>
      <c r="H29">
        <v>6</v>
      </c>
      <c r="K29">
        <v>51</v>
      </c>
      <c r="L29">
        <v>81</v>
      </c>
      <c r="M29">
        <v>3208108.1081081061</v>
      </c>
      <c r="N29">
        <v>2614414.4144144142</v>
      </c>
      <c r="O29">
        <v>18412882.882882878</v>
      </c>
      <c r="P29">
        <v>20918810.810810812</v>
      </c>
      <c r="Q29">
        <v>2690990.9909909908</v>
      </c>
      <c r="R29">
        <v>2721261.2612612611</v>
      </c>
      <c r="S29">
        <v>1503</v>
      </c>
      <c r="T29">
        <v>1580</v>
      </c>
    </row>
    <row r="30" spans="1:20" x14ac:dyDescent="0.35">
      <c r="A30" s="7" t="s">
        <v>91</v>
      </c>
      <c r="B30" s="12" t="s">
        <v>92</v>
      </c>
      <c r="C30">
        <v>28695435.097198784</v>
      </c>
      <c r="D30">
        <v>29018727.791912597</v>
      </c>
      <c r="F30">
        <v>1954054.0540540549</v>
      </c>
      <c r="G30">
        <v>9</v>
      </c>
      <c r="H30">
        <v>6</v>
      </c>
      <c r="K30">
        <v>10</v>
      </c>
      <c r="L30">
        <v>9</v>
      </c>
      <c r="M30">
        <v>60540.540540540998</v>
      </c>
      <c r="N30">
        <v>11107207.207207208</v>
      </c>
      <c r="O30">
        <v>9444729.7297297306</v>
      </c>
      <c r="P30">
        <v>8950216.2162162159</v>
      </c>
      <c r="Q30">
        <v>60540.540540540998</v>
      </c>
      <c r="R30">
        <v>10565945.945945946</v>
      </c>
      <c r="S30">
        <v>1025</v>
      </c>
      <c r="T30">
        <v>1091</v>
      </c>
    </row>
    <row r="31" spans="1:20" x14ac:dyDescent="0.35">
      <c r="A31" s="7" t="s">
        <v>93</v>
      </c>
      <c r="B31" s="12" t="s">
        <v>94</v>
      </c>
      <c r="C31">
        <v>130696349.5529329</v>
      </c>
      <c r="D31">
        <v>123571026.4570836</v>
      </c>
      <c r="E31">
        <v>33333.333333333998</v>
      </c>
      <c r="F31">
        <v>184684.68468468601</v>
      </c>
      <c r="G31">
        <v>32</v>
      </c>
      <c r="H31">
        <v>19</v>
      </c>
      <c r="K31">
        <v>37</v>
      </c>
      <c r="L31">
        <v>21</v>
      </c>
      <c r="M31">
        <v>12972972.972972976</v>
      </c>
      <c r="N31">
        <v>13927927.927927928</v>
      </c>
      <c r="O31">
        <v>17638558.558558557</v>
      </c>
      <c r="P31">
        <v>17492457.657657657</v>
      </c>
      <c r="Q31">
        <v>12836396.396396397</v>
      </c>
      <c r="R31">
        <v>12295855.855855856</v>
      </c>
      <c r="S31">
        <v>4400</v>
      </c>
      <c r="T31">
        <v>4484</v>
      </c>
    </row>
    <row r="32" spans="1:20" x14ac:dyDescent="0.35">
      <c r="A32" s="7" t="s">
        <v>95</v>
      </c>
      <c r="B32" s="12" t="s">
        <v>96</v>
      </c>
      <c r="C32">
        <v>130271046.84365933</v>
      </c>
      <c r="D32">
        <v>128249179.6637907</v>
      </c>
      <c r="E32">
        <v>15965765.765765766</v>
      </c>
      <c r="F32">
        <v>74051351.351351365</v>
      </c>
      <c r="G32">
        <v>31</v>
      </c>
      <c r="H32">
        <v>25</v>
      </c>
      <c r="K32">
        <v>36</v>
      </c>
      <c r="L32">
        <v>29</v>
      </c>
      <c r="M32">
        <v>21000045.045045048</v>
      </c>
      <c r="N32">
        <v>35838063.063063063</v>
      </c>
      <c r="O32">
        <v>60098144.144144148</v>
      </c>
      <c r="P32">
        <v>63351477.477477483</v>
      </c>
      <c r="Q32">
        <v>16941891.891891893</v>
      </c>
      <c r="R32">
        <v>19939729.729729727</v>
      </c>
      <c r="S32">
        <v>6161</v>
      </c>
      <c r="T32">
        <v>5873</v>
      </c>
    </row>
    <row r="33" spans="1:20" x14ac:dyDescent="0.35">
      <c r="A33" s="7" t="s">
        <v>97</v>
      </c>
      <c r="B33" s="12" t="s">
        <v>98</v>
      </c>
      <c r="C33">
        <v>465138076.11751527</v>
      </c>
      <c r="D33">
        <v>461039954.70295739</v>
      </c>
      <c r="E33">
        <v>1612702.7027027039</v>
      </c>
      <c r="F33">
        <v>3562162.1621621628</v>
      </c>
      <c r="G33">
        <v>208</v>
      </c>
      <c r="H33">
        <v>177</v>
      </c>
      <c r="K33">
        <v>236</v>
      </c>
      <c r="L33">
        <v>213</v>
      </c>
      <c r="M33">
        <v>62773423.423423424</v>
      </c>
      <c r="N33">
        <v>102606756.75675677</v>
      </c>
      <c r="O33">
        <v>119142709.90990992</v>
      </c>
      <c r="P33">
        <v>118984172.07207207</v>
      </c>
      <c r="Q33">
        <v>57592702.702702694</v>
      </c>
      <c r="R33">
        <v>54357387.387387387</v>
      </c>
      <c r="S33">
        <v>21540</v>
      </c>
      <c r="T33">
        <v>22085</v>
      </c>
    </row>
    <row r="34" spans="1:20" x14ac:dyDescent="0.35">
      <c r="A34" s="7" t="s">
        <v>99</v>
      </c>
      <c r="B34" s="12" t="s">
        <v>98</v>
      </c>
      <c r="C34">
        <v>774266569.45444036</v>
      </c>
      <c r="D34">
        <v>748097719.89669251</v>
      </c>
      <c r="E34">
        <v>43185028.828828834</v>
      </c>
      <c r="F34">
        <v>3297949.5495495559</v>
      </c>
      <c r="G34">
        <v>215</v>
      </c>
      <c r="H34">
        <v>201</v>
      </c>
      <c r="K34">
        <v>270</v>
      </c>
      <c r="L34">
        <v>350</v>
      </c>
      <c r="M34">
        <v>66683873.873873875</v>
      </c>
      <c r="N34">
        <v>50047747.747747742</v>
      </c>
      <c r="O34">
        <v>147029301.8018018</v>
      </c>
      <c r="P34">
        <v>145140274.77477479</v>
      </c>
      <c r="Q34">
        <v>54019774.774774767</v>
      </c>
      <c r="R34">
        <v>41142792.79279279</v>
      </c>
      <c r="S34">
        <v>29355</v>
      </c>
      <c r="T34">
        <v>29446</v>
      </c>
    </row>
    <row r="35" spans="1:20" x14ac:dyDescent="0.35">
      <c r="A35" s="7" t="s">
        <v>100</v>
      </c>
      <c r="B35" s="12" t="s">
        <v>98</v>
      </c>
      <c r="C35">
        <v>741090256.38538599</v>
      </c>
      <c r="D35">
        <v>791835514.94604588</v>
      </c>
      <c r="E35">
        <v>1729729.729729733</v>
      </c>
      <c r="F35">
        <v>7523423.4234234327</v>
      </c>
      <c r="G35">
        <v>147</v>
      </c>
      <c r="H35">
        <v>174</v>
      </c>
      <c r="I35">
        <v>5</v>
      </c>
      <c r="K35">
        <v>278</v>
      </c>
      <c r="L35">
        <v>411</v>
      </c>
      <c r="M35">
        <v>525711216.21621621</v>
      </c>
      <c r="N35">
        <v>250204279.27927926</v>
      </c>
      <c r="O35">
        <v>147245205.4054054</v>
      </c>
      <c r="P35">
        <v>379312686.93693697</v>
      </c>
      <c r="Q35">
        <v>522571079.27927929</v>
      </c>
      <c r="R35">
        <v>64944909.909909911</v>
      </c>
      <c r="S35">
        <v>33170</v>
      </c>
      <c r="T35">
        <v>32811</v>
      </c>
    </row>
    <row r="36" spans="1:20" x14ac:dyDescent="0.35">
      <c r="A36" s="7" t="s">
        <v>101</v>
      </c>
      <c r="B36" s="12" t="s">
        <v>98</v>
      </c>
      <c r="C36">
        <v>441973318.82887727</v>
      </c>
      <c r="D36">
        <v>431119434.84758836</v>
      </c>
      <c r="E36">
        <v>502702.70270270301</v>
      </c>
      <c r="F36">
        <v>2159459.4594594631</v>
      </c>
      <c r="G36">
        <v>143</v>
      </c>
      <c r="H36">
        <v>115</v>
      </c>
      <c r="I36">
        <v>1</v>
      </c>
      <c r="K36">
        <v>175</v>
      </c>
      <c r="L36">
        <v>153</v>
      </c>
      <c r="M36">
        <v>30145405.405405398</v>
      </c>
      <c r="N36">
        <v>29205405.405405402</v>
      </c>
      <c r="O36">
        <v>94591475.675675675</v>
      </c>
      <c r="P36">
        <v>95767297.297297299</v>
      </c>
      <c r="Q36">
        <v>31996846.846846849</v>
      </c>
      <c r="R36">
        <v>30921171.17117117</v>
      </c>
      <c r="S36">
        <v>21281</v>
      </c>
      <c r="T36">
        <v>21331</v>
      </c>
    </row>
    <row r="37" spans="1:20" x14ac:dyDescent="0.35">
      <c r="A37" s="7" t="s">
        <v>102</v>
      </c>
      <c r="B37" s="12" t="s">
        <v>98</v>
      </c>
      <c r="C37">
        <v>487972878.47843009</v>
      </c>
      <c r="D37">
        <v>487878450.72179312</v>
      </c>
      <c r="E37">
        <v>1886981.981981986</v>
      </c>
      <c r="F37">
        <v>4481081.0810810849</v>
      </c>
      <c r="G37">
        <v>88</v>
      </c>
      <c r="H37">
        <v>108</v>
      </c>
      <c r="I37">
        <v>1</v>
      </c>
      <c r="K37">
        <v>100</v>
      </c>
      <c r="L37">
        <v>150</v>
      </c>
      <c r="M37">
        <v>74316306.306306303</v>
      </c>
      <c r="N37">
        <v>49285585.585585587</v>
      </c>
      <c r="O37">
        <v>137178007.2072072</v>
      </c>
      <c r="P37">
        <v>142053912.16216215</v>
      </c>
      <c r="Q37">
        <v>63861261.261261262</v>
      </c>
      <c r="R37">
        <v>70712162.162162155</v>
      </c>
      <c r="S37">
        <v>25255</v>
      </c>
      <c r="T37">
        <v>25185</v>
      </c>
    </row>
    <row r="38" spans="1:20" x14ac:dyDescent="0.35">
      <c r="A38" s="7" t="s">
        <v>103</v>
      </c>
      <c r="B38" s="12" t="s">
        <v>98</v>
      </c>
      <c r="C38">
        <v>1260254209.4523551</v>
      </c>
      <c r="D38">
        <v>1250967763.509949</v>
      </c>
      <c r="E38">
        <v>447990835.13513517</v>
      </c>
      <c r="F38">
        <v>193241331.53153154</v>
      </c>
      <c r="G38">
        <v>354</v>
      </c>
      <c r="H38">
        <v>307</v>
      </c>
      <c r="I38">
        <v>14</v>
      </c>
      <c r="K38">
        <v>456</v>
      </c>
      <c r="L38">
        <v>455</v>
      </c>
      <c r="M38">
        <v>121741621.62162161</v>
      </c>
      <c r="N38">
        <v>116058558.55855855</v>
      </c>
      <c r="O38">
        <v>255583890.09009007</v>
      </c>
      <c r="P38">
        <v>267052153.15315315</v>
      </c>
      <c r="Q38">
        <v>115955718.91891891</v>
      </c>
      <c r="R38">
        <v>116812432.43243243</v>
      </c>
      <c r="S38">
        <v>54976</v>
      </c>
      <c r="T38">
        <v>54785</v>
      </c>
    </row>
    <row r="39" spans="1:20" x14ac:dyDescent="0.35">
      <c r="A39" s="7" t="s">
        <v>104</v>
      </c>
      <c r="B39" s="12" t="s">
        <v>105</v>
      </c>
      <c r="C39">
        <v>98834079.595687374</v>
      </c>
      <c r="D39">
        <v>87902777.193907157</v>
      </c>
      <c r="E39">
        <v>190090.09009009</v>
      </c>
      <c r="F39">
        <v>458558.558558558</v>
      </c>
      <c r="G39">
        <v>22</v>
      </c>
      <c r="H39">
        <v>16</v>
      </c>
      <c r="K39">
        <v>27</v>
      </c>
      <c r="L39">
        <v>17</v>
      </c>
      <c r="M39">
        <v>1032432.432432432</v>
      </c>
      <c r="N39">
        <v>909009.00900900899</v>
      </c>
      <c r="O39">
        <v>17798378.37837838</v>
      </c>
      <c r="P39">
        <v>18125612.612612613</v>
      </c>
      <c r="Q39">
        <v>899909.90990991099</v>
      </c>
      <c r="R39">
        <v>570720.72072072199</v>
      </c>
      <c r="S39">
        <v>2752</v>
      </c>
      <c r="T39">
        <v>2504</v>
      </c>
    </row>
    <row r="40" spans="1:20" x14ac:dyDescent="0.35">
      <c r="A40" s="7" t="s">
        <v>106</v>
      </c>
      <c r="B40" s="12" t="s">
        <v>54</v>
      </c>
      <c r="C40">
        <v>30506664.3447836</v>
      </c>
      <c r="D40">
        <v>28360679.791932639</v>
      </c>
      <c r="E40">
        <v>139639.63963963999</v>
      </c>
      <c r="F40">
        <v>21621.621621621998</v>
      </c>
      <c r="G40">
        <v>12</v>
      </c>
      <c r="H40">
        <v>14</v>
      </c>
      <c r="K40">
        <v>26</v>
      </c>
      <c r="L40">
        <v>27</v>
      </c>
      <c r="M40">
        <v>1108558.5585585581</v>
      </c>
      <c r="N40">
        <v>594234.23423423502</v>
      </c>
      <c r="O40">
        <v>7166801.8018018017</v>
      </c>
      <c r="P40">
        <v>7810621.6216216208</v>
      </c>
      <c r="Q40">
        <v>1426036.036036036</v>
      </c>
      <c r="R40">
        <v>1073603.6036036049</v>
      </c>
      <c r="S40">
        <v>1448</v>
      </c>
      <c r="T40">
        <v>1369</v>
      </c>
    </row>
    <row r="41" spans="1:20" x14ac:dyDescent="0.35">
      <c r="A41" s="7" t="s">
        <v>107</v>
      </c>
      <c r="B41" s="12" t="s">
        <v>108</v>
      </c>
      <c r="C41">
        <v>250783333.96716049</v>
      </c>
      <c r="D41">
        <v>238757924.93110219</v>
      </c>
      <c r="E41">
        <v>590270.27027027297</v>
      </c>
      <c r="F41">
        <v>2794594.594594596</v>
      </c>
      <c r="G41">
        <v>68</v>
      </c>
      <c r="H41">
        <v>66</v>
      </c>
      <c r="K41">
        <v>87</v>
      </c>
      <c r="L41">
        <v>83</v>
      </c>
      <c r="M41">
        <v>26773153.153153151</v>
      </c>
      <c r="N41">
        <v>30661081.081081081</v>
      </c>
      <c r="O41">
        <v>52443870.270270273</v>
      </c>
      <c r="P41">
        <v>54363819.819819823</v>
      </c>
      <c r="Q41">
        <v>20879099.0990991</v>
      </c>
      <c r="R41">
        <v>26858468.468468469</v>
      </c>
      <c r="S41">
        <v>10583</v>
      </c>
      <c r="T41">
        <v>9919</v>
      </c>
    </row>
    <row r="42" spans="1:20" x14ac:dyDescent="0.35">
      <c r="A42" s="7" t="s">
        <v>109</v>
      </c>
      <c r="B42" s="12" t="s">
        <v>108</v>
      </c>
      <c r="C42">
        <v>339496810.83732969</v>
      </c>
      <c r="D42">
        <v>339839148.16698432</v>
      </c>
      <c r="E42">
        <v>3650000.0000000019</v>
      </c>
      <c r="F42">
        <v>2863963.9639639701</v>
      </c>
      <c r="G42">
        <v>71</v>
      </c>
      <c r="H42">
        <v>113</v>
      </c>
      <c r="K42">
        <v>94</v>
      </c>
      <c r="L42">
        <v>184</v>
      </c>
      <c r="M42">
        <v>249005855.85585585</v>
      </c>
      <c r="N42">
        <v>23667207.207207207</v>
      </c>
      <c r="O42">
        <v>85286328.828828827</v>
      </c>
      <c r="P42">
        <v>100449414.41441442</v>
      </c>
      <c r="Q42">
        <v>194943783.78378376</v>
      </c>
      <c r="R42">
        <v>62160540.540540539</v>
      </c>
      <c r="S42">
        <v>14954</v>
      </c>
      <c r="T42">
        <v>13499</v>
      </c>
    </row>
    <row r="43" spans="1:20" x14ac:dyDescent="0.35">
      <c r="A43" s="7" t="s">
        <v>110</v>
      </c>
      <c r="B43" s="12" t="s">
        <v>111</v>
      </c>
      <c r="C43">
        <v>414496271.47866404</v>
      </c>
      <c r="D43">
        <v>387105965.64782727</v>
      </c>
      <c r="E43">
        <v>26487477.47747748</v>
      </c>
      <c r="F43">
        <v>86063873.873873875</v>
      </c>
      <c r="G43">
        <v>70</v>
      </c>
      <c r="H43">
        <v>101</v>
      </c>
      <c r="I43">
        <v>1</v>
      </c>
      <c r="K43">
        <v>84</v>
      </c>
      <c r="L43">
        <v>245</v>
      </c>
      <c r="M43">
        <v>32321126.126126125</v>
      </c>
      <c r="N43">
        <v>38881645.945945941</v>
      </c>
      <c r="O43">
        <v>127388009.009009</v>
      </c>
      <c r="P43">
        <v>135548855.85585585</v>
      </c>
      <c r="Q43">
        <v>29780990.990990993</v>
      </c>
      <c r="R43">
        <v>37174504.504504502</v>
      </c>
      <c r="S43">
        <v>19036</v>
      </c>
      <c r="T43">
        <v>19473</v>
      </c>
    </row>
    <row r="44" spans="1:20" x14ac:dyDescent="0.35">
      <c r="A44" s="7" t="s">
        <v>112</v>
      </c>
      <c r="B44" s="12" t="s">
        <v>111</v>
      </c>
      <c r="C44">
        <v>514749931.72511864</v>
      </c>
      <c r="D44">
        <v>508174174.08605689</v>
      </c>
      <c r="E44">
        <v>9409369.3693693727</v>
      </c>
      <c r="F44">
        <v>7628828.8288288359</v>
      </c>
      <c r="G44">
        <v>104</v>
      </c>
      <c r="H44">
        <v>195</v>
      </c>
      <c r="I44">
        <v>1</v>
      </c>
      <c r="K44">
        <v>128</v>
      </c>
      <c r="L44">
        <v>292</v>
      </c>
      <c r="M44">
        <v>38208828.828828827</v>
      </c>
      <c r="N44">
        <v>44023526.126126133</v>
      </c>
      <c r="O44">
        <v>171064279.27927929</v>
      </c>
      <c r="P44">
        <v>185959513.51351351</v>
      </c>
      <c r="Q44">
        <v>31378648.648648649</v>
      </c>
      <c r="R44">
        <v>44958918.918918923</v>
      </c>
      <c r="S44">
        <v>27671</v>
      </c>
      <c r="T44">
        <v>27733</v>
      </c>
    </row>
    <row r="45" spans="1:20" x14ac:dyDescent="0.35">
      <c r="A45" s="7" t="s">
        <v>113</v>
      </c>
      <c r="B45" s="12" t="s">
        <v>111</v>
      </c>
      <c r="C45">
        <v>352916181.46368051</v>
      </c>
      <c r="D45">
        <v>772893814.27294087</v>
      </c>
      <c r="E45">
        <v>8208108.1081081126</v>
      </c>
      <c r="F45">
        <v>3423198.1981982049</v>
      </c>
      <c r="G45">
        <v>79</v>
      </c>
      <c r="H45">
        <v>118</v>
      </c>
      <c r="I45">
        <v>3</v>
      </c>
      <c r="K45">
        <v>91</v>
      </c>
      <c r="L45">
        <v>261</v>
      </c>
      <c r="M45">
        <v>26237207.207207207</v>
      </c>
      <c r="N45">
        <v>24474429.729729727</v>
      </c>
      <c r="O45">
        <v>104223441.44144145</v>
      </c>
      <c r="P45">
        <v>539460124.32432437</v>
      </c>
      <c r="Q45">
        <v>23357027.027027026</v>
      </c>
      <c r="R45">
        <v>24373063.063063066</v>
      </c>
      <c r="S45">
        <v>15245</v>
      </c>
      <c r="T45">
        <v>15252</v>
      </c>
    </row>
    <row r="46" spans="1:20" x14ac:dyDescent="0.35">
      <c r="A46" s="7" t="s">
        <v>114</v>
      </c>
      <c r="B46" s="12" t="s">
        <v>111</v>
      </c>
      <c r="C46">
        <v>410168908.52015615</v>
      </c>
      <c r="D46">
        <v>408693073.76548469</v>
      </c>
      <c r="E46">
        <v>1380630.630630634</v>
      </c>
      <c r="F46">
        <v>5006981.981981989</v>
      </c>
      <c r="G46">
        <v>98</v>
      </c>
      <c r="H46">
        <v>153</v>
      </c>
      <c r="I46">
        <v>11</v>
      </c>
      <c r="K46">
        <v>331</v>
      </c>
      <c r="L46">
        <v>337</v>
      </c>
      <c r="M46">
        <v>31759909.909909904</v>
      </c>
      <c r="N46">
        <v>37737297.297297299</v>
      </c>
      <c r="O46">
        <v>114010234.23423424</v>
      </c>
      <c r="P46">
        <v>116479990.990991</v>
      </c>
      <c r="Q46">
        <v>29435765.765765764</v>
      </c>
      <c r="R46">
        <v>33543063.063063063</v>
      </c>
      <c r="S46">
        <v>20271</v>
      </c>
      <c r="T46">
        <v>19587</v>
      </c>
    </row>
    <row r="47" spans="1:20" x14ac:dyDescent="0.35">
      <c r="A47" s="7" t="s">
        <v>115</v>
      </c>
      <c r="B47" s="12" t="s">
        <v>111</v>
      </c>
      <c r="C47">
        <v>538268550.28232276</v>
      </c>
      <c r="D47">
        <v>506480728.59492779</v>
      </c>
      <c r="E47">
        <v>5069804.5045045083</v>
      </c>
      <c r="F47">
        <v>24519476.576576579</v>
      </c>
      <c r="G47">
        <v>174</v>
      </c>
      <c r="H47">
        <v>238</v>
      </c>
      <c r="I47">
        <v>1</v>
      </c>
      <c r="K47">
        <v>208</v>
      </c>
      <c r="L47">
        <v>427</v>
      </c>
      <c r="M47">
        <v>96742792.792792782</v>
      </c>
      <c r="N47">
        <v>177604114.41441441</v>
      </c>
      <c r="O47">
        <v>128502180.18018018</v>
      </c>
      <c r="P47">
        <v>163104736.93693691</v>
      </c>
      <c r="Q47">
        <v>80738828.828828812</v>
      </c>
      <c r="R47">
        <v>89435178.378378391</v>
      </c>
      <c r="S47">
        <v>24480</v>
      </c>
      <c r="T47">
        <v>23249</v>
      </c>
    </row>
    <row r="48" spans="1:20" x14ac:dyDescent="0.35">
      <c r="A48" s="7" t="s">
        <v>116</v>
      </c>
      <c r="B48" s="12" t="s">
        <v>54</v>
      </c>
      <c r="C48">
        <v>27908281.034522861</v>
      </c>
      <c r="D48">
        <v>26570388.662497796</v>
      </c>
      <c r="E48">
        <v>318918.918918918</v>
      </c>
      <c r="F48">
        <v>819594.59459459502</v>
      </c>
      <c r="G48">
        <v>2</v>
      </c>
      <c r="H48">
        <v>8</v>
      </c>
      <c r="K48">
        <v>2</v>
      </c>
      <c r="L48">
        <v>8</v>
      </c>
      <c r="M48">
        <v>2922522.5225225221</v>
      </c>
      <c r="N48">
        <v>3027027.0270270258</v>
      </c>
      <c r="O48">
        <v>6512873.8738738736</v>
      </c>
      <c r="P48">
        <v>6266108.1081081089</v>
      </c>
      <c r="Q48">
        <v>2823513.5135135138</v>
      </c>
      <c r="R48">
        <v>2164504.5045045041</v>
      </c>
      <c r="S48">
        <v>1036</v>
      </c>
      <c r="T48">
        <v>1118</v>
      </c>
    </row>
    <row r="49" spans="1:20" x14ac:dyDescent="0.35">
      <c r="A49" s="7" t="s">
        <v>118</v>
      </c>
      <c r="B49" s="12" t="s">
        <v>78</v>
      </c>
      <c r="C49">
        <v>242077425.12792796</v>
      </c>
      <c r="D49">
        <v>230749229.64262009</v>
      </c>
      <c r="E49">
        <v>196577512.61261261</v>
      </c>
      <c r="F49">
        <v>265406112.61261261</v>
      </c>
      <c r="G49">
        <v>67</v>
      </c>
      <c r="H49">
        <v>68</v>
      </c>
      <c r="I49">
        <v>1</v>
      </c>
      <c r="K49">
        <v>86</v>
      </c>
      <c r="L49">
        <v>107</v>
      </c>
      <c r="M49">
        <v>41075405.405405402</v>
      </c>
      <c r="N49">
        <v>59508108.108108103</v>
      </c>
      <c r="O49">
        <v>88797783.783783779</v>
      </c>
      <c r="P49">
        <v>91712948.198198199</v>
      </c>
      <c r="Q49">
        <v>38044684.684684686</v>
      </c>
      <c r="R49">
        <v>55382792.79279279</v>
      </c>
      <c r="S49">
        <v>12396</v>
      </c>
      <c r="T49">
        <v>10826</v>
      </c>
    </row>
    <row r="50" spans="1:20" x14ac:dyDescent="0.35">
      <c r="A50" s="7" t="s">
        <v>119</v>
      </c>
      <c r="B50" s="12" t="s">
        <v>50</v>
      </c>
      <c r="C50">
        <v>76729846.898347214</v>
      </c>
      <c r="D50">
        <v>72586299.681865707</v>
      </c>
      <c r="E50">
        <v>116144817.11711712</v>
      </c>
      <c r="F50">
        <v>180613190.990991</v>
      </c>
      <c r="G50">
        <v>37</v>
      </c>
      <c r="H50">
        <v>28</v>
      </c>
      <c r="K50">
        <v>38</v>
      </c>
      <c r="L50">
        <v>30</v>
      </c>
      <c r="M50">
        <v>133835815.31531531</v>
      </c>
      <c r="N50">
        <v>25687837.837837838</v>
      </c>
      <c r="O50">
        <v>25475810.810810808</v>
      </c>
      <c r="P50">
        <v>26311135.135135137</v>
      </c>
      <c r="Q50">
        <v>58878738.738738738</v>
      </c>
      <c r="R50">
        <v>13629639.63963964</v>
      </c>
      <c r="S50">
        <v>2421</v>
      </c>
      <c r="T50">
        <v>2442</v>
      </c>
    </row>
    <row r="51" spans="1:20" x14ac:dyDescent="0.35">
      <c r="A51" s="7" t="s">
        <v>120</v>
      </c>
      <c r="B51" s="12" t="s">
        <v>121</v>
      </c>
      <c r="C51">
        <v>275406299.1852923</v>
      </c>
      <c r="D51">
        <v>245675920.15211552</v>
      </c>
      <c r="E51">
        <v>604504.50450450403</v>
      </c>
      <c r="F51">
        <v>1922747.747747753</v>
      </c>
      <c r="G51">
        <v>98</v>
      </c>
      <c r="H51">
        <v>88</v>
      </c>
      <c r="K51">
        <v>116</v>
      </c>
      <c r="L51">
        <v>105</v>
      </c>
      <c r="M51">
        <v>6550450.4504504502</v>
      </c>
      <c r="N51">
        <v>9020720.7207207233</v>
      </c>
      <c r="O51">
        <v>17995774.774774775</v>
      </c>
      <c r="P51">
        <v>18179918.918918915</v>
      </c>
      <c r="Q51">
        <v>7036936.9369369335</v>
      </c>
      <c r="R51">
        <v>6243063.0630630637</v>
      </c>
      <c r="S51">
        <v>8206</v>
      </c>
      <c r="T51">
        <v>8026</v>
      </c>
    </row>
    <row r="52" spans="1:20" x14ac:dyDescent="0.35">
      <c r="A52" s="7" t="s">
        <v>122</v>
      </c>
      <c r="B52" s="12" t="s">
        <v>123</v>
      </c>
      <c r="C52">
        <v>121685740.01249821</v>
      </c>
      <c r="D52">
        <v>124406639.73052798</v>
      </c>
      <c r="E52">
        <v>310360.36036036001</v>
      </c>
      <c r="F52">
        <v>559234.23423423397</v>
      </c>
      <c r="G52">
        <v>11</v>
      </c>
      <c r="H52">
        <v>17</v>
      </c>
      <c r="K52">
        <v>13</v>
      </c>
      <c r="L52">
        <v>19</v>
      </c>
      <c r="M52">
        <v>34014144.144144148</v>
      </c>
      <c r="N52">
        <v>22027387.387387387</v>
      </c>
      <c r="O52">
        <v>54236034.234234229</v>
      </c>
      <c r="P52">
        <v>55144202.702702701</v>
      </c>
      <c r="Q52">
        <v>28537657.657657657</v>
      </c>
      <c r="R52">
        <v>21877747.747747749</v>
      </c>
      <c r="S52">
        <v>4377</v>
      </c>
      <c r="T52">
        <v>4277</v>
      </c>
    </row>
    <row r="53" spans="1:20" x14ac:dyDescent="0.35">
      <c r="A53" s="7" t="s">
        <v>124</v>
      </c>
      <c r="B53" s="12" t="s">
        <v>125</v>
      </c>
      <c r="C53">
        <v>182857989.7558054</v>
      </c>
      <c r="D53">
        <v>165604447.93177712</v>
      </c>
      <c r="E53">
        <v>17360900.900900904</v>
      </c>
      <c r="F53">
        <v>53837387.387387395</v>
      </c>
      <c r="G53">
        <v>23</v>
      </c>
      <c r="H53">
        <v>34</v>
      </c>
      <c r="K53">
        <v>25</v>
      </c>
      <c r="L53">
        <v>36</v>
      </c>
      <c r="M53">
        <v>55571171.171171166</v>
      </c>
      <c r="N53">
        <v>34233333.333333336</v>
      </c>
      <c r="O53">
        <v>52197648.648648649</v>
      </c>
      <c r="P53">
        <v>51067646.846846849</v>
      </c>
      <c r="Q53">
        <v>48556036.036036029</v>
      </c>
      <c r="R53">
        <v>37242565.765765756</v>
      </c>
      <c r="S53">
        <v>6681</v>
      </c>
      <c r="T53">
        <v>6387</v>
      </c>
    </row>
    <row r="54" spans="1:20" x14ac:dyDescent="0.35">
      <c r="A54" s="7" t="s">
        <v>126</v>
      </c>
      <c r="B54" s="12" t="s">
        <v>78</v>
      </c>
      <c r="C54">
        <v>115009150.10778017</v>
      </c>
      <c r="D54">
        <v>107915838.88627242</v>
      </c>
      <c r="E54">
        <v>1056486.4864864871</v>
      </c>
      <c r="F54">
        <v>2279279.2792792791</v>
      </c>
      <c r="G54">
        <v>20</v>
      </c>
      <c r="H54">
        <v>30</v>
      </c>
      <c r="K54">
        <v>24</v>
      </c>
      <c r="L54">
        <v>36</v>
      </c>
      <c r="M54">
        <v>19588018.018018015</v>
      </c>
      <c r="N54">
        <v>18738738.738738742</v>
      </c>
      <c r="O54">
        <v>43861540.540540546</v>
      </c>
      <c r="P54">
        <v>43229378.378378376</v>
      </c>
      <c r="Q54">
        <v>20276936.936936937</v>
      </c>
      <c r="R54">
        <v>17567117.117117114</v>
      </c>
      <c r="S54">
        <v>4929</v>
      </c>
      <c r="T54">
        <v>4954</v>
      </c>
    </row>
    <row r="55" spans="1:20" x14ac:dyDescent="0.35">
      <c r="A55" s="7" t="s">
        <v>127</v>
      </c>
      <c r="B55" s="12" t="s">
        <v>78</v>
      </c>
      <c r="C55">
        <v>20624057.851200774</v>
      </c>
      <c r="D55">
        <v>18154088.13988537</v>
      </c>
      <c r="E55">
        <v>11261.261261262</v>
      </c>
      <c r="F55">
        <v>408108.10810811003</v>
      </c>
      <c r="G55">
        <v>8</v>
      </c>
      <c r="H55">
        <v>7</v>
      </c>
      <c r="I55">
        <v>1</v>
      </c>
      <c r="K55">
        <v>8</v>
      </c>
      <c r="L55">
        <v>8</v>
      </c>
      <c r="M55">
        <v>5470720.7207207214</v>
      </c>
      <c r="N55">
        <v>6480180.1801801799</v>
      </c>
      <c r="O55">
        <v>10981936.936936935</v>
      </c>
      <c r="P55">
        <v>10309963.963963963</v>
      </c>
      <c r="Q55">
        <v>4946306.3063063072</v>
      </c>
      <c r="R55">
        <v>8174144.1441441448</v>
      </c>
      <c r="S55">
        <v>1207</v>
      </c>
      <c r="T55">
        <v>1185</v>
      </c>
    </row>
    <row r="56" spans="1:20" x14ac:dyDescent="0.35">
      <c r="A56" s="7" t="s">
        <v>128</v>
      </c>
      <c r="B56" s="12" t="s">
        <v>78</v>
      </c>
      <c r="C56">
        <v>111059094.1931607</v>
      </c>
      <c r="D56">
        <v>104798665.52027717</v>
      </c>
      <c r="E56">
        <v>839639.63963963999</v>
      </c>
      <c r="F56">
        <v>922522.52252252598</v>
      </c>
      <c r="G56">
        <v>40</v>
      </c>
      <c r="H56">
        <v>49</v>
      </c>
      <c r="I56">
        <v>1</v>
      </c>
      <c r="K56">
        <v>43</v>
      </c>
      <c r="L56">
        <v>74</v>
      </c>
      <c r="M56">
        <v>14623423.423423421</v>
      </c>
      <c r="N56">
        <v>13255855.855855856</v>
      </c>
      <c r="O56">
        <v>41476495.495495498</v>
      </c>
      <c r="P56">
        <v>41602846.846846849</v>
      </c>
      <c r="Q56">
        <v>13303963.963963963</v>
      </c>
      <c r="R56">
        <v>11609459.459459459</v>
      </c>
      <c r="S56">
        <v>5696</v>
      </c>
      <c r="T56">
        <v>5739</v>
      </c>
    </row>
    <row r="57" spans="1:20" x14ac:dyDescent="0.35">
      <c r="A57" s="7" t="s">
        <v>129</v>
      </c>
      <c r="B57" s="12" t="s">
        <v>85</v>
      </c>
      <c r="C57">
        <v>35456399.873416819</v>
      </c>
      <c r="D57">
        <v>29841175.932342093</v>
      </c>
      <c r="E57">
        <v>33333.333333333998</v>
      </c>
      <c r="F57">
        <v>82882.882882883001</v>
      </c>
      <c r="G57">
        <v>14</v>
      </c>
      <c r="H57">
        <v>6</v>
      </c>
      <c r="K57">
        <v>14</v>
      </c>
      <c r="L57">
        <v>7</v>
      </c>
      <c r="M57">
        <v>18024324.324324325</v>
      </c>
      <c r="N57">
        <v>23204144.144144144</v>
      </c>
      <c r="O57">
        <v>15840450.45045045</v>
      </c>
      <c r="P57">
        <v>14065972.972972972</v>
      </c>
      <c r="Q57">
        <v>13401441.441441439</v>
      </c>
      <c r="R57">
        <v>17110450.45045045</v>
      </c>
      <c r="S57">
        <v>1239</v>
      </c>
      <c r="T57">
        <v>1228</v>
      </c>
    </row>
    <row r="58" spans="1:20" x14ac:dyDescent="0.35">
      <c r="A58" s="7" t="s">
        <v>130</v>
      </c>
      <c r="B58" s="12" t="s">
        <v>89</v>
      </c>
      <c r="C58">
        <v>300654882.31672716</v>
      </c>
      <c r="D58">
        <v>286806599.18732363</v>
      </c>
      <c r="E58">
        <v>1103603.603603604</v>
      </c>
      <c r="F58">
        <v>1203153.1531531571</v>
      </c>
      <c r="G58">
        <v>33</v>
      </c>
      <c r="H58">
        <v>44</v>
      </c>
      <c r="K58">
        <v>38</v>
      </c>
      <c r="L58">
        <v>51</v>
      </c>
      <c r="M58">
        <v>16996396.396396391</v>
      </c>
      <c r="N58">
        <v>18199729.729729731</v>
      </c>
      <c r="O58">
        <v>87450259.459459454</v>
      </c>
      <c r="P58">
        <v>90984459.459459454</v>
      </c>
      <c r="Q58">
        <v>15650223.423423421</v>
      </c>
      <c r="R58">
        <v>19341351.351351351</v>
      </c>
      <c r="S58">
        <v>10447</v>
      </c>
      <c r="T58">
        <v>10702</v>
      </c>
    </row>
    <row r="59" spans="1:20" x14ac:dyDescent="0.35">
      <c r="A59" s="7" t="s">
        <v>131</v>
      </c>
      <c r="B59" s="12" t="s">
        <v>132</v>
      </c>
      <c r="C59">
        <v>164934596.37962052</v>
      </c>
      <c r="D59">
        <v>145924605.38208485</v>
      </c>
      <c r="E59">
        <v>6927027.0270270286</v>
      </c>
      <c r="F59">
        <v>18888288.288288288</v>
      </c>
      <c r="G59">
        <v>58</v>
      </c>
      <c r="H59">
        <v>81</v>
      </c>
      <c r="K59">
        <v>64</v>
      </c>
      <c r="L59">
        <v>89</v>
      </c>
      <c r="M59">
        <v>16531306.306306308</v>
      </c>
      <c r="N59">
        <v>15201126.126126124</v>
      </c>
      <c r="O59">
        <v>51422108.108108103</v>
      </c>
      <c r="P59">
        <v>46921493.243243247</v>
      </c>
      <c r="Q59">
        <v>9744594.5945945978</v>
      </c>
      <c r="R59">
        <v>12893423.423423423</v>
      </c>
      <c r="S59">
        <v>6290</v>
      </c>
      <c r="T59">
        <v>7080</v>
      </c>
    </row>
    <row r="60" spans="1:20" x14ac:dyDescent="0.35">
      <c r="A60" s="7" t="s">
        <v>133</v>
      </c>
      <c r="B60" s="12" t="s">
        <v>134</v>
      </c>
      <c r="C60">
        <v>27295703.494149383</v>
      </c>
      <c r="D60">
        <v>10812297.800253591</v>
      </c>
      <c r="G60">
        <v>1</v>
      </c>
      <c r="K60">
        <v>1</v>
      </c>
      <c r="O60">
        <v>3557117.1171171172</v>
      </c>
      <c r="P60">
        <v>2364592.7927927929</v>
      </c>
      <c r="S60">
        <v>2218</v>
      </c>
      <c r="T60">
        <v>2099</v>
      </c>
    </row>
    <row r="61" spans="1:20" x14ac:dyDescent="0.35">
      <c r="A61" s="7" t="s">
        <v>135</v>
      </c>
      <c r="B61" s="12" t="s">
        <v>136</v>
      </c>
      <c r="C61">
        <v>138564539.04041272</v>
      </c>
      <c r="D61">
        <v>132040439.60679816</v>
      </c>
      <c r="E61">
        <v>28828.828828828999</v>
      </c>
      <c r="F61">
        <v>578378.37837837997</v>
      </c>
      <c r="G61">
        <v>33</v>
      </c>
      <c r="H61">
        <v>46</v>
      </c>
      <c r="K61">
        <v>38</v>
      </c>
      <c r="L61">
        <v>50</v>
      </c>
      <c r="M61">
        <v>12363963.963963963</v>
      </c>
      <c r="N61">
        <v>10803603.603603603</v>
      </c>
      <c r="O61">
        <v>23020171.171171173</v>
      </c>
      <c r="P61">
        <v>21102873.873873871</v>
      </c>
      <c r="Q61">
        <v>12369909.90990991</v>
      </c>
      <c r="R61">
        <v>8771891.8918918911</v>
      </c>
      <c r="S61">
        <v>3674</v>
      </c>
      <c r="T61">
        <v>3519</v>
      </c>
    </row>
    <row r="62" spans="1:20" x14ac:dyDescent="0.35">
      <c r="A62" s="7" t="s">
        <v>137</v>
      </c>
      <c r="B62" s="12" t="s">
        <v>89</v>
      </c>
      <c r="C62">
        <v>152218592.61024559</v>
      </c>
      <c r="D62">
        <v>137355098.65511012</v>
      </c>
      <c r="E62">
        <v>97747.747747747999</v>
      </c>
      <c r="F62">
        <v>756531.53153153404</v>
      </c>
      <c r="G62">
        <v>15</v>
      </c>
      <c r="H62">
        <v>27</v>
      </c>
      <c r="I62">
        <v>3</v>
      </c>
      <c r="K62">
        <v>16</v>
      </c>
      <c r="L62">
        <v>29</v>
      </c>
      <c r="M62">
        <v>18463153.153153151</v>
      </c>
      <c r="N62">
        <v>17252972.972972974</v>
      </c>
      <c r="O62">
        <v>49964099.099099107</v>
      </c>
      <c r="P62">
        <v>48231376.576576576</v>
      </c>
      <c r="Q62">
        <v>16110450.450450448</v>
      </c>
      <c r="R62">
        <v>15849639.639639644</v>
      </c>
      <c r="S62">
        <v>4910</v>
      </c>
      <c r="T62">
        <v>4752</v>
      </c>
    </row>
    <row r="63" spans="1:20" x14ac:dyDescent="0.35">
      <c r="A63" s="7" t="s">
        <v>138</v>
      </c>
      <c r="B63" s="12" t="s">
        <v>78</v>
      </c>
      <c r="C63">
        <v>106702366.21919809</v>
      </c>
      <c r="D63">
        <v>102755336.45441855</v>
      </c>
      <c r="E63">
        <v>1256486.4864864871</v>
      </c>
      <c r="F63">
        <v>3095495.4954954968</v>
      </c>
      <c r="G63">
        <v>36</v>
      </c>
      <c r="H63">
        <v>37</v>
      </c>
      <c r="I63">
        <v>2</v>
      </c>
      <c r="K63">
        <v>43</v>
      </c>
      <c r="L63">
        <v>46</v>
      </c>
      <c r="M63">
        <v>14706936.936936935</v>
      </c>
      <c r="N63">
        <v>13924324.324324323</v>
      </c>
      <c r="O63">
        <v>42975000</v>
      </c>
      <c r="P63">
        <v>44033549.54954955</v>
      </c>
      <c r="Q63">
        <v>13409279.27927928</v>
      </c>
      <c r="R63">
        <v>12014324.324324325</v>
      </c>
      <c r="S63">
        <v>5175</v>
      </c>
      <c r="T63">
        <v>5046</v>
      </c>
    </row>
    <row r="64" spans="1:20" x14ac:dyDescent="0.35">
      <c r="A64" s="7" t="s">
        <v>139</v>
      </c>
      <c r="B64" s="12" t="s">
        <v>140</v>
      </c>
      <c r="C64">
        <v>138442419.27572724</v>
      </c>
      <c r="D64">
        <v>145831317.57055658</v>
      </c>
      <c r="E64">
        <v>955855.85585585702</v>
      </c>
      <c r="F64">
        <v>1374774.7747747749</v>
      </c>
      <c r="G64">
        <v>16</v>
      </c>
      <c r="H64">
        <v>12</v>
      </c>
      <c r="K64">
        <v>18</v>
      </c>
      <c r="L64">
        <v>13</v>
      </c>
      <c r="M64">
        <v>13538288.28828829</v>
      </c>
      <c r="N64">
        <v>15728648.648648648</v>
      </c>
      <c r="O64">
        <v>23637252.252252251</v>
      </c>
      <c r="P64">
        <v>28228063.063063063</v>
      </c>
      <c r="Q64">
        <v>12841171.17117117</v>
      </c>
      <c r="R64">
        <v>13535945.945945948</v>
      </c>
      <c r="S64">
        <v>4338</v>
      </c>
      <c r="T64">
        <v>4820</v>
      </c>
    </row>
    <row r="65" spans="1:20" x14ac:dyDescent="0.35">
      <c r="A65" s="7" t="s">
        <v>141</v>
      </c>
      <c r="B65" s="12" t="s">
        <v>62</v>
      </c>
      <c r="C65">
        <v>98553883.160121307</v>
      </c>
      <c r="D65">
        <v>96672920.018969074</v>
      </c>
      <c r="E65">
        <v>1203603.603603604</v>
      </c>
      <c r="F65">
        <v>983783.783783786</v>
      </c>
      <c r="G65">
        <v>25</v>
      </c>
      <c r="H65">
        <v>25</v>
      </c>
      <c r="K65">
        <v>34</v>
      </c>
      <c r="L65">
        <v>31</v>
      </c>
      <c r="M65">
        <v>63737747.747747742</v>
      </c>
      <c r="N65">
        <v>57432432.432432435</v>
      </c>
      <c r="O65">
        <v>21766711.711711712</v>
      </c>
      <c r="P65">
        <v>20609270.270270273</v>
      </c>
      <c r="Q65">
        <v>62617927.927927926</v>
      </c>
      <c r="R65">
        <v>56987657.657657661</v>
      </c>
      <c r="S65">
        <v>3921</v>
      </c>
      <c r="T65">
        <v>3910</v>
      </c>
    </row>
    <row r="66" spans="1:20" x14ac:dyDescent="0.35">
      <c r="A66" s="7" t="s">
        <v>142</v>
      </c>
      <c r="B66" s="12" t="s">
        <v>143</v>
      </c>
      <c r="C66">
        <v>1246654.0573798921</v>
      </c>
      <c r="D66">
        <v>925023.78262369102</v>
      </c>
      <c r="E66">
        <v>18018.018018018</v>
      </c>
      <c r="H66">
        <v>1</v>
      </c>
      <c r="L66">
        <v>1</v>
      </c>
      <c r="M66">
        <v>18018.018018018</v>
      </c>
      <c r="O66">
        <v>59909.909909909999</v>
      </c>
      <c r="P66">
        <v>94594.594594594993</v>
      </c>
      <c r="S66">
        <v>156</v>
      </c>
      <c r="T66">
        <v>121</v>
      </c>
    </row>
    <row r="67" spans="1:20" x14ac:dyDescent="0.35">
      <c r="A67" s="7" t="s">
        <v>144</v>
      </c>
      <c r="B67" s="12" t="s">
        <v>140</v>
      </c>
      <c r="C67">
        <v>206753497.46943134</v>
      </c>
      <c r="D67">
        <v>210031904.68322659</v>
      </c>
      <c r="E67">
        <v>107027.02702702901</v>
      </c>
      <c r="F67">
        <v>985135.13513513701</v>
      </c>
      <c r="G67">
        <v>37</v>
      </c>
      <c r="H67">
        <v>48</v>
      </c>
      <c r="I67">
        <v>1</v>
      </c>
      <c r="K67">
        <v>44</v>
      </c>
      <c r="L67">
        <v>63</v>
      </c>
      <c r="M67">
        <v>21807477.47747748</v>
      </c>
      <c r="N67">
        <v>23398558.558558557</v>
      </c>
      <c r="O67">
        <v>38077207.20720721</v>
      </c>
      <c r="P67">
        <v>37601801.801801801</v>
      </c>
      <c r="Q67">
        <v>20591801.801801804</v>
      </c>
      <c r="R67">
        <v>21695225.225225221</v>
      </c>
      <c r="S67">
        <v>7532</v>
      </c>
      <c r="T67">
        <v>7601</v>
      </c>
    </row>
    <row r="68" spans="1:20" x14ac:dyDescent="0.35">
      <c r="A68" s="7" t="s">
        <v>145</v>
      </c>
      <c r="B68" s="12" t="s">
        <v>78</v>
      </c>
      <c r="C68">
        <v>146089702.5966602</v>
      </c>
      <c r="D68">
        <v>144084278.93284565</v>
      </c>
      <c r="E68">
        <v>1290810.8108108109</v>
      </c>
      <c r="F68">
        <v>2174774.7747747782</v>
      </c>
      <c r="G68">
        <v>28</v>
      </c>
      <c r="H68">
        <v>49</v>
      </c>
      <c r="K68">
        <v>32</v>
      </c>
      <c r="L68">
        <v>55</v>
      </c>
      <c r="M68">
        <v>18394414.414414417</v>
      </c>
      <c r="N68">
        <v>13535135.135135138</v>
      </c>
      <c r="O68">
        <v>38259081.081081077</v>
      </c>
      <c r="P68">
        <v>41128090.090090089</v>
      </c>
      <c r="Q68">
        <v>18281621.62162162</v>
      </c>
      <c r="R68">
        <v>16034504.504504504</v>
      </c>
      <c r="S68">
        <v>5605</v>
      </c>
      <c r="T68">
        <v>6358</v>
      </c>
    </row>
    <row r="69" spans="1:20" x14ac:dyDescent="0.35">
      <c r="A69" s="7" t="s">
        <v>146</v>
      </c>
      <c r="B69" s="12" t="s">
        <v>147</v>
      </c>
      <c r="C69">
        <v>101814843.71720561</v>
      </c>
      <c r="D69">
        <v>93446195.03250277</v>
      </c>
      <c r="E69">
        <v>65900801.801801801</v>
      </c>
      <c r="F69">
        <v>179365054.05405405</v>
      </c>
      <c r="G69">
        <v>24</v>
      </c>
      <c r="H69">
        <v>15</v>
      </c>
      <c r="K69">
        <v>25</v>
      </c>
      <c r="L69">
        <v>19</v>
      </c>
      <c r="M69">
        <v>10010090.090090087</v>
      </c>
      <c r="N69">
        <v>36794594.59459459</v>
      </c>
      <c r="O69">
        <v>27665306.306306306</v>
      </c>
      <c r="P69">
        <v>28812063.063063063</v>
      </c>
      <c r="Q69">
        <v>10348198.198198194</v>
      </c>
      <c r="R69">
        <v>34829189.189189188</v>
      </c>
      <c r="S69">
        <v>3671</v>
      </c>
      <c r="T69">
        <v>3637</v>
      </c>
    </row>
    <row r="70" spans="1:20" x14ac:dyDescent="0.35">
      <c r="A70" s="7" t="s">
        <v>148</v>
      </c>
      <c r="B70" s="12" t="s">
        <v>94</v>
      </c>
      <c r="D70">
        <v>17.531949365999999</v>
      </c>
    </row>
    <row r="71" spans="1:20" x14ac:dyDescent="0.35">
      <c r="A71" s="7" t="s">
        <v>149</v>
      </c>
      <c r="B71" s="12" t="s">
        <v>50</v>
      </c>
      <c r="C71">
        <v>84240181.013200253</v>
      </c>
      <c r="D71">
        <v>84480140.356946051</v>
      </c>
      <c r="E71">
        <v>47905225.225225225</v>
      </c>
      <c r="F71">
        <v>110961531.53153154</v>
      </c>
      <c r="G71">
        <v>17</v>
      </c>
      <c r="H71">
        <v>16</v>
      </c>
      <c r="K71">
        <v>20</v>
      </c>
      <c r="L71">
        <v>16</v>
      </c>
      <c r="M71">
        <v>21829504.504504506</v>
      </c>
      <c r="N71">
        <v>5989459.4594594594</v>
      </c>
      <c r="O71">
        <v>36229054.054054059</v>
      </c>
      <c r="P71">
        <v>37087261.261261262</v>
      </c>
      <c r="Q71">
        <v>10770900.9009009</v>
      </c>
      <c r="R71">
        <v>4907837.8378378386</v>
      </c>
      <c r="S71">
        <v>3870</v>
      </c>
      <c r="T71">
        <v>3172</v>
      </c>
    </row>
    <row r="72" spans="1:20" x14ac:dyDescent="0.35">
      <c r="A72" s="7" t="s">
        <v>150</v>
      </c>
      <c r="B72" s="12" t="s">
        <v>151</v>
      </c>
      <c r="C72">
        <v>26448794.364609927</v>
      </c>
      <c r="D72">
        <v>26595414.716100831</v>
      </c>
      <c r="E72">
        <v>123024093.6936937</v>
      </c>
      <c r="F72">
        <v>96915560.360360369</v>
      </c>
      <c r="G72">
        <v>5</v>
      </c>
      <c r="H72">
        <v>4</v>
      </c>
      <c r="K72">
        <v>7</v>
      </c>
      <c r="L72">
        <v>6</v>
      </c>
      <c r="M72">
        <v>42919279.279279277</v>
      </c>
      <c r="N72">
        <v>33698198.198198199</v>
      </c>
      <c r="O72">
        <v>5766621.6216216208</v>
      </c>
      <c r="P72">
        <v>6474900.9009009013</v>
      </c>
      <c r="Q72">
        <v>18401531.531531531</v>
      </c>
      <c r="R72">
        <v>10364324.324324325</v>
      </c>
      <c r="S72">
        <v>340</v>
      </c>
      <c r="T72">
        <v>631</v>
      </c>
    </row>
    <row r="73" spans="1:20" x14ac:dyDescent="0.35">
      <c r="A73" s="7" t="s">
        <v>152</v>
      </c>
      <c r="B73" s="12" t="s">
        <v>151</v>
      </c>
      <c r="C73">
        <v>253154750.0889633</v>
      </c>
      <c r="D73">
        <v>247486209.52786312</v>
      </c>
      <c r="E73">
        <v>962162.16216216201</v>
      </c>
      <c r="F73">
        <v>81399324.32432434</v>
      </c>
      <c r="G73">
        <v>99</v>
      </c>
      <c r="H73">
        <v>125</v>
      </c>
      <c r="K73">
        <v>108</v>
      </c>
      <c r="L73">
        <v>150</v>
      </c>
      <c r="M73">
        <v>271134594.5945946</v>
      </c>
      <c r="N73">
        <v>163883783.78378376</v>
      </c>
      <c r="O73">
        <v>83579538.738738731</v>
      </c>
      <c r="P73">
        <v>85905360.360360369</v>
      </c>
      <c r="Q73">
        <v>220532428.82882884</v>
      </c>
      <c r="R73">
        <v>130263600</v>
      </c>
      <c r="S73">
        <v>8337</v>
      </c>
      <c r="T73">
        <v>8644</v>
      </c>
    </row>
    <row r="74" spans="1:20" x14ac:dyDescent="0.35">
      <c r="A74" s="7" t="s">
        <v>153</v>
      </c>
      <c r="B74" s="12" t="s">
        <v>154</v>
      </c>
      <c r="C74">
        <v>223204817.7624532</v>
      </c>
      <c r="D74">
        <v>223498836.88212013</v>
      </c>
      <c r="E74">
        <v>86162546.846846849</v>
      </c>
      <c r="F74">
        <v>62901509.009009011</v>
      </c>
      <c r="G74">
        <v>7</v>
      </c>
      <c r="H74">
        <v>32</v>
      </c>
      <c r="K74">
        <v>8</v>
      </c>
      <c r="L74">
        <v>36</v>
      </c>
      <c r="M74">
        <v>37830990.990990989</v>
      </c>
      <c r="N74">
        <v>48890090.090090096</v>
      </c>
      <c r="O74">
        <v>96772971.171171173</v>
      </c>
      <c r="P74">
        <v>90985481.981981978</v>
      </c>
      <c r="Q74">
        <v>28160630.630630631</v>
      </c>
      <c r="R74">
        <v>29065315.315315317</v>
      </c>
      <c r="S74">
        <v>6876</v>
      </c>
      <c r="T74">
        <v>7003</v>
      </c>
    </row>
    <row r="75" spans="1:20" x14ac:dyDescent="0.35">
      <c r="A75" s="7" t="s">
        <v>155</v>
      </c>
      <c r="B75" s="12" t="s">
        <v>154</v>
      </c>
      <c r="C75">
        <v>30007470.641117346</v>
      </c>
      <c r="D75">
        <v>23588585.866836064</v>
      </c>
      <c r="E75">
        <v>27927.927927928002</v>
      </c>
      <c r="F75">
        <v>13513.513513514001</v>
      </c>
      <c r="G75">
        <v>7</v>
      </c>
      <c r="H75">
        <v>6</v>
      </c>
      <c r="K75">
        <v>7</v>
      </c>
      <c r="L75">
        <v>7</v>
      </c>
      <c r="M75">
        <v>298198.19819819799</v>
      </c>
      <c r="N75">
        <v>4279279.2792792786</v>
      </c>
      <c r="O75">
        <v>7785765.7657657657</v>
      </c>
      <c r="P75">
        <v>5678414.4144144142</v>
      </c>
      <c r="Q75">
        <v>319369.369369369</v>
      </c>
      <c r="R75">
        <v>2700900.9009008999</v>
      </c>
      <c r="S75">
        <v>2109</v>
      </c>
      <c r="T75">
        <v>1963</v>
      </c>
    </row>
    <row r="76" spans="1:20" x14ac:dyDescent="0.35">
      <c r="A76" s="7" t="s">
        <v>156</v>
      </c>
      <c r="B76" s="12" t="s">
        <v>154</v>
      </c>
      <c r="C76">
        <v>293673516.6158601</v>
      </c>
      <c r="D76">
        <v>239613818.38149396</v>
      </c>
      <c r="E76">
        <v>9765765.7657657657</v>
      </c>
      <c r="F76">
        <v>116838963.96396397</v>
      </c>
      <c r="G76">
        <v>44</v>
      </c>
      <c r="H76">
        <v>12</v>
      </c>
      <c r="K76">
        <v>109</v>
      </c>
      <c r="L76">
        <v>17</v>
      </c>
      <c r="M76">
        <v>60060432.432432435</v>
      </c>
      <c r="N76">
        <v>49142792.79279279</v>
      </c>
      <c r="O76">
        <v>110944585.58558558</v>
      </c>
      <c r="P76">
        <v>92976792.792792782</v>
      </c>
      <c r="Q76">
        <v>49372162.162162162</v>
      </c>
      <c r="R76">
        <v>46424324.324324317</v>
      </c>
      <c r="S76">
        <v>8666</v>
      </c>
      <c r="T76">
        <v>7926</v>
      </c>
    </row>
    <row r="77" spans="1:20" x14ac:dyDescent="0.35">
      <c r="A77" s="7" t="s">
        <v>157</v>
      </c>
      <c r="B77" s="12" t="s">
        <v>134</v>
      </c>
      <c r="C77">
        <v>115760367.55862117</v>
      </c>
      <c r="D77">
        <v>112776620.00858854</v>
      </c>
      <c r="E77">
        <v>424324.32432432502</v>
      </c>
      <c r="F77">
        <v>490990.99099099298</v>
      </c>
      <c r="G77">
        <v>29</v>
      </c>
      <c r="H77">
        <v>21</v>
      </c>
      <c r="I77">
        <v>1</v>
      </c>
      <c r="K77">
        <v>32</v>
      </c>
      <c r="L77">
        <v>28</v>
      </c>
      <c r="M77">
        <v>13793693.693693692</v>
      </c>
      <c r="N77">
        <v>9477477.4774774779</v>
      </c>
      <c r="O77">
        <v>10106441.441441439</v>
      </c>
      <c r="P77">
        <v>12669081.081081079</v>
      </c>
      <c r="Q77">
        <v>4058198.1981982002</v>
      </c>
      <c r="R77">
        <v>4367387.3873873893</v>
      </c>
      <c r="S77">
        <v>4547</v>
      </c>
      <c r="T77">
        <v>4464</v>
      </c>
    </row>
    <row r="78" spans="1:20" x14ac:dyDescent="0.35">
      <c r="A78" s="7" t="s">
        <v>1</v>
      </c>
      <c r="B78" s="12" t="s">
        <v>158</v>
      </c>
      <c r="C78">
        <v>208962045.42749488</v>
      </c>
      <c r="D78">
        <v>200710065.22616184</v>
      </c>
      <c r="E78">
        <v>418468.46846847102</v>
      </c>
      <c r="F78">
        <v>1239639.639639643</v>
      </c>
      <c r="G78">
        <v>64</v>
      </c>
      <c r="H78">
        <v>14</v>
      </c>
      <c r="I78">
        <v>1</v>
      </c>
      <c r="K78">
        <v>354</v>
      </c>
      <c r="L78">
        <v>135</v>
      </c>
      <c r="M78">
        <v>17877567.567567568</v>
      </c>
      <c r="N78">
        <v>25190000</v>
      </c>
      <c r="O78">
        <v>99988783.783783793</v>
      </c>
      <c r="P78">
        <v>96201414.414414421</v>
      </c>
      <c r="Q78">
        <v>18706666.666666664</v>
      </c>
      <c r="R78">
        <v>22817657.657657657</v>
      </c>
      <c r="S78">
        <v>8150</v>
      </c>
      <c r="T78">
        <v>8094</v>
      </c>
    </row>
    <row r="79" spans="1:20" x14ac:dyDescent="0.35">
      <c r="A79" s="7" t="s">
        <v>159</v>
      </c>
      <c r="B79" s="12" t="s">
        <v>121</v>
      </c>
      <c r="C79">
        <v>8540920.346397711</v>
      </c>
      <c r="D79">
        <v>7686009.8760806713</v>
      </c>
      <c r="G79">
        <v>2</v>
      </c>
      <c r="H79">
        <v>2</v>
      </c>
      <c r="K79">
        <v>2</v>
      </c>
      <c r="L79">
        <v>5</v>
      </c>
      <c r="M79">
        <v>900900.90090090095</v>
      </c>
      <c r="O79">
        <v>808423.42342342297</v>
      </c>
      <c r="P79">
        <v>770180.18018018</v>
      </c>
      <c r="Q79">
        <v>133603.60360360399</v>
      </c>
      <c r="S79">
        <v>572</v>
      </c>
      <c r="T79">
        <v>483</v>
      </c>
    </row>
    <row r="80" spans="1:20" x14ac:dyDescent="0.35">
      <c r="A80" s="7" t="s">
        <v>160</v>
      </c>
      <c r="B80" s="12" t="s">
        <v>161</v>
      </c>
      <c r="C80">
        <v>103082564.38750784</v>
      </c>
      <c r="D80">
        <v>106474904.17562361</v>
      </c>
      <c r="E80">
        <v>41593486.486486495</v>
      </c>
      <c r="F80">
        <v>25606537.837837849</v>
      </c>
      <c r="G80">
        <v>33</v>
      </c>
      <c r="H80">
        <v>28</v>
      </c>
      <c r="K80">
        <v>72</v>
      </c>
      <c r="L80">
        <v>137</v>
      </c>
      <c r="M80">
        <v>26490990.990990989</v>
      </c>
      <c r="N80">
        <v>29262603.603603616</v>
      </c>
      <c r="O80">
        <v>44035639.639639638</v>
      </c>
      <c r="P80">
        <v>45194990.990990989</v>
      </c>
      <c r="Q80">
        <v>33068288.28828828</v>
      </c>
      <c r="R80">
        <v>23277207.207207218</v>
      </c>
      <c r="S80">
        <v>5857</v>
      </c>
      <c r="T80">
        <v>5944</v>
      </c>
    </row>
    <row r="81" spans="1:20" x14ac:dyDescent="0.35">
      <c r="A81" s="7" t="s">
        <v>162</v>
      </c>
      <c r="B81" s="12" t="s">
        <v>76</v>
      </c>
      <c r="C81">
        <v>48645452.792990193</v>
      </c>
      <c r="D81">
        <v>47793274.163316928</v>
      </c>
      <c r="E81">
        <v>191891.89189189201</v>
      </c>
      <c r="F81">
        <v>271171.17117117101</v>
      </c>
      <c r="G81">
        <v>12</v>
      </c>
      <c r="H81">
        <v>9</v>
      </c>
      <c r="K81">
        <v>12</v>
      </c>
      <c r="L81">
        <v>11</v>
      </c>
      <c r="M81">
        <v>1106306.306306306</v>
      </c>
      <c r="N81">
        <v>1054954.954954955</v>
      </c>
      <c r="O81">
        <v>2709009.0090090092</v>
      </c>
      <c r="P81">
        <v>2296981.981981982</v>
      </c>
      <c r="Q81">
        <v>922612.61261261196</v>
      </c>
      <c r="R81">
        <v>867747.74774774804</v>
      </c>
      <c r="S81">
        <v>954</v>
      </c>
      <c r="T81">
        <v>898</v>
      </c>
    </row>
    <row r="82" spans="1:20" x14ac:dyDescent="0.35">
      <c r="A82" s="7" t="s">
        <v>163</v>
      </c>
      <c r="B82" s="12" t="s">
        <v>52</v>
      </c>
      <c r="C82">
        <v>36650087.460074589</v>
      </c>
      <c r="D82">
        <v>37546611.444651313</v>
      </c>
      <c r="E82">
        <v>414414.41441441397</v>
      </c>
      <c r="F82">
        <v>652252.25225225196</v>
      </c>
      <c r="G82">
        <v>8</v>
      </c>
      <c r="H82">
        <v>10</v>
      </c>
      <c r="K82">
        <v>8</v>
      </c>
      <c r="L82">
        <v>11</v>
      </c>
      <c r="M82">
        <v>997297.29729729705</v>
      </c>
      <c r="N82">
        <v>814414.41441441397</v>
      </c>
      <c r="O82">
        <v>17207072.072072074</v>
      </c>
      <c r="P82">
        <v>18202045.045045044</v>
      </c>
      <c r="Q82">
        <v>952342.34234234202</v>
      </c>
      <c r="R82">
        <v>809459.45945945894</v>
      </c>
      <c r="S82">
        <v>933</v>
      </c>
      <c r="T82">
        <v>1675</v>
      </c>
    </row>
    <row r="83" spans="1:20" x14ac:dyDescent="0.35">
      <c r="A83" s="7" t="s">
        <v>164</v>
      </c>
      <c r="B83" s="12" t="s">
        <v>87</v>
      </c>
      <c r="C83">
        <v>32770487.919417907</v>
      </c>
      <c r="D83">
        <v>19188200.817776684</v>
      </c>
      <c r="E83">
        <v>36036.036036035999</v>
      </c>
      <c r="F83">
        <v>27027.027027027001</v>
      </c>
      <c r="G83">
        <v>11</v>
      </c>
      <c r="H83">
        <v>7</v>
      </c>
      <c r="K83">
        <v>12</v>
      </c>
      <c r="L83">
        <v>8</v>
      </c>
      <c r="M83">
        <v>1900900.9009008999</v>
      </c>
      <c r="N83">
        <v>237837.837837837</v>
      </c>
      <c r="O83">
        <v>2965045.0450450452</v>
      </c>
      <c r="P83">
        <v>1780765.7657657659</v>
      </c>
      <c r="Q83">
        <v>2334594.594594595</v>
      </c>
      <c r="R83">
        <v>258918.918918918</v>
      </c>
      <c r="S83">
        <v>1072</v>
      </c>
      <c r="T83">
        <v>818</v>
      </c>
    </row>
    <row r="84" spans="1:20" x14ac:dyDescent="0.35">
      <c r="A84" s="7" t="s">
        <v>165</v>
      </c>
      <c r="B84" s="12" t="s">
        <v>143</v>
      </c>
      <c r="C84">
        <v>6100387.795468743</v>
      </c>
      <c r="D84">
        <v>6869270.4644775623</v>
      </c>
      <c r="E84">
        <v>2702.7027027029999</v>
      </c>
      <c r="F84">
        <v>54054.054054054002</v>
      </c>
      <c r="G84">
        <v>5</v>
      </c>
      <c r="H84">
        <v>5</v>
      </c>
      <c r="K84">
        <v>6</v>
      </c>
      <c r="L84">
        <v>5</v>
      </c>
      <c r="M84">
        <v>1327027.027027027</v>
      </c>
      <c r="N84">
        <v>54054.054054054002</v>
      </c>
      <c r="O84">
        <v>667162.16216216201</v>
      </c>
      <c r="P84">
        <v>695000</v>
      </c>
      <c r="Q84">
        <v>1023423.423423423</v>
      </c>
      <c r="R84">
        <v>41891.891891892003</v>
      </c>
      <c r="S84">
        <v>296</v>
      </c>
      <c r="T84">
        <v>319</v>
      </c>
    </row>
    <row r="85" spans="1:20" x14ac:dyDescent="0.35">
      <c r="A85" s="7" t="s">
        <v>166</v>
      </c>
      <c r="B85" s="12" t="s">
        <v>167</v>
      </c>
      <c r="C85">
        <v>24540507.13269968</v>
      </c>
      <c r="D85">
        <v>27025463.050736882</v>
      </c>
      <c r="E85">
        <v>2036936.936936937</v>
      </c>
      <c r="F85">
        <v>6094594.594594595</v>
      </c>
      <c r="G85">
        <v>10</v>
      </c>
      <c r="H85">
        <v>6</v>
      </c>
      <c r="K85">
        <v>14</v>
      </c>
      <c r="L85">
        <v>6</v>
      </c>
      <c r="M85">
        <v>2533513.5135135171</v>
      </c>
      <c r="N85">
        <v>2101801.8018018021</v>
      </c>
      <c r="O85">
        <v>12607342.342342341</v>
      </c>
      <c r="P85">
        <v>12815277.477477478</v>
      </c>
      <c r="Q85">
        <v>3042882.8828828852</v>
      </c>
      <c r="R85">
        <v>2169279.2792792791</v>
      </c>
      <c r="S85">
        <v>1266</v>
      </c>
      <c r="T85">
        <v>1304</v>
      </c>
    </row>
    <row r="86" spans="1:20" x14ac:dyDescent="0.35">
      <c r="A86" s="7" t="s">
        <v>168</v>
      </c>
      <c r="B86" s="12" t="s">
        <v>169</v>
      </c>
      <c r="C86">
        <v>115851135.28935665</v>
      </c>
      <c r="D86">
        <v>117721972.01761191</v>
      </c>
      <c r="E86">
        <v>331081.08108108101</v>
      </c>
      <c r="F86">
        <v>1155855.855855857</v>
      </c>
      <c r="G86">
        <v>14</v>
      </c>
      <c r="H86">
        <v>18</v>
      </c>
      <c r="I86">
        <v>1</v>
      </c>
      <c r="K86">
        <v>23</v>
      </c>
      <c r="L86">
        <v>34</v>
      </c>
      <c r="M86">
        <v>15619369.369369367</v>
      </c>
      <c r="N86">
        <v>22764872.97297297</v>
      </c>
      <c r="O86">
        <v>31431252.252252251</v>
      </c>
      <c r="P86">
        <v>37858344.59459459</v>
      </c>
      <c r="Q86">
        <v>15036576.576576576</v>
      </c>
      <c r="R86">
        <v>21402342.342342343</v>
      </c>
      <c r="S86">
        <v>7077</v>
      </c>
      <c r="T86">
        <v>6336</v>
      </c>
    </row>
    <row r="87" spans="1:20" x14ac:dyDescent="0.35">
      <c r="A87" s="7" t="s">
        <v>170</v>
      </c>
      <c r="B87" s="12" t="s">
        <v>54</v>
      </c>
      <c r="C87">
        <v>18694605.15053675</v>
      </c>
      <c r="D87">
        <v>18423267.704236515</v>
      </c>
      <c r="E87">
        <v>41441.441441442003</v>
      </c>
      <c r="F87">
        <v>298198.19819819799</v>
      </c>
      <c r="G87">
        <v>1</v>
      </c>
      <c r="H87">
        <v>1</v>
      </c>
      <c r="K87">
        <v>2</v>
      </c>
      <c r="L87">
        <v>1</v>
      </c>
      <c r="M87">
        <v>2978378.3783783782</v>
      </c>
      <c r="N87">
        <v>1649549.5495495501</v>
      </c>
      <c r="O87">
        <v>2843648.648648649</v>
      </c>
      <c r="P87">
        <v>2918783.7837837841</v>
      </c>
      <c r="Q87">
        <v>2472522.5225225221</v>
      </c>
      <c r="R87">
        <v>1986306.306306307</v>
      </c>
      <c r="S87">
        <v>692</v>
      </c>
      <c r="T87">
        <v>694</v>
      </c>
    </row>
    <row r="88" spans="1:20" x14ac:dyDescent="0.35">
      <c r="A88" s="7" t="s">
        <v>171</v>
      </c>
      <c r="B88" s="12" t="s">
        <v>60</v>
      </c>
      <c r="C88">
        <v>398267488.92197764</v>
      </c>
      <c r="D88">
        <v>380091791.92595619</v>
      </c>
      <c r="E88">
        <v>2408108.1081081098</v>
      </c>
      <c r="F88">
        <v>4236036.0360360378</v>
      </c>
      <c r="G88">
        <v>87</v>
      </c>
      <c r="H88">
        <v>87</v>
      </c>
      <c r="K88">
        <v>97</v>
      </c>
      <c r="L88">
        <v>103</v>
      </c>
      <c r="M88">
        <v>21667567.567567568</v>
      </c>
      <c r="N88">
        <v>18709909.909909911</v>
      </c>
      <c r="O88">
        <v>132076193.6936937</v>
      </c>
      <c r="P88">
        <v>141051675.67567569</v>
      </c>
      <c r="Q88">
        <v>21170720.72072072</v>
      </c>
      <c r="R88">
        <v>18626036.036036037</v>
      </c>
      <c r="S88">
        <v>11743</v>
      </c>
      <c r="T88">
        <v>11965</v>
      </c>
    </row>
    <row r="89" spans="1:20" x14ac:dyDescent="0.35">
      <c r="A89" s="7" t="s">
        <v>172</v>
      </c>
      <c r="B89" s="12" t="s">
        <v>121</v>
      </c>
      <c r="C89">
        <v>154215661.21702972</v>
      </c>
      <c r="D89">
        <v>159573008.9763034</v>
      </c>
      <c r="E89">
        <v>1102702.702702705</v>
      </c>
      <c r="F89">
        <v>1272972.9729729751</v>
      </c>
      <c r="G89">
        <v>77</v>
      </c>
      <c r="H89">
        <v>66</v>
      </c>
      <c r="K89">
        <v>89</v>
      </c>
      <c r="L89">
        <v>74</v>
      </c>
      <c r="M89">
        <v>9841441.4414414428</v>
      </c>
      <c r="N89">
        <v>9441441.4414414391</v>
      </c>
      <c r="O89">
        <v>22192387.387387384</v>
      </c>
      <c r="P89">
        <v>21930783.783783782</v>
      </c>
      <c r="Q89">
        <v>6831441.44144144</v>
      </c>
      <c r="R89">
        <v>6507297.297297298</v>
      </c>
      <c r="S89">
        <v>5766</v>
      </c>
      <c r="T89">
        <v>5680</v>
      </c>
    </row>
    <row r="90" spans="1:20" x14ac:dyDescent="0.35">
      <c r="A90" s="7" t="s">
        <v>173</v>
      </c>
      <c r="B90" s="12" t="s">
        <v>174</v>
      </c>
      <c r="C90">
        <v>119351091.86963114</v>
      </c>
      <c r="D90">
        <v>113206936.34813488</v>
      </c>
      <c r="E90">
        <v>71976250.45045045</v>
      </c>
      <c r="F90">
        <v>71540270.270270273</v>
      </c>
      <c r="G90">
        <v>29</v>
      </c>
      <c r="H90">
        <v>24</v>
      </c>
      <c r="I90">
        <v>5</v>
      </c>
      <c r="K90">
        <v>36</v>
      </c>
      <c r="L90">
        <v>32</v>
      </c>
      <c r="M90">
        <v>18883333.333333332</v>
      </c>
      <c r="N90">
        <v>17577927.927927926</v>
      </c>
      <c r="O90">
        <v>14537423.423423424</v>
      </c>
      <c r="P90">
        <v>12696828.82882883</v>
      </c>
      <c r="Q90">
        <v>8440450.4504504502</v>
      </c>
      <c r="R90">
        <v>14567027.027027026</v>
      </c>
      <c r="S90">
        <v>4536</v>
      </c>
      <c r="T90">
        <v>4478</v>
      </c>
    </row>
    <row r="91" spans="1:20" x14ac:dyDescent="0.35">
      <c r="A91" s="7" t="s">
        <v>175</v>
      </c>
      <c r="B91" s="12" t="s">
        <v>174</v>
      </c>
      <c r="C91">
        <v>178999234.35092828</v>
      </c>
      <c r="D91">
        <v>178893246.35338372</v>
      </c>
      <c r="E91">
        <v>636036.03603603796</v>
      </c>
      <c r="F91">
        <v>1121396.3963964011</v>
      </c>
      <c r="G91">
        <v>60</v>
      </c>
      <c r="H91">
        <v>68</v>
      </c>
      <c r="I91">
        <v>1</v>
      </c>
      <c r="K91">
        <v>73</v>
      </c>
      <c r="L91">
        <v>100</v>
      </c>
      <c r="M91">
        <v>25559909.909909908</v>
      </c>
      <c r="N91">
        <v>21269369.369369369</v>
      </c>
      <c r="O91">
        <v>32880789.189189188</v>
      </c>
      <c r="P91">
        <v>29840351.351351351</v>
      </c>
      <c r="Q91">
        <v>20174140.540540542</v>
      </c>
      <c r="R91">
        <v>16164324.324324328</v>
      </c>
      <c r="S91">
        <v>8514</v>
      </c>
      <c r="T91">
        <v>9910</v>
      </c>
    </row>
    <row r="92" spans="1:20" x14ac:dyDescent="0.35">
      <c r="A92" s="7" t="s">
        <v>176</v>
      </c>
      <c r="B92" s="12" t="s">
        <v>174</v>
      </c>
      <c r="C92">
        <v>246619304.13458917</v>
      </c>
      <c r="D92">
        <v>239944167.25413683</v>
      </c>
      <c r="E92">
        <v>400900.90090090397</v>
      </c>
      <c r="F92">
        <v>1084909.9099099119</v>
      </c>
      <c r="G92">
        <v>95</v>
      </c>
      <c r="H92">
        <v>59</v>
      </c>
      <c r="I92">
        <v>3</v>
      </c>
      <c r="K92">
        <v>116</v>
      </c>
      <c r="L92">
        <v>81</v>
      </c>
      <c r="M92">
        <v>36142792.792792782</v>
      </c>
      <c r="N92">
        <v>25332432.432432432</v>
      </c>
      <c r="O92">
        <v>44119788.288288288</v>
      </c>
      <c r="P92">
        <v>35119463.963963963</v>
      </c>
      <c r="Q92">
        <v>19389819.819819823</v>
      </c>
      <c r="R92">
        <v>19623603.603603601</v>
      </c>
      <c r="S92">
        <v>11710</v>
      </c>
      <c r="T92">
        <v>12154</v>
      </c>
    </row>
    <row r="93" spans="1:20" x14ac:dyDescent="0.35">
      <c r="A93" s="7" t="s">
        <v>177</v>
      </c>
      <c r="B93" s="12" t="s">
        <v>178</v>
      </c>
      <c r="C93">
        <v>82674673.830699891</v>
      </c>
      <c r="D93">
        <v>75028590.95630227</v>
      </c>
      <c r="E93">
        <v>405405.40540540498</v>
      </c>
      <c r="G93">
        <v>20</v>
      </c>
      <c r="H93">
        <v>5</v>
      </c>
      <c r="K93">
        <v>23</v>
      </c>
      <c r="L93">
        <v>7</v>
      </c>
      <c r="M93">
        <v>1953873.8738738741</v>
      </c>
      <c r="N93">
        <v>7830180.180180178</v>
      </c>
      <c r="O93">
        <v>27787702.702702705</v>
      </c>
      <c r="P93">
        <v>29255367.567567568</v>
      </c>
      <c r="Q93">
        <v>1864774.7747747749</v>
      </c>
      <c r="R93">
        <v>8104504.5045045028</v>
      </c>
      <c r="S93">
        <v>3785</v>
      </c>
      <c r="T93">
        <v>3465</v>
      </c>
    </row>
    <row r="94" spans="1:20" x14ac:dyDescent="0.35">
      <c r="A94" s="7" t="s">
        <v>179</v>
      </c>
      <c r="B94" s="12" t="s">
        <v>167</v>
      </c>
      <c r="C94">
        <v>109028140.27753212</v>
      </c>
      <c r="D94">
        <v>91945594.822025791</v>
      </c>
      <c r="E94">
        <v>336036.03603603598</v>
      </c>
      <c r="F94">
        <v>828603.60360360402</v>
      </c>
      <c r="G94">
        <v>35</v>
      </c>
      <c r="H94">
        <v>13</v>
      </c>
      <c r="K94">
        <v>41</v>
      </c>
      <c r="L94">
        <v>22</v>
      </c>
      <c r="M94">
        <v>3707567.5675675711</v>
      </c>
      <c r="N94">
        <v>873873.87387387501</v>
      </c>
      <c r="O94">
        <v>27794432.432432432</v>
      </c>
      <c r="P94">
        <v>23361828.828828827</v>
      </c>
      <c r="Q94">
        <v>4693603.603603607</v>
      </c>
      <c r="R94">
        <v>512612.61261261301</v>
      </c>
      <c r="S94">
        <v>4576</v>
      </c>
      <c r="T94">
        <v>4709</v>
      </c>
    </row>
    <row r="95" spans="1:20" x14ac:dyDescent="0.35">
      <c r="A95" s="7" t="s">
        <v>180</v>
      </c>
      <c r="B95" s="12" t="s">
        <v>181</v>
      </c>
      <c r="C95">
        <v>82134597.37256366</v>
      </c>
      <c r="D95">
        <v>76235261.02707088</v>
      </c>
      <c r="E95">
        <v>1801.801801802</v>
      </c>
      <c r="F95">
        <v>283783.78378378501</v>
      </c>
      <c r="G95">
        <v>10</v>
      </c>
      <c r="H95">
        <v>17</v>
      </c>
      <c r="K95">
        <v>12</v>
      </c>
      <c r="L95">
        <v>19</v>
      </c>
      <c r="M95">
        <v>7111081.0810810821</v>
      </c>
      <c r="N95">
        <v>3995495.4954954949</v>
      </c>
      <c r="O95">
        <v>17450045.045045044</v>
      </c>
      <c r="P95">
        <v>19027479.729729727</v>
      </c>
      <c r="Q95">
        <v>7313333.3333333321</v>
      </c>
      <c r="R95">
        <v>6130990.9909909908</v>
      </c>
      <c r="S95">
        <v>3050</v>
      </c>
      <c r="T95">
        <v>2930</v>
      </c>
    </row>
    <row r="96" spans="1:20" x14ac:dyDescent="0.35">
      <c r="A96" s="7" t="s">
        <v>182</v>
      </c>
      <c r="B96" s="12" t="s">
        <v>94</v>
      </c>
      <c r="C96">
        <v>66884417.554258361</v>
      </c>
      <c r="D96">
        <v>81343643.905995712</v>
      </c>
      <c r="E96">
        <v>140540.54054054001</v>
      </c>
      <c r="G96">
        <v>17</v>
      </c>
      <c r="H96">
        <v>22</v>
      </c>
      <c r="K96">
        <v>22</v>
      </c>
      <c r="L96">
        <v>28</v>
      </c>
      <c r="M96">
        <v>140540.54054054001</v>
      </c>
      <c r="N96">
        <v>4423423.4234234234</v>
      </c>
      <c r="O96">
        <v>5400000</v>
      </c>
      <c r="P96">
        <v>8992108.1081081089</v>
      </c>
      <c r="Q96">
        <v>431981.98198198201</v>
      </c>
      <c r="R96">
        <v>1010810.81081081</v>
      </c>
      <c r="S96">
        <v>3911</v>
      </c>
      <c r="T96">
        <v>3631</v>
      </c>
    </row>
    <row r="97" spans="1:20" x14ac:dyDescent="0.35">
      <c r="A97" s="7" t="s">
        <v>183</v>
      </c>
      <c r="B97" s="12" t="s">
        <v>94</v>
      </c>
      <c r="C97">
        <v>492048972.59320998</v>
      </c>
      <c r="D97">
        <v>471864796.41797495</v>
      </c>
      <c r="E97">
        <v>452150667.56756753</v>
      </c>
      <c r="F97">
        <v>958077388.28828824</v>
      </c>
      <c r="G97">
        <v>105</v>
      </c>
      <c r="H97">
        <v>94</v>
      </c>
      <c r="K97">
        <v>126</v>
      </c>
      <c r="L97">
        <v>125</v>
      </c>
      <c r="M97">
        <v>25583333.333333332</v>
      </c>
      <c r="N97">
        <v>30746396.396396399</v>
      </c>
      <c r="O97">
        <v>55724211.711711712</v>
      </c>
      <c r="P97">
        <v>57984277.027027026</v>
      </c>
      <c r="Q97">
        <v>22108468.468468469</v>
      </c>
      <c r="R97">
        <v>29658288.288288288</v>
      </c>
      <c r="S97">
        <v>15881</v>
      </c>
      <c r="T97">
        <v>16432</v>
      </c>
    </row>
    <row r="98" spans="1:20" x14ac:dyDescent="0.35">
      <c r="A98" s="7" t="s">
        <v>184</v>
      </c>
      <c r="B98" s="12" t="s">
        <v>89</v>
      </c>
      <c r="C98">
        <v>42992315.393487275</v>
      </c>
      <c r="D98">
        <v>41267309.072496541</v>
      </c>
      <c r="E98">
        <v>416666.66666666599</v>
      </c>
      <c r="F98">
        <v>339414.41441441601</v>
      </c>
      <c r="G98">
        <v>8</v>
      </c>
      <c r="H98">
        <v>10</v>
      </c>
      <c r="K98">
        <v>9</v>
      </c>
      <c r="L98">
        <v>10</v>
      </c>
      <c r="M98">
        <v>1817567.5675675671</v>
      </c>
      <c r="N98">
        <v>1773873.8738738741</v>
      </c>
      <c r="O98">
        <v>13048108.108108109</v>
      </c>
      <c r="P98">
        <v>13950432.432432432</v>
      </c>
      <c r="Q98">
        <v>1909909.909909911</v>
      </c>
      <c r="R98">
        <v>1628558.558558559</v>
      </c>
      <c r="S98">
        <v>1212</v>
      </c>
      <c r="T98">
        <v>2403</v>
      </c>
    </row>
    <row r="99" spans="1:20" x14ac:dyDescent="0.35">
      <c r="A99" s="7" t="s">
        <v>185</v>
      </c>
      <c r="B99" s="12" t="s">
        <v>60</v>
      </c>
      <c r="C99">
        <v>24109564.020532377</v>
      </c>
      <c r="D99">
        <v>25075110.822275333</v>
      </c>
      <c r="E99">
        <v>360360.36036036001</v>
      </c>
      <c r="F99">
        <v>221621.621621623</v>
      </c>
      <c r="G99">
        <v>3</v>
      </c>
      <c r="H99">
        <v>7</v>
      </c>
      <c r="K99">
        <v>4</v>
      </c>
      <c r="L99">
        <v>8</v>
      </c>
      <c r="M99">
        <v>936936.93693693599</v>
      </c>
      <c r="N99">
        <v>897297.29729729902</v>
      </c>
      <c r="O99">
        <v>8465360.3603603598</v>
      </c>
      <c r="P99">
        <v>8574164.4144144151</v>
      </c>
      <c r="Q99">
        <v>795945.94594594603</v>
      </c>
      <c r="R99">
        <v>423423.42342342401</v>
      </c>
      <c r="S99">
        <v>313</v>
      </c>
      <c r="T99">
        <v>807</v>
      </c>
    </row>
    <row r="100" spans="1:20" x14ac:dyDescent="0.35">
      <c r="A100" s="7" t="s">
        <v>186</v>
      </c>
      <c r="B100" s="12" t="s">
        <v>167</v>
      </c>
      <c r="C100">
        <v>55358358.53684774</v>
      </c>
      <c r="D100">
        <v>62134474.764207162</v>
      </c>
      <c r="E100">
        <v>5405.4054054059998</v>
      </c>
      <c r="F100">
        <v>139414.41441441499</v>
      </c>
      <c r="G100">
        <v>10</v>
      </c>
      <c r="H100">
        <v>1</v>
      </c>
      <c r="K100">
        <v>13</v>
      </c>
      <c r="L100">
        <v>2</v>
      </c>
      <c r="M100">
        <v>5405.4054054059998</v>
      </c>
      <c r="N100">
        <v>139639.63963964101</v>
      </c>
      <c r="O100">
        <v>13472972.972972972</v>
      </c>
      <c r="P100">
        <v>16338873.873873875</v>
      </c>
      <c r="Q100">
        <v>135135.13513513599</v>
      </c>
      <c r="S100">
        <v>2784</v>
      </c>
      <c r="T100">
        <v>2893</v>
      </c>
    </row>
    <row r="101" spans="1:20" x14ac:dyDescent="0.35">
      <c r="A101" s="7" t="s">
        <v>187</v>
      </c>
      <c r="B101" s="12" t="s">
        <v>167</v>
      </c>
      <c r="C101">
        <v>171433115.57689357</v>
      </c>
      <c r="D101">
        <v>166147383.70039576</v>
      </c>
      <c r="E101">
        <v>17117.117117117999</v>
      </c>
      <c r="F101">
        <v>27927.927927928999</v>
      </c>
      <c r="G101">
        <v>38</v>
      </c>
      <c r="H101">
        <v>13</v>
      </c>
      <c r="K101">
        <v>43</v>
      </c>
      <c r="L101">
        <v>14</v>
      </c>
      <c r="M101">
        <v>2629729.7297297302</v>
      </c>
      <c r="N101">
        <v>5719819.8198198238</v>
      </c>
      <c r="O101">
        <v>34036360.360360362</v>
      </c>
      <c r="P101">
        <v>33513657.657657657</v>
      </c>
      <c r="Q101">
        <v>3614414.4144144161</v>
      </c>
      <c r="R101">
        <v>4253333.3333333367</v>
      </c>
      <c r="S101">
        <v>5977</v>
      </c>
      <c r="T101">
        <v>5371</v>
      </c>
    </row>
    <row r="102" spans="1:20" x14ac:dyDescent="0.35">
      <c r="A102" s="7" t="s">
        <v>188</v>
      </c>
      <c r="B102" s="12" t="s">
        <v>189</v>
      </c>
      <c r="C102">
        <v>78092915.315558121</v>
      </c>
      <c r="D102">
        <v>73022225.318286031</v>
      </c>
      <c r="E102">
        <v>30408765.765765764</v>
      </c>
      <c r="F102">
        <v>27802409.909909911</v>
      </c>
      <c r="G102">
        <v>11</v>
      </c>
      <c r="H102">
        <v>17</v>
      </c>
      <c r="K102">
        <v>13</v>
      </c>
      <c r="L102">
        <v>18</v>
      </c>
      <c r="M102">
        <v>1621621.621621622</v>
      </c>
      <c r="N102">
        <v>15900220.72072072</v>
      </c>
      <c r="O102">
        <v>6512567.5675675683</v>
      </c>
      <c r="P102">
        <v>5335315.3153153146</v>
      </c>
      <c r="Q102">
        <v>1446846.8468468471</v>
      </c>
      <c r="R102">
        <v>985135.13513513503</v>
      </c>
      <c r="S102">
        <v>1726</v>
      </c>
      <c r="T102">
        <v>1725</v>
      </c>
    </row>
    <row r="103" spans="1:20" x14ac:dyDescent="0.35">
      <c r="A103" s="7" t="s">
        <v>190</v>
      </c>
      <c r="B103" s="12" t="s">
        <v>134</v>
      </c>
      <c r="C103">
        <v>16802994.524658889</v>
      </c>
      <c r="D103">
        <v>17535747.856047235</v>
      </c>
      <c r="F103">
        <v>13513.513513514001</v>
      </c>
      <c r="G103">
        <v>8</v>
      </c>
      <c r="H103">
        <v>9</v>
      </c>
      <c r="K103">
        <v>9</v>
      </c>
      <c r="L103">
        <v>11</v>
      </c>
      <c r="N103">
        <v>13513.513513514001</v>
      </c>
      <c r="O103">
        <v>1219909.9099099101</v>
      </c>
      <c r="P103">
        <v>1628783.7837837839</v>
      </c>
      <c r="R103">
        <v>58558.558558559002</v>
      </c>
      <c r="S103">
        <v>1032</v>
      </c>
      <c r="T103">
        <v>987</v>
      </c>
    </row>
    <row r="104" spans="1:20" x14ac:dyDescent="0.35">
      <c r="A104" s="7" t="s">
        <v>191</v>
      </c>
      <c r="B104" s="12" t="s">
        <v>60</v>
      </c>
      <c r="C104">
        <v>109652175.85394804</v>
      </c>
      <c r="D104">
        <v>105234732.62231551</v>
      </c>
      <c r="E104">
        <v>914414.41441441397</v>
      </c>
      <c r="F104">
        <v>850225.22522522497</v>
      </c>
      <c r="G104">
        <v>14</v>
      </c>
      <c r="H104">
        <v>10</v>
      </c>
      <c r="K104">
        <v>19</v>
      </c>
      <c r="L104">
        <v>44</v>
      </c>
      <c r="M104">
        <v>8599099.0990990978</v>
      </c>
      <c r="N104">
        <v>9580180.1801801808</v>
      </c>
      <c r="O104">
        <v>34994099.0990991</v>
      </c>
      <c r="P104">
        <v>34459171.171171166</v>
      </c>
      <c r="Q104">
        <v>9595675.6756756753</v>
      </c>
      <c r="R104">
        <v>8919009.0090090074</v>
      </c>
      <c r="S104">
        <v>3906</v>
      </c>
      <c r="T104">
        <v>5190</v>
      </c>
    </row>
    <row r="105" spans="1:20" x14ac:dyDescent="0.35">
      <c r="A105" s="7" t="s">
        <v>192</v>
      </c>
      <c r="B105" s="12" t="s">
        <v>60</v>
      </c>
      <c r="C105">
        <v>190404185.74579737</v>
      </c>
      <c r="D105">
        <v>181306014.17845464</v>
      </c>
      <c r="E105">
        <v>1792792.7927927929</v>
      </c>
      <c r="F105">
        <v>1326126.1261261259</v>
      </c>
      <c r="G105">
        <v>23</v>
      </c>
      <c r="H105">
        <v>16</v>
      </c>
      <c r="K105">
        <v>39</v>
      </c>
      <c r="L105">
        <v>25</v>
      </c>
      <c r="M105">
        <v>9797297.2972972952</v>
      </c>
      <c r="N105">
        <v>12497297.297297295</v>
      </c>
      <c r="O105">
        <v>44869549.54954955</v>
      </c>
      <c r="P105">
        <v>47147630.630630635</v>
      </c>
      <c r="Q105">
        <v>8244324.3243243229</v>
      </c>
      <c r="R105">
        <v>10467207.207207212</v>
      </c>
      <c r="S105">
        <v>6455</v>
      </c>
      <c r="T105">
        <v>6558</v>
      </c>
    </row>
    <row r="106" spans="1:20" x14ac:dyDescent="0.35">
      <c r="A106" s="7" t="s">
        <v>2</v>
      </c>
      <c r="B106" s="12" t="s">
        <v>193</v>
      </c>
      <c r="C106">
        <v>24968411.489844091</v>
      </c>
      <c r="D106">
        <v>15542536.569016691</v>
      </c>
      <c r="E106">
        <v>16216.216216215</v>
      </c>
      <c r="F106">
        <v>40540.540540542002</v>
      </c>
      <c r="G106">
        <v>4</v>
      </c>
      <c r="H106">
        <v>2</v>
      </c>
      <c r="K106">
        <v>4</v>
      </c>
      <c r="L106">
        <v>3</v>
      </c>
      <c r="M106">
        <v>217567.56756756699</v>
      </c>
      <c r="N106">
        <v>40540.540540542002</v>
      </c>
      <c r="O106">
        <v>12765720.72072072</v>
      </c>
      <c r="P106">
        <v>9733333.3333333321</v>
      </c>
      <c r="Q106">
        <v>201351.35135135101</v>
      </c>
      <c r="R106">
        <v>157657.65765765801</v>
      </c>
      <c r="S106">
        <v>1269</v>
      </c>
      <c r="T106">
        <v>1327</v>
      </c>
    </row>
    <row r="107" spans="1:20" x14ac:dyDescent="0.35">
      <c r="A107" s="7" t="s">
        <v>194</v>
      </c>
      <c r="B107" s="12" t="s">
        <v>195</v>
      </c>
      <c r="C107">
        <v>635337820.04297352</v>
      </c>
      <c r="D107">
        <v>645136044.11158013</v>
      </c>
      <c r="E107">
        <v>14904954.954954956</v>
      </c>
      <c r="F107">
        <v>5358333.333333334</v>
      </c>
      <c r="G107">
        <v>134</v>
      </c>
      <c r="H107">
        <v>133</v>
      </c>
      <c r="K107">
        <v>157</v>
      </c>
      <c r="L107">
        <v>151</v>
      </c>
      <c r="M107">
        <v>27881531.531531531</v>
      </c>
      <c r="N107">
        <v>30829009.009009007</v>
      </c>
      <c r="O107">
        <v>113498774.77477477</v>
      </c>
      <c r="P107">
        <v>124354540.54054055</v>
      </c>
      <c r="Q107">
        <v>25604054.054054055</v>
      </c>
      <c r="R107">
        <v>23769909.909909908</v>
      </c>
      <c r="S107">
        <v>17799</v>
      </c>
      <c r="T107">
        <v>21011</v>
      </c>
    </row>
    <row r="108" spans="1:20" x14ac:dyDescent="0.35">
      <c r="A108" s="7" t="s">
        <v>196</v>
      </c>
      <c r="B108" s="12" t="s">
        <v>80</v>
      </c>
      <c r="C108">
        <v>199832596.94291726</v>
      </c>
      <c r="D108">
        <v>197003790.63881433</v>
      </c>
      <c r="E108">
        <v>216216.216216217</v>
      </c>
      <c r="F108">
        <v>1145945.945945946</v>
      </c>
      <c r="G108">
        <v>43</v>
      </c>
      <c r="H108">
        <v>48</v>
      </c>
      <c r="K108">
        <v>51</v>
      </c>
      <c r="L108">
        <v>54</v>
      </c>
      <c r="M108">
        <v>27985585.585585587</v>
      </c>
      <c r="N108">
        <v>30767567.567567568</v>
      </c>
      <c r="O108">
        <v>51244900.900900893</v>
      </c>
      <c r="P108">
        <v>54321333.333333336</v>
      </c>
      <c r="Q108">
        <v>25005045.045045044</v>
      </c>
      <c r="R108">
        <v>29978288.288288288</v>
      </c>
      <c r="S108">
        <v>6736</v>
      </c>
      <c r="T108">
        <v>6683</v>
      </c>
    </row>
    <row r="109" spans="1:20" x14ac:dyDescent="0.35">
      <c r="A109" s="7" t="s">
        <v>197</v>
      </c>
      <c r="B109" s="12" t="s">
        <v>108</v>
      </c>
      <c r="C109">
        <v>151172431.46858835</v>
      </c>
      <c r="D109">
        <v>155672022.56146696</v>
      </c>
      <c r="E109">
        <v>211531.53153153401</v>
      </c>
      <c r="F109">
        <v>1552252.2522522521</v>
      </c>
      <c r="G109">
        <v>29</v>
      </c>
      <c r="H109">
        <v>50</v>
      </c>
      <c r="K109">
        <v>43</v>
      </c>
      <c r="L109">
        <v>60</v>
      </c>
      <c r="M109">
        <v>8985405.4054054059</v>
      </c>
      <c r="N109">
        <v>7454054.0540540526</v>
      </c>
      <c r="O109">
        <v>43180270.270270273</v>
      </c>
      <c r="P109">
        <v>46760684.684684679</v>
      </c>
      <c r="Q109">
        <v>8555675.6756756753</v>
      </c>
      <c r="R109">
        <v>8024234.2342342343</v>
      </c>
      <c r="S109">
        <v>7158</v>
      </c>
      <c r="T109">
        <v>7219</v>
      </c>
    </row>
    <row r="110" spans="1:20" x14ac:dyDescent="0.35">
      <c r="A110" s="7" t="s">
        <v>198</v>
      </c>
      <c r="B110" s="12" t="s">
        <v>92</v>
      </c>
      <c r="C110">
        <v>86603312.687211871</v>
      </c>
      <c r="D110">
        <v>84057235.131715059</v>
      </c>
      <c r="E110">
        <v>1863243.243243244</v>
      </c>
      <c r="F110">
        <v>3492792.7927927952</v>
      </c>
      <c r="G110">
        <v>15</v>
      </c>
      <c r="H110">
        <v>118</v>
      </c>
      <c r="K110">
        <v>16</v>
      </c>
      <c r="L110">
        <v>231</v>
      </c>
      <c r="M110">
        <v>14310450.45045045</v>
      </c>
      <c r="N110">
        <v>25170270.270270273</v>
      </c>
      <c r="O110">
        <v>21025900.9009009</v>
      </c>
      <c r="P110">
        <v>23023927.927927926</v>
      </c>
      <c r="Q110">
        <v>14828828.828828828</v>
      </c>
      <c r="R110">
        <v>24898738.738738742</v>
      </c>
      <c r="S110">
        <v>2914</v>
      </c>
      <c r="T110">
        <v>3050</v>
      </c>
    </row>
    <row r="111" spans="1:20" x14ac:dyDescent="0.35">
      <c r="A111" s="7" t="s">
        <v>199</v>
      </c>
      <c r="B111" s="12" t="s">
        <v>123</v>
      </c>
      <c r="C111">
        <v>88440406.156736597</v>
      </c>
      <c r="D111">
        <v>74171825.192073926</v>
      </c>
      <c r="E111">
        <v>486486.48648648697</v>
      </c>
      <c r="F111">
        <v>49549.549549550997</v>
      </c>
      <c r="G111">
        <v>46</v>
      </c>
      <c r="H111">
        <v>9</v>
      </c>
      <c r="K111">
        <v>50</v>
      </c>
      <c r="L111">
        <v>10</v>
      </c>
      <c r="M111">
        <v>4870270.2702702712</v>
      </c>
      <c r="N111">
        <v>2276756.756756756</v>
      </c>
      <c r="O111">
        <v>18654099.0990991</v>
      </c>
      <c r="P111">
        <v>12722513.513513513</v>
      </c>
      <c r="Q111">
        <v>3402882.8828828828</v>
      </c>
      <c r="R111">
        <v>2645045.0450450452</v>
      </c>
      <c r="S111">
        <v>2609</v>
      </c>
      <c r="T111">
        <v>2495</v>
      </c>
    </row>
    <row r="112" spans="1:20" x14ac:dyDescent="0.35">
      <c r="A112" s="7" t="s">
        <v>200</v>
      </c>
      <c r="B112" s="12" t="s">
        <v>60</v>
      </c>
      <c r="C112">
        <v>56820205.793526016</v>
      </c>
      <c r="D112">
        <v>52923812.994742982</v>
      </c>
      <c r="E112">
        <v>46846.846846847002</v>
      </c>
      <c r="F112">
        <v>444144.14414414502</v>
      </c>
      <c r="G112">
        <v>12</v>
      </c>
      <c r="H112">
        <v>12</v>
      </c>
      <c r="K112">
        <v>23</v>
      </c>
      <c r="L112">
        <v>12</v>
      </c>
      <c r="M112">
        <v>5181981.9819819797</v>
      </c>
      <c r="N112">
        <v>8119819.8198198201</v>
      </c>
      <c r="O112">
        <v>9084990.9909909926</v>
      </c>
      <c r="P112">
        <v>9652139.6396396402</v>
      </c>
      <c r="Q112">
        <v>4017117.1171171172</v>
      </c>
      <c r="R112">
        <v>3997657.6576576568</v>
      </c>
      <c r="S112">
        <v>3639</v>
      </c>
      <c r="T112">
        <v>3669</v>
      </c>
    </row>
    <row r="113" spans="1:20" x14ac:dyDescent="0.35">
      <c r="A113" s="7" t="s">
        <v>201</v>
      </c>
      <c r="B113" s="12" t="s">
        <v>60</v>
      </c>
      <c r="C113">
        <v>18892105.202826846</v>
      </c>
      <c r="D113">
        <v>18243667.434037611</v>
      </c>
      <c r="E113">
        <v>42522.522522523002</v>
      </c>
      <c r="F113">
        <v>5405.4054054050002</v>
      </c>
      <c r="G113">
        <v>3</v>
      </c>
      <c r="H113">
        <v>6</v>
      </c>
      <c r="K113">
        <v>6</v>
      </c>
      <c r="L113">
        <v>7</v>
      </c>
      <c r="M113">
        <v>375855.85585585597</v>
      </c>
      <c r="N113">
        <v>1383783.783783783</v>
      </c>
      <c r="O113">
        <v>4268558.558558559</v>
      </c>
      <c r="P113">
        <v>3764306.3063063058</v>
      </c>
      <c r="Q113">
        <v>725675.67567567597</v>
      </c>
      <c r="R113">
        <v>389189.189189189</v>
      </c>
      <c r="S113">
        <v>1098</v>
      </c>
      <c r="T113">
        <v>849</v>
      </c>
    </row>
    <row r="114" spans="1:20" x14ac:dyDescent="0.35">
      <c r="A114" s="7" t="s">
        <v>202</v>
      </c>
      <c r="B114" s="12" t="s">
        <v>121</v>
      </c>
      <c r="C114">
        <v>39722273.05272235</v>
      </c>
      <c r="D114">
        <v>35857427.129379407</v>
      </c>
      <c r="E114">
        <v>109909.90990991</v>
      </c>
      <c r="F114">
        <v>180180.18018018</v>
      </c>
      <c r="G114">
        <v>26</v>
      </c>
      <c r="H114">
        <v>24</v>
      </c>
      <c r="K114">
        <v>30</v>
      </c>
      <c r="L114">
        <v>26</v>
      </c>
      <c r="M114">
        <v>109909.90990991</v>
      </c>
      <c r="N114">
        <v>184684.68468468499</v>
      </c>
      <c r="O114">
        <v>4215360.3603603598</v>
      </c>
      <c r="P114">
        <v>3470117.1171171172</v>
      </c>
      <c r="Q114">
        <v>116846.84684684699</v>
      </c>
      <c r="S114">
        <v>1540</v>
      </c>
      <c r="T114">
        <v>1370</v>
      </c>
    </row>
    <row r="115" spans="1:20" x14ac:dyDescent="0.35">
      <c r="A115" s="7" t="s">
        <v>203</v>
      </c>
      <c r="B115" s="12" t="s">
        <v>54</v>
      </c>
      <c r="C115">
        <v>60331918.875850715</v>
      </c>
      <c r="D115">
        <v>56479902.949916594</v>
      </c>
      <c r="E115">
        <v>455855.85585585597</v>
      </c>
      <c r="F115">
        <v>219819.81981982</v>
      </c>
      <c r="G115">
        <v>10</v>
      </c>
      <c r="H115">
        <v>10</v>
      </c>
      <c r="K115">
        <v>11</v>
      </c>
      <c r="L115">
        <v>10</v>
      </c>
      <c r="M115">
        <v>3717117.1171171162</v>
      </c>
      <c r="N115">
        <v>3206306.3063063072</v>
      </c>
      <c r="O115">
        <v>15068333.333333332</v>
      </c>
      <c r="P115">
        <v>14413756.756756756</v>
      </c>
      <c r="Q115">
        <v>3233693.6936936942</v>
      </c>
      <c r="R115">
        <v>3023783.7837837851</v>
      </c>
      <c r="S115">
        <v>4100</v>
      </c>
      <c r="T115">
        <v>3667</v>
      </c>
    </row>
    <row r="116" spans="1:20" x14ac:dyDescent="0.35">
      <c r="A116" s="7" t="s">
        <v>204</v>
      </c>
      <c r="B116" s="12" t="s">
        <v>136</v>
      </c>
      <c r="C116">
        <v>233364661.90798533</v>
      </c>
      <c r="D116">
        <v>199578878.52108443</v>
      </c>
      <c r="E116">
        <v>266216.21621621598</v>
      </c>
      <c r="F116">
        <v>159459.45945946101</v>
      </c>
      <c r="G116">
        <v>53</v>
      </c>
      <c r="H116">
        <v>23</v>
      </c>
      <c r="K116">
        <v>61</v>
      </c>
      <c r="L116">
        <v>24</v>
      </c>
      <c r="M116">
        <v>29279549.549549554</v>
      </c>
      <c r="N116">
        <v>18114414.414414413</v>
      </c>
      <c r="O116">
        <v>38101621.621621624</v>
      </c>
      <c r="P116">
        <v>37309450.45045045</v>
      </c>
      <c r="Q116">
        <v>21570900.9009009</v>
      </c>
      <c r="R116">
        <v>14494504.504504504</v>
      </c>
      <c r="S116">
        <v>5955</v>
      </c>
      <c r="T116">
        <v>5642</v>
      </c>
    </row>
    <row r="117" spans="1:20" x14ac:dyDescent="0.35">
      <c r="A117" s="7" t="s">
        <v>205</v>
      </c>
      <c r="B117" s="12" t="s">
        <v>136</v>
      </c>
      <c r="C117">
        <v>114488669.69934885</v>
      </c>
      <c r="D117">
        <v>106197406.89002481</v>
      </c>
      <c r="E117">
        <v>276576.57657657599</v>
      </c>
      <c r="F117">
        <v>326126.12612612598</v>
      </c>
      <c r="G117">
        <v>32</v>
      </c>
      <c r="H117">
        <v>13</v>
      </c>
      <c r="K117">
        <v>36</v>
      </c>
      <c r="L117">
        <v>19</v>
      </c>
      <c r="M117">
        <v>4114414.4144144128</v>
      </c>
      <c r="N117">
        <v>3641441.44144144</v>
      </c>
      <c r="O117">
        <v>19374369.369369369</v>
      </c>
      <c r="P117">
        <v>20284980.180180181</v>
      </c>
      <c r="Q117">
        <v>2876036.036036036</v>
      </c>
      <c r="R117">
        <v>2093333.3333333321</v>
      </c>
      <c r="S117">
        <v>3095</v>
      </c>
      <c r="T117">
        <v>3170</v>
      </c>
    </row>
    <row r="118" spans="1:20" x14ac:dyDescent="0.35">
      <c r="A118" s="7" t="s">
        <v>206</v>
      </c>
      <c r="B118" s="12" t="s">
        <v>169</v>
      </c>
      <c r="C118">
        <v>235584771.02162689</v>
      </c>
      <c r="D118">
        <v>239538865.74917722</v>
      </c>
      <c r="E118">
        <v>339639.63963963999</v>
      </c>
      <c r="F118">
        <v>702702.702702704</v>
      </c>
      <c r="G118">
        <v>15</v>
      </c>
      <c r="H118">
        <v>8</v>
      </c>
      <c r="K118">
        <v>15</v>
      </c>
      <c r="L118">
        <v>11</v>
      </c>
      <c r="M118">
        <v>793411711.71171176</v>
      </c>
      <c r="N118">
        <v>1728369369.3693693</v>
      </c>
      <c r="O118">
        <v>113025981.98198198</v>
      </c>
      <c r="P118">
        <v>111269639.63963963</v>
      </c>
      <c r="Q118">
        <v>651023203.6036036</v>
      </c>
      <c r="R118">
        <v>14046619.819819819</v>
      </c>
      <c r="S118">
        <v>7603</v>
      </c>
      <c r="T118">
        <v>7688</v>
      </c>
    </row>
    <row r="119" spans="1:20" x14ac:dyDescent="0.35">
      <c r="A119" s="7" t="s">
        <v>207</v>
      </c>
      <c r="B119" s="12" t="s">
        <v>161</v>
      </c>
      <c r="C119">
        <v>263146239.99600962</v>
      </c>
      <c r="D119">
        <v>271875520.53066468</v>
      </c>
      <c r="E119">
        <v>1001441.441441447</v>
      </c>
      <c r="F119">
        <v>30597297.297297303</v>
      </c>
      <c r="G119">
        <v>104</v>
      </c>
      <c r="H119">
        <v>77</v>
      </c>
      <c r="K119">
        <v>190</v>
      </c>
      <c r="L119">
        <v>292</v>
      </c>
      <c r="M119">
        <v>38840630.630630627</v>
      </c>
      <c r="N119">
        <v>23625945.945945952</v>
      </c>
      <c r="O119">
        <v>76360306.306306303</v>
      </c>
      <c r="P119">
        <v>78110164.414414421</v>
      </c>
      <c r="Q119">
        <v>31268151.351351339</v>
      </c>
      <c r="R119">
        <v>24502522.522522528</v>
      </c>
      <c r="S119">
        <v>12722</v>
      </c>
      <c r="T119">
        <v>13760</v>
      </c>
    </row>
    <row r="120" spans="1:20" x14ac:dyDescent="0.35">
      <c r="A120" s="7" t="s">
        <v>208</v>
      </c>
      <c r="B120" s="12" t="s">
        <v>76</v>
      </c>
      <c r="C120">
        <v>10276424.044485632</v>
      </c>
      <c r="D120">
        <v>8321727.3070479184</v>
      </c>
      <c r="G120">
        <v>2</v>
      </c>
      <c r="K120">
        <v>2</v>
      </c>
      <c r="O120">
        <v>407657.65765765798</v>
      </c>
      <c r="P120">
        <v>654774.77477477503</v>
      </c>
      <c r="S120">
        <v>511</v>
      </c>
      <c r="T120">
        <v>525</v>
      </c>
    </row>
    <row r="121" spans="1:20" x14ac:dyDescent="0.35">
      <c r="A121" s="7" t="s">
        <v>209</v>
      </c>
      <c r="B121" s="12" t="s">
        <v>76</v>
      </c>
      <c r="C121">
        <v>125434465.36318453</v>
      </c>
      <c r="D121">
        <v>116512570.81410342</v>
      </c>
      <c r="E121">
        <v>85736792.792792797</v>
      </c>
      <c r="F121">
        <v>32087910.810810816</v>
      </c>
      <c r="G121">
        <v>36</v>
      </c>
      <c r="H121">
        <v>45</v>
      </c>
      <c r="I121">
        <v>3</v>
      </c>
      <c r="K121">
        <v>48</v>
      </c>
      <c r="L121">
        <v>58</v>
      </c>
      <c r="M121">
        <v>10070360.36036036</v>
      </c>
      <c r="N121">
        <v>15179999.999999998</v>
      </c>
      <c r="O121">
        <v>16487252.252252255</v>
      </c>
      <c r="P121">
        <v>17816342.342342343</v>
      </c>
      <c r="Q121">
        <v>9049909.9099099133</v>
      </c>
      <c r="R121">
        <v>14941711.711711712</v>
      </c>
      <c r="S121">
        <v>4531</v>
      </c>
      <c r="T121">
        <v>5585</v>
      </c>
    </row>
    <row r="122" spans="1:20" x14ac:dyDescent="0.35">
      <c r="A122" s="7" t="s">
        <v>210</v>
      </c>
      <c r="B122" s="12" t="s">
        <v>76</v>
      </c>
      <c r="C122">
        <v>153915044.88326997</v>
      </c>
      <c r="D122">
        <v>150778902.01054099</v>
      </c>
      <c r="E122">
        <v>807207.20720720803</v>
      </c>
      <c r="F122">
        <v>1722522.522522528</v>
      </c>
      <c r="G122">
        <v>70</v>
      </c>
      <c r="H122">
        <v>72</v>
      </c>
      <c r="I122">
        <v>2</v>
      </c>
      <c r="K122">
        <v>84</v>
      </c>
      <c r="L122">
        <v>90</v>
      </c>
      <c r="M122">
        <v>51400000</v>
      </c>
      <c r="N122">
        <v>51844864.864864863</v>
      </c>
      <c r="O122">
        <v>46196554.954954952</v>
      </c>
      <c r="P122">
        <v>46289990.990990989</v>
      </c>
      <c r="Q122">
        <v>30397834.234234232</v>
      </c>
      <c r="R122">
        <v>39432162.162162162</v>
      </c>
      <c r="S122">
        <v>6886</v>
      </c>
      <c r="T122">
        <v>6883</v>
      </c>
    </row>
    <row r="123" spans="1:20" x14ac:dyDescent="0.35">
      <c r="A123" s="7" t="s">
        <v>211</v>
      </c>
      <c r="B123" s="12" t="s">
        <v>76</v>
      </c>
      <c r="C123">
        <v>103701130.19099829</v>
      </c>
      <c r="D123">
        <v>109179930.70887187</v>
      </c>
      <c r="E123">
        <v>25342792.792792793</v>
      </c>
      <c r="F123">
        <v>987162.16216216504</v>
      </c>
      <c r="G123">
        <v>41</v>
      </c>
      <c r="H123">
        <v>53</v>
      </c>
      <c r="K123">
        <v>52</v>
      </c>
      <c r="L123">
        <v>60</v>
      </c>
      <c r="M123">
        <v>8315765.7657657648</v>
      </c>
      <c r="N123">
        <v>10858918.918918921</v>
      </c>
      <c r="O123">
        <v>15303810.810810812</v>
      </c>
      <c r="P123">
        <v>17089425.675675675</v>
      </c>
      <c r="Q123">
        <v>9183423.4234234244</v>
      </c>
      <c r="R123">
        <v>8996036.0360360369</v>
      </c>
      <c r="S123">
        <v>3983</v>
      </c>
      <c r="T123">
        <v>4215</v>
      </c>
    </row>
    <row r="124" spans="1:20" x14ac:dyDescent="0.35">
      <c r="A124" s="7" t="s">
        <v>212</v>
      </c>
      <c r="B124" s="12" t="s">
        <v>76</v>
      </c>
      <c r="C124">
        <v>42697576.418690875</v>
      </c>
      <c r="D124">
        <v>39766309.197836928</v>
      </c>
      <c r="E124">
        <v>6756.7567567570004</v>
      </c>
      <c r="F124">
        <v>900.900900901</v>
      </c>
      <c r="G124">
        <v>12</v>
      </c>
      <c r="H124">
        <v>4</v>
      </c>
      <c r="K124">
        <v>13</v>
      </c>
      <c r="L124">
        <v>4</v>
      </c>
      <c r="M124">
        <v>817567.56756756804</v>
      </c>
      <c r="N124">
        <v>1205585.5855855839</v>
      </c>
      <c r="O124">
        <v>5701711.7117117122</v>
      </c>
      <c r="P124">
        <v>5911864.8648648644</v>
      </c>
      <c r="Q124">
        <v>504144.14414414403</v>
      </c>
      <c r="R124">
        <v>988468.46846846805</v>
      </c>
      <c r="S124">
        <v>1872</v>
      </c>
      <c r="T124">
        <v>2048</v>
      </c>
    </row>
    <row r="125" spans="1:20" x14ac:dyDescent="0.35">
      <c r="A125" s="7" t="s">
        <v>213</v>
      </c>
      <c r="B125" s="12" t="s">
        <v>214</v>
      </c>
      <c r="C125">
        <v>49098278.864253864</v>
      </c>
      <c r="D125">
        <v>57377101.329254366</v>
      </c>
      <c r="E125">
        <v>77927.927927928002</v>
      </c>
      <c r="F125">
        <v>277477.47747747903</v>
      </c>
      <c r="G125">
        <v>9</v>
      </c>
      <c r="H125">
        <v>23</v>
      </c>
      <c r="K125">
        <v>10</v>
      </c>
      <c r="L125">
        <v>25</v>
      </c>
      <c r="M125">
        <v>7356486.486486488</v>
      </c>
      <c r="N125">
        <v>8149999.9999999991</v>
      </c>
      <c r="O125">
        <v>23377747.747747749</v>
      </c>
      <c r="P125">
        <v>25798549.549549554</v>
      </c>
      <c r="Q125">
        <v>4476936.9369369373</v>
      </c>
      <c r="R125">
        <v>6077837.8378378386</v>
      </c>
      <c r="S125">
        <v>2473</v>
      </c>
      <c r="T125">
        <v>2318</v>
      </c>
    </row>
    <row r="126" spans="1:20" x14ac:dyDescent="0.35">
      <c r="A126" s="7" t="s">
        <v>215</v>
      </c>
      <c r="B126" s="12" t="s">
        <v>167</v>
      </c>
      <c r="C126">
        <v>43587895.345005825</v>
      </c>
      <c r="D126">
        <v>62778321.051063538</v>
      </c>
      <c r="E126">
        <v>6306.3063063070003</v>
      </c>
      <c r="G126">
        <v>4</v>
      </c>
      <c r="H126">
        <v>3</v>
      </c>
      <c r="K126">
        <v>6</v>
      </c>
      <c r="L126">
        <v>3</v>
      </c>
      <c r="M126">
        <v>6306.3063063070003</v>
      </c>
      <c r="N126">
        <v>450450.45045045001</v>
      </c>
      <c r="O126">
        <v>8075585.5855855849</v>
      </c>
      <c r="P126">
        <v>10949027.027027028</v>
      </c>
      <c r="Q126">
        <v>716216.21621621796</v>
      </c>
      <c r="S126">
        <v>1883</v>
      </c>
      <c r="T126">
        <v>1877</v>
      </c>
    </row>
    <row r="127" spans="1:20" x14ac:dyDescent="0.35">
      <c r="A127" s="7" t="s">
        <v>216</v>
      </c>
      <c r="B127" s="12" t="s">
        <v>85</v>
      </c>
      <c r="C127">
        <v>11100626.613873092</v>
      </c>
      <c r="D127">
        <v>14589292.218083436</v>
      </c>
      <c r="E127">
        <v>9909.9099099110008</v>
      </c>
      <c r="F127">
        <v>136099099.0990991</v>
      </c>
      <c r="G127">
        <v>1</v>
      </c>
      <c r="H127">
        <v>6</v>
      </c>
      <c r="K127">
        <v>2</v>
      </c>
      <c r="L127">
        <v>8</v>
      </c>
      <c r="M127">
        <v>23190090.090090092</v>
      </c>
      <c r="N127">
        <v>25926126.126126125</v>
      </c>
      <c r="O127">
        <v>3088234.2342342339</v>
      </c>
      <c r="P127">
        <v>4310450.4504504511</v>
      </c>
      <c r="Q127">
        <v>14862972.972972972</v>
      </c>
      <c r="R127">
        <v>19350270.270270273</v>
      </c>
      <c r="S127">
        <v>634</v>
      </c>
      <c r="T127">
        <v>711</v>
      </c>
    </row>
    <row r="128" spans="1:20" x14ac:dyDescent="0.35">
      <c r="A128" s="7" t="s">
        <v>217</v>
      </c>
      <c r="B128" s="12" t="s">
        <v>85</v>
      </c>
      <c r="C128">
        <v>58389474.419619821</v>
      </c>
      <c r="D128">
        <v>56209294.996781975</v>
      </c>
      <c r="E128">
        <v>42342.342342342999</v>
      </c>
      <c r="F128">
        <v>205405.405405406</v>
      </c>
      <c r="G128">
        <v>23</v>
      </c>
      <c r="H128">
        <v>19</v>
      </c>
      <c r="K128">
        <v>30</v>
      </c>
      <c r="L128">
        <v>21</v>
      </c>
      <c r="M128">
        <v>7150450.4504504511</v>
      </c>
      <c r="N128">
        <v>10534234.234234236</v>
      </c>
      <c r="O128">
        <v>11142612.612612613</v>
      </c>
      <c r="P128">
        <v>11559360.36036036</v>
      </c>
      <c r="Q128">
        <v>5458018.0180180166</v>
      </c>
      <c r="R128">
        <v>10782252.252252253</v>
      </c>
      <c r="S128">
        <v>2448</v>
      </c>
      <c r="T128">
        <v>6661</v>
      </c>
    </row>
    <row r="129" spans="1:20" x14ac:dyDescent="0.35">
      <c r="A129" s="7" t="s">
        <v>218</v>
      </c>
      <c r="B129" s="12" t="s">
        <v>147</v>
      </c>
      <c r="C129">
        <v>55585721.672467835</v>
      </c>
      <c r="D129">
        <v>53459312.749063566</v>
      </c>
      <c r="E129">
        <v>17372072.072072074</v>
      </c>
      <c r="F129">
        <v>87630630.630630627</v>
      </c>
      <c r="G129">
        <v>9</v>
      </c>
      <c r="H129">
        <v>48</v>
      </c>
      <c r="K129">
        <v>9</v>
      </c>
      <c r="L129">
        <v>73</v>
      </c>
      <c r="M129">
        <v>5729729.7297297297</v>
      </c>
      <c r="N129">
        <v>38412162.162162162</v>
      </c>
      <c r="O129">
        <v>14372459.459459459</v>
      </c>
      <c r="P129">
        <v>18344783.783783782</v>
      </c>
      <c r="Q129">
        <v>3562072.0720720701</v>
      </c>
      <c r="R129">
        <v>36018198.198198199</v>
      </c>
      <c r="S129">
        <v>2758</v>
      </c>
      <c r="T129">
        <v>2796</v>
      </c>
    </row>
    <row r="130" spans="1:20" x14ac:dyDescent="0.35">
      <c r="A130" s="7" t="s">
        <v>219</v>
      </c>
      <c r="B130" s="12" t="s">
        <v>220</v>
      </c>
      <c r="C130">
        <v>112257721.60854852</v>
      </c>
      <c r="D130">
        <v>105016437.82643953</v>
      </c>
      <c r="E130">
        <v>295363905.4054054</v>
      </c>
      <c r="F130">
        <v>288517231.53153151</v>
      </c>
      <c r="G130">
        <v>37</v>
      </c>
      <c r="H130">
        <v>23</v>
      </c>
      <c r="K130">
        <v>43</v>
      </c>
      <c r="L130">
        <v>27</v>
      </c>
      <c r="M130">
        <v>116325315.31531531</v>
      </c>
      <c r="N130">
        <v>106467657.65765767</v>
      </c>
      <c r="O130">
        <v>29290342.342342339</v>
      </c>
      <c r="P130">
        <v>26181605.855855856</v>
      </c>
      <c r="Q130">
        <v>191974144.14414412</v>
      </c>
      <c r="R130">
        <v>138360090.0900901</v>
      </c>
      <c r="S130">
        <v>6344</v>
      </c>
      <c r="T130">
        <v>6483</v>
      </c>
    </row>
    <row r="131" spans="1:20" x14ac:dyDescent="0.35">
      <c r="A131" s="7" t="s">
        <v>221</v>
      </c>
      <c r="B131" s="12" t="s">
        <v>52</v>
      </c>
      <c r="C131">
        <v>263557883.25358051</v>
      </c>
      <c r="D131">
        <v>246388616.00186697</v>
      </c>
      <c r="E131">
        <v>1232432.4324324341</v>
      </c>
      <c r="F131">
        <v>1793693.693693694</v>
      </c>
      <c r="G131">
        <v>52</v>
      </c>
      <c r="H131">
        <v>60</v>
      </c>
      <c r="K131">
        <v>62</v>
      </c>
      <c r="L131">
        <v>72</v>
      </c>
      <c r="M131">
        <v>10469639.639639637</v>
      </c>
      <c r="N131">
        <v>8748648.6486486495</v>
      </c>
      <c r="O131">
        <v>83496981.981981978</v>
      </c>
      <c r="P131">
        <v>80231261.261261269</v>
      </c>
      <c r="Q131">
        <v>10922702.702702701</v>
      </c>
      <c r="R131">
        <v>20389009.009009007</v>
      </c>
      <c r="S131">
        <v>11182</v>
      </c>
      <c r="T131">
        <v>9711</v>
      </c>
    </row>
    <row r="132" spans="1:20" x14ac:dyDescent="0.35">
      <c r="A132" s="7" t="s">
        <v>222</v>
      </c>
      <c r="B132" s="12" t="s">
        <v>76</v>
      </c>
      <c r="C132">
        <v>202259982.78519642</v>
      </c>
      <c r="D132">
        <v>191724795.66483963</v>
      </c>
      <c r="E132">
        <v>80720.720720722005</v>
      </c>
      <c r="F132">
        <v>552252.25225225498</v>
      </c>
      <c r="G132">
        <v>57</v>
      </c>
      <c r="H132">
        <v>42</v>
      </c>
      <c r="K132">
        <v>62</v>
      </c>
      <c r="L132">
        <v>49</v>
      </c>
      <c r="M132">
        <v>12526666.666666664</v>
      </c>
      <c r="N132">
        <v>14065225.225225221</v>
      </c>
      <c r="O132">
        <v>38201241.441441439</v>
      </c>
      <c r="P132">
        <v>36930346.846846849</v>
      </c>
      <c r="Q132">
        <v>11930000</v>
      </c>
      <c r="R132">
        <v>11545045.045045044</v>
      </c>
      <c r="S132">
        <v>7102</v>
      </c>
      <c r="T132">
        <v>6993</v>
      </c>
    </row>
    <row r="133" spans="1:20" x14ac:dyDescent="0.35">
      <c r="A133" s="7" t="s">
        <v>223</v>
      </c>
      <c r="B133" s="12" t="s">
        <v>224</v>
      </c>
      <c r="C133">
        <v>16947675.639334351</v>
      </c>
      <c r="D133">
        <v>17001780.496507932</v>
      </c>
      <c r="G133">
        <v>2</v>
      </c>
      <c r="H133">
        <v>1</v>
      </c>
      <c r="K133">
        <v>2</v>
      </c>
      <c r="L133">
        <v>1</v>
      </c>
      <c r="M133">
        <v>400000</v>
      </c>
      <c r="O133">
        <v>3447837.8378378381</v>
      </c>
      <c r="P133">
        <v>4256468.4684684677</v>
      </c>
      <c r="Q133">
        <v>771171.17117117101</v>
      </c>
      <c r="R133">
        <v>398378.37837837799</v>
      </c>
      <c r="S133">
        <v>807</v>
      </c>
      <c r="T133">
        <v>832</v>
      </c>
    </row>
    <row r="134" spans="1:20" x14ac:dyDescent="0.35">
      <c r="A134" s="7" t="s">
        <v>225</v>
      </c>
      <c r="B134" s="12" t="s">
        <v>143</v>
      </c>
      <c r="C134">
        <v>171176330.80556276</v>
      </c>
      <c r="D134">
        <v>159937782.50603008</v>
      </c>
      <c r="E134">
        <v>141441.44144144299</v>
      </c>
      <c r="F134">
        <v>2329729.729729733</v>
      </c>
      <c r="G134">
        <v>36</v>
      </c>
      <c r="H134">
        <v>54</v>
      </c>
      <c r="K134">
        <v>45</v>
      </c>
      <c r="L134">
        <v>71</v>
      </c>
      <c r="M134">
        <v>7465765.7657657638</v>
      </c>
      <c r="N134">
        <v>9675675.6756756771</v>
      </c>
      <c r="O134">
        <v>17694306.306306306</v>
      </c>
      <c r="P134">
        <v>22318832.432432432</v>
      </c>
      <c r="Q134">
        <v>5158468.4684684649</v>
      </c>
      <c r="R134">
        <v>5816216.216216214</v>
      </c>
      <c r="S134">
        <v>5933</v>
      </c>
      <c r="T134">
        <v>6074</v>
      </c>
    </row>
    <row r="135" spans="1:20" x14ac:dyDescent="0.35">
      <c r="A135" s="7" t="s">
        <v>226</v>
      </c>
      <c r="B135" s="12" t="s">
        <v>224</v>
      </c>
      <c r="C135">
        <v>19681868.255783241</v>
      </c>
      <c r="D135">
        <v>16856789.059475001</v>
      </c>
      <c r="E135">
        <v>900.900900901</v>
      </c>
      <c r="F135">
        <v>40540.540540542002</v>
      </c>
      <c r="G135">
        <v>3</v>
      </c>
      <c r="H135">
        <v>4</v>
      </c>
      <c r="K135">
        <v>4</v>
      </c>
      <c r="L135">
        <v>4</v>
      </c>
      <c r="M135">
        <v>3061081.0810810812</v>
      </c>
      <c r="N135">
        <v>1936036.036036036</v>
      </c>
      <c r="O135">
        <v>4115900.9009009008</v>
      </c>
      <c r="P135">
        <v>4597936.9369369373</v>
      </c>
      <c r="Q135">
        <v>2057927.9279279271</v>
      </c>
      <c r="R135">
        <v>1264054.054054053</v>
      </c>
      <c r="S135">
        <v>766</v>
      </c>
      <c r="T135">
        <v>2594</v>
      </c>
    </row>
    <row r="136" spans="1:20" x14ac:dyDescent="0.35">
      <c r="A136" s="7" t="s">
        <v>227</v>
      </c>
      <c r="B136" s="12" t="s">
        <v>78</v>
      </c>
      <c r="C136">
        <v>156678427.11302778</v>
      </c>
      <c r="D136">
        <v>148664069.28099424</v>
      </c>
      <c r="E136">
        <v>613513.51351351605</v>
      </c>
      <c r="F136">
        <v>1765765.7657657671</v>
      </c>
      <c r="G136">
        <v>23</v>
      </c>
      <c r="H136">
        <v>23</v>
      </c>
      <c r="K136">
        <v>27</v>
      </c>
      <c r="L136">
        <v>26</v>
      </c>
      <c r="M136">
        <v>13163063.063063065</v>
      </c>
      <c r="N136">
        <v>16497657.657657657</v>
      </c>
      <c r="O136">
        <v>59167295.495495498</v>
      </c>
      <c r="P136">
        <v>58306693.693693697</v>
      </c>
      <c r="Q136">
        <v>11806980.180180181</v>
      </c>
      <c r="R136">
        <v>13406126.126126124</v>
      </c>
      <c r="S136">
        <v>4658</v>
      </c>
      <c r="T136">
        <v>4481</v>
      </c>
    </row>
    <row r="137" spans="1:20" x14ac:dyDescent="0.35">
      <c r="A137" s="7" t="s">
        <v>228</v>
      </c>
      <c r="B137" s="12" t="s">
        <v>136</v>
      </c>
      <c r="C137">
        <v>215468699.19153178</v>
      </c>
      <c r="D137">
        <v>199280156.97813159</v>
      </c>
      <c r="E137">
        <v>480630.63063063199</v>
      </c>
      <c r="F137">
        <v>1211261.261261266</v>
      </c>
      <c r="G137">
        <v>48</v>
      </c>
      <c r="H137">
        <v>45</v>
      </c>
      <c r="K137">
        <v>52</v>
      </c>
      <c r="L137">
        <v>57</v>
      </c>
      <c r="M137">
        <v>36391081.081081077</v>
      </c>
      <c r="N137">
        <v>22572972.972972967</v>
      </c>
      <c r="O137">
        <v>44884672.072072074</v>
      </c>
      <c r="P137">
        <v>48596130.630630635</v>
      </c>
      <c r="Q137">
        <v>28669099.0990991</v>
      </c>
      <c r="R137">
        <v>17259999.999999996</v>
      </c>
      <c r="S137">
        <v>7546</v>
      </c>
      <c r="T137">
        <v>7610</v>
      </c>
    </row>
    <row r="138" spans="1:20" x14ac:dyDescent="0.35">
      <c r="A138" s="7" t="s">
        <v>229</v>
      </c>
      <c r="B138" s="12" t="s">
        <v>78</v>
      </c>
      <c r="C138">
        <v>55651943.901449382</v>
      </c>
      <c r="D138">
        <v>58451150.169408679</v>
      </c>
      <c r="E138">
        <v>1133783.783783783</v>
      </c>
      <c r="F138">
        <v>1750450.4504504499</v>
      </c>
      <c r="G138">
        <v>11</v>
      </c>
      <c r="H138">
        <v>19</v>
      </c>
      <c r="K138">
        <v>14</v>
      </c>
      <c r="L138">
        <v>21</v>
      </c>
      <c r="M138">
        <v>9629279.2792792786</v>
      </c>
      <c r="N138">
        <v>9717567.5675675683</v>
      </c>
      <c r="O138">
        <v>24607882.882882886</v>
      </c>
      <c r="P138">
        <v>27819504.504504506</v>
      </c>
      <c r="Q138">
        <v>9061441.4414414428</v>
      </c>
      <c r="R138">
        <v>11768288.288288288</v>
      </c>
      <c r="S138">
        <v>2533</v>
      </c>
      <c r="T138">
        <v>2613</v>
      </c>
    </row>
    <row r="139" spans="1:20" x14ac:dyDescent="0.35">
      <c r="A139" s="7" t="s">
        <v>230</v>
      </c>
      <c r="B139" s="12" t="s">
        <v>54</v>
      </c>
      <c r="C139">
        <v>169364645.82284075</v>
      </c>
      <c r="D139">
        <v>160904261.30987376</v>
      </c>
      <c r="E139">
        <v>2702.7027027029999</v>
      </c>
      <c r="F139">
        <v>390090.09009009099</v>
      </c>
      <c r="G139">
        <v>13</v>
      </c>
      <c r="H139">
        <v>14</v>
      </c>
      <c r="K139">
        <v>17</v>
      </c>
      <c r="L139">
        <v>17</v>
      </c>
      <c r="M139">
        <v>5117117.1171171162</v>
      </c>
      <c r="N139">
        <v>16908108.108108111</v>
      </c>
      <c r="O139">
        <v>38146306.306306303</v>
      </c>
      <c r="P139">
        <v>41061908.108108103</v>
      </c>
      <c r="Q139">
        <v>6255675.6756756771</v>
      </c>
      <c r="R139">
        <v>19944864.864864863</v>
      </c>
      <c r="S139">
        <v>6814</v>
      </c>
      <c r="T139">
        <v>6697</v>
      </c>
    </row>
    <row r="140" spans="1:20" x14ac:dyDescent="0.35">
      <c r="A140" s="7" t="s">
        <v>231</v>
      </c>
      <c r="B140" s="12" t="s">
        <v>78</v>
      </c>
      <c r="C140">
        <v>65186323.619730406</v>
      </c>
      <c r="D140">
        <v>60064495.980704933</v>
      </c>
      <c r="E140">
        <v>172072.072072073</v>
      </c>
      <c r="F140">
        <v>1250450.4504504551</v>
      </c>
      <c r="G140">
        <v>29</v>
      </c>
      <c r="H140">
        <v>21</v>
      </c>
      <c r="K140">
        <v>35</v>
      </c>
      <c r="L140">
        <v>53</v>
      </c>
      <c r="M140">
        <v>18054954.954954952</v>
      </c>
      <c r="N140">
        <v>12613513.513513513</v>
      </c>
      <c r="O140">
        <v>28260765.765765764</v>
      </c>
      <c r="P140">
        <v>28169603.603603605</v>
      </c>
      <c r="Q140">
        <v>17803963.963963963</v>
      </c>
      <c r="R140">
        <v>13552702.702702705</v>
      </c>
      <c r="S140">
        <v>3956</v>
      </c>
      <c r="T140">
        <v>3951</v>
      </c>
    </row>
    <row r="141" spans="1:20" x14ac:dyDescent="0.35">
      <c r="A141" s="7" t="s">
        <v>232</v>
      </c>
      <c r="B141" s="12" t="s">
        <v>60</v>
      </c>
      <c r="C141">
        <v>57390191.937733509</v>
      </c>
      <c r="D141">
        <v>56812823.635260195</v>
      </c>
      <c r="G141">
        <v>18</v>
      </c>
      <c r="H141">
        <v>14</v>
      </c>
      <c r="K141">
        <v>19</v>
      </c>
      <c r="L141">
        <v>14</v>
      </c>
      <c r="M141">
        <v>81081.081081081007</v>
      </c>
      <c r="O141">
        <v>22548198.198198199</v>
      </c>
      <c r="P141">
        <v>23850765.765765768</v>
      </c>
      <c r="Q141">
        <v>81081.081081081007</v>
      </c>
      <c r="S141">
        <v>1858</v>
      </c>
      <c r="T141">
        <v>1861</v>
      </c>
    </row>
    <row r="142" spans="1:20" x14ac:dyDescent="0.35">
      <c r="A142" s="7" t="s">
        <v>233</v>
      </c>
      <c r="B142" s="12" t="s">
        <v>54</v>
      </c>
      <c r="C142">
        <v>27714708.826369397</v>
      </c>
      <c r="D142">
        <v>26878288.898517299</v>
      </c>
      <c r="E142">
        <v>145945.945945946</v>
      </c>
      <c r="F142">
        <v>17117.117117117999</v>
      </c>
      <c r="G142">
        <v>7</v>
      </c>
      <c r="H142">
        <v>4</v>
      </c>
      <c r="K142">
        <v>29</v>
      </c>
      <c r="L142">
        <v>4</v>
      </c>
      <c r="M142">
        <v>506306.30630630598</v>
      </c>
      <c r="N142">
        <v>1243423.423423423</v>
      </c>
      <c r="O142">
        <v>5846936.9369369382</v>
      </c>
      <c r="P142">
        <v>4964459.4594594603</v>
      </c>
      <c r="Q142">
        <v>1435855.8558558549</v>
      </c>
      <c r="R142">
        <v>1202792.792792792</v>
      </c>
      <c r="S142">
        <v>1028</v>
      </c>
      <c r="T142">
        <v>1102</v>
      </c>
    </row>
    <row r="143" spans="1:20" x14ac:dyDescent="0.35">
      <c r="A143" s="7" t="s">
        <v>234</v>
      </c>
      <c r="B143" s="12" t="s">
        <v>167</v>
      </c>
      <c r="C143">
        <v>136047663.86756596</v>
      </c>
      <c r="D143">
        <v>121744992.51354666</v>
      </c>
      <c r="E143">
        <v>26126.126126126001</v>
      </c>
      <c r="F143">
        <v>310810.810810811</v>
      </c>
      <c r="G143">
        <v>29</v>
      </c>
      <c r="H143">
        <v>9</v>
      </c>
      <c r="K143">
        <v>33</v>
      </c>
      <c r="L143">
        <v>11</v>
      </c>
      <c r="M143">
        <v>9862162.1621621624</v>
      </c>
      <c r="N143">
        <v>8923423.4234234225</v>
      </c>
      <c r="O143">
        <v>35869027.027027026</v>
      </c>
      <c r="P143">
        <v>33479995.495495494</v>
      </c>
      <c r="Q143">
        <v>6875809.0090090074</v>
      </c>
      <c r="R143">
        <v>5958018.0180180185</v>
      </c>
      <c r="S143">
        <v>5251</v>
      </c>
      <c r="T143">
        <v>5017</v>
      </c>
    </row>
    <row r="144" spans="1:20" x14ac:dyDescent="0.35">
      <c r="A144" s="7" t="s">
        <v>235</v>
      </c>
      <c r="B144" s="12" t="s">
        <v>236</v>
      </c>
      <c r="C144">
        <v>6185.0602862180003</v>
      </c>
      <c r="D144">
        <v>83.347957742000006</v>
      </c>
      <c r="F144">
        <v>66171171.171171166</v>
      </c>
      <c r="M144">
        <v>872072.07207207195</v>
      </c>
      <c r="N144">
        <v>72972.972972973002</v>
      </c>
      <c r="P144">
        <v>9009.0090090089998</v>
      </c>
      <c r="T144">
        <v>53</v>
      </c>
    </row>
    <row r="145" spans="1:20" x14ac:dyDescent="0.35">
      <c r="A145" s="7" t="s">
        <v>237</v>
      </c>
      <c r="B145" s="12" t="s">
        <v>105</v>
      </c>
      <c r="C145">
        <v>77255628.574043274</v>
      </c>
      <c r="D145">
        <v>73269414.199448213</v>
      </c>
      <c r="E145">
        <v>15997207.207207208</v>
      </c>
      <c r="F145">
        <v>225225.225225225</v>
      </c>
      <c r="G145">
        <v>11</v>
      </c>
      <c r="H145">
        <v>9</v>
      </c>
      <c r="K145">
        <v>13</v>
      </c>
      <c r="L145">
        <v>11</v>
      </c>
      <c r="M145">
        <v>11415270.270270271</v>
      </c>
      <c r="N145">
        <v>13329729.729729731</v>
      </c>
      <c r="O145">
        <v>22123009.009009007</v>
      </c>
      <c r="P145">
        <v>20855855.855855856</v>
      </c>
      <c r="Q145">
        <v>8386666.666666666</v>
      </c>
      <c r="R145">
        <v>12048828.828828828</v>
      </c>
      <c r="S145">
        <v>2078</v>
      </c>
      <c r="T145">
        <v>1953</v>
      </c>
    </row>
    <row r="146" spans="1:20" x14ac:dyDescent="0.35">
      <c r="A146" s="7" t="s">
        <v>3</v>
      </c>
      <c r="B146" s="12" t="s">
        <v>158</v>
      </c>
      <c r="C146">
        <v>154904938.64137411</v>
      </c>
      <c r="D146">
        <v>149251136.31914622</v>
      </c>
      <c r="E146">
        <v>1519369.3693693699</v>
      </c>
      <c r="F146">
        <v>2480180.1801801831</v>
      </c>
      <c r="G146">
        <v>22</v>
      </c>
      <c r="H146">
        <v>20</v>
      </c>
      <c r="K146">
        <v>26</v>
      </c>
      <c r="L146">
        <v>26</v>
      </c>
      <c r="M146">
        <v>30104054.054054055</v>
      </c>
      <c r="N146">
        <v>21508108.108108107</v>
      </c>
      <c r="O146">
        <v>39032747.747747742</v>
      </c>
      <c r="P146">
        <v>43299873.873873875</v>
      </c>
      <c r="Q146">
        <v>30418198.198198199</v>
      </c>
      <c r="R146">
        <v>21694684.684684686</v>
      </c>
      <c r="S146">
        <v>3729</v>
      </c>
      <c r="T146">
        <v>3640</v>
      </c>
    </row>
    <row r="147" spans="1:20" x14ac:dyDescent="0.35">
      <c r="A147" s="7" t="s">
        <v>238</v>
      </c>
      <c r="B147" s="12" t="s">
        <v>178</v>
      </c>
      <c r="C147">
        <v>127958757.40546286</v>
      </c>
      <c r="D147">
        <v>118205721.11361256</v>
      </c>
      <c r="E147">
        <v>40540.540540540998</v>
      </c>
      <c r="F147">
        <v>420720.72072072199</v>
      </c>
      <c r="G147">
        <v>20</v>
      </c>
      <c r="H147">
        <v>27</v>
      </c>
      <c r="K147">
        <v>27</v>
      </c>
      <c r="L147">
        <v>34</v>
      </c>
      <c r="M147">
        <v>16572072.072072072</v>
      </c>
      <c r="N147">
        <v>22357657.657657657</v>
      </c>
      <c r="O147">
        <v>38484135.135135137</v>
      </c>
      <c r="P147">
        <v>35947468.468468465</v>
      </c>
      <c r="Q147">
        <v>9998918.9189189188</v>
      </c>
      <c r="R147">
        <v>15749279.27927928</v>
      </c>
      <c r="S147">
        <v>5730</v>
      </c>
      <c r="T147">
        <v>5059</v>
      </c>
    </row>
    <row r="148" spans="1:20" x14ac:dyDescent="0.35">
      <c r="A148" s="7" t="s">
        <v>239</v>
      </c>
      <c r="B148" s="12" t="s">
        <v>54</v>
      </c>
      <c r="C148">
        <v>89285455.493435025</v>
      </c>
      <c r="D148">
        <v>82595852.170053199</v>
      </c>
      <c r="E148">
        <v>819459.45945945894</v>
      </c>
      <c r="F148">
        <v>1335135.135135137</v>
      </c>
      <c r="G148">
        <v>8</v>
      </c>
      <c r="H148">
        <v>16</v>
      </c>
      <c r="K148">
        <v>11</v>
      </c>
      <c r="L148">
        <v>18</v>
      </c>
      <c r="M148">
        <v>12360900.9009009</v>
      </c>
      <c r="N148">
        <v>11632792.792792793</v>
      </c>
      <c r="O148">
        <v>23555978.378378376</v>
      </c>
      <c r="P148">
        <v>22609989.189189188</v>
      </c>
      <c r="Q148">
        <v>8863106.3063063063</v>
      </c>
      <c r="R148">
        <v>10248331.531531531</v>
      </c>
      <c r="S148">
        <v>3546</v>
      </c>
      <c r="T148">
        <v>3276</v>
      </c>
    </row>
    <row r="149" spans="1:20" x14ac:dyDescent="0.35">
      <c r="A149" s="7" t="s">
        <v>240</v>
      </c>
      <c r="B149" s="12" t="s">
        <v>241</v>
      </c>
      <c r="C149">
        <v>75372939.068182677</v>
      </c>
      <c r="D149">
        <v>71223973.944137499</v>
      </c>
      <c r="E149">
        <v>146846.84684684701</v>
      </c>
      <c r="F149">
        <v>38824324.324324325</v>
      </c>
      <c r="G149">
        <v>37</v>
      </c>
      <c r="H149">
        <v>30</v>
      </c>
      <c r="K149">
        <v>45</v>
      </c>
      <c r="L149">
        <v>36</v>
      </c>
      <c r="M149">
        <v>54934774.774774775</v>
      </c>
      <c r="N149">
        <v>6429909.9099099124</v>
      </c>
      <c r="O149">
        <v>18337342.342342343</v>
      </c>
      <c r="P149">
        <v>16453872.072072072</v>
      </c>
      <c r="Q149">
        <v>60589729.729729727</v>
      </c>
      <c r="R149">
        <v>4574054.0540540563</v>
      </c>
      <c r="S149">
        <v>2766</v>
      </c>
      <c r="T149">
        <v>2757</v>
      </c>
    </row>
    <row r="150" spans="1:20" x14ac:dyDescent="0.35">
      <c r="A150" s="7" t="s">
        <v>242</v>
      </c>
      <c r="B150" s="12" t="s">
        <v>241</v>
      </c>
      <c r="C150">
        <v>197805262.20147061</v>
      </c>
      <c r="D150">
        <v>187271019.56478921</v>
      </c>
      <c r="E150">
        <v>737837.83783783903</v>
      </c>
      <c r="F150">
        <v>1901801.801801804</v>
      </c>
      <c r="G150">
        <v>105</v>
      </c>
      <c r="H150">
        <v>74</v>
      </c>
      <c r="I150">
        <v>1</v>
      </c>
      <c r="K150">
        <v>118</v>
      </c>
      <c r="L150">
        <v>86</v>
      </c>
      <c r="M150">
        <v>34996666.666666664</v>
      </c>
      <c r="N150">
        <v>48150900.9009009</v>
      </c>
      <c r="O150">
        <v>58673396.396396399</v>
      </c>
      <c r="P150">
        <v>55320693.693693697</v>
      </c>
      <c r="Q150">
        <v>34051891.891891889</v>
      </c>
      <c r="R150">
        <v>43663513.513513513</v>
      </c>
      <c r="S150">
        <v>6729</v>
      </c>
      <c r="T150">
        <v>6843</v>
      </c>
    </row>
    <row r="151" spans="1:20" x14ac:dyDescent="0.35">
      <c r="A151" s="7" t="s">
        <v>243</v>
      </c>
      <c r="B151" s="12" t="s">
        <v>50</v>
      </c>
      <c r="C151">
        <v>37178824.700239673</v>
      </c>
      <c r="D151">
        <v>32172195.931038156</v>
      </c>
      <c r="E151">
        <v>2304054.0540540549</v>
      </c>
      <c r="F151">
        <v>717117.11711711704</v>
      </c>
      <c r="G151">
        <v>11</v>
      </c>
      <c r="H151">
        <v>3</v>
      </c>
      <c r="K151">
        <v>12</v>
      </c>
      <c r="L151">
        <v>3</v>
      </c>
      <c r="M151">
        <v>5418918.9189189188</v>
      </c>
      <c r="N151">
        <v>3330810.8108108109</v>
      </c>
      <c r="O151">
        <v>13271711.711711712</v>
      </c>
      <c r="P151">
        <v>10083450.45045045</v>
      </c>
      <c r="Q151">
        <v>4716486.4864864871</v>
      </c>
      <c r="R151">
        <v>2891081.081081083</v>
      </c>
      <c r="S151">
        <v>1131</v>
      </c>
      <c r="T151">
        <v>936</v>
      </c>
    </row>
    <row r="152" spans="1:20" x14ac:dyDescent="0.35">
      <c r="A152" s="7" t="s">
        <v>244</v>
      </c>
      <c r="B152" s="12" t="s">
        <v>181</v>
      </c>
      <c r="C152">
        <v>1099587250.5278101</v>
      </c>
      <c r="D152">
        <v>996611250.25145113</v>
      </c>
      <c r="E152">
        <v>184463094.5945946</v>
      </c>
      <c r="F152">
        <v>82025351.351351365</v>
      </c>
      <c r="G152">
        <v>424</v>
      </c>
      <c r="H152">
        <v>349</v>
      </c>
      <c r="I152">
        <v>10</v>
      </c>
      <c r="K152">
        <v>550</v>
      </c>
      <c r="L152">
        <v>705</v>
      </c>
      <c r="M152">
        <v>103692612.61261259</v>
      </c>
      <c r="N152">
        <v>116209369.36936936</v>
      </c>
      <c r="O152">
        <v>216673203.6036036</v>
      </c>
      <c r="P152">
        <v>227050831.53153151</v>
      </c>
      <c r="Q152">
        <v>95894864.864864871</v>
      </c>
      <c r="R152">
        <v>115741981.98198196</v>
      </c>
      <c r="S152">
        <v>44136</v>
      </c>
      <c r="T152">
        <v>41779</v>
      </c>
    </row>
    <row r="153" spans="1:20" x14ac:dyDescent="0.35">
      <c r="A153" s="7" t="s">
        <v>245</v>
      </c>
      <c r="B153" s="12" t="s">
        <v>48</v>
      </c>
      <c r="C153">
        <v>47807102.922163107</v>
      </c>
      <c r="D153">
        <v>45224176.48177442</v>
      </c>
      <c r="F153">
        <v>935360.36036036105</v>
      </c>
      <c r="G153">
        <v>4</v>
      </c>
      <c r="K153">
        <v>4</v>
      </c>
      <c r="L153">
        <v>1</v>
      </c>
      <c r="M153">
        <v>6034054.0540540544</v>
      </c>
      <c r="N153">
        <v>5848828.8288288312</v>
      </c>
      <c r="O153">
        <v>11362432.432432432</v>
      </c>
      <c r="P153">
        <v>9585315.3153153155</v>
      </c>
      <c r="Q153">
        <v>6232252.2522522528</v>
      </c>
      <c r="R153">
        <v>6384324.3243243257</v>
      </c>
      <c r="S153">
        <v>1875</v>
      </c>
      <c r="T153">
        <v>1758</v>
      </c>
    </row>
    <row r="154" spans="1:20" x14ac:dyDescent="0.35">
      <c r="A154" s="7" t="s">
        <v>246</v>
      </c>
      <c r="B154" s="12" t="s">
        <v>94</v>
      </c>
      <c r="C154">
        <v>20298734.949534077</v>
      </c>
      <c r="D154">
        <v>12179071.829079593</v>
      </c>
      <c r="E154">
        <v>15743243.243243244</v>
      </c>
      <c r="F154">
        <v>29166666.666666668</v>
      </c>
      <c r="G154">
        <v>2</v>
      </c>
      <c r="K154">
        <v>2</v>
      </c>
      <c r="M154">
        <v>3976126.1261261259</v>
      </c>
      <c r="N154">
        <v>3317567.5675675678</v>
      </c>
      <c r="O154">
        <v>3397972.9729729728</v>
      </c>
      <c r="P154">
        <v>1867585.585585586</v>
      </c>
      <c r="S154">
        <v>684</v>
      </c>
      <c r="T154">
        <v>682</v>
      </c>
    </row>
    <row r="155" spans="1:20" x14ac:dyDescent="0.35">
      <c r="A155" s="7" t="s">
        <v>247</v>
      </c>
      <c r="B155" s="12" t="s">
        <v>117</v>
      </c>
      <c r="C155">
        <v>41054358.726664402</v>
      </c>
      <c r="D155">
        <v>40875289.043285742</v>
      </c>
      <c r="E155">
        <v>16925572.072072074</v>
      </c>
      <c r="F155">
        <v>5518109.0090090102</v>
      </c>
      <c r="G155">
        <v>10</v>
      </c>
      <c r="H155">
        <v>2</v>
      </c>
      <c r="K155">
        <v>17</v>
      </c>
      <c r="L155">
        <v>5</v>
      </c>
      <c r="M155">
        <v>14354639.63963964</v>
      </c>
      <c r="N155">
        <v>7406147.74774775</v>
      </c>
      <c r="O155">
        <v>18925360.360360362</v>
      </c>
      <c r="P155">
        <v>20044549.549549554</v>
      </c>
      <c r="Q155">
        <v>8652432.4324324317</v>
      </c>
      <c r="R155">
        <v>7083693.6936936928</v>
      </c>
      <c r="S155">
        <v>1675</v>
      </c>
      <c r="T155">
        <v>1809</v>
      </c>
    </row>
    <row r="156" spans="1:20" x14ac:dyDescent="0.35">
      <c r="A156" s="7" t="s">
        <v>248</v>
      </c>
      <c r="B156" s="12" t="s">
        <v>121</v>
      </c>
      <c r="C156">
        <v>71450473.327115923</v>
      </c>
      <c r="D156">
        <v>71605554.853144631</v>
      </c>
      <c r="E156">
        <v>56756.756756757</v>
      </c>
      <c r="F156">
        <v>656756.75675675704</v>
      </c>
      <c r="G156">
        <v>45</v>
      </c>
      <c r="H156">
        <v>48</v>
      </c>
      <c r="K156">
        <v>48</v>
      </c>
      <c r="L156">
        <v>52</v>
      </c>
      <c r="M156">
        <v>56756.756756757</v>
      </c>
      <c r="N156">
        <v>3864864.8648648639</v>
      </c>
      <c r="O156">
        <v>7209630.6306306319</v>
      </c>
      <c r="P156">
        <v>8021738.7387387389</v>
      </c>
      <c r="Q156">
        <v>1620720.72072072</v>
      </c>
      <c r="R156">
        <v>2141531.5315315309</v>
      </c>
      <c r="S156">
        <v>2232</v>
      </c>
      <c r="T156">
        <v>2379</v>
      </c>
    </row>
    <row r="157" spans="1:20" x14ac:dyDescent="0.35">
      <c r="A157" s="7" t="s">
        <v>249</v>
      </c>
      <c r="B157" s="12" t="s">
        <v>76</v>
      </c>
      <c r="C157">
        <v>33351590.298276059</v>
      </c>
      <c r="D157">
        <v>29337014.989328448</v>
      </c>
      <c r="G157">
        <v>2</v>
      </c>
      <c r="H157">
        <v>3</v>
      </c>
      <c r="K157">
        <v>4</v>
      </c>
      <c r="L157">
        <v>3</v>
      </c>
      <c r="O157">
        <v>3406873.8738738741</v>
      </c>
      <c r="P157">
        <v>2707792.7927927929</v>
      </c>
      <c r="S157">
        <v>1688</v>
      </c>
      <c r="T157">
        <v>1617</v>
      </c>
    </row>
    <row r="158" spans="1:20" x14ac:dyDescent="0.35">
      <c r="A158" s="7" t="s">
        <v>250</v>
      </c>
      <c r="B158" s="12" t="s">
        <v>167</v>
      </c>
      <c r="C158">
        <v>98633403.557667643</v>
      </c>
      <c r="D158">
        <v>96629934.569064245</v>
      </c>
      <c r="G158">
        <v>3</v>
      </c>
      <c r="H158">
        <v>14</v>
      </c>
      <c r="K158">
        <v>5</v>
      </c>
      <c r="L158">
        <v>38</v>
      </c>
      <c r="M158">
        <v>1589189.189189191</v>
      </c>
      <c r="N158">
        <v>27027.027027028002</v>
      </c>
      <c r="O158">
        <v>16045585.585585585</v>
      </c>
      <c r="P158">
        <v>19152432.432432432</v>
      </c>
      <c r="Q158">
        <v>1091261.261261262</v>
      </c>
      <c r="R158">
        <v>763603.60360360402</v>
      </c>
      <c r="S158">
        <v>3786</v>
      </c>
      <c r="T158">
        <v>3639</v>
      </c>
    </row>
    <row r="159" spans="1:20" x14ac:dyDescent="0.35">
      <c r="A159" s="7" t="s">
        <v>251</v>
      </c>
      <c r="B159" s="12" t="s">
        <v>89</v>
      </c>
      <c r="C159">
        <v>294636651.77996582</v>
      </c>
      <c r="D159">
        <v>291107511.06749845</v>
      </c>
      <c r="E159">
        <v>3835045.0450450461</v>
      </c>
      <c r="F159">
        <v>1161261.2612612641</v>
      </c>
      <c r="G159">
        <v>39</v>
      </c>
      <c r="H159">
        <v>38</v>
      </c>
      <c r="K159">
        <v>42</v>
      </c>
      <c r="L159">
        <v>46</v>
      </c>
      <c r="M159">
        <v>21275495.495495494</v>
      </c>
      <c r="N159">
        <v>25048648.648648649</v>
      </c>
      <c r="O159">
        <v>69283183.783783779</v>
      </c>
      <c r="P159">
        <v>71194108.108108118</v>
      </c>
      <c r="Q159">
        <v>24383153.153153151</v>
      </c>
      <c r="R159">
        <v>21636846.846846849</v>
      </c>
      <c r="S159">
        <v>10382</v>
      </c>
      <c r="T159">
        <v>10332</v>
      </c>
    </row>
    <row r="160" spans="1:20" x14ac:dyDescent="0.35">
      <c r="A160" s="7" t="s">
        <v>252</v>
      </c>
      <c r="B160" s="12" t="s">
        <v>78</v>
      </c>
      <c r="C160">
        <v>85718134.760859981</v>
      </c>
      <c r="D160">
        <v>83893631.704643205</v>
      </c>
      <c r="E160">
        <v>279279.279279279</v>
      </c>
      <c r="F160">
        <v>1033333.333333336</v>
      </c>
      <c r="G160">
        <v>20</v>
      </c>
      <c r="H160">
        <v>12</v>
      </c>
      <c r="K160">
        <v>21</v>
      </c>
      <c r="L160">
        <v>12</v>
      </c>
      <c r="M160">
        <v>10811621.62162162</v>
      </c>
      <c r="N160">
        <v>16757297.297297301</v>
      </c>
      <c r="O160">
        <v>23866306.306306303</v>
      </c>
      <c r="P160">
        <v>23703747.747747749</v>
      </c>
      <c r="Q160">
        <v>10397837.837837836</v>
      </c>
      <c r="R160">
        <v>16799279.27927928</v>
      </c>
      <c r="S160">
        <v>3231</v>
      </c>
      <c r="T160">
        <v>3231</v>
      </c>
    </row>
    <row r="161" spans="1:20" x14ac:dyDescent="0.35">
      <c r="A161" s="7" t="s">
        <v>253</v>
      </c>
      <c r="B161" s="12" t="s">
        <v>105</v>
      </c>
      <c r="C161">
        <v>167613536.3557052</v>
      </c>
      <c r="D161">
        <v>165635227.17714339</v>
      </c>
      <c r="E161">
        <v>1455176.576576578</v>
      </c>
      <c r="F161">
        <v>31921124.324324328</v>
      </c>
      <c r="G161">
        <v>35</v>
      </c>
      <c r="H161">
        <v>36</v>
      </c>
      <c r="I161">
        <v>1</v>
      </c>
      <c r="K161">
        <v>43</v>
      </c>
      <c r="L161">
        <v>69</v>
      </c>
      <c r="M161">
        <v>22170270.270270273</v>
      </c>
      <c r="N161">
        <v>24136576.576576576</v>
      </c>
      <c r="O161">
        <v>50162189.189189196</v>
      </c>
      <c r="P161">
        <v>47312702.702702701</v>
      </c>
      <c r="Q161">
        <v>20709279.27927928</v>
      </c>
      <c r="R161">
        <v>26145045.045045048</v>
      </c>
      <c r="S161">
        <v>5393</v>
      </c>
      <c r="T161">
        <v>5322</v>
      </c>
    </row>
    <row r="162" spans="1:20" x14ac:dyDescent="0.35">
      <c r="A162" s="7" t="s">
        <v>667</v>
      </c>
      <c r="B162" s="12" t="s">
        <v>181</v>
      </c>
      <c r="E162">
        <v>78288288.288288295</v>
      </c>
      <c r="M162">
        <v>6282882.8828828828</v>
      </c>
      <c r="N162">
        <v>632882.88288288296</v>
      </c>
    </row>
    <row r="163" spans="1:20" x14ac:dyDescent="0.35">
      <c r="A163" s="7" t="s">
        <v>254</v>
      </c>
      <c r="B163" s="12" t="s">
        <v>105</v>
      </c>
      <c r="C163">
        <v>106321320.93103802</v>
      </c>
      <c r="D163">
        <v>100652104.0864284</v>
      </c>
      <c r="E163">
        <v>800900.90090090095</v>
      </c>
      <c r="F163">
        <v>836936.93693693797</v>
      </c>
      <c r="G163">
        <v>13</v>
      </c>
      <c r="H163">
        <v>7</v>
      </c>
      <c r="K163">
        <v>14</v>
      </c>
      <c r="L163">
        <v>9</v>
      </c>
      <c r="M163">
        <v>7308828.8288288265</v>
      </c>
      <c r="N163">
        <v>9644504.5045045037</v>
      </c>
      <c r="O163">
        <v>32680043.24324324</v>
      </c>
      <c r="P163">
        <v>30766927.927927926</v>
      </c>
      <c r="Q163">
        <v>7193693.6936936909</v>
      </c>
      <c r="R163">
        <v>6841801.8018018026</v>
      </c>
      <c r="S163">
        <v>3484</v>
      </c>
      <c r="T163">
        <v>3878</v>
      </c>
    </row>
    <row r="164" spans="1:20" x14ac:dyDescent="0.35">
      <c r="A164" s="7" t="s">
        <v>255</v>
      </c>
      <c r="B164" s="12" t="s">
        <v>105</v>
      </c>
      <c r="C164">
        <v>91096808.689269945</v>
      </c>
      <c r="D164">
        <v>91211485.053626314</v>
      </c>
      <c r="E164">
        <v>80180.180180180003</v>
      </c>
      <c r="F164">
        <v>13513.513513514001</v>
      </c>
      <c r="G164">
        <v>8</v>
      </c>
      <c r="H164">
        <v>13</v>
      </c>
      <c r="K164">
        <v>9</v>
      </c>
      <c r="L164">
        <v>15</v>
      </c>
      <c r="M164">
        <v>80180.180180180003</v>
      </c>
      <c r="N164">
        <v>914414.41441441502</v>
      </c>
      <c r="O164">
        <v>17754279.279279277</v>
      </c>
      <c r="P164">
        <v>20140477.47747748</v>
      </c>
      <c r="Q164">
        <v>742162.16216216201</v>
      </c>
      <c r="R164">
        <v>671171.17117117101</v>
      </c>
      <c r="S164">
        <v>2221</v>
      </c>
      <c r="T164">
        <v>2073</v>
      </c>
    </row>
    <row r="165" spans="1:20" x14ac:dyDescent="0.35">
      <c r="A165" s="7" t="s">
        <v>256</v>
      </c>
      <c r="B165" s="12" t="s">
        <v>134</v>
      </c>
      <c r="C165">
        <v>149668346.51319048</v>
      </c>
      <c r="D165">
        <v>140145044.85486129</v>
      </c>
      <c r="E165">
        <v>19954954.954954956</v>
      </c>
      <c r="F165">
        <v>14531531.531531531</v>
      </c>
      <c r="G165">
        <v>20</v>
      </c>
      <c r="H165">
        <v>11</v>
      </c>
      <c r="K165">
        <v>21</v>
      </c>
      <c r="L165">
        <v>11</v>
      </c>
      <c r="M165">
        <v>1936936.936936937</v>
      </c>
      <c r="N165">
        <v>3189189.1891891891</v>
      </c>
      <c r="O165">
        <v>10543792.792792792</v>
      </c>
      <c r="P165">
        <v>9711207.2072072085</v>
      </c>
      <c r="Q165">
        <v>507117.11711711797</v>
      </c>
      <c r="R165">
        <v>3571621.6216216218</v>
      </c>
      <c r="S165">
        <v>4274</v>
      </c>
      <c r="T165">
        <v>4948</v>
      </c>
    </row>
    <row r="166" spans="1:20" x14ac:dyDescent="0.35">
      <c r="A166" s="7" t="s">
        <v>257</v>
      </c>
      <c r="B166" s="12" t="s">
        <v>167</v>
      </c>
      <c r="C166">
        <v>53922769.242952965</v>
      </c>
      <c r="D166">
        <v>44456395.547727197</v>
      </c>
      <c r="F166">
        <v>900900.90090090095</v>
      </c>
      <c r="G166">
        <v>34</v>
      </c>
      <c r="H166">
        <v>6</v>
      </c>
      <c r="K166">
        <v>40</v>
      </c>
      <c r="L166">
        <v>9</v>
      </c>
      <c r="M166">
        <v>4594594.5945945969</v>
      </c>
      <c r="N166">
        <v>1886036.036036036</v>
      </c>
      <c r="O166">
        <v>19829774.774774775</v>
      </c>
      <c r="P166">
        <v>15146184.684684685</v>
      </c>
      <c r="Q166">
        <v>3224504.5045045069</v>
      </c>
      <c r="R166">
        <v>1969549.5495495501</v>
      </c>
      <c r="S166">
        <v>2513</v>
      </c>
      <c r="T166">
        <v>2452</v>
      </c>
    </row>
    <row r="167" spans="1:20" x14ac:dyDescent="0.35">
      <c r="A167" s="7" t="s">
        <v>258</v>
      </c>
      <c r="B167" s="12" t="s">
        <v>60</v>
      </c>
      <c r="C167">
        <v>21883412.52200054</v>
      </c>
      <c r="D167">
        <v>18822563.268668074</v>
      </c>
      <c r="E167">
        <v>15765.765765766</v>
      </c>
      <c r="F167">
        <v>203603.60360360399</v>
      </c>
      <c r="G167">
        <v>7</v>
      </c>
      <c r="H167">
        <v>9</v>
      </c>
      <c r="I167">
        <v>2</v>
      </c>
      <c r="K167">
        <v>7</v>
      </c>
      <c r="L167">
        <v>15</v>
      </c>
      <c r="M167">
        <v>4790540.5405405397</v>
      </c>
      <c r="N167">
        <v>4609009.0090090092</v>
      </c>
      <c r="O167">
        <v>8374819.8198198201</v>
      </c>
      <c r="P167">
        <v>6066972.9729729732</v>
      </c>
      <c r="Q167">
        <v>4056666.666666666</v>
      </c>
      <c r="R167">
        <v>3758468.4684684691</v>
      </c>
      <c r="S167">
        <v>625</v>
      </c>
      <c r="T167">
        <v>570</v>
      </c>
    </row>
    <row r="168" spans="1:20" x14ac:dyDescent="0.35">
      <c r="A168" s="7" t="s">
        <v>259</v>
      </c>
      <c r="B168" s="12" t="s">
        <v>260</v>
      </c>
      <c r="C168">
        <v>10323193.906870088</v>
      </c>
      <c r="D168">
        <v>11987605.321953112</v>
      </c>
      <c r="E168">
        <v>1801801.8018018019</v>
      </c>
      <c r="F168">
        <v>10810.810810810999</v>
      </c>
      <c r="G168">
        <v>7</v>
      </c>
      <c r="H168">
        <v>4</v>
      </c>
      <c r="K168">
        <v>7</v>
      </c>
      <c r="L168">
        <v>5</v>
      </c>
      <c r="M168">
        <v>1801801.8018018019</v>
      </c>
      <c r="N168">
        <v>3197747.7477477482</v>
      </c>
      <c r="O168">
        <v>2079504.5045045051</v>
      </c>
      <c r="P168">
        <v>2104630.630630631</v>
      </c>
      <c r="Q168">
        <v>3486576.576576577</v>
      </c>
      <c r="R168">
        <v>1341171.1711711709</v>
      </c>
      <c r="S168">
        <v>593</v>
      </c>
      <c r="T168">
        <v>533</v>
      </c>
    </row>
    <row r="169" spans="1:20" x14ac:dyDescent="0.35">
      <c r="A169" s="7" t="s">
        <v>261</v>
      </c>
      <c r="B169" s="12" t="s">
        <v>60</v>
      </c>
      <c r="C169">
        <v>182552206.64908883</v>
      </c>
      <c r="D169">
        <v>181902197.68316925</v>
      </c>
      <c r="E169">
        <v>156090855.85585588</v>
      </c>
      <c r="F169">
        <v>260617360.36036035</v>
      </c>
      <c r="G169">
        <v>68</v>
      </c>
      <c r="H169">
        <v>161</v>
      </c>
      <c r="I169">
        <v>10</v>
      </c>
      <c r="K169">
        <v>81</v>
      </c>
      <c r="L169">
        <v>254</v>
      </c>
      <c r="M169">
        <v>31758648.648648649</v>
      </c>
      <c r="N169">
        <v>42060810.810810804</v>
      </c>
      <c r="O169">
        <v>62889036.036036029</v>
      </c>
      <c r="P169">
        <v>65012092.342342347</v>
      </c>
      <c r="Q169">
        <v>28443423.423423428</v>
      </c>
      <c r="R169">
        <v>50194594.59459459</v>
      </c>
      <c r="S169">
        <v>6285</v>
      </c>
      <c r="T169">
        <v>6201</v>
      </c>
    </row>
    <row r="170" spans="1:20" x14ac:dyDescent="0.35">
      <c r="A170" s="7" t="s">
        <v>262</v>
      </c>
      <c r="B170" s="12" t="s">
        <v>123</v>
      </c>
      <c r="C170">
        <v>147514085.63171405</v>
      </c>
      <c r="D170">
        <v>138110462.85694742</v>
      </c>
      <c r="E170">
        <v>303153.15315315401</v>
      </c>
      <c r="F170">
        <v>246846.84684684701</v>
      </c>
      <c r="G170">
        <v>23</v>
      </c>
      <c r="H170">
        <v>25</v>
      </c>
      <c r="I170">
        <v>1</v>
      </c>
      <c r="K170">
        <v>27</v>
      </c>
      <c r="L170">
        <v>27</v>
      </c>
      <c r="M170">
        <v>7601531.5315315314</v>
      </c>
      <c r="N170">
        <v>9062702.7027027048</v>
      </c>
      <c r="O170">
        <v>56467108.108108111</v>
      </c>
      <c r="P170">
        <v>53772972.972972974</v>
      </c>
      <c r="Q170">
        <v>7176216.2162162168</v>
      </c>
      <c r="R170">
        <v>6981261.2612612611</v>
      </c>
      <c r="S170">
        <v>5584</v>
      </c>
      <c r="T170">
        <v>5485</v>
      </c>
    </row>
    <row r="171" spans="1:20" x14ac:dyDescent="0.35">
      <c r="A171" s="7" t="s">
        <v>263</v>
      </c>
      <c r="B171" s="12" t="s">
        <v>123</v>
      </c>
      <c r="C171">
        <v>63519174.744869404</v>
      </c>
      <c r="D171">
        <v>59503278.863167726</v>
      </c>
      <c r="E171">
        <v>384684.68468468601</v>
      </c>
      <c r="F171">
        <v>427252.25225225399</v>
      </c>
      <c r="G171">
        <v>19</v>
      </c>
      <c r="H171">
        <v>20</v>
      </c>
      <c r="I171">
        <v>2</v>
      </c>
      <c r="K171">
        <v>25</v>
      </c>
      <c r="L171">
        <v>20</v>
      </c>
      <c r="M171">
        <v>13261171.171171172</v>
      </c>
      <c r="N171">
        <v>12477747.747747747</v>
      </c>
      <c r="O171">
        <v>25944675.675675675</v>
      </c>
      <c r="P171">
        <v>24712018.018018015</v>
      </c>
      <c r="Q171">
        <v>15065585.585585585</v>
      </c>
      <c r="R171">
        <v>12473063.063063065</v>
      </c>
      <c r="S171">
        <v>2494</v>
      </c>
      <c r="T171">
        <v>2352</v>
      </c>
    </row>
    <row r="172" spans="1:20" x14ac:dyDescent="0.35">
      <c r="A172" s="7" t="s">
        <v>264</v>
      </c>
      <c r="B172" s="12" t="s">
        <v>125</v>
      </c>
      <c r="C172">
        <v>147715173.21280056</v>
      </c>
      <c r="D172">
        <v>145119613.89534461</v>
      </c>
      <c r="E172">
        <v>184234.23423423499</v>
      </c>
      <c r="F172">
        <v>1807207.207207208</v>
      </c>
      <c r="G172">
        <v>16</v>
      </c>
      <c r="H172">
        <v>40</v>
      </c>
      <c r="K172">
        <v>17</v>
      </c>
      <c r="L172">
        <v>45</v>
      </c>
      <c r="M172">
        <v>16083333.333333332</v>
      </c>
      <c r="N172">
        <v>9189189.1891891882</v>
      </c>
      <c r="O172">
        <v>48312702.702702701</v>
      </c>
      <c r="P172">
        <v>51115349.54954955</v>
      </c>
      <c r="Q172">
        <v>13889369.369369371</v>
      </c>
      <c r="R172">
        <v>9666846.8468468487</v>
      </c>
      <c r="S172">
        <v>4535</v>
      </c>
      <c r="T172">
        <v>4761</v>
      </c>
    </row>
    <row r="173" spans="1:20" x14ac:dyDescent="0.35">
      <c r="A173" s="7" t="s">
        <v>265</v>
      </c>
      <c r="B173" s="12" t="s">
        <v>123</v>
      </c>
      <c r="C173">
        <v>150712074.80120918</v>
      </c>
      <c r="D173">
        <v>140620777.36450678</v>
      </c>
      <c r="E173">
        <v>72972.972972973002</v>
      </c>
      <c r="F173">
        <v>825225.22522522602</v>
      </c>
      <c r="G173">
        <v>42</v>
      </c>
      <c r="H173">
        <v>11</v>
      </c>
      <c r="K173">
        <v>47</v>
      </c>
      <c r="L173">
        <v>13</v>
      </c>
      <c r="M173">
        <v>13627207.207207208</v>
      </c>
      <c r="N173">
        <v>13578198.198198196</v>
      </c>
      <c r="O173">
        <v>53221126.126126125</v>
      </c>
      <c r="P173">
        <v>49250234.234234229</v>
      </c>
      <c r="Q173">
        <v>12361081.081081081</v>
      </c>
      <c r="R173">
        <v>13558288.288288288</v>
      </c>
      <c r="S173">
        <v>4733</v>
      </c>
      <c r="T173">
        <v>4772</v>
      </c>
    </row>
    <row r="174" spans="1:20" x14ac:dyDescent="0.35">
      <c r="A174" s="7" t="s">
        <v>266</v>
      </c>
      <c r="B174" s="12" t="s">
        <v>123</v>
      </c>
      <c r="C174">
        <v>148132506.64871916</v>
      </c>
      <c r="D174">
        <v>147566388.64444566</v>
      </c>
      <c r="E174">
        <v>1111711.7117117131</v>
      </c>
      <c r="F174">
        <v>1933783.7837837869</v>
      </c>
      <c r="G174">
        <v>15</v>
      </c>
      <c r="H174">
        <v>30</v>
      </c>
      <c r="K174">
        <v>18</v>
      </c>
      <c r="L174">
        <v>32</v>
      </c>
      <c r="M174">
        <v>17004504.504504509</v>
      </c>
      <c r="N174">
        <v>18786486.486486487</v>
      </c>
      <c r="O174">
        <v>57543234.234234229</v>
      </c>
      <c r="P174">
        <v>60524063.063063063</v>
      </c>
      <c r="Q174">
        <v>16030360.360360363</v>
      </c>
      <c r="R174">
        <v>17490360.360360362</v>
      </c>
      <c r="S174">
        <v>6687</v>
      </c>
      <c r="T174">
        <v>5097</v>
      </c>
    </row>
    <row r="175" spans="1:20" x14ac:dyDescent="0.35">
      <c r="A175" s="7" t="s">
        <v>267</v>
      </c>
      <c r="B175" s="12" t="s">
        <v>178</v>
      </c>
      <c r="C175">
        <v>781575141.85034466</v>
      </c>
      <c r="D175">
        <v>748784029.63034606</v>
      </c>
      <c r="E175">
        <v>541148809.009009</v>
      </c>
      <c r="F175">
        <v>393267814.41441441</v>
      </c>
      <c r="G175">
        <v>364</v>
      </c>
      <c r="H175">
        <v>245</v>
      </c>
      <c r="I175">
        <v>3</v>
      </c>
      <c r="K175">
        <v>629</v>
      </c>
      <c r="L175">
        <v>522</v>
      </c>
      <c r="M175">
        <v>136774234.23423424</v>
      </c>
      <c r="N175">
        <v>105342996.39639641</v>
      </c>
      <c r="O175">
        <v>225397063.06306309</v>
      </c>
      <c r="P175">
        <v>225118513.96396396</v>
      </c>
      <c r="Q175">
        <v>115676666.66666667</v>
      </c>
      <c r="R175">
        <v>94446036.036036029</v>
      </c>
      <c r="S175">
        <v>32184</v>
      </c>
      <c r="T175">
        <v>33308</v>
      </c>
    </row>
    <row r="176" spans="1:20" x14ac:dyDescent="0.35">
      <c r="A176" s="7" t="s">
        <v>268</v>
      </c>
      <c r="B176" s="12" t="s">
        <v>62</v>
      </c>
      <c r="C176">
        <v>120066352.84058541</v>
      </c>
      <c r="D176">
        <v>125508567.24853073</v>
      </c>
      <c r="E176">
        <v>1459549.549549551</v>
      </c>
      <c r="F176">
        <v>2508108.1081081121</v>
      </c>
      <c r="G176">
        <v>20</v>
      </c>
      <c r="H176">
        <v>41</v>
      </c>
      <c r="K176">
        <v>23</v>
      </c>
      <c r="L176">
        <v>43</v>
      </c>
      <c r="M176">
        <v>7986396.3963963948</v>
      </c>
      <c r="N176">
        <v>26093243.243243244</v>
      </c>
      <c r="O176">
        <v>38968288.288288288</v>
      </c>
      <c r="P176">
        <v>38797396.396396399</v>
      </c>
      <c r="Q176">
        <v>9175585.5855855849</v>
      </c>
      <c r="R176">
        <v>35426936.936936937</v>
      </c>
      <c r="S176">
        <v>4726</v>
      </c>
      <c r="T176">
        <v>4680</v>
      </c>
    </row>
    <row r="177" spans="1:20" x14ac:dyDescent="0.35">
      <c r="A177" s="7" t="s">
        <v>269</v>
      </c>
      <c r="B177" s="12" t="s">
        <v>70</v>
      </c>
      <c r="C177">
        <v>160051105.30792242</v>
      </c>
      <c r="D177">
        <v>161993715.76368311</v>
      </c>
      <c r="E177">
        <v>2036936.936936938</v>
      </c>
      <c r="F177">
        <v>1145945.9459459491</v>
      </c>
      <c r="G177">
        <v>35</v>
      </c>
      <c r="H177">
        <v>49</v>
      </c>
      <c r="K177">
        <v>39</v>
      </c>
      <c r="L177">
        <v>71</v>
      </c>
      <c r="M177">
        <v>22554504.504504509</v>
      </c>
      <c r="N177">
        <v>11936036.036036041</v>
      </c>
      <c r="O177">
        <v>71298909.909909919</v>
      </c>
      <c r="P177">
        <v>72154891.891891882</v>
      </c>
      <c r="Q177">
        <v>17180090.090090092</v>
      </c>
      <c r="R177">
        <v>11668738.738738742</v>
      </c>
      <c r="S177">
        <v>7143</v>
      </c>
      <c r="T177">
        <v>7719</v>
      </c>
    </row>
    <row r="178" spans="1:20" x14ac:dyDescent="0.35">
      <c r="A178" s="7" t="s">
        <v>270</v>
      </c>
      <c r="B178" s="12" t="s">
        <v>134</v>
      </c>
      <c r="C178">
        <v>1581152.3088423461</v>
      </c>
      <c r="D178">
        <v>1969107.033331367</v>
      </c>
      <c r="K178">
        <v>1</v>
      </c>
      <c r="O178">
        <v>123198.19819819801</v>
      </c>
      <c r="P178">
        <v>145135.135135135</v>
      </c>
      <c r="S178">
        <v>284</v>
      </c>
      <c r="T178">
        <v>228</v>
      </c>
    </row>
    <row r="179" spans="1:20" x14ac:dyDescent="0.35">
      <c r="A179" s="7" t="s">
        <v>271</v>
      </c>
      <c r="B179" s="12" t="s">
        <v>76</v>
      </c>
      <c r="C179">
        <v>74436539.009332895</v>
      </c>
      <c r="D179">
        <v>75046746.408442274</v>
      </c>
      <c r="E179">
        <v>9009.0090090089998</v>
      </c>
      <c r="F179">
        <v>54054.054054054002</v>
      </c>
      <c r="G179">
        <v>21</v>
      </c>
      <c r="H179">
        <v>13</v>
      </c>
      <c r="K179">
        <v>23</v>
      </c>
      <c r="L179">
        <v>14</v>
      </c>
      <c r="M179">
        <v>99099.099099098996</v>
      </c>
      <c r="N179">
        <v>144144.144144144</v>
      </c>
      <c r="O179">
        <v>4734414.4144144151</v>
      </c>
      <c r="P179">
        <v>5327445.9459459456</v>
      </c>
      <c r="Q179">
        <v>196396.39639639601</v>
      </c>
      <c r="R179">
        <v>128828.82882882901</v>
      </c>
      <c r="S179">
        <v>2393</v>
      </c>
      <c r="T179">
        <v>2503</v>
      </c>
    </row>
    <row r="180" spans="1:20" x14ac:dyDescent="0.35">
      <c r="A180" s="7" t="s">
        <v>272</v>
      </c>
      <c r="B180" s="12" t="s">
        <v>76</v>
      </c>
      <c r="C180">
        <v>27552550.385846417</v>
      </c>
      <c r="D180">
        <v>25499328.916054584</v>
      </c>
      <c r="E180">
        <v>56306.306306306004</v>
      </c>
      <c r="F180">
        <v>88288.288288288997</v>
      </c>
      <c r="G180">
        <v>14</v>
      </c>
      <c r="H180">
        <v>2</v>
      </c>
      <c r="K180">
        <v>16</v>
      </c>
      <c r="L180">
        <v>3</v>
      </c>
      <c r="M180">
        <v>9369819.8198198192</v>
      </c>
      <c r="N180">
        <v>8719099.0990990996</v>
      </c>
      <c r="O180">
        <v>8977432.4324324317</v>
      </c>
      <c r="P180">
        <v>7597171.1711711707</v>
      </c>
      <c r="Q180">
        <v>6122702.702702702</v>
      </c>
      <c r="R180">
        <v>5981081.0810810803</v>
      </c>
      <c r="S180">
        <v>784</v>
      </c>
      <c r="T180">
        <v>805</v>
      </c>
    </row>
    <row r="181" spans="1:20" x14ac:dyDescent="0.35">
      <c r="A181" s="7" t="s">
        <v>273</v>
      </c>
      <c r="B181" s="12" t="s">
        <v>260</v>
      </c>
      <c r="C181">
        <v>580901406.56846535</v>
      </c>
      <c r="D181">
        <v>540401060.8215766</v>
      </c>
      <c r="E181">
        <v>3555405.4054054101</v>
      </c>
      <c r="F181">
        <v>6425225.2252252251</v>
      </c>
      <c r="G181">
        <v>98</v>
      </c>
      <c r="H181">
        <v>136</v>
      </c>
      <c r="I181">
        <v>1</v>
      </c>
      <c r="K181">
        <v>123</v>
      </c>
      <c r="L181">
        <v>216</v>
      </c>
      <c r="M181">
        <v>101992342.34234233</v>
      </c>
      <c r="N181">
        <v>102572072.07207206</v>
      </c>
      <c r="O181">
        <v>157458936.93693691</v>
      </c>
      <c r="P181">
        <v>165693903.15315315</v>
      </c>
      <c r="Q181">
        <v>99134234.234234244</v>
      </c>
      <c r="R181">
        <v>96063063.063063055</v>
      </c>
      <c r="S181">
        <v>19068</v>
      </c>
      <c r="T181">
        <v>18777</v>
      </c>
    </row>
    <row r="182" spans="1:20" x14ac:dyDescent="0.35">
      <c r="A182" s="7" t="s">
        <v>274</v>
      </c>
      <c r="B182" s="12" t="s">
        <v>260</v>
      </c>
      <c r="C182">
        <v>134324357.12405363</v>
      </c>
      <c r="D182">
        <v>113995154.64405319</v>
      </c>
      <c r="E182">
        <v>1385585.585585586</v>
      </c>
      <c r="F182">
        <v>1131081.081081083</v>
      </c>
      <c r="G182">
        <v>10</v>
      </c>
      <c r="H182">
        <v>7</v>
      </c>
      <c r="K182">
        <v>10</v>
      </c>
      <c r="L182">
        <v>9</v>
      </c>
      <c r="M182">
        <v>7347747.7477477463</v>
      </c>
      <c r="N182">
        <v>10353603.603603603</v>
      </c>
      <c r="O182">
        <v>23582909.909909911</v>
      </c>
      <c r="P182">
        <v>22159792.792792793</v>
      </c>
      <c r="Q182">
        <v>5658558.558558559</v>
      </c>
      <c r="R182">
        <v>6806756.7567567565</v>
      </c>
      <c r="S182">
        <v>3790</v>
      </c>
      <c r="T182">
        <v>3726</v>
      </c>
    </row>
    <row r="183" spans="1:20" x14ac:dyDescent="0.35">
      <c r="A183" s="7" t="s">
        <v>275</v>
      </c>
      <c r="B183" s="12" t="s">
        <v>260</v>
      </c>
      <c r="C183">
        <v>139851420.35467446</v>
      </c>
      <c r="D183">
        <v>128430509.96954979</v>
      </c>
      <c r="E183">
        <v>5109909.9099099096</v>
      </c>
      <c r="F183">
        <v>4232882.8828828819</v>
      </c>
      <c r="G183">
        <v>18</v>
      </c>
      <c r="H183">
        <v>10</v>
      </c>
      <c r="K183">
        <v>19</v>
      </c>
      <c r="L183">
        <v>14</v>
      </c>
      <c r="M183">
        <v>21178378.37837838</v>
      </c>
      <c r="N183">
        <v>29925225.225225229</v>
      </c>
      <c r="O183">
        <v>30851846.846846849</v>
      </c>
      <c r="P183">
        <v>28418189.189189192</v>
      </c>
      <c r="Q183">
        <v>23433603.603603605</v>
      </c>
      <c r="R183">
        <v>27043243.243243244</v>
      </c>
      <c r="S183">
        <v>5992</v>
      </c>
      <c r="T183">
        <v>5754</v>
      </c>
    </row>
    <row r="184" spans="1:20" x14ac:dyDescent="0.35">
      <c r="A184" s="7" t="s">
        <v>276</v>
      </c>
      <c r="B184" s="12" t="s">
        <v>134</v>
      </c>
      <c r="C184">
        <v>167042495.05106837</v>
      </c>
      <c r="D184">
        <v>167758750.52058041</v>
      </c>
      <c r="E184">
        <v>25225.225225225</v>
      </c>
      <c r="F184">
        <v>193693.69369369399</v>
      </c>
      <c r="G184">
        <v>31</v>
      </c>
      <c r="H184">
        <v>29</v>
      </c>
      <c r="K184">
        <v>32</v>
      </c>
      <c r="L184">
        <v>33</v>
      </c>
      <c r="M184">
        <v>6331531.5315315323</v>
      </c>
      <c r="N184">
        <v>8301801.8018018007</v>
      </c>
      <c r="O184">
        <v>14627144.144144144</v>
      </c>
      <c r="P184">
        <v>13852058.558558561</v>
      </c>
      <c r="Q184">
        <v>4421351.3513513505</v>
      </c>
      <c r="R184">
        <v>3799549.5495495498</v>
      </c>
      <c r="S184">
        <v>5198</v>
      </c>
      <c r="T184">
        <v>6187</v>
      </c>
    </row>
    <row r="185" spans="1:20" x14ac:dyDescent="0.35">
      <c r="A185" s="7" t="s">
        <v>277</v>
      </c>
      <c r="B185" s="12" t="s">
        <v>169</v>
      </c>
      <c r="C185">
        <v>122027673.18639898</v>
      </c>
      <c r="D185">
        <v>95721246.717514321</v>
      </c>
      <c r="E185">
        <v>308108.10810810799</v>
      </c>
      <c r="F185">
        <v>107207.207207208</v>
      </c>
      <c r="G185">
        <v>19</v>
      </c>
      <c r="H185">
        <v>12</v>
      </c>
      <c r="K185">
        <v>19</v>
      </c>
      <c r="L185">
        <v>27</v>
      </c>
      <c r="M185">
        <v>9317117.1171171162</v>
      </c>
      <c r="N185">
        <v>8233333.333333333</v>
      </c>
      <c r="O185">
        <v>48938765.765765771</v>
      </c>
      <c r="P185">
        <v>42309581.081081077</v>
      </c>
      <c r="Q185">
        <v>8254684.6846846854</v>
      </c>
      <c r="R185">
        <v>4504414.4144144151</v>
      </c>
      <c r="S185">
        <v>3316</v>
      </c>
      <c r="T185">
        <v>3184</v>
      </c>
    </row>
    <row r="186" spans="1:20" x14ac:dyDescent="0.35">
      <c r="A186" s="7" t="s">
        <v>278</v>
      </c>
      <c r="B186" s="12" t="s">
        <v>169</v>
      </c>
      <c r="C186">
        <v>48818977.349293992</v>
      </c>
      <c r="D186">
        <v>50276111.405222513</v>
      </c>
      <c r="E186">
        <v>900.900900901</v>
      </c>
      <c r="F186">
        <v>3603.603603604</v>
      </c>
      <c r="G186">
        <v>2</v>
      </c>
      <c r="H186">
        <v>7</v>
      </c>
      <c r="K186">
        <v>2</v>
      </c>
      <c r="L186">
        <v>8</v>
      </c>
      <c r="M186">
        <v>1802702.702702703</v>
      </c>
      <c r="N186">
        <v>2706306.3063063058</v>
      </c>
      <c r="O186">
        <v>18274621.62162162</v>
      </c>
      <c r="P186">
        <v>22842481.981981985</v>
      </c>
      <c r="Q186">
        <v>2008558.558558559</v>
      </c>
      <c r="R186">
        <v>2707207.2072072071</v>
      </c>
      <c r="S186">
        <v>2028</v>
      </c>
      <c r="T186">
        <v>2003</v>
      </c>
    </row>
    <row r="187" spans="1:20" x14ac:dyDescent="0.35">
      <c r="A187" s="7" t="s">
        <v>279</v>
      </c>
      <c r="B187" s="12" t="s">
        <v>87</v>
      </c>
      <c r="C187">
        <v>1509963.7548301651</v>
      </c>
      <c r="D187">
        <v>1459781.3403321221</v>
      </c>
      <c r="G187">
        <v>2</v>
      </c>
      <c r="H187">
        <v>3</v>
      </c>
      <c r="K187">
        <v>4</v>
      </c>
      <c r="L187">
        <v>3</v>
      </c>
      <c r="O187">
        <v>720718.91891891905</v>
      </c>
      <c r="P187">
        <v>494288.28828828799</v>
      </c>
      <c r="S187">
        <v>198</v>
      </c>
      <c r="T187">
        <v>141</v>
      </c>
    </row>
    <row r="188" spans="1:20" x14ac:dyDescent="0.35">
      <c r="A188" s="7" t="s">
        <v>280</v>
      </c>
      <c r="B188" s="12" t="s">
        <v>169</v>
      </c>
      <c r="C188">
        <v>93101638.652833298</v>
      </c>
      <c r="D188">
        <v>99208199.182455227</v>
      </c>
      <c r="E188">
        <v>806756.75675675704</v>
      </c>
      <c r="F188">
        <v>476576.57657657698</v>
      </c>
      <c r="G188">
        <v>10</v>
      </c>
      <c r="H188">
        <v>28</v>
      </c>
      <c r="K188">
        <v>12</v>
      </c>
      <c r="L188">
        <v>31</v>
      </c>
      <c r="M188">
        <v>9311981.9819819797</v>
      </c>
      <c r="N188">
        <v>16476576.576576576</v>
      </c>
      <c r="O188">
        <v>35742207.20720721</v>
      </c>
      <c r="P188">
        <v>41521972.972972974</v>
      </c>
      <c r="Q188">
        <v>10283783.783783784</v>
      </c>
      <c r="R188">
        <v>15303873.873873873</v>
      </c>
      <c r="S188">
        <v>4137</v>
      </c>
      <c r="T188">
        <v>4073</v>
      </c>
    </row>
    <row r="189" spans="1:20" x14ac:dyDescent="0.35">
      <c r="A189" s="7" t="s">
        <v>281</v>
      </c>
      <c r="B189" s="12" t="s">
        <v>54</v>
      </c>
      <c r="C189">
        <v>76348120.427900225</v>
      </c>
      <c r="D189">
        <v>72911127.076530963</v>
      </c>
      <c r="E189">
        <v>75225.225225225993</v>
      </c>
      <c r="F189">
        <v>856756.75675675995</v>
      </c>
      <c r="G189">
        <v>28</v>
      </c>
      <c r="H189">
        <v>22</v>
      </c>
      <c r="K189">
        <v>38</v>
      </c>
      <c r="L189">
        <v>28</v>
      </c>
      <c r="M189">
        <v>8069819.8198198173</v>
      </c>
      <c r="N189">
        <v>7075675.6756756762</v>
      </c>
      <c r="O189">
        <v>16267279.27927928</v>
      </c>
      <c r="P189">
        <v>15559846.846846849</v>
      </c>
      <c r="Q189">
        <v>7881081.0810810793</v>
      </c>
      <c r="R189">
        <v>7865135.1351351384</v>
      </c>
      <c r="S189">
        <v>3728</v>
      </c>
      <c r="T189">
        <v>3720</v>
      </c>
    </row>
    <row r="190" spans="1:20" x14ac:dyDescent="0.35">
      <c r="A190" s="7" t="s">
        <v>282</v>
      </c>
      <c r="B190" s="12" t="s">
        <v>283</v>
      </c>
      <c r="C190">
        <v>122529388.36128767</v>
      </c>
      <c r="D190">
        <v>84664630.797515124</v>
      </c>
      <c r="E190">
        <v>46396.396396397002</v>
      </c>
      <c r="F190">
        <v>244144.14414414499</v>
      </c>
      <c r="G190">
        <v>59</v>
      </c>
      <c r="H190">
        <v>22</v>
      </c>
      <c r="K190">
        <v>62</v>
      </c>
      <c r="L190">
        <v>29</v>
      </c>
      <c r="M190">
        <v>3956306.3063063072</v>
      </c>
      <c r="N190">
        <v>6154054.0540540554</v>
      </c>
      <c r="O190">
        <v>14812792.792792792</v>
      </c>
      <c r="P190">
        <v>15404819.819819819</v>
      </c>
      <c r="Q190">
        <v>4403963.963963965</v>
      </c>
      <c r="R190">
        <v>5923333.333333333</v>
      </c>
      <c r="S190">
        <v>3295</v>
      </c>
      <c r="T190">
        <v>2917</v>
      </c>
    </row>
    <row r="191" spans="1:20" x14ac:dyDescent="0.35">
      <c r="A191" s="7" t="s">
        <v>284</v>
      </c>
      <c r="B191" s="12" t="s">
        <v>283</v>
      </c>
      <c r="C191">
        <v>205432206.28705803</v>
      </c>
      <c r="D191">
        <v>210583638.43354625</v>
      </c>
      <c r="E191">
        <v>843693.69369369396</v>
      </c>
      <c r="F191">
        <v>1322972.9729729779</v>
      </c>
      <c r="G191">
        <v>36</v>
      </c>
      <c r="H191">
        <v>32</v>
      </c>
      <c r="K191">
        <v>42</v>
      </c>
      <c r="L191">
        <v>51</v>
      </c>
      <c r="M191">
        <v>25175225.225225225</v>
      </c>
      <c r="N191">
        <v>22451351.351351351</v>
      </c>
      <c r="O191">
        <v>39519666.666666664</v>
      </c>
      <c r="P191">
        <v>44193608.108108111</v>
      </c>
      <c r="Q191">
        <v>19687927.927927926</v>
      </c>
      <c r="R191">
        <v>20532522.52252252</v>
      </c>
      <c r="S191">
        <v>8154</v>
      </c>
      <c r="T191">
        <v>8034</v>
      </c>
    </row>
    <row r="192" spans="1:20" x14ac:dyDescent="0.35">
      <c r="A192" s="7" t="s">
        <v>285</v>
      </c>
      <c r="B192" s="12" t="s">
        <v>283</v>
      </c>
      <c r="C192">
        <v>110148418.90121312</v>
      </c>
      <c r="D192">
        <v>112659118.36132553</v>
      </c>
      <c r="E192">
        <v>1356756.7567567581</v>
      </c>
      <c r="F192">
        <v>514414.41441441601</v>
      </c>
      <c r="G192">
        <v>41</v>
      </c>
      <c r="H192">
        <v>14</v>
      </c>
      <c r="K192">
        <v>43</v>
      </c>
      <c r="L192">
        <v>33</v>
      </c>
      <c r="M192">
        <v>26164864.864864863</v>
      </c>
      <c r="N192">
        <v>28379279.27927928</v>
      </c>
      <c r="O192">
        <v>36024576.576576576</v>
      </c>
      <c r="P192">
        <v>35684702.702702701</v>
      </c>
      <c r="Q192">
        <v>23914414.414414417</v>
      </c>
      <c r="R192">
        <v>26495855.855855856</v>
      </c>
      <c r="S192">
        <v>4698</v>
      </c>
      <c r="T192">
        <v>4623</v>
      </c>
    </row>
    <row r="193" spans="1:20" x14ac:dyDescent="0.35">
      <c r="A193" s="7" t="s">
        <v>286</v>
      </c>
      <c r="B193" s="12" t="s">
        <v>283</v>
      </c>
      <c r="C193">
        <v>83943656.286067203</v>
      </c>
      <c r="D193">
        <v>82137436.118654788</v>
      </c>
      <c r="E193">
        <v>79653510.810810819</v>
      </c>
      <c r="F193">
        <v>107731422.52252252</v>
      </c>
      <c r="G193">
        <v>14</v>
      </c>
      <c r="H193">
        <v>3</v>
      </c>
      <c r="K193">
        <v>15</v>
      </c>
      <c r="L193">
        <v>4</v>
      </c>
      <c r="M193">
        <v>11616936.936936937</v>
      </c>
      <c r="N193">
        <v>19844556.756756756</v>
      </c>
      <c r="O193">
        <v>13717153.153153153</v>
      </c>
      <c r="P193">
        <v>16282585.585585587</v>
      </c>
      <c r="Q193">
        <v>2729819.8198198201</v>
      </c>
      <c r="R193">
        <v>7789549.5495495498</v>
      </c>
      <c r="S193">
        <v>2586</v>
      </c>
      <c r="T193">
        <v>2518</v>
      </c>
    </row>
    <row r="194" spans="1:20" x14ac:dyDescent="0.35">
      <c r="A194" s="7" t="s">
        <v>287</v>
      </c>
      <c r="B194" s="12" t="s">
        <v>283</v>
      </c>
      <c r="C194">
        <v>36754190.609460659</v>
      </c>
      <c r="D194">
        <v>41745986.605777279</v>
      </c>
      <c r="E194">
        <v>75675.675675676001</v>
      </c>
      <c r="F194">
        <v>311711.711711713</v>
      </c>
      <c r="G194">
        <v>3</v>
      </c>
      <c r="K194">
        <v>4</v>
      </c>
      <c r="L194">
        <v>1</v>
      </c>
      <c r="M194">
        <v>75675.675675676001</v>
      </c>
      <c r="N194">
        <v>12257657.657657659</v>
      </c>
      <c r="O194">
        <v>6664684.6846846836</v>
      </c>
      <c r="P194">
        <v>7422360.3603603598</v>
      </c>
      <c r="R194">
        <v>11892342.342342343</v>
      </c>
      <c r="S194">
        <v>1393</v>
      </c>
      <c r="T194">
        <v>1387</v>
      </c>
    </row>
    <row r="195" spans="1:20" x14ac:dyDescent="0.35">
      <c r="A195" s="7" t="s">
        <v>288</v>
      </c>
      <c r="B195" s="12" t="s">
        <v>283</v>
      </c>
      <c r="C195">
        <v>6548791.3365129102</v>
      </c>
      <c r="D195">
        <v>6976718.7327560522</v>
      </c>
      <c r="F195">
        <v>180180.18018018</v>
      </c>
      <c r="G195">
        <v>1</v>
      </c>
      <c r="K195">
        <v>1</v>
      </c>
      <c r="N195">
        <v>5423423.4234234244</v>
      </c>
      <c r="O195">
        <v>727477.47747747705</v>
      </c>
      <c r="P195">
        <v>1003477.477477477</v>
      </c>
      <c r="R195">
        <v>5243243.2432432435</v>
      </c>
      <c r="S195">
        <v>294</v>
      </c>
      <c r="T195">
        <v>332</v>
      </c>
    </row>
    <row r="196" spans="1:20" x14ac:dyDescent="0.35">
      <c r="A196" s="7" t="s">
        <v>289</v>
      </c>
      <c r="B196" s="12" t="s">
        <v>290</v>
      </c>
      <c r="C196">
        <v>86524581.797290385</v>
      </c>
      <c r="D196">
        <v>87449168.150598064</v>
      </c>
      <c r="E196">
        <v>27927.927927928002</v>
      </c>
      <c r="F196">
        <v>115315.31531531599</v>
      </c>
      <c r="G196">
        <v>35</v>
      </c>
      <c r="H196">
        <v>18</v>
      </c>
      <c r="K196">
        <v>43</v>
      </c>
      <c r="L196">
        <v>21</v>
      </c>
      <c r="M196">
        <v>1419819.819819821</v>
      </c>
      <c r="N196">
        <v>126126.126126127</v>
      </c>
      <c r="O196">
        <v>8047115.3153153164</v>
      </c>
      <c r="P196">
        <v>7341938.7387387399</v>
      </c>
      <c r="Q196">
        <v>734234.23423423502</v>
      </c>
      <c r="R196">
        <v>219369.369369369</v>
      </c>
      <c r="S196">
        <v>4048</v>
      </c>
      <c r="T196">
        <v>4518</v>
      </c>
    </row>
    <row r="197" spans="1:20" x14ac:dyDescent="0.35">
      <c r="A197" s="7" t="s">
        <v>291</v>
      </c>
      <c r="B197" s="12" t="s">
        <v>147</v>
      </c>
      <c r="C197">
        <v>193742542.06786051</v>
      </c>
      <c r="D197">
        <v>193210717.77225056</v>
      </c>
      <c r="E197">
        <v>365765.76576576702</v>
      </c>
      <c r="F197">
        <v>3001801.801801804</v>
      </c>
      <c r="G197">
        <v>32</v>
      </c>
      <c r="H197">
        <v>42</v>
      </c>
      <c r="K197">
        <v>42</v>
      </c>
      <c r="L197">
        <v>52</v>
      </c>
      <c r="M197">
        <v>30265225.225225221</v>
      </c>
      <c r="N197">
        <v>79111261.261261269</v>
      </c>
      <c r="O197">
        <v>64586036.036036037</v>
      </c>
      <c r="P197">
        <v>70839486.486486495</v>
      </c>
      <c r="Q197">
        <v>27449189.189189184</v>
      </c>
      <c r="R197">
        <v>75598648.648648635</v>
      </c>
      <c r="S197">
        <v>7564</v>
      </c>
      <c r="T197">
        <v>7771</v>
      </c>
    </row>
    <row r="198" spans="1:20" x14ac:dyDescent="0.35">
      <c r="A198" s="7" t="s">
        <v>292</v>
      </c>
      <c r="B198" s="12" t="s">
        <v>293</v>
      </c>
      <c r="C198">
        <v>101506861.68341592</v>
      </c>
      <c r="D198">
        <v>93048150.606747732</v>
      </c>
      <c r="E198">
        <v>62162.162162166002</v>
      </c>
      <c r="F198">
        <v>1318918.9189189191</v>
      </c>
      <c r="G198">
        <v>8</v>
      </c>
      <c r="H198">
        <v>8</v>
      </c>
      <c r="K198">
        <v>11</v>
      </c>
      <c r="L198">
        <v>9</v>
      </c>
      <c r="M198">
        <v>15999099.099099098</v>
      </c>
      <c r="N198">
        <v>16206936.936936937</v>
      </c>
      <c r="O198">
        <v>11797207.207207208</v>
      </c>
      <c r="P198">
        <v>13102252.252252253</v>
      </c>
      <c r="Q198">
        <v>15744594.59459459</v>
      </c>
      <c r="R198">
        <v>16990720.720720723</v>
      </c>
      <c r="S198">
        <v>3575</v>
      </c>
      <c r="T198">
        <v>3376</v>
      </c>
    </row>
    <row r="199" spans="1:20" x14ac:dyDescent="0.35">
      <c r="A199" s="7" t="s">
        <v>294</v>
      </c>
      <c r="B199" s="12" t="s">
        <v>290</v>
      </c>
      <c r="C199">
        <v>29242151.233699724</v>
      </c>
      <c r="D199">
        <v>20598967.230799463</v>
      </c>
      <c r="E199">
        <v>432432.43243243202</v>
      </c>
      <c r="F199">
        <v>567567.56756756804</v>
      </c>
      <c r="G199">
        <v>14</v>
      </c>
      <c r="H199">
        <v>5</v>
      </c>
      <c r="K199">
        <v>15</v>
      </c>
      <c r="L199">
        <v>5</v>
      </c>
      <c r="M199">
        <v>1333333.333333333</v>
      </c>
      <c r="N199">
        <v>2370270.2702702698</v>
      </c>
      <c r="O199">
        <v>3411801.8018018012</v>
      </c>
      <c r="P199">
        <v>3108108.1081081079</v>
      </c>
      <c r="Q199">
        <v>1237927.927927928</v>
      </c>
      <c r="R199">
        <v>1575225.2252252251</v>
      </c>
      <c r="S199">
        <v>1284</v>
      </c>
      <c r="T199">
        <v>1124</v>
      </c>
    </row>
    <row r="200" spans="1:20" x14ac:dyDescent="0.35">
      <c r="A200" s="7" t="s">
        <v>295</v>
      </c>
      <c r="B200" s="12" t="s">
        <v>52</v>
      </c>
      <c r="C200">
        <v>277713248.07291961</v>
      </c>
      <c r="D200">
        <v>271678670.89111483</v>
      </c>
      <c r="E200">
        <v>37964864.864864863</v>
      </c>
      <c r="F200">
        <v>119905405.4054054</v>
      </c>
      <c r="G200">
        <v>51</v>
      </c>
      <c r="H200">
        <v>72</v>
      </c>
      <c r="K200">
        <v>65</v>
      </c>
      <c r="L200">
        <v>113</v>
      </c>
      <c r="M200">
        <v>131001801.80180179</v>
      </c>
      <c r="N200">
        <v>49212432.432432435</v>
      </c>
      <c r="O200">
        <v>72077927.927927926</v>
      </c>
      <c r="P200">
        <v>73146684.684684694</v>
      </c>
      <c r="Q200">
        <v>141686396.3963964</v>
      </c>
      <c r="R200">
        <v>62935765.765765771</v>
      </c>
      <c r="S200">
        <v>11755</v>
      </c>
      <c r="T200">
        <v>11632</v>
      </c>
    </row>
    <row r="201" spans="1:20" x14ac:dyDescent="0.35">
      <c r="A201" s="7" t="s">
        <v>296</v>
      </c>
      <c r="B201" s="12" t="s">
        <v>169</v>
      </c>
      <c r="C201">
        <v>86419841.312460035</v>
      </c>
      <c r="D201">
        <v>78381952.871199071</v>
      </c>
      <c r="E201">
        <v>68582882.882882878</v>
      </c>
      <c r="F201">
        <v>74900900.9009009</v>
      </c>
      <c r="G201">
        <v>12</v>
      </c>
      <c r="H201">
        <v>10</v>
      </c>
      <c r="I201">
        <v>1</v>
      </c>
      <c r="K201">
        <v>14</v>
      </c>
      <c r="L201">
        <v>15</v>
      </c>
      <c r="M201">
        <v>8207657.6576576577</v>
      </c>
      <c r="N201">
        <v>8975495.4954954963</v>
      </c>
      <c r="O201">
        <v>18589297.297297295</v>
      </c>
      <c r="P201">
        <v>17418144.144144144</v>
      </c>
      <c r="Q201">
        <v>3432252.2522522528</v>
      </c>
      <c r="R201">
        <v>4700270.2702702703</v>
      </c>
      <c r="S201">
        <v>2763</v>
      </c>
      <c r="T201">
        <v>4257</v>
      </c>
    </row>
    <row r="202" spans="1:20" x14ac:dyDescent="0.35">
      <c r="A202" s="7" t="s">
        <v>297</v>
      </c>
      <c r="B202" s="12" t="s">
        <v>169</v>
      </c>
      <c r="C202">
        <v>71060808.636888728</v>
      </c>
      <c r="D202">
        <v>106472304.03353171</v>
      </c>
      <c r="E202">
        <v>900.900900901</v>
      </c>
      <c r="F202">
        <v>57657.657657657997</v>
      </c>
      <c r="G202">
        <v>10</v>
      </c>
      <c r="H202">
        <v>22</v>
      </c>
      <c r="K202">
        <v>11</v>
      </c>
      <c r="L202">
        <v>40</v>
      </c>
      <c r="M202">
        <v>799109009.009009</v>
      </c>
      <c r="N202">
        <v>1820787387.3873873</v>
      </c>
      <c r="O202">
        <v>25004270.270270273</v>
      </c>
      <c r="P202">
        <v>40194873.873873875</v>
      </c>
      <c r="Q202">
        <v>653786108.10810816</v>
      </c>
      <c r="R202">
        <v>1775844140.5405405</v>
      </c>
      <c r="S202">
        <v>2826</v>
      </c>
      <c r="T202">
        <v>2823</v>
      </c>
    </row>
    <row r="203" spans="1:20" x14ac:dyDescent="0.35">
      <c r="A203" s="7" t="s">
        <v>298</v>
      </c>
      <c r="B203" s="12" t="s">
        <v>89</v>
      </c>
      <c r="C203">
        <v>324089935.22553635</v>
      </c>
      <c r="D203">
        <v>313198907.50108349</v>
      </c>
      <c r="E203">
        <v>335675.67567567597</v>
      </c>
      <c r="F203">
        <v>1100000.0000000091</v>
      </c>
      <c r="G203">
        <v>50</v>
      </c>
      <c r="H203">
        <v>59</v>
      </c>
      <c r="I203">
        <v>1</v>
      </c>
      <c r="K203">
        <v>59</v>
      </c>
      <c r="L203">
        <v>86</v>
      </c>
      <c r="M203">
        <v>21114594.59459459</v>
      </c>
      <c r="N203">
        <v>18346126.126126129</v>
      </c>
      <c r="O203">
        <v>58702522.522522517</v>
      </c>
      <c r="P203">
        <v>60682094.59459459</v>
      </c>
      <c r="Q203">
        <v>19123603.603603598</v>
      </c>
      <c r="R203">
        <v>23061621.62162162</v>
      </c>
      <c r="S203">
        <v>10833</v>
      </c>
      <c r="T203">
        <v>11094</v>
      </c>
    </row>
    <row r="204" spans="1:20" x14ac:dyDescent="0.35">
      <c r="A204" s="7" t="s">
        <v>299</v>
      </c>
      <c r="B204" s="12" t="s">
        <v>134</v>
      </c>
      <c r="C204">
        <v>160375811.53995723</v>
      </c>
      <c r="D204">
        <v>169581375.38239068</v>
      </c>
      <c r="E204">
        <v>930630.63063063298</v>
      </c>
      <c r="F204">
        <v>1248648.648648652</v>
      </c>
      <c r="G204">
        <v>43</v>
      </c>
      <c r="H204">
        <v>38</v>
      </c>
      <c r="K204">
        <v>53</v>
      </c>
      <c r="L204">
        <v>50</v>
      </c>
      <c r="M204">
        <v>15083783.783783782</v>
      </c>
      <c r="N204">
        <v>12239639.63963964</v>
      </c>
      <c r="O204">
        <v>20018944.144144144</v>
      </c>
      <c r="P204">
        <v>21245135.135135137</v>
      </c>
      <c r="Q204">
        <v>11701124.324324325</v>
      </c>
      <c r="R204">
        <v>10578198.198198197</v>
      </c>
      <c r="S204">
        <v>7004</v>
      </c>
      <c r="T204">
        <v>6953</v>
      </c>
    </row>
    <row r="205" spans="1:20" x14ac:dyDescent="0.35">
      <c r="A205" s="7" t="s">
        <v>300</v>
      </c>
      <c r="B205" s="12" t="s">
        <v>290</v>
      </c>
      <c r="C205">
        <v>129072389.1299905</v>
      </c>
      <c r="D205">
        <v>118547570.84000839</v>
      </c>
      <c r="E205">
        <v>485135.13513513701</v>
      </c>
      <c r="F205">
        <v>2071171.1711711709</v>
      </c>
      <c r="G205">
        <v>66</v>
      </c>
      <c r="H205">
        <v>44</v>
      </c>
      <c r="K205">
        <v>75</v>
      </c>
      <c r="L205">
        <v>52</v>
      </c>
      <c r="M205">
        <v>14034684.684684686</v>
      </c>
      <c r="N205">
        <v>10964864.864864863</v>
      </c>
      <c r="O205">
        <v>17603648.648648649</v>
      </c>
      <c r="P205">
        <v>15947917.117117116</v>
      </c>
      <c r="Q205">
        <v>11257297.297297301</v>
      </c>
      <c r="R205">
        <v>9171531.5315315276</v>
      </c>
      <c r="S205">
        <v>4356</v>
      </c>
      <c r="T205">
        <v>4337</v>
      </c>
    </row>
    <row r="206" spans="1:20" x14ac:dyDescent="0.35">
      <c r="A206" s="7" t="s">
        <v>301</v>
      </c>
      <c r="B206" s="12" t="s">
        <v>80</v>
      </c>
      <c r="C206">
        <v>185717547.20021284</v>
      </c>
      <c r="D206">
        <v>170750470.03517443</v>
      </c>
      <c r="E206">
        <v>424774.77477477503</v>
      </c>
      <c r="F206">
        <v>2884459.4594594608</v>
      </c>
      <c r="G206">
        <v>49</v>
      </c>
      <c r="H206">
        <v>25</v>
      </c>
      <c r="K206">
        <v>52</v>
      </c>
      <c r="L206">
        <v>27</v>
      </c>
      <c r="M206">
        <v>17670000</v>
      </c>
      <c r="N206">
        <v>17781081.081081077</v>
      </c>
      <c r="O206">
        <v>40972391.891891889</v>
      </c>
      <c r="P206">
        <v>35185045.045045048</v>
      </c>
      <c r="Q206">
        <v>16540810.810810812</v>
      </c>
      <c r="R206">
        <v>14980180.180180175</v>
      </c>
      <c r="S206">
        <v>5905</v>
      </c>
      <c r="T206">
        <v>5742</v>
      </c>
    </row>
    <row r="207" spans="1:20" x14ac:dyDescent="0.35">
      <c r="A207" s="7" t="s">
        <v>302</v>
      </c>
      <c r="B207" s="12" t="s">
        <v>72</v>
      </c>
      <c r="C207">
        <v>271856430.08432257</v>
      </c>
      <c r="D207">
        <v>267560515.28332263</v>
      </c>
      <c r="E207">
        <v>48648.64864865</v>
      </c>
      <c r="F207">
        <v>779279.27927928499</v>
      </c>
      <c r="G207">
        <v>58</v>
      </c>
      <c r="H207">
        <v>71</v>
      </c>
      <c r="I207">
        <v>2</v>
      </c>
      <c r="K207">
        <v>62</v>
      </c>
      <c r="L207">
        <v>79</v>
      </c>
      <c r="M207">
        <v>20336936.936936937</v>
      </c>
      <c r="N207">
        <v>11649549.549549552</v>
      </c>
      <c r="O207">
        <v>37595621.621621624</v>
      </c>
      <c r="P207">
        <v>41860090.090090089</v>
      </c>
      <c r="Q207">
        <v>15355945.945945948</v>
      </c>
      <c r="R207">
        <v>13541711.711711712</v>
      </c>
      <c r="S207">
        <v>8951</v>
      </c>
      <c r="T207">
        <v>8951</v>
      </c>
    </row>
    <row r="208" spans="1:20" x14ac:dyDescent="0.35">
      <c r="A208" s="7" t="s">
        <v>303</v>
      </c>
      <c r="B208" s="12" t="s">
        <v>304</v>
      </c>
      <c r="C208">
        <v>936475.96760271804</v>
      </c>
      <c r="D208">
        <v>973864.22553110495</v>
      </c>
      <c r="O208">
        <v>439414.41441441397</v>
      </c>
      <c r="P208">
        <v>485225.22522522497</v>
      </c>
      <c r="S208">
        <v>64</v>
      </c>
      <c r="T208">
        <v>71</v>
      </c>
    </row>
    <row r="209" spans="1:20" x14ac:dyDescent="0.35">
      <c r="A209" s="7" t="s">
        <v>305</v>
      </c>
      <c r="B209" s="12" t="s">
        <v>117</v>
      </c>
      <c r="C209">
        <v>39921690.394274168</v>
      </c>
      <c r="D209">
        <v>34570908.188495427</v>
      </c>
      <c r="E209">
        <v>16216.216216217999</v>
      </c>
      <c r="F209">
        <v>248648.648648651</v>
      </c>
      <c r="G209">
        <v>4</v>
      </c>
      <c r="H209">
        <v>1</v>
      </c>
      <c r="K209">
        <v>5</v>
      </c>
      <c r="L209">
        <v>1</v>
      </c>
      <c r="M209">
        <v>1423063.063063063</v>
      </c>
      <c r="N209">
        <v>1989909.9099099119</v>
      </c>
      <c r="O209">
        <v>16023198.198198197</v>
      </c>
      <c r="P209">
        <v>14983693.693693694</v>
      </c>
      <c r="Q209">
        <v>1501891.89189189</v>
      </c>
      <c r="R209">
        <v>1736756.7567567569</v>
      </c>
      <c r="S209">
        <v>1811</v>
      </c>
      <c r="T209">
        <v>1698</v>
      </c>
    </row>
    <row r="210" spans="1:20" x14ac:dyDescent="0.35">
      <c r="A210" s="7" t="s">
        <v>306</v>
      </c>
      <c r="B210" s="12" t="s">
        <v>307</v>
      </c>
      <c r="C210">
        <v>43727792.600802138</v>
      </c>
      <c r="D210">
        <v>41599828.150915504</v>
      </c>
      <c r="E210">
        <v>43243.243243243996</v>
      </c>
      <c r="F210">
        <v>900.900900901</v>
      </c>
      <c r="G210">
        <v>16</v>
      </c>
      <c r="H210">
        <v>20</v>
      </c>
      <c r="K210">
        <v>18</v>
      </c>
      <c r="L210">
        <v>29</v>
      </c>
      <c r="M210">
        <v>913873.87387387303</v>
      </c>
      <c r="N210">
        <v>482882.88288288302</v>
      </c>
      <c r="O210">
        <v>21766261.261261258</v>
      </c>
      <c r="P210">
        <v>21837459.459459461</v>
      </c>
      <c r="Q210">
        <v>865675.67567567504</v>
      </c>
      <c r="R210">
        <v>286846.84684684698</v>
      </c>
      <c r="S210">
        <v>4421</v>
      </c>
      <c r="T210">
        <v>4326</v>
      </c>
    </row>
    <row r="211" spans="1:20" x14ac:dyDescent="0.35">
      <c r="A211" s="7" t="s">
        <v>308</v>
      </c>
      <c r="B211" s="12" t="s">
        <v>140</v>
      </c>
      <c r="C211">
        <v>279140398.92693996</v>
      </c>
      <c r="D211">
        <v>285106444.79718715</v>
      </c>
      <c r="E211">
        <v>306441.441441442</v>
      </c>
      <c r="F211">
        <v>1030630.6306306371</v>
      </c>
      <c r="G211">
        <v>23</v>
      </c>
      <c r="H211">
        <v>48</v>
      </c>
      <c r="K211">
        <v>38</v>
      </c>
      <c r="L211">
        <v>61</v>
      </c>
      <c r="M211">
        <v>43473423.423423424</v>
      </c>
      <c r="N211">
        <v>50001801.801801801</v>
      </c>
      <c r="O211">
        <v>57716619.819819823</v>
      </c>
      <c r="P211">
        <v>62478018.018018015</v>
      </c>
      <c r="Q211">
        <v>24277027.02702703</v>
      </c>
      <c r="R211">
        <v>29523513.513513517</v>
      </c>
      <c r="S211">
        <v>7815</v>
      </c>
      <c r="T211">
        <v>8287</v>
      </c>
    </row>
    <row r="212" spans="1:20" x14ac:dyDescent="0.35">
      <c r="A212" s="7" t="s">
        <v>309</v>
      </c>
      <c r="B212" s="12" t="s">
        <v>132</v>
      </c>
      <c r="C212">
        <v>320364579.02755481</v>
      </c>
      <c r="D212">
        <v>260489736.4626582</v>
      </c>
      <c r="E212">
        <v>1596396.3963963969</v>
      </c>
      <c r="F212">
        <v>2389189.189189191</v>
      </c>
      <c r="G212">
        <v>78</v>
      </c>
      <c r="H212">
        <v>74</v>
      </c>
      <c r="K212">
        <v>94</v>
      </c>
      <c r="L212">
        <v>90</v>
      </c>
      <c r="M212">
        <v>20750225.225225229</v>
      </c>
      <c r="N212">
        <v>14200000</v>
      </c>
      <c r="O212">
        <v>85723162.162162155</v>
      </c>
      <c r="P212">
        <v>70049063.06306307</v>
      </c>
      <c r="Q212">
        <v>15169324.324324327</v>
      </c>
      <c r="R212">
        <v>10250900.900900902</v>
      </c>
      <c r="S212">
        <v>12471</v>
      </c>
      <c r="T212">
        <v>12677</v>
      </c>
    </row>
    <row r="213" spans="1:20" x14ac:dyDescent="0.35">
      <c r="A213" s="7" t="s">
        <v>310</v>
      </c>
      <c r="B213" s="12" t="s">
        <v>72</v>
      </c>
      <c r="C213">
        <v>473804210.21738398</v>
      </c>
      <c r="D213">
        <v>456305131.08957648</v>
      </c>
      <c r="E213">
        <v>1190630.6306306359</v>
      </c>
      <c r="F213">
        <v>3845270.2702702819</v>
      </c>
      <c r="G213">
        <v>96</v>
      </c>
      <c r="H213">
        <v>91</v>
      </c>
      <c r="K213">
        <v>122</v>
      </c>
      <c r="L213">
        <v>124</v>
      </c>
      <c r="M213">
        <v>68849189.189189181</v>
      </c>
      <c r="N213">
        <v>61919819.819819815</v>
      </c>
      <c r="O213">
        <v>108947243.24324325</v>
      </c>
      <c r="P213">
        <v>111021937.38738739</v>
      </c>
      <c r="Q213">
        <v>56619819.819819823</v>
      </c>
      <c r="R213">
        <v>58471171.171171173</v>
      </c>
      <c r="S213">
        <v>16249</v>
      </c>
      <c r="T213">
        <v>16631</v>
      </c>
    </row>
    <row r="214" spans="1:20" x14ac:dyDescent="0.35">
      <c r="A214" s="7" t="s">
        <v>311</v>
      </c>
      <c r="B214" s="12" t="s">
        <v>62</v>
      </c>
      <c r="C214">
        <v>82117043.428612679</v>
      </c>
      <c r="D214">
        <v>77718361.339674324</v>
      </c>
      <c r="E214">
        <v>199099.09909910001</v>
      </c>
      <c r="F214">
        <v>477477.47747748002</v>
      </c>
      <c r="G214">
        <v>10</v>
      </c>
      <c r="H214">
        <v>12</v>
      </c>
      <c r="K214">
        <v>10</v>
      </c>
      <c r="L214">
        <v>14</v>
      </c>
      <c r="M214">
        <v>15975315.315315314</v>
      </c>
      <c r="N214">
        <v>17798018.018018018</v>
      </c>
      <c r="O214">
        <v>22458594.59459459</v>
      </c>
      <c r="P214">
        <v>20685612.612612613</v>
      </c>
      <c r="Q214">
        <v>12853153.153153151</v>
      </c>
      <c r="R214">
        <v>14203423.423423424</v>
      </c>
      <c r="S214">
        <v>2377</v>
      </c>
      <c r="T214">
        <v>2363</v>
      </c>
    </row>
    <row r="215" spans="1:20" x14ac:dyDescent="0.35">
      <c r="A215" s="7" t="s">
        <v>312</v>
      </c>
      <c r="B215" s="12" t="s">
        <v>89</v>
      </c>
      <c r="C215">
        <v>27564320.687106103</v>
      </c>
      <c r="D215">
        <v>26486062.78780432</v>
      </c>
      <c r="E215">
        <v>28828.828828828999</v>
      </c>
      <c r="F215">
        <v>348648.64864864998</v>
      </c>
      <c r="G215">
        <v>5</v>
      </c>
      <c r="H215">
        <v>7</v>
      </c>
      <c r="K215">
        <v>5</v>
      </c>
      <c r="L215">
        <v>7</v>
      </c>
      <c r="M215">
        <v>1569369.3693693681</v>
      </c>
      <c r="N215">
        <v>4592072.0720720701</v>
      </c>
      <c r="O215">
        <v>8035630.6306306301</v>
      </c>
      <c r="P215">
        <v>9019846.8468468487</v>
      </c>
      <c r="Q215">
        <v>1112162.162162161</v>
      </c>
      <c r="R215">
        <v>4539639.6396396384</v>
      </c>
      <c r="S215">
        <v>1404</v>
      </c>
      <c r="T215">
        <v>1222</v>
      </c>
    </row>
    <row r="216" spans="1:20" x14ac:dyDescent="0.35">
      <c r="A216" s="7" t="s">
        <v>313</v>
      </c>
      <c r="B216" s="12" t="s">
        <v>92</v>
      </c>
      <c r="C216">
        <v>12904320.763768008</v>
      </c>
      <c r="D216">
        <v>12210227.799225044</v>
      </c>
      <c r="E216">
        <v>39862799.0990991</v>
      </c>
      <c r="F216">
        <v>76674957.657657668</v>
      </c>
      <c r="G216">
        <v>2</v>
      </c>
      <c r="H216">
        <v>2</v>
      </c>
      <c r="K216">
        <v>2</v>
      </c>
      <c r="L216">
        <v>2</v>
      </c>
      <c r="M216">
        <v>5612612.6126126125</v>
      </c>
      <c r="N216">
        <v>54054.054054054002</v>
      </c>
      <c r="O216">
        <v>1032882.882882883</v>
      </c>
      <c r="P216">
        <v>840765.76576576603</v>
      </c>
      <c r="Q216">
        <v>27027.027027027001</v>
      </c>
      <c r="R216">
        <v>145045.045045045</v>
      </c>
      <c r="S216">
        <v>499</v>
      </c>
      <c r="T216">
        <v>833</v>
      </c>
    </row>
    <row r="217" spans="1:20" x14ac:dyDescent="0.35">
      <c r="A217" s="7" t="s">
        <v>314</v>
      </c>
      <c r="B217" s="12" t="s">
        <v>315</v>
      </c>
      <c r="C217">
        <v>100070347.40237777</v>
      </c>
      <c r="D217">
        <v>90671609.726425648</v>
      </c>
      <c r="E217">
        <v>54954.954954954999</v>
      </c>
      <c r="F217">
        <v>493243.24324324197</v>
      </c>
      <c r="G217">
        <v>32</v>
      </c>
      <c r="H217">
        <v>19</v>
      </c>
      <c r="K217">
        <v>37</v>
      </c>
      <c r="L217">
        <v>19</v>
      </c>
      <c r="M217">
        <v>3156306.3063063039</v>
      </c>
      <c r="N217">
        <v>6694594.5945945922</v>
      </c>
      <c r="O217">
        <v>15447927.927927928</v>
      </c>
      <c r="P217">
        <v>13579882.882882884</v>
      </c>
      <c r="Q217">
        <v>3975585.585585583</v>
      </c>
      <c r="R217">
        <v>5233333.3333333312</v>
      </c>
      <c r="S217">
        <v>3531</v>
      </c>
      <c r="T217">
        <v>3544</v>
      </c>
    </row>
    <row r="218" spans="1:20" x14ac:dyDescent="0.35">
      <c r="A218" s="7" t="s">
        <v>316</v>
      </c>
      <c r="B218" s="12" t="s">
        <v>62</v>
      </c>
      <c r="C218">
        <v>152577965.81563807</v>
      </c>
      <c r="D218">
        <v>156836795.87811199</v>
      </c>
      <c r="E218">
        <v>609459.45945946197</v>
      </c>
      <c r="F218">
        <v>3002702.7027027071</v>
      </c>
      <c r="G218">
        <v>52</v>
      </c>
      <c r="H218">
        <v>31</v>
      </c>
      <c r="K218">
        <v>65</v>
      </c>
      <c r="L218">
        <v>117</v>
      </c>
      <c r="M218">
        <v>9595135.1351351328</v>
      </c>
      <c r="N218">
        <v>27621801.801801801</v>
      </c>
      <c r="O218">
        <v>53995216.216216214</v>
      </c>
      <c r="P218">
        <v>53380333.333333336</v>
      </c>
      <c r="Q218">
        <v>10612702.702702696</v>
      </c>
      <c r="R218">
        <v>26276126.126126129</v>
      </c>
      <c r="S218">
        <v>8818</v>
      </c>
      <c r="T218">
        <v>8741</v>
      </c>
    </row>
    <row r="219" spans="1:20" x14ac:dyDescent="0.35">
      <c r="A219" s="7" t="s">
        <v>317</v>
      </c>
      <c r="B219" s="12" t="s">
        <v>62</v>
      </c>
      <c r="C219">
        <v>154109531.49915156</v>
      </c>
      <c r="D219">
        <v>144021840.81070712</v>
      </c>
      <c r="E219">
        <v>93693.693693695997</v>
      </c>
      <c r="F219">
        <v>1052252.2522522539</v>
      </c>
      <c r="G219">
        <v>50</v>
      </c>
      <c r="H219">
        <v>18</v>
      </c>
      <c r="K219">
        <v>55</v>
      </c>
      <c r="L219">
        <v>26</v>
      </c>
      <c r="M219">
        <v>11845225.225225223</v>
      </c>
      <c r="N219">
        <v>20133873.873873871</v>
      </c>
      <c r="O219">
        <v>51207837.837837838</v>
      </c>
      <c r="P219">
        <v>48905450.45045045</v>
      </c>
      <c r="Q219">
        <v>12723513.513513513</v>
      </c>
      <c r="R219">
        <v>17903063.063063059</v>
      </c>
      <c r="S219">
        <v>5442</v>
      </c>
      <c r="T219">
        <v>5465</v>
      </c>
    </row>
    <row r="220" spans="1:20" x14ac:dyDescent="0.35">
      <c r="A220" s="7" t="s">
        <v>318</v>
      </c>
      <c r="B220" s="12" t="s">
        <v>78</v>
      </c>
      <c r="C220">
        <v>157095862.17227587</v>
      </c>
      <c r="D220">
        <v>148113137.74323818</v>
      </c>
      <c r="E220">
        <v>32563603.603603609</v>
      </c>
      <c r="F220">
        <v>36559459.459459461</v>
      </c>
      <c r="G220">
        <v>27</v>
      </c>
      <c r="H220">
        <v>37</v>
      </c>
      <c r="K220">
        <v>37</v>
      </c>
      <c r="L220">
        <v>72</v>
      </c>
      <c r="M220">
        <v>32437477.477477472</v>
      </c>
      <c r="N220">
        <v>38078378.378378376</v>
      </c>
      <c r="O220">
        <v>64771846.846846849</v>
      </c>
      <c r="P220">
        <v>64290635.135135137</v>
      </c>
      <c r="Q220">
        <v>32951801.801801804</v>
      </c>
      <c r="R220">
        <v>37379549.54954955</v>
      </c>
      <c r="S220">
        <v>9662</v>
      </c>
      <c r="T220">
        <v>8990</v>
      </c>
    </row>
    <row r="221" spans="1:20" x14ac:dyDescent="0.35">
      <c r="A221" s="7" t="s">
        <v>319</v>
      </c>
      <c r="B221" s="12" t="s">
        <v>78</v>
      </c>
      <c r="C221">
        <v>93305563.73475185</v>
      </c>
      <c r="D221">
        <v>87511129.398294047</v>
      </c>
      <c r="E221">
        <v>1458738.7387387389</v>
      </c>
      <c r="F221">
        <v>1471171.171171173</v>
      </c>
      <c r="G221">
        <v>17</v>
      </c>
      <c r="H221">
        <v>30</v>
      </c>
      <c r="I221">
        <v>1</v>
      </c>
      <c r="K221">
        <v>22</v>
      </c>
      <c r="L221">
        <v>50</v>
      </c>
      <c r="M221">
        <v>11256036.036036031</v>
      </c>
      <c r="N221">
        <v>7867567.5675675673</v>
      </c>
      <c r="O221">
        <v>32999252.252252251</v>
      </c>
      <c r="P221">
        <v>31893342.342342343</v>
      </c>
      <c r="Q221">
        <v>9646396.3963963967</v>
      </c>
      <c r="R221">
        <v>6496126.1261261282</v>
      </c>
      <c r="S221">
        <v>3270</v>
      </c>
      <c r="T221">
        <v>4940</v>
      </c>
    </row>
    <row r="222" spans="1:20" x14ac:dyDescent="0.35">
      <c r="A222" s="7" t="s">
        <v>320</v>
      </c>
      <c r="B222" s="12" t="s">
        <v>121</v>
      </c>
      <c r="C222">
        <v>705056.98558140895</v>
      </c>
      <c r="D222">
        <v>653531.61838112702</v>
      </c>
      <c r="E222">
        <v>14414414.414414413</v>
      </c>
      <c r="F222">
        <v>5405405.405405405</v>
      </c>
      <c r="G222">
        <v>1</v>
      </c>
      <c r="K222">
        <v>3</v>
      </c>
      <c r="O222">
        <v>179279.279279279</v>
      </c>
      <c r="P222">
        <v>35225.225225224996</v>
      </c>
      <c r="S222">
        <v>65</v>
      </c>
      <c r="T222">
        <v>53</v>
      </c>
    </row>
    <row r="223" spans="1:20" x14ac:dyDescent="0.35">
      <c r="A223" s="7" t="s">
        <v>321</v>
      </c>
      <c r="B223" s="12" t="s">
        <v>224</v>
      </c>
      <c r="C223">
        <v>118068304.25820057</v>
      </c>
      <c r="D223">
        <v>101467167.18200679</v>
      </c>
      <c r="F223">
        <v>18018.018018018</v>
      </c>
      <c r="G223">
        <v>33</v>
      </c>
      <c r="H223">
        <v>22</v>
      </c>
      <c r="K223">
        <v>34</v>
      </c>
      <c r="L223">
        <v>30</v>
      </c>
      <c r="M223">
        <v>3419819.819819822</v>
      </c>
      <c r="N223">
        <v>1821261.2612612599</v>
      </c>
      <c r="O223">
        <v>42859324.324324317</v>
      </c>
      <c r="P223">
        <v>41686016.216216214</v>
      </c>
      <c r="Q223">
        <v>3140090.0900900899</v>
      </c>
      <c r="R223">
        <v>1975405.4054054031</v>
      </c>
      <c r="S223">
        <v>3880</v>
      </c>
      <c r="T223">
        <v>3798</v>
      </c>
    </row>
    <row r="224" spans="1:20" x14ac:dyDescent="0.35">
      <c r="A224" s="7" t="s">
        <v>322</v>
      </c>
      <c r="B224" s="12" t="s">
        <v>224</v>
      </c>
      <c r="C224">
        <v>84567724.796940207</v>
      </c>
      <c r="D224">
        <v>70269493.984029159</v>
      </c>
      <c r="E224">
        <v>296396.39639639697</v>
      </c>
      <c r="F224">
        <v>17117.117117117999</v>
      </c>
      <c r="G224">
        <v>9</v>
      </c>
      <c r="H224">
        <v>3</v>
      </c>
      <c r="K224">
        <v>9</v>
      </c>
      <c r="L224">
        <v>4</v>
      </c>
      <c r="M224">
        <v>7644504.5045045028</v>
      </c>
      <c r="N224">
        <v>9657837.8378378358</v>
      </c>
      <c r="O224">
        <v>23794819.819819819</v>
      </c>
      <c r="P224">
        <v>21056391.891891893</v>
      </c>
      <c r="Q224">
        <v>6415945.9459459484</v>
      </c>
      <c r="R224">
        <v>5374864.8648648644</v>
      </c>
      <c r="S224">
        <v>2207</v>
      </c>
      <c r="T224">
        <v>2203</v>
      </c>
    </row>
    <row r="225" spans="1:20" x14ac:dyDescent="0.35">
      <c r="A225" s="7" t="s">
        <v>323</v>
      </c>
      <c r="B225" s="12" t="s">
        <v>78</v>
      </c>
      <c r="C225">
        <v>113535708.04475196</v>
      </c>
      <c r="D225">
        <v>112485158.23507462</v>
      </c>
      <c r="E225">
        <v>752702.70270270295</v>
      </c>
      <c r="F225">
        <v>463963.96396396402</v>
      </c>
      <c r="G225">
        <v>36</v>
      </c>
      <c r="H225">
        <v>65</v>
      </c>
      <c r="K225">
        <v>38</v>
      </c>
      <c r="L225">
        <v>115</v>
      </c>
      <c r="M225">
        <v>16847297.297297295</v>
      </c>
      <c r="N225">
        <v>15013513.513513515</v>
      </c>
      <c r="O225">
        <v>31387599.0990991</v>
      </c>
      <c r="P225">
        <v>34034837.837837838</v>
      </c>
      <c r="Q225">
        <v>12647207.207207208</v>
      </c>
      <c r="R225">
        <v>13191531.531531528</v>
      </c>
      <c r="S225">
        <v>4404</v>
      </c>
      <c r="T225">
        <v>5402</v>
      </c>
    </row>
    <row r="226" spans="1:20" x14ac:dyDescent="0.35">
      <c r="A226" s="7" t="s">
        <v>324</v>
      </c>
      <c r="B226" s="12" t="s">
        <v>108</v>
      </c>
      <c r="C226">
        <v>537557728.38686895</v>
      </c>
      <c r="D226">
        <v>522701942.83719492</v>
      </c>
      <c r="E226">
        <v>662858056.75675678</v>
      </c>
      <c r="F226">
        <v>21181917.117117126</v>
      </c>
      <c r="G226">
        <v>118</v>
      </c>
      <c r="H226">
        <v>147</v>
      </c>
      <c r="K226">
        <v>169</v>
      </c>
      <c r="L226">
        <v>223</v>
      </c>
      <c r="M226">
        <v>47778468.468468465</v>
      </c>
      <c r="N226">
        <v>48616396.396396399</v>
      </c>
      <c r="O226">
        <v>129667725.22522523</v>
      </c>
      <c r="P226">
        <v>138030054.05405405</v>
      </c>
      <c r="Q226">
        <v>47277837.83783783</v>
      </c>
      <c r="R226">
        <v>49246036.036036029</v>
      </c>
      <c r="S226">
        <v>22518</v>
      </c>
      <c r="T226">
        <v>21974</v>
      </c>
    </row>
    <row r="227" spans="1:20" x14ac:dyDescent="0.35">
      <c r="A227" s="7" t="s">
        <v>325</v>
      </c>
      <c r="B227" s="12" t="s">
        <v>224</v>
      </c>
      <c r="C227">
        <v>127089532.49821512</v>
      </c>
      <c r="D227">
        <v>105233440.09609501</v>
      </c>
      <c r="E227">
        <v>537477.47747747705</v>
      </c>
      <c r="F227">
        <v>293693.69369369402</v>
      </c>
      <c r="G227">
        <v>38</v>
      </c>
      <c r="H227">
        <v>11</v>
      </c>
      <c r="K227">
        <v>42</v>
      </c>
      <c r="L227">
        <v>12</v>
      </c>
      <c r="M227">
        <v>11319459.459459459</v>
      </c>
      <c r="N227">
        <v>12098738.738738736</v>
      </c>
      <c r="O227">
        <v>22452855.855855856</v>
      </c>
      <c r="P227">
        <v>21928819.819819819</v>
      </c>
      <c r="Q227">
        <v>9345945.9459459465</v>
      </c>
      <c r="R227">
        <v>9410540.5405405406</v>
      </c>
      <c r="S227">
        <v>4271</v>
      </c>
      <c r="T227">
        <v>4324</v>
      </c>
    </row>
    <row r="228" spans="1:20" x14ac:dyDescent="0.35">
      <c r="A228" s="7" t="s">
        <v>4</v>
      </c>
      <c r="B228" s="12" t="s">
        <v>158</v>
      </c>
      <c r="C228">
        <v>91334901.344475359</v>
      </c>
      <c r="D228">
        <v>91172327.769588932</v>
      </c>
      <c r="E228">
        <v>733333.33333333395</v>
      </c>
      <c r="F228">
        <v>854054.05405405595</v>
      </c>
      <c r="G228">
        <v>8</v>
      </c>
      <c r="H228">
        <v>6</v>
      </c>
      <c r="K228">
        <v>8</v>
      </c>
      <c r="L228">
        <v>7</v>
      </c>
      <c r="M228">
        <v>12349099.0990991</v>
      </c>
      <c r="N228">
        <v>20766666.666666668</v>
      </c>
      <c r="O228">
        <v>32929684.684684683</v>
      </c>
      <c r="P228">
        <v>31396369.369369369</v>
      </c>
      <c r="Q228">
        <v>14609279.27927928</v>
      </c>
      <c r="R228">
        <v>23664324.324324321</v>
      </c>
      <c r="S228">
        <v>3476</v>
      </c>
      <c r="T228">
        <v>5201</v>
      </c>
    </row>
    <row r="229" spans="1:20" x14ac:dyDescent="0.35">
      <c r="A229" s="7" t="s">
        <v>34</v>
      </c>
      <c r="B229" s="12" t="s">
        <v>193</v>
      </c>
      <c r="E229">
        <v>121927270.27027027</v>
      </c>
      <c r="F229">
        <v>235311094.5945946</v>
      </c>
    </row>
    <row r="230" spans="1:20" x14ac:dyDescent="0.35">
      <c r="A230" s="7" t="s">
        <v>326</v>
      </c>
      <c r="B230" s="12" t="s">
        <v>108</v>
      </c>
      <c r="C230">
        <v>428283958.08679503</v>
      </c>
      <c r="D230">
        <v>423679540.1493305</v>
      </c>
      <c r="E230">
        <v>3161441.441441447</v>
      </c>
      <c r="F230">
        <v>4000225.2252252339</v>
      </c>
      <c r="G230">
        <v>109</v>
      </c>
      <c r="H230">
        <v>123</v>
      </c>
      <c r="K230">
        <v>137</v>
      </c>
      <c r="L230">
        <v>173</v>
      </c>
      <c r="M230">
        <v>52607837.83783783</v>
      </c>
      <c r="N230">
        <v>51905765.765765756</v>
      </c>
      <c r="O230">
        <v>122554054.05405405</v>
      </c>
      <c r="P230">
        <v>130267270.27027027</v>
      </c>
      <c r="Q230">
        <v>50831261.261261262</v>
      </c>
      <c r="R230">
        <v>50622072.072072074</v>
      </c>
      <c r="S230">
        <v>19877</v>
      </c>
      <c r="T230">
        <v>20070</v>
      </c>
    </row>
    <row r="231" spans="1:20" x14ac:dyDescent="0.35">
      <c r="A231" s="7" t="s">
        <v>327</v>
      </c>
      <c r="B231" s="12" t="s">
        <v>78</v>
      </c>
      <c r="C231">
        <v>44700934.640245304</v>
      </c>
      <c r="D231">
        <v>43859528.576853007</v>
      </c>
      <c r="E231">
        <v>148648.64864864899</v>
      </c>
      <c r="F231">
        <v>161261.26126126101</v>
      </c>
      <c r="G231">
        <v>23</v>
      </c>
      <c r="H231">
        <v>16</v>
      </c>
      <c r="K231">
        <v>23</v>
      </c>
      <c r="L231">
        <v>19</v>
      </c>
      <c r="M231">
        <v>2599099.0990990978</v>
      </c>
      <c r="N231">
        <v>3674774.774774774</v>
      </c>
      <c r="O231">
        <v>13776261.26126126</v>
      </c>
      <c r="P231">
        <v>14478963.963963963</v>
      </c>
      <c r="Q231">
        <v>3173153.1531531522</v>
      </c>
      <c r="R231">
        <v>4032612.6126126111</v>
      </c>
      <c r="S231">
        <v>2103</v>
      </c>
      <c r="T231">
        <v>2045</v>
      </c>
    </row>
    <row r="232" spans="1:20" x14ac:dyDescent="0.35">
      <c r="A232" s="7" t="s">
        <v>328</v>
      </c>
      <c r="B232" s="12" t="s">
        <v>121</v>
      </c>
      <c r="C232">
        <v>123733564.03955126</v>
      </c>
      <c r="D232">
        <v>115933666.02661413</v>
      </c>
      <c r="E232">
        <v>136936.93693693599</v>
      </c>
      <c r="F232">
        <v>597072.07207207102</v>
      </c>
      <c r="G232">
        <v>44</v>
      </c>
      <c r="H232">
        <v>38</v>
      </c>
      <c r="K232">
        <v>52</v>
      </c>
      <c r="L232">
        <v>43</v>
      </c>
      <c r="M232">
        <v>6227927.9279279271</v>
      </c>
      <c r="N232">
        <v>9729729.7297297306</v>
      </c>
      <c r="O232">
        <v>17486810.810810812</v>
      </c>
      <c r="P232">
        <v>17029301.801801804</v>
      </c>
      <c r="Q232">
        <v>5674864.8648648644</v>
      </c>
      <c r="R232">
        <v>5992702.7027027011</v>
      </c>
      <c r="S232">
        <v>3922</v>
      </c>
      <c r="T232">
        <v>3927</v>
      </c>
    </row>
    <row r="233" spans="1:20" x14ac:dyDescent="0.35">
      <c r="A233" s="7" t="s">
        <v>329</v>
      </c>
      <c r="B233" s="12" t="s">
        <v>330</v>
      </c>
      <c r="C233">
        <v>290046137.959261</v>
      </c>
      <c r="D233">
        <v>273640836.04956555</v>
      </c>
      <c r="E233">
        <v>1109459.459459462</v>
      </c>
      <c r="F233">
        <v>3835360.360360363</v>
      </c>
      <c r="G233">
        <v>103</v>
      </c>
      <c r="H233">
        <v>103</v>
      </c>
      <c r="I233">
        <v>7</v>
      </c>
      <c r="K233">
        <v>122</v>
      </c>
      <c r="L233">
        <v>128</v>
      </c>
      <c r="M233">
        <v>19641711.711711712</v>
      </c>
      <c r="N233">
        <v>50322747.747747742</v>
      </c>
      <c r="O233">
        <v>61282423.423423424</v>
      </c>
      <c r="P233">
        <v>58423704.954954959</v>
      </c>
      <c r="Q233">
        <v>18749459.459459461</v>
      </c>
      <c r="R233">
        <v>46967117.117117122</v>
      </c>
      <c r="S233">
        <v>14302</v>
      </c>
      <c r="T233">
        <v>13933</v>
      </c>
    </row>
    <row r="234" spans="1:20" x14ac:dyDescent="0.35">
      <c r="A234" s="7" t="s">
        <v>331</v>
      </c>
      <c r="B234" s="12" t="s">
        <v>290</v>
      </c>
      <c r="C234">
        <v>426261555.17168641</v>
      </c>
      <c r="D234">
        <v>410855188.08517218</v>
      </c>
      <c r="E234">
        <v>843243.24324324401</v>
      </c>
      <c r="F234">
        <v>2389639.639639644</v>
      </c>
      <c r="G234">
        <v>129</v>
      </c>
      <c r="H234">
        <v>132</v>
      </c>
      <c r="I234">
        <v>6</v>
      </c>
      <c r="K234">
        <v>156</v>
      </c>
      <c r="L234">
        <v>164</v>
      </c>
      <c r="M234">
        <v>38087387.387387395</v>
      </c>
      <c r="N234">
        <v>40964864.864864863</v>
      </c>
      <c r="O234">
        <v>72735225.22522521</v>
      </c>
      <c r="P234">
        <v>74323511.711711705</v>
      </c>
      <c r="Q234">
        <v>36367160.360360369</v>
      </c>
      <c r="R234">
        <v>38413153.153153151</v>
      </c>
      <c r="S234">
        <v>16985</v>
      </c>
      <c r="T234">
        <v>16906</v>
      </c>
    </row>
    <row r="235" spans="1:20" x14ac:dyDescent="0.35">
      <c r="A235" s="7" t="s">
        <v>332</v>
      </c>
      <c r="B235" s="12" t="s">
        <v>290</v>
      </c>
      <c r="C235">
        <v>311248073.1354661</v>
      </c>
      <c r="D235">
        <v>312781735.29712939</v>
      </c>
      <c r="E235">
        <v>66767349.54954955</v>
      </c>
      <c r="F235">
        <v>91713281.981981978</v>
      </c>
      <c r="G235">
        <v>91</v>
      </c>
      <c r="H235">
        <v>62</v>
      </c>
      <c r="I235">
        <v>2</v>
      </c>
      <c r="K235">
        <v>105</v>
      </c>
      <c r="L235">
        <v>84</v>
      </c>
      <c r="M235">
        <v>44840936.936936937</v>
      </c>
      <c r="N235">
        <v>54343781.981981985</v>
      </c>
      <c r="O235">
        <v>77556027.027027026</v>
      </c>
      <c r="P235">
        <v>83047333.333333343</v>
      </c>
      <c r="Q235">
        <v>35954594.594594598</v>
      </c>
      <c r="R235">
        <v>42831441.441441439</v>
      </c>
      <c r="S235">
        <v>14577</v>
      </c>
      <c r="T235">
        <v>14862</v>
      </c>
    </row>
    <row r="236" spans="1:20" x14ac:dyDescent="0.35">
      <c r="A236" s="7" t="s">
        <v>333</v>
      </c>
      <c r="B236" s="12" t="s">
        <v>60</v>
      </c>
      <c r="C236">
        <v>42983294.229950815</v>
      </c>
      <c r="D236">
        <v>43039853.798712432</v>
      </c>
      <c r="E236">
        <v>338738.73873873899</v>
      </c>
      <c r="F236">
        <v>949549.54954955005</v>
      </c>
      <c r="G236">
        <v>16</v>
      </c>
      <c r="H236">
        <v>41</v>
      </c>
      <c r="K236">
        <v>20</v>
      </c>
      <c r="L236">
        <v>49</v>
      </c>
      <c r="M236">
        <v>11834234.234234236</v>
      </c>
      <c r="N236">
        <v>13639639.63963964</v>
      </c>
      <c r="O236">
        <v>14798648.648648648</v>
      </c>
      <c r="P236">
        <v>15301918.918918921</v>
      </c>
      <c r="Q236">
        <v>10807657.657657661</v>
      </c>
      <c r="R236">
        <v>12579729.729729729</v>
      </c>
      <c r="S236">
        <v>1979</v>
      </c>
      <c r="T236">
        <v>1947</v>
      </c>
    </row>
    <row r="237" spans="1:20" x14ac:dyDescent="0.35">
      <c r="A237" s="7" t="s">
        <v>334</v>
      </c>
      <c r="B237" s="12" t="s">
        <v>60</v>
      </c>
      <c r="C237">
        <v>6645855.7392403278</v>
      </c>
      <c r="D237">
        <v>7733723.2932556467</v>
      </c>
      <c r="E237">
        <v>125225.22522522599</v>
      </c>
      <c r="F237">
        <v>223423.423423423</v>
      </c>
      <c r="G237">
        <v>1</v>
      </c>
      <c r="H237">
        <v>3</v>
      </c>
      <c r="K237">
        <v>1</v>
      </c>
      <c r="L237">
        <v>5</v>
      </c>
      <c r="M237">
        <v>171171.171171172</v>
      </c>
      <c r="N237">
        <v>560810.810810811</v>
      </c>
      <c r="O237">
        <v>3768603.6036036038</v>
      </c>
      <c r="P237">
        <v>4674054.0540540554</v>
      </c>
      <c r="Q237">
        <v>302702.70270270202</v>
      </c>
      <c r="R237">
        <v>500360.360360361</v>
      </c>
      <c r="S237">
        <v>983</v>
      </c>
      <c r="T237">
        <v>841</v>
      </c>
    </row>
    <row r="238" spans="1:20" x14ac:dyDescent="0.35">
      <c r="A238" s="7" t="s">
        <v>335</v>
      </c>
      <c r="B238" s="12" t="s">
        <v>121</v>
      </c>
      <c r="C238">
        <v>52260.720796471003</v>
      </c>
      <c r="D238">
        <v>1052494.020521129</v>
      </c>
      <c r="O238">
        <v>34234.234234233998</v>
      </c>
      <c r="P238">
        <v>93243.243243243007</v>
      </c>
      <c r="T238">
        <v>159</v>
      </c>
    </row>
    <row r="239" spans="1:20" x14ac:dyDescent="0.35">
      <c r="A239" s="7" t="s">
        <v>336</v>
      </c>
      <c r="B239" s="12" t="s">
        <v>121</v>
      </c>
      <c r="C239">
        <v>1610920.024919352</v>
      </c>
      <c r="D239">
        <v>1568342.7474977809</v>
      </c>
      <c r="E239">
        <v>19152320.72072072</v>
      </c>
      <c r="F239">
        <v>36767646.846846849</v>
      </c>
      <c r="G239">
        <v>2</v>
      </c>
      <c r="K239">
        <v>3</v>
      </c>
      <c r="M239">
        <v>896375.67567567597</v>
      </c>
      <c r="N239">
        <v>10079813.513513515</v>
      </c>
      <c r="O239">
        <v>399819.81981982</v>
      </c>
      <c r="P239">
        <v>348738.73873873899</v>
      </c>
      <c r="S239">
        <v>104</v>
      </c>
      <c r="T239">
        <v>174</v>
      </c>
    </row>
    <row r="240" spans="1:20" x14ac:dyDescent="0.35">
      <c r="A240" s="7" t="s">
        <v>337</v>
      </c>
      <c r="B240" s="12" t="s">
        <v>121</v>
      </c>
      <c r="C240">
        <v>1322104.5160367221</v>
      </c>
      <c r="D240">
        <v>1151263.6159494941</v>
      </c>
      <c r="G240">
        <v>2</v>
      </c>
      <c r="K240">
        <v>2</v>
      </c>
      <c r="O240">
        <v>99774.774774774996</v>
      </c>
      <c r="P240">
        <v>14414.414414413999</v>
      </c>
      <c r="S240">
        <v>147</v>
      </c>
      <c r="T240">
        <v>134</v>
      </c>
    </row>
    <row r="241" spans="1:20" x14ac:dyDescent="0.35">
      <c r="A241" s="7" t="s">
        <v>338</v>
      </c>
      <c r="B241" s="12" t="s">
        <v>140</v>
      </c>
      <c r="C241">
        <v>484267673.46549875</v>
      </c>
      <c r="D241">
        <v>470964909.84205168</v>
      </c>
      <c r="E241">
        <v>344054.05405405897</v>
      </c>
      <c r="F241">
        <v>1667567.5675675729</v>
      </c>
      <c r="G241">
        <v>133</v>
      </c>
      <c r="H241">
        <v>61</v>
      </c>
      <c r="K241">
        <v>147</v>
      </c>
      <c r="L241">
        <v>134</v>
      </c>
      <c r="M241">
        <v>54349467.567567565</v>
      </c>
      <c r="N241">
        <v>44167837.837837838</v>
      </c>
      <c r="O241">
        <v>92581430.630630627</v>
      </c>
      <c r="P241">
        <v>92553882.882882878</v>
      </c>
      <c r="Q241">
        <v>42834234.234234244</v>
      </c>
      <c r="R241">
        <v>38912162.162162162</v>
      </c>
      <c r="S241">
        <v>16214</v>
      </c>
      <c r="T241">
        <v>16103</v>
      </c>
    </row>
    <row r="242" spans="1:20" x14ac:dyDescent="0.35">
      <c r="A242" s="7" t="s">
        <v>339</v>
      </c>
      <c r="B242" s="12" t="s">
        <v>121</v>
      </c>
      <c r="C242">
        <v>77436002.359339952</v>
      </c>
      <c r="D242">
        <v>72135609.787747189</v>
      </c>
      <c r="E242">
        <v>3603.603603604</v>
      </c>
      <c r="G242">
        <v>43</v>
      </c>
      <c r="H242">
        <v>21</v>
      </c>
      <c r="K242">
        <v>49</v>
      </c>
      <c r="L242">
        <v>24</v>
      </c>
      <c r="M242">
        <v>3603.603603604</v>
      </c>
      <c r="O242">
        <v>5171747.7477477482</v>
      </c>
      <c r="P242">
        <v>4915720.7207207195</v>
      </c>
      <c r="S242">
        <v>2499</v>
      </c>
      <c r="T242">
        <v>2486</v>
      </c>
    </row>
    <row r="243" spans="1:20" x14ac:dyDescent="0.35">
      <c r="A243" s="7" t="s">
        <v>340</v>
      </c>
      <c r="B243" s="12" t="s">
        <v>140</v>
      </c>
      <c r="C243">
        <v>243810749.89255038</v>
      </c>
      <c r="D243">
        <v>252588251.80696976</v>
      </c>
      <c r="E243">
        <v>251801.80180180099</v>
      </c>
      <c r="F243">
        <v>1141891.8918918951</v>
      </c>
      <c r="G243">
        <v>27</v>
      </c>
      <c r="H243">
        <v>43</v>
      </c>
      <c r="I243">
        <v>5</v>
      </c>
      <c r="K243">
        <v>60</v>
      </c>
      <c r="L243">
        <v>53</v>
      </c>
      <c r="M243">
        <v>42459009.009009011</v>
      </c>
      <c r="N243">
        <v>47765225.225225225</v>
      </c>
      <c r="O243">
        <v>64580873.873873875</v>
      </c>
      <c r="P243">
        <v>74597890.090090096</v>
      </c>
      <c r="Q243">
        <v>40546576.576576576</v>
      </c>
      <c r="R243">
        <v>41675945.945945948</v>
      </c>
      <c r="S243">
        <v>8827</v>
      </c>
      <c r="T243">
        <v>8123</v>
      </c>
    </row>
    <row r="244" spans="1:20" x14ac:dyDescent="0.35">
      <c r="A244" s="7" t="s">
        <v>341</v>
      </c>
      <c r="B244" s="12" t="s">
        <v>134</v>
      </c>
      <c r="C244">
        <v>30279437.597320858</v>
      </c>
      <c r="D244">
        <v>26508488.698251653</v>
      </c>
      <c r="E244">
        <v>5405.4054054059998</v>
      </c>
      <c r="F244">
        <v>54054.054054054002</v>
      </c>
      <c r="G244">
        <v>12</v>
      </c>
      <c r="H244">
        <v>7</v>
      </c>
      <c r="K244">
        <v>13</v>
      </c>
      <c r="L244">
        <v>7</v>
      </c>
      <c r="M244">
        <v>1221621.6216216211</v>
      </c>
      <c r="N244">
        <v>1045045.045045046</v>
      </c>
      <c r="O244">
        <v>2525855.8558558561</v>
      </c>
      <c r="P244">
        <v>2496747.7477477472</v>
      </c>
      <c r="Q244">
        <v>827297.29729729705</v>
      </c>
      <c r="R244">
        <v>701351.35135135101</v>
      </c>
      <c r="S244">
        <v>1342</v>
      </c>
      <c r="T244">
        <v>1318</v>
      </c>
    </row>
    <row r="245" spans="1:20" x14ac:dyDescent="0.35">
      <c r="A245" s="7" t="s">
        <v>342</v>
      </c>
      <c r="B245" s="12" t="s">
        <v>121</v>
      </c>
      <c r="C245">
        <v>1430388.871669837</v>
      </c>
      <c r="D245">
        <v>697898.97935665096</v>
      </c>
      <c r="G245">
        <v>2</v>
      </c>
      <c r="K245">
        <v>4</v>
      </c>
      <c r="L245">
        <v>3</v>
      </c>
      <c r="O245">
        <v>553783.78378378402</v>
      </c>
      <c r="P245">
        <v>221621.62162162201</v>
      </c>
      <c r="S245">
        <v>409</v>
      </c>
      <c r="T245">
        <v>362</v>
      </c>
    </row>
    <row r="246" spans="1:20" x14ac:dyDescent="0.35">
      <c r="A246" s="7" t="s">
        <v>5</v>
      </c>
      <c r="B246" s="12" t="s">
        <v>158</v>
      </c>
      <c r="C246">
        <v>87679461.612138674</v>
      </c>
      <c r="D246">
        <v>99709795.460406393</v>
      </c>
      <c r="E246">
        <v>4395045.0450450452</v>
      </c>
      <c r="F246">
        <v>92116216.216216221</v>
      </c>
      <c r="G246">
        <v>8</v>
      </c>
      <c r="H246">
        <v>12</v>
      </c>
      <c r="K246">
        <v>9</v>
      </c>
      <c r="L246">
        <v>12</v>
      </c>
      <c r="M246">
        <v>27880360.360360362</v>
      </c>
      <c r="N246">
        <v>19855405.405405402</v>
      </c>
      <c r="O246">
        <v>39280180.180180185</v>
      </c>
      <c r="P246">
        <v>40891540.540540546</v>
      </c>
      <c r="Q246">
        <v>4997027.0270270258</v>
      </c>
      <c r="R246">
        <v>7447567.5675675683</v>
      </c>
      <c r="S246">
        <v>3123</v>
      </c>
      <c r="T246">
        <v>2941</v>
      </c>
    </row>
    <row r="247" spans="1:20" x14ac:dyDescent="0.35">
      <c r="A247" s="7" t="s">
        <v>343</v>
      </c>
      <c r="B247" s="12" t="s">
        <v>304</v>
      </c>
      <c r="C247">
        <v>10480885.593342587</v>
      </c>
      <c r="D247">
        <v>13214789.066770379</v>
      </c>
      <c r="E247">
        <v>900.900900901</v>
      </c>
      <c r="F247">
        <v>900900.90090090095</v>
      </c>
      <c r="G247">
        <v>12</v>
      </c>
      <c r="H247">
        <v>7</v>
      </c>
      <c r="K247">
        <v>14</v>
      </c>
      <c r="L247">
        <v>10</v>
      </c>
      <c r="M247">
        <v>900.900900901</v>
      </c>
      <c r="N247">
        <v>900900.90090090095</v>
      </c>
      <c r="O247">
        <v>1820450.4504504499</v>
      </c>
      <c r="P247">
        <v>2188072.072072072</v>
      </c>
      <c r="Q247">
        <v>301441.441441442</v>
      </c>
      <c r="R247">
        <v>218018.01801801799</v>
      </c>
      <c r="S247">
        <v>548</v>
      </c>
      <c r="T247">
        <v>328</v>
      </c>
    </row>
    <row r="248" spans="1:20" x14ac:dyDescent="0.35">
      <c r="A248" s="7" t="s">
        <v>344</v>
      </c>
      <c r="B248" s="12" t="s">
        <v>105</v>
      </c>
      <c r="C248">
        <v>194757699.48336247</v>
      </c>
      <c r="D248">
        <v>189241528.70246264</v>
      </c>
      <c r="E248">
        <v>172972.97297297299</v>
      </c>
      <c r="F248">
        <v>898648.64864864899</v>
      </c>
      <c r="G248">
        <v>46</v>
      </c>
      <c r="H248">
        <v>30</v>
      </c>
      <c r="I248">
        <v>1</v>
      </c>
      <c r="K248">
        <v>49</v>
      </c>
      <c r="L248">
        <v>46</v>
      </c>
      <c r="M248">
        <v>26098378.37837838</v>
      </c>
      <c r="N248">
        <v>25309729.729729727</v>
      </c>
      <c r="O248">
        <v>48310891.891891897</v>
      </c>
      <c r="P248">
        <v>46549882.882882878</v>
      </c>
      <c r="Q248">
        <v>25279909.909909911</v>
      </c>
      <c r="R248">
        <v>23777567.567567565</v>
      </c>
      <c r="S248">
        <v>6067</v>
      </c>
      <c r="T248">
        <v>5792</v>
      </c>
    </row>
    <row r="249" spans="1:20" x14ac:dyDescent="0.35">
      <c r="A249" s="7" t="s">
        <v>345</v>
      </c>
      <c r="B249" s="12" t="s">
        <v>87</v>
      </c>
      <c r="C249">
        <v>58442721.75705868</v>
      </c>
      <c r="D249">
        <v>58135071.953929238</v>
      </c>
      <c r="E249">
        <v>332432.432432434</v>
      </c>
      <c r="F249">
        <v>495495.49549549603</v>
      </c>
      <c r="G249">
        <v>33</v>
      </c>
      <c r="H249">
        <v>22</v>
      </c>
      <c r="I249">
        <v>1</v>
      </c>
      <c r="K249">
        <v>36</v>
      </c>
      <c r="L249">
        <v>28</v>
      </c>
      <c r="M249">
        <v>12990090.09009009</v>
      </c>
      <c r="N249">
        <v>15527027.027027026</v>
      </c>
      <c r="O249">
        <v>13385067.567567568</v>
      </c>
      <c r="P249">
        <v>14982363.063063065</v>
      </c>
      <c r="Q249">
        <v>9026846.8468468487</v>
      </c>
      <c r="R249">
        <v>12199232.432432434</v>
      </c>
      <c r="S249">
        <v>2146</v>
      </c>
      <c r="T249">
        <v>2281</v>
      </c>
    </row>
    <row r="250" spans="1:20" x14ac:dyDescent="0.35">
      <c r="A250" s="7" t="s">
        <v>346</v>
      </c>
      <c r="B250" s="12" t="s">
        <v>87</v>
      </c>
      <c r="C250">
        <v>179207243.51558837</v>
      </c>
      <c r="D250">
        <v>162387976.3184863</v>
      </c>
      <c r="E250">
        <v>248648.64864864899</v>
      </c>
      <c r="F250">
        <v>2408108.1081081098</v>
      </c>
      <c r="G250">
        <v>116</v>
      </c>
      <c r="H250">
        <v>114</v>
      </c>
      <c r="I250">
        <v>1</v>
      </c>
      <c r="K250">
        <v>143</v>
      </c>
      <c r="L250">
        <v>135</v>
      </c>
      <c r="M250">
        <v>16342342.342342343</v>
      </c>
      <c r="N250">
        <v>18990990.990990993</v>
      </c>
      <c r="O250">
        <v>27201157.657657657</v>
      </c>
      <c r="P250">
        <v>28123540.540540542</v>
      </c>
      <c r="Q250">
        <v>12709279.279279282</v>
      </c>
      <c r="R250">
        <v>14156216.216216216</v>
      </c>
      <c r="S250">
        <v>7275</v>
      </c>
      <c r="T250">
        <v>6354</v>
      </c>
    </row>
    <row r="251" spans="1:20" x14ac:dyDescent="0.35">
      <c r="A251" s="7" t="s">
        <v>347</v>
      </c>
      <c r="B251" s="12" t="s">
        <v>87</v>
      </c>
      <c r="C251">
        <v>4480515.1136626871</v>
      </c>
      <c r="D251">
        <v>5096008.6079067569</v>
      </c>
      <c r="G251">
        <v>2</v>
      </c>
      <c r="H251">
        <v>12</v>
      </c>
      <c r="K251">
        <v>6</v>
      </c>
      <c r="L251">
        <v>14</v>
      </c>
      <c r="O251">
        <v>2433963.963963965</v>
      </c>
      <c r="P251">
        <v>2048774.7747747749</v>
      </c>
      <c r="S251">
        <v>688</v>
      </c>
      <c r="T251">
        <v>816</v>
      </c>
    </row>
    <row r="252" spans="1:20" x14ac:dyDescent="0.35">
      <c r="A252" s="7" t="s">
        <v>348</v>
      </c>
      <c r="B252" s="12" t="s">
        <v>87</v>
      </c>
      <c r="C252">
        <v>1649790.8581532231</v>
      </c>
      <c r="D252">
        <v>2402315.8669568701</v>
      </c>
      <c r="H252">
        <v>1</v>
      </c>
      <c r="L252">
        <v>1</v>
      </c>
      <c r="O252">
        <v>287522.52252252301</v>
      </c>
      <c r="P252">
        <v>1085270.270270271</v>
      </c>
      <c r="S252">
        <v>173</v>
      </c>
      <c r="T252">
        <v>186</v>
      </c>
    </row>
    <row r="253" spans="1:20" x14ac:dyDescent="0.35">
      <c r="A253" s="7" t="s">
        <v>349</v>
      </c>
      <c r="B253" s="12" t="s">
        <v>87</v>
      </c>
      <c r="C253">
        <v>1939499.4912337279</v>
      </c>
      <c r="D253">
        <v>1953623.861946217</v>
      </c>
      <c r="E253">
        <v>30210548.648648649</v>
      </c>
      <c r="F253">
        <v>18827387.387387387</v>
      </c>
      <c r="G253">
        <v>1</v>
      </c>
      <c r="H253">
        <v>4</v>
      </c>
      <c r="K253">
        <v>2</v>
      </c>
      <c r="L253">
        <v>6</v>
      </c>
      <c r="O253">
        <v>836576.57657657599</v>
      </c>
      <c r="P253">
        <v>1099063.063063063</v>
      </c>
      <c r="S253">
        <v>606</v>
      </c>
      <c r="T253">
        <v>683</v>
      </c>
    </row>
    <row r="254" spans="1:20" x14ac:dyDescent="0.35">
      <c r="A254" s="7" t="s">
        <v>350</v>
      </c>
      <c r="B254" s="12" t="s">
        <v>87</v>
      </c>
      <c r="C254">
        <v>48349748.83311455</v>
      </c>
      <c r="D254">
        <v>51883247.63919773</v>
      </c>
      <c r="E254">
        <v>4504.5045045050001</v>
      </c>
      <c r="F254">
        <v>101801.801801803</v>
      </c>
      <c r="G254">
        <v>24</v>
      </c>
      <c r="H254">
        <v>17</v>
      </c>
      <c r="K254">
        <v>28</v>
      </c>
      <c r="L254">
        <v>20</v>
      </c>
      <c r="M254">
        <v>4699099.0990990996</v>
      </c>
      <c r="N254">
        <v>4556756.7567567592</v>
      </c>
      <c r="O254">
        <v>9545045.0450450461</v>
      </c>
      <c r="P254">
        <v>10087117.117117116</v>
      </c>
      <c r="Q254">
        <v>3749189.1891891891</v>
      </c>
      <c r="R254">
        <v>3635135.1351351351</v>
      </c>
      <c r="S254">
        <v>1632</v>
      </c>
      <c r="T254">
        <v>2116</v>
      </c>
    </row>
    <row r="255" spans="1:20" x14ac:dyDescent="0.35">
      <c r="A255" s="7" t="s">
        <v>351</v>
      </c>
      <c r="B255" s="12" t="s">
        <v>50</v>
      </c>
      <c r="C255">
        <v>129971820.04508822</v>
      </c>
      <c r="D255">
        <v>140868034.20913213</v>
      </c>
      <c r="E255">
        <v>238738.73873874001</v>
      </c>
      <c r="F255">
        <v>2154054.0540540572</v>
      </c>
      <c r="G255">
        <v>16</v>
      </c>
      <c r="H255">
        <v>46</v>
      </c>
      <c r="K255">
        <v>17</v>
      </c>
      <c r="L255">
        <v>51</v>
      </c>
      <c r="M255">
        <v>21094144.144144144</v>
      </c>
      <c r="N255">
        <v>16872792.792792793</v>
      </c>
      <c r="O255">
        <v>49954954.954954952</v>
      </c>
      <c r="P255">
        <v>54248022.522522517</v>
      </c>
      <c r="Q255">
        <v>19174414.414414417</v>
      </c>
      <c r="R255">
        <v>15414684.684684688</v>
      </c>
      <c r="S255">
        <v>5493</v>
      </c>
      <c r="T255">
        <v>5922</v>
      </c>
    </row>
    <row r="256" spans="1:20" x14ac:dyDescent="0.35">
      <c r="A256" s="7" t="s">
        <v>352</v>
      </c>
      <c r="B256" s="12" t="s">
        <v>123</v>
      </c>
      <c r="C256">
        <v>858390.50959686795</v>
      </c>
      <c r="D256">
        <v>826919.34570804797</v>
      </c>
      <c r="H256">
        <v>1</v>
      </c>
      <c r="K256">
        <v>1</v>
      </c>
      <c r="L256">
        <v>1</v>
      </c>
      <c r="O256">
        <v>371891.89189189201</v>
      </c>
      <c r="P256">
        <v>350045.04504504497</v>
      </c>
      <c r="S256">
        <v>133</v>
      </c>
      <c r="T256">
        <v>116</v>
      </c>
    </row>
    <row r="257" spans="1:20" x14ac:dyDescent="0.35">
      <c r="A257" s="7" t="s">
        <v>353</v>
      </c>
      <c r="B257" s="12" t="s">
        <v>354</v>
      </c>
      <c r="C257">
        <v>255771337.59868687</v>
      </c>
      <c r="D257">
        <v>237861014.24022809</v>
      </c>
      <c r="E257">
        <v>22927027.027027026</v>
      </c>
      <c r="F257">
        <v>25409909.909909908</v>
      </c>
      <c r="G257">
        <v>94</v>
      </c>
      <c r="H257">
        <v>148</v>
      </c>
      <c r="K257">
        <v>179</v>
      </c>
      <c r="L257">
        <v>436</v>
      </c>
      <c r="M257">
        <v>134655720.72072071</v>
      </c>
      <c r="N257">
        <v>199090405.4054054</v>
      </c>
      <c r="O257">
        <v>147509727.92792794</v>
      </c>
      <c r="P257">
        <v>141083135.13513514</v>
      </c>
      <c r="Q257">
        <v>109699009.009009</v>
      </c>
      <c r="R257">
        <v>212508018.01801801</v>
      </c>
      <c r="S257">
        <v>9825</v>
      </c>
      <c r="T257">
        <v>9795</v>
      </c>
    </row>
    <row r="258" spans="1:20" x14ac:dyDescent="0.35">
      <c r="A258" s="7" t="s">
        <v>355</v>
      </c>
      <c r="B258" s="12" t="s">
        <v>48</v>
      </c>
      <c r="C258">
        <v>170031421.69969621</v>
      </c>
      <c r="D258">
        <v>162574486.63381782</v>
      </c>
      <c r="E258">
        <v>207207.207207208</v>
      </c>
      <c r="F258">
        <v>58193693.693693697</v>
      </c>
      <c r="G258">
        <v>33</v>
      </c>
      <c r="H258">
        <v>15</v>
      </c>
      <c r="K258">
        <v>37</v>
      </c>
      <c r="L258">
        <v>17</v>
      </c>
      <c r="M258">
        <v>4169099.0990990959</v>
      </c>
      <c r="N258">
        <v>909909.90990991006</v>
      </c>
      <c r="O258">
        <v>11765162.162162161</v>
      </c>
      <c r="P258">
        <v>11944486.486486487</v>
      </c>
      <c r="Q258">
        <v>846306.30630630394</v>
      </c>
      <c r="R258">
        <v>377027.02702702698</v>
      </c>
      <c r="S258">
        <v>5843</v>
      </c>
      <c r="T258">
        <v>5609</v>
      </c>
    </row>
    <row r="259" spans="1:20" x14ac:dyDescent="0.35">
      <c r="A259" s="7" t="s">
        <v>356</v>
      </c>
      <c r="B259" s="12" t="s">
        <v>123</v>
      </c>
      <c r="C259">
        <v>190947687.03320521</v>
      </c>
      <c r="D259">
        <v>173548085.71942273</v>
      </c>
      <c r="E259">
        <v>63063.063063064001</v>
      </c>
      <c r="F259">
        <v>75675.675675677005</v>
      </c>
      <c r="G259">
        <v>40</v>
      </c>
      <c r="H259">
        <v>33</v>
      </c>
      <c r="K259">
        <v>41</v>
      </c>
      <c r="L259">
        <v>35</v>
      </c>
      <c r="M259">
        <v>5601441.4414414419</v>
      </c>
      <c r="N259">
        <v>9938468.4684684686</v>
      </c>
      <c r="O259">
        <v>42939673.873873875</v>
      </c>
      <c r="P259">
        <v>40336468.468468465</v>
      </c>
      <c r="Q259">
        <v>5906846.8468468469</v>
      </c>
      <c r="R259">
        <v>9051801.8018018045</v>
      </c>
      <c r="S259">
        <v>5819</v>
      </c>
      <c r="T259">
        <v>5692</v>
      </c>
    </row>
    <row r="260" spans="1:20" x14ac:dyDescent="0.35">
      <c r="A260" s="7" t="s">
        <v>357</v>
      </c>
      <c r="B260" s="12" t="s">
        <v>62</v>
      </c>
      <c r="C260">
        <v>105373683.16865285</v>
      </c>
      <c r="D260">
        <v>101546350.10695978</v>
      </c>
      <c r="E260">
        <v>542342.34234234097</v>
      </c>
      <c r="F260">
        <v>1327927.9279279299</v>
      </c>
      <c r="G260">
        <v>11</v>
      </c>
      <c r="H260">
        <v>9</v>
      </c>
      <c r="K260">
        <v>11</v>
      </c>
      <c r="L260">
        <v>13</v>
      </c>
      <c r="M260">
        <v>11026666.666666666</v>
      </c>
      <c r="N260">
        <v>17981801.801801801</v>
      </c>
      <c r="O260">
        <v>27550045.045045044</v>
      </c>
      <c r="P260">
        <v>27782639.639639638</v>
      </c>
      <c r="Q260">
        <v>10634414.414414415</v>
      </c>
      <c r="R260">
        <v>17163873.873873875</v>
      </c>
      <c r="S260">
        <v>3944</v>
      </c>
      <c r="T260">
        <v>4693</v>
      </c>
    </row>
    <row r="261" spans="1:20" x14ac:dyDescent="0.35">
      <c r="A261" s="7" t="s">
        <v>358</v>
      </c>
      <c r="B261" s="12" t="s">
        <v>315</v>
      </c>
      <c r="C261">
        <v>4685907.2762613157</v>
      </c>
      <c r="D261">
        <v>2187240.9461970208</v>
      </c>
      <c r="G261">
        <v>10</v>
      </c>
      <c r="H261">
        <v>3</v>
      </c>
      <c r="K261">
        <v>10</v>
      </c>
      <c r="L261">
        <v>3</v>
      </c>
      <c r="O261">
        <v>2457477.4774774769</v>
      </c>
      <c r="P261">
        <v>984279.27927927906</v>
      </c>
      <c r="S261">
        <v>469</v>
      </c>
      <c r="T261">
        <v>575</v>
      </c>
    </row>
    <row r="262" spans="1:20" x14ac:dyDescent="0.35">
      <c r="A262" s="7" t="s">
        <v>359</v>
      </c>
      <c r="B262" s="12" t="s">
        <v>315</v>
      </c>
      <c r="C262">
        <v>122211018.11752264</v>
      </c>
      <c r="D262">
        <v>95541780.141650468</v>
      </c>
      <c r="E262">
        <v>24866663.963963963</v>
      </c>
      <c r="F262">
        <v>60516550.45045045</v>
      </c>
      <c r="G262">
        <v>26</v>
      </c>
      <c r="H262">
        <v>27</v>
      </c>
      <c r="K262">
        <v>29</v>
      </c>
      <c r="L262">
        <v>33</v>
      </c>
      <c r="M262">
        <v>51160360.360360362</v>
      </c>
      <c r="N262">
        <v>14537837.837837836</v>
      </c>
      <c r="O262">
        <v>43287477.477477483</v>
      </c>
      <c r="P262">
        <v>36631396.396396399</v>
      </c>
      <c r="Q262">
        <v>26668918.918918919</v>
      </c>
      <c r="R262">
        <v>14658288.288288288</v>
      </c>
      <c r="S262">
        <v>3245</v>
      </c>
      <c r="T262">
        <v>4245</v>
      </c>
    </row>
    <row r="263" spans="1:20" x14ac:dyDescent="0.35">
      <c r="A263" s="7" t="s">
        <v>360</v>
      </c>
      <c r="B263" s="12" t="s">
        <v>92</v>
      </c>
      <c r="C263">
        <v>190907127.66209066</v>
      </c>
      <c r="D263">
        <v>184906381.61529887</v>
      </c>
      <c r="E263">
        <v>10893063.063063063</v>
      </c>
      <c r="F263">
        <v>34076576.576576576</v>
      </c>
      <c r="G263">
        <v>42</v>
      </c>
      <c r="H263">
        <v>113</v>
      </c>
      <c r="K263">
        <v>52</v>
      </c>
      <c r="L263">
        <v>187</v>
      </c>
      <c r="M263">
        <v>34156036.036036037</v>
      </c>
      <c r="N263">
        <v>41749549.54954955</v>
      </c>
      <c r="O263">
        <v>54344945.945945941</v>
      </c>
      <c r="P263">
        <v>56823088.288288288</v>
      </c>
      <c r="Q263">
        <v>24291711.711711716</v>
      </c>
      <c r="R263">
        <v>39078691.891891889</v>
      </c>
      <c r="S263">
        <v>6734</v>
      </c>
      <c r="T263">
        <v>6711</v>
      </c>
    </row>
    <row r="264" spans="1:20" x14ac:dyDescent="0.35">
      <c r="A264" s="7" t="s">
        <v>361</v>
      </c>
      <c r="B264" s="12" t="s">
        <v>58</v>
      </c>
      <c r="C264">
        <v>385414529.2603184</v>
      </c>
      <c r="D264">
        <v>366130517.41518462</v>
      </c>
      <c r="E264">
        <v>2172972.9729729742</v>
      </c>
      <c r="F264">
        <v>1134234.2342342371</v>
      </c>
      <c r="G264">
        <v>50</v>
      </c>
      <c r="H264">
        <v>61</v>
      </c>
      <c r="K264">
        <v>56</v>
      </c>
      <c r="L264">
        <v>73</v>
      </c>
      <c r="M264">
        <v>24799099.0990991</v>
      </c>
      <c r="N264">
        <v>19626126.126126129</v>
      </c>
      <c r="O264">
        <v>57423243.243243247</v>
      </c>
      <c r="P264">
        <v>56048184.684684686</v>
      </c>
      <c r="Q264">
        <v>16653333.333333334</v>
      </c>
      <c r="R264">
        <v>12859279.279279277</v>
      </c>
      <c r="S264">
        <v>13061</v>
      </c>
      <c r="T264">
        <v>12888</v>
      </c>
    </row>
    <row r="265" spans="1:20" x14ac:dyDescent="0.35">
      <c r="A265" s="7" t="s">
        <v>362</v>
      </c>
      <c r="B265" s="12" t="s">
        <v>48</v>
      </c>
      <c r="C265">
        <v>135320402.65520135</v>
      </c>
      <c r="D265">
        <v>130780959.67769749</v>
      </c>
      <c r="E265">
        <v>218918.91891891899</v>
      </c>
      <c r="F265">
        <v>53153.153153152998</v>
      </c>
      <c r="G265">
        <v>3</v>
      </c>
      <c r="H265">
        <v>5</v>
      </c>
      <c r="K265">
        <v>3</v>
      </c>
      <c r="L265">
        <v>5</v>
      </c>
      <c r="M265">
        <v>3261081.0810810821</v>
      </c>
      <c r="N265">
        <v>19210090.090090096</v>
      </c>
      <c r="O265">
        <v>22603018.018018015</v>
      </c>
      <c r="P265">
        <v>21342711.711711712</v>
      </c>
      <c r="Q265">
        <v>7293603.6036036052</v>
      </c>
      <c r="R265">
        <v>16367747.747747749</v>
      </c>
      <c r="S265">
        <v>3793</v>
      </c>
      <c r="T265">
        <v>3803</v>
      </c>
    </row>
    <row r="266" spans="1:20" x14ac:dyDescent="0.35">
      <c r="A266" s="7" t="s">
        <v>363</v>
      </c>
      <c r="B266" s="12" t="s">
        <v>52</v>
      </c>
      <c r="C266">
        <v>53201113.975699693</v>
      </c>
      <c r="D266">
        <v>54376014.313697137</v>
      </c>
      <c r="E266">
        <v>197387.38738738801</v>
      </c>
      <c r="F266">
        <v>88288.288288288997</v>
      </c>
      <c r="G266">
        <v>5</v>
      </c>
      <c r="H266">
        <v>14</v>
      </c>
      <c r="K266">
        <v>7</v>
      </c>
      <c r="L266">
        <v>19</v>
      </c>
      <c r="M266">
        <v>1873063.063063062</v>
      </c>
      <c r="N266">
        <v>763963.96396396402</v>
      </c>
      <c r="O266">
        <v>25144279.27927928</v>
      </c>
      <c r="P266">
        <v>26345594.594594598</v>
      </c>
      <c r="Q266">
        <v>1303153.153153152</v>
      </c>
      <c r="R266">
        <v>1047567.567567567</v>
      </c>
      <c r="S266">
        <v>1892</v>
      </c>
      <c r="T266">
        <v>2353</v>
      </c>
    </row>
    <row r="267" spans="1:20" x14ac:dyDescent="0.35">
      <c r="A267" s="7" t="s">
        <v>364</v>
      </c>
      <c r="B267" s="12" t="s">
        <v>52</v>
      </c>
      <c r="C267">
        <v>43333616.655144237</v>
      </c>
      <c r="D267">
        <v>41890461.559283815</v>
      </c>
      <c r="E267">
        <v>1199549.5495495501</v>
      </c>
      <c r="F267">
        <v>1870270.2702702719</v>
      </c>
      <c r="G267">
        <v>9</v>
      </c>
      <c r="H267">
        <v>25</v>
      </c>
      <c r="K267">
        <v>13</v>
      </c>
      <c r="L267">
        <v>116</v>
      </c>
      <c r="M267">
        <v>5402252.25225225</v>
      </c>
      <c r="N267">
        <v>3726126.1261261259</v>
      </c>
      <c r="O267">
        <v>23723720.72072072</v>
      </c>
      <c r="P267">
        <v>23584810.810810808</v>
      </c>
      <c r="Q267">
        <v>5387837.8378378367</v>
      </c>
      <c r="R267">
        <v>9015135.1351351365</v>
      </c>
      <c r="S267">
        <v>2904</v>
      </c>
      <c r="T267">
        <v>2485</v>
      </c>
    </row>
    <row r="268" spans="1:20" x14ac:dyDescent="0.35">
      <c r="A268" s="7" t="s">
        <v>365</v>
      </c>
      <c r="B268" s="12" t="s">
        <v>52</v>
      </c>
      <c r="C268">
        <v>459205076.42658615</v>
      </c>
      <c r="D268">
        <v>487120747.50167799</v>
      </c>
      <c r="E268">
        <v>91005406.306306303</v>
      </c>
      <c r="F268">
        <v>161234952.25225225</v>
      </c>
      <c r="G268">
        <v>108</v>
      </c>
      <c r="H268">
        <v>165</v>
      </c>
      <c r="K268">
        <v>130</v>
      </c>
      <c r="L268">
        <v>297</v>
      </c>
      <c r="M268">
        <v>23227657.657657653</v>
      </c>
      <c r="N268">
        <v>23607207.207207218</v>
      </c>
      <c r="O268">
        <v>160003175.67567569</v>
      </c>
      <c r="P268">
        <v>176243674.77477479</v>
      </c>
      <c r="Q268">
        <v>25248378.378378376</v>
      </c>
      <c r="R268">
        <v>45649549.54954955</v>
      </c>
      <c r="S268">
        <v>19931</v>
      </c>
      <c r="T268">
        <v>21378</v>
      </c>
    </row>
    <row r="269" spans="1:20" x14ac:dyDescent="0.35">
      <c r="A269" s="7" t="s">
        <v>366</v>
      </c>
      <c r="B269" s="12" t="s">
        <v>293</v>
      </c>
      <c r="C269">
        <v>294484550.27375263</v>
      </c>
      <c r="D269">
        <v>267988428.92619798</v>
      </c>
      <c r="E269">
        <v>46048859.459459461</v>
      </c>
      <c r="F269">
        <v>79134532.432432428</v>
      </c>
      <c r="G269">
        <v>59</v>
      </c>
      <c r="H269">
        <v>70</v>
      </c>
      <c r="I269">
        <v>2</v>
      </c>
      <c r="K269">
        <v>74</v>
      </c>
      <c r="L269">
        <v>114</v>
      </c>
      <c r="M269">
        <v>38171351.351351351</v>
      </c>
      <c r="N269">
        <v>25926126.126126129</v>
      </c>
      <c r="O269">
        <v>91907252.252252251</v>
      </c>
      <c r="P269">
        <v>85874536.036036029</v>
      </c>
      <c r="Q269">
        <v>26006666.666666664</v>
      </c>
      <c r="R269">
        <v>26070990.990990985</v>
      </c>
      <c r="S269">
        <v>11332</v>
      </c>
      <c r="T269">
        <v>10824</v>
      </c>
    </row>
    <row r="270" spans="1:20" x14ac:dyDescent="0.35">
      <c r="A270" s="7" t="s">
        <v>367</v>
      </c>
      <c r="B270" s="12" t="s">
        <v>368</v>
      </c>
      <c r="C270">
        <v>126060514.5062706</v>
      </c>
      <c r="D270">
        <v>112769321.65423155</v>
      </c>
      <c r="E270">
        <v>31298403.603603605</v>
      </c>
      <c r="F270">
        <v>60182582.882882886</v>
      </c>
      <c r="G270">
        <v>21</v>
      </c>
      <c r="H270">
        <v>24</v>
      </c>
      <c r="K270">
        <v>22</v>
      </c>
      <c r="L270">
        <v>26</v>
      </c>
      <c r="M270">
        <v>20727207.207207203</v>
      </c>
      <c r="N270">
        <v>26067207.207207207</v>
      </c>
      <c r="O270">
        <v>50304232.432432435</v>
      </c>
      <c r="P270">
        <v>45657531.531531535</v>
      </c>
      <c r="Q270">
        <v>17948738.738738734</v>
      </c>
      <c r="R270">
        <v>29715225.225225229</v>
      </c>
      <c r="S270">
        <v>3929</v>
      </c>
      <c r="T270">
        <v>3828</v>
      </c>
    </row>
    <row r="271" spans="1:20" x14ac:dyDescent="0.35">
      <c r="A271" s="7" t="s">
        <v>369</v>
      </c>
      <c r="B271" s="12" t="s">
        <v>70</v>
      </c>
      <c r="C271">
        <v>33375311.352344748</v>
      </c>
      <c r="D271">
        <v>33510622.709834337</v>
      </c>
      <c r="E271">
        <v>919819.81981982</v>
      </c>
      <c r="F271">
        <v>1870270.270270271</v>
      </c>
      <c r="G271">
        <v>7</v>
      </c>
      <c r="H271">
        <v>23</v>
      </c>
      <c r="K271">
        <v>9</v>
      </c>
      <c r="L271">
        <v>33</v>
      </c>
      <c r="M271">
        <v>8301801.8018018054</v>
      </c>
      <c r="N271">
        <v>8327927.9279279271</v>
      </c>
      <c r="O271">
        <v>11067027.027027028</v>
      </c>
      <c r="P271">
        <v>11520648.648648648</v>
      </c>
      <c r="Q271">
        <v>6289909.9099099096</v>
      </c>
      <c r="R271">
        <v>6728108.1081081079</v>
      </c>
      <c r="S271">
        <v>1228</v>
      </c>
      <c r="T271">
        <v>1088</v>
      </c>
    </row>
    <row r="272" spans="1:20" x14ac:dyDescent="0.35">
      <c r="A272" s="7" t="s">
        <v>370</v>
      </c>
      <c r="B272" s="12" t="s">
        <v>50</v>
      </c>
      <c r="C272">
        <v>71926497.474612817</v>
      </c>
      <c r="D272">
        <v>70662143.403890491</v>
      </c>
      <c r="E272">
        <v>480180.18018018</v>
      </c>
      <c r="F272">
        <v>855855.85585585702</v>
      </c>
      <c r="G272">
        <v>9</v>
      </c>
      <c r="H272">
        <v>18</v>
      </c>
      <c r="K272">
        <v>10</v>
      </c>
      <c r="L272">
        <v>21</v>
      </c>
      <c r="M272">
        <v>7077207.2072072066</v>
      </c>
      <c r="N272">
        <v>6932522.5225225212</v>
      </c>
      <c r="O272">
        <v>32041612.612612613</v>
      </c>
      <c r="P272">
        <v>31347675.675675675</v>
      </c>
      <c r="Q272">
        <v>7002702.7027027039</v>
      </c>
      <c r="R272">
        <v>5266576.5765765756</v>
      </c>
      <c r="S272">
        <v>3011</v>
      </c>
      <c r="T272">
        <v>2762</v>
      </c>
    </row>
    <row r="273" spans="1:20" x14ac:dyDescent="0.35">
      <c r="A273" s="7" t="s">
        <v>371</v>
      </c>
      <c r="B273" s="12" t="s">
        <v>121</v>
      </c>
      <c r="C273">
        <v>74280352.449410066</v>
      </c>
      <c r="D273">
        <v>71840403.963762403</v>
      </c>
      <c r="E273">
        <v>120720.720720721</v>
      </c>
      <c r="F273">
        <v>557657.65765765903</v>
      </c>
      <c r="G273">
        <v>26</v>
      </c>
      <c r="H273">
        <v>26</v>
      </c>
      <c r="K273">
        <v>29</v>
      </c>
      <c r="L273">
        <v>38</v>
      </c>
      <c r="M273">
        <v>336936.93693693698</v>
      </c>
      <c r="N273">
        <v>4211711.7117117122</v>
      </c>
      <c r="O273">
        <v>6820315.3153153146</v>
      </c>
      <c r="P273">
        <v>7765477.4774774769</v>
      </c>
      <c r="Q273">
        <v>705495.49549549597</v>
      </c>
      <c r="R273">
        <v>1761711.7117117119</v>
      </c>
      <c r="S273">
        <v>2822</v>
      </c>
      <c r="T273">
        <v>2810</v>
      </c>
    </row>
    <row r="274" spans="1:20" x14ac:dyDescent="0.35">
      <c r="A274" s="7" t="s">
        <v>372</v>
      </c>
      <c r="B274" s="12" t="s">
        <v>373</v>
      </c>
      <c r="C274">
        <v>191194475.85466507</v>
      </c>
      <c r="D274">
        <v>157388597.28288475</v>
      </c>
      <c r="E274">
        <v>21253328.82882883</v>
      </c>
      <c r="F274">
        <v>29954375.675675679</v>
      </c>
      <c r="G274">
        <v>316</v>
      </c>
      <c r="H274">
        <v>29</v>
      </c>
      <c r="I274">
        <v>1</v>
      </c>
      <c r="K274">
        <v>336</v>
      </c>
      <c r="L274">
        <v>33</v>
      </c>
      <c r="M274">
        <v>26958738.738738745</v>
      </c>
      <c r="N274">
        <v>30879729.729729727</v>
      </c>
      <c r="O274">
        <v>76443272.972972974</v>
      </c>
      <c r="P274">
        <v>58364414.414414413</v>
      </c>
      <c r="Q274">
        <v>30610133.333333336</v>
      </c>
      <c r="R274">
        <v>19408108.108108107</v>
      </c>
      <c r="S274">
        <v>9970</v>
      </c>
      <c r="T274">
        <v>9915</v>
      </c>
    </row>
    <row r="275" spans="1:20" x14ac:dyDescent="0.35">
      <c r="A275" s="7" t="s">
        <v>374</v>
      </c>
      <c r="B275" s="12" t="s">
        <v>66</v>
      </c>
      <c r="C275">
        <v>116693974.74629585</v>
      </c>
      <c r="D275">
        <v>116184390.85363854</v>
      </c>
      <c r="E275">
        <v>68468.468468470004</v>
      </c>
      <c r="F275">
        <v>4118018.0180180222</v>
      </c>
      <c r="G275">
        <v>43</v>
      </c>
      <c r="H275">
        <v>32</v>
      </c>
      <c r="K275">
        <v>53</v>
      </c>
      <c r="L275">
        <v>39</v>
      </c>
      <c r="M275">
        <v>17491621.62162162</v>
      </c>
      <c r="N275">
        <v>160000900.9009009</v>
      </c>
      <c r="O275">
        <v>43009549.54954955</v>
      </c>
      <c r="P275">
        <v>42358396.396396399</v>
      </c>
      <c r="Q275">
        <v>14658018.01801802</v>
      </c>
      <c r="R275">
        <v>58309189.189189196</v>
      </c>
      <c r="S275">
        <v>7096</v>
      </c>
      <c r="T275">
        <v>7785</v>
      </c>
    </row>
    <row r="276" spans="1:20" x14ac:dyDescent="0.35">
      <c r="A276" s="7" t="s">
        <v>375</v>
      </c>
      <c r="B276" s="12" t="s">
        <v>354</v>
      </c>
      <c r="C276">
        <v>179006225.905586</v>
      </c>
      <c r="D276">
        <v>175650254.92992637</v>
      </c>
      <c r="E276">
        <v>121653043.24324325</v>
      </c>
      <c r="F276">
        <v>216252723.42342341</v>
      </c>
      <c r="G276">
        <v>298</v>
      </c>
      <c r="H276">
        <v>290</v>
      </c>
      <c r="K276">
        <v>305</v>
      </c>
      <c r="L276">
        <v>295</v>
      </c>
      <c r="M276">
        <v>35648108.108108103</v>
      </c>
      <c r="N276">
        <v>33217027.02702703</v>
      </c>
      <c r="O276">
        <v>106446657.65765767</v>
      </c>
      <c r="P276">
        <v>107671378.37837839</v>
      </c>
      <c r="Q276">
        <v>34024594.59459459</v>
      </c>
      <c r="R276">
        <v>34640000</v>
      </c>
      <c r="S276">
        <v>7094</v>
      </c>
      <c r="T276">
        <v>6752</v>
      </c>
    </row>
    <row r="277" spans="1:20" x14ac:dyDescent="0.35">
      <c r="A277" s="7" t="s">
        <v>376</v>
      </c>
      <c r="B277" s="12" t="s">
        <v>66</v>
      </c>
      <c r="C277">
        <v>63780436.92868714</v>
      </c>
      <c r="D277">
        <v>67971668.945508197</v>
      </c>
      <c r="E277">
        <v>36036.036036037003</v>
      </c>
      <c r="F277">
        <v>518918.91891891998</v>
      </c>
      <c r="G277">
        <v>17</v>
      </c>
      <c r="H277">
        <v>26</v>
      </c>
      <c r="K277">
        <v>21</v>
      </c>
      <c r="L277">
        <v>34</v>
      </c>
      <c r="M277">
        <v>3626936.936936934</v>
      </c>
      <c r="N277">
        <v>3751351.3513513538</v>
      </c>
      <c r="O277">
        <v>27730385.585585583</v>
      </c>
      <c r="P277">
        <v>32702157.657657657</v>
      </c>
      <c r="Q277">
        <v>6525315.3153153118</v>
      </c>
      <c r="R277">
        <v>5759819.819819822</v>
      </c>
      <c r="S277">
        <v>4757</v>
      </c>
      <c r="T277">
        <v>5153</v>
      </c>
    </row>
    <row r="278" spans="1:20" x14ac:dyDescent="0.35">
      <c r="A278" s="7" t="s">
        <v>377</v>
      </c>
      <c r="B278" s="12" t="s">
        <v>260</v>
      </c>
      <c r="C278">
        <v>61955063.776579365</v>
      </c>
      <c r="D278">
        <v>58360247.793720424</v>
      </c>
      <c r="E278">
        <v>180180.18018018</v>
      </c>
      <c r="F278">
        <v>13513.513513514001</v>
      </c>
      <c r="G278">
        <v>2</v>
      </c>
      <c r="H278">
        <v>4</v>
      </c>
      <c r="K278">
        <v>2</v>
      </c>
      <c r="L278">
        <v>4</v>
      </c>
      <c r="M278">
        <v>630630.630630631</v>
      </c>
      <c r="N278">
        <v>554054.05405405397</v>
      </c>
      <c r="O278">
        <v>9481801.8018018026</v>
      </c>
      <c r="P278">
        <v>9775702.7027027048</v>
      </c>
      <c r="Q278">
        <v>4579909.9099099096</v>
      </c>
      <c r="R278">
        <v>525675.67567567597</v>
      </c>
      <c r="S278">
        <v>1699</v>
      </c>
      <c r="T278">
        <v>1690</v>
      </c>
    </row>
    <row r="279" spans="1:20" x14ac:dyDescent="0.35">
      <c r="A279" s="7" t="s">
        <v>378</v>
      </c>
      <c r="B279" s="12" t="s">
        <v>354</v>
      </c>
      <c r="C279">
        <v>152032925.85729325</v>
      </c>
      <c r="D279">
        <v>147235162.95021558</v>
      </c>
      <c r="E279">
        <v>1185135.1351351361</v>
      </c>
      <c r="F279">
        <v>2258558.55855856</v>
      </c>
      <c r="G279">
        <v>30</v>
      </c>
      <c r="H279">
        <v>33</v>
      </c>
      <c r="K279">
        <v>33</v>
      </c>
      <c r="L279">
        <v>39</v>
      </c>
      <c r="M279">
        <v>36897297.297297299</v>
      </c>
      <c r="N279">
        <v>30210720.72072072</v>
      </c>
      <c r="O279">
        <v>78110450.45045045</v>
      </c>
      <c r="P279">
        <v>81345439.639639646</v>
      </c>
      <c r="Q279">
        <v>34932072.072072074</v>
      </c>
      <c r="R279">
        <v>28820900.900900904</v>
      </c>
      <c r="S279">
        <v>4759</v>
      </c>
      <c r="T279">
        <v>4767</v>
      </c>
    </row>
    <row r="280" spans="1:20" x14ac:dyDescent="0.35">
      <c r="A280" s="7" t="s">
        <v>379</v>
      </c>
      <c r="B280" s="12" t="s">
        <v>87</v>
      </c>
      <c r="C280">
        <v>3197822.1042088438</v>
      </c>
      <c r="D280">
        <v>4269258.2215265501</v>
      </c>
      <c r="H280">
        <v>1</v>
      </c>
      <c r="L280">
        <v>1</v>
      </c>
      <c r="O280">
        <v>144819.81981982</v>
      </c>
      <c r="P280">
        <v>189774.77477477401</v>
      </c>
      <c r="S280">
        <v>145</v>
      </c>
      <c r="T280">
        <v>190</v>
      </c>
    </row>
    <row r="281" spans="1:20" x14ac:dyDescent="0.35">
      <c r="A281" s="7" t="s">
        <v>380</v>
      </c>
      <c r="B281" s="12" t="s">
        <v>87</v>
      </c>
      <c r="C281">
        <v>12191561.006887972</v>
      </c>
      <c r="D281">
        <v>5739459.95487017</v>
      </c>
      <c r="E281">
        <v>10810.810810810999</v>
      </c>
      <c r="G281">
        <v>154</v>
      </c>
      <c r="H281">
        <v>10</v>
      </c>
      <c r="K281">
        <v>156</v>
      </c>
      <c r="L281">
        <v>14</v>
      </c>
      <c r="M281">
        <v>78378.378378377995</v>
      </c>
      <c r="O281">
        <v>3094144.1441441439</v>
      </c>
      <c r="P281">
        <v>768657.65765765798</v>
      </c>
      <c r="Q281">
        <v>67567.567567567996</v>
      </c>
      <c r="S281">
        <v>512</v>
      </c>
      <c r="T281">
        <v>360</v>
      </c>
    </row>
    <row r="282" spans="1:20" x14ac:dyDescent="0.35">
      <c r="A282" s="7" t="s">
        <v>381</v>
      </c>
      <c r="B282" s="12" t="s">
        <v>80</v>
      </c>
      <c r="C282">
        <v>1031496549.1516452</v>
      </c>
      <c r="D282">
        <v>1009827432.6756271</v>
      </c>
      <c r="E282">
        <v>985337386.48648655</v>
      </c>
      <c r="F282">
        <v>378319293.6936937</v>
      </c>
      <c r="G282">
        <v>260</v>
      </c>
      <c r="H282">
        <v>288</v>
      </c>
      <c r="I282">
        <v>1</v>
      </c>
      <c r="K282">
        <v>324</v>
      </c>
      <c r="L282">
        <v>430</v>
      </c>
      <c r="M282">
        <v>130950900.90090089</v>
      </c>
      <c r="N282">
        <v>112288288.28828827</v>
      </c>
      <c r="O282">
        <v>245760185.58558559</v>
      </c>
      <c r="P282">
        <v>259768642.34234235</v>
      </c>
      <c r="Q282">
        <v>104848558.55855855</v>
      </c>
      <c r="R282">
        <v>96767207.207207203</v>
      </c>
      <c r="S282">
        <v>37712</v>
      </c>
      <c r="T282">
        <v>37363</v>
      </c>
    </row>
    <row r="283" spans="1:20" x14ac:dyDescent="0.35">
      <c r="A283" s="7" t="s">
        <v>382</v>
      </c>
      <c r="B283" s="12" t="s">
        <v>80</v>
      </c>
      <c r="C283">
        <v>274479758.47102487</v>
      </c>
      <c r="D283">
        <v>277977424.11153471</v>
      </c>
      <c r="E283">
        <v>1763063.063063063</v>
      </c>
      <c r="F283">
        <v>2749774.7747747791</v>
      </c>
      <c r="G283">
        <v>61</v>
      </c>
      <c r="H283">
        <v>62</v>
      </c>
      <c r="I283">
        <v>1</v>
      </c>
      <c r="K283">
        <v>69</v>
      </c>
      <c r="L283">
        <v>93</v>
      </c>
      <c r="M283">
        <v>57905855.855855852</v>
      </c>
      <c r="N283">
        <v>53128828.828828827</v>
      </c>
      <c r="O283">
        <v>111211374.77477477</v>
      </c>
      <c r="P283">
        <v>110577045.49549548</v>
      </c>
      <c r="Q283">
        <v>49168108.108108111</v>
      </c>
      <c r="R283">
        <v>44389502.702702701</v>
      </c>
      <c r="S283">
        <v>9688</v>
      </c>
      <c r="T283">
        <v>9700</v>
      </c>
    </row>
    <row r="284" spans="1:20" x14ac:dyDescent="0.35">
      <c r="A284" s="7" t="s">
        <v>383</v>
      </c>
      <c r="B284" s="12" t="s">
        <v>80</v>
      </c>
      <c r="C284">
        <v>385583272.42727697</v>
      </c>
      <c r="D284">
        <v>351277737.24762654</v>
      </c>
      <c r="E284">
        <v>52252.252252252998</v>
      </c>
      <c r="F284">
        <v>266666.66666666802</v>
      </c>
      <c r="G284">
        <v>69</v>
      </c>
      <c r="H284">
        <v>47</v>
      </c>
      <c r="K284">
        <v>76</v>
      </c>
      <c r="L284">
        <v>54</v>
      </c>
      <c r="M284">
        <v>19844864.864864863</v>
      </c>
      <c r="N284">
        <v>14801351.351351352</v>
      </c>
      <c r="O284">
        <v>69778511.711711705</v>
      </c>
      <c r="P284">
        <v>70462432.432432428</v>
      </c>
      <c r="Q284">
        <v>15326036.036036037</v>
      </c>
      <c r="R284">
        <v>18291351.351351351</v>
      </c>
      <c r="S284">
        <v>9492</v>
      </c>
      <c r="T284">
        <v>9411</v>
      </c>
    </row>
    <row r="285" spans="1:20" x14ac:dyDescent="0.35">
      <c r="A285" s="7" t="s">
        <v>384</v>
      </c>
      <c r="B285" s="12" t="s">
        <v>68</v>
      </c>
      <c r="C285">
        <v>158171006.73174813</v>
      </c>
      <c r="D285">
        <v>154072298.21723369</v>
      </c>
      <c r="E285">
        <v>55965270.270270273</v>
      </c>
      <c r="F285">
        <v>35416143.243243247</v>
      </c>
      <c r="G285">
        <v>37</v>
      </c>
      <c r="H285">
        <v>35</v>
      </c>
      <c r="K285">
        <v>42</v>
      </c>
      <c r="L285">
        <v>42</v>
      </c>
      <c r="M285">
        <v>7628198.1981981983</v>
      </c>
      <c r="N285">
        <v>6027927.927927928</v>
      </c>
      <c r="O285">
        <v>19786288.288288288</v>
      </c>
      <c r="P285">
        <v>21992288.288288288</v>
      </c>
      <c r="Q285">
        <v>6848108.108108107</v>
      </c>
      <c r="R285">
        <v>5025675.6756756753</v>
      </c>
      <c r="S285">
        <v>5028</v>
      </c>
      <c r="T285">
        <v>5000</v>
      </c>
    </row>
    <row r="286" spans="1:20" x14ac:dyDescent="0.35">
      <c r="A286" s="7" t="s">
        <v>385</v>
      </c>
      <c r="B286" s="12" t="s">
        <v>167</v>
      </c>
      <c r="C286">
        <v>53871627.60561043</v>
      </c>
      <c r="D286">
        <v>56780717.008706018</v>
      </c>
      <c r="E286">
        <v>17117.117117119</v>
      </c>
      <c r="F286">
        <v>388288.28828828898</v>
      </c>
      <c r="G286">
        <v>23</v>
      </c>
      <c r="H286">
        <v>21</v>
      </c>
      <c r="K286">
        <v>28</v>
      </c>
      <c r="L286">
        <v>26</v>
      </c>
      <c r="M286">
        <v>4528828.8288288303</v>
      </c>
      <c r="N286">
        <v>16339639.63963964</v>
      </c>
      <c r="O286">
        <v>22761529.729729727</v>
      </c>
      <c r="P286">
        <v>23661099.0990991</v>
      </c>
      <c r="Q286">
        <v>6545315.3153153146</v>
      </c>
      <c r="R286">
        <v>10917027.027027026</v>
      </c>
      <c r="S286">
        <v>2380</v>
      </c>
      <c r="T286">
        <v>2426</v>
      </c>
    </row>
    <row r="287" spans="1:20" x14ac:dyDescent="0.35">
      <c r="A287" s="7" t="s">
        <v>386</v>
      </c>
      <c r="B287" s="12" t="s">
        <v>94</v>
      </c>
      <c r="C287">
        <v>302612978.64143062</v>
      </c>
      <c r="D287">
        <v>315488218.47512114</v>
      </c>
      <c r="E287">
        <v>1252252.252252253</v>
      </c>
      <c r="F287">
        <v>590090.09009009204</v>
      </c>
      <c r="G287">
        <v>57</v>
      </c>
      <c r="H287">
        <v>69</v>
      </c>
      <c r="I287">
        <v>1</v>
      </c>
      <c r="K287">
        <v>63</v>
      </c>
      <c r="L287">
        <v>77</v>
      </c>
      <c r="M287">
        <v>12227927.927927928</v>
      </c>
      <c r="N287">
        <v>15842342.342342343</v>
      </c>
      <c r="O287">
        <v>33522745.945945945</v>
      </c>
      <c r="P287">
        <v>40071522.522522517</v>
      </c>
      <c r="Q287">
        <v>8097567.5675675683</v>
      </c>
      <c r="R287">
        <v>11564774.774774777</v>
      </c>
      <c r="S287">
        <v>8265</v>
      </c>
      <c r="T287">
        <v>8410</v>
      </c>
    </row>
    <row r="288" spans="1:20" x14ac:dyDescent="0.35">
      <c r="A288" s="7" t="s">
        <v>387</v>
      </c>
      <c r="B288" s="12" t="s">
        <v>214</v>
      </c>
      <c r="C288">
        <v>47910072.133727141</v>
      </c>
      <c r="D288">
        <v>51439173.408154607</v>
      </c>
      <c r="E288">
        <v>17117.117117116999</v>
      </c>
      <c r="F288">
        <v>631531.53153153195</v>
      </c>
      <c r="G288">
        <v>15</v>
      </c>
      <c r="H288">
        <v>22</v>
      </c>
      <c r="K288">
        <v>16</v>
      </c>
      <c r="L288">
        <v>24</v>
      </c>
      <c r="M288">
        <v>107207.207207207</v>
      </c>
      <c r="N288">
        <v>2433333.333333333</v>
      </c>
      <c r="O288">
        <v>22360495.495495494</v>
      </c>
      <c r="P288">
        <v>23778288.288288288</v>
      </c>
      <c r="R288">
        <v>1555405.405405405</v>
      </c>
      <c r="S288">
        <v>2266</v>
      </c>
      <c r="T288">
        <v>2322</v>
      </c>
    </row>
    <row r="289" spans="1:20" x14ac:dyDescent="0.35">
      <c r="A289" s="7" t="s">
        <v>388</v>
      </c>
      <c r="B289" s="12" t="s">
        <v>117</v>
      </c>
      <c r="C289">
        <v>23133256.218599692</v>
      </c>
      <c r="D289">
        <v>21945651.753687009</v>
      </c>
      <c r="E289">
        <v>27027.027027027001</v>
      </c>
      <c r="F289">
        <v>366666.66666666802</v>
      </c>
      <c r="G289">
        <v>10</v>
      </c>
      <c r="H289">
        <v>5</v>
      </c>
      <c r="K289">
        <v>14</v>
      </c>
      <c r="L289">
        <v>13</v>
      </c>
      <c r="M289">
        <v>1652252.25225225</v>
      </c>
      <c r="N289">
        <v>8700115.3153153155</v>
      </c>
      <c r="O289">
        <v>10214909.909909908</v>
      </c>
      <c r="P289">
        <v>9265369.3693693671</v>
      </c>
      <c r="Q289">
        <v>1255855.8558558519</v>
      </c>
      <c r="R289">
        <v>6262252.2522522528</v>
      </c>
      <c r="S289">
        <v>1945</v>
      </c>
      <c r="T289">
        <v>1790</v>
      </c>
    </row>
    <row r="290" spans="1:20" x14ac:dyDescent="0.35">
      <c r="A290" s="7" t="s">
        <v>389</v>
      </c>
      <c r="B290" s="12" t="s">
        <v>315</v>
      </c>
      <c r="C290">
        <v>101925507.6489784</v>
      </c>
      <c r="D290">
        <v>95228269.561745599</v>
      </c>
      <c r="E290">
        <v>11449099.0990991</v>
      </c>
      <c r="F290">
        <v>28263963.963963963</v>
      </c>
      <c r="G290">
        <v>13</v>
      </c>
      <c r="H290">
        <v>10</v>
      </c>
      <c r="K290">
        <v>14</v>
      </c>
      <c r="L290">
        <v>10</v>
      </c>
      <c r="M290">
        <v>7211261.261261262</v>
      </c>
      <c r="N290">
        <v>3263963.963963964</v>
      </c>
      <c r="O290">
        <v>19677072.072072074</v>
      </c>
      <c r="P290">
        <v>19847729.729729727</v>
      </c>
      <c r="Q290">
        <v>4256396.3963963958</v>
      </c>
      <c r="R290">
        <v>4243603.6036036033</v>
      </c>
      <c r="S290">
        <v>2603</v>
      </c>
      <c r="T290">
        <v>2648</v>
      </c>
    </row>
    <row r="291" spans="1:20" x14ac:dyDescent="0.35">
      <c r="A291" s="7" t="s">
        <v>390</v>
      </c>
      <c r="B291" s="12" t="s">
        <v>224</v>
      </c>
      <c r="C291">
        <v>49567088.087601259</v>
      </c>
      <c r="D291">
        <v>40073828.582369342</v>
      </c>
      <c r="G291">
        <v>35</v>
      </c>
      <c r="H291">
        <v>6</v>
      </c>
      <c r="K291">
        <v>36</v>
      </c>
      <c r="L291">
        <v>6</v>
      </c>
      <c r="O291">
        <v>9350216.2162162159</v>
      </c>
      <c r="P291">
        <v>7233603.6036036033</v>
      </c>
      <c r="S291">
        <v>1526</v>
      </c>
      <c r="T291">
        <v>1467</v>
      </c>
    </row>
    <row r="292" spans="1:20" x14ac:dyDescent="0.35">
      <c r="A292" s="7" t="s">
        <v>6</v>
      </c>
      <c r="B292" s="12" t="s">
        <v>193</v>
      </c>
      <c r="C292">
        <v>356404563.82936603</v>
      </c>
      <c r="D292">
        <v>333459728.71282148</v>
      </c>
      <c r="E292">
        <v>6194144.1441441393</v>
      </c>
      <c r="F292">
        <v>5340540.540540549</v>
      </c>
      <c r="G292">
        <v>144</v>
      </c>
      <c r="H292">
        <v>115</v>
      </c>
      <c r="I292">
        <v>2</v>
      </c>
      <c r="K292">
        <v>504</v>
      </c>
      <c r="L292">
        <v>578</v>
      </c>
      <c r="M292">
        <v>169790540.54054055</v>
      </c>
      <c r="N292">
        <v>154279279.27927929</v>
      </c>
      <c r="O292">
        <v>233640360.36036035</v>
      </c>
      <c r="P292">
        <v>230136882.88288289</v>
      </c>
      <c r="Q292">
        <v>139431441.44144145</v>
      </c>
      <c r="R292">
        <v>134512702.7027027</v>
      </c>
      <c r="S292">
        <v>13158</v>
      </c>
      <c r="T292">
        <v>12783</v>
      </c>
    </row>
    <row r="293" spans="1:20" x14ac:dyDescent="0.35">
      <c r="A293" s="7" t="s">
        <v>391</v>
      </c>
      <c r="B293" s="12" t="s">
        <v>121</v>
      </c>
      <c r="C293">
        <v>11368197.963689495</v>
      </c>
      <c r="D293">
        <v>16221020.666474339</v>
      </c>
      <c r="E293">
        <v>9009.0090090089998</v>
      </c>
      <c r="G293">
        <v>7</v>
      </c>
      <c r="H293">
        <v>6</v>
      </c>
      <c r="K293">
        <v>8</v>
      </c>
      <c r="L293">
        <v>6</v>
      </c>
      <c r="M293">
        <v>9009.0090090089998</v>
      </c>
      <c r="O293">
        <v>735765.76576576603</v>
      </c>
      <c r="P293">
        <v>819819.81981982</v>
      </c>
      <c r="S293">
        <v>490</v>
      </c>
      <c r="T293">
        <v>523</v>
      </c>
    </row>
    <row r="294" spans="1:20" x14ac:dyDescent="0.35">
      <c r="A294" s="7" t="s">
        <v>392</v>
      </c>
      <c r="B294" s="12" t="s">
        <v>134</v>
      </c>
      <c r="C294">
        <v>44542885.770765021</v>
      </c>
      <c r="D294">
        <v>46668350.800555654</v>
      </c>
      <c r="F294">
        <v>13513.513513514001</v>
      </c>
      <c r="G294">
        <v>10</v>
      </c>
      <c r="H294">
        <v>10</v>
      </c>
      <c r="K294">
        <v>11</v>
      </c>
      <c r="L294">
        <v>15</v>
      </c>
      <c r="M294">
        <v>3702702.702702702</v>
      </c>
      <c r="N294">
        <v>3301801.8018018012</v>
      </c>
      <c r="O294">
        <v>8869682.8828828838</v>
      </c>
      <c r="P294">
        <v>9872133.333333334</v>
      </c>
      <c r="Q294">
        <v>937387.38738738897</v>
      </c>
      <c r="R294">
        <v>643783.78378378495</v>
      </c>
      <c r="S294">
        <v>3413</v>
      </c>
      <c r="T294">
        <v>3552</v>
      </c>
    </row>
    <row r="295" spans="1:20" x14ac:dyDescent="0.35">
      <c r="A295" s="7" t="s">
        <v>393</v>
      </c>
      <c r="B295" s="12" t="s">
        <v>58</v>
      </c>
      <c r="C295">
        <v>237507441.95095259</v>
      </c>
      <c r="D295">
        <v>222576793.37528107</v>
      </c>
      <c r="E295">
        <v>7410360.3603603598</v>
      </c>
      <c r="F295">
        <v>6827702.7027027067</v>
      </c>
      <c r="G295">
        <v>64</v>
      </c>
      <c r="H295">
        <v>87</v>
      </c>
      <c r="K295">
        <v>86</v>
      </c>
      <c r="L295">
        <v>98</v>
      </c>
      <c r="M295">
        <v>31968918.918918915</v>
      </c>
      <c r="N295">
        <v>25597297.297297299</v>
      </c>
      <c r="O295">
        <v>35160963.963963963</v>
      </c>
      <c r="P295">
        <v>36855121.621621624</v>
      </c>
      <c r="Q295">
        <v>23153063.063063063</v>
      </c>
      <c r="R295">
        <v>21387927.927927926</v>
      </c>
      <c r="S295">
        <v>9257</v>
      </c>
      <c r="T295">
        <v>9864</v>
      </c>
    </row>
    <row r="296" spans="1:20" x14ac:dyDescent="0.35">
      <c r="A296" s="7" t="s">
        <v>394</v>
      </c>
      <c r="B296" s="12" t="s">
        <v>134</v>
      </c>
      <c r="C296">
        <v>82030468.622346371</v>
      </c>
      <c r="D296">
        <v>76651134.139862612</v>
      </c>
      <c r="E296">
        <v>16216.216216217001</v>
      </c>
      <c r="F296">
        <v>396396.39639639697</v>
      </c>
      <c r="G296">
        <v>20</v>
      </c>
      <c r="H296">
        <v>18</v>
      </c>
      <c r="K296">
        <v>23</v>
      </c>
      <c r="L296">
        <v>26</v>
      </c>
      <c r="M296">
        <v>7448648.6486486476</v>
      </c>
      <c r="N296">
        <v>11585585.585585585</v>
      </c>
      <c r="O296">
        <v>14321637.837837836</v>
      </c>
      <c r="P296">
        <v>13446495.495495496</v>
      </c>
      <c r="Q296">
        <v>4190720.7207207219</v>
      </c>
      <c r="R296">
        <v>7116306.3063063063</v>
      </c>
      <c r="S296">
        <v>3810</v>
      </c>
      <c r="T296">
        <v>3976</v>
      </c>
    </row>
    <row r="297" spans="1:20" x14ac:dyDescent="0.35">
      <c r="A297" s="7" t="s">
        <v>395</v>
      </c>
      <c r="B297" s="12" t="s">
        <v>54</v>
      </c>
      <c r="C297">
        <v>34460198.012534834</v>
      </c>
      <c r="D297">
        <v>32289984.844655119</v>
      </c>
      <c r="E297">
        <v>138738.73873873899</v>
      </c>
      <c r="F297">
        <v>27927.927927928002</v>
      </c>
      <c r="G297">
        <v>5</v>
      </c>
      <c r="H297">
        <v>6</v>
      </c>
      <c r="K297">
        <v>5</v>
      </c>
      <c r="L297">
        <v>6</v>
      </c>
      <c r="M297">
        <v>2526126.126126125</v>
      </c>
      <c r="N297">
        <v>2109009.0090090092</v>
      </c>
      <c r="O297">
        <v>5813153.1531531531</v>
      </c>
      <c r="P297">
        <v>5083909.9099099096</v>
      </c>
      <c r="Q297">
        <v>2236486.4864864871</v>
      </c>
      <c r="R297">
        <v>2164324.3243243238</v>
      </c>
      <c r="S297">
        <v>1570</v>
      </c>
      <c r="T297">
        <v>1514</v>
      </c>
    </row>
    <row r="298" spans="1:20" x14ac:dyDescent="0.35">
      <c r="A298" s="7" t="s">
        <v>396</v>
      </c>
      <c r="B298" s="12" t="s">
        <v>397</v>
      </c>
      <c r="C298">
        <v>242276522.17503366</v>
      </c>
      <c r="D298">
        <v>233954149.0653711</v>
      </c>
      <c r="E298">
        <v>16866846.846846849</v>
      </c>
      <c r="F298">
        <v>1381081.0810810821</v>
      </c>
      <c r="G298">
        <v>105</v>
      </c>
      <c r="H298">
        <v>73</v>
      </c>
      <c r="K298">
        <v>122</v>
      </c>
      <c r="L298">
        <v>163</v>
      </c>
      <c r="M298">
        <v>24751576.576576576</v>
      </c>
      <c r="N298">
        <v>20136486.486486487</v>
      </c>
      <c r="O298">
        <v>44991547.747747742</v>
      </c>
      <c r="P298">
        <v>43899011.711711712</v>
      </c>
      <c r="Q298">
        <v>25560585.585585583</v>
      </c>
      <c r="R298">
        <v>18829729.729729727</v>
      </c>
      <c r="S298">
        <v>9613</v>
      </c>
      <c r="T298">
        <v>9389</v>
      </c>
    </row>
    <row r="299" spans="1:20" x14ac:dyDescent="0.35">
      <c r="A299" s="7" t="s">
        <v>398</v>
      </c>
      <c r="B299" s="12" t="s">
        <v>399</v>
      </c>
      <c r="C299">
        <v>289998748.56536025</v>
      </c>
      <c r="D299">
        <v>251345340.64483362</v>
      </c>
      <c r="E299">
        <v>365765.76576576597</v>
      </c>
      <c r="F299">
        <v>3774549.5495495521</v>
      </c>
      <c r="G299">
        <v>63</v>
      </c>
      <c r="H299">
        <v>55</v>
      </c>
      <c r="I299">
        <v>1</v>
      </c>
      <c r="K299">
        <v>71</v>
      </c>
      <c r="L299">
        <v>62</v>
      </c>
      <c r="M299">
        <v>107203153.15315315</v>
      </c>
      <c r="N299">
        <v>36992792.79279279</v>
      </c>
      <c r="O299">
        <v>50642899.0990991</v>
      </c>
      <c r="P299">
        <v>44795441.441441439</v>
      </c>
      <c r="Q299">
        <v>102750000</v>
      </c>
      <c r="R299">
        <v>29732702.702702705</v>
      </c>
      <c r="S299">
        <v>11402</v>
      </c>
      <c r="T299">
        <v>12205</v>
      </c>
    </row>
    <row r="300" spans="1:20" x14ac:dyDescent="0.35">
      <c r="A300" s="7" t="s">
        <v>400</v>
      </c>
      <c r="B300" s="12" t="s">
        <v>140</v>
      </c>
      <c r="C300">
        <v>87151870.733445436</v>
      </c>
      <c r="D300">
        <v>82536509.007861361</v>
      </c>
      <c r="E300">
        <v>354954.95495495602</v>
      </c>
      <c r="F300">
        <v>624324.32432432403</v>
      </c>
      <c r="G300">
        <v>25</v>
      </c>
      <c r="H300">
        <v>29</v>
      </c>
      <c r="K300">
        <v>31</v>
      </c>
      <c r="L300">
        <v>33</v>
      </c>
      <c r="M300">
        <v>21061261.261261258</v>
      </c>
      <c r="N300">
        <v>18756936.936936937</v>
      </c>
      <c r="O300">
        <v>25587702.702702705</v>
      </c>
      <c r="P300">
        <v>26074927.927927926</v>
      </c>
      <c r="Q300">
        <v>14137837.837837836</v>
      </c>
      <c r="R300">
        <v>15211711.711711712</v>
      </c>
      <c r="S300">
        <v>3330</v>
      </c>
      <c r="T300">
        <v>3262</v>
      </c>
    </row>
    <row r="301" spans="1:20" x14ac:dyDescent="0.35">
      <c r="A301" s="7" t="s">
        <v>401</v>
      </c>
      <c r="B301" s="12" t="s">
        <v>121</v>
      </c>
      <c r="C301">
        <v>25256741.326985475</v>
      </c>
      <c r="D301">
        <v>21067304.848208569</v>
      </c>
      <c r="E301">
        <v>900.900900901</v>
      </c>
      <c r="F301">
        <v>360360.36036036001</v>
      </c>
      <c r="G301">
        <v>14</v>
      </c>
      <c r="H301">
        <v>10</v>
      </c>
      <c r="K301">
        <v>18</v>
      </c>
      <c r="L301">
        <v>16</v>
      </c>
      <c r="M301">
        <v>900.900900901</v>
      </c>
      <c r="N301">
        <v>2162162.1621621619</v>
      </c>
      <c r="O301">
        <v>1820405.405405405</v>
      </c>
      <c r="P301">
        <v>2247837.8378378381</v>
      </c>
      <c r="Q301">
        <v>702252.25225225301</v>
      </c>
      <c r="R301">
        <v>678828.82882882899</v>
      </c>
      <c r="S301">
        <v>1148</v>
      </c>
      <c r="T301">
        <v>1080</v>
      </c>
    </row>
    <row r="302" spans="1:20" x14ac:dyDescent="0.35">
      <c r="A302" s="7" t="s">
        <v>402</v>
      </c>
      <c r="B302" s="12" t="s">
        <v>290</v>
      </c>
      <c r="C302">
        <v>46295333.434571482</v>
      </c>
      <c r="D302">
        <v>34602325.987832882</v>
      </c>
      <c r="E302">
        <v>64864.864864866002</v>
      </c>
      <c r="F302">
        <v>321171.171171172</v>
      </c>
      <c r="G302">
        <v>31</v>
      </c>
      <c r="H302">
        <v>7</v>
      </c>
      <c r="K302">
        <v>37</v>
      </c>
      <c r="L302">
        <v>8</v>
      </c>
      <c r="M302">
        <v>2308108.1081081079</v>
      </c>
      <c r="N302">
        <v>920720.72072072094</v>
      </c>
      <c r="O302">
        <v>6519279.2792792805</v>
      </c>
      <c r="P302">
        <v>4073009.0090090078</v>
      </c>
      <c r="Q302">
        <v>2566486.4864864862</v>
      </c>
      <c r="R302">
        <v>1615585.5855855851</v>
      </c>
      <c r="S302">
        <v>1593</v>
      </c>
      <c r="T302">
        <v>1608</v>
      </c>
    </row>
    <row r="303" spans="1:20" x14ac:dyDescent="0.35">
      <c r="A303" s="7" t="s">
        <v>403</v>
      </c>
      <c r="B303" s="12" t="s">
        <v>121</v>
      </c>
      <c r="C303">
        <v>41339373.481017962</v>
      </c>
      <c r="D303">
        <v>39258671.210715249</v>
      </c>
      <c r="F303">
        <v>55630.630630631</v>
      </c>
      <c r="G303">
        <v>3</v>
      </c>
      <c r="H303">
        <v>7</v>
      </c>
      <c r="K303">
        <v>4</v>
      </c>
      <c r="L303">
        <v>9</v>
      </c>
      <c r="N303">
        <v>58558.558558559002</v>
      </c>
      <c r="O303">
        <v>2939954.9549549548</v>
      </c>
      <c r="P303">
        <v>3139054.054054054</v>
      </c>
      <c r="S303">
        <v>1095</v>
      </c>
      <c r="T303">
        <v>1020</v>
      </c>
    </row>
    <row r="304" spans="1:20" x14ac:dyDescent="0.35">
      <c r="A304" s="7" t="s">
        <v>404</v>
      </c>
      <c r="B304" s="12" t="s">
        <v>368</v>
      </c>
      <c r="C304">
        <v>99190448.932672471</v>
      </c>
      <c r="D304">
        <v>90179568.612408563</v>
      </c>
      <c r="E304">
        <v>109909.909909911</v>
      </c>
      <c r="F304">
        <v>770720.72072072001</v>
      </c>
      <c r="G304">
        <v>19</v>
      </c>
      <c r="H304">
        <v>23</v>
      </c>
      <c r="I304">
        <v>1</v>
      </c>
      <c r="K304">
        <v>21</v>
      </c>
      <c r="L304">
        <v>72</v>
      </c>
      <c r="M304">
        <v>4931531.5315315314</v>
      </c>
      <c r="N304">
        <v>21585585.585585587</v>
      </c>
      <c r="O304">
        <v>32001914.414414417</v>
      </c>
      <c r="P304">
        <v>32774387.387387384</v>
      </c>
      <c r="Q304">
        <v>4013963.9639639631</v>
      </c>
      <c r="R304">
        <v>20940270.270270273</v>
      </c>
      <c r="S304">
        <v>4197</v>
      </c>
      <c r="T304">
        <v>4105</v>
      </c>
    </row>
    <row r="305" spans="1:20" x14ac:dyDescent="0.35">
      <c r="A305" s="7" t="s">
        <v>405</v>
      </c>
      <c r="B305" s="12" t="s">
        <v>140</v>
      </c>
      <c r="C305">
        <v>47419040.236682147</v>
      </c>
      <c r="D305">
        <v>43173838.579735845</v>
      </c>
      <c r="E305">
        <v>13963.963963964001</v>
      </c>
      <c r="F305">
        <v>116891.89189189101</v>
      </c>
      <c r="G305">
        <v>2</v>
      </c>
      <c r="H305">
        <v>8</v>
      </c>
      <c r="K305">
        <v>3</v>
      </c>
      <c r="L305">
        <v>9</v>
      </c>
      <c r="M305">
        <v>4914864.8648648653</v>
      </c>
      <c r="N305">
        <v>7505765.7657657657</v>
      </c>
      <c r="O305">
        <v>11745360.36036036</v>
      </c>
      <c r="P305">
        <v>11423855.855855856</v>
      </c>
      <c r="Q305">
        <v>7003063.0630630627</v>
      </c>
      <c r="R305">
        <v>6457027.0270270258</v>
      </c>
      <c r="S305">
        <v>1433</v>
      </c>
      <c r="T305">
        <v>1419</v>
      </c>
    </row>
    <row r="306" spans="1:20" x14ac:dyDescent="0.35">
      <c r="A306" s="7" t="s">
        <v>406</v>
      </c>
      <c r="B306" s="12" t="s">
        <v>54</v>
      </c>
      <c r="C306">
        <v>61012595.199790798</v>
      </c>
      <c r="D306">
        <v>59004041.088992976</v>
      </c>
      <c r="E306">
        <v>22750810.810810812</v>
      </c>
      <c r="F306">
        <v>23576126.126126129</v>
      </c>
      <c r="G306">
        <v>3</v>
      </c>
      <c r="H306">
        <v>15</v>
      </c>
      <c r="K306">
        <v>3</v>
      </c>
      <c r="L306">
        <v>27</v>
      </c>
      <c r="M306">
        <v>3867927.927927928</v>
      </c>
      <c r="N306">
        <v>6673873.8738738736</v>
      </c>
      <c r="O306">
        <v>12748243.243243244</v>
      </c>
      <c r="P306">
        <v>13294513.513513513</v>
      </c>
      <c r="Q306">
        <v>2762972.9729729728</v>
      </c>
      <c r="R306">
        <v>6788558.5585585581</v>
      </c>
      <c r="S306">
        <v>2299</v>
      </c>
      <c r="T306">
        <v>2198</v>
      </c>
    </row>
    <row r="307" spans="1:20" x14ac:dyDescent="0.35">
      <c r="A307" s="7" t="s">
        <v>407</v>
      </c>
      <c r="B307" s="12" t="s">
        <v>134</v>
      </c>
      <c r="C307">
        <v>24318607.164792817</v>
      </c>
      <c r="D307">
        <v>26458470.267025702</v>
      </c>
      <c r="E307">
        <v>131107919.81981982</v>
      </c>
      <c r="F307">
        <v>141866443.24324325</v>
      </c>
      <c r="G307">
        <v>5</v>
      </c>
      <c r="H307">
        <v>4</v>
      </c>
      <c r="K307">
        <v>6</v>
      </c>
      <c r="L307">
        <v>5</v>
      </c>
      <c r="M307">
        <v>12724324.324324325</v>
      </c>
      <c r="N307">
        <v>36432432.432432435</v>
      </c>
      <c r="O307">
        <v>2897477.4774774769</v>
      </c>
      <c r="P307">
        <v>2659747.7477477482</v>
      </c>
      <c r="Q307">
        <v>1195855.8558558549</v>
      </c>
      <c r="R307">
        <v>747297.29729729705</v>
      </c>
      <c r="S307">
        <v>1061</v>
      </c>
      <c r="T307">
        <v>921</v>
      </c>
    </row>
    <row r="308" spans="1:20" x14ac:dyDescent="0.35">
      <c r="A308" s="7" t="s">
        <v>408</v>
      </c>
      <c r="B308" s="12" t="s">
        <v>290</v>
      </c>
      <c r="C308">
        <v>17420179.130337212</v>
      </c>
      <c r="D308">
        <v>14407300.829332717</v>
      </c>
      <c r="E308">
        <v>93693.693693694004</v>
      </c>
      <c r="F308">
        <v>334234.23423423502</v>
      </c>
      <c r="G308">
        <v>7</v>
      </c>
      <c r="H308">
        <v>8</v>
      </c>
      <c r="K308">
        <v>9</v>
      </c>
      <c r="L308">
        <v>8</v>
      </c>
      <c r="M308">
        <v>2372972.9729729728</v>
      </c>
      <c r="N308">
        <v>3120720.7207207209</v>
      </c>
      <c r="O308">
        <v>3351567.5675675678</v>
      </c>
      <c r="P308">
        <v>2514063.0630630632</v>
      </c>
      <c r="Q308">
        <v>1362612.6126126121</v>
      </c>
      <c r="R308">
        <v>1998828.8288288279</v>
      </c>
      <c r="S308">
        <v>1002</v>
      </c>
      <c r="T308">
        <v>827</v>
      </c>
    </row>
    <row r="309" spans="1:20" x14ac:dyDescent="0.35">
      <c r="A309" s="7" t="s">
        <v>409</v>
      </c>
      <c r="B309" s="12" t="s">
        <v>178</v>
      </c>
      <c r="C309">
        <v>277292566.15259963</v>
      </c>
      <c r="D309">
        <v>256470515.98053324</v>
      </c>
      <c r="E309">
        <v>644369.369369369</v>
      </c>
      <c r="F309">
        <v>840540.54054054106</v>
      </c>
      <c r="G309">
        <v>82</v>
      </c>
      <c r="H309">
        <v>45</v>
      </c>
      <c r="K309">
        <v>99</v>
      </c>
      <c r="L309">
        <v>168</v>
      </c>
      <c r="M309">
        <v>21914144.144144144</v>
      </c>
      <c r="N309">
        <v>29564945.945945948</v>
      </c>
      <c r="O309">
        <v>91631882.882882878</v>
      </c>
      <c r="P309">
        <v>89015990.990990996</v>
      </c>
      <c r="Q309">
        <v>23586036.036036041</v>
      </c>
      <c r="R309">
        <v>24111801.801801801</v>
      </c>
      <c r="S309">
        <v>9787</v>
      </c>
      <c r="T309">
        <v>9539</v>
      </c>
    </row>
    <row r="310" spans="1:20" x14ac:dyDescent="0.35">
      <c r="A310" s="7" t="s">
        <v>666</v>
      </c>
      <c r="B310" s="12" t="s">
        <v>87</v>
      </c>
      <c r="S310">
        <v>1</v>
      </c>
    </row>
    <row r="311" spans="1:20" x14ac:dyDescent="0.35">
      <c r="A311" s="7" t="s">
        <v>410</v>
      </c>
      <c r="B311" s="12" t="s">
        <v>54</v>
      </c>
      <c r="C311">
        <v>483886663.97781646</v>
      </c>
      <c r="D311">
        <v>484876301.7715041</v>
      </c>
      <c r="E311">
        <v>31303447.747747753</v>
      </c>
      <c r="F311">
        <v>108807404.50450452</v>
      </c>
      <c r="G311">
        <v>81</v>
      </c>
      <c r="H311">
        <v>109</v>
      </c>
      <c r="K311">
        <v>102</v>
      </c>
      <c r="L311">
        <v>186</v>
      </c>
      <c r="M311">
        <v>28522342.342342339</v>
      </c>
      <c r="N311">
        <v>34125225.225225225</v>
      </c>
      <c r="O311">
        <v>91361873.873873875</v>
      </c>
      <c r="P311">
        <v>100526918.91891891</v>
      </c>
      <c r="Q311">
        <v>28295675.675675675</v>
      </c>
      <c r="R311">
        <v>28743063.063063063</v>
      </c>
      <c r="S311">
        <v>18611</v>
      </c>
      <c r="T311">
        <v>19757</v>
      </c>
    </row>
    <row r="312" spans="1:20" x14ac:dyDescent="0.35">
      <c r="A312" s="7" t="s">
        <v>411</v>
      </c>
      <c r="B312" s="12" t="s">
        <v>224</v>
      </c>
      <c r="C312">
        <v>295547351.22257483</v>
      </c>
      <c r="D312">
        <v>234957484.73113161</v>
      </c>
      <c r="E312">
        <v>47912972.972972974</v>
      </c>
      <c r="F312">
        <v>927027.02702703199</v>
      </c>
      <c r="G312">
        <v>87</v>
      </c>
      <c r="H312">
        <v>67</v>
      </c>
      <c r="K312">
        <v>106</v>
      </c>
      <c r="L312">
        <v>86</v>
      </c>
      <c r="M312">
        <v>35479324.324324325</v>
      </c>
      <c r="N312">
        <v>25646846.846846849</v>
      </c>
      <c r="O312">
        <v>73857671.171171173</v>
      </c>
      <c r="P312">
        <v>71544106.306306303</v>
      </c>
      <c r="Q312">
        <v>29885495.495495494</v>
      </c>
      <c r="R312">
        <v>28865268.468468469</v>
      </c>
      <c r="S312">
        <v>11625</v>
      </c>
      <c r="T312">
        <v>14082</v>
      </c>
    </row>
    <row r="313" spans="1:20" x14ac:dyDescent="0.35">
      <c r="A313" s="7" t="s">
        <v>412</v>
      </c>
      <c r="B313" s="12" t="s">
        <v>413</v>
      </c>
      <c r="C313">
        <v>90411447.649986446</v>
      </c>
      <c r="D313">
        <v>97292989.210590526</v>
      </c>
      <c r="E313">
        <v>18455855.855855856</v>
      </c>
      <c r="F313">
        <v>3233783.7837837869</v>
      </c>
      <c r="G313">
        <v>21</v>
      </c>
      <c r="H313">
        <v>4</v>
      </c>
      <c r="K313">
        <v>24</v>
      </c>
      <c r="L313">
        <v>6</v>
      </c>
      <c r="M313">
        <v>3545765.7657657652</v>
      </c>
      <c r="N313">
        <v>4589099.0990991024</v>
      </c>
      <c r="O313">
        <v>37643018.018018015</v>
      </c>
      <c r="P313">
        <v>37165711.711711712</v>
      </c>
      <c r="Q313">
        <v>2156666.666666666</v>
      </c>
      <c r="R313">
        <v>1992702.702702703</v>
      </c>
      <c r="S313">
        <v>3965</v>
      </c>
      <c r="T313">
        <v>3929</v>
      </c>
    </row>
    <row r="314" spans="1:20" x14ac:dyDescent="0.35">
      <c r="A314" s="7" t="s">
        <v>414</v>
      </c>
      <c r="B314" s="12" t="s">
        <v>214</v>
      </c>
      <c r="C314">
        <v>573948187.19740903</v>
      </c>
      <c r="D314">
        <v>617629287.81210494</v>
      </c>
      <c r="E314">
        <v>222693699.0990991</v>
      </c>
      <c r="F314">
        <v>317420416.21621621</v>
      </c>
      <c r="G314">
        <v>232</v>
      </c>
      <c r="H314">
        <v>819</v>
      </c>
      <c r="K314">
        <v>284</v>
      </c>
      <c r="L314">
        <v>983</v>
      </c>
      <c r="M314">
        <v>67397567.567567572</v>
      </c>
      <c r="N314">
        <v>93140720.720720723</v>
      </c>
      <c r="O314">
        <v>240173682.88288289</v>
      </c>
      <c r="P314">
        <v>285970172.07207209</v>
      </c>
      <c r="Q314">
        <v>72141711.711711705</v>
      </c>
      <c r="R314">
        <v>85736216.216216207</v>
      </c>
      <c r="S314">
        <v>24097</v>
      </c>
      <c r="T314">
        <v>23803</v>
      </c>
    </row>
    <row r="315" spans="1:20" x14ac:dyDescent="0.35">
      <c r="A315" s="7" t="s">
        <v>415</v>
      </c>
      <c r="B315" s="12" t="s">
        <v>413</v>
      </c>
      <c r="C315">
        <v>54020217.092971139</v>
      </c>
      <c r="D315">
        <v>54310534.734624729</v>
      </c>
      <c r="E315">
        <v>298198.19819819799</v>
      </c>
      <c r="F315">
        <v>126576.57657657799</v>
      </c>
      <c r="G315">
        <v>15</v>
      </c>
      <c r="H315">
        <v>13</v>
      </c>
      <c r="K315">
        <v>17</v>
      </c>
      <c r="L315">
        <v>18</v>
      </c>
      <c r="M315">
        <v>12194774.774774777</v>
      </c>
      <c r="N315">
        <v>9247747.7477477472</v>
      </c>
      <c r="O315">
        <v>17890045.045045044</v>
      </c>
      <c r="P315">
        <v>20087765.765765764</v>
      </c>
      <c r="Q315">
        <v>7492882.8828828838</v>
      </c>
      <c r="R315">
        <v>7177837.8378378386</v>
      </c>
      <c r="S315">
        <v>3021</v>
      </c>
      <c r="T315">
        <v>2909</v>
      </c>
    </row>
    <row r="316" spans="1:20" x14ac:dyDescent="0.35">
      <c r="A316" s="7" t="s">
        <v>416</v>
      </c>
      <c r="B316" s="12" t="s">
        <v>236</v>
      </c>
      <c r="C316">
        <v>402335681.28473294</v>
      </c>
      <c r="D316">
        <v>382331513.0091247</v>
      </c>
      <c r="E316">
        <v>251351.35135135401</v>
      </c>
      <c r="F316">
        <v>1013513.5135135161</v>
      </c>
      <c r="G316">
        <v>145</v>
      </c>
      <c r="H316">
        <v>94</v>
      </c>
      <c r="I316">
        <v>2</v>
      </c>
      <c r="K316">
        <v>189</v>
      </c>
      <c r="L316">
        <v>248</v>
      </c>
      <c r="M316">
        <v>43151171.171171166</v>
      </c>
      <c r="N316">
        <v>42827927.927927926</v>
      </c>
      <c r="O316">
        <v>92983495.495495483</v>
      </c>
      <c r="P316">
        <v>93500360.360360354</v>
      </c>
      <c r="Q316">
        <v>30950630.630630631</v>
      </c>
      <c r="R316">
        <v>41125315.315315314</v>
      </c>
      <c r="S316">
        <v>10727</v>
      </c>
      <c r="T316">
        <v>10852</v>
      </c>
    </row>
    <row r="317" spans="1:20" x14ac:dyDescent="0.35">
      <c r="A317" s="7" t="s">
        <v>417</v>
      </c>
      <c r="B317" s="12" t="s">
        <v>117</v>
      </c>
      <c r="C317">
        <v>386810537.33262199</v>
      </c>
      <c r="D317">
        <v>371156842.01134443</v>
      </c>
      <c r="E317">
        <v>354545284.68468469</v>
      </c>
      <c r="F317">
        <v>207628320.72072074</v>
      </c>
      <c r="G317">
        <v>196</v>
      </c>
      <c r="H317">
        <v>152</v>
      </c>
      <c r="I317">
        <v>2</v>
      </c>
      <c r="K317">
        <v>396</v>
      </c>
      <c r="L317">
        <v>586</v>
      </c>
      <c r="M317">
        <v>81930000</v>
      </c>
      <c r="N317">
        <v>90085194.594594613</v>
      </c>
      <c r="O317">
        <v>166628504.5045045</v>
      </c>
      <c r="P317">
        <v>169124133.33333334</v>
      </c>
      <c r="Q317">
        <v>74621711.711711705</v>
      </c>
      <c r="R317">
        <v>87316126.126126125</v>
      </c>
      <c r="S317">
        <v>17586</v>
      </c>
      <c r="T317">
        <v>17649</v>
      </c>
    </row>
    <row r="318" spans="1:20" x14ac:dyDescent="0.35">
      <c r="A318" s="7" t="s">
        <v>418</v>
      </c>
      <c r="B318" s="12" t="s">
        <v>147</v>
      </c>
      <c r="C318">
        <v>10507899.724721104</v>
      </c>
      <c r="D318">
        <v>8735629.5469158404</v>
      </c>
      <c r="G318">
        <v>1</v>
      </c>
      <c r="H318">
        <v>2</v>
      </c>
      <c r="K318">
        <v>1</v>
      </c>
      <c r="L318">
        <v>2</v>
      </c>
      <c r="O318">
        <v>3241396.3963963971</v>
      </c>
      <c r="P318">
        <v>3335621.6216216218</v>
      </c>
      <c r="S318">
        <v>508</v>
      </c>
      <c r="T318">
        <v>485</v>
      </c>
    </row>
    <row r="319" spans="1:20" x14ac:dyDescent="0.35">
      <c r="A319" s="7" t="s">
        <v>419</v>
      </c>
      <c r="B319" s="12" t="s">
        <v>304</v>
      </c>
      <c r="C319">
        <v>82730562.289168507</v>
      </c>
      <c r="D319">
        <v>82181136.961159527</v>
      </c>
      <c r="E319">
        <v>444144.144144146</v>
      </c>
      <c r="F319">
        <v>1557882.882882881</v>
      </c>
      <c r="G319">
        <v>31</v>
      </c>
      <c r="H319">
        <v>41</v>
      </c>
      <c r="K319">
        <v>41</v>
      </c>
      <c r="L319">
        <v>47</v>
      </c>
      <c r="M319">
        <v>14469369.369369367</v>
      </c>
      <c r="N319">
        <v>12484684.684684685</v>
      </c>
      <c r="O319">
        <v>16148828.82882883</v>
      </c>
      <c r="P319">
        <v>16283101.801801803</v>
      </c>
      <c r="Q319">
        <v>13197387.387387387</v>
      </c>
      <c r="R319">
        <v>14294594.594594594</v>
      </c>
      <c r="S319">
        <v>2385</v>
      </c>
      <c r="T319">
        <v>2378</v>
      </c>
    </row>
    <row r="320" spans="1:20" x14ac:dyDescent="0.35">
      <c r="A320" s="7" t="s">
        <v>420</v>
      </c>
      <c r="B320" s="12" t="s">
        <v>304</v>
      </c>
      <c r="C320">
        <v>98278592.120662108</v>
      </c>
      <c r="D320">
        <v>94868953.227428421</v>
      </c>
      <c r="E320">
        <v>24580743.243243244</v>
      </c>
      <c r="F320">
        <v>62593308.108108103</v>
      </c>
      <c r="G320">
        <v>57</v>
      </c>
      <c r="H320">
        <v>55</v>
      </c>
      <c r="I320">
        <v>3</v>
      </c>
      <c r="K320">
        <v>84</v>
      </c>
      <c r="L320">
        <v>123</v>
      </c>
      <c r="M320">
        <v>46241441.441441439</v>
      </c>
      <c r="N320">
        <v>19853153.153153151</v>
      </c>
      <c r="O320">
        <v>21478376.576576576</v>
      </c>
      <c r="P320">
        <v>20864126.126126129</v>
      </c>
      <c r="Q320">
        <v>14563243.243243242</v>
      </c>
      <c r="R320">
        <v>13730810.810810804</v>
      </c>
      <c r="S320">
        <v>3151</v>
      </c>
      <c r="T320">
        <v>3001</v>
      </c>
    </row>
    <row r="321" spans="1:20" x14ac:dyDescent="0.35">
      <c r="A321" s="7" t="s">
        <v>421</v>
      </c>
      <c r="B321" s="12" t="s">
        <v>121</v>
      </c>
      <c r="C321">
        <v>8128004.6952746818</v>
      </c>
      <c r="D321">
        <v>3590646.1636120072</v>
      </c>
      <c r="E321">
        <v>12612.612612613</v>
      </c>
      <c r="F321">
        <v>13513.513513514001</v>
      </c>
      <c r="H321">
        <v>2</v>
      </c>
      <c r="L321">
        <v>3</v>
      </c>
      <c r="M321">
        <v>12612.612612613</v>
      </c>
      <c r="N321">
        <v>13513.513513514001</v>
      </c>
      <c r="O321">
        <v>741036.03603603598</v>
      </c>
      <c r="P321">
        <v>274900.900900901</v>
      </c>
      <c r="S321">
        <v>350</v>
      </c>
      <c r="T321">
        <v>331</v>
      </c>
    </row>
    <row r="322" spans="1:20" x14ac:dyDescent="0.35">
      <c r="A322" s="7" t="s">
        <v>422</v>
      </c>
      <c r="B322" s="12" t="s">
        <v>60</v>
      </c>
      <c r="C322">
        <v>48957443.517753966</v>
      </c>
      <c r="D322">
        <v>46569255.087244555</v>
      </c>
      <c r="E322">
        <v>270270.27027027099</v>
      </c>
      <c r="F322">
        <v>718018.01801801904</v>
      </c>
      <c r="G322">
        <v>14</v>
      </c>
      <c r="H322">
        <v>32</v>
      </c>
      <c r="K322">
        <v>16</v>
      </c>
      <c r="L322">
        <v>35</v>
      </c>
      <c r="M322">
        <v>5985585.5855855849</v>
      </c>
      <c r="N322">
        <v>11013513.513513513</v>
      </c>
      <c r="O322">
        <v>15644009.009009007</v>
      </c>
      <c r="P322">
        <v>16428144.144144144</v>
      </c>
      <c r="Q322">
        <v>3900000</v>
      </c>
      <c r="R322">
        <v>9850090.0900900885</v>
      </c>
      <c r="S322">
        <v>2082</v>
      </c>
      <c r="T322">
        <v>2095</v>
      </c>
    </row>
    <row r="323" spans="1:20" x14ac:dyDescent="0.35">
      <c r="A323" s="7" t="s">
        <v>423</v>
      </c>
      <c r="B323" s="12" t="s">
        <v>181</v>
      </c>
      <c r="C323">
        <v>494025384.10850686</v>
      </c>
      <c r="D323">
        <v>472381577.19492579</v>
      </c>
      <c r="E323">
        <v>1284684.684684691</v>
      </c>
      <c r="F323">
        <v>5219819.8198198248</v>
      </c>
      <c r="G323">
        <v>174</v>
      </c>
      <c r="H323">
        <v>167</v>
      </c>
      <c r="I323">
        <v>13</v>
      </c>
      <c r="K323">
        <v>216</v>
      </c>
      <c r="L323">
        <v>246</v>
      </c>
      <c r="M323">
        <v>45980540.540540531</v>
      </c>
      <c r="N323">
        <v>65177477.477477469</v>
      </c>
      <c r="O323">
        <v>134043090.0900901</v>
      </c>
      <c r="P323">
        <v>139976288.2882883</v>
      </c>
      <c r="Q323">
        <v>49166756.75675676</v>
      </c>
      <c r="R323">
        <v>60563513.51351352</v>
      </c>
      <c r="S323">
        <v>22245</v>
      </c>
      <c r="T323">
        <v>21416</v>
      </c>
    </row>
    <row r="324" spans="1:20" x14ac:dyDescent="0.35">
      <c r="A324" s="7" t="s">
        <v>424</v>
      </c>
      <c r="B324" s="12" t="s">
        <v>76</v>
      </c>
      <c r="C324">
        <v>19758599.024047304</v>
      </c>
      <c r="D324">
        <v>14124029.675109632</v>
      </c>
      <c r="E324">
        <v>2702.7027027029999</v>
      </c>
      <c r="F324">
        <v>13513.513513514001</v>
      </c>
      <c r="G324">
        <v>6</v>
      </c>
      <c r="K324">
        <v>7</v>
      </c>
      <c r="M324">
        <v>2615315.315315315</v>
      </c>
      <c r="N324">
        <v>914414.41441441397</v>
      </c>
      <c r="O324">
        <v>2080081.0810810809</v>
      </c>
      <c r="P324">
        <v>1290792.7927927929</v>
      </c>
      <c r="Q324">
        <v>1882342.3423423429</v>
      </c>
      <c r="R324">
        <v>1113963.963963964</v>
      </c>
      <c r="S324">
        <v>899</v>
      </c>
      <c r="T324">
        <v>789</v>
      </c>
    </row>
    <row r="325" spans="1:20" x14ac:dyDescent="0.35">
      <c r="A325" s="7" t="s">
        <v>425</v>
      </c>
      <c r="B325" s="12" t="s">
        <v>76</v>
      </c>
      <c r="C325">
        <v>57353097.962734789</v>
      </c>
      <c r="D325">
        <v>55456453.027426377</v>
      </c>
      <c r="E325">
        <v>145045.04504504599</v>
      </c>
      <c r="F325">
        <v>99099.0990991</v>
      </c>
      <c r="G325">
        <v>25</v>
      </c>
      <c r="H325">
        <v>11</v>
      </c>
      <c r="K325">
        <v>28</v>
      </c>
      <c r="L325">
        <v>14</v>
      </c>
      <c r="M325">
        <v>7243243.2432432454</v>
      </c>
      <c r="N325">
        <v>7047657.6576576577</v>
      </c>
      <c r="O325">
        <v>13576756.756756756</v>
      </c>
      <c r="P325">
        <v>12928135.135135137</v>
      </c>
      <c r="Q325">
        <v>4827747.7477477491</v>
      </c>
      <c r="R325">
        <v>5992702.702702702</v>
      </c>
      <c r="S325">
        <v>1491</v>
      </c>
      <c r="T325">
        <v>1466</v>
      </c>
    </row>
    <row r="326" spans="1:20" x14ac:dyDescent="0.35">
      <c r="A326" s="7" t="s">
        <v>426</v>
      </c>
      <c r="B326" s="12" t="s">
        <v>330</v>
      </c>
      <c r="C326">
        <v>273573973.78459954</v>
      </c>
      <c r="D326">
        <v>270088325.51762259</v>
      </c>
      <c r="E326">
        <v>681711.71171171498</v>
      </c>
      <c r="F326">
        <v>2164639.639639643</v>
      </c>
      <c r="G326">
        <v>86</v>
      </c>
      <c r="H326">
        <v>96</v>
      </c>
      <c r="K326">
        <v>105</v>
      </c>
      <c r="L326">
        <v>117</v>
      </c>
      <c r="M326">
        <v>6105135.1351351384</v>
      </c>
      <c r="N326">
        <v>16570270.270270269</v>
      </c>
      <c r="O326">
        <v>46855908.108108103</v>
      </c>
      <c r="P326">
        <v>47553351.351351351</v>
      </c>
      <c r="Q326">
        <v>8426036.0360360332</v>
      </c>
      <c r="R326">
        <v>10966936.936936935</v>
      </c>
      <c r="S326">
        <v>11519</v>
      </c>
      <c r="T326">
        <v>11580</v>
      </c>
    </row>
    <row r="327" spans="1:20" x14ac:dyDescent="0.35">
      <c r="A327" s="7" t="s">
        <v>427</v>
      </c>
      <c r="B327" s="12" t="s">
        <v>241</v>
      </c>
      <c r="C327">
        <v>71374668.203778476</v>
      </c>
      <c r="D327">
        <v>69944214.376962498</v>
      </c>
      <c r="E327">
        <v>935135.13513513503</v>
      </c>
      <c r="F327">
        <v>228828.82882883001</v>
      </c>
      <c r="G327">
        <v>31</v>
      </c>
      <c r="H327">
        <v>28</v>
      </c>
      <c r="I327">
        <v>1</v>
      </c>
      <c r="K327">
        <v>36</v>
      </c>
      <c r="L327">
        <v>30</v>
      </c>
      <c r="M327">
        <v>12786126.126126124</v>
      </c>
      <c r="N327">
        <v>8071621.6216216199</v>
      </c>
      <c r="O327">
        <v>27736090.090090089</v>
      </c>
      <c r="P327">
        <v>25599027.027027026</v>
      </c>
      <c r="Q327">
        <v>13227657.657657657</v>
      </c>
      <c r="R327">
        <v>7595855.8558558524</v>
      </c>
      <c r="S327">
        <v>5264</v>
      </c>
      <c r="T327">
        <v>5277</v>
      </c>
    </row>
    <row r="328" spans="1:20" x14ac:dyDescent="0.35">
      <c r="A328" s="7" t="s">
        <v>428</v>
      </c>
      <c r="B328" s="12" t="s">
        <v>283</v>
      </c>
      <c r="C328">
        <v>30125249.99370496</v>
      </c>
      <c r="D328">
        <v>30608896.242419191</v>
      </c>
      <c r="E328">
        <v>39639.639639640001</v>
      </c>
      <c r="F328">
        <v>466666.66666666802</v>
      </c>
      <c r="G328">
        <v>14</v>
      </c>
      <c r="H328">
        <v>3</v>
      </c>
      <c r="K328">
        <v>15</v>
      </c>
      <c r="L328">
        <v>30</v>
      </c>
      <c r="M328">
        <v>2201801.8018018021</v>
      </c>
      <c r="N328">
        <v>10890090.090090092</v>
      </c>
      <c r="O328">
        <v>5389234.2342342343</v>
      </c>
      <c r="P328">
        <v>6410117.1171171172</v>
      </c>
      <c r="Q328">
        <v>1113513.5135135129</v>
      </c>
      <c r="R328">
        <v>11843693.693693694</v>
      </c>
      <c r="S328">
        <v>1250</v>
      </c>
      <c r="T328">
        <v>1261</v>
      </c>
    </row>
    <row r="329" spans="1:20" x14ac:dyDescent="0.35">
      <c r="A329" s="7" t="s">
        <v>429</v>
      </c>
      <c r="B329" s="12" t="s">
        <v>283</v>
      </c>
      <c r="C329">
        <v>9017578.9002294615</v>
      </c>
      <c r="D329">
        <v>10105306.143244307</v>
      </c>
      <c r="E329">
        <v>9909.9099099100004</v>
      </c>
      <c r="F329">
        <v>73135135.135135129</v>
      </c>
      <c r="M329">
        <v>10139639.63963964</v>
      </c>
      <c r="N329">
        <v>3090090.090090089</v>
      </c>
      <c r="O329">
        <v>893648.64864864806</v>
      </c>
      <c r="P329">
        <v>579369.369369369</v>
      </c>
      <c r="Q329">
        <v>163513.51351351399</v>
      </c>
      <c r="R329">
        <v>2856126.1261261259</v>
      </c>
      <c r="S329">
        <v>496</v>
      </c>
      <c r="T329">
        <v>515</v>
      </c>
    </row>
    <row r="330" spans="1:20" x14ac:dyDescent="0.35">
      <c r="A330" s="7" t="s">
        <v>430</v>
      </c>
      <c r="B330" s="12" t="s">
        <v>283</v>
      </c>
      <c r="C330">
        <v>17302951.545157872</v>
      </c>
      <c r="D330">
        <v>21900882.154219419</v>
      </c>
      <c r="E330">
        <v>9009.0090090089998</v>
      </c>
      <c r="F330">
        <v>189189.189189189</v>
      </c>
      <c r="G330">
        <v>4</v>
      </c>
      <c r="H330">
        <v>3</v>
      </c>
      <c r="K330">
        <v>4</v>
      </c>
      <c r="L330">
        <v>4</v>
      </c>
      <c r="M330">
        <v>9009.0090090089998</v>
      </c>
      <c r="N330">
        <v>279279.279279279</v>
      </c>
      <c r="O330">
        <v>1498108.1081081091</v>
      </c>
      <c r="P330">
        <v>2089279.2792792791</v>
      </c>
      <c r="R330">
        <v>173423.423423423</v>
      </c>
      <c r="S330">
        <v>825</v>
      </c>
      <c r="T330">
        <v>803</v>
      </c>
    </row>
    <row r="331" spans="1:20" x14ac:dyDescent="0.35">
      <c r="A331" s="7" t="s">
        <v>431</v>
      </c>
      <c r="B331" s="12" t="s">
        <v>78</v>
      </c>
      <c r="C331">
        <v>123299631.02217355</v>
      </c>
      <c r="D331">
        <v>120595857.5345639</v>
      </c>
      <c r="E331">
        <v>802702.70270270295</v>
      </c>
      <c r="F331">
        <v>1198198.1981982</v>
      </c>
      <c r="G331">
        <v>20</v>
      </c>
      <c r="H331">
        <v>81</v>
      </c>
      <c r="K331">
        <v>21</v>
      </c>
      <c r="L331">
        <v>131</v>
      </c>
      <c r="M331">
        <v>11960360.36036036</v>
      </c>
      <c r="N331">
        <v>8941441.4414414428</v>
      </c>
      <c r="O331">
        <v>50608603.603603601</v>
      </c>
      <c r="P331">
        <v>51304954.954954952</v>
      </c>
      <c r="Q331">
        <v>11085945.945945945</v>
      </c>
      <c r="R331">
        <v>10038018.01801802</v>
      </c>
      <c r="S331">
        <v>6929</v>
      </c>
      <c r="T331">
        <v>6824</v>
      </c>
    </row>
    <row r="332" spans="1:20" x14ac:dyDescent="0.35">
      <c r="A332" s="7" t="s">
        <v>432</v>
      </c>
      <c r="B332" s="12" t="s">
        <v>105</v>
      </c>
      <c r="C332">
        <v>107836247.82360733</v>
      </c>
      <c r="D332">
        <v>107143825.37337008</v>
      </c>
      <c r="E332">
        <v>79279.279279280003</v>
      </c>
      <c r="F332">
        <v>309009.009009008</v>
      </c>
      <c r="G332">
        <v>13</v>
      </c>
      <c r="H332">
        <v>10</v>
      </c>
      <c r="K332">
        <v>15</v>
      </c>
      <c r="L332">
        <v>12</v>
      </c>
      <c r="M332">
        <v>9659819.8198198192</v>
      </c>
      <c r="N332">
        <v>15285540.540540541</v>
      </c>
      <c r="O332">
        <v>24977331.531531531</v>
      </c>
      <c r="P332">
        <v>25594945.945945945</v>
      </c>
      <c r="Q332">
        <v>9446126.1261261273</v>
      </c>
      <c r="R332">
        <v>15933108.108108111</v>
      </c>
      <c r="S332">
        <v>3317</v>
      </c>
      <c r="T332">
        <v>3544</v>
      </c>
    </row>
    <row r="333" spans="1:20" x14ac:dyDescent="0.35">
      <c r="A333" s="7" t="s">
        <v>433</v>
      </c>
      <c r="B333" s="12" t="s">
        <v>72</v>
      </c>
      <c r="C333">
        <v>624583739.39342785</v>
      </c>
      <c r="D333">
        <v>604147770.17621744</v>
      </c>
      <c r="E333">
        <v>1020270.270270277</v>
      </c>
      <c r="F333">
        <v>4002702.7027027188</v>
      </c>
      <c r="G333">
        <v>154</v>
      </c>
      <c r="H333">
        <v>158</v>
      </c>
      <c r="I333">
        <v>1</v>
      </c>
      <c r="K333">
        <v>245</v>
      </c>
      <c r="L333">
        <v>262</v>
      </c>
      <c r="M333">
        <v>95964414.414414421</v>
      </c>
      <c r="N333">
        <v>81838738.738738731</v>
      </c>
      <c r="O333">
        <v>128981565.76576576</v>
      </c>
      <c r="P333">
        <v>128060752.25225225</v>
      </c>
      <c r="Q333">
        <v>67908288.288288295</v>
      </c>
      <c r="R333">
        <v>65192072.072072074</v>
      </c>
      <c r="S333">
        <v>18160</v>
      </c>
      <c r="T333">
        <v>18319</v>
      </c>
    </row>
    <row r="334" spans="1:20" x14ac:dyDescent="0.35">
      <c r="A334" s="7" t="s">
        <v>434</v>
      </c>
      <c r="B334" s="12" t="s">
        <v>72</v>
      </c>
      <c r="C334">
        <v>438642855.121279</v>
      </c>
      <c r="D334">
        <v>416250371.78192478</v>
      </c>
      <c r="E334">
        <v>1180180.1801801811</v>
      </c>
      <c r="F334">
        <v>2752477.4774774839</v>
      </c>
      <c r="G334">
        <v>81</v>
      </c>
      <c r="H334">
        <v>99</v>
      </c>
      <c r="K334">
        <v>91</v>
      </c>
      <c r="L334">
        <v>110</v>
      </c>
      <c r="M334">
        <v>48107207.207207203</v>
      </c>
      <c r="N334">
        <v>42730630.630630627</v>
      </c>
      <c r="O334">
        <v>75090635.135135129</v>
      </c>
      <c r="P334">
        <v>78314063.06306307</v>
      </c>
      <c r="Q334">
        <v>36008828.828828827</v>
      </c>
      <c r="R334">
        <v>33831351.351351351</v>
      </c>
      <c r="S334">
        <v>13867</v>
      </c>
      <c r="T334">
        <v>13922</v>
      </c>
    </row>
    <row r="335" spans="1:20" x14ac:dyDescent="0.35">
      <c r="A335" s="7" t="s">
        <v>435</v>
      </c>
      <c r="B335" s="12" t="s">
        <v>94</v>
      </c>
      <c r="C335">
        <v>32646136.831674308</v>
      </c>
      <c r="D335">
        <v>29246671.96263897</v>
      </c>
      <c r="E335">
        <v>900.900900901</v>
      </c>
      <c r="G335">
        <v>6</v>
      </c>
      <c r="H335">
        <v>1</v>
      </c>
      <c r="K335">
        <v>6</v>
      </c>
      <c r="L335">
        <v>1</v>
      </c>
      <c r="M335">
        <v>541441.44144144095</v>
      </c>
      <c r="N335">
        <v>180180.18018018</v>
      </c>
      <c r="O335">
        <v>7209189.1891891891</v>
      </c>
      <c r="P335">
        <v>6729405.405405405</v>
      </c>
      <c r="Q335">
        <v>75765.765765766002</v>
      </c>
      <c r="R335">
        <v>132432.43243243199</v>
      </c>
      <c r="S335">
        <v>932</v>
      </c>
      <c r="T335">
        <v>2248</v>
      </c>
    </row>
    <row r="336" spans="1:20" x14ac:dyDescent="0.35">
      <c r="A336" s="7" t="s">
        <v>436</v>
      </c>
      <c r="B336" s="12" t="s">
        <v>89</v>
      </c>
      <c r="C336">
        <v>150439696.67313635</v>
      </c>
      <c r="D336">
        <v>152716179.26597545</v>
      </c>
      <c r="E336">
        <v>872252.25225225196</v>
      </c>
      <c r="F336">
        <v>1906306.3063063091</v>
      </c>
      <c r="G336">
        <v>40</v>
      </c>
      <c r="H336">
        <v>53</v>
      </c>
      <c r="K336">
        <v>41</v>
      </c>
      <c r="L336">
        <v>57</v>
      </c>
      <c r="M336">
        <v>17115495.495495491</v>
      </c>
      <c r="N336">
        <v>20199639.639639638</v>
      </c>
      <c r="O336">
        <v>62335495.495495498</v>
      </c>
      <c r="P336">
        <v>66850698.198198199</v>
      </c>
      <c r="Q336">
        <v>18189909.909909911</v>
      </c>
      <c r="R336">
        <v>20140990.990990993</v>
      </c>
      <c r="S336">
        <v>5521</v>
      </c>
      <c r="T336">
        <v>5020</v>
      </c>
    </row>
    <row r="337" spans="1:20" x14ac:dyDescent="0.35">
      <c r="A337" s="7" t="s">
        <v>437</v>
      </c>
      <c r="B337" s="12" t="s">
        <v>70</v>
      </c>
      <c r="C337">
        <v>4931813.9754779655</v>
      </c>
      <c r="D337">
        <v>4581933.1915942002</v>
      </c>
      <c r="G337">
        <v>8</v>
      </c>
      <c r="H337">
        <v>5</v>
      </c>
      <c r="K337">
        <v>8</v>
      </c>
      <c r="L337">
        <v>5</v>
      </c>
      <c r="O337">
        <v>2562252.2522522518</v>
      </c>
      <c r="P337">
        <v>3061882.8828828828</v>
      </c>
      <c r="S337">
        <v>1246</v>
      </c>
      <c r="T337">
        <v>2425</v>
      </c>
    </row>
    <row r="338" spans="1:20" x14ac:dyDescent="0.35">
      <c r="A338" s="7" t="s">
        <v>438</v>
      </c>
      <c r="B338" s="12" t="s">
        <v>195</v>
      </c>
      <c r="C338">
        <v>734125559.49632752</v>
      </c>
      <c r="D338">
        <v>709592474.15854323</v>
      </c>
      <c r="E338">
        <v>87381131.531531543</v>
      </c>
      <c r="F338">
        <v>97264321.621621609</v>
      </c>
      <c r="G338">
        <v>152</v>
      </c>
      <c r="H338">
        <v>163</v>
      </c>
      <c r="K338">
        <v>189</v>
      </c>
      <c r="L338">
        <v>211</v>
      </c>
      <c r="M338">
        <v>73534684.684684694</v>
      </c>
      <c r="N338">
        <v>60593693.693693697</v>
      </c>
      <c r="O338">
        <v>115081540.54054055</v>
      </c>
      <c r="P338">
        <v>124251351.35135135</v>
      </c>
      <c r="Q338">
        <v>61799369.369369373</v>
      </c>
      <c r="R338">
        <v>56372162.16216217</v>
      </c>
      <c r="S338">
        <v>20666</v>
      </c>
      <c r="T338">
        <v>22083</v>
      </c>
    </row>
    <row r="339" spans="1:20" x14ac:dyDescent="0.35">
      <c r="A339" s="7" t="s">
        <v>439</v>
      </c>
      <c r="B339" s="12" t="s">
        <v>178</v>
      </c>
      <c r="C339">
        <v>345235926.201141</v>
      </c>
      <c r="D339">
        <v>349346193.50175387</v>
      </c>
      <c r="E339">
        <v>621891.89189189195</v>
      </c>
      <c r="F339">
        <v>1406306.3063063091</v>
      </c>
      <c r="G339">
        <v>58</v>
      </c>
      <c r="H339">
        <v>39</v>
      </c>
      <c r="I339">
        <v>1</v>
      </c>
      <c r="K339">
        <v>71</v>
      </c>
      <c r="L339">
        <v>86</v>
      </c>
      <c r="M339">
        <v>68346396.396396399</v>
      </c>
      <c r="N339">
        <v>64918593.693693697</v>
      </c>
      <c r="O339">
        <v>133679990.990991</v>
      </c>
      <c r="P339">
        <v>142163671.17117116</v>
      </c>
      <c r="Q339">
        <v>57298828.828828834</v>
      </c>
      <c r="R339">
        <v>58405810.810810804</v>
      </c>
      <c r="S339">
        <v>14315</v>
      </c>
      <c r="T339">
        <v>14349</v>
      </c>
    </row>
    <row r="340" spans="1:20" x14ac:dyDescent="0.35">
      <c r="A340" s="7" t="s">
        <v>440</v>
      </c>
      <c r="B340" s="12" t="s">
        <v>78</v>
      </c>
      <c r="C340">
        <v>150379700.35916406</v>
      </c>
      <c r="D340">
        <v>154967833.27761346</v>
      </c>
      <c r="E340">
        <v>1088018.0180180189</v>
      </c>
      <c r="F340">
        <v>2487387.3873873889</v>
      </c>
      <c r="G340">
        <v>20</v>
      </c>
      <c r="H340">
        <v>34</v>
      </c>
      <c r="K340">
        <v>28</v>
      </c>
      <c r="L340">
        <v>46</v>
      </c>
      <c r="M340">
        <v>10835765.765765764</v>
      </c>
      <c r="N340">
        <v>14820720.72072072</v>
      </c>
      <c r="O340">
        <v>30010684.684684683</v>
      </c>
      <c r="P340">
        <v>31334000</v>
      </c>
      <c r="Q340">
        <v>12008918.918918919</v>
      </c>
      <c r="R340">
        <v>15473513.513513515</v>
      </c>
      <c r="S340">
        <v>4994</v>
      </c>
      <c r="T340">
        <v>4869</v>
      </c>
    </row>
    <row r="341" spans="1:20" x14ac:dyDescent="0.35">
      <c r="A341" s="7" t="s">
        <v>441</v>
      </c>
      <c r="B341" s="12" t="s">
        <v>78</v>
      </c>
      <c r="C341">
        <v>67238191.455783874</v>
      </c>
      <c r="D341">
        <v>63170638.477926552</v>
      </c>
      <c r="E341">
        <v>332432.432432434</v>
      </c>
      <c r="F341">
        <v>1238738.7387387401</v>
      </c>
      <c r="G341">
        <v>15</v>
      </c>
      <c r="H341">
        <v>10</v>
      </c>
      <c r="K341">
        <v>16</v>
      </c>
      <c r="L341">
        <v>12</v>
      </c>
      <c r="M341">
        <v>13197297.297297299</v>
      </c>
      <c r="N341">
        <v>14680180.180180181</v>
      </c>
      <c r="O341">
        <v>13212927.927927928</v>
      </c>
      <c r="P341">
        <v>13763810.810810812</v>
      </c>
      <c r="Q341">
        <v>14146396.396396399</v>
      </c>
      <c r="R341">
        <v>15565675.675675675</v>
      </c>
      <c r="S341">
        <v>2535</v>
      </c>
      <c r="T341">
        <v>2233</v>
      </c>
    </row>
    <row r="342" spans="1:20" x14ac:dyDescent="0.35">
      <c r="A342" s="7" t="s">
        <v>442</v>
      </c>
      <c r="B342" s="12" t="s">
        <v>123</v>
      </c>
      <c r="C342">
        <v>1023453.86366182</v>
      </c>
      <c r="D342">
        <v>1169932.994479612</v>
      </c>
      <c r="G342">
        <v>1</v>
      </c>
      <c r="K342">
        <v>1</v>
      </c>
      <c r="O342">
        <v>410180.18018018</v>
      </c>
      <c r="P342">
        <v>456531.531531532</v>
      </c>
      <c r="S342">
        <v>389</v>
      </c>
      <c r="T342">
        <v>332</v>
      </c>
    </row>
    <row r="343" spans="1:20" x14ac:dyDescent="0.35">
      <c r="A343" s="7" t="s">
        <v>443</v>
      </c>
      <c r="B343" s="12" t="s">
        <v>140</v>
      </c>
      <c r="C343">
        <v>151238281.78035343</v>
      </c>
      <c r="D343">
        <v>156699538.21976864</v>
      </c>
      <c r="E343">
        <v>727027.02702702698</v>
      </c>
      <c r="F343">
        <v>560810.81081080902</v>
      </c>
      <c r="G343">
        <v>15</v>
      </c>
      <c r="H343">
        <v>29</v>
      </c>
      <c r="I343">
        <v>1</v>
      </c>
      <c r="K343">
        <v>17</v>
      </c>
      <c r="L343">
        <v>36</v>
      </c>
      <c r="M343">
        <v>16803153.153153151</v>
      </c>
      <c r="N343">
        <v>17629189.189189188</v>
      </c>
      <c r="O343">
        <v>37482882.882882878</v>
      </c>
      <c r="P343">
        <v>41895918.918918923</v>
      </c>
      <c r="Q343">
        <v>14299729.729729729</v>
      </c>
      <c r="R343">
        <v>14740450.450450448</v>
      </c>
      <c r="S343">
        <v>5666</v>
      </c>
      <c r="T343">
        <v>5783</v>
      </c>
    </row>
    <row r="344" spans="1:20" x14ac:dyDescent="0.35">
      <c r="A344" s="7" t="s">
        <v>444</v>
      </c>
      <c r="B344" s="12" t="s">
        <v>76</v>
      </c>
      <c r="C344">
        <v>16937312.005939417</v>
      </c>
      <c r="D344">
        <v>17317128.392624363</v>
      </c>
      <c r="E344">
        <v>40540.540540540998</v>
      </c>
      <c r="F344">
        <v>160360.36036036001</v>
      </c>
      <c r="G344">
        <v>5</v>
      </c>
      <c r="H344">
        <v>2</v>
      </c>
      <c r="K344">
        <v>6</v>
      </c>
      <c r="L344">
        <v>3</v>
      </c>
      <c r="M344">
        <v>7238738.7387387399</v>
      </c>
      <c r="N344">
        <v>3358558.5585585581</v>
      </c>
      <c r="O344">
        <v>3693693.6936936942</v>
      </c>
      <c r="P344">
        <v>3701621.6216216218</v>
      </c>
      <c r="Q344">
        <v>4574684.6846846854</v>
      </c>
      <c r="R344">
        <v>2386846.8468468469</v>
      </c>
      <c r="S344">
        <v>585</v>
      </c>
      <c r="T344">
        <v>570</v>
      </c>
    </row>
    <row r="345" spans="1:20" x14ac:dyDescent="0.35">
      <c r="A345" s="7" t="s">
        <v>445</v>
      </c>
      <c r="B345" s="12" t="s">
        <v>89</v>
      </c>
      <c r="C345">
        <v>476767008.71861452</v>
      </c>
      <c r="D345">
        <v>479485896.92804933</v>
      </c>
      <c r="E345">
        <v>60517640.540540546</v>
      </c>
      <c r="F345">
        <v>402666264.86486489</v>
      </c>
      <c r="G345">
        <v>89</v>
      </c>
      <c r="H345">
        <v>103</v>
      </c>
      <c r="I345">
        <v>2</v>
      </c>
      <c r="K345">
        <v>101</v>
      </c>
      <c r="L345">
        <v>162</v>
      </c>
      <c r="M345">
        <v>52316846.846846841</v>
      </c>
      <c r="N345">
        <v>229118198.1981982</v>
      </c>
      <c r="O345">
        <v>142958909.9099099</v>
      </c>
      <c r="P345">
        <v>153056295.4954955</v>
      </c>
      <c r="Q345">
        <v>52030090.090090089</v>
      </c>
      <c r="R345">
        <v>124530450.45045045</v>
      </c>
      <c r="S345">
        <v>15991</v>
      </c>
      <c r="T345">
        <v>16353</v>
      </c>
    </row>
    <row r="346" spans="1:20" x14ac:dyDescent="0.35">
      <c r="A346" s="7" t="s">
        <v>446</v>
      </c>
      <c r="B346" s="12" t="s">
        <v>48</v>
      </c>
      <c r="C346">
        <v>48553871.59768457</v>
      </c>
      <c r="D346">
        <v>46379239.222420983</v>
      </c>
      <c r="E346">
        <v>701801.80180180201</v>
      </c>
      <c r="F346">
        <v>612612.61261261301</v>
      </c>
      <c r="H346">
        <v>3</v>
      </c>
      <c r="L346">
        <v>8</v>
      </c>
      <c r="M346">
        <v>4766666.666666667</v>
      </c>
      <c r="N346">
        <v>6060540.5405405397</v>
      </c>
      <c r="O346">
        <v>15777162.162162162</v>
      </c>
      <c r="P346">
        <v>15525936.936936935</v>
      </c>
      <c r="Q346">
        <v>4554234.2342342352</v>
      </c>
      <c r="R346">
        <v>6091891.8918918911</v>
      </c>
      <c r="S346">
        <v>1066</v>
      </c>
      <c r="T346">
        <v>1058</v>
      </c>
    </row>
    <row r="347" spans="1:20" x14ac:dyDescent="0.35">
      <c r="A347" s="7" t="s">
        <v>447</v>
      </c>
      <c r="B347" s="12" t="s">
        <v>448</v>
      </c>
      <c r="C347">
        <v>94795116.49586387</v>
      </c>
      <c r="D347">
        <v>91793005.532673791</v>
      </c>
      <c r="E347">
        <v>675675.67567567702</v>
      </c>
      <c r="F347">
        <v>1845045.0450450471</v>
      </c>
      <c r="G347">
        <v>517</v>
      </c>
      <c r="H347">
        <v>70</v>
      </c>
      <c r="K347">
        <v>545</v>
      </c>
      <c r="L347">
        <v>159</v>
      </c>
      <c r="M347">
        <v>6470720.7207207214</v>
      </c>
      <c r="N347">
        <v>7477477.4774774788</v>
      </c>
      <c r="O347">
        <v>39282117.117117122</v>
      </c>
      <c r="P347">
        <v>37864945.945945941</v>
      </c>
      <c r="Q347">
        <v>6615225.225225226</v>
      </c>
      <c r="R347">
        <v>7559549.5495495526</v>
      </c>
      <c r="S347">
        <v>5796</v>
      </c>
      <c r="T347">
        <v>5588</v>
      </c>
    </row>
    <row r="348" spans="1:20" x14ac:dyDescent="0.35">
      <c r="A348" s="7" t="s">
        <v>449</v>
      </c>
      <c r="B348" s="12" t="s">
        <v>76</v>
      </c>
      <c r="C348">
        <v>24042935.058297399</v>
      </c>
      <c r="D348">
        <v>21777344.206269369</v>
      </c>
      <c r="E348">
        <v>16216.216216217001</v>
      </c>
      <c r="F348">
        <v>266666.66666666802</v>
      </c>
      <c r="G348">
        <v>7</v>
      </c>
      <c r="H348">
        <v>15</v>
      </c>
      <c r="K348">
        <v>7</v>
      </c>
      <c r="L348">
        <v>15</v>
      </c>
      <c r="M348">
        <v>4497297.297297298</v>
      </c>
      <c r="N348">
        <v>8220720.7207207195</v>
      </c>
      <c r="O348">
        <v>8329144.1441441439</v>
      </c>
      <c r="P348">
        <v>7908070.2702702703</v>
      </c>
      <c r="Q348">
        <v>3573423.4234234239</v>
      </c>
      <c r="R348">
        <v>5833333.3333333349</v>
      </c>
      <c r="S348">
        <v>1852</v>
      </c>
      <c r="T348">
        <v>2407</v>
      </c>
    </row>
    <row r="349" spans="1:20" x14ac:dyDescent="0.35">
      <c r="A349" s="7" t="s">
        <v>450</v>
      </c>
      <c r="B349" s="12" t="s">
        <v>83</v>
      </c>
      <c r="C349">
        <v>865380790.87214589</v>
      </c>
      <c r="D349">
        <v>860494138.54563737</v>
      </c>
      <c r="E349">
        <v>555310394.5945946</v>
      </c>
      <c r="F349">
        <v>260399495.49549553</v>
      </c>
      <c r="G349">
        <v>173</v>
      </c>
      <c r="H349">
        <v>184</v>
      </c>
      <c r="I349">
        <v>5</v>
      </c>
      <c r="K349">
        <v>187</v>
      </c>
      <c r="L349">
        <v>222</v>
      </c>
      <c r="M349">
        <v>97842522.522522524</v>
      </c>
      <c r="N349">
        <v>107809909.90990992</v>
      </c>
      <c r="O349">
        <v>176020954.95495495</v>
      </c>
      <c r="P349">
        <v>181080954.95495495</v>
      </c>
      <c r="Q349">
        <v>84474504.504504502</v>
      </c>
      <c r="R349">
        <v>98506036.036036029</v>
      </c>
      <c r="S349">
        <v>31592</v>
      </c>
      <c r="T349">
        <v>32348</v>
      </c>
    </row>
    <row r="350" spans="1:20" x14ac:dyDescent="0.35">
      <c r="A350" s="7" t="s">
        <v>451</v>
      </c>
      <c r="B350" s="12" t="s">
        <v>70</v>
      </c>
      <c r="C350">
        <v>59482582.614271916</v>
      </c>
      <c r="D350">
        <v>55123535.523379549</v>
      </c>
      <c r="E350">
        <v>415315.31531531498</v>
      </c>
      <c r="F350">
        <v>47747.747747747999</v>
      </c>
      <c r="G350">
        <v>12</v>
      </c>
      <c r="H350">
        <v>9</v>
      </c>
      <c r="K350">
        <v>14</v>
      </c>
      <c r="L350">
        <v>9</v>
      </c>
      <c r="M350">
        <v>739639.63963963999</v>
      </c>
      <c r="N350">
        <v>887387.38738738804</v>
      </c>
      <c r="O350">
        <v>34739414.414414413</v>
      </c>
      <c r="P350">
        <v>33525081.081081081</v>
      </c>
      <c r="Q350">
        <v>1407477.4774774781</v>
      </c>
      <c r="R350">
        <v>1026666.666666668</v>
      </c>
      <c r="S350">
        <v>2836</v>
      </c>
      <c r="T350">
        <v>2728</v>
      </c>
    </row>
    <row r="351" spans="1:20" x14ac:dyDescent="0.35">
      <c r="A351" s="7" t="s">
        <v>452</v>
      </c>
      <c r="B351" s="12" t="s">
        <v>167</v>
      </c>
      <c r="C351">
        <v>68937435.443803102</v>
      </c>
      <c r="D351">
        <v>66872825.141573414</v>
      </c>
      <c r="E351">
        <v>39639.639639640001</v>
      </c>
      <c r="F351">
        <v>495495.49549549498</v>
      </c>
      <c r="G351">
        <v>3</v>
      </c>
      <c r="H351">
        <v>4</v>
      </c>
      <c r="I351">
        <v>1</v>
      </c>
      <c r="K351">
        <v>3</v>
      </c>
      <c r="L351">
        <v>4</v>
      </c>
      <c r="M351">
        <v>4309549.5495495507</v>
      </c>
      <c r="N351">
        <v>720720.72072072001</v>
      </c>
      <c r="O351">
        <v>11465135.135135137</v>
      </c>
      <c r="P351">
        <v>12367270.270270269</v>
      </c>
      <c r="Q351">
        <v>4545945.9459459474</v>
      </c>
      <c r="R351">
        <v>2347027.0270270272</v>
      </c>
      <c r="S351">
        <v>2712</v>
      </c>
      <c r="T351">
        <v>2794</v>
      </c>
    </row>
    <row r="352" spans="1:20" x14ac:dyDescent="0.35">
      <c r="A352" s="7" t="s">
        <v>453</v>
      </c>
      <c r="B352" s="12" t="s">
        <v>121</v>
      </c>
      <c r="C352">
        <v>4282454.8542561755</v>
      </c>
      <c r="D352">
        <v>2995915.9772046809</v>
      </c>
      <c r="E352">
        <v>14414.414414413999</v>
      </c>
      <c r="F352">
        <v>34234.234234233998</v>
      </c>
      <c r="G352">
        <v>2</v>
      </c>
      <c r="K352">
        <v>3</v>
      </c>
      <c r="M352">
        <v>14414.414414413999</v>
      </c>
      <c r="N352">
        <v>36036.036036035999</v>
      </c>
      <c r="O352">
        <v>454234.23423423403</v>
      </c>
      <c r="P352">
        <v>266441.44144144101</v>
      </c>
      <c r="S352">
        <v>297</v>
      </c>
      <c r="T352">
        <v>190</v>
      </c>
    </row>
    <row r="353" spans="1:20" x14ac:dyDescent="0.35">
      <c r="A353" s="7" t="s">
        <v>454</v>
      </c>
      <c r="B353" s="12" t="s">
        <v>224</v>
      </c>
      <c r="C353">
        <v>28212229.670446351</v>
      </c>
      <c r="D353">
        <v>21282002.568395671</v>
      </c>
      <c r="G353">
        <v>1</v>
      </c>
      <c r="K353">
        <v>1</v>
      </c>
      <c r="L353">
        <v>1</v>
      </c>
      <c r="O353">
        <v>4921801.8018018017</v>
      </c>
      <c r="P353">
        <v>4593954.9549549548</v>
      </c>
      <c r="Q353">
        <v>135585.585585586</v>
      </c>
      <c r="R353">
        <v>138828.82882882899</v>
      </c>
      <c r="S353">
        <v>1270</v>
      </c>
      <c r="T353">
        <v>1273</v>
      </c>
    </row>
    <row r="354" spans="1:20" x14ac:dyDescent="0.35">
      <c r="A354" s="7" t="s">
        <v>455</v>
      </c>
      <c r="B354" s="12" t="s">
        <v>94</v>
      </c>
      <c r="C354">
        <v>29750948.544356059</v>
      </c>
      <c r="D354">
        <v>38265935.010833152</v>
      </c>
      <c r="E354">
        <v>200000</v>
      </c>
      <c r="F354">
        <v>351351.351351352</v>
      </c>
      <c r="G354">
        <v>12</v>
      </c>
      <c r="H354">
        <v>13</v>
      </c>
      <c r="K354">
        <v>14</v>
      </c>
      <c r="L354">
        <v>15</v>
      </c>
      <c r="M354">
        <v>4691891.8918918921</v>
      </c>
      <c r="N354">
        <v>15810810.810810812</v>
      </c>
      <c r="O354">
        <v>6070810.8108108109</v>
      </c>
      <c r="P354">
        <v>9237635.1351351365</v>
      </c>
      <c r="Q354">
        <v>4473243.2432432426</v>
      </c>
      <c r="R354">
        <v>14971531.531531531</v>
      </c>
      <c r="S354">
        <v>1881</v>
      </c>
      <c r="T354">
        <v>2020</v>
      </c>
    </row>
    <row r="355" spans="1:20" x14ac:dyDescent="0.35">
      <c r="A355" s="7" t="s">
        <v>456</v>
      </c>
      <c r="B355" s="12" t="s">
        <v>60</v>
      </c>
      <c r="C355">
        <v>6570023.9421770358</v>
      </c>
      <c r="D355">
        <v>5124948.9557531029</v>
      </c>
      <c r="E355">
        <v>295495.49549549498</v>
      </c>
      <c r="F355">
        <v>123423.423423424</v>
      </c>
      <c r="G355">
        <v>5</v>
      </c>
      <c r="H355">
        <v>2</v>
      </c>
      <c r="K355">
        <v>5</v>
      </c>
      <c r="L355">
        <v>3</v>
      </c>
      <c r="M355">
        <v>926126.12612612604</v>
      </c>
      <c r="N355">
        <v>1159459.4594594589</v>
      </c>
      <c r="O355">
        <v>3837702.702702703</v>
      </c>
      <c r="P355">
        <v>2093009.009009009</v>
      </c>
      <c r="Q355">
        <v>850000</v>
      </c>
      <c r="R355">
        <v>578378.37837837799</v>
      </c>
      <c r="S355">
        <v>677</v>
      </c>
      <c r="T355">
        <v>525</v>
      </c>
    </row>
    <row r="356" spans="1:20" x14ac:dyDescent="0.35">
      <c r="A356" s="7" t="s">
        <v>457</v>
      </c>
      <c r="B356" s="12" t="s">
        <v>214</v>
      </c>
      <c r="C356">
        <v>84541564.873817354</v>
      </c>
      <c r="D356">
        <v>93113963.102830335</v>
      </c>
      <c r="F356">
        <v>288288.28828828799</v>
      </c>
      <c r="G356">
        <v>13</v>
      </c>
      <c r="H356">
        <v>20</v>
      </c>
      <c r="K356">
        <v>15</v>
      </c>
      <c r="L356">
        <v>33</v>
      </c>
      <c r="M356">
        <v>450450.45045045001</v>
      </c>
      <c r="N356">
        <v>828828.82882882899</v>
      </c>
      <c r="O356">
        <v>42908153.153153151</v>
      </c>
      <c r="P356">
        <v>47354900.900900893</v>
      </c>
      <c r="Q356">
        <v>432432.43243243202</v>
      </c>
      <c r="R356">
        <v>1704504.5045045051</v>
      </c>
      <c r="S356">
        <v>2819</v>
      </c>
      <c r="T356">
        <v>3005</v>
      </c>
    </row>
    <row r="357" spans="1:20" x14ac:dyDescent="0.35">
      <c r="A357" s="7" t="s">
        <v>458</v>
      </c>
      <c r="B357" s="12" t="s">
        <v>459</v>
      </c>
      <c r="C357">
        <v>378291477.49539918</v>
      </c>
      <c r="D357">
        <v>360555201.8574701</v>
      </c>
      <c r="E357">
        <v>152745765.76576576</v>
      </c>
      <c r="F357">
        <v>276239369.36936939</v>
      </c>
      <c r="G357">
        <v>153</v>
      </c>
      <c r="H357">
        <v>141</v>
      </c>
      <c r="I357">
        <v>2</v>
      </c>
      <c r="K357">
        <v>223</v>
      </c>
      <c r="L357">
        <v>184</v>
      </c>
      <c r="M357">
        <v>48672522.522522517</v>
      </c>
      <c r="N357">
        <v>106177297.2972973</v>
      </c>
      <c r="O357">
        <v>123101927.92792794</v>
      </c>
      <c r="P357">
        <v>129667074.32432432</v>
      </c>
      <c r="Q357">
        <v>37610630.630630635</v>
      </c>
      <c r="R357">
        <v>70367657.657657668</v>
      </c>
      <c r="S357">
        <v>24718</v>
      </c>
      <c r="T357">
        <v>24133</v>
      </c>
    </row>
    <row r="358" spans="1:20" x14ac:dyDescent="0.35">
      <c r="A358" s="7" t="s">
        <v>460</v>
      </c>
      <c r="B358" s="12" t="s">
        <v>459</v>
      </c>
      <c r="C358">
        <v>636990203.13880885</v>
      </c>
      <c r="D358">
        <v>978671313.68434966</v>
      </c>
      <c r="E358">
        <v>6315495.4954954991</v>
      </c>
      <c r="F358">
        <v>7283783.7837837907</v>
      </c>
      <c r="G358">
        <v>258</v>
      </c>
      <c r="H358">
        <v>253</v>
      </c>
      <c r="I358">
        <v>1</v>
      </c>
      <c r="K358">
        <v>335</v>
      </c>
      <c r="L358">
        <v>334</v>
      </c>
      <c r="M358">
        <v>44982207.20720721</v>
      </c>
      <c r="N358">
        <v>60939099.099099085</v>
      </c>
      <c r="O358">
        <v>169191873.87387389</v>
      </c>
      <c r="P358">
        <v>543342608.10810804</v>
      </c>
      <c r="Q358">
        <v>40054819.819819815</v>
      </c>
      <c r="R358">
        <v>57282342.342342325</v>
      </c>
      <c r="S358">
        <v>32813</v>
      </c>
      <c r="T358">
        <v>31170</v>
      </c>
    </row>
    <row r="359" spans="1:20" x14ac:dyDescent="0.35">
      <c r="A359" s="7" t="s">
        <v>461</v>
      </c>
      <c r="B359" s="12" t="s">
        <v>459</v>
      </c>
      <c r="C359">
        <v>561952707.89666033</v>
      </c>
      <c r="D359">
        <v>580071058.60375786</v>
      </c>
      <c r="E359">
        <v>1038288.288288291</v>
      </c>
      <c r="F359">
        <v>4851351.3513513561</v>
      </c>
      <c r="G359">
        <v>232</v>
      </c>
      <c r="H359">
        <v>145</v>
      </c>
      <c r="I359">
        <v>4</v>
      </c>
      <c r="K359">
        <v>292</v>
      </c>
      <c r="L359">
        <v>227</v>
      </c>
      <c r="M359">
        <v>792620630.63063061</v>
      </c>
      <c r="N359">
        <v>565958648.64864862</v>
      </c>
      <c r="O359">
        <v>146373481.98198199</v>
      </c>
      <c r="P359">
        <v>163288846.84684685</v>
      </c>
      <c r="Q359">
        <v>752026486.48648655</v>
      </c>
      <c r="R359">
        <v>93306036.036036029</v>
      </c>
      <c r="S359">
        <v>26356</v>
      </c>
      <c r="T359">
        <v>22986</v>
      </c>
    </row>
    <row r="360" spans="1:20" x14ac:dyDescent="0.35">
      <c r="A360" s="7" t="s">
        <v>462</v>
      </c>
      <c r="B360" s="12" t="s">
        <v>459</v>
      </c>
      <c r="C360">
        <v>421220223.84478974</v>
      </c>
      <c r="D360">
        <v>415611985.7637285</v>
      </c>
      <c r="E360">
        <v>203063.063063068</v>
      </c>
      <c r="F360">
        <v>1748648.648648652</v>
      </c>
      <c r="G360">
        <v>98</v>
      </c>
      <c r="H360">
        <v>111</v>
      </c>
      <c r="K360">
        <v>114</v>
      </c>
      <c r="L360">
        <v>158</v>
      </c>
      <c r="M360">
        <v>22706486.486486487</v>
      </c>
      <c r="N360">
        <v>70258738.738738731</v>
      </c>
      <c r="O360">
        <v>92303052.252252251</v>
      </c>
      <c r="P360">
        <v>95723702.702702701</v>
      </c>
      <c r="Q360">
        <v>25183963.963963967</v>
      </c>
      <c r="R360">
        <v>35611081.081081077</v>
      </c>
      <c r="S360">
        <v>20441</v>
      </c>
      <c r="T360">
        <v>19051</v>
      </c>
    </row>
    <row r="361" spans="1:20" x14ac:dyDescent="0.35">
      <c r="A361" s="7" t="s">
        <v>463</v>
      </c>
      <c r="B361" s="12" t="s">
        <v>459</v>
      </c>
      <c r="C361">
        <v>399608785.79692078</v>
      </c>
      <c r="D361">
        <v>409047108.04043859</v>
      </c>
      <c r="E361">
        <v>770270.27027027297</v>
      </c>
      <c r="F361">
        <v>6410135.1351351412</v>
      </c>
      <c r="G361">
        <v>129</v>
      </c>
      <c r="H361">
        <v>206</v>
      </c>
      <c r="K361">
        <v>163</v>
      </c>
      <c r="L361">
        <v>297</v>
      </c>
      <c r="M361">
        <v>29314594.59459459</v>
      </c>
      <c r="N361">
        <v>133775135.13513513</v>
      </c>
      <c r="O361">
        <v>148628567.56756759</v>
      </c>
      <c r="P361">
        <v>162358355.85585588</v>
      </c>
      <c r="Q361">
        <v>27540450.450450443</v>
      </c>
      <c r="R361">
        <v>62837027.027027026</v>
      </c>
      <c r="S361">
        <v>26192</v>
      </c>
      <c r="T361">
        <v>26270</v>
      </c>
    </row>
    <row r="362" spans="1:20" x14ac:dyDescent="0.35">
      <c r="A362" s="7" t="s">
        <v>464</v>
      </c>
      <c r="B362" s="12" t="s">
        <v>459</v>
      </c>
      <c r="C362">
        <v>445746139.58108228</v>
      </c>
      <c r="D362">
        <v>470854332.61457014</v>
      </c>
      <c r="E362">
        <v>1092676505.4054055</v>
      </c>
      <c r="F362">
        <v>1395664454.9549551</v>
      </c>
      <c r="G362">
        <v>200</v>
      </c>
      <c r="H362">
        <v>136</v>
      </c>
      <c r="K362">
        <v>230</v>
      </c>
      <c r="L362">
        <v>189</v>
      </c>
      <c r="M362">
        <v>60518558.558558561</v>
      </c>
      <c r="N362">
        <v>66074054.054054052</v>
      </c>
      <c r="O362">
        <v>193780935.13513514</v>
      </c>
      <c r="P362">
        <v>201356272.52252254</v>
      </c>
      <c r="Q362">
        <v>57749639.639639646</v>
      </c>
      <c r="R362">
        <v>64248828.828828834</v>
      </c>
      <c r="S362">
        <v>27802</v>
      </c>
      <c r="T362">
        <v>28496</v>
      </c>
    </row>
    <row r="363" spans="1:20" x14ac:dyDescent="0.35">
      <c r="A363" s="7" t="s">
        <v>465</v>
      </c>
      <c r="B363" s="12" t="s">
        <v>54</v>
      </c>
      <c r="C363">
        <v>31932406.43014738</v>
      </c>
      <c r="D363">
        <v>30044404.627391357</v>
      </c>
      <c r="E363">
        <v>10810.810810810999</v>
      </c>
      <c r="F363">
        <v>97297.297297298996</v>
      </c>
      <c r="G363">
        <v>3</v>
      </c>
      <c r="H363">
        <v>6</v>
      </c>
      <c r="K363">
        <v>4</v>
      </c>
      <c r="L363">
        <v>9</v>
      </c>
      <c r="M363">
        <v>2255855.8558558561</v>
      </c>
      <c r="N363">
        <v>2676396.3963963981</v>
      </c>
      <c r="O363">
        <v>6531666.666666666</v>
      </c>
      <c r="P363">
        <v>6225270.2702702703</v>
      </c>
      <c r="Q363">
        <v>2552252.2522522509</v>
      </c>
      <c r="R363">
        <v>2489819.8198198192</v>
      </c>
      <c r="S363">
        <v>1289</v>
      </c>
      <c r="T363">
        <v>1046</v>
      </c>
    </row>
    <row r="364" spans="1:20" x14ac:dyDescent="0.35">
      <c r="A364" s="7" t="s">
        <v>466</v>
      </c>
      <c r="B364" s="12" t="s">
        <v>87</v>
      </c>
      <c r="C364">
        <v>1393660.465673828</v>
      </c>
      <c r="D364">
        <v>1172388.4783255151</v>
      </c>
      <c r="F364">
        <v>3603603.6036036038</v>
      </c>
      <c r="M364">
        <v>89189.189189188997</v>
      </c>
      <c r="O364">
        <v>300000</v>
      </c>
      <c r="P364">
        <v>283783.78378378402</v>
      </c>
      <c r="S364">
        <v>91</v>
      </c>
      <c r="T364">
        <v>90</v>
      </c>
    </row>
    <row r="365" spans="1:20" x14ac:dyDescent="0.35">
      <c r="A365" s="7" t="s">
        <v>467</v>
      </c>
      <c r="B365" s="12" t="s">
        <v>143</v>
      </c>
      <c r="C365">
        <v>159875832.52448881</v>
      </c>
      <c r="D365">
        <v>150324512.88476318</v>
      </c>
      <c r="E365">
        <v>62162.162162162</v>
      </c>
      <c r="F365">
        <v>37068468.468468472</v>
      </c>
      <c r="G365">
        <v>44</v>
      </c>
      <c r="H365">
        <v>43</v>
      </c>
      <c r="K365">
        <v>49</v>
      </c>
      <c r="L365">
        <v>53</v>
      </c>
      <c r="M365">
        <v>11655405.405405406</v>
      </c>
      <c r="N365">
        <v>8266666.666666667</v>
      </c>
      <c r="O365">
        <v>26347828.828828827</v>
      </c>
      <c r="P365">
        <v>22990969.369369369</v>
      </c>
      <c r="Q365">
        <v>8703513.5135135148</v>
      </c>
      <c r="R365">
        <v>5710360.3603603588</v>
      </c>
      <c r="S365">
        <v>5022</v>
      </c>
      <c r="T365">
        <v>5034</v>
      </c>
    </row>
    <row r="366" spans="1:20" x14ac:dyDescent="0.35">
      <c r="A366" s="7" t="s">
        <v>468</v>
      </c>
      <c r="B366" s="12" t="s">
        <v>80</v>
      </c>
      <c r="C366">
        <v>138262572.75793314</v>
      </c>
      <c r="D366">
        <v>127707567.29755875</v>
      </c>
      <c r="E366">
        <v>61474774.774774775</v>
      </c>
      <c r="F366">
        <v>28634684.684684686</v>
      </c>
      <c r="G366">
        <v>19</v>
      </c>
      <c r="H366">
        <v>19</v>
      </c>
      <c r="K366">
        <v>24</v>
      </c>
      <c r="L366">
        <v>22</v>
      </c>
      <c r="M366">
        <v>5799099.0990990996</v>
      </c>
      <c r="N366">
        <v>3731981.981981982</v>
      </c>
      <c r="O366">
        <v>50824790.990990989</v>
      </c>
      <c r="P366">
        <v>47972207.20720721</v>
      </c>
      <c r="Q366">
        <v>4453963.9639639631</v>
      </c>
      <c r="R366">
        <v>2230990.9909909922</v>
      </c>
      <c r="S366">
        <v>5672</v>
      </c>
      <c r="T366">
        <v>5353</v>
      </c>
    </row>
    <row r="367" spans="1:20" x14ac:dyDescent="0.35">
      <c r="A367" s="7" t="s">
        <v>469</v>
      </c>
      <c r="B367" s="12" t="s">
        <v>470</v>
      </c>
      <c r="C367">
        <v>150442610.89847514</v>
      </c>
      <c r="D367">
        <v>153330872.98217639</v>
      </c>
      <c r="E367">
        <v>13280810.810810812</v>
      </c>
      <c r="F367">
        <v>84358558.558558553</v>
      </c>
      <c r="G367">
        <v>38</v>
      </c>
      <c r="H367">
        <v>12</v>
      </c>
      <c r="K367">
        <v>39</v>
      </c>
      <c r="L367">
        <v>13</v>
      </c>
      <c r="M367">
        <v>14134414.414414413</v>
      </c>
      <c r="N367">
        <v>12395045.045045046</v>
      </c>
      <c r="O367">
        <v>45815774.774774775</v>
      </c>
      <c r="P367">
        <v>46719495.495495498</v>
      </c>
      <c r="Q367">
        <v>6709819.8198198201</v>
      </c>
      <c r="R367">
        <v>13111261.261261262</v>
      </c>
      <c r="S367">
        <v>5316</v>
      </c>
      <c r="T367">
        <v>5527</v>
      </c>
    </row>
    <row r="368" spans="1:20" x14ac:dyDescent="0.35">
      <c r="A368" s="7" t="s">
        <v>471</v>
      </c>
      <c r="B368" s="12" t="s">
        <v>470</v>
      </c>
      <c r="C368">
        <v>13958492.69149271</v>
      </c>
      <c r="D368">
        <v>11642394.37582208</v>
      </c>
      <c r="E368">
        <v>27027.027027027001</v>
      </c>
      <c r="F368">
        <v>72072.072072071998</v>
      </c>
      <c r="M368">
        <v>27027.027027027001</v>
      </c>
      <c r="N368">
        <v>1765765.7657657659</v>
      </c>
      <c r="O368">
        <v>968108.10810810805</v>
      </c>
      <c r="P368">
        <v>1197567.567567568</v>
      </c>
      <c r="R368">
        <v>1823423.4234234239</v>
      </c>
      <c r="S368">
        <v>635</v>
      </c>
      <c r="T368">
        <v>656</v>
      </c>
    </row>
    <row r="369" spans="1:20" x14ac:dyDescent="0.35">
      <c r="A369" s="7" t="s">
        <v>472</v>
      </c>
      <c r="B369" s="12" t="s">
        <v>470</v>
      </c>
      <c r="C369">
        <v>2048690.136980799</v>
      </c>
      <c r="D369">
        <v>1642017.622327043</v>
      </c>
      <c r="E369">
        <v>1801.801801802</v>
      </c>
      <c r="F369">
        <v>192792.79279279301</v>
      </c>
      <c r="M369">
        <v>1801.801801802</v>
      </c>
      <c r="N369">
        <v>1913513.5135135141</v>
      </c>
      <c r="O369">
        <v>309009.00900900899</v>
      </c>
      <c r="P369">
        <v>375090.09009009</v>
      </c>
      <c r="Q369">
        <v>136936.93693693701</v>
      </c>
      <c r="R369">
        <v>1693693.693693694</v>
      </c>
      <c r="S369">
        <v>399</v>
      </c>
      <c r="T369">
        <v>371</v>
      </c>
    </row>
    <row r="370" spans="1:20" x14ac:dyDescent="0.35">
      <c r="A370" s="7" t="s">
        <v>473</v>
      </c>
      <c r="B370" s="12" t="s">
        <v>470</v>
      </c>
      <c r="C370">
        <v>51382926.449967347</v>
      </c>
      <c r="D370">
        <v>55581122.69179219</v>
      </c>
      <c r="E370">
        <v>190090.09009009</v>
      </c>
      <c r="F370">
        <v>219819.81981982</v>
      </c>
      <c r="G370">
        <v>9</v>
      </c>
      <c r="H370">
        <v>8</v>
      </c>
      <c r="K370">
        <v>13</v>
      </c>
      <c r="L370">
        <v>10</v>
      </c>
      <c r="M370">
        <v>379279.279279279</v>
      </c>
      <c r="N370">
        <v>2093693.693693694</v>
      </c>
      <c r="O370">
        <v>7211387.3873873884</v>
      </c>
      <c r="P370">
        <v>7963324.3243243238</v>
      </c>
      <c r="Q370">
        <v>4393513.5135135138</v>
      </c>
      <c r="R370">
        <v>10881441.441441443</v>
      </c>
      <c r="S370">
        <v>2186</v>
      </c>
      <c r="T370">
        <v>2212</v>
      </c>
    </row>
    <row r="371" spans="1:20" x14ac:dyDescent="0.35">
      <c r="A371" s="7" t="s">
        <v>474</v>
      </c>
      <c r="B371" s="12" t="s">
        <v>470</v>
      </c>
      <c r="C371">
        <v>75544615.800525531</v>
      </c>
      <c r="D371">
        <v>76468400.543151081</v>
      </c>
      <c r="E371">
        <v>35675.675675676001</v>
      </c>
      <c r="F371">
        <v>449549.54954954999</v>
      </c>
      <c r="G371">
        <v>16</v>
      </c>
      <c r="H371">
        <v>20</v>
      </c>
      <c r="K371">
        <v>20</v>
      </c>
      <c r="L371">
        <v>23</v>
      </c>
      <c r="M371">
        <v>2415135.1351351361</v>
      </c>
      <c r="N371">
        <v>5981081.0810810812</v>
      </c>
      <c r="O371">
        <v>16991342.342342343</v>
      </c>
      <c r="P371">
        <v>16995639.639639638</v>
      </c>
      <c r="Q371">
        <v>2304504.504504506</v>
      </c>
      <c r="R371">
        <v>6160180.1801801808</v>
      </c>
      <c r="S371">
        <v>2443</v>
      </c>
      <c r="T371">
        <v>2352</v>
      </c>
    </row>
    <row r="372" spans="1:20" x14ac:dyDescent="0.35">
      <c r="A372" s="7" t="s">
        <v>475</v>
      </c>
      <c r="B372" s="12" t="s">
        <v>470</v>
      </c>
      <c r="C372">
        <v>28677245.767463185</v>
      </c>
      <c r="D372">
        <v>28629918.984000016</v>
      </c>
      <c r="E372">
        <v>5405.4054054050002</v>
      </c>
      <c r="F372">
        <v>303603.60360360402</v>
      </c>
      <c r="G372">
        <v>5</v>
      </c>
      <c r="H372">
        <v>3</v>
      </c>
      <c r="K372">
        <v>5</v>
      </c>
      <c r="L372">
        <v>3</v>
      </c>
      <c r="M372">
        <v>1415675.6756756769</v>
      </c>
      <c r="N372">
        <v>5240540.5405405425</v>
      </c>
      <c r="O372">
        <v>6150540.5405405406</v>
      </c>
      <c r="P372">
        <v>5945691.891891893</v>
      </c>
      <c r="Q372">
        <v>1761621.6216216229</v>
      </c>
      <c r="R372">
        <v>4492432.4324324327</v>
      </c>
      <c r="S372">
        <v>1426</v>
      </c>
      <c r="T372">
        <v>1413</v>
      </c>
    </row>
    <row r="373" spans="1:20" x14ac:dyDescent="0.35">
      <c r="A373" s="7" t="s">
        <v>476</v>
      </c>
      <c r="B373" s="12" t="s">
        <v>470</v>
      </c>
      <c r="C373">
        <v>278501525.09354287</v>
      </c>
      <c r="D373">
        <v>287990774.72025764</v>
      </c>
      <c r="E373">
        <v>1372207.207207209</v>
      </c>
      <c r="F373">
        <v>5593693.6936937021</v>
      </c>
      <c r="G373">
        <v>62</v>
      </c>
      <c r="H373">
        <v>111</v>
      </c>
      <c r="K373">
        <v>69</v>
      </c>
      <c r="L373">
        <v>204</v>
      </c>
      <c r="M373">
        <v>48207747.747747742</v>
      </c>
      <c r="N373">
        <v>71711261.261261255</v>
      </c>
      <c r="O373">
        <v>67973798.198198199</v>
      </c>
      <c r="P373">
        <v>74001718.918918908</v>
      </c>
      <c r="Q373">
        <v>48290180.180180177</v>
      </c>
      <c r="R373">
        <v>70400180.180180177</v>
      </c>
      <c r="S373">
        <v>15597</v>
      </c>
      <c r="T373">
        <v>16853</v>
      </c>
    </row>
    <row r="374" spans="1:20" x14ac:dyDescent="0.35">
      <c r="A374" s="7" t="s">
        <v>477</v>
      </c>
      <c r="B374" s="12" t="s">
        <v>260</v>
      </c>
      <c r="C374">
        <v>331278516.54127038</v>
      </c>
      <c r="D374">
        <v>352560809.84614843</v>
      </c>
      <c r="E374">
        <v>698288.28828828898</v>
      </c>
      <c r="F374">
        <v>1564189.1891891891</v>
      </c>
      <c r="G374">
        <v>63</v>
      </c>
      <c r="H374">
        <v>54</v>
      </c>
      <c r="K374">
        <v>68</v>
      </c>
      <c r="L374">
        <v>58</v>
      </c>
      <c r="M374">
        <v>38234324.324324325</v>
      </c>
      <c r="N374">
        <v>44947747.747747742</v>
      </c>
      <c r="O374">
        <v>80409810.810810819</v>
      </c>
      <c r="P374">
        <v>91669518.018018022</v>
      </c>
      <c r="Q374">
        <v>40499279.279279277</v>
      </c>
      <c r="R374">
        <v>42109459.459459454</v>
      </c>
      <c r="S374">
        <v>11307</v>
      </c>
      <c r="T374">
        <v>11188</v>
      </c>
    </row>
    <row r="375" spans="1:20" x14ac:dyDescent="0.35">
      <c r="A375" s="7" t="s">
        <v>478</v>
      </c>
      <c r="B375" s="12" t="s">
        <v>479</v>
      </c>
      <c r="C375">
        <v>26255555.634042136</v>
      </c>
      <c r="D375">
        <v>21232250.5496732</v>
      </c>
      <c r="E375">
        <v>11118018.018018018</v>
      </c>
      <c r="F375">
        <v>25784684.684684683</v>
      </c>
      <c r="G375">
        <v>9</v>
      </c>
      <c r="H375">
        <v>6</v>
      </c>
      <c r="K375">
        <v>9</v>
      </c>
      <c r="L375">
        <v>7</v>
      </c>
      <c r="M375">
        <v>17156756.756756756</v>
      </c>
      <c r="N375">
        <v>11152252.252252253</v>
      </c>
      <c r="O375">
        <v>6424549.5495495498</v>
      </c>
      <c r="P375">
        <v>4873783.7837837841</v>
      </c>
      <c r="Q375">
        <v>15151351.351351352</v>
      </c>
      <c r="R375">
        <v>9406306.3063063063</v>
      </c>
      <c r="S375">
        <v>918</v>
      </c>
      <c r="T375">
        <v>615</v>
      </c>
    </row>
    <row r="376" spans="1:20" x14ac:dyDescent="0.35">
      <c r="A376" s="7" t="s">
        <v>480</v>
      </c>
      <c r="B376" s="12" t="s">
        <v>123</v>
      </c>
      <c r="C376">
        <v>184269849.86769795</v>
      </c>
      <c r="D376">
        <v>175662747.06227285</v>
      </c>
      <c r="E376">
        <v>1288738.7387387389</v>
      </c>
      <c r="F376">
        <v>700000.00000000198</v>
      </c>
      <c r="G376">
        <v>25</v>
      </c>
      <c r="H376">
        <v>34</v>
      </c>
      <c r="K376">
        <v>35</v>
      </c>
      <c r="L376">
        <v>37</v>
      </c>
      <c r="M376">
        <v>12050180.180180181</v>
      </c>
      <c r="N376">
        <v>10811981.98198198</v>
      </c>
      <c r="O376">
        <v>69776081.081081077</v>
      </c>
      <c r="P376">
        <v>65628004.504504502</v>
      </c>
      <c r="Q376">
        <v>12692792.792792792</v>
      </c>
      <c r="R376">
        <v>11099999.999999998</v>
      </c>
      <c r="S376">
        <v>5605</v>
      </c>
      <c r="T376">
        <v>5561</v>
      </c>
    </row>
    <row r="377" spans="1:20" x14ac:dyDescent="0.35">
      <c r="A377" s="7" t="s">
        <v>481</v>
      </c>
      <c r="B377" s="12" t="s">
        <v>470</v>
      </c>
      <c r="C377">
        <v>14969855.305033544</v>
      </c>
      <c r="D377">
        <v>14391757.901258435</v>
      </c>
      <c r="E377">
        <v>41606135.135135137</v>
      </c>
      <c r="F377">
        <v>87538710.810810819</v>
      </c>
      <c r="G377">
        <v>2</v>
      </c>
      <c r="H377">
        <v>2</v>
      </c>
      <c r="K377">
        <v>3</v>
      </c>
      <c r="L377">
        <v>3</v>
      </c>
      <c r="M377">
        <v>9251961.2612612601</v>
      </c>
      <c r="N377">
        <v>9242788.2882882878</v>
      </c>
      <c r="O377">
        <v>2466522.5225225231</v>
      </c>
      <c r="P377">
        <v>2535270.2702702698</v>
      </c>
      <c r="Q377">
        <v>373873.87387387402</v>
      </c>
      <c r="R377">
        <v>556936.93693693704</v>
      </c>
      <c r="S377">
        <v>636</v>
      </c>
      <c r="T377">
        <v>631</v>
      </c>
    </row>
    <row r="378" spans="1:20" x14ac:dyDescent="0.35">
      <c r="A378" s="7" t="s">
        <v>482</v>
      </c>
      <c r="B378" s="12" t="s">
        <v>167</v>
      </c>
      <c r="C378">
        <v>149791847.46482602</v>
      </c>
      <c r="D378">
        <v>145132510.03710246</v>
      </c>
      <c r="E378">
        <v>346846.84684684803</v>
      </c>
      <c r="F378">
        <v>1351351.351351354</v>
      </c>
      <c r="G378">
        <v>81</v>
      </c>
      <c r="H378">
        <v>83</v>
      </c>
      <c r="K378">
        <v>127</v>
      </c>
      <c r="L378">
        <v>113</v>
      </c>
      <c r="M378">
        <v>12180180.180180181</v>
      </c>
      <c r="N378">
        <v>12969369.369369373</v>
      </c>
      <c r="O378">
        <v>60722158.558558561</v>
      </c>
      <c r="P378">
        <v>61899121.621621624</v>
      </c>
      <c r="Q378">
        <v>12748648.648648648</v>
      </c>
      <c r="R378">
        <v>14347927.92792793</v>
      </c>
      <c r="S378">
        <v>9209</v>
      </c>
      <c r="T378">
        <v>8494</v>
      </c>
    </row>
    <row r="379" spans="1:20" x14ac:dyDescent="0.35">
      <c r="A379" s="7" t="s">
        <v>483</v>
      </c>
      <c r="B379" s="12" t="s">
        <v>167</v>
      </c>
      <c r="C379">
        <v>147499533.75164554</v>
      </c>
      <c r="D379">
        <v>162225716.41143972</v>
      </c>
      <c r="E379">
        <v>227390298.1981982</v>
      </c>
      <c r="F379">
        <v>258477460.36036035</v>
      </c>
      <c r="G379">
        <v>148</v>
      </c>
      <c r="H379">
        <v>83</v>
      </c>
      <c r="K379">
        <v>344</v>
      </c>
      <c r="L379">
        <v>130</v>
      </c>
      <c r="M379">
        <v>29715315.315315317</v>
      </c>
      <c r="N379">
        <v>24949549.549549554</v>
      </c>
      <c r="O379">
        <v>59454324.324324325</v>
      </c>
      <c r="P379">
        <v>61462549.54954955</v>
      </c>
      <c r="Q379">
        <v>28685315.315315314</v>
      </c>
      <c r="R379">
        <v>23093286.486486487</v>
      </c>
      <c r="S379">
        <v>9257</v>
      </c>
      <c r="T379">
        <v>9426</v>
      </c>
    </row>
    <row r="380" spans="1:20" x14ac:dyDescent="0.35">
      <c r="A380" s="7" t="s">
        <v>484</v>
      </c>
      <c r="B380" s="12" t="s">
        <v>50</v>
      </c>
      <c r="C380">
        <v>104547474.20828541</v>
      </c>
      <c r="D380">
        <v>100740219.45616055</v>
      </c>
      <c r="E380">
        <v>898738.73873873998</v>
      </c>
      <c r="F380">
        <v>1171171.1711711739</v>
      </c>
      <c r="G380">
        <v>41</v>
      </c>
      <c r="H380">
        <v>26</v>
      </c>
      <c r="K380">
        <v>42</v>
      </c>
      <c r="L380">
        <v>28</v>
      </c>
      <c r="M380">
        <v>18304684.684684683</v>
      </c>
      <c r="N380">
        <v>13897117.117117116</v>
      </c>
      <c r="O380">
        <v>44846576.576576576</v>
      </c>
      <c r="P380">
        <v>44239540.540540546</v>
      </c>
      <c r="Q380">
        <v>17454864.864864863</v>
      </c>
      <c r="R380">
        <v>12905585.585585585</v>
      </c>
      <c r="S380">
        <v>3754</v>
      </c>
      <c r="T380">
        <v>3282</v>
      </c>
    </row>
    <row r="381" spans="1:20" x14ac:dyDescent="0.35">
      <c r="A381" s="7" t="s">
        <v>485</v>
      </c>
      <c r="B381" s="12" t="s">
        <v>134</v>
      </c>
      <c r="C381">
        <v>145969382.49898514</v>
      </c>
      <c r="D381">
        <v>134676761.25041109</v>
      </c>
      <c r="E381">
        <v>333333.33333333401</v>
      </c>
      <c r="F381">
        <v>664864.86486486602</v>
      </c>
      <c r="G381">
        <v>38</v>
      </c>
      <c r="H381">
        <v>21</v>
      </c>
      <c r="K381">
        <v>46</v>
      </c>
      <c r="L381">
        <v>22</v>
      </c>
      <c r="M381">
        <v>20328828.828828827</v>
      </c>
      <c r="N381">
        <v>16695495.495495496</v>
      </c>
      <c r="O381">
        <v>24212657.657657657</v>
      </c>
      <c r="P381">
        <v>25871394.59459459</v>
      </c>
      <c r="Q381">
        <v>11923873.873873875</v>
      </c>
      <c r="R381">
        <v>12093153.153153153</v>
      </c>
      <c r="S381">
        <v>4654</v>
      </c>
      <c r="T381">
        <v>4645</v>
      </c>
    </row>
    <row r="382" spans="1:20" x14ac:dyDescent="0.35">
      <c r="A382" s="7" t="s">
        <v>486</v>
      </c>
      <c r="B382" s="12" t="s">
        <v>76</v>
      </c>
      <c r="C382">
        <v>35394372.009692669</v>
      </c>
      <c r="D382">
        <v>26907045.573991764</v>
      </c>
      <c r="E382">
        <v>697297.29729729798</v>
      </c>
      <c r="F382">
        <v>666666.66666666698</v>
      </c>
      <c r="G382">
        <v>6</v>
      </c>
      <c r="H382">
        <v>8</v>
      </c>
      <c r="K382">
        <v>6</v>
      </c>
      <c r="L382">
        <v>8</v>
      </c>
      <c r="M382">
        <v>7796396.3963963958</v>
      </c>
      <c r="N382">
        <v>6100810.81081081</v>
      </c>
      <c r="O382">
        <v>13298797.297297295</v>
      </c>
      <c r="P382">
        <v>10849754.954954956</v>
      </c>
      <c r="Q382">
        <v>6731801.8018018007</v>
      </c>
      <c r="R382">
        <v>5862565.7657657638</v>
      </c>
      <c r="S382">
        <v>1427</v>
      </c>
      <c r="T382">
        <v>1441</v>
      </c>
    </row>
    <row r="383" spans="1:20" x14ac:dyDescent="0.35">
      <c r="A383" s="7" t="s">
        <v>487</v>
      </c>
      <c r="B383" s="12" t="s">
        <v>307</v>
      </c>
      <c r="C383">
        <v>219766463.39871493</v>
      </c>
      <c r="D383">
        <v>229170629.32377189</v>
      </c>
      <c r="E383">
        <v>205405.405405406</v>
      </c>
      <c r="F383">
        <v>2101801.8018018059</v>
      </c>
      <c r="G383">
        <v>66</v>
      </c>
      <c r="H383">
        <v>80</v>
      </c>
      <c r="K383">
        <v>80</v>
      </c>
      <c r="L383">
        <v>118</v>
      </c>
      <c r="M383">
        <v>37455135.135135137</v>
      </c>
      <c r="N383">
        <v>79238153.153153151</v>
      </c>
      <c r="O383">
        <v>88871657.657657668</v>
      </c>
      <c r="P383">
        <v>98429216.216216207</v>
      </c>
      <c r="Q383">
        <v>32012342.342342339</v>
      </c>
      <c r="R383">
        <v>44426261.261261262</v>
      </c>
      <c r="S383">
        <v>11095</v>
      </c>
      <c r="T383">
        <v>12086</v>
      </c>
    </row>
    <row r="384" spans="1:20" x14ac:dyDescent="0.35">
      <c r="A384" s="7" t="s">
        <v>668</v>
      </c>
      <c r="B384" s="12" t="s">
        <v>181</v>
      </c>
      <c r="M384">
        <v>297297.29729729699</v>
      </c>
      <c r="N384">
        <v>810810.810810811</v>
      </c>
    </row>
    <row r="385" spans="1:20" x14ac:dyDescent="0.35">
      <c r="A385" s="7" t="s">
        <v>488</v>
      </c>
      <c r="B385" s="12" t="s">
        <v>315</v>
      </c>
      <c r="C385">
        <v>61422416.495866008</v>
      </c>
      <c r="D385">
        <v>48767428.188203</v>
      </c>
      <c r="E385">
        <v>556756.75675675704</v>
      </c>
      <c r="F385">
        <v>464864.86486486602</v>
      </c>
      <c r="G385">
        <v>16</v>
      </c>
      <c r="H385">
        <v>4</v>
      </c>
      <c r="K385">
        <v>16</v>
      </c>
      <c r="L385">
        <v>5</v>
      </c>
      <c r="M385">
        <v>20090090.090090089</v>
      </c>
      <c r="N385">
        <v>23262882.882882886</v>
      </c>
      <c r="O385">
        <v>25723954.954954956</v>
      </c>
      <c r="P385">
        <v>20430423.423423424</v>
      </c>
      <c r="Q385">
        <v>19903063.063063063</v>
      </c>
      <c r="R385">
        <v>21599279.27927928</v>
      </c>
      <c r="S385">
        <v>1650</v>
      </c>
      <c r="T385">
        <v>1630</v>
      </c>
    </row>
    <row r="386" spans="1:20" x14ac:dyDescent="0.35">
      <c r="A386" s="7" t="s">
        <v>489</v>
      </c>
      <c r="B386" s="12" t="s">
        <v>181</v>
      </c>
      <c r="C386">
        <v>126536872.67939065</v>
      </c>
      <c r="D386">
        <v>120021647.39054725</v>
      </c>
      <c r="E386">
        <v>62162.162162164001</v>
      </c>
      <c r="F386">
        <v>496846.84684684803</v>
      </c>
      <c r="G386">
        <v>73</v>
      </c>
      <c r="H386">
        <v>55</v>
      </c>
      <c r="K386">
        <v>82</v>
      </c>
      <c r="L386">
        <v>81</v>
      </c>
      <c r="M386">
        <v>8967207.2072072066</v>
      </c>
      <c r="N386">
        <v>7536936.9369369354</v>
      </c>
      <c r="O386">
        <v>34398504.504504502</v>
      </c>
      <c r="P386">
        <v>35946243.243243247</v>
      </c>
      <c r="Q386">
        <v>7945405.405405404</v>
      </c>
      <c r="R386">
        <v>9046666.666666666</v>
      </c>
      <c r="S386">
        <v>6490</v>
      </c>
      <c r="T386">
        <v>6995</v>
      </c>
    </row>
    <row r="387" spans="1:20" x14ac:dyDescent="0.35">
      <c r="A387" s="7" t="s">
        <v>669</v>
      </c>
      <c r="B387" s="12" t="s">
        <v>66</v>
      </c>
      <c r="M387">
        <v>243243.24324324299</v>
      </c>
      <c r="N387">
        <v>162162.16216216201</v>
      </c>
    </row>
    <row r="388" spans="1:20" x14ac:dyDescent="0.35">
      <c r="A388" s="7" t="s">
        <v>490</v>
      </c>
      <c r="B388" s="12" t="s">
        <v>220</v>
      </c>
      <c r="C388">
        <v>74519953.06007345</v>
      </c>
      <c r="D388">
        <v>67813889.153629035</v>
      </c>
      <c r="E388">
        <v>6306.3063063059999</v>
      </c>
      <c r="F388">
        <v>18018.018018019</v>
      </c>
      <c r="G388">
        <v>26</v>
      </c>
      <c r="H388">
        <v>22</v>
      </c>
      <c r="K388">
        <v>30</v>
      </c>
      <c r="L388">
        <v>31</v>
      </c>
      <c r="M388">
        <v>3018198.1981981988</v>
      </c>
      <c r="N388">
        <v>1394594.5945945941</v>
      </c>
      <c r="O388">
        <v>18807198.198198199</v>
      </c>
      <c r="P388">
        <v>16669511.711711712</v>
      </c>
      <c r="Q388">
        <v>1677387.3873873891</v>
      </c>
      <c r="R388">
        <v>614864.86486486497</v>
      </c>
      <c r="S388">
        <v>3838</v>
      </c>
      <c r="T388">
        <v>3908</v>
      </c>
    </row>
    <row r="389" spans="1:20" x14ac:dyDescent="0.35">
      <c r="A389" s="7" t="s">
        <v>491</v>
      </c>
      <c r="B389" s="12" t="s">
        <v>220</v>
      </c>
      <c r="C389">
        <v>20919969.699633066</v>
      </c>
      <c r="D389">
        <v>22809667.498235427</v>
      </c>
      <c r="E389">
        <v>6764864.8648648653</v>
      </c>
      <c r="F389">
        <v>89465765.765765756</v>
      </c>
      <c r="G389">
        <v>15</v>
      </c>
      <c r="H389">
        <v>13</v>
      </c>
      <c r="K389">
        <v>18</v>
      </c>
      <c r="L389">
        <v>15</v>
      </c>
      <c r="M389">
        <v>52967567.567567565</v>
      </c>
      <c r="N389">
        <v>17021621.621621624</v>
      </c>
      <c r="O389">
        <v>6681396.3963963958</v>
      </c>
      <c r="P389">
        <v>6890990.9909909908</v>
      </c>
      <c r="Q389">
        <v>6379189.1891891882</v>
      </c>
      <c r="R389">
        <v>14365585.585585587</v>
      </c>
      <c r="S389">
        <v>1245</v>
      </c>
      <c r="T389">
        <v>1117</v>
      </c>
    </row>
    <row r="390" spans="1:20" x14ac:dyDescent="0.35">
      <c r="A390" s="7" t="s">
        <v>492</v>
      </c>
      <c r="B390" s="12" t="s">
        <v>60</v>
      </c>
      <c r="C390">
        <v>90533877.870259777</v>
      </c>
      <c r="D390">
        <v>78396656.972103134</v>
      </c>
      <c r="E390">
        <v>881081.081081082</v>
      </c>
      <c r="F390">
        <v>2173873.8738738801</v>
      </c>
      <c r="G390">
        <v>19</v>
      </c>
      <c r="H390">
        <v>18</v>
      </c>
      <c r="K390">
        <v>22</v>
      </c>
      <c r="L390">
        <v>69</v>
      </c>
      <c r="M390">
        <v>21803603.603603605</v>
      </c>
      <c r="N390">
        <v>18125945.945945945</v>
      </c>
      <c r="O390">
        <v>38339864.864864863</v>
      </c>
      <c r="P390">
        <v>35673819.819819823</v>
      </c>
      <c r="Q390">
        <v>18406846.846846849</v>
      </c>
      <c r="R390">
        <v>15400720.72072072</v>
      </c>
      <c r="S390">
        <v>3647</v>
      </c>
      <c r="T390">
        <v>3663</v>
      </c>
    </row>
    <row r="391" spans="1:20" x14ac:dyDescent="0.35">
      <c r="A391" s="7" t="s">
        <v>493</v>
      </c>
      <c r="B391" s="12" t="s">
        <v>448</v>
      </c>
      <c r="C391">
        <v>104087576.12644753</v>
      </c>
      <c r="D391">
        <v>96451973.268685669</v>
      </c>
      <c r="E391">
        <v>102702.702702704</v>
      </c>
      <c r="F391">
        <v>127027.027027027</v>
      </c>
      <c r="G391">
        <v>61</v>
      </c>
      <c r="H391">
        <v>72</v>
      </c>
      <c r="K391">
        <v>66</v>
      </c>
      <c r="L391">
        <v>76</v>
      </c>
      <c r="M391">
        <v>11372297.297297295</v>
      </c>
      <c r="N391">
        <v>8987387.3873873875</v>
      </c>
      <c r="O391">
        <v>37718783.783783786</v>
      </c>
      <c r="P391">
        <v>34803720.720720723</v>
      </c>
      <c r="Q391">
        <v>11698693.693693692</v>
      </c>
      <c r="R391">
        <v>8515045.0450450461</v>
      </c>
      <c r="S391">
        <v>4869</v>
      </c>
      <c r="T391">
        <v>4919</v>
      </c>
    </row>
    <row r="392" spans="1:20" x14ac:dyDescent="0.35">
      <c r="A392" s="7" t="s">
        <v>7</v>
      </c>
      <c r="B392" s="12" t="s">
        <v>193</v>
      </c>
      <c r="C392">
        <v>77526033.31313695</v>
      </c>
      <c r="D392">
        <v>80897189.0030265</v>
      </c>
      <c r="E392">
        <v>39189.189189188997</v>
      </c>
      <c r="F392">
        <v>210810.81081081199</v>
      </c>
      <c r="G392">
        <v>25</v>
      </c>
      <c r="H392">
        <v>26</v>
      </c>
      <c r="K392">
        <v>26</v>
      </c>
      <c r="L392">
        <v>34</v>
      </c>
      <c r="M392">
        <v>20006756.75675676</v>
      </c>
      <c r="N392">
        <v>16372972.972972972</v>
      </c>
      <c r="O392">
        <v>52325765.765765771</v>
      </c>
      <c r="P392">
        <v>56972738.738738738</v>
      </c>
      <c r="Q392">
        <v>18856576.576576579</v>
      </c>
      <c r="R392">
        <v>19149459.459459461</v>
      </c>
      <c r="S392">
        <v>4692</v>
      </c>
      <c r="T392">
        <v>4794</v>
      </c>
    </row>
    <row r="393" spans="1:20" x14ac:dyDescent="0.35">
      <c r="A393" s="7" t="s">
        <v>494</v>
      </c>
      <c r="B393" s="12" t="s">
        <v>330</v>
      </c>
      <c r="C393">
        <v>97437702.974444106</v>
      </c>
      <c r="D393">
        <v>94916833.30278185</v>
      </c>
      <c r="E393">
        <v>14414.414414413999</v>
      </c>
      <c r="F393">
        <v>181981.98198198201</v>
      </c>
      <c r="G393">
        <v>45</v>
      </c>
      <c r="H393">
        <v>41</v>
      </c>
      <c r="K393">
        <v>54</v>
      </c>
      <c r="L393">
        <v>56</v>
      </c>
      <c r="M393">
        <v>5167567.5675675683</v>
      </c>
      <c r="N393">
        <v>4848648.6486486467</v>
      </c>
      <c r="O393">
        <v>25113684.684684683</v>
      </c>
      <c r="P393">
        <v>23315918.918918919</v>
      </c>
      <c r="Q393">
        <v>4704954.9549549548</v>
      </c>
      <c r="R393">
        <v>4703783.7837837841</v>
      </c>
      <c r="S393">
        <v>5991</v>
      </c>
      <c r="T393">
        <v>6089</v>
      </c>
    </row>
    <row r="394" spans="1:20" x14ac:dyDescent="0.35">
      <c r="A394" s="7" t="s">
        <v>495</v>
      </c>
      <c r="B394" s="12" t="s">
        <v>330</v>
      </c>
      <c r="C394">
        <v>164324472.79718658</v>
      </c>
      <c r="D394">
        <v>162851344.34181574</v>
      </c>
      <c r="E394">
        <v>51351.351351352001</v>
      </c>
      <c r="F394">
        <v>814189.18918919296</v>
      </c>
      <c r="G394">
        <v>55</v>
      </c>
      <c r="H394">
        <v>82</v>
      </c>
      <c r="K394">
        <v>61</v>
      </c>
      <c r="L394">
        <v>93</v>
      </c>
      <c r="M394">
        <v>5623423.4234234216</v>
      </c>
      <c r="N394">
        <v>4612612.6126126144</v>
      </c>
      <c r="O394">
        <v>35257135.135135137</v>
      </c>
      <c r="P394">
        <v>40036981.981981985</v>
      </c>
      <c r="Q394">
        <v>5578468.4684684696</v>
      </c>
      <c r="R394">
        <v>4220360.3603603616</v>
      </c>
      <c r="S394">
        <v>7635</v>
      </c>
      <c r="T394">
        <v>6899</v>
      </c>
    </row>
    <row r="395" spans="1:20" x14ac:dyDescent="0.35">
      <c r="A395" s="7" t="s">
        <v>496</v>
      </c>
      <c r="B395" s="12" t="s">
        <v>330</v>
      </c>
      <c r="C395">
        <v>171821742.14688584</v>
      </c>
      <c r="D395">
        <v>162043760.4666355</v>
      </c>
      <c r="E395">
        <v>375675.67567567801</v>
      </c>
      <c r="F395">
        <v>2426801.8018018049</v>
      </c>
      <c r="G395">
        <v>84</v>
      </c>
      <c r="H395">
        <v>67</v>
      </c>
      <c r="K395">
        <v>100</v>
      </c>
      <c r="L395">
        <v>80</v>
      </c>
      <c r="M395">
        <v>10681801.801801801</v>
      </c>
      <c r="N395">
        <v>22420720.720720723</v>
      </c>
      <c r="O395">
        <v>37543621.621621624</v>
      </c>
      <c r="P395">
        <v>35887576.576576576</v>
      </c>
      <c r="Q395">
        <v>9850900.9009009004</v>
      </c>
      <c r="R395">
        <v>22938648.648648649</v>
      </c>
      <c r="S395">
        <v>8695</v>
      </c>
      <c r="T395">
        <v>8287</v>
      </c>
    </row>
    <row r="396" spans="1:20" x14ac:dyDescent="0.35">
      <c r="A396" s="7" t="s">
        <v>497</v>
      </c>
      <c r="B396" s="12" t="s">
        <v>330</v>
      </c>
      <c r="C396">
        <v>695554532.93829203</v>
      </c>
      <c r="D396">
        <v>614665976.63706732</v>
      </c>
      <c r="E396">
        <v>690798244.14414418</v>
      </c>
      <c r="F396">
        <v>566708796.3963964</v>
      </c>
      <c r="G396">
        <v>208</v>
      </c>
      <c r="H396">
        <v>294</v>
      </c>
      <c r="I396">
        <v>23</v>
      </c>
      <c r="K396">
        <v>252</v>
      </c>
      <c r="L396">
        <v>369</v>
      </c>
      <c r="M396">
        <v>124408738.73873873</v>
      </c>
      <c r="N396">
        <v>168923423.42342341</v>
      </c>
      <c r="O396">
        <v>125537738.73873873</v>
      </c>
      <c r="P396">
        <v>130530738.73873873</v>
      </c>
      <c r="Q396">
        <v>123980540.54054055</v>
      </c>
      <c r="R396">
        <v>45802162.162162162</v>
      </c>
      <c r="S396">
        <v>29768</v>
      </c>
      <c r="T396">
        <v>27872</v>
      </c>
    </row>
    <row r="397" spans="1:20" x14ac:dyDescent="0.35">
      <c r="A397" s="7" t="s">
        <v>498</v>
      </c>
      <c r="B397" s="12" t="s">
        <v>330</v>
      </c>
      <c r="C397">
        <v>530858110.93807656</v>
      </c>
      <c r="D397">
        <v>497008679.83808625</v>
      </c>
      <c r="E397">
        <v>1420450.450450452</v>
      </c>
      <c r="F397">
        <v>3150900.9009009078</v>
      </c>
      <c r="G397">
        <v>155</v>
      </c>
      <c r="H397">
        <v>183</v>
      </c>
      <c r="I397">
        <v>1</v>
      </c>
      <c r="K397">
        <v>186</v>
      </c>
      <c r="L397">
        <v>235</v>
      </c>
      <c r="M397">
        <v>142815045.04504505</v>
      </c>
      <c r="N397">
        <v>130911261.26126127</v>
      </c>
      <c r="O397">
        <v>124383945.94594595</v>
      </c>
      <c r="P397">
        <v>123262387.38738739</v>
      </c>
      <c r="Q397">
        <v>137312702.7027027</v>
      </c>
      <c r="R397">
        <v>44749099.099099107</v>
      </c>
      <c r="S397">
        <v>26584</v>
      </c>
      <c r="T397">
        <v>26274</v>
      </c>
    </row>
    <row r="398" spans="1:20" x14ac:dyDescent="0.35">
      <c r="A398" s="7" t="s">
        <v>499</v>
      </c>
      <c r="B398" s="12" t="s">
        <v>143</v>
      </c>
      <c r="C398">
        <v>210190461.85614476</v>
      </c>
      <c r="D398">
        <v>215485167.03583726</v>
      </c>
      <c r="E398">
        <v>146846.846846848</v>
      </c>
      <c r="F398">
        <v>950675.675675679</v>
      </c>
      <c r="G398">
        <v>45</v>
      </c>
      <c r="H398">
        <v>47</v>
      </c>
      <c r="K398">
        <v>57</v>
      </c>
      <c r="L398">
        <v>60</v>
      </c>
      <c r="M398">
        <v>18709909.909909911</v>
      </c>
      <c r="N398">
        <v>22807207.207207207</v>
      </c>
      <c r="O398">
        <v>31014396.396396395</v>
      </c>
      <c r="P398">
        <v>34964430.630630635</v>
      </c>
      <c r="Q398">
        <v>12600000</v>
      </c>
      <c r="R398">
        <v>13776306.306306304</v>
      </c>
      <c r="S398">
        <v>7824</v>
      </c>
      <c r="T398">
        <v>8100</v>
      </c>
    </row>
    <row r="399" spans="1:20" x14ac:dyDescent="0.35">
      <c r="A399" s="7" t="s">
        <v>500</v>
      </c>
      <c r="B399" s="12" t="s">
        <v>220</v>
      </c>
      <c r="C399">
        <v>246409658.13207766</v>
      </c>
      <c r="D399">
        <v>248097714.4296369</v>
      </c>
      <c r="E399">
        <v>1027027.0270270311</v>
      </c>
      <c r="F399">
        <v>2927252.2522522602</v>
      </c>
      <c r="G399">
        <v>108</v>
      </c>
      <c r="H399">
        <v>94</v>
      </c>
      <c r="I399">
        <v>1</v>
      </c>
      <c r="K399">
        <v>133</v>
      </c>
      <c r="L399">
        <v>126</v>
      </c>
      <c r="M399">
        <v>49100540.540540546</v>
      </c>
      <c r="N399">
        <v>138883513.51351351</v>
      </c>
      <c r="O399">
        <v>72732864.864864871</v>
      </c>
      <c r="P399">
        <v>75821689.189189181</v>
      </c>
      <c r="Q399">
        <v>49724594.594594598</v>
      </c>
      <c r="R399">
        <v>137891981.98198196</v>
      </c>
      <c r="S399">
        <v>11811</v>
      </c>
      <c r="T399">
        <v>14454</v>
      </c>
    </row>
    <row r="400" spans="1:20" x14ac:dyDescent="0.35">
      <c r="A400" s="7" t="s">
        <v>501</v>
      </c>
      <c r="B400" s="12" t="s">
        <v>397</v>
      </c>
      <c r="C400">
        <v>694575181.31127965</v>
      </c>
      <c r="D400">
        <v>710836243.44553304</v>
      </c>
      <c r="E400">
        <v>214323031.53153151</v>
      </c>
      <c r="F400">
        <v>6033964.8648648718</v>
      </c>
      <c r="G400">
        <v>217</v>
      </c>
      <c r="H400">
        <v>226</v>
      </c>
      <c r="K400">
        <v>248</v>
      </c>
      <c r="L400">
        <v>296</v>
      </c>
      <c r="M400">
        <v>101048018.01801802</v>
      </c>
      <c r="N400">
        <v>77196171.171171173</v>
      </c>
      <c r="O400">
        <v>141846581.98198199</v>
      </c>
      <c r="P400">
        <v>153149313.51351351</v>
      </c>
      <c r="Q400">
        <v>91184504.504504517</v>
      </c>
      <c r="R400">
        <v>67407972.972972974</v>
      </c>
      <c r="S400">
        <v>26995</v>
      </c>
      <c r="T400">
        <v>27127</v>
      </c>
    </row>
    <row r="401" spans="1:20" x14ac:dyDescent="0.35">
      <c r="A401" s="7" t="s">
        <v>502</v>
      </c>
      <c r="B401" s="12" t="s">
        <v>70</v>
      </c>
      <c r="C401">
        <v>10614953.682534421</v>
      </c>
      <c r="D401">
        <v>10690674.46286262</v>
      </c>
      <c r="F401">
        <v>107207.207207208</v>
      </c>
      <c r="G401">
        <v>5</v>
      </c>
      <c r="H401">
        <v>2</v>
      </c>
      <c r="K401">
        <v>5</v>
      </c>
      <c r="L401">
        <v>3</v>
      </c>
      <c r="M401">
        <v>129729.72972973</v>
      </c>
      <c r="N401">
        <v>382882.88288288401</v>
      </c>
      <c r="O401">
        <v>7570855.8558558561</v>
      </c>
      <c r="P401">
        <v>7301522.5225225231</v>
      </c>
      <c r="Q401">
        <v>1142342.342342342</v>
      </c>
      <c r="R401">
        <v>287837.83783783799</v>
      </c>
      <c r="S401">
        <v>670</v>
      </c>
      <c r="T401">
        <v>643</v>
      </c>
    </row>
    <row r="402" spans="1:20" x14ac:dyDescent="0.35">
      <c r="A402" s="7" t="s">
        <v>503</v>
      </c>
      <c r="B402" s="12" t="s">
        <v>330</v>
      </c>
      <c r="C402">
        <v>293113787.97428727</v>
      </c>
      <c r="D402">
        <v>292373073.9780035</v>
      </c>
      <c r="E402">
        <v>744144.14414414705</v>
      </c>
      <c r="F402">
        <v>2596171.1711711721</v>
      </c>
      <c r="G402">
        <v>79</v>
      </c>
      <c r="H402">
        <v>101</v>
      </c>
      <c r="K402">
        <v>99</v>
      </c>
      <c r="L402">
        <v>124</v>
      </c>
      <c r="M402">
        <v>22627027.027027026</v>
      </c>
      <c r="N402">
        <v>29538738.738738742</v>
      </c>
      <c r="O402">
        <v>73513430.630630627</v>
      </c>
      <c r="P402">
        <v>76059308.558558553</v>
      </c>
      <c r="Q402">
        <v>21300090.090090089</v>
      </c>
      <c r="R402">
        <v>27974144.144144144</v>
      </c>
      <c r="S402">
        <v>15798</v>
      </c>
      <c r="T402">
        <v>16335</v>
      </c>
    </row>
    <row r="403" spans="1:20" x14ac:dyDescent="0.35">
      <c r="A403" s="7" t="s">
        <v>504</v>
      </c>
      <c r="B403" s="12" t="s">
        <v>283</v>
      </c>
      <c r="C403">
        <v>89370757.612363905</v>
      </c>
      <c r="D403">
        <v>94571532.589356825</v>
      </c>
      <c r="E403">
        <v>297297.29729729699</v>
      </c>
      <c r="F403">
        <v>215315.31531531599</v>
      </c>
      <c r="G403">
        <v>35</v>
      </c>
      <c r="H403">
        <v>11</v>
      </c>
      <c r="K403">
        <v>39</v>
      </c>
      <c r="L403">
        <v>15</v>
      </c>
      <c r="M403">
        <v>7108108.1081081079</v>
      </c>
      <c r="N403">
        <v>9062162.1621621642</v>
      </c>
      <c r="O403">
        <v>16580000</v>
      </c>
      <c r="P403">
        <v>17518684.684684683</v>
      </c>
      <c r="Q403">
        <v>7539639.6396396402</v>
      </c>
      <c r="R403">
        <v>9210180.1801801808</v>
      </c>
      <c r="S403">
        <v>3154</v>
      </c>
      <c r="T403">
        <v>3036</v>
      </c>
    </row>
    <row r="404" spans="1:20" x14ac:dyDescent="0.35">
      <c r="A404" s="7" t="s">
        <v>505</v>
      </c>
      <c r="B404" s="12" t="s">
        <v>260</v>
      </c>
      <c r="C404">
        <v>54909692.685097612</v>
      </c>
      <c r="D404">
        <v>54959348.286952883</v>
      </c>
      <c r="E404">
        <v>9009.0090090089998</v>
      </c>
      <c r="F404">
        <v>40540.540540540998</v>
      </c>
      <c r="G404">
        <v>3</v>
      </c>
      <c r="H404">
        <v>3</v>
      </c>
      <c r="I404">
        <v>1</v>
      </c>
      <c r="K404">
        <v>4</v>
      </c>
      <c r="L404">
        <v>5</v>
      </c>
      <c r="M404">
        <v>1360360.36036036</v>
      </c>
      <c r="N404">
        <v>1842342.342342342</v>
      </c>
      <c r="O404">
        <v>12701756.756756756</v>
      </c>
      <c r="P404">
        <v>11339063.063063065</v>
      </c>
      <c r="Q404">
        <v>1118918.9189189191</v>
      </c>
      <c r="R404">
        <v>1231081.0810810809</v>
      </c>
      <c r="S404">
        <v>2146</v>
      </c>
      <c r="T404">
        <v>2251</v>
      </c>
    </row>
    <row r="405" spans="1:20" x14ac:dyDescent="0.35">
      <c r="A405" s="7" t="s">
        <v>506</v>
      </c>
      <c r="B405" s="12" t="s">
        <v>236</v>
      </c>
      <c r="C405">
        <v>142436657.15684092</v>
      </c>
      <c r="D405">
        <v>135389198.08050761</v>
      </c>
      <c r="E405">
        <v>25329292.792792797</v>
      </c>
      <c r="F405">
        <v>7330418.0180180194</v>
      </c>
      <c r="G405">
        <v>33</v>
      </c>
      <c r="H405">
        <v>9</v>
      </c>
      <c r="K405">
        <v>88</v>
      </c>
      <c r="L405">
        <v>66</v>
      </c>
      <c r="M405">
        <v>46439279.279279277</v>
      </c>
      <c r="N405">
        <v>41765405.40540541</v>
      </c>
      <c r="O405">
        <v>31828806.306306303</v>
      </c>
      <c r="P405">
        <v>29331918.918918919</v>
      </c>
      <c r="Q405">
        <v>21994774.774774775</v>
      </c>
      <c r="R405">
        <v>22956396.396396395</v>
      </c>
      <c r="S405">
        <v>4660</v>
      </c>
      <c r="T405">
        <v>4507</v>
      </c>
    </row>
    <row r="406" spans="1:20" x14ac:dyDescent="0.35">
      <c r="A406" s="7" t="s">
        <v>507</v>
      </c>
      <c r="B406" s="12" t="s">
        <v>134</v>
      </c>
      <c r="C406">
        <v>21874480.109935649</v>
      </c>
      <c r="D406">
        <v>11391079.429279309</v>
      </c>
      <c r="O406">
        <v>3382792.7927927929</v>
      </c>
      <c r="P406">
        <v>2188414.4144144142</v>
      </c>
      <c r="S406">
        <v>1284</v>
      </c>
      <c r="T406">
        <v>1280</v>
      </c>
    </row>
    <row r="407" spans="1:20" x14ac:dyDescent="0.35">
      <c r="A407" s="7" t="s">
        <v>508</v>
      </c>
      <c r="B407" s="12" t="s">
        <v>397</v>
      </c>
      <c r="C407">
        <v>146988640.67392844</v>
      </c>
      <c r="D407">
        <v>141585903.02673489</v>
      </c>
      <c r="E407">
        <v>17567.567567568</v>
      </c>
      <c r="F407">
        <v>500000</v>
      </c>
      <c r="G407">
        <v>20</v>
      </c>
      <c r="H407">
        <v>20</v>
      </c>
      <c r="K407">
        <v>25</v>
      </c>
      <c r="L407">
        <v>42</v>
      </c>
      <c r="M407">
        <v>16036936.936936937</v>
      </c>
      <c r="N407">
        <v>12982882.882882882</v>
      </c>
      <c r="O407">
        <v>21012162.162162162</v>
      </c>
      <c r="P407">
        <v>23119441.441441439</v>
      </c>
      <c r="Q407">
        <v>12327027.027027028</v>
      </c>
      <c r="R407">
        <v>12681081.081081079</v>
      </c>
      <c r="S407">
        <v>4367</v>
      </c>
      <c r="T407">
        <v>4542</v>
      </c>
    </row>
    <row r="408" spans="1:20" x14ac:dyDescent="0.35">
      <c r="A408" s="7" t="s">
        <v>509</v>
      </c>
      <c r="B408" s="12" t="s">
        <v>134</v>
      </c>
      <c r="C408">
        <v>159525806.7363621</v>
      </c>
      <c r="D408">
        <v>160065053.03467953</v>
      </c>
      <c r="E408">
        <v>538738.73873874196</v>
      </c>
      <c r="F408">
        <v>980180.18018018396</v>
      </c>
      <c r="G408">
        <v>50</v>
      </c>
      <c r="H408">
        <v>44</v>
      </c>
      <c r="I408">
        <v>1</v>
      </c>
      <c r="K408">
        <v>51</v>
      </c>
      <c r="L408">
        <v>53</v>
      </c>
      <c r="M408">
        <v>14119819.819819819</v>
      </c>
      <c r="N408">
        <v>16723423.423423424</v>
      </c>
      <c r="O408">
        <v>26193570.270270269</v>
      </c>
      <c r="P408">
        <v>25996385.135135137</v>
      </c>
      <c r="Q408">
        <v>10603333.333333334</v>
      </c>
      <c r="R408">
        <v>14257207.207207207</v>
      </c>
      <c r="S408">
        <v>5221</v>
      </c>
      <c r="T408">
        <v>5470</v>
      </c>
    </row>
    <row r="409" spans="1:20" x14ac:dyDescent="0.35">
      <c r="A409" s="7" t="s">
        <v>510</v>
      </c>
      <c r="B409" s="12" t="s">
        <v>134</v>
      </c>
      <c r="C409">
        <v>442401081.8351931</v>
      </c>
      <c r="D409">
        <v>439471674.63125342</v>
      </c>
      <c r="E409">
        <v>1201981.9819819881</v>
      </c>
      <c r="F409">
        <v>2509909.9099099189</v>
      </c>
      <c r="G409">
        <v>159</v>
      </c>
      <c r="H409">
        <v>88</v>
      </c>
      <c r="I409">
        <v>10</v>
      </c>
      <c r="K409">
        <v>189</v>
      </c>
      <c r="L409">
        <v>139</v>
      </c>
      <c r="M409">
        <v>26806576.576576576</v>
      </c>
      <c r="N409">
        <v>31529729.729729727</v>
      </c>
      <c r="O409">
        <v>48046117.117117122</v>
      </c>
      <c r="P409">
        <v>45216144.144144148</v>
      </c>
      <c r="Q409">
        <v>24492612.612612609</v>
      </c>
      <c r="R409">
        <v>29958828.82882883</v>
      </c>
      <c r="S409">
        <v>16935</v>
      </c>
      <c r="T409">
        <v>16463</v>
      </c>
    </row>
    <row r="410" spans="1:20" x14ac:dyDescent="0.35">
      <c r="A410" s="7" t="s">
        <v>8</v>
      </c>
      <c r="B410" s="12" t="s">
        <v>158</v>
      </c>
      <c r="C410">
        <v>114447569.76806754</v>
      </c>
      <c r="D410">
        <v>110595422.34053099</v>
      </c>
      <c r="E410">
        <v>1381981.981981985</v>
      </c>
      <c r="F410">
        <v>1498198.1981982009</v>
      </c>
      <c r="G410">
        <v>10</v>
      </c>
      <c r="H410">
        <v>3</v>
      </c>
      <c r="K410">
        <v>12</v>
      </c>
      <c r="L410">
        <v>4</v>
      </c>
      <c r="M410">
        <v>18324324.324324325</v>
      </c>
      <c r="N410">
        <v>13322522.522522524</v>
      </c>
      <c r="O410">
        <v>32753918.918918919</v>
      </c>
      <c r="P410">
        <v>32151207.207207207</v>
      </c>
      <c r="Q410">
        <v>16726126.126126124</v>
      </c>
      <c r="R410">
        <v>12859909.909909908</v>
      </c>
      <c r="S410">
        <v>3755</v>
      </c>
      <c r="T410">
        <v>4562</v>
      </c>
    </row>
    <row r="411" spans="1:20" x14ac:dyDescent="0.35">
      <c r="A411" s="7" t="s">
        <v>511</v>
      </c>
      <c r="B411" s="12" t="s">
        <v>134</v>
      </c>
      <c r="C411">
        <v>72901489.149257436</v>
      </c>
      <c r="D411">
        <v>81117565.492196858</v>
      </c>
      <c r="E411">
        <v>900.900900901</v>
      </c>
      <c r="F411">
        <v>328828.82882882899</v>
      </c>
      <c r="G411">
        <v>7</v>
      </c>
      <c r="H411">
        <v>5</v>
      </c>
      <c r="K411">
        <v>85</v>
      </c>
      <c r="L411">
        <v>6</v>
      </c>
      <c r="M411">
        <v>2703603.6036036038</v>
      </c>
      <c r="N411">
        <v>5734234.2342342352</v>
      </c>
      <c r="O411">
        <v>10028324.324324325</v>
      </c>
      <c r="P411">
        <v>11547990.990990993</v>
      </c>
      <c r="Q411">
        <v>1868018.0180180189</v>
      </c>
      <c r="R411">
        <v>2681891.8918918921</v>
      </c>
      <c r="S411">
        <v>3837</v>
      </c>
      <c r="T411">
        <v>3197</v>
      </c>
    </row>
    <row r="412" spans="1:20" x14ac:dyDescent="0.35">
      <c r="A412" s="7" t="s">
        <v>512</v>
      </c>
      <c r="B412" s="12" t="s">
        <v>62</v>
      </c>
      <c r="C412">
        <v>379226106.5867756</v>
      </c>
      <c r="D412">
        <v>363409069.55481416</v>
      </c>
      <c r="E412">
        <v>171329831.53153151</v>
      </c>
      <c r="F412">
        <v>347047100</v>
      </c>
      <c r="G412">
        <v>88</v>
      </c>
      <c r="H412">
        <v>87</v>
      </c>
      <c r="K412">
        <v>100</v>
      </c>
      <c r="L412">
        <v>138</v>
      </c>
      <c r="M412">
        <v>36797599.0990991</v>
      </c>
      <c r="N412">
        <v>50567067.567567565</v>
      </c>
      <c r="O412">
        <v>72064846.846846849</v>
      </c>
      <c r="P412">
        <v>75388504.504504517</v>
      </c>
      <c r="Q412">
        <v>14895225.225225223</v>
      </c>
      <c r="R412">
        <v>22589009.009009007</v>
      </c>
      <c r="S412">
        <v>14271</v>
      </c>
      <c r="T412">
        <v>14552</v>
      </c>
    </row>
    <row r="413" spans="1:20" x14ac:dyDescent="0.35">
      <c r="A413" s="7" t="s">
        <v>513</v>
      </c>
      <c r="B413" s="12" t="s">
        <v>117</v>
      </c>
      <c r="C413">
        <v>42464834.606910057</v>
      </c>
      <c r="D413">
        <v>34670662.458638228</v>
      </c>
      <c r="E413">
        <v>8108.1081081089997</v>
      </c>
      <c r="F413">
        <v>217117.11711711701</v>
      </c>
      <c r="G413">
        <v>58</v>
      </c>
      <c r="H413">
        <v>22</v>
      </c>
      <c r="K413">
        <v>58</v>
      </c>
      <c r="L413">
        <v>24</v>
      </c>
      <c r="M413">
        <v>3087927.9279279271</v>
      </c>
      <c r="N413">
        <v>1916306.306306307</v>
      </c>
      <c r="O413">
        <v>21418648.648648649</v>
      </c>
      <c r="P413">
        <v>15079567.567567568</v>
      </c>
      <c r="Q413">
        <v>2548288.2882882869</v>
      </c>
      <c r="R413">
        <v>1153693.6936936949</v>
      </c>
      <c r="S413">
        <v>2043</v>
      </c>
      <c r="T413">
        <v>2084</v>
      </c>
    </row>
    <row r="414" spans="1:20" x14ac:dyDescent="0.35">
      <c r="A414" s="7" t="s">
        <v>514</v>
      </c>
      <c r="B414" s="12" t="s">
        <v>304</v>
      </c>
      <c r="C414">
        <v>74645428.701964602</v>
      </c>
      <c r="D414">
        <v>68687151.595386177</v>
      </c>
      <c r="E414">
        <v>149549.54954954999</v>
      </c>
      <c r="F414">
        <v>486486.48648648802</v>
      </c>
      <c r="G414">
        <v>26</v>
      </c>
      <c r="H414">
        <v>38</v>
      </c>
      <c r="K414">
        <v>28</v>
      </c>
      <c r="L414">
        <v>40</v>
      </c>
      <c r="M414">
        <v>1023423.423423423</v>
      </c>
      <c r="N414">
        <v>8256306.3063063063</v>
      </c>
      <c r="O414">
        <v>6430000</v>
      </c>
      <c r="P414">
        <v>7343648.6486486476</v>
      </c>
      <c r="Q414">
        <v>2083513.5135135129</v>
      </c>
      <c r="R414">
        <v>8930450.4504504502</v>
      </c>
      <c r="S414">
        <v>1510</v>
      </c>
      <c r="T414">
        <v>1413</v>
      </c>
    </row>
    <row r="415" spans="1:20" x14ac:dyDescent="0.35">
      <c r="A415" s="7" t="s">
        <v>515</v>
      </c>
      <c r="B415" s="12" t="s">
        <v>304</v>
      </c>
      <c r="C415">
        <v>21344906.976349317</v>
      </c>
      <c r="D415">
        <v>16453012.322064759</v>
      </c>
      <c r="E415">
        <v>188648.648648648</v>
      </c>
      <c r="F415">
        <v>183783.78378378399</v>
      </c>
      <c r="G415">
        <v>4</v>
      </c>
      <c r="H415">
        <v>4</v>
      </c>
      <c r="K415">
        <v>4</v>
      </c>
      <c r="L415">
        <v>5</v>
      </c>
      <c r="M415">
        <v>2846306.3063063049</v>
      </c>
      <c r="N415">
        <v>1864864.8648648639</v>
      </c>
      <c r="O415">
        <v>2878153.1531531531</v>
      </c>
      <c r="P415">
        <v>2703657.6576576568</v>
      </c>
      <c r="Q415">
        <v>2697027.0270270272</v>
      </c>
      <c r="R415">
        <v>1349549.5495495489</v>
      </c>
      <c r="S415">
        <v>599</v>
      </c>
      <c r="T415">
        <v>1481</v>
      </c>
    </row>
    <row r="416" spans="1:20" x14ac:dyDescent="0.35">
      <c r="A416" s="7" t="s">
        <v>516</v>
      </c>
      <c r="B416" s="12" t="s">
        <v>304</v>
      </c>
      <c r="C416">
        <v>40451957.028883703</v>
      </c>
      <c r="D416">
        <v>42312916.208124675</v>
      </c>
      <c r="E416">
        <v>14054.054054054001</v>
      </c>
      <c r="F416">
        <v>599099.09909909801</v>
      </c>
      <c r="G416">
        <v>17</v>
      </c>
      <c r="H416">
        <v>26</v>
      </c>
      <c r="K416">
        <v>18</v>
      </c>
      <c r="L416">
        <v>26</v>
      </c>
      <c r="M416">
        <v>2743783.7837837832</v>
      </c>
      <c r="N416">
        <v>2554954.9549549539</v>
      </c>
      <c r="O416">
        <v>5705225.2252252251</v>
      </c>
      <c r="P416">
        <v>6542378.3783783782</v>
      </c>
      <c r="Q416">
        <v>2368108.1081081089</v>
      </c>
      <c r="R416">
        <v>2217477.4774774779</v>
      </c>
      <c r="S416">
        <v>1124</v>
      </c>
      <c r="T416">
        <v>1091</v>
      </c>
    </row>
    <row r="417" spans="1:20" x14ac:dyDescent="0.35">
      <c r="A417" s="7" t="s">
        <v>517</v>
      </c>
      <c r="B417" s="12" t="s">
        <v>304</v>
      </c>
      <c r="C417">
        <v>33177774.898763571</v>
      </c>
      <c r="D417">
        <v>31604893.308261521</v>
      </c>
      <c r="E417">
        <v>13513.513513514001</v>
      </c>
      <c r="F417">
        <v>94594.594594594993</v>
      </c>
      <c r="G417">
        <v>6</v>
      </c>
      <c r="H417">
        <v>13</v>
      </c>
      <c r="K417">
        <v>6</v>
      </c>
      <c r="L417">
        <v>14</v>
      </c>
      <c r="M417">
        <v>1283783.7837837851</v>
      </c>
      <c r="N417">
        <v>635135.13513513503</v>
      </c>
      <c r="O417">
        <v>3982792.7927927929</v>
      </c>
      <c r="P417">
        <v>4423018.0180180185</v>
      </c>
      <c r="Q417">
        <v>785585.58558558498</v>
      </c>
      <c r="R417">
        <v>513783.78378378402</v>
      </c>
      <c r="S417">
        <v>855</v>
      </c>
      <c r="T417">
        <v>864</v>
      </c>
    </row>
    <row r="418" spans="1:20" x14ac:dyDescent="0.35">
      <c r="A418" s="7" t="s">
        <v>518</v>
      </c>
      <c r="B418" s="12" t="s">
        <v>448</v>
      </c>
      <c r="C418">
        <v>32839755.427446701</v>
      </c>
      <c r="D418">
        <v>31216756.272851892</v>
      </c>
      <c r="E418">
        <v>71171.171171170994</v>
      </c>
      <c r="F418">
        <v>210810.81081081001</v>
      </c>
      <c r="G418">
        <v>15</v>
      </c>
      <c r="H418">
        <v>5</v>
      </c>
      <c r="K418">
        <v>21</v>
      </c>
      <c r="L418">
        <v>8</v>
      </c>
      <c r="M418">
        <v>2528378.3783783768</v>
      </c>
      <c r="N418">
        <v>1477477.4774774769</v>
      </c>
      <c r="O418">
        <v>11256441.441441443</v>
      </c>
      <c r="P418">
        <v>10643371.621621622</v>
      </c>
      <c r="Q418">
        <v>2021441.441441441</v>
      </c>
      <c r="R418">
        <v>2058198.198198199</v>
      </c>
      <c r="S418">
        <v>1806</v>
      </c>
      <c r="T418">
        <v>1667</v>
      </c>
    </row>
    <row r="419" spans="1:20" x14ac:dyDescent="0.35">
      <c r="A419" s="7" t="s">
        <v>519</v>
      </c>
      <c r="B419" s="12" t="s">
        <v>85</v>
      </c>
      <c r="C419">
        <v>99745056.648655385</v>
      </c>
      <c r="D419">
        <v>99108482.753417969</v>
      </c>
      <c r="E419">
        <v>195495.49549549501</v>
      </c>
      <c r="F419">
        <v>792792.79279279395</v>
      </c>
      <c r="G419">
        <v>29</v>
      </c>
      <c r="H419">
        <v>12</v>
      </c>
      <c r="K419">
        <v>33</v>
      </c>
      <c r="L419">
        <v>16</v>
      </c>
      <c r="M419">
        <v>12528828.828828828</v>
      </c>
      <c r="N419">
        <v>16918918.918918919</v>
      </c>
      <c r="O419">
        <v>24524324.324324325</v>
      </c>
      <c r="P419">
        <v>25345153.153153151</v>
      </c>
      <c r="Q419">
        <v>4412162.1621621624</v>
      </c>
      <c r="R419">
        <v>16896980.180180181</v>
      </c>
      <c r="S419">
        <v>4149</v>
      </c>
      <c r="T419">
        <v>4083</v>
      </c>
    </row>
    <row r="420" spans="1:20" x14ac:dyDescent="0.35">
      <c r="A420" s="7" t="s">
        <v>520</v>
      </c>
      <c r="B420" s="12" t="s">
        <v>304</v>
      </c>
      <c r="C420">
        <v>52039409.139601067</v>
      </c>
      <c r="D420">
        <v>53692472.625611201</v>
      </c>
      <c r="E420">
        <v>9013513.5135135148</v>
      </c>
      <c r="F420">
        <v>7237837.8378378376</v>
      </c>
      <c r="G420">
        <v>6</v>
      </c>
      <c r="H420">
        <v>7</v>
      </c>
      <c r="K420">
        <v>6</v>
      </c>
      <c r="L420">
        <v>7</v>
      </c>
      <c r="M420">
        <v>3842342.3423423418</v>
      </c>
      <c r="N420">
        <v>3895945.945945946</v>
      </c>
      <c r="O420">
        <v>8020090.0900900913</v>
      </c>
      <c r="P420">
        <v>8543009.0090090092</v>
      </c>
      <c r="Q420">
        <v>1737837.8378378381</v>
      </c>
      <c r="R420">
        <v>1563783.783783783</v>
      </c>
      <c r="S420">
        <v>1409</v>
      </c>
      <c r="T420">
        <v>1413</v>
      </c>
    </row>
    <row r="421" spans="1:20" x14ac:dyDescent="0.35">
      <c r="A421" s="7" t="s">
        <v>521</v>
      </c>
      <c r="B421" s="12" t="s">
        <v>399</v>
      </c>
      <c r="C421">
        <v>369328852.33461535</v>
      </c>
      <c r="D421">
        <v>353858132.22238696</v>
      </c>
      <c r="E421">
        <v>194003209.00900903</v>
      </c>
      <c r="F421">
        <v>117371091.89189188</v>
      </c>
      <c r="G421">
        <v>80</v>
      </c>
      <c r="H421">
        <v>67</v>
      </c>
      <c r="K421">
        <v>88</v>
      </c>
      <c r="L421">
        <v>264</v>
      </c>
      <c r="M421">
        <v>98177612.612612605</v>
      </c>
      <c r="N421">
        <v>72882432.432432428</v>
      </c>
      <c r="O421">
        <v>84082162.162162155</v>
      </c>
      <c r="P421">
        <v>86348801.801801801</v>
      </c>
      <c r="Q421">
        <v>76912792.792792797</v>
      </c>
      <c r="R421">
        <v>59940270.270270273</v>
      </c>
      <c r="S421">
        <v>13909</v>
      </c>
      <c r="T421">
        <v>13754</v>
      </c>
    </row>
    <row r="422" spans="1:20" x14ac:dyDescent="0.35">
      <c r="A422" s="7" t="s">
        <v>522</v>
      </c>
      <c r="B422" s="12" t="s">
        <v>143</v>
      </c>
      <c r="C422">
        <v>107786929.1534474</v>
      </c>
      <c r="D422">
        <v>101858768.39380981</v>
      </c>
      <c r="E422">
        <v>10810.810810812</v>
      </c>
      <c r="F422">
        <v>243243.243243245</v>
      </c>
      <c r="G422">
        <v>22</v>
      </c>
      <c r="H422">
        <v>28</v>
      </c>
      <c r="K422">
        <v>26</v>
      </c>
      <c r="L422">
        <v>32</v>
      </c>
      <c r="M422">
        <v>6803603.6036036042</v>
      </c>
      <c r="N422">
        <v>4747747.7477477482</v>
      </c>
      <c r="O422">
        <v>12514360.36036036</v>
      </c>
      <c r="P422">
        <v>13171873.873873875</v>
      </c>
      <c r="Q422">
        <v>6176396.3963963967</v>
      </c>
      <c r="R422">
        <v>5291981.9819819815</v>
      </c>
      <c r="S422">
        <v>2949</v>
      </c>
      <c r="T422">
        <v>2997</v>
      </c>
    </row>
    <row r="423" spans="1:20" x14ac:dyDescent="0.35">
      <c r="A423" s="7" t="s">
        <v>523</v>
      </c>
      <c r="B423" s="12" t="s">
        <v>66</v>
      </c>
      <c r="C423">
        <v>67463358.609962657</v>
      </c>
      <c r="D423">
        <v>68010706.497439414</v>
      </c>
      <c r="E423">
        <v>53693.693693693996</v>
      </c>
      <c r="F423">
        <v>1317117.117117119</v>
      </c>
      <c r="G423">
        <v>13</v>
      </c>
      <c r="H423">
        <v>13</v>
      </c>
      <c r="I423">
        <v>1</v>
      </c>
      <c r="K423">
        <v>15</v>
      </c>
      <c r="L423">
        <v>18</v>
      </c>
      <c r="M423">
        <v>6588468.4684684686</v>
      </c>
      <c r="N423">
        <v>54823063.063063063</v>
      </c>
      <c r="O423">
        <v>32754774.774774775</v>
      </c>
      <c r="P423">
        <v>32566738.738738734</v>
      </c>
      <c r="Q423">
        <v>6152522.5225225221</v>
      </c>
      <c r="R423">
        <v>20532342.342342343</v>
      </c>
      <c r="S423">
        <v>3709</v>
      </c>
      <c r="T423">
        <v>4054</v>
      </c>
    </row>
    <row r="424" spans="1:20" x14ac:dyDescent="0.35">
      <c r="A424" s="7" t="s">
        <v>524</v>
      </c>
      <c r="B424" s="12" t="s">
        <v>220</v>
      </c>
      <c r="C424">
        <v>94049345.213120401</v>
      </c>
      <c r="D424">
        <v>88547989.64953278</v>
      </c>
      <c r="E424">
        <v>154954.954954955</v>
      </c>
      <c r="F424">
        <v>414414.41441441397</v>
      </c>
      <c r="G424">
        <v>32</v>
      </c>
      <c r="H424">
        <v>24</v>
      </c>
      <c r="K424">
        <v>39</v>
      </c>
      <c r="L424">
        <v>29</v>
      </c>
      <c r="M424">
        <v>7991891.8918918911</v>
      </c>
      <c r="N424">
        <v>5279279.2792792805</v>
      </c>
      <c r="O424">
        <v>22755864.864864863</v>
      </c>
      <c r="P424">
        <v>21805720.72072072</v>
      </c>
      <c r="Q424">
        <v>4979009.0090090092</v>
      </c>
      <c r="R424">
        <v>3264324.3243243238</v>
      </c>
      <c r="S424">
        <v>4354</v>
      </c>
      <c r="T424">
        <v>4383</v>
      </c>
    </row>
    <row r="425" spans="1:20" x14ac:dyDescent="0.35">
      <c r="A425" s="7" t="s">
        <v>525</v>
      </c>
      <c r="B425" s="12" t="s">
        <v>413</v>
      </c>
      <c r="C425">
        <v>1007692141.8928502</v>
      </c>
      <c r="D425">
        <v>973181044.8841213</v>
      </c>
      <c r="E425">
        <v>395605488.2882883</v>
      </c>
      <c r="F425">
        <v>201396791.8918919</v>
      </c>
      <c r="G425">
        <v>129</v>
      </c>
      <c r="H425">
        <v>126</v>
      </c>
      <c r="K425">
        <v>441</v>
      </c>
      <c r="L425">
        <v>705</v>
      </c>
      <c r="M425">
        <v>94850360.360360354</v>
      </c>
      <c r="N425">
        <v>81942612.61261262</v>
      </c>
      <c r="O425">
        <v>283970423.42342341</v>
      </c>
      <c r="P425">
        <v>287027506.75675678</v>
      </c>
      <c r="Q425">
        <v>75492612.612612605</v>
      </c>
      <c r="R425">
        <v>81913963.963963971</v>
      </c>
      <c r="S425">
        <v>31820</v>
      </c>
      <c r="T425">
        <v>35147</v>
      </c>
    </row>
    <row r="426" spans="1:20" x14ac:dyDescent="0.35">
      <c r="A426" s="7" t="s">
        <v>526</v>
      </c>
      <c r="B426" s="12" t="s">
        <v>413</v>
      </c>
      <c r="C426">
        <v>120655834.19392635</v>
      </c>
      <c r="D426">
        <v>111074596.54416141</v>
      </c>
      <c r="E426">
        <v>12612.612612613</v>
      </c>
      <c r="F426">
        <v>170495.495495496</v>
      </c>
      <c r="G426">
        <v>15</v>
      </c>
      <c r="H426">
        <v>15</v>
      </c>
      <c r="K426">
        <v>17</v>
      </c>
      <c r="L426">
        <v>19</v>
      </c>
      <c r="M426">
        <v>6229549.5495495489</v>
      </c>
      <c r="N426">
        <v>8016576.5765765784</v>
      </c>
      <c r="O426">
        <v>33950441.441441439</v>
      </c>
      <c r="P426">
        <v>36013423.423423424</v>
      </c>
      <c r="Q426">
        <v>4589099.0990990978</v>
      </c>
      <c r="R426">
        <v>5695945.9459459446</v>
      </c>
      <c r="S426">
        <v>4719</v>
      </c>
      <c r="T426">
        <v>4351</v>
      </c>
    </row>
    <row r="427" spans="1:20" x14ac:dyDescent="0.35">
      <c r="A427" s="7" t="s">
        <v>661</v>
      </c>
      <c r="B427" s="12" t="s">
        <v>189</v>
      </c>
      <c r="C427">
        <v>2119523.6272356152</v>
      </c>
      <c r="F427">
        <v>3603603.6036036038</v>
      </c>
      <c r="M427">
        <v>81081.081081081007</v>
      </c>
      <c r="N427">
        <v>567567.56756756804</v>
      </c>
      <c r="O427">
        <v>630630.630630631</v>
      </c>
      <c r="S427">
        <v>122</v>
      </c>
    </row>
    <row r="428" spans="1:20" x14ac:dyDescent="0.35">
      <c r="A428" s="7" t="s">
        <v>527</v>
      </c>
      <c r="B428" s="12" t="s">
        <v>147</v>
      </c>
      <c r="C428">
        <v>240848036.87101796</v>
      </c>
      <c r="D428">
        <v>228963705.19055906</v>
      </c>
      <c r="E428">
        <v>885585.58558558696</v>
      </c>
      <c r="F428">
        <v>4509234.2342342352</v>
      </c>
      <c r="G428">
        <v>25</v>
      </c>
      <c r="H428">
        <v>46</v>
      </c>
      <c r="K428">
        <v>32</v>
      </c>
      <c r="L428">
        <v>162</v>
      </c>
      <c r="M428">
        <v>13812792.792792788</v>
      </c>
      <c r="N428">
        <v>52820900.900900893</v>
      </c>
      <c r="O428">
        <v>74095576.576576576</v>
      </c>
      <c r="P428">
        <v>79500331.531531543</v>
      </c>
      <c r="Q428">
        <v>15533963.963963959</v>
      </c>
      <c r="R428">
        <v>51979549.54954955</v>
      </c>
      <c r="S428">
        <v>9865</v>
      </c>
      <c r="T428">
        <v>9908</v>
      </c>
    </row>
    <row r="429" spans="1:20" x14ac:dyDescent="0.35">
      <c r="A429" s="7" t="s">
        <v>528</v>
      </c>
      <c r="B429" s="12" t="s">
        <v>121</v>
      </c>
      <c r="C429">
        <v>25548539.969064403</v>
      </c>
      <c r="D429">
        <v>25253539.654523209</v>
      </c>
      <c r="E429">
        <v>48648.648648649003</v>
      </c>
      <c r="F429">
        <v>292792.79279279301</v>
      </c>
      <c r="G429">
        <v>14</v>
      </c>
      <c r="H429">
        <v>18</v>
      </c>
      <c r="K429">
        <v>17</v>
      </c>
      <c r="L429">
        <v>19</v>
      </c>
      <c r="M429">
        <v>508108.10810810799</v>
      </c>
      <c r="N429">
        <v>5970741.4414414419</v>
      </c>
      <c r="O429">
        <v>3109729.7297297302</v>
      </c>
      <c r="P429">
        <v>2988977.4774774769</v>
      </c>
      <c r="Q429">
        <v>1096936.936936938</v>
      </c>
      <c r="R429">
        <v>1727477.4774774769</v>
      </c>
      <c r="S429">
        <v>959</v>
      </c>
      <c r="T429">
        <v>965</v>
      </c>
    </row>
    <row r="430" spans="1:20" x14ac:dyDescent="0.35">
      <c r="A430" s="7" t="s">
        <v>529</v>
      </c>
      <c r="B430" s="12" t="s">
        <v>448</v>
      </c>
      <c r="C430">
        <v>71237906.956013933</v>
      </c>
      <c r="D430">
        <v>40035275.605874144</v>
      </c>
      <c r="E430">
        <v>907387.38738738804</v>
      </c>
      <c r="F430">
        <v>284684.68468468502</v>
      </c>
      <c r="G430">
        <v>29</v>
      </c>
      <c r="H430">
        <v>5</v>
      </c>
      <c r="K430">
        <v>30</v>
      </c>
      <c r="L430">
        <v>6</v>
      </c>
      <c r="M430">
        <v>4561711.7117117131</v>
      </c>
      <c r="N430">
        <v>1357657.657657658</v>
      </c>
      <c r="O430">
        <v>28396099.099099096</v>
      </c>
      <c r="P430">
        <v>19593416.666666668</v>
      </c>
      <c r="Q430">
        <v>4633783.7837837841</v>
      </c>
      <c r="R430">
        <v>3054864.8648648658</v>
      </c>
      <c r="S430">
        <v>2454</v>
      </c>
      <c r="T430">
        <v>1893</v>
      </c>
    </row>
    <row r="431" spans="1:20" x14ac:dyDescent="0.35">
      <c r="A431" s="7" t="s">
        <v>530</v>
      </c>
      <c r="B431" s="12" t="s">
        <v>448</v>
      </c>
      <c r="C431">
        <v>107352904.40278719</v>
      </c>
      <c r="D431">
        <v>104189658.16933891</v>
      </c>
      <c r="E431">
        <v>52863963.963963971</v>
      </c>
      <c r="F431">
        <v>162401801.8018018</v>
      </c>
      <c r="G431">
        <v>48</v>
      </c>
      <c r="H431">
        <v>37</v>
      </c>
      <c r="K431">
        <v>58</v>
      </c>
      <c r="L431">
        <v>41</v>
      </c>
      <c r="M431">
        <v>5658063.0630630627</v>
      </c>
      <c r="N431">
        <v>6813063.0630630627</v>
      </c>
      <c r="O431">
        <v>49620090.090090089</v>
      </c>
      <c r="P431">
        <v>47309261.261261262</v>
      </c>
      <c r="Q431">
        <v>5873873.8738738727</v>
      </c>
      <c r="R431">
        <v>5225045.0450450452</v>
      </c>
      <c r="S431">
        <v>5237</v>
      </c>
      <c r="T431">
        <v>5216</v>
      </c>
    </row>
    <row r="432" spans="1:20" x14ac:dyDescent="0.35">
      <c r="A432" s="7" t="s">
        <v>531</v>
      </c>
      <c r="B432" s="12" t="s">
        <v>123</v>
      </c>
      <c r="C432">
        <v>279753801.02434796</v>
      </c>
      <c r="D432">
        <v>284842299.71561301</v>
      </c>
      <c r="E432">
        <v>47689255.855855852</v>
      </c>
      <c r="F432">
        <v>234095571.17117116</v>
      </c>
      <c r="G432">
        <v>78</v>
      </c>
      <c r="H432">
        <v>96</v>
      </c>
      <c r="I432">
        <v>1</v>
      </c>
      <c r="K432">
        <v>100</v>
      </c>
      <c r="L432">
        <v>143</v>
      </c>
      <c r="M432">
        <v>53265765.765765771</v>
      </c>
      <c r="N432">
        <v>83325135.135135129</v>
      </c>
      <c r="O432">
        <v>96643217.117117122</v>
      </c>
      <c r="P432">
        <v>98875137.837837845</v>
      </c>
      <c r="Q432">
        <v>57237387.387387387</v>
      </c>
      <c r="R432">
        <v>86416216.216216207</v>
      </c>
      <c r="S432">
        <v>11612</v>
      </c>
      <c r="T432">
        <v>11295</v>
      </c>
    </row>
    <row r="433" spans="1:20" x14ac:dyDescent="0.35">
      <c r="A433" s="7" t="s">
        <v>532</v>
      </c>
      <c r="B433" s="12" t="s">
        <v>85</v>
      </c>
      <c r="C433">
        <v>90096514.142623857</v>
      </c>
      <c r="D433">
        <v>86880081.877349883</v>
      </c>
      <c r="E433">
        <v>201092862.16216218</v>
      </c>
      <c r="F433">
        <v>124163661.26126127</v>
      </c>
      <c r="G433">
        <v>11</v>
      </c>
      <c r="H433">
        <v>10</v>
      </c>
      <c r="K433">
        <v>11</v>
      </c>
      <c r="L433">
        <v>38</v>
      </c>
      <c r="M433">
        <v>13593693.693693692</v>
      </c>
      <c r="N433">
        <v>8280720.7207207223</v>
      </c>
      <c r="O433">
        <v>20149594.594594598</v>
      </c>
      <c r="P433">
        <v>19242207.207207207</v>
      </c>
      <c r="Q433">
        <v>6878918.9189189188</v>
      </c>
      <c r="R433">
        <v>5854504.5045045046</v>
      </c>
      <c r="S433">
        <v>3721</v>
      </c>
      <c r="T433">
        <v>3713</v>
      </c>
    </row>
    <row r="434" spans="1:20" x14ac:dyDescent="0.35">
      <c r="A434" s="7" t="s">
        <v>9</v>
      </c>
      <c r="B434" s="12" t="s">
        <v>158</v>
      </c>
      <c r="C434">
        <v>228818636.59262165</v>
      </c>
      <c r="D434">
        <v>218416447.41202441</v>
      </c>
      <c r="E434">
        <v>1239099.0990991029</v>
      </c>
      <c r="F434">
        <v>1790990.990990995</v>
      </c>
      <c r="G434">
        <v>39</v>
      </c>
      <c r="H434">
        <v>34</v>
      </c>
      <c r="I434">
        <v>4</v>
      </c>
      <c r="K434">
        <v>47</v>
      </c>
      <c r="L434">
        <v>36</v>
      </c>
      <c r="M434">
        <v>406988648.64864862</v>
      </c>
      <c r="N434">
        <v>245900900.9009009</v>
      </c>
      <c r="O434">
        <v>80866567.567567572</v>
      </c>
      <c r="P434">
        <v>80221846.846846849</v>
      </c>
      <c r="Q434">
        <v>320627387.38738739</v>
      </c>
      <c r="R434">
        <v>231596936.93693691</v>
      </c>
      <c r="S434">
        <v>7523</v>
      </c>
      <c r="T434">
        <v>6133</v>
      </c>
    </row>
    <row r="435" spans="1:20" x14ac:dyDescent="0.35">
      <c r="A435" s="7" t="s">
        <v>533</v>
      </c>
      <c r="B435" s="12" t="s">
        <v>94</v>
      </c>
      <c r="C435">
        <v>226545829.98589215</v>
      </c>
      <c r="D435">
        <v>217281490.44933301</v>
      </c>
      <c r="E435">
        <v>125225.225225227</v>
      </c>
      <c r="F435">
        <v>848648.64864865295</v>
      </c>
      <c r="G435">
        <v>38</v>
      </c>
      <c r="H435">
        <v>41</v>
      </c>
      <c r="I435">
        <v>1</v>
      </c>
      <c r="K435">
        <v>42</v>
      </c>
      <c r="L435">
        <v>49</v>
      </c>
      <c r="M435">
        <v>20535135.135135133</v>
      </c>
      <c r="N435">
        <v>17019819.819819819</v>
      </c>
      <c r="O435">
        <v>24695854.054054055</v>
      </c>
      <c r="P435">
        <v>29511207.207207207</v>
      </c>
      <c r="Q435">
        <v>12819189.189189192</v>
      </c>
      <c r="R435">
        <v>13674144.144144144</v>
      </c>
      <c r="S435">
        <v>6336</v>
      </c>
      <c r="T435">
        <v>6378</v>
      </c>
    </row>
    <row r="436" spans="1:20" x14ac:dyDescent="0.35">
      <c r="A436" s="7" t="s">
        <v>534</v>
      </c>
      <c r="B436" s="12" t="s">
        <v>304</v>
      </c>
      <c r="C436">
        <v>6181600.1750526084</v>
      </c>
      <c r="D436">
        <v>6869367.0391193172</v>
      </c>
      <c r="G436">
        <v>4</v>
      </c>
      <c r="H436">
        <v>1</v>
      </c>
      <c r="K436">
        <v>4</v>
      </c>
      <c r="L436">
        <v>1</v>
      </c>
      <c r="O436">
        <v>724009.00900900899</v>
      </c>
      <c r="P436">
        <v>1066126.1261261259</v>
      </c>
      <c r="S436">
        <v>233</v>
      </c>
      <c r="T436">
        <v>382</v>
      </c>
    </row>
    <row r="437" spans="1:20" x14ac:dyDescent="0.35">
      <c r="A437" s="7" t="s">
        <v>535</v>
      </c>
      <c r="B437" s="12" t="s">
        <v>304</v>
      </c>
      <c r="C437">
        <v>94707057.689777315</v>
      </c>
      <c r="D437">
        <v>89170053.295378059</v>
      </c>
      <c r="E437">
        <v>855855.85585585597</v>
      </c>
      <c r="F437">
        <v>472972.97297297302</v>
      </c>
      <c r="G437">
        <v>17</v>
      </c>
      <c r="H437">
        <v>9</v>
      </c>
      <c r="K437">
        <v>20</v>
      </c>
      <c r="L437">
        <v>12</v>
      </c>
      <c r="M437">
        <v>6126126.1261261264</v>
      </c>
      <c r="N437">
        <v>8103603.6036036042</v>
      </c>
      <c r="O437">
        <v>8571441.4414414428</v>
      </c>
      <c r="P437">
        <v>8167207.2072072066</v>
      </c>
      <c r="Q437">
        <v>3276576.576576577</v>
      </c>
      <c r="R437">
        <v>2983783.7837837832</v>
      </c>
      <c r="S437">
        <v>2792</v>
      </c>
      <c r="T437">
        <v>2700</v>
      </c>
    </row>
    <row r="438" spans="1:20" x14ac:dyDescent="0.35">
      <c r="A438" s="7" t="s">
        <v>536</v>
      </c>
      <c r="B438" s="12" t="s">
        <v>85</v>
      </c>
      <c r="C438">
        <v>77266765.574543491</v>
      </c>
      <c r="D438">
        <v>75461256.956545696</v>
      </c>
      <c r="E438">
        <v>287387.38738738798</v>
      </c>
      <c r="F438">
        <v>471171.171171172</v>
      </c>
      <c r="G438">
        <v>35</v>
      </c>
      <c r="H438">
        <v>32</v>
      </c>
      <c r="K438">
        <v>41</v>
      </c>
      <c r="L438">
        <v>40</v>
      </c>
      <c r="M438">
        <v>27215315.315315317</v>
      </c>
      <c r="N438">
        <v>24592252.252252255</v>
      </c>
      <c r="O438">
        <v>34503918.918918923</v>
      </c>
      <c r="P438">
        <v>36700180.180180185</v>
      </c>
      <c r="Q438">
        <v>22524684.684684686</v>
      </c>
      <c r="R438">
        <v>21711351.351351351</v>
      </c>
      <c r="S438">
        <v>3064</v>
      </c>
      <c r="T438">
        <v>2673</v>
      </c>
    </row>
    <row r="439" spans="1:20" x14ac:dyDescent="0.35">
      <c r="A439" s="7" t="s">
        <v>537</v>
      </c>
      <c r="B439" s="12" t="s">
        <v>448</v>
      </c>
      <c r="C439">
        <v>108402344.30224951</v>
      </c>
      <c r="D439">
        <v>104900605.56404248</v>
      </c>
      <c r="E439">
        <v>158558.55855856001</v>
      </c>
      <c r="F439">
        <v>280180.18018018</v>
      </c>
      <c r="G439">
        <v>58</v>
      </c>
      <c r="H439">
        <v>30</v>
      </c>
      <c r="K439">
        <v>62</v>
      </c>
      <c r="L439">
        <v>215</v>
      </c>
      <c r="M439">
        <v>4736036.036036035</v>
      </c>
      <c r="N439">
        <v>1763963.963963964</v>
      </c>
      <c r="O439">
        <v>31244756.756756756</v>
      </c>
      <c r="P439">
        <v>28940565.765765764</v>
      </c>
      <c r="Q439">
        <v>4745495.4954954963</v>
      </c>
      <c r="R439">
        <v>2977477.477477476</v>
      </c>
      <c r="S439">
        <v>4969</v>
      </c>
      <c r="T439">
        <v>5041</v>
      </c>
    </row>
    <row r="440" spans="1:20" x14ac:dyDescent="0.35">
      <c r="A440" s="7" t="s">
        <v>538</v>
      </c>
      <c r="B440" s="12" t="s">
        <v>117</v>
      </c>
      <c r="C440">
        <v>243091834.44294682</v>
      </c>
      <c r="D440">
        <v>240770671.29223743</v>
      </c>
      <c r="E440">
        <v>853423.42342343298</v>
      </c>
      <c r="F440">
        <v>4088288.2882882981</v>
      </c>
      <c r="G440">
        <v>93</v>
      </c>
      <c r="H440">
        <v>51</v>
      </c>
      <c r="K440">
        <v>165</v>
      </c>
      <c r="L440">
        <v>94</v>
      </c>
      <c r="M440">
        <v>44457207.207207203</v>
      </c>
      <c r="N440">
        <v>48996305.40540541</v>
      </c>
      <c r="O440">
        <v>129814774.77477477</v>
      </c>
      <c r="P440">
        <v>131819180.18018018</v>
      </c>
      <c r="Q440">
        <v>41666126.126126125</v>
      </c>
      <c r="R440">
        <v>42562972.972972974</v>
      </c>
      <c r="S440">
        <v>11469</v>
      </c>
      <c r="T440">
        <v>11220</v>
      </c>
    </row>
    <row r="441" spans="1:20" x14ac:dyDescent="0.35">
      <c r="A441" s="7" t="s">
        <v>539</v>
      </c>
      <c r="B441" s="12" t="s">
        <v>83</v>
      </c>
      <c r="C441">
        <v>776947544.56616199</v>
      </c>
      <c r="D441">
        <v>760730580.29503655</v>
      </c>
      <c r="E441">
        <v>17876576.576576579</v>
      </c>
      <c r="F441">
        <v>3818468.4684684719</v>
      </c>
      <c r="G441">
        <v>84</v>
      </c>
      <c r="H441">
        <v>175</v>
      </c>
      <c r="K441">
        <v>97</v>
      </c>
      <c r="L441">
        <v>203</v>
      </c>
      <c r="M441">
        <v>48372972.972972974</v>
      </c>
      <c r="N441">
        <v>47983783.783783786</v>
      </c>
      <c r="O441">
        <v>74505926.126126125</v>
      </c>
      <c r="P441">
        <v>81230336.486486495</v>
      </c>
      <c r="Q441">
        <v>36690493.693693697</v>
      </c>
      <c r="R441">
        <v>43592385.585585587</v>
      </c>
      <c r="S441">
        <v>21609</v>
      </c>
      <c r="T441">
        <v>21749</v>
      </c>
    </row>
    <row r="442" spans="1:20" x14ac:dyDescent="0.35">
      <c r="A442" s="7" t="s">
        <v>540</v>
      </c>
      <c r="B442" s="12" t="s">
        <v>315</v>
      </c>
      <c r="C442">
        <v>92565373.970124006</v>
      </c>
      <c r="D442">
        <v>92833756.158433422</v>
      </c>
      <c r="E442">
        <v>2076576.576576577</v>
      </c>
      <c r="F442">
        <v>1178603.603603604</v>
      </c>
      <c r="G442">
        <v>12</v>
      </c>
      <c r="H442">
        <v>15</v>
      </c>
      <c r="K442">
        <v>12</v>
      </c>
      <c r="L442">
        <v>19</v>
      </c>
      <c r="M442">
        <v>10932432.432432432</v>
      </c>
      <c r="N442">
        <v>4379729.7297297288</v>
      </c>
      <c r="O442">
        <v>16184864.864864863</v>
      </c>
      <c r="P442">
        <v>19773117.117117114</v>
      </c>
      <c r="Q442">
        <v>6776396.3963963967</v>
      </c>
      <c r="R442">
        <v>4811801.8018018007</v>
      </c>
      <c r="S442">
        <v>2396</v>
      </c>
      <c r="T442">
        <v>2577</v>
      </c>
    </row>
    <row r="443" spans="1:20" x14ac:dyDescent="0.35">
      <c r="A443" s="7" t="s">
        <v>541</v>
      </c>
      <c r="B443" s="12" t="s">
        <v>169</v>
      </c>
      <c r="C443">
        <v>669850009.66660655</v>
      </c>
      <c r="D443">
        <v>627484425.18748415</v>
      </c>
      <c r="E443">
        <v>1725675.675675676</v>
      </c>
      <c r="F443">
        <v>1571171.1711711721</v>
      </c>
      <c r="G443">
        <v>66</v>
      </c>
      <c r="H443">
        <v>73</v>
      </c>
      <c r="K443">
        <v>75</v>
      </c>
      <c r="L443">
        <v>168</v>
      </c>
      <c r="M443">
        <v>32893783.783783779</v>
      </c>
      <c r="N443">
        <v>37126846.846846849</v>
      </c>
      <c r="O443">
        <v>232377306.3063063</v>
      </c>
      <c r="P443">
        <v>234963331.08108109</v>
      </c>
      <c r="Q443">
        <v>28979279.27927928</v>
      </c>
      <c r="R443">
        <v>38890000</v>
      </c>
      <c r="S443">
        <v>21455</v>
      </c>
      <c r="T443">
        <v>21633</v>
      </c>
    </row>
    <row r="444" spans="1:20" x14ac:dyDescent="0.35">
      <c r="A444" s="7" t="s">
        <v>542</v>
      </c>
      <c r="B444" s="12" t="s">
        <v>479</v>
      </c>
      <c r="C444">
        <v>204793807.7317698</v>
      </c>
      <c r="D444">
        <v>197589352.21255043</v>
      </c>
      <c r="E444">
        <v>62848186.486486487</v>
      </c>
      <c r="F444">
        <v>39696100.9009009</v>
      </c>
      <c r="G444">
        <v>19</v>
      </c>
      <c r="H444">
        <v>18</v>
      </c>
      <c r="K444">
        <v>22</v>
      </c>
      <c r="L444">
        <v>23</v>
      </c>
      <c r="M444">
        <v>2000900.9009009011</v>
      </c>
      <c r="N444">
        <v>480023.42342342599</v>
      </c>
      <c r="O444">
        <v>25468819.819819819</v>
      </c>
      <c r="P444">
        <v>25691207.207207207</v>
      </c>
      <c r="Q444">
        <v>1650000</v>
      </c>
      <c r="R444">
        <v>45495.495495495001</v>
      </c>
      <c r="S444">
        <v>6415</v>
      </c>
      <c r="T444">
        <v>5447</v>
      </c>
    </row>
    <row r="445" spans="1:20" x14ac:dyDescent="0.35">
      <c r="A445" s="7" t="s">
        <v>543</v>
      </c>
      <c r="B445" s="12" t="s">
        <v>80</v>
      </c>
      <c r="C445">
        <v>56058964.212284692</v>
      </c>
      <c r="D445">
        <v>45505917.074986033</v>
      </c>
      <c r="E445">
        <v>44144.144144145001</v>
      </c>
      <c r="F445">
        <v>186936.936936938</v>
      </c>
      <c r="G445">
        <v>14</v>
      </c>
      <c r="H445">
        <v>16</v>
      </c>
      <c r="K445">
        <v>16</v>
      </c>
      <c r="L445">
        <v>22</v>
      </c>
      <c r="M445">
        <v>5284684.6846846836</v>
      </c>
      <c r="N445">
        <v>5690090.0900900885</v>
      </c>
      <c r="O445">
        <v>19798783.783783782</v>
      </c>
      <c r="P445">
        <v>16807693.693693694</v>
      </c>
      <c r="Q445">
        <v>5405495.4954954963</v>
      </c>
      <c r="R445">
        <v>5323243.2432432426</v>
      </c>
      <c r="S445">
        <v>2346</v>
      </c>
      <c r="T445">
        <v>2364</v>
      </c>
    </row>
    <row r="446" spans="1:20" x14ac:dyDescent="0.35">
      <c r="A446" s="7" t="s">
        <v>544</v>
      </c>
      <c r="B446" s="12" t="s">
        <v>169</v>
      </c>
      <c r="C446">
        <v>54261678.729662083</v>
      </c>
      <c r="D446">
        <v>46513691.800975509</v>
      </c>
      <c r="F446">
        <v>271171.17117117101</v>
      </c>
      <c r="G446">
        <v>14</v>
      </c>
      <c r="H446">
        <v>11</v>
      </c>
      <c r="K446">
        <v>14</v>
      </c>
      <c r="L446">
        <v>11</v>
      </c>
      <c r="M446">
        <v>1801801.801801801</v>
      </c>
      <c r="N446">
        <v>1172072.072072071</v>
      </c>
      <c r="O446">
        <v>23072691.891891893</v>
      </c>
      <c r="P446">
        <v>20285486.486486487</v>
      </c>
      <c r="Q446">
        <v>1251621.621621622</v>
      </c>
      <c r="R446">
        <v>355135.13513513497</v>
      </c>
      <c r="S446">
        <v>2488</v>
      </c>
      <c r="T446">
        <v>2020</v>
      </c>
    </row>
    <row r="447" spans="1:20" x14ac:dyDescent="0.35">
      <c r="A447" s="7" t="s">
        <v>545</v>
      </c>
      <c r="B447" s="12" t="s">
        <v>224</v>
      </c>
      <c r="C447">
        <v>17988.752967539</v>
      </c>
      <c r="D447">
        <v>1647.839754331</v>
      </c>
    </row>
    <row r="448" spans="1:20" x14ac:dyDescent="0.35">
      <c r="A448" s="7" t="s">
        <v>546</v>
      </c>
      <c r="B448" s="12" t="s">
        <v>136</v>
      </c>
      <c r="C448">
        <v>131561156.53020309</v>
      </c>
      <c r="D448">
        <v>129033528.92657475</v>
      </c>
      <c r="E448">
        <v>326576.57657657599</v>
      </c>
      <c r="F448">
        <v>528828.82882883097</v>
      </c>
      <c r="G448">
        <v>52</v>
      </c>
      <c r="H448">
        <v>41</v>
      </c>
      <c r="K448">
        <v>56</v>
      </c>
      <c r="L448">
        <v>49</v>
      </c>
      <c r="M448">
        <v>28533153.153153151</v>
      </c>
      <c r="N448">
        <v>26873873.873873871</v>
      </c>
      <c r="O448">
        <v>42105531.531531535</v>
      </c>
      <c r="P448">
        <v>41085975.675675683</v>
      </c>
      <c r="Q448">
        <v>24654594.594594598</v>
      </c>
      <c r="R448">
        <v>24077477.47747748</v>
      </c>
      <c r="S448">
        <v>4370</v>
      </c>
      <c r="T448">
        <v>4434</v>
      </c>
    </row>
    <row r="449" spans="1:20" x14ac:dyDescent="0.35">
      <c r="A449" s="7" t="s">
        <v>547</v>
      </c>
      <c r="B449" s="12" t="s">
        <v>136</v>
      </c>
      <c r="C449">
        <v>241306300.26454592</v>
      </c>
      <c r="D449">
        <v>248153294.47924861</v>
      </c>
      <c r="E449">
        <v>98900069.369369373</v>
      </c>
      <c r="F449">
        <v>134252486.48648649</v>
      </c>
      <c r="G449">
        <v>119</v>
      </c>
      <c r="H449">
        <v>120</v>
      </c>
      <c r="K449">
        <v>131</v>
      </c>
      <c r="L449">
        <v>139</v>
      </c>
      <c r="M449">
        <v>60785135.135135129</v>
      </c>
      <c r="N449">
        <v>60162162.162162162</v>
      </c>
      <c r="O449">
        <v>73203061.261261269</v>
      </c>
      <c r="P449">
        <v>80776912.612612605</v>
      </c>
      <c r="Q449">
        <v>51408018.018018015</v>
      </c>
      <c r="R449">
        <v>53364007.20720721</v>
      </c>
      <c r="S449">
        <v>12521</v>
      </c>
      <c r="T449">
        <v>12639</v>
      </c>
    </row>
    <row r="450" spans="1:20" x14ac:dyDescent="0.35">
      <c r="A450" s="7" t="s">
        <v>548</v>
      </c>
      <c r="B450" s="12" t="s">
        <v>136</v>
      </c>
      <c r="C450">
        <v>270890591.64740175</v>
      </c>
      <c r="D450">
        <v>269102118.83898413</v>
      </c>
      <c r="E450">
        <v>909909.90990991099</v>
      </c>
      <c r="F450">
        <v>1763963.963963964</v>
      </c>
      <c r="G450">
        <v>76</v>
      </c>
      <c r="H450">
        <v>36</v>
      </c>
      <c r="K450">
        <v>83</v>
      </c>
      <c r="L450">
        <v>41</v>
      </c>
      <c r="M450">
        <v>11183783.783783784</v>
      </c>
      <c r="N450">
        <v>11917117.117117116</v>
      </c>
      <c r="O450">
        <v>43145396.396396399</v>
      </c>
      <c r="P450">
        <v>45849421.621621624</v>
      </c>
      <c r="Q450">
        <v>11360270.270270269</v>
      </c>
      <c r="R450">
        <v>10398378.37837838</v>
      </c>
      <c r="S450">
        <v>8094</v>
      </c>
      <c r="T450">
        <v>8399</v>
      </c>
    </row>
    <row r="451" spans="1:20" x14ac:dyDescent="0.35">
      <c r="A451" s="7" t="s">
        <v>549</v>
      </c>
      <c r="B451" s="12" t="s">
        <v>136</v>
      </c>
      <c r="C451">
        <v>129474302.85275401</v>
      </c>
      <c r="D451">
        <v>110360207.48133519</v>
      </c>
      <c r="E451">
        <v>25207207.207207207</v>
      </c>
      <c r="F451">
        <v>12846846.846846849</v>
      </c>
      <c r="G451">
        <v>35</v>
      </c>
      <c r="H451">
        <v>18</v>
      </c>
      <c r="K451">
        <v>39</v>
      </c>
      <c r="L451">
        <v>18</v>
      </c>
      <c r="M451">
        <v>8972972.9729729742</v>
      </c>
      <c r="N451">
        <v>9743243.2432432417</v>
      </c>
      <c r="O451">
        <v>22228466.666666664</v>
      </c>
      <c r="P451">
        <v>19264576.576576576</v>
      </c>
      <c r="Q451">
        <v>8714187.3873873875</v>
      </c>
      <c r="R451">
        <v>7029009.0090090092</v>
      </c>
      <c r="S451">
        <v>3705</v>
      </c>
      <c r="T451">
        <v>3817</v>
      </c>
    </row>
    <row r="452" spans="1:20" x14ac:dyDescent="0.35">
      <c r="A452" s="7" t="s">
        <v>550</v>
      </c>
      <c r="B452" s="12" t="s">
        <v>87</v>
      </c>
      <c r="C452">
        <v>55264154.315518111</v>
      </c>
      <c r="D452">
        <v>44843322.948385887</v>
      </c>
      <c r="E452">
        <v>906306.30630630697</v>
      </c>
      <c r="F452">
        <v>89189.189189188997</v>
      </c>
      <c r="G452">
        <v>25</v>
      </c>
      <c r="H452">
        <v>18</v>
      </c>
      <c r="K452">
        <v>26</v>
      </c>
      <c r="L452">
        <v>22</v>
      </c>
      <c r="M452">
        <v>2955855.8558558561</v>
      </c>
      <c r="N452">
        <v>3018018.018018018</v>
      </c>
      <c r="O452">
        <v>9293135.1351351365</v>
      </c>
      <c r="P452">
        <v>7417423.4234234234</v>
      </c>
      <c r="Q452">
        <v>2939279.27927928</v>
      </c>
      <c r="R452">
        <v>2625585.5855855839</v>
      </c>
      <c r="S452">
        <v>1418</v>
      </c>
      <c r="T452">
        <v>1464</v>
      </c>
    </row>
    <row r="453" spans="1:20" x14ac:dyDescent="0.35">
      <c r="A453" s="7" t="s">
        <v>551</v>
      </c>
      <c r="B453" s="12" t="s">
        <v>87</v>
      </c>
      <c r="C453">
        <v>78966562.188426077</v>
      </c>
      <c r="D453">
        <v>70486950.601975068</v>
      </c>
      <c r="E453">
        <v>43243.243243243996</v>
      </c>
      <c r="F453">
        <v>202702.702702704</v>
      </c>
      <c r="G453">
        <v>48</v>
      </c>
      <c r="H453">
        <v>30</v>
      </c>
      <c r="I453">
        <v>1</v>
      </c>
      <c r="K453">
        <v>54</v>
      </c>
      <c r="L453">
        <v>38</v>
      </c>
      <c r="M453">
        <v>6800000</v>
      </c>
      <c r="N453">
        <v>3505405.4054054059</v>
      </c>
      <c r="O453">
        <v>9646126.1261261273</v>
      </c>
      <c r="P453">
        <v>8375583.7837837841</v>
      </c>
      <c r="Q453">
        <v>5071171.1711711707</v>
      </c>
      <c r="R453">
        <v>2757117.1171171172</v>
      </c>
      <c r="S453">
        <v>2542</v>
      </c>
      <c r="T453">
        <v>2783</v>
      </c>
    </row>
    <row r="454" spans="1:20" x14ac:dyDescent="0.35">
      <c r="A454" s="7" t="s">
        <v>552</v>
      </c>
      <c r="B454" s="12" t="s">
        <v>66</v>
      </c>
      <c r="C454">
        <v>139029582.79448509</v>
      </c>
      <c r="D454">
        <v>134573361.38343778</v>
      </c>
      <c r="E454">
        <v>1604234.2342342359</v>
      </c>
      <c r="F454">
        <v>2954954.9549549562</v>
      </c>
      <c r="G454">
        <v>129</v>
      </c>
      <c r="H454">
        <v>38</v>
      </c>
      <c r="K454">
        <v>140</v>
      </c>
      <c r="L454">
        <v>47</v>
      </c>
      <c r="M454">
        <v>22958198.198198199</v>
      </c>
      <c r="N454">
        <v>172404054.05405405</v>
      </c>
      <c r="O454">
        <v>59530513.513513513</v>
      </c>
      <c r="P454">
        <v>56582326.576576576</v>
      </c>
      <c r="Q454">
        <v>22946936.936936937</v>
      </c>
      <c r="R454">
        <v>67190720.720720723</v>
      </c>
      <c r="S454">
        <v>8710</v>
      </c>
      <c r="T454">
        <v>8879</v>
      </c>
    </row>
    <row r="455" spans="1:20" x14ac:dyDescent="0.35">
      <c r="A455" s="7" t="s">
        <v>553</v>
      </c>
      <c r="B455" s="12" t="s">
        <v>554</v>
      </c>
      <c r="C455">
        <v>297060643.99970472</v>
      </c>
      <c r="D455">
        <v>271615929.58292198</v>
      </c>
      <c r="E455">
        <v>4819200.9009009041</v>
      </c>
      <c r="F455">
        <v>90448917.117117122</v>
      </c>
      <c r="G455">
        <v>101</v>
      </c>
      <c r="H455">
        <v>37</v>
      </c>
      <c r="I455">
        <v>1</v>
      </c>
      <c r="K455">
        <v>238</v>
      </c>
      <c r="L455">
        <v>52</v>
      </c>
      <c r="M455">
        <v>29873153.153153151</v>
      </c>
      <c r="N455">
        <v>108392342.34234233</v>
      </c>
      <c r="O455">
        <v>78687504.504504517</v>
      </c>
      <c r="P455">
        <v>73590108.108108118</v>
      </c>
      <c r="Q455">
        <v>22734954.954954952</v>
      </c>
      <c r="R455">
        <v>103369279.27927928</v>
      </c>
      <c r="S455">
        <v>9260</v>
      </c>
      <c r="T455">
        <v>9440</v>
      </c>
    </row>
    <row r="456" spans="1:20" x14ac:dyDescent="0.35">
      <c r="A456" s="7" t="s">
        <v>555</v>
      </c>
      <c r="B456" s="12" t="s">
        <v>554</v>
      </c>
      <c r="C456">
        <v>45874066.667148679</v>
      </c>
      <c r="D456">
        <v>42276536.137640208</v>
      </c>
      <c r="E456">
        <v>29729.729729731</v>
      </c>
      <c r="F456">
        <v>3837837.837837839</v>
      </c>
      <c r="G456">
        <v>25</v>
      </c>
      <c r="H456">
        <v>13</v>
      </c>
      <c r="K456">
        <v>26</v>
      </c>
      <c r="L456">
        <v>14</v>
      </c>
      <c r="M456">
        <v>6823963.9639639631</v>
      </c>
      <c r="N456">
        <v>2621621.6216216218</v>
      </c>
      <c r="O456">
        <v>16372612.612612613</v>
      </c>
      <c r="P456">
        <v>14995360.36036036</v>
      </c>
      <c r="Q456">
        <v>4982432.4324324317</v>
      </c>
      <c r="R456">
        <v>4083423.423423422</v>
      </c>
      <c r="S456">
        <v>1602</v>
      </c>
      <c r="T456">
        <v>1540</v>
      </c>
    </row>
    <row r="457" spans="1:20" x14ac:dyDescent="0.35">
      <c r="A457" s="7" t="s">
        <v>556</v>
      </c>
      <c r="B457" s="12" t="s">
        <v>121</v>
      </c>
      <c r="C457">
        <v>33492511.91996067</v>
      </c>
      <c r="D457">
        <v>32366230.95588344</v>
      </c>
      <c r="F457">
        <v>180180.18018018</v>
      </c>
      <c r="G457">
        <v>21</v>
      </c>
      <c r="H457">
        <v>15</v>
      </c>
      <c r="K457">
        <v>22</v>
      </c>
      <c r="L457">
        <v>17</v>
      </c>
      <c r="N457">
        <v>180180.18018018</v>
      </c>
      <c r="O457">
        <v>2380225.225225226</v>
      </c>
      <c r="P457">
        <v>2969720.72072072</v>
      </c>
      <c r="Q457">
        <v>151351.35135135101</v>
      </c>
      <c r="R457">
        <v>118918.91891891899</v>
      </c>
      <c r="S457">
        <v>1449</v>
      </c>
      <c r="T457">
        <v>1350</v>
      </c>
    </row>
    <row r="458" spans="1:20" x14ac:dyDescent="0.35">
      <c r="A458" s="7" t="s">
        <v>557</v>
      </c>
      <c r="B458" s="12" t="s">
        <v>70</v>
      </c>
      <c r="C458">
        <v>258074378.95221248</v>
      </c>
      <c r="D458">
        <v>255154748.20516282</v>
      </c>
      <c r="E458">
        <v>1063243.243243244</v>
      </c>
      <c r="F458">
        <v>3147747.7477477528</v>
      </c>
      <c r="G458">
        <v>57</v>
      </c>
      <c r="H458">
        <v>55</v>
      </c>
      <c r="K458">
        <v>62</v>
      </c>
      <c r="L458">
        <v>64</v>
      </c>
      <c r="M458">
        <v>18176756.75675676</v>
      </c>
      <c r="N458">
        <v>41036036.036036037</v>
      </c>
      <c r="O458">
        <v>105019216.21621622</v>
      </c>
      <c r="P458">
        <v>106178531.53153154</v>
      </c>
      <c r="Q458">
        <v>30926486.486486491</v>
      </c>
      <c r="R458">
        <v>30283153.153153151</v>
      </c>
      <c r="S458">
        <v>10257</v>
      </c>
      <c r="T458">
        <v>11100</v>
      </c>
    </row>
    <row r="459" spans="1:20" x14ac:dyDescent="0.35">
      <c r="A459" s="7" t="s">
        <v>558</v>
      </c>
      <c r="B459" s="12" t="s">
        <v>62</v>
      </c>
      <c r="C459">
        <v>467355213.80450892</v>
      </c>
      <c r="D459">
        <v>462859848.37266791</v>
      </c>
      <c r="E459">
        <v>4375225.2252252288</v>
      </c>
      <c r="F459">
        <v>8154954.9549549595</v>
      </c>
      <c r="G459">
        <v>92</v>
      </c>
      <c r="H459">
        <v>133</v>
      </c>
      <c r="K459">
        <v>119</v>
      </c>
      <c r="L459">
        <v>235</v>
      </c>
      <c r="M459">
        <v>36180990.990990989</v>
      </c>
      <c r="N459">
        <v>68547387.38738738</v>
      </c>
      <c r="O459">
        <v>106606558.55855855</v>
      </c>
      <c r="P459">
        <v>105220310.81081082</v>
      </c>
      <c r="Q459">
        <v>31794414.41441441</v>
      </c>
      <c r="R459">
        <v>65004414.414414406</v>
      </c>
      <c r="S459">
        <v>18089</v>
      </c>
      <c r="T459">
        <v>18092</v>
      </c>
    </row>
    <row r="460" spans="1:20" x14ac:dyDescent="0.35">
      <c r="A460" s="7" t="s">
        <v>559</v>
      </c>
      <c r="B460" s="12" t="s">
        <v>479</v>
      </c>
      <c r="C460">
        <v>241810287.89034441</v>
      </c>
      <c r="D460">
        <v>211679008.59984112</v>
      </c>
      <c r="E460">
        <v>655855.85585585795</v>
      </c>
      <c r="F460">
        <v>1872072.072072078</v>
      </c>
      <c r="G460">
        <v>109</v>
      </c>
      <c r="H460">
        <v>66</v>
      </c>
      <c r="I460">
        <v>1</v>
      </c>
      <c r="K460">
        <v>120</v>
      </c>
      <c r="L460">
        <v>79</v>
      </c>
      <c r="M460">
        <v>23906756.75675676</v>
      </c>
      <c r="N460">
        <v>24440540.540540542</v>
      </c>
      <c r="O460">
        <v>68143800</v>
      </c>
      <c r="P460">
        <v>64237331.531531535</v>
      </c>
      <c r="Q460">
        <v>25343243.243243247</v>
      </c>
      <c r="R460">
        <v>26491621.621621624</v>
      </c>
      <c r="S460">
        <v>7881</v>
      </c>
      <c r="T460">
        <v>7950</v>
      </c>
    </row>
    <row r="461" spans="1:20" x14ac:dyDescent="0.35">
      <c r="A461" s="7" t="s">
        <v>560</v>
      </c>
      <c r="B461" s="12" t="s">
        <v>236</v>
      </c>
      <c r="C461">
        <v>35506585.732360452</v>
      </c>
      <c r="D461">
        <v>36248988.563899107</v>
      </c>
      <c r="E461">
        <v>35135.135135135999</v>
      </c>
      <c r="F461">
        <v>54054.054054054999</v>
      </c>
      <c r="G461">
        <v>10</v>
      </c>
      <c r="H461">
        <v>12</v>
      </c>
      <c r="K461">
        <v>11</v>
      </c>
      <c r="L461">
        <v>15</v>
      </c>
      <c r="M461">
        <v>5016216.2162162168</v>
      </c>
      <c r="N461">
        <v>2084414.414414413</v>
      </c>
      <c r="O461">
        <v>13585090.09009009</v>
      </c>
      <c r="P461">
        <v>12668054.054054054</v>
      </c>
      <c r="Q461">
        <v>4620180.1801801799</v>
      </c>
      <c r="R461">
        <v>3048738.7387387371</v>
      </c>
      <c r="S461">
        <v>2163</v>
      </c>
      <c r="T461">
        <v>2237</v>
      </c>
    </row>
    <row r="462" spans="1:20" x14ac:dyDescent="0.35">
      <c r="A462" s="7" t="s">
        <v>561</v>
      </c>
      <c r="B462" s="12" t="s">
        <v>60</v>
      </c>
      <c r="C462">
        <v>35727111.861402735</v>
      </c>
      <c r="D462">
        <v>35436060.776562504</v>
      </c>
      <c r="E462">
        <v>489639.63963963999</v>
      </c>
      <c r="F462">
        <v>1053153.153153151</v>
      </c>
      <c r="G462">
        <v>6</v>
      </c>
      <c r="H462">
        <v>14</v>
      </c>
      <c r="K462">
        <v>7</v>
      </c>
      <c r="L462">
        <v>30</v>
      </c>
      <c r="M462">
        <v>7444594.594594595</v>
      </c>
      <c r="N462">
        <v>10800900.900900902</v>
      </c>
      <c r="O462">
        <v>13256756.756756756</v>
      </c>
      <c r="P462">
        <v>13679522.522522522</v>
      </c>
      <c r="Q462">
        <v>7205225.2252252251</v>
      </c>
      <c r="R462">
        <v>10601981.981981982</v>
      </c>
      <c r="S462">
        <v>1272</v>
      </c>
      <c r="T462">
        <v>1314</v>
      </c>
    </row>
    <row r="463" spans="1:20" x14ac:dyDescent="0.35">
      <c r="A463" s="7" t="s">
        <v>562</v>
      </c>
      <c r="B463" s="12" t="s">
        <v>563</v>
      </c>
      <c r="C463">
        <v>191850732.52793869</v>
      </c>
      <c r="D463">
        <v>195523223.07633755</v>
      </c>
      <c r="E463">
        <v>29589213.513513517</v>
      </c>
      <c r="F463">
        <v>456017915.31531531</v>
      </c>
      <c r="G463">
        <v>102</v>
      </c>
      <c r="H463">
        <v>113</v>
      </c>
      <c r="K463">
        <v>444</v>
      </c>
      <c r="L463">
        <v>444</v>
      </c>
      <c r="M463">
        <v>81809594.594594598</v>
      </c>
      <c r="N463">
        <v>313550218.01801807</v>
      </c>
      <c r="O463">
        <v>81559009.009009004</v>
      </c>
      <c r="P463">
        <v>85215081.081081092</v>
      </c>
      <c r="Q463">
        <v>93822001.801801801</v>
      </c>
      <c r="R463">
        <v>155220028.82882884</v>
      </c>
      <c r="S463">
        <v>9839</v>
      </c>
      <c r="T463">
        <v>8859</v>
      </c>
    </row>
    <row r="464" spans="1:20" x14ac:dyDescent="0.35">
      <c r="A464" s="7" t="s">
        <v>564</v>
      </c>
      <c r="B464" s="12" t="s">
        <v>563</v>
      </c>
      <c r="C464">
        <v>280863024.07571346</v>
      </c>
      <c r="D464">
        <v>261972528.21490413</v>
      </c>
      <c r="E464">
        <v>37783693.693693697</v>
      </c>
      <c r="F464">
        <v>36443783.783783793</v>
      </c>
      <c r="G464">
        <v>71</v>
      </c>
      <c r="H464">
        <v>110</v>
      </c>
      <c r="K464">
        <v>89</v>
      </c>
      <c r="L464">
        <v>131</v>
      </c>
      <c r="M464">
        <v>36977927.927927926</v>
      </c>
      <c r="N464">
        <v>28896578.378378376</v>
      </c>
      <c r="O464">
        <v>109208963.96396397</v>
      </c>
      <c r="P464">
        <v>109239000</v>
      </c>
      <c r="Q464">
        <v>31256576.576576576</v>
      </c>
      <c r="R464">
        <v>21549954.954954956</v>
      </c>
      <c r="S464">
        <v>11507</v>
      </c>
      <c r="T464">
        <v>11676</v>
      </c>
    </row>
    <row r="465" spans="1:20" x14ac:dyDescent="0.35">
      <c r="A465" s="7" t="s">
        <v>565</v>
      </c>
      <c r="B465" s="12" t="s">
        <v>563</v>
      </c>
      <c r="C465">
        <v>190688257.75915968</v>
      </c>
      <c r="D465">
        <v>194273196.02617034</v>
      </c>
      <c r="E465">
        <v>608108.10810811399</v>
      </c>
      <c r="F465">
        <v>2829729.729729732</v>
      </c>
      <c r="G465">
        <v>48</v>
      </c>
      <c r="H465">
        <v>113</v>
      </c>
      <c r="I465">
        <v>1</v>
      </c>
      <c r="K465">
        <v>71</v>
      </c>
      <c r="L465">
        <v>319</v>
      </c>
      <c r="M465">
        <v>18809549.54954955</v>
      </c>
      <c r="N465">
        <v>24499685.585585583</v>
      </c>
      <c r="O465">
        <v>80703639.639639646</v>
      </c>
      <c r="P465">
        <v>90763117.117117122</v>
      </c>
      <c r="Q465">
        <v>20970270.270270273</v>
      </c>
      <c r="R465">
        <v>21857207.207207207</v>
      </c>
      <c r="S465">
        <v>11573</v>
      </c>
      <c r="T465">
        <v>11487</v>
      </c>
    </row>
    <row r="466" spans="1:20" x14ac:dyDescent="0.35">
      <c r="A466" s="7" t="s">
        <v>566</v>
      </c>
      <c r="B466" s="12" t="s">
        <v>563</v>
      </c>
      <c r="C466">
        <v>126153656.95575997</v>
      </c>
      <c r="D466">
        <v>126524974.12878355</v>
      </c>
      <c r="E466">
        <v>277477.47747747798</v>
      </c>
      <c r="F466">
        <v>1932432.4324324371</v>
      </c>
      <c r="G466">
        <v>23</v>
      </c>
      <c r="H466">
        <v>11</v>
      </c>
      <c r="K466">
        <v>29</v>
      </c>
      <c r="L466">
        <v>18</v>
      </c>
      <c r="M466">
        <v>22917702.702702705</v>
      </c>
      <c r="N466">
        <v>22176637.837837838</v>
      </c>
      <c r="O466">
        <v>71475891.891891897</v>
      </c>
      <c r="P466">
        <v>75173837.837837845</v>
      </c>
      <c r="Q466">
        <v>21363108.108108107</v>
      </c>
      <c r="R466">
        <v>15856396.396396397</v>
      </c>
      <c r="S466">
        <v>6615</v>
      </c>
      <c r="T466">
        <v>6378</v>
      </c>
    </row>
    <row r="467" spans="1:20" x14ac:dyDescent="0.35">
      <c r="A467" s="7" t="s">
        <v>567</v>
      </c>
      <c r="B467" s="12" t="s">
        <v>563</v>
      </c>
      <c r="C467">
        <v>74678532.185899392</v>
      </c>
      <c r="D467">
        <v>75392211.917763472</v>
      </c>
      <c r="E467">
        <v>404954.95495495701</v>
      </c>
      <c r="F467">
        <v>1894594.594594598</v>
      </c>
      <c r="G467">
        <v>19</v>
      </c>
      <c r="H467">
        <v>21</v>
      </c>
      <c r="K467">
        <v>23</v>
      </c>
      <c r="L467">
        <v>27</v>
      </c>
      <c r="M467">
        <v>13780855.855855856</v>
      </c>
      <c r="N467">
        <v>14521839.63963964</v>
      </c>
      <c r="O467">
        <v>30099144.144144144</v>
      </c>
      <c r="P467">
        <v>31432585.585585583</v>
      </c>
      <c r="Q467">
        <v>17093738.738738738</v>
      </c>
      <c r="R467">
        <v>10769369.369369373</v>
      </c>
      <c r="S467">
        <v>4450</v>
      </c>
      <c r="T467">
        <v>5120</v>
      </c>
    </row>
    <row r="468" spans="1:20" x14ac:dyDescent="0.35">
      <c r="A468" s="7" t="s">
        <v>568</v>
      </c>
      <c r="B468" s="12" t="s">
        <v>48</v>
      </c>
      <c r="C468">
        <v>181402190.92771983</v>
      </c>
      <c r="D468">
        <v>168504676.60963964</v>
      </c>
      <c r="E468">
        <v>10360.36036036</v>
      </c>
      <c r="F468">
        <v>379279.279279279</v>
      </c>
      <c r="G468">
        <v>4</v>
      </c>
      <c r="H468">
        <v>3</v>
      </c>
      <c r="K468">
        <v>4</v>
      </c>
      <c r="L468">
        <v>4</v>
      </c>
      <c r="M468">
        <v>5415765.7657657657</v>
      </c>
      <c r="N468">
        <v>5784684.6846846836</v>
      </c>
      <c r="O468">
        <v>20187702.702702701</v>
      </c>
      <c r="P468">
        <v>20302846.846846849</v>
      </c>
      <c r="Q468">
        <v>7077207.2072072057</v>
      </c>
      <c r="R468">
        <v>6538378.3783783782</v>
      </c>
      <c r="S468">
        <v>6203</v>
      </c>
      <c r="T468">
        <v>5987</v>
      </c>
    </row>
    <row r="469" spans="1:20" x14ac:dyDescent="0.35">
      <c r="A469" s="7" t="s">
        <v>569</v>
      </c>
      <c r="B469" s="12" t="s">
        <v>169</v>
      </c>
      <c r="C469">
        <v>1506451158.3339145</v>
      </c>
      <c r="D469">
        <v>2390444517.7480702</v>
      </c>
      <c r="E469">
        <v>640273603.6036036</v>
      </c>
      <c r="F469">
        <v>1874719625.2252252</v>
      </c>
      <c r="G469">
        <v>512</v>
      </c>
      <c r="H469">
        <v>837</v>
      </c>
      <c r="I469">
        <v>5</v>
      </c>
      <c r="K469">
        <v>686</v>
      </c>
      <c r="L469">
        <v>1153</v>
      </c>
      <c r="M469">
        <v>306086036.03603601</v>
      </c>
      <c r="N469">
        <v>339539819.81981987</v>
      </c>
      <c r="O469">
        <v>508115252.25225222</v>
      </c>
      <c r="P469">
        <v>1588416129.7297299</v>
      </c>
      <c r="Q469">
        <v>257576126.12612611</v>
      </c>
      <c r="R469">
        <v>328117610.8108108</v>
      </c>
      <c r="S469">
        <v>57407</v>
      </c>
      <c r="T469">
        <v>56860</v>
      </c>
    </row>
    <row r="470" spans="1:20" x14ac:dyDescent="0.35">
      <c r="A470" s="7" t="s">
        <v>670</v>
      </c>
      <c r="B470" s="12" t="s">
        <v>214</v>
      </c>
      <c r="E470">
        <v>11486486.486486485</v>
      </c>
      <c r="F470">
        <v>2477477.4774774769</v>
      </c>
      <c r="M470">
        <v>243243.24324324299</v>
      </c>
      <c r="N470">
        <v>19819.819819820001</v>
      </c>
    </row>
    <row r="471" spans="1:20" x14ac:dyDescent="0.35">
      <c r="A471" s="7" t="s">
        <v>570</v>
      </c>
      <c r="B471" s="12" t="s">
        <v>220</v>
      </c>
      <c r="C471">
        <v>165417538.69973266</v>
      </c>
      <c r="D471">
        <v>151771436.84122738</v>
      </c>
      <c r="E471">
        <v>504504.50450450601</v>
      </c>
      <c r="F471">
        <v>639639.63963964104</v>
      </c>
      <c r="G471">
        <v>20</v>
      </c>
      <c r="H471">
        <v>13</v>
      </c>
      <c r="K471">
        <v>22</v>
      </c>
      <c r="L471">
        <v>16</v>
      </c>
      <c r="M471">
        <v>3000900.9009009022</v>
      </c>
      <c r="N471">
        <v>5982612.6126126088</v>
      </c>
      <c r="O471">
        <v>26299801.801801804</v>
      </c>
      <c r="P471">
        <v>24017243.243243244</v>
      </c>
      <c r="Q471">
        <v>3408738.7387387399</v>
      </c>
      <c r="R471">
        <v>4954234.2342342306</v>
      </c>
      <c r="S471">
        <v>5070</v>
      </c>
      <c r="T471">
        <v>4445</v>
      </c>
    </row>
    <row r="472" spans="1:20" x14ac:dyDescent="0.35">
      <c r="A472" s="7" t="s">
        <v>571</v>
      </c>
      <c r="B472" s="12" t="s">
        <v>85</v>
      </c>
      <c r="C472">
        <v>186107476.56744289</v>
      </c>
      <c r="D472">
        <v>184022558.42054749</v>
      </c>
      <c r="E472">
        <v>677477.47747747705</v>
      </c>
      <c r="F472">
        <v>225225.22522522701</v>
      </c>
      <c r="G472">
        <v>21</v>
      </c>
      <c r="H472">
        <v>13</v>
      </c>
      <c r="K472">
        <v>23</v>
      </c>
      <c r="L472">
        <v>16</v>
      </c>
      <c r="M472">
        <v>5254054.0540540526</v>
      </c>
      <c r="N472">
        <v>17761261.261261269</v>
      </c>
      <c r="O472">
        <v>39429450.45045045</v>
      </c>
      <c r="P472">
        <v>42506971.171171166</v>
      </c>
      <c r="Q472">
        <v>6776666.6666666651</v>
      </c>
      <c r="R472">
        <v>14358468.468468472</v>
      </c>
      <c r="S472">
        <v>4922</v>
      </c>
      <c r="T472">
        <v>5408</v>
      </c>
    </row>
    <row r="473" spans="1:20" x14ac:dyDescent="0.35">
      <c r="A473" s="7" t="s">
        <v>572</v>
      </c>
      <c r="B473" s="12" t="s">
        <v>479</v>
      </c>
      <c r="C473">
        <v>90261195.833733782</v>
      </c>
      <c r="D473">
        <v>104035877.2819673</v>
      </c>
      <c r="E473">
        <v>1740540.5405405429</v>
      </c>
      <c r="F473">
        <v>1835135.13513514</v>
      </c>
      <c r="G473">
        <v>41</v>
      </c>
      <c r="H473">
        <v>55</v>
      </c>
      <c r="K473">
        <v>56</v>
      </c>
      <c r="L473">
        <v>77</v>
      </c>
      <c r="M473">
        <v>15010810.810810808</v>
      </c>
      <c r="N473">
        <v>13116216.21621622</v>
      </c>
      <c r="O473">
        <v>31837432.432432432</v>
      </c>
      <c r="P473">
        <v>43947998.198198199</v>
      </c>
      <c r="Q473">
        <v>14497477.477477474</v>
      </c>
      <c r="R473">
        <v>14186936.936936937</v>
      </c>
      <c r="S473">
        <v>5218</v>
      </c>
      <c r="T473">
        <v>5211</v>
      </c>
    </row>
    <row r="474" spans="1:20" x14ac:dyDescent="0.35">
      <c r="A474" s="7" t="s">
        <v>573</v>
      </c>
      <c r="B474" s="12" t="s">
        <v>94</v>
      </c>
      <c r="C474">
        <v>268375602.20101741</v>
      </c>
      <c r="D474">
        <v>250627514.84083292</v>
      </c>
      <c r="E474">
        <v>1237837.837837839</v>
      </c>
      <c r="F474">
        <v>1582882.8828828849</v>
      </c>
      <c r="G474">
        <v>55</v>
      </c>
      <c r="H474">
        <v>41</v>
      </c>
      <c r="K474">
        <v>72</v>
      </c>
      <c r="L474">
        <v>65</v>
      </c>
      <c r="M474">
        <v>468092792.7927928</v>
      </c>
      <c r="N474">
        <v>656537837.83783782</v>
      </c>
      <c r="O474">
        <v>59613896.396396399</v>
      </c>
      <c r="P474">
        <v>58630851.801801801</v>
      </c>
      <c r="Q474">
        <v>16654594.594594596</v>
      </c>
      <c r="R474">
        <v>23876306.306306303</v>
      </c>
      <c r="S474">
        <v>9700</v>
      </c>
      <c r="T474">
        <v>9706</v>
      </c>
    </row>
    <row r="475" spans="1:20" x14ac:dyDescent="0.35">
      <c r="A475" s="7" t="s">
        <v>574</v>
      </c>
      <c r="B475" s="12" t="s">
        <v>307</v>
      </c>
      <c r="C475">
        <v>575197419.89379823</v>
      </c>
      <c r="D475">
        <v>582095678.88242245</v>
      </c>
      <c r="E475">
        <v>2672972.9729729751</v>
      </c>
      <c r="F475">
        <v>7019819.8198198266</v>
      </c>
      <c r="G475">
        <v>128</v>
      </c>
      <c r="H475">
        <v>160</v>
      </c>
      <c r="K475">
        <v>148</v>
      </c>
      <c r="L475">
        <v>235</v>
      </c>
      <c r="M475">
        <v>51547567.567567565</v>
      </c>
      <c r="N475">
        <v>480628693.6936937</v>
      </c>
      <c r="O475">
        <v>223467675.67567569</v>
      </c>
      <c r="P475">
        <v>231766910.8108108</v>
      </c>
      <c r="Q475">
        <v>48076801.801801801</v>
      </c>
      <c r="R475">
        <v>101320225.22522523</v>
      </c>
      <c r="S475">
        <v>31876</v>
      </c>
      <c r="T475">
        <v>32120</v>
      </c>
    </row>
    <row r="476" spans="1:20" x14ac:dyDescent="0.35">
      <c r="A476" s="7" t="s">
        <v>10</v>
      </c>
      <c r="B476" s="12" t="s">
        <v>193</v>
      </c>
      <c r="C476">
        <v>95725204.751485482</v>
      </c>
      <c r="D476">
        <v>89978473.913992941</v>
      </c>
      <c r="E476">
        <v>16666666.666666668</v>
      </c>
      <c r="F476">
        <v>18108108.108108107</v>
      </c>
      <c r="G476">
        <v>8</v>
      </c>
      <c r="H476">
        <v>11</v>
      </c>
      <c r="K476">
        <v>8</v>
      </c>
      <c r="L476">
        <v>14</v>
      </c>
      <c r="M476">
        <v>420045.04504504497</v>
      </c>
      <c r="N476">
        <v>440540.540540541</v>
      </c>
      <c r="O476">
        <v>55199864.864864863</v>
      </c>
      <c r="P476">
        <v>53496511.711711712</v>
      </c>
      <c r="R476">
        <v>19639.639639640001</v>
      </c>
      <c r="S476">
        <v>3867</v>
      </c>
      <c r="T476">
        <v>3562</v>
      </c>
    </row>
    <row r="477" spans="1:20" x14ac:dyDescent="0.35">
      <c r="A477" s="7" t="s">
        <v>575</v>
      </c>
      <c r="B477" s="12" t="s">
        <v>87</v>
      </c>
      <c r="C477">
        <v>2284213.5251518609</v>
      </c>
      <c r="D477">
        <v>2177830.9566834392</v>
      </c>
      <c r="H477">
        <v>8</v>
      </c>
      <c r="K477">
        <v>1</v>
      </c>
      <c r="L477">
        <v>9</v>
      </c>
      <c r="O477">
        <v>734234.23423423397</v>
      </c>
      <c r="P477">
        <v>763349.54954955005</v>
      </c>
      <c r="S477">
        <v>259</v>
      </c>
      <c r="T477">
        <v>224</v>
      </c>
    </row>
    <row r="478" spans="1:20" x14ac:dyDescent="0.35">
      <c r="A478" s="7" t="s">
        <v>576</v>
      </c>
      <c r="B478" s="12" t="s">
        <v>283</v>
      </c>
      <c r="C478">
        <v>138170969.51128069</v>
      </c>
      <c r="D478">
        <v>132020343.98460555</v>
      </c>
      <c r="E478">
        <v>34234.234234233998</v>
      </c>
      <c r="F478">
        <v>242342.34234234199</v>
      </c>
      <c r="G478">
        <v>29</v>
      </c>
      <c r="H478">
        <v>13</v>
      </c>
      <c r="K478">
        <v>34</v>
      </c>
      <c r="L478">
        <v>14</v>
      </c>
      <c r="M478">
        <v>6070270.2702702703</v>
      </c>
      <c r="N478">
        <v>14098198.198198197</v>
      </c>
      <c r="O478">
        <v>20092522.52252252</v>
      </c>
      <c r="P478">
        <v>21772774.774774775</v>
      </c>
      <c r="Q478">
        <v>6609729.7297297288</v>
      </c>
      <c r="R478">
        <v>15124684.684684685</v>
      </c>
      <c r="S478">
        <v>3541</v>
      </c>
      <c r="T478">
        <v>3512</v>
      </c>
    </row>
    <row r="479" spans="1:20" x14ac:dyDescent="0.35">
      <c r="A479" s="7" t="s">
        <v>577</v>
      </c>
      <c r="B479" s="12" t="s">
        <v>307</v>
      </c>
      <c r="C479">
        <v>571590561.49382675</v>
      </c>
      <c r="D479">
        <v>550628688.11440897</v>
      </c>
      <c r="E479">
        <v>908378.37837838102</v>
      </c>
      <c r="F479">
        <v>5025675.6756756799</v>
      </c>
      <c r="G479">
        <v>208</v>
      </c>
      <c r="H479">
        <v>206</v>
      </c>
      <c r="K479">
        <v>269</v>
      </c>
      <c r="L479">
        <v>261</v>
      </c>
      <c r="M479">
        <v>46863828.828828827</v>
      </c>
      <c r="N479">
        <v>96462792.792792797</v>
      </c>
      <c r="O479">
        <v>217607801.8018018</v>
      </c>
      <c r="P479">
        <v>234069036.03603604</v>
      </c>
      <c r="Q479">
        <v>39789369.369369365</v>
      </c>
      <c r="R479">
        <v>58239459.459459461</v>
      </c>
      <c r="S479">
        <v>38117</v>
      </c>
      <c r="T479">
        <v>39349</v>
      </c>
    </row>
    <row r="480" spans="1:20" x14ac:dyDescent="0.35">
      <c r="A480" s="7" t="s">
        <v>578</v>
      </c>
      <c r="B480" s="12" t="s">
        <v>330</v>
      </c>
      <c r="C480">
        <v>552491414.96281326</v>
      </c>
      <c r="D480">
        <v>515588758.48662961</v>
      </c>
      <c r="E480">
        <v>1228828.828828831</v>
      </c>
      <c r="F480">
        <v>4995045.0450450517</v>
      </c>
      <c r="G480">
        <v>176</v>
      </c>
      <c r="H480">
        <v>198</v>
      </c>
      <c r="K480">
        <v>242</v>
      </c>
      <c r="L480">
        <v>248</v>
      </c>
      <c r="M480">
        <v>128145945.94594593</v>
      </c>
      <c r="N480">
        <v>41790090.090090089</v>
      </c>
      <c r="O480">
        <v>110025549.54954955</v>
      </c>
      <c r="P480">
        <v>114518565.31531531</v>
      </c>
      <c r="Q480">
        <v>122901621.62162164</v>
      </c>
      <c r="R480">
        <v>42495225.225225225</v>
      </c>
      <c r="S480">
        <v>28152</v>
      </c>
      <c r="T480">
        <v>27910</v>
      </c>
    </row>
    <row r="481" spans="1:20" x14ac:dyDescent="0.35">
      <c r="A481" s="7" t="s">
        <v>579</v>
      </c>
      <c r="B481" s="12" t="s">
        <v>66</v>
      </c>
      <c r="C481">
        <v>84224711.135199055</v>
      </c>
      <c r="D481">
        <v>78284625.381143406</v>
      </c>
      <c r="E481">
        <v>52124774.774774775</v>
      </c>
      <c r="F481">
        <v>187807207.2072072</v>
      </c>
      <c r="G481">
        <v>16</v>
      </c>
      <c r="H481">
        <v>11</v>
      </c>
      <c r="K481">
        <v>21</v>
      </c>
      <c r="L481">
        <v>15</v>
      </c>
      <c r="M481">
        <v>16285135.135135137</v>
      </c>
      <c r="N481">
        <v>8798198.1981981993</v>
      </c>
      <c r="O481">
        <v>20476576.576576576</v>
      </c>
      <c r="P481">
        <v>19924801.801801801</v>
      </c>
      <c r="Q481">
        <v>1580810.8108108109</v>
      </c>
      <c r="R481">
        <v>2024324.324324325</v>
      </c>
      <c r="S481">
        <v>3321</v>
      </c>
      <c r="T481">
        <v>3271</v>
      </c>
    </row>
    <row r="482" spans="1:20" x14ac:dyDescent="0.35">
      <c r="A482" s="7" t="s">
        <v>580</v>
      </c>
      <c r="B482" s="12" t="s">
        <v>236</v>
      </c>
      <c r="C482">
        <v>3.9162587420000001</v>
      </c>
      <c r="D482">
        <v>12011.332970474001</v>
      </c>
    </row>
    <row r="483" spans="1:20" x14ac:dyDescent="0.35">
      <c r="A483" s="7" t="s">
        <v>581</v>
      </c>
      <c r="B483" s="12" t="s">
        <v>62</v>
      </c>
      <c r="C483">
        <v>211160466.0693115</v>
      </c>
      <c r="D483">
        <v>205920241.43872541</v>
      </c>
      <c r="E483">
        <v>1094144.1441441439</v>
      </c>
      <c r="F483">
        <v>1907207.207207215</v>
      </c>
      <c r="G483">
        <v>45</v>
      </c>
      <c r="H483">
        <v>121</v>
      </c>
      <c r="K483">
        <v>51</v>
      </c>
      <c r="L483">
        <v>125</v>
      </c>
      <c r="M483">
        <v>19479729.729729734</v>
      </c>
      <c r="N483">
        <v>17942702.702702705</v>
      </c>
      <c r="O483">
        <v>45474135.135135137</v>
      </c>
      <c r="P483">
        <v>45132603.603603601</v>
      </c>
      <c r="Q483">
        <v>16920630.630630631</v>
      </c>
      <c r="R483">
        <v>16514954.95495495</v>
      </c>
      <c r="S483">
        <v>6580</v>
      </c>
      <c r="T483">
        <v>6661</v>
      </c>
    </row>
    <row r="484" spans="1:20" x14ac:dyDescent="0.35">
      <c r="A484" s="7" t="s">
        <v>582</v>
      </c>
      <c r="B484" s="12" t="s">
        <v>48</v>
      </c>
      <c r="C484">
        <v>203965214.79849407</v>
      </c>
      <c r="D484">
        <v>192592665.14521754</v>
      </c>
      <c r="E484">
        <v>2365405.405405405</v>
      </c>
      <c r="F484">
        <v>419819.81981982</v>
      </c>
      <c r="G484">
        <v>25</v>
      </c>
      <c r="H484">
        <v>24</v>
      </c>
      <c r="K484">
        <v>26</v>
      </c>
      <c r="L484">
        <v>27</v>
      </c>
      <c r="M484">
        <v>23411351.351351351</v>
      </c>
      <c r="N484">
        <v>43760810.810810804</v>
      </c>
      <c r="O484">
        <v>28089729.729729727</v>
      </c>
      <c r="P484">
        <v>27338054.054054052</v>
      </c>
      <c r="Q484">
        <v>17158558.558558561</v>
      </c>
      <c r="R484">
        <v>35524594.594594598</v>
      </c>
      <c r="S484">
        <v>5420</v>
      </c>
      <c r="T484">
        <v>5198</v>
      </c>
    </row>
    <row r="485" spans="1:20" x14ac:dyDescent="0.35">
      <c r="A485" s="7" t="s">
        <v>583</v>
      </c>
      <c r="B485" s="12" t="s">
        <v>54</v>
      </c>
      <c r="C485">
        <v>36982938.712949835</v>
      </c>
      <c r="D485">
        <v>36983103.13939888</v>
      </c>
      <c r="E485">
        <v>47747.747747747999</v>
      </c>
      <c r="F485">
        <v>384684.68468468398</v>
      </c>
      <c r="G485">
        <v>9</v>
      </c>
      <c r="H485">
        <v>11</v>
      </c>
      <c r="K485">
        <v>10</v>
      </c>
      <c r="L485">
        <v>20</v>
      </c>
      <c r="M485">
        <v>6558558.5585585563</v>
      </c>
      <c r="N485">
        <v>7036126.1261261227</v>
      </c>
      <c r="O485">
        <v>9284594.5945945941</v>
      </c>
      <c r="P485">
        <v>9260693.6936936919</v>
      </c>
      <c r="Q485">
        <v>6055225.2252252242</v>
      </c>
      <c r="R485">
        <v>6124054.0540540554</v>
      </c>
      <c r="S485">
        <v>1886</v>
      </c>
      <c r="T485">
        <v>2239</v>
      </c>
    </row>
    <row r="486" spans="1:20" x14ac:dyDescent="0.35">
      <c r="A486" s="7" t="s">
        <v>584</v>
      </c>
      <c r="B486" s="12" t="s">
        <v>70</v>
      </c>
      <c r="C486">
        <v>96916223.615951717</v>
      </c>
      <c r="D486">
        <v>94824669.24064061</v>
      </c>
      <c r="E486">
        <v>28686004.504504506</v>
      </c>
      <c r="F486">
        <v>30102180.180180181</v>
      </c>
      <c r="G486">
        <v>11</v>
      </c>
      <c r="H486">
        <v>21</v>
      </c>
      <c r="K486">
        <v>15</v>
      </c>
      <c r="L486">
        <v>22</v>
      </c>
      <c r="M486">
        <v>38403869.369369365</v>
      </c>
      <c r="N486">
        <v>36929739.639639638</v>
      </c>
      <c r="O486">
        <v>42060765.765765771</v>
      </c>
      <c r="P486">
        <v>42039162.162162162</v>
      </c>
      <c r="Q486">
        <v>1090990.9909909919</v>
      </c>
      <c r="R486">
        <v>1140090.0900900911</v>
      </c>
      <c r="S486">
        <v>3739</v>
      </c>
      <c r="T486">
        <v>3684</v>
      </c>
    </row>
    <row r="487" spans="1:20" x14ac:dyDescent="0.35">
      <c r="A487" s="7" t="s">
        <v>585</v>
      </c>
      <c r="B487" s="12" t="s">
        <v>330</v>
      </c>
      <c r="C487">
        <v>379596075.47609192</v>
      </c>
      <c r="D487">
        <v>351705039.09897256</v>
      </c>
      <c r="E487">
        <v>872972.97297297197</v>
      </c>
      <c r="F487">
        <v>3696396.3963963971</v>
      </c>
      <c r="G487">
        <v>132</v>
      </c>
      <c r="H487">
        <v>150</v>
      </c>
      <c r="K487">
        <v>163</v>
      </c>
      <c r="L487">
        <v>190</v>
      </c>
      <c r="M487">
        <v>20436936.936936934</v>
      </c>
      <c r="N487">
        <v>37287387.387387387</v>
      </c>
      <c r="O487">
        <v>92147288.288288295</v>
      </c>
      <c r="P487">
        <v>90424427.027027026</v>
      </c>
      <c r="Q487">
        <v>18945315.315315317</v>
      </c>
      <c r="R487">
        <v>33021441.441441439</v>
      </c>
      <c r="S487">
        <v>20690</v>
      </c>
      <c r="T487">
        <v>21110</v>
      </c>
    </row>
    <row r="488" spans="1:20" x14ac:dyDescent="0.35">
      <c r="A488" s="7" t="s">
        <v>586</v>
      </c>
      <c r="B488" s="12" t="s">
        <v>66</v>
      </c>
      <c r="C488">
        <v>176446453.90424523</v>
      </c>
      <c r="D488">
        <v>165948282.30979878</v>
      </c>
      <c r="E488">
        <v>96574817.117117122</v>
      </c>
      <c r="F488">
        <v>709844968.46846843</v>
      </c>
      <c r="G488">
        <v>62</v>
      </c>
      <c r="H488">
        <v>55</v>
      </c>
      <c r="K488">
        <v>71</v>
      </c>
      <c r="L488">
        <v>87</v>
      </c>
      <c r="M488">
        <v>19413603.603603601</v>
      </c>
      <c r="N488">
        <v>65602117.117117122</v>
      </c>
      <c r="O488">
        <v>83617909.909909904</v>
      </c>
      <c r="P488">
        <v>81748873.873873875</v>
      </c>
      <c r="Q488">
        <v>18351801.801801801</v>
      </c>
      <c r="R488">
        <v>31266261.261261258</v>
      </c>
      <c r="S488">
        <v>10840</v>
      </c>
      <c r="T488">
        <v>10598</v>
      </c>
    </row>
    <row r="489" spans="1:20" x14ac:dyDescent="0.35">
      <c r="A489" s="7" t="s">
        <v>11</v>
      </c>
      <c r="B489" s="12" t="s">
        <v>193</v>
      </c>
      <c r="C489">
        <v>76419111.194984332</v>
      </c>
      <c r="D489">
        <v>77748382.100207418</v>
      </c>
      <c r="E489">
        <v>337837.83783783799</v>
      </c>
      <c r="F489">
        <v>112612.612612615</v>
      </c>
      <c r="G489">
        <v>17</v>
      </c>
      <c r="H489">
        <v>18</v>
      </c>
      <c r="K489">
        <v>22</v>
      </c>
      <c r="L489">
        <v>22</v>
      </c>
      <c r="M489">
        <v>2564864.8648648658</v>
      </c>
      <c r="N489">
        <v>1914414.4144144161</v>
      </c>
      <c r="O489">
        <v>24426441.441441439</v>
      </c>
      <c r="P489">
        <v>26436531.531531531</v>
      </c>
      <c r="Q489">
        <v>2608558.5585585572</v>
      </c>
      <c r="R489">
        <v>1468468.4684684691</v>
      </c>
      <c r="S489">
        <v>4067</v>
      </c>
      <c r="T489">
        <v>4975</v>
      </c>
    </row>
    <row r="490" spans="1:20" x14ac:dyDescent="0.35">
      <c r="A490" s="7" t="s">
        <v>12</v>
      </c>
      <c r="B490" s="12" t="s">
        <v>193</v>
      </c>
      <c r="C490">
        <v>54563535.995484665</v>
      </c>
      <c r="D490">
        <v>50154501.679410063</v>
      </c>
      <c r="E490">
        <v>57657.657657659001</v>
      </c>
      <c r="F490">
        <v>2304504.5045045069</v>
      </c>
      <c r="G490">
        <v>11</v>
      </c>
      <c r="H490">
        <v>6</v>
      </c>
      <c r="K490">
        <v>18</v>
      </c>
      <c r="L490">
        <v>7</v>
      </c>
      <c r="M490">
        <v>4590540.5405405406</v>
      </c>
      <c r="N490">
        <v>5457657.6576576587</v>
      </c>
      <c r="O490">
        <v>20210405.405405402</v>
      </c>
      <c r="P490">
        <v>20240036.036036037</v>
      </c>
      <c r="Q490">
        <v>2435135.1351351328</v>
      </c>
      <c r="R490">
        <v>6950180.1801801808</v>
      </c>
      <c r="S490">
        <v>2885</v>
      </c>
      <c r="T490">
        <v>3058</v>
      </c>
    </row>
    <row r="491" spans="1:20" x14ac:dyDescent="0.35">
      <c r="A491" s="7" t="s">
        <v>587</v>
      </c>
      <c r="B491" s="12" t="s">
        <v>60</v>
      </c>
      <c r="C491">
        <v>41734305.202198587</v>
      </c>
      <c r="D491">
        <v>44119522.008167751</v>
      </c>
      <c r="E491">
        <v>200900.90090090301</v>
      </c>
      <c r="F491">
        <v>352252.25225225202</v>
      </c>
      <c r="G491">
        <v>8</v>
      </c>
      <c r="H491">
        <v>12</v>
      </c>
      <c r="K491">
        <v>9</v>
      </c>
      <c r="L491">
        <v>24</v>
      </c>
      <c r="M491">
        <v>6227927.927927928</v>
      </c>
      <c r="N491">
        <v>7045945.9459459446</v>
      </c>
      <c r="O491">
        <v>15461711.711711712</v>
      </c>
      <c r="P491">
        <v>16519416.666666666</v>
      </c>
      <c r="Q491">
        <v>4332072.072072072</v>
      </c>
      <c r="R491">
        <v>7302702.702702703</v>
      </c>
      <c r="S491">
        <v>1815</v>
      </c>
      <c r="T491">
        <v>1638</v>
      </c>
    </row>
    <row r="492" spans="1:20" x14ac:dyDescent="0.35">
      <c r="A492" s="7" t="s">
        <v>588</v>
      </c>
      <c r="B492" s="12" t="s">
        <v>307</v>
      </c>
      <c r="C492">
        <v>1245347313.6531148</v>
      </c>
      <c r="D492">
        <v>1199308153.4314811</v>
      </c>
      <c r="E492">
        <v>670647760.36036026</v>
      </c>
      <c r="F492">
        <v>872487700</v>
      </c>
      <c r="G492">
        <v>424</v>
      </c>
      <c r="H492">
        <v>351</v>
      </c>
      <c r="I492">
        <v>1</v>
      </c>
      <c r="K492">
        <v>529</v>
      </c>
      <c r="L492">
        <v>517</v>
      </c>
      <c r="M492">
        <v>118256936.93693694</v>
      </c>
      <c r="N492">
        <v>420014459.45945948</v>
      </c>
      <c r="O492">
        <v>379432432.43243247</v>
      </c>
      <c r="P492">
        <v>387516121.62162161</v>
      </c>
      <c r="Q492">
        <v>107936666.66666667</v>
      </c>
      <c r="R492">
        <v>210526981.98198199</v>
      </c>
      <c r="S492">
        <v>63045</v>
      </c>
      <c r="T492">
        <v>64415</v>
      </c>
    </row>
    <row r="493" spans="1:20" x14ac:dyDescent="0.35">
      <c r="A493" s="7" t="s">
        <v>589</v>
      </c>
      <c r="B493" s="12" t="s">
        <v>52</v>
      </c>
      <c r="C493">
        <v>303233686.00797665</v>
      </c>
      <c r="D493">
        <v>286816592.64651519</v>
      </c>
      <c r="E493">
        <v>3006306.3063063072</v>
      </c>
      <c r="F493">
        <v>4625225.2252252297</v>
      </c>
      <c r="G493">
        <v>40</v>
      </c>
      <c r="H493">
        <v>82</v>
      </c>
      <c r="K493">
        <v>58</v>
      </c>
      <c r="L493">
        <v>170</v>
      </c>
      <c r="M493">
        <v>20919279.279279277</v>
      </c>
      <c r="N493">
        <v>84106261.261261269</v>
      </c>
      <c r="O493">
        <v>116399283.78378378</v>
      </c>
      <c r="P493">
        <v>116903657.65765767</v>
      </c>
      <c r="Q493">
        <v>19798558.558558557</v>
      </c>
      <c r="R493">
        <v>99167162.162162155</v>
      </c>
      <c r="S493">
        <v>14577</v>
      </c>
      <c r="T493">
        <v>13945</v>
      </c>
    </row>
    <row r="494" spans="1:20" x14ac:dyDescent="0.35">
      <c r="A494" s="7" t="s">
        <v>590</v>
      </c>
      <c r="B494" s="12" t="s">
        <v>54</v>
      </c>
      <c r="C494">
        <v>24532209.385941826</v>
      </c>
      <c r="D494">
        <v>24824062.632542536</v>
      </c>
      <c r="E494">
        <v>345945.94594594598</v>
      </c>
      <c r="F494">
        <v>289189.189189189</v>
      </c>
      <c r="G494">
        <v>5</v>
      </c>
      <c r="H494">
        <v>9</v>
      </c>
      <c r="K494">
        <v>5</v>
      </c>
      <c r="L494">
        <v>11</v>
      </c>
      <c r="M494">
        <v>6400000</v>
      </c>
      <c r="N494">
        <v>4325225.2252252242</v>
      </c>
      <c r="O494">
        <v>8258459.4594594603</v>
      </c>
      <c r="P494">
        <v>7621369.369369369</v>
      </c>
      <c r="Q494">
        <v>5266756.7567567546</v>
      </c>
      <c r="R494">
        <v>4271711.7117117131</v>
      </c>
      <c r="S494">
        <v>1530</v>
      </c>
      <c r="T494">
        <v>1482</v>
      </c>
    </row>
    <row r="495" spans="1:20" x14ac:dyDescent="0.35">
      <c r="A495" s="7" t="s">
        <v>591</v>
      </c>
      <c r="B495" s="12" t="s">
        <v>169</v>
      </c>
      <c r="C495">
        <v>729679747.80517054</v>
      </c>
      <c r="D495">
        <v>678977462.59934783</v>
      </c>
      <c r="E495">
        <v>3185765.7657657671</v>
      </c>
      <c r="F495">
        <v>3876351.3513513552</v>
      </c>
      <c r="G495">
        <v>79</v>
      </c>
      <c r="H495">
        <v>44</v>
      </c>
      <c r="I495">
        <v>1</v>
      </c>
      <c r="K495">
        <v>90</v>
      </c>
      <c r="L495">
        <v>97</v>
      </c>
      <c r="M495">
        <v>117322252.25225225</v>
      </c>
      <c r="N495">
        <v>162143603.6036036</v>
      </c>
      <c r="O495">
        <v>236579450.45045045</v>
      </c>
      <c r="P495">
        <v>233278479.72972974</v>
      </c>
      <c r="Q495">
        <v>94180990.990990996</v>
      </c>
      <c r="R495">
        <v>137436306.3063063</v>
      </c>
      <c r="S495">
        <v>23105</v>
      </c>
      <c r="T495">
        <v>23017</v>
      </c>
    </row>
    <row r="496" spans="1:20" x14ac:dyDescent="0.35">
      <c r="A496" s="7" t="s">
        <v>592</v>
      </c>
      <c r="B496" s="12" t="s">
        <v>87</v>
      </c>
      <c r="C496">
        <v>4240460.4183336208</v>
      </c>
      <c r="D496">
        <v>3603016.6011167569</v>
      </c>
      <c r="H496">
        <v>2</v>
      </c>
      <c r="L496">
        <v>2</v>
      </c>
      <c r="O496">
        <v>694405.40540540603</v>
      </c>
      <c r="P496">
        <v>790270.27027027099</v>
      </c>
      <c r="S496">
        <v>345</v>
      </c>
      <c r="T496">
        <v>274</v>
      </c>
    </row>
    <row r="497" spans="1:20" x14ac:dyDescent="0.35">
      <c r="A497" s="7" t="s">
        <v>593</v>
      </c>
      <c r="B497" s="12" t="s">
        <v>143</v>
      </c>
      <c r="C497">
        <v>52415136.109339133</v>
      </c>
      <c r="D497">
        <v>51632039.703000002</v>
      </c>
      <c r="E497">
        <v>15315.315315316</v>
      </c>
      <c r="F497">
        <v>156756.75675675899</v>
      </c>
      <c r="G497">
        <v>6</v>
      </c>
      <c r="H497">
        <v>20</v>
      </c>
      <c r="K497">
        <v>6</v>
      </c>
      <c r="L497">
        <v>22</v>
      </c>
      <c r="M497">
        <v>3330630.6306306301</v>
      </c>
      <c r="N497">
        <v>5832432.4324324327</v>
      </c>
      <c r="O497">
        <v>5052027.0270270268</v>
      </c>
      <c r="P497">
        <v>5464864.8648648653</v>
      </c>
      <c r="Q497">
        <v>2136216.2162162159</v>
      </c>
      <c r="R497">
        <v>2413693.6936936928</v>
      </c>
      <c r="S497">
        <v>1678</v>
      </c>
      <c r="T497">
        <v>2531</v>
      </c>
    </row>
    <row r="498" spans="1:20" x14ac:dyDescent="0.35">
      <c r="A498" s="7" t="s">
        <v>594</v>
      </c>
      <c r="B498" s="12" t="s">
        <v>290</v>
      </c>
      <c r="C498">
        <v>14991693.57849716</v>
      </c>
      <c r="D498">
        <v>12581753.675738689</v>
      </c>
      <c r="G498">
        <v>1</v>
      </c>
      <c r="H498">
        <v>1</v>
      </c>
      <c r="K498">
        <v>1</v>
      </c>
      <c r="L498">
        <v>1</v>
      </c>
      <c r="O498">
        <v>535945.94594594603</v>
      </c>
      <c r="P498">
        <v>868918.91891891905</v>
      </c>
      <c r="S498">
        <v>591</v>
      </c>
      <c r="T498">
        <v>690</v>
      </c>
    </row>
    <row r="499" spans="1:20" x14ac:dyDescent="0.35">
      <c r="A499" s="7" t="s">
        <v>595</v>
      </c>
      <c r="B499" s="12" t="s">
        <v>92</v>
      </c>
      <c r="C499">
        <v>18670463.708882831</v>
      </c>
      <c r="D499">
        <v>16630424.530014664</v>
      </c>
      <c r="E499">
        <v>23423.423423423999</v>
      </c>
      <c r="F499">
        <v>907207.20720720699</v>
      </c>
      <c r="G499">
        <v>7</v>
      </c>
      <c r="H499">
        <v>6</v>
      </c>
      <c r="K499">
        <v>7</v>
      </c>
      <c r="L499">
        <v>15</v>
      </c>
      <c r="M499">
        <v>98018.018018018003</v>
      </c>
      <c r="N499">
        <v>1898198.1981981981</v>
      </c>
      <c r="O499">
        <v>2694234.2342342339</v>
      </c>
      <c r="P499">
        <v>3159675.6756756748</v>
      </c>
      <c r="Q499">
        <v>397477.47747747699</v>
      </c>
      <c r="R499">
        <v>2123873.8738738741</v>
      </c>
      <c r="S499">
        <v>629</v>
      </c>
      <c r="T499">
        <v>580</v>
      </c>
    </row>
    <row r="500" spans="1:20" x14ac:dyDescent="0.35">
      <c r="A500" s="7" t="s">
        <v>596</v>
      </c>
      <c r="B500" s="12" t="s">
        <v>50</v>
      </c>
      <c r="C500">
        <v>67436853.901400611</v>
      </c>
      <c r="D500">
        <v>58902780.781263806</v>
      </c>
      <c r="E500">
        <v>656756.75675675797</v>
      </c>
      <c r="F500">
        <v>1295270.2702702731</v>
      </c>
      <c r="G500">
        <v>8</v>
      </c>
      <c r="H500">
        <v>6</v>
      </c>
      <c r="K500">
        <v>8</v>
      </c>
      <c r="L500">
        <v>7</v>
      </c>
      <c r="M500">
        <v>4512972.9729729732</v>
      </c>
      <c r="N500">
        <v>2711261.261261262</v>
      </c>
      <c r="O500">
        <v>13705627.027027028</v>
      </c>
      <c r="P500">
        <v>12816960.36036036</v>
      </c>
      <c r="Q500">
        <v>4776396.3963963958</v>
      </c>
      <c r="R500">
        <v>2728558.5585585572</v>
      </c>
      <c r="S500">
        <v>1578</v>
      </c>
      <c r="T500">
        <v>1625</v>
      </c>
    </row>
    <row r="501" spans="1:20" x14ac:dyDescent="0.35">
      <c r="A501" s="7" t="s">
        <v>597</v>
      </c>
      <c r="B501" s="12" t="s">
        <v>89</v>
      </c>
      <c r="C501">
        <v>93228645.490665317</v>
      </c>
      <c r="D501">
        <v>93643543.286269337</v>
      </c>
      <c r="E501">
        <v>345945.94594594499</v>
      </c>
      <c r="F501">
        <v>734234.23423423897</v>
      </c>
      <c r="G501">
        <v>13</v>
      </c>
      <c r="H501">
        <v>18</v>
      </c>
      <c r="K501">
        <v>16</v>
      </c>
      <c r="L501">
        <v>56</v>
      </c>
      <c r="M501">
        <v>6092792.7927927878</v>
      </c>
      <c r="N501">
        <v>8030090.0900900858</v>
      </c>
      <c r="O501">
        <v>20855448.648648649</v>
      </c>
      <c r="P501">
        <v>22247270.270270273</v>
      </c>
      <c r="Q501">
        <v>5393873.8738738699</v>
      </c>
      <c r="R501">
        <v>7595765.765765761</v>
      </c>
      <c r="S501">
        <v>4006</v>
      </c>
      <c r="T501">
        <v>4699</v>
      </c>
    </row>
    <row r="502" spans="1:20" x14ac:dyDescent="0.35">
      <c r="A502" s="7" t="s">
        <v>598</v>
      </c>
      <c r="B502" s="12" t="s">
        <v>143</v>
      </c>
      <c r="C502">
        <v>35988008.795720555</v>
      </c>
      <c r="D502">
        <v>36492188.50770171</v>
      </c>
      <c r="E502">
        <v>57657.657657657001</v>
      </c>
      <c r="F502">
        <v>229729.72972973</v>
      </c>
      <c r="G502">
        <v>10</v>
      </c>
      <c r="H502">
        <v>1</v>
      </c>
      <c r="K502">
        <v>10</v>
      </c>
      <c r="L502">
        <v>3</v>
      </c>
      <c r="M502">
        <v>2877477.4774774769</v>
      </c>
      <c r="N502">
        <v>2932432.4324324331</v>
      </c>
      <c r="O502">
        <v>2351756.7567567569</v>
      </c>
      <c r="P502">
        <v>3133207.207207208</v>
      </c>
      <c r="Q502">
        <v>2732432.4324324322</v>
      </c>
      <c r="R502">
        <v>2325495.4954954949</v>
      </c>
      <c r="S502">
        <v>1163</v>
      </c>
      <c r="T502">
        <v>1159</v>
      </c>
    </row>
    <row r="503" spans="1:20" x14ac:dyDescent="0.35">
      <c r="A503" s="7" t="s">
        <v>599</v>
      </c>
      <c r="B503" s="12" t="s">
        <v>125</v>
      </c>
      <c r="C503">
        <v>95536058.162952557</v>
      </c>
      <c r="D503">
        <v>88846314.061169475</v>
      </c>
      <c r="E503">
        <v>19424070.270270273</v>
      </c>
      <c r="F503">
        <v>21724491.891891897</v>
      </c>
      <c r="G503">
        <v>5</v>
      </c>
      <c r="H503">
        <v>7</v>
      </c>
      <c r="K503">
        <v>7</v>
      </c>
      <c r="L503">
        <v>8</v>
      </c>
      <c r="M503">
        <v>17220810.810810812</v>
      </c>
      <c r="N503">
        <v>15754414.414414415</v>
      </c>
      <c r="O503">
        <v>34416711.711711712</v>
      </c>
      <c r="P503">
        <v>34197360.360360362</v>
      </c>
      <c r="Q503">
        <v>17355405.405405402</v>
      </c>
      <c r="R503">
        <v>4985135.1351351347</v>
      </c>
      <c r="S503">
        <v>3607</v>
      </c>
      <c r="T503">
        <v>3454</v>
      </c>
    </row>
    <row r="504" spans="1:20" x14ac:dyDescent="0.35">
      <c r="A504" s="7" t="s">
        <v>600</v>
      </c>
      <c r="B504" s="12" t="s">
        <v>50</v>
      </c>
      <c r="C504">
        <v>229043285.98187616</v>
      </c>
      <c r="D504">
        <v>224984949.9169552</v>
      </c>
      <c r="E504">
        <v>1742882.8828828831</v>
      </c>
      <c r="F504">
        <v>2447747.7477477491</v>
      </c>
      <c r="G504">
        <v>29</v>
      </c>
      <c r="H504">
        <v>20</v>
      </c>
      <c r="I504">
        <v>1</v>
      </c>
      <c r="K504">
        <v>30</v>
      </c>
      <c r="L504">
        <v>25</v>
      </c>
      <c r="M504">
        <v>26750270.270270269</v>
      </c>
      <c r="N504">
        <v>28661531.531531531</v>
      </c>
      <c r="O504">
        <v>92316243.243243247</v>
      </c>
      <c r="P504">
        <v>94849288.288288295</v>
      </c>
      <c r="Q504">
        <v>22063153.153153151</v>
      </c>
      <c r="R504">
        <v>27231981.981981985</v>
      </c>
      <c r="S504">
        <v>7329</v>
      </c>
      <c r="T504">
        <v>7564</v>
      </c>
    </row>
    <row r="505" spans="1:20" x14ac:dyDescent="0.35">
      <c r="A505" s="7" t="s">
        <v>601</v>
      </c>
      <c r="B505" s="12" t="s">
        <v>89</v>
      </c>
      <c r="C505">
        <v>67493350.534200802</v>
      </c>
      <c r="D505">
        <v>67060343.606902122</v>
      </c>
      <c r="E505">
        <v>24418018.018018015</v>
      </c>
      <c r="F505">
        <v>134458558.55855855</v>
      </c>
      <c r="G505">
        <v>10</v>
      </c>
      <c r="H505">
        <v>7</v>
      </c>
      <c r="K505">
        <v>10</v>
      </c>
      <c r="L505">
        <v>7</v>
      </c>
      <c r="M505">
        <v>6043243.2432432417</v>
      </c>
      <c r="N505">
        <v>22827387.387387387</v>
      </c>
      <c r="O505">
        <v>18889279.27927928</v>
      </c>
      <c r="P505">
        <v>20481657.657657657</v>
      </c>
      <c r="Q505">
        <v>5567837.8378378376</v>
      </c>
      <c r="R505">
        <v>22605405.40540541</v>
      </c>
      <c r="S505">
        <v>2590</v>
      </c>
      <c r="T505">
        <v>2422</v>
      </c>
    </row>
    <row r="506" spans="1:20" x14ac:dyDescent="0.35">
      <c r="A506" s="7" t="s">
        <v>602</v>
      </c>
      <c r="B506" s="12" t="s">
        <v>87</v>
      </c>
      <c r="C506">
        <v>65509052.540556237</v>
      </c>
      <c r="D506">
        <v>61084755.068957165</v>
      </c>
      <c r="E506">
        <v>78378.378378378999</v>
      </c>
      <c r="F506">
        <v>220720.720720721</v>
      </c>
      <c r="G506">
        <v>5</v>
      </c>
      <c r="H506">
        <v>5</v>
      </c>
      <c r="K506">
        <v>6</v>
      </c>
      <c r="L506">
        <v>7</v>
      </c>
      <c r="M506">
        <v>934234.23423423502</v>
      </c>
      <c r="N506">
        <v>500000</v>
      </c>
      <c r="O506">
        <v>4989953.1531531531</v>
      </c>
      <c r="P506">
        <v>4153243.2432432431</v>
      </c>
      <c r="Q506">
        <v>822115.31531531503</v>
      </c>
      <c r="R506">
        <v>561711.71171171195</v>
      </c>
      <c r="S506">
        <v>1234</v>
      </c>
      <c r="T506">
        <v>1270</v>
      </c>
    </row>
    <row r="507" spans="1:20" x14ac:dyDescent="0.35">
      <c r="A507" s="7" t="s">
        <v>603</v>
      </c>
      <c r="B507" s="12" t="s">
        <v>140</v>
      </c>
      <c r="C507">
        <v>469953715.29571766</v>
      </c>
      <c r="D507">
        <v>477985807.10533512</v>
      </c>
      <c r="E507">
        <v>416831080.18018013</v>
      </c>
      <c r="F507">
        <v>249846571.17117116</v>
      </c>
      <c r="G507">
        <v>104</v>
      </c>
      <c r="H507">
        <v>145</v>
      </c>
      <c r="I507">
        <v>3</v>
      </c>
      <c r="K507">
        <v>132</v>
      </c>
      <c r="L507">
        <v>227</v>
      </c>
      <c r="M507">
        <v>92516126.126126125</v>
      </c>
      <c r="N507">
        <v>78013693.693693697</v>
      </c>
      <c r="O507">
        <v>110853239.63963965</v>
      </c>
      <c r="P507">
        <v>119056774.77477477</v>
      </c>
      <c r="Q507">
        <v>82309459.459459454</v>
      </c>
      <c r="R507">
        <v>82208468.468468457</v>
      </c>
      <c r="S507">
        <v>19289</v>
      </c>
      <c r="T507">
        <v>18820</v>
      </c>
    </row>
    <row r="508" spans="1:20" x14ac:dyDescent="0.35">
      <c r="A508" s="7" t="s">
        <v>604</v>
      </c>
      <c r="B508" s="12" t="s">
        <v>224</v>
      </c>
      <c r="C508">
        <v>90948907.138986558</v>
      </c>
      <c r="D508">
        <v>78932408.780380636</v>
      </c>
      <c r="E508">
        <v>9909.9099099100004</v>
      </c>
      <c r="F508">
        <v>24324.324324323999</v>
      </c>
      <c r="G508">
        <v>14</v>
      </c>
      <c r="H508">
        <v>15</v>
      </c>
      <c r="K508">
        <v>16</v>
      </c>
      <c r="L508">
        <v>15</v>
      </c>
      <c r="M508">
        <v>2262162.1621621619</v>
      </c>
      <c r="N508">
        <v>24324.324324323999</v>
      </c>
      <c r="O508">
        <v>27125774.774774775</v>
      </c>
      <c r="P508">
        <v>26343180.180180181</v>
      </c>
      <c r="Q508">
        <v>1953153.1531531529</v>
      </c>
      <c r="R508">
        <v>2608648.6486486481</v>
      </c>
      <c r="S508">
        <v>2662</v>
      </c>
      <c r="T508">
        <v>3437</v>
      </c>
    </row>
    <row r="509" spans="1:20" x14ac:dyDescent="0.35">
      <c r="A509" s="7" t="s">
        <v>605</v>
      </c>
      <c r="B509" s="12" t="s">
        <v>224</v>
      </c>
      <c r="C509">
        <v>57363980.576652877</v>
      </c>
      <c r="D509">
        <v>50888471.727729976</v>
      </c>
      <c r="E509">
        <v>5405.4054054050002</v>
      </c>
      <c r="F509">
        <v>35135.135135135002</v>
      </c>
      <c r="G509">
        <v>19</v>
      </c>
      <c r="H509">
        <v>11</v>
      </c>
      <c r="K509">
        <v>19</v>
      </c>
      <c r="L509">
        <v>11</v>
      </c>
      <c r="M509">
        <v>3609009.0090090092</v>
      </c>
      <c r="N509">
        <v>2737837.8378378381</v>
      </c>
      <c r="O509">
        <v>14767837.837837838</v>
      </c>
      <c r="P509">
        <v>14992630.630630633</v>
      </c>
      <c r="Q509">
        <v>2768738.7387387389</v>
      </c>
      <c r="R509">
        <v>3139279.2792792791</v>
      </c>
      <c r="S509">
        <v>6125</v>
      </c>
      <c r="T509">
        <v>3210</v>
      </c>
    </row>
    <row r="510" spans="1:20" x14ac:dyDescent="0.35">
      <c r="A510" s="7" t="s">
        <v>606</v>
      </c>
      <c r="B510" s="12" t="s">
        <v>241</v>
      </c>
      <c r="C510">
        <v>47828717.721128039</v>
      </c>
      <c r="D510">
        <v>44463583.361590736</v>
      </c>
      <c r="E510">
        <v>100651423.42342342</v>
      </c>
      <c r="F510">
        <v>43069648.648648649</v>
      </c>
      <c r="G510">
        <v>22</v>
      </c>
      <c r="H510">
        <v>27</v>
      </c>
      <c r="K510">
        <v>23</v>
      </c>
      <c r="L510">
        <v>28</v>
      </c>
      <c r="M510">
        <v>12676538.73873874</v>
      </c>
      <c r="N510">
        <v>10423423.423423424</v>
      </c>
      <c r="O510">
        <v>13407072.072072072</v>
      </c>
      <c r="P510">
        <v>13533279.27927928</v>
      </c>
      <c r="Q510">
        <v>3630090.090090089</v>
      </c>
      <c r="R510">
        <v>2512702.702702703</v>
      </c>
      <c r="S510">
        <v>2470</v>
      </c>
      <c r="T510">
        <v>2329</v>
      </c>
    </row>
    <row r="511" spans="1:20" x14ac:dyDescent="0.35">
      <c r="A511" s="7" t="s">
        <v>607</v>
      </c>
      <c r="B511" s="12" t="s">
        <v>140</v>
      </c>
      <c r="C511">
        <v>13718271.705171898</v>
      </c>
      <c r="D511">
        <v>13506155.040073326</v>
      </c>
      <c r="E511">
        <v>24054054.054054055</v>
      </c>
      <c r="F511">
        <v>2702.7027027029999</v>
      </c>
      <c r="H511">
        <v>4</v>
      </c>
      <c r="L511">
        <v>4</v>
      </c>
      <c r="M511">
        <v>1685585.5855855851</v>
      </c>
      <c r="N511">
        <v>490765.76576576597</v>
      </c>
      <c r="O511">
        <v>1900180.1801801799</v>
      </c>
      <c r="P511">
        <v>1452288.2882882881</v>
      </c>
      <c r="Q511">
        <v>377297.29729729699</v>
      </c>
      <c r="R511">
        <v>364054.05405405402</v>
      </c>
      <c r="S511">
        <v>360</v>
      </c>
      <c r="T511">
        <v>363</v>
      </c>
    </row>
    <row r="512" spans="1:20" x14ac:dyDescent="0.35">
      <c r="A512" s="7" t="s">
        <v>671</v>
      </c>
      <c r="B512" s="12" t="s">
        <v>189</v>
      </c>
      <c r="S512">
        <v>1</v>
      </c>
      <c r="T512">
        <v>1</v>
      </c>
    </row>
    <row r="513" spans="1:20" x14ac:dyDescent="0.35">
      <c r="A513" s="7" t="s">
        <v>608</v>
      </c>
      <c r="B513" s="12" t="s">
        <v>189</v>
      </c>
      <c r="C513">
        <v>55529680.035849214</v>
      </c>
      <c r="D513">
        <v>50045810.013152674</v>
      </c>
      <c r="E513">
        <v>360360.36036036001</v>
      </c>
      <c r="F513">
        <v>765765.76576576603</v>
      </c>
      <c r="G513">
        <v>17</v>
      </c>
      <c r="H513">
        <v>29</v>
      </c>
      <c r="K513">
        <v>20</v>
      </c>
      <c r="L513">
        <v>35</v>
      </c>
      <c r="M513">
        <v>7593693.6936936937</v>
      </c>
      <c r="N513">
        <v>6666666.666666667</v>
      </c>
      <c r="O513">
        <v>10509432.432432432</v>
      </c>
      <c r="P513">
        <v>13168247.747747747</v>
      </c>
      <c r="Q513">
        <v>4661711.7117117122</v>
      </c>
      <c r="R513">
        <v>4364864.8648648644</v>
      </c>
      <c r="S513">
        <v>1654</v>
      </c>
      <c r="T513">
        <v>1646</v>
      </c>
    </row>
    <row r="514" spans="1:20" x14ac:dyDescent="0.35">
      <c r="A514" s="7" t="s">
        <v>609</v>
      </c>
      <c r="B514" s="12" t="s">
        <v>189</v>
      </c>
      <c r="C514">
        <v>161021274.72020531</v>
      </c>
      <c r="D514">
        <v>148994780.19056031</v>
      </c>
      <c r="E514">
        <v>17117.117117116999</v>
      </c>
      <c r="F514">
        <v>310810.81081081199</v>
      </c>
      <c r="G514">
        <v>59</v>
      </c>
      <c r="H514">
        <v>39</v>
      </c>
      <c r="K514">
        <v>68</v>
      </c>
      <c r="L514">
        <v>43</v>
      </c>
      <c r="M514">
        <v>7107207.2072072057</v>
      </c>
      <c r="N514">
        <v>6842342.3423423423</v>
      </c>
      <c r="O514">
        <v>26140630.630630631</v>
      </c>
      <c r="P514">
        <v>26227558.558558561</v>
      </c>
      <c r="Q514">
        <v>5372432.4324324308</v>
      </c>
      <c r="R514">
        <v>4026486.4864864862</v>
      </c>
      <c r="S514">
        <v>5083</v>
      </c>
      <c r="T514">
        <v>4930</v>
      </c>
    </row>
    <row r="515" spans="1:20" x14ac:dyDescent="0.35">
      <c r="A515" s="7" t="s">
        <v>610</v>
      </c>
      <c r="B515" s="12" t="s">
        <v>189</v>
      </c>
      <c r="C515">
        <v>60627326.015565328</v>
      </c>
      <c r="D515">
        <v>57917933.317442954</v>
      </c>
      <c r="E515">
        <v>232432.43243243199</v>
      </c>
      <c r="F515">
        <v>484459.45945946203</v>
      </c>
      <c r="G515">
        <v>9</v>
      </c>
      <c r="H515">
        <v>12</v>
      </c>
      <c r="K515">
        <v>9</v>
      </c>
      <c r="L515">
        <v>14</v>
      </c>
      <c r="M515">
        <v>3887387.3873873879</v>
      </c>
      <c r="N515">
        <v>3256756.7567567579</v>
      </c>
      <c r="O515">
        <v>7027522.522522524</v>
      </c>
      <c r="P515">
        <v>6370315.3153153164</v>
      </c>
      <c r="Q515">
        <v>3058648.648648649</v>
      </c>
      <c r="R515">
        <v>2995585.5855855849</v>
      </c>
      <c r="S515">
        <v>1694</v>
      </c>
      <c r="T515">
        <v>1710</v>
      </c>
    </row>
    <row r="516" spans="1:20" x14ac:dyDescent="0.35">
      <c r="A516" s="7" t="s">
        <v>611</v>
      </c>
      <c r="B516" s="12" t="s">
        <v>189</v>
      </c>
      <c r="C516">
        <v>18577100.916623425</v>
      </c>
      <c r="D516">
        <v>22757790.480556998</v>
      </c>
      <c r="E516">
        <v>9009.0090090089998</v>
      </c>
      <c r="F516">
        <v>134684.68468468499</v>
      </c>
      <c r="G516">
        <v>16</v>
      </c>
      <c r="H516">
        <v>8</v>
      </c>
      <c r="K516">
        <v>18</v>
      </c>
      <c r="L516">
        <v>10</v>
      </c>
      <c r="M516">
        <v>1595495.4954954949</v>
      </c>
      <c r="N516">
        <v>3518378.3783783792</v>
      </c>
      <c r="O516">
        <v>3292927.927927928</v>
      </c>
      <c r="P516">
        <v>4309792.7927927934</v>
      </c>
      <c r="Q516">
        <v>793243.24324324296</v>
      </c>
      <c r="R516">
        <v>2977387.387387387</v>
      </c>
      <c r="S516">
        <v>949</v>
      </c>
      <c r="T516">
        <v>900</v>
      </c>
    </row>
    <row r="517" spans="1:20" x14ac:dyDescent="0.35">
      <c r="A517" s="7" t="s">
        <v>612</v>
      </c>
      <c r="B517" s="12" t="s">
        <v>143</v>
      </c>
      <c r="C517">
        <v>161157228.68004942</v>
      </c>
      <c r="D517">
        <v>166185669.94396305</v>
      </c>
      <c r="E517">
        <v>70182651.351351351</v>
      </c>
      <c r="F517">
        <v>71723847.747747749</v>
      </c>
      <c r="G517">
        <v>42</v>
      </c>
      <c r="H517">
        <v>42</v>
      </c>
      <c r="K517">
        <v>62</v>
      </c>
      <c r="L517">
        <v>54</v>
      </c>
      <c r="M517">
        <v>17668468.468468465</v>
      </c>
      <c r="N517">
        <v>14391891.891891891</v>
      </c>
      <c r="O517">
        <v>20069908.108108107</v>
      </c>
      <c r="P517">
        <v>20362896.396396395</v>
      </c>
      <c r="Q517">
        <v>15268378.37837838</v>
      </c>
      <c r="R517">
        <v>15366439.63963964</v>
      </c>
      <c r="S517">
        <v>7041</v>
      </c>
      <c r="T517">
        <v>6747</v>
      </c>
    </row>
    <row r="518" spans="1:20" x14ac:dyDescent="0.35">
      <c r="A518" s="7" t="s">
        <v>613</v>
      </c>
      <c r="B518" s="12" t="s">
        <v>189</v>
      </c>
      <c r="C518">
        <v>206439751.14032131</v>
      </c>
      <c r="D518">
        <v>189619025.05836761</v>
      </c>
      <c r="E518">
        <v>123423.423423425</v>
      </c>
      <c r="F518">
        <v>1103378.378378381</v>
      </c>
      <c r="G518">
        <v>67</v>
      </c>
      <c r="H518">
        <v>58</v>
      </c>
      <c r="K518">
        <v>83</v>
      </c>
      <c r="L518">
        <v>74</v>
      </c>
      <c r="M518">
        <v>5580180.1801801808</v>
      </c>
      <c r="N518">
        <v>9131531.5315315314</v>
      </c>
      <c r="O518">
        <v>17775789.189189188</v>
      </c>
      <c r="P518">
        <v>18136088.288288288</v>
      </c>
      <c r="Q518">
        <v>4506032.4324324317</v>
      </c>
      <c r="R518">
        <v>8505268.4684684705</v>
      </c>
      <c r="S518">
        <v>7743</v>
      </c>
      <c r="T518">
        <v>7455</v>
      </c>
    </row>
    <row r="519" spans="1:20" x14ac:dyDescent="0.35">
      <c r="A519" s="7" t="s">
        <v>614</v>
      </c>
      <c r="B519" s="12" t="s">
        <v>54</v>
      </c>
      <c r="C519">
        <v>140317333.99096647</v>
      </c>
      <c r="D519">
        <v>132327429.47181335</v>
      </c>
      <c r="E519">
        <v>1271621.6216216241</v>
      </c>
      <c r="F519">
        <v>2012612.6126126139</v>
      </c>
      <c r="G519">
        <v>33</v>
      </c>
      <c r="H519">
        <v>37</v>
      </c>
      <c r="K519">
        <v>36</v>
      </c>
      <c r="L519">
        <v>60</v>
      </c>
      <c r="M519">
        <v>19226576.576576576</v>
      </c>
      <c r="N519">
        <v>22841441.441441439</v>
      </c>
      <c r="O519">
        <v>39746486.486486487</v>
      </c>
      <c r="P519">
        <v>42823594.59459459</v>
      </c>
      <c r="Q519">
        <v>21688558.558558557</v>
      </c>
      <c r="R519">
        <v>21454234.234234236</v>
      </c>
      <c r="S519">
        <v>7003</v>
      </c>
      <c r="T519">
        <v>6179</v>
      </c>
    </row>
    <row r="520" spans="1:20" x14ac:dyDescent="0.35">
      <c r="A520" s="7" t="s">
        <v>615</v>
      </c>
      <c r="B520" s="12" t="s">
        <v>54</v>
      </c>
      <c r="C520">
        <v>72616985.161280483</v>
      </c>
      <c r="D520">
        <v>71796430.749048069</v>
      </c>
      <c r="E520">
        <v>24324.324324325</v>
      </c>
      <c r="F520">
        <v>90090.090090091006</v>
      </c>
      <c r="G520">
        <v>11</v>
      </c>
      <c r="H520">
        <v>8</v>
      </c>
      <c r="K520">
        <v>11</v>
      </c>
      <c r="L520">
        <v>10</v>
      </c>
      <c r="M520">
        <v>2764864.8648648649</v>
      </c>
      <c r="N520">
        <v>3243243.243243244</v>
      </c>
      <c r="O520">
        <v>11664630.630630629</v>
      </c>
      <c r="P520">
        <v>11965882.882882884</v>
      </c>
      <c r="Q520">
        <v>3294324.3243243238</v>
      </c>
      <c r="R520">
        <v>2339549.5495495498</v>
      </c>
      <c r="S520">
        <v>2349</v>
      </c>
      <c r="T520">
        <v>2863</v>
      </c>
    </row>
    <row r="521" spans="1:20" x14ac:dyDescent="0.35">
      <c r="A521" s="7" t="s">
        <v>616</v>
      </c>
      <c r="B521" s="12" t="s">
        <v>60</v>
      </c>
      <c r="C521">
        <v>113202067.32445973</v>
      </c>
      <c r="D521">
        <v>110655161.06129737</v>
      </c>
      <c r="E521">
        <v>173873.87387387501</v>
      </c>
      <c r="F521">
        <v>2094594.5945945999</v>
      </c>
      <c r="G521">
        <v>15</v>
      </c>
      <c r="H521">
        <v>45</v>
      </c>
      <c r="K521">
        <v>19</v>
      </c>
      <c r="L521">
        <v>107</v>
      </c>
      <c r="M521">
        <v>16458558.558558557</v>
      </c>
      <c r="N521">
        <v>17810630.630630631</v>
      </c>
      <c r="O521">
        <v>34042567.567567565</v>
      </c>
      <c r="P521">
        <v>35959621.621621624</v>
      </c>
      <c r="Q521">
        <v>13697027.027027028</v>
      </c>
      <c r="R521">
        <v>15561441.441441443</v>
      </c>
      <c r="S521">
        <v>4509</v>
      </c>
      <c r="T521">
        <v>4385</v>
      </c>
    </row>
    <row r="522" spans="1:20" x14ac:dyDescent="0.35">
      <c r="A522" s="7" t="s">
        <v>617</v>
      </c>
      <c r="B522" s="12" t="s">
        <v>60</v>
      </c>
      <c r="C522">
        <v>124536676.40870322</v>
      </c>
      <c r="D522">
        <v>117485006.41337532</v>
      </c>
      <c r="E522">
        <v>305405.40540540701</v>
      </c>
      <c r="F522">
        <v>722522.52252252295</v>
      </c>
      <c r="G522">
        <v>22</v>
      </c>
      <c r="H522">
        <v>34</v>
      </c>
      <c r="K522">
        <v>23</v>
      </c>
      <c r="L522">
        <v>39</v>
      </c>
      <c r="M522">
        <v>12791891.891891887</v>
      </c>
      <c r="N522">
        <v>13338738.73873874</v>
      </c>
      <c r="O522">
        <v>63650045.045045048</v>
      </c>
      <c r="P522">
        <v>60958432.432432435</v>
      </c>
      <c r="Q522">
        <v>13369729.729729732</v>
      </c>
      <c r="R522">
        <v>14377297.297297295</v>
      </c>
      <c r="S522">
        <v>5397</v>
      </c>
      <c r="T522">
        <v>5344</v>
      </c>
    </row>
    <row r="523" spans="1:20" x14ac:dyDescent="0.35">
      <c r="A523" s="7" t="s">
        <v>618</v>
      </c>
      <c r="B523" s="12" t="s">
        <v>60</v>
      </c>
      <c r="C523">
        <v>159791866.80439198</v>
      </c>
      <c r="D523">
        <v>150485773.8992286</v>
      </c>
      <c r="E523">
        <v>972072.07207207195</v>
      </c>
      <c r="F523">
        <v>1703603.6036036061</v>
      </c>
      <c r="G523">
        <v>26</v>
      </c>
      <c r="H523">
        <v>24</v>
      </c>
      <c r="K523">
        <v>29</v>
      </c>
      <c r="L523">
        <v>29</v>
      </c>
      <c r="M523">
        <v>11197297.297297295</v>
      </c>
      <c r="N523">
        <v>24128828.82882883</v>
      </c>
      <c r="O523">
        <v>49584450.45045045</v>
      </c>
      <c r="P523">
        <v>48895682.882882878</v>
      </c>
      <c r="Q523">
        <v>8091171.1711711688</v>
      </c>
      <c r="R523">
        <v>22538828.82882883</v>
      </c>
      <c r="S523">
        <v>6003</v>
      </c>
      <c r="T523">
        <v>5788</v>
      </c>
    </row>
    <row r="524" spans="1:20" x14ac:dyDescent="0.35">
      <c r="A524" s="7" t="s">
        <v>619</v>
      </c>
      <c r="B524" s="12" t="s">
        <v>620</v>
      </c>
      <c r="C524">
        <v>183468992.80822361</v>
      </c>
      <c r="D524">
        <v>183775208.41281316</v>
      </c>
      <c r="E524">
        <v>1052882.8828828831</v>
      </c>
      <c r="F524">
        <v>2643018.0180180199</v>
      </c>
      <c r="G524">
        <v>66</v>
      </c>
      <c r="H524">
        <v>74</v>
      </c>
      <c r="I524">
        <v>2</v>
      </c>
      <c r="K524">
        <v>83</v>
      </c>
      <c r="L524">
        <v>166</v>
      </c>
      <c r="M524">
        <v>14930360.360360356</v>
      </c>
      <c r="N524">
        <v>8552252.2522522509</v>
      </c>
      <c r="O524">
        <v>21221657.657657661</v>
      </c>
      <c r="P524">
        <v>21493504.504504506</v>
      </c>
      <c r="Q524">
        <v>11908108.108108109</v>
      </c>
      <c r="R524">
        <v>12097027.027027028</v>
      </c>
      <c r="S524">
        <v>7354</v>
      </c>
      <c r="T524">
        <v>7955</v>
      </c>
    </row>
    <row r="525" spans="1:20" x14ac:dyDescent="0.35">
      <c r="A525" s="7" t="s">
        <v>621</v>
      </c>
      <c r="B525" s="12" t="s">
        <v>620</v>
      </c>
      <c r="C525">
        <v>143430011.78371629</v>
      </c>
      <c r="D525">
        <v>133996088.15928075</v>
      </c>
      <c r="E525">
        <v>608337.83783783799</v>
      </c>
      <c r="F525">
        <v>40100090.990990989</v>
      </c>
      <c r="G525">
        <v>49</v>
      </c>
      <c r="H525">
        <v>44</v>
      </c>
      <c r="I525">
        <v>2</v>
      </c>
      <c r="K525">
        <v>64</v>
      </c>
      <c r="L525">
        <v>60</v>
      </c>
      <c r="M525">
        <v>11656166.666666664</v>
      </c>
      <c r="N525">
        <v>13589116.216216216</v>
      </c>
      <c r="O525">
        <v>19492993.693693697</v>
      </c>
      <c r="P525">
        <v>21693089.189189188</v>
      </c>
      <c r="Q525">
        <v>10738198.198198196</v>
      </c>
      <c r="R525">
        <v>10574864.864864865</v>
      </c>
      <c r="S525">
        <v>6157</v>
      </c>
      <c r="T525">
        <v>5719</v>
      </c>
    </row>
    <row r="526" spans="1:20" x14ac:dyDescent="0.35">
      <c r="A526" s="7" t="s">
        <v>622</v>
      </c>
      <c r="B526" s="12" t="s">
        <v>620</v>
      </c>
      <c r="C526">
        <v>152361032.7770167</v>
      </c>
      <c r="D526">
        <v>140545560.74626568</v>
      </c>
      <c r="E526">
        <v>639639.63963964104</v>
      </c>
      <c r="F526">
        <v>993693.69369369501</v>
      </c>
      <c r="G526">
        <v>61</v>
      </c>
      <c r="H526">
        <v>52</v>
      </c>
      <c r="I526">
        <v>1</v>
      </c>
      <c r="K526">
        <v>77</v>
      </c>
      <c r="L526">
        <v>66</v>
      </c>
      <c r="M526">
        <v>11667567.567567566</v>
      </c>
      <c r="N526">
        <v>9357657.6576576568</v>
      </c>
      <c r="O526">
        <v>19886171.17117117</v>
      </c>
      <c r="P526">
        <v>21775527.02702703</v>
      </c>
      <c r="Q526">
        <v>9933466.6666666679</v>
      </c>
      <c r="R526">
        <v>6841891.8918918949</v>
      </c>
      <c r="S526">
        <v>5863</v>
      </c>
      <c r="T526">
        <v>5338</v>
      </c>
    </row>
    <row r="527" spans="1:20" x14ac:dyDescent="0.35">
      <c r="A527" s="7" t="s">
        <v>623</v>
      </c>
      <c r="B527" s="12" t="s">
        <v>620</v>
      </c>
      <c r="C527">
        <v>107558143.01424372</v>
      </c>
      <c r="D527">
        <v>101565031.4731885</v>
      </c>
      <c r="E527">
        <v>315315.31531531498</v>
      </c>
      <c r="F527">
        <v>287387.38738738798</v>
      </c>
      <c r="G527">
        <v>50</v>
      </c>
      <c r="H527">
        <v>20</v>
      </c>
      <c r="I527">
        <v>1</v>
      </c>
      <c r="K527">
        <v>60</v>
      </c>
      <c r="L527">
        <v>37</v>
      </c>
      <c r="M527">
        <v>11421621.621621622</v>
      </c>
      <c r="N527">
        <v>9579729.7297297306</v>
      </c>
      <c r="O527">
        <v>12918108.108108109</v>
      </c>
      <c r="P527">
        <v>13225716.216216216</v>
      </c>
      <c r="Q527">
        <v>8997297.297297297</v>
      </c>
      <c r="R527">
        <v>8512252.2522522528</v>
      </c>
      <c r="S527">
        <v>3652</v>
      </c>
      <c r="T527">
        <v>3660</v>
      </c>
    </row>
    <row r="528" spans="1:20" x14ac:dyDescent="0.35">
      <c r="A528" s="7" t="s">
        <v>624</v>
      </c>
      <c r="B528" s="12" t="s">
        <v>260</v>
      </c>
      <c r="C528">
        <v>59326387.036222294</v>
      </c>
      <c r="D528">
        <v>53052202.347559415</v>
      </c>
      <c r="E528">
        <v>238556937.83783782</v>
      </c>
      <c r="F528">
        <v>243579590.99099097</v>
      </c>
      <c r="G528">
        <v>7</v>
      </c>
      <c r="H528">
        <v>8</v>
      </c>
      <c r="K528">
        <v>7</v>
      </c>
      <c r="L528">
        <v>8</v>
      </c>
      <c r="M528">
        <v>16064414.414414413</v>
      </c>
      <c r="N528">
        <v>19563063.063063063</v>
      </c>
      <c r="O528">
        <v>18748369.369369369</v>
      </c>
      <c r="P528">
        <v>17074828.828828827</v>
      </c>
      <c r="Q528">
        <v>6719189.18918919</v>
      </c>
      <c r="R528">
        <v>4456216.2162162149</v>
      </c>
      <c r="S528">
        <v>2043</v>
      </c>
      <c r="T528">
        <v>2015</v>
      </c>
    </row>
    <row r="529" spans="1:20" x14ac:dyDescent="0.35">
      <c r="A529" s="7" t="s">
        <v>625</v>
      </c>
      <c r="B529" s="12" t="s">
        <v>52</v>
      </c>
      <c r="C529">
        <v>83778192.506202966</v>
      </c>
      <c r="D529">
        <v>83203296.560128525</v>
      </c>
      <c r="E529">
        <v>18198.198198197999</v>
      </c>
      <c r="F529">
        <v>62162.162162162997</v>
      </c>
      <c r="G529">
        <v>9</v>
      </c>
      <c r="H529">
        <v>26</v>
      </c>
      <c r="K529">
        <v>11</v>
      </c>
      <c r="L529">
        <v>50</v>
      </c>
      <c r="M529">
        <v>1208738.738738738</v>
      </c>
      <c r="N529">
        <v>1863963.963963964</v>
      </c>
      <c r="O529">
        <v>28205801.801801801</v>
      </c>
      <c r="P529">
        <v>29600738.738738742</v>
      </c>
      <c r="Q529">
        <v>1643693.693693694</v>
      </c>
      <c r="R529">
        <v>1683963.963963964</v>
      </c>
      <c r="S529">
        <v>4480</v>
      </c>
      <c r="T529">
        <v>4622</v>
      </c>
    </row>
    <row r="530" spans="1:20" x14ac:dyDescent="0.35">
      <c r="A530" s="7" t="s">
        <v>626</v>
      </c>
      <c r="B530" s="12" t="s">
        <v>96</v>
      </c>
      <c r="C530">
        <v>207180157.66221985</v>
      </c>
      <c r="D530">
        <v>205242542.01063171</v>
      </c>
      <c r="E530">
        <v>1797657.6576576619</v>
      </c>
      <c r="F530">
        <v>3604504.5045045088</v>
      </c>
      <c r="G530">
        <v>103</v>
      </c>
      <c r="H530">
        <v>97</v>
      </c>
      <c r="I530">
        <v>1</v>
      </c>
      <c r="K530">
        <v>125</v>
      </c>
      <c r="L530">
        <v>124</v>
      </c>
      <c r="M530">
        <v>31148108.108108107</v>
      </c>
      <c r="N530">
        <v>42382882.882882886</v>
      </c>
      <c r="O530">
        <v>64414909.909909911</v>
      </c>
      <c r="P530">
        <v>66730507.20720721</v>
      </c>
      <c r="Q530">
        <v>33747117.117117122</v>
      </c>
      <c r="R530">
        <v>38205675.675675683</v>
      </c>
      <c r="S530">
        <v>10728</v>
      </c>
      <c r="T530">
        <v>10628</v>
      </c>
    </row>
    <row r="531" spans="1:20" x14ac:dyDescent="0.35">
      <c r="A531" s="7" t="s">
        <v>627</v>
      </c>
      <c r="B531" s="12" t="s">
        <v>96</v>
      </c>
      <c r="C531">
        <v>368813893.66102594</v>
      </c>
      <c r="D531">
        <v>341522635.10607457</v>
      </c>
      <c r="E531">
        <v>48734099.099099107</v>
      </c>
      <c r="F531">
        <v>86056653.153153151</v>
      </c>
      <c r="G531">
        <v>99</v>
      </c>
      <c r="H531">
        <v>60</v>
      </c>
      <c r="I531">
        <v>1</v>
      </c>
      <c r="K531">
        <v>126</v>
      </c>
      <c r="L531">
        <v>78</v>
      </c>
      <c r="M531">
        <v>57009189.189189196</v>
      </c>
      <c r="N531">
        <v>114713369.36936937</v>
      </c>
      <c r="O531">
        <v>142903117.11711711</v>
      </c>
      <c r="P531">
        <v>134605056.3063063</v>
      </c>
      <c r="Q531">
        <v>68311171.171171173</v>
      </c>
      <c r="R531">
        <v>84796036.036036029</v>
      </c>
      <c r="S531">
        <v>13876</v>
      </c>
      <c r="T531">
        <v>13492</v>
      </c>
    </row>
    <row r="532" spans="1:20" x14ac:dyDescent="0.35">
      <c r="A532" s="7" t="s">
        <v>628</v>
      </c>
      <c r="B532" s="12" t="s">
        <v>448</v>
      </c>
      <c r="C532">
        <v>264221619.8583872</v>
      </c>
      <c r="D532">
        <v>245346321.44055572</v>
      </c>
      <c r="E532">
        <v>134760831.53153154</v>
      </c>
      <c r="F532">
        <v>125212054.95495497</v>
      </c>
      <c r="G532">
        <v>129</v>
      </c>
      <c r="H532">
        <v>77</v>
      </c>
      <c r="K532">
        <v>146</v>
      </c>
      <c r="L532">
        <v>97</v>
      </c>
      <c r="M532">
        <v>65773423.423423424</v>
      </c>
      <c r="N532">
        <v>61631036.036036029</v>
      </c>
      <c r="O532">
        <v>75218666.666666672</v>
      </c>
      <c r="P532">
        <v>74397610.810810819</v>
      </c>
      <c r="Q532">
        <v>56609909.909909911</v>
      </c>
      <c r="R532">
        <v>55396891.891891889</v>
      </c>
      <c r="S532">
        <v>11776</v>
      </c>
      <c r="T532">
        <v>11115</v>
      </c>
    </row>
    <row r="533" spans="1:20" x14ac:dyDescent="0.35">
      <c r="A533" s="7" t="s">
        <v>629</v>
      </c>
      <c r="B533" s="12" t="s">
        <v>78</v>
      </c>
      <c r="C533">
        <v>11683632.867461707</v>
      </c>
      <c r="D533">
        <v>11292358.076186635</v>
      </c>
      <c r="E533">
        <v>185585.58558558501</v>
      </c>
      <c r="F533">
        <v>291891.89189189201</v>
      </c>
      <c r="G533">
        <v>2</v>
      </c>
      <c r="H533">
        <v>2</v>
      </c>
      <c r="K533">
        <v>2</v>
      </c>
      <c r="L533">
        <v>2</v>
      </c>
      <c r="M533">
        <v>509909.90990990901</v>
      </c>
      <c r="N533">
        <v>922522.52252252202</v>
      </c>
      <c r="O533">
        <v>2940855.8558558561</v>
      </c>
      <c r="P533">
        <v>3174441.441441441</v>
      </c>
      <c r="Q533">
        <v>605405.40540540603</v>
      </c>
      <c r="R533">
        <v>735585.58558558498</v>
      </c>
      <c r="S533">
        <v>423</v>
      </c>
      <c r="T533">
        <v>357</v>
      </c>
    </row>
    <row r="534" spans="1:20" x14ac:dyDescent="0.35">
      <c r="A534" s="7" t="s">
        <v>630</v>
      </c>
      <c r="B534" s="12" t="s">
        <v>241</v>
      </c>
      <c r="C534">
        <v>69887698.620978922</v>
      </c>
      <c r="D534">
        <v>63212711.393880263</v>
      </c>
      <c r="E534">
        <v>60540.540540540998</v>
      </c>
      <c r="F534">
        <v>268243.24324324599</v>
      </c>
      <c r="G534">
        <v>34</v>
      </c>
      <c r="H534">
        <v>21</v>
      </c>
      <c r="K534">
        <v>39</v>
      </c>
      <c r="L534">
        <v>27</v>
      </c>
      <c r="M534">
        <v>11775045.045045044</v>
      </c>
      <c r="N534">
        <v>6548468.4684684658</v>
      </c>
      <c r="O534">
        <v>16720360.36036036</v>
      </c>
      <c r="P534">
        <v>13837162.162162162</v>
      </c>
      <c r="Q534">
        <v>12466576.576576576</v>
      </c>
      <c r="R534">
        <v>6662432.432432428</v>
      </c>
      <c r="S534">
        <v>2984</v>
      </c>
      <c r="T534">
        <v>2814</v>
      </c>
    </row>
    <row r="535" spans="1:20" x14ac:dyDescent="0.35">
      <c r="A535" s="7" t="s">
        <v>631</v>
      </c>
      <c r="B535" s="12" t="s">
        <v>68</v>
      </c>
      <c r="C535">
        <v>307788747.12158215</v>
      </c>
      <c r="D535">
        <v>291082240.35258156</v>
      </c>
      <c r="E535">
        <v>1287387.3873873891</v>
      </c>
      <c r="F535">
        <v>2695720.7207207209</v>
      </c>
      <c r="G535">
        <v>139</v>
      </c>
      <c r="H535">
        <v>72</v>
      </c>
      <c r="K535">
        <v>149</v>
      </c>
      <c r="L535">
        <v>142</v>
      </c>
      <c r="M535">
        <v>32353333.333333328</v>
      </c>
      <c r="N535">
        <v>28326126.126126129</v>
      </c>
      <c r="O535">
        <v>50221396.396396399</v>
      </c>
      <c r="P535">
        <v>51292678.378378376</v>
      </c>
      <c r="Q535">
        <v>24496756.756756756</v>
      </c>
      <c r="R535">
        <v>24372162.162162159</v>
      </c>
      <c r="S535">
        <v>8899</v>
      </c>
      <c r="T535">
        <v>8957</v>
      </c>
    </row>
    <row r="536" spans="1:20" x14ac:dyDescent="0.35">
      <c r="A536" s="7" t="s">
        <v>632</v>
      </c>
      <c r="B536" s="12" t="s">
        <v>70</v>
      </c>
      <c r="C536">
        <v>2285227.7547180201</v>
      </c>
      <c r="D536">
        <v>2111361.9866291168</v>
      </c>
      <c r="E536">
        <v>9702702.7027027048</v>
      </c>
      <c r="F536">
        <v>76189189.189189181</v>
      </c>
      <c r="G536">
        <v>2</v>
      </c>
      <c r="K536">
        <v>2</v>
      </c>
      <c r="L536">
        <v>1</v>
      </c>
      <c r="M536">
        <v>7388288.2882882878</v>
      </c>
      <c r="N536">
        <v>14722297.297297299</v>
      </c>
      <c r="O536">
        <v>1286126.1261261259</v>
      </c>
      <c r="P536">
        <v>1228558.558558559</v>
      </c>
      <c r="Q536">
        <v>41261.261261261003</v>
      </c>
      <c r="R536">
        <v>164864.864864865</v>
      </c>
      <c r="S536">
        <v>137</v>
      </c>
      <c r="T536">
        <v>188</v>
      </c>
    </row>
    <row r="537" spans="1:20" x14ac:dyDescent="0.35">
      <c r="A537" s="7" t="s">
        <v>633</v>
      </c>
      <c r="B537" s="12" t="s">
        <v>60</v>
      </c>
      <c r="C537">
        <v>22274958.419419728</v>
      </c>
      <c r="D537">
        <v>22395957.192267336</v>
      </c>
      <c r="E537">
        <v>136936.93693693701</v>
      </c>
      <c r="F537">
        <v>2702.7027027029999</v>
      </c>
      <c r="G537">
        <v>4</v>
      </c>
      <c r="H537">
        <v>6</v>
      </c>
      <c r="K537">
        <v>4</v>
      </c>
      <c r="L537">
        <v>6</v>
      </c>
      <c r="M537">
        <v>560360.36036036001</v>
      </c>
      <c r="N537">
        <v>1002702.702702702</v>
      </c>
      <c r="O537">
        <v>8266396.3963963967</v>
      </c>
      <c r="P537">
        <v>9433540.5405405406</v>
      </c>
      <c r="Q537">
        <v>572972.97297297302</v>
      </c>
      <c r="R537">
        <v>140990.99099099101</v>
      </c>
      <c r="S537">
        <v>1019</v>
      </c>
      <c r="T537">
        <v>1061</v>
      </c>
    </row>
    <row r="538" spans="1:20" x14ac:dyDescent="0.35">
      <c r="A538" s="7" t="s">
        <v>634</v>
      </c>
      <c r="B538" s="12" t="s">
        <v>80</v>
      </c>
      <c r="C538">
        <v>238394514.06543931</v>
      </c>
      <c r="D538">
        <v>228018928.65820223</v>
      </c>
      <c r="E538">
        <v>2145945.9459459479</v>
      </c>
      <c r="F538">
        <v>2297297.2972972989</v>
      </c>
      <c r="G538">
        <v>70</v>
      </c>
      <c r="H538">
        <v>27</v>
      </c>
      <c r="K538">
        <v>87</v>
      </c>
      <c r="L538">
        <v>29</v>
      </c>
      <c r="M538">
        <v>28987747.747747745</v>
      </c>
      <c r="N538">
        <v>25868468.468468465</v>
      </c>
      <c r="O538">
        <v>42782018.018018015</v>
      </c>
      <c r="P538">
        <v>46221626.126126125</v>
      </c>
      <c r="Q538">
        <v>30003243.243243244</v>
      </c>
      <c r="R538">
        <v>23213693.693693697</v>
      </c>
      <c r="S538">
        <v>6228</v>
      </c>
      <c r="T538">
        <v>6555</v>
      </c>
    </row>
    <row r="539" spans="1:20" x14ac:dyDescent="0.35">
      <c r="A539" s="7" t="s">
        <v>635</v>
      </c>
      <c r="B539" s="12" t="s">
        <v>134</v>
      </c>
      <c r="C539">
        <v>40606611.992902726</v>
      </c>
      <c r="D539">
        <v>41036653.621234521</v>
      </c>
      <c r="F539">
        <v>193693.69369369399</v>
      </c>
      <c r="G539">
        <v>4</v>
      </c>
      <c r="H539">
        <v>7</v>
      </c>
      <c r="K539">
        <v>4</v>
      </c>
      <c r="L539">
        <v>7</v>
      </c>
      <c r="N539">
        <v>4130630.630630631</v>
      </c>
      <c r="O539">
        <v>2443243.2432432431</v>
      </c>
      <c r="P539">
        <v>2460720.7207207209</v>
      </c>
      <c r="Q539">
        <v>747297.29729729705</v>
      </c>
      <c r="R539">
        <v>4036666.666666666</v>
      </c>
      <c r="S539">
        <v>1425</v>
      </c>
      <c r="T539">
        <v>1503</v>
      </c>
    </row>
    <row r="540" spans="1:20" x14ac:dyDescent="0.35">
      <c r="A540" s="7" t="s">
        <v>636</v>
      </c>
      <c r="B540" s="12" t="s">
        <v>479</v>
      </c>
      <c r="C540">
        <v>136015957.76152676</v>
      </c>
      <c r="D540">
        <v>120575044.73037954</v>
      </c>
      <c r="E540">
        <v>263513.51351351402</v>
      </c>
      <c r="F540">
        <v>919819.81981982198</v>
      </c>
      <c r="G540">
        <v>27</v>
      </c>
      <c r="H540">
        <v>15</v>
      </c>
      <c r="K540">
        <v>28</v>
      </c>
      <c r="L540">
        <v>19</v>
      </c>
      <c r="M540">
        <v>18040090.090090089</v>
      </c>
      <c r="N540">
        <v>25169684.684684679</v>
      </c>
      <c r="O540">
        <v>44214274.774774775</v>
      </c>
      <c r="P540">
        <v>42007981.981981985</v>
      </c>
      <c r="Q540">
        <v>23810630.630630631</v>
      </c>
      <c r="R540">
        <v>28335720.72072072</v>
      </c>
      <c r="S540">
        <v>5861</v>
      </c>
      <c r="T540">
        <v>5846</v>
      </c>
    </row>
    <row r="541" spans="1:20" x14ac:dyDescent="0.35">
      <c r="A541" s="7" t="s">
        <v>637</v>
      </c>
      <c r="B541" s="12" t="s">
        <v>143</v>
      </c>
      <c r="C541">
        <v>219943618.65783969</v>
      </c>
      <c r="D541">
        <v>215133778.41347277</v>
      </c>
      <c r="E541">
        <v>1074774.7747747749</v>
      </c>
      <c r="F541">
        <v>2743693.693693697</v>
      </c>
      <c r="G541">
        <v>42</v>
      </c>
      <c r="H541">
        <v>37</v>
      </c>
      <c r="K541">
        <v>52</v>
      </c>
      <c r="L541">
        <v>62</v>
      </c>
      <c r="M541">
        <v>16621801.801801801</v>
      </c>
      <c r="N541">
        <v>12414414.414414415</v>
      </c>
      <c r="O541">
        <v>22523846.846846849</v>
      </c>
      <c r="P541">
        <v>26633612.612612613</v>
      </c>
      <c r="Q541">
        <v>12502072.07207207</v>
      </c>
      <c r="R541">
        <v>9569729.7297297288</v>
      </c>
      <c r="S541">
        <v>9443</v>
      </c>
      <c r="T541">
        <v>9592</v>
      </c>
    </row>
    <row r="542" spans="1:20" x14ac:dyDescent="0.35">
      <c r="A542" s="7" t="s">
        <v>638</v>
      </c>
      <c r="B542" s="12" t="s">
        <v>241</v>
      </c>
      <c r="C542">
        <v>240256550.05670926</v>
      </c>
      <c r="D542">
        <v>222430159.66759411</v>
      </c>
      <c r="E542">
        <v>537837.83783783799</v>
      </c>
      <c r="F542">
        <v>1354054.0540540549</v>
      </c>
      <c r="G542">
        <v>114</v>
      </c>
      <c r="H542">
        <v>118</v>
      </c>
      <c r="K542">
        <v>129</v>
      </c>
      <c r="L542">
        <v>140</v>
      </c>
      <c r="M542">
        <v>9740270.2702702694</v>
      </c>
      <c r="N542">
        <v>9849549.5495495461</v>
      </c>
      <c r="O542">
        <v>77911279.279279277</v>
      </c>
      <c r="P542">
        <v>71933448.648648649</v>
      </c>
      <c r="Q542">
        <v>11376756.756756756</v>
      </c>
      <c r="R542">
        <v>8340540.5405405397</v>
      </c>
      <c r="S542">
        <v>12624</v>
      </c>
      <c r="T542">
        <v>12637</v>
      </c>
    </row>
    <row r="543" spans="1:20" x14ac:dyDescent="0.35">
      <c r="A543" s="7" t="s">
        <v>639</v>
      </c>
      <c r="B543" s="12" t="s">
        <v>132</v>
      </c>
      <c r="C543">
        <v>99367788.637720704</v>
      </c>
      <c r="D543">
        <v>83194562.279211476</v>
      </c>
      <c r="E543">
        <v>33696102.702702701</v>
      </c>
      <c r="F543">
        <v>29397257.657657657</v>
      </c>
      <c r="G543">
        <v>41</v>
      </c>
      <c r="H543">
        <v>30</v>
      </c>
      <c r="K543">
        <v>51</v>
      </c>
      <c r="L543">
        <v>40</v>
      </c>
      <c r="M543">
        <v>8508108.1081081089</v>
      </c>
      <c r="N543">
        <v>5167567.5675675683</v>
      </c>
      <c r="O543">
        <v>35379567.567567565</v>
      </c>
      <c r="P543">
        <v>30369873.873873871</v>
      </c>
      <c r="Q543">
        <v>5036126.1261261264</v>
      </c>
      <c r="R543">
        <v>2120990.9909909922</v>
      </c>
      <c r="S543">
        <v>5645</v>
      </c>
      <c r="T543">
        <v>4706</v>
      </c>
    </row>
    <row r="544" spans="1:20" x14ac:dyDescent="0.35">
      <c r="A544" s="7" t="s">
        <v>640</v>
      </c>
      <c r="B544" s="12" t="s">
        <v>134</v>
      </c>
      <c r="C544">
        <v>279141111.26447016</v>
      </c>
      <c r="D544">
        <v>268149740.89379457</v>
      </c>
      <c r="E544">
        <v>614414.41441441595</v>
      </c>
      <c r="F544">
        <v>510810.81081081298</v>
      </c>
      <c r="G544">
        <v>49</v>
      </c>
      <c r="H544">
        <v>36</v>
      </c>
      <c r="K544">
        <v>53</v>
      </c>
      <c r="L544">
        <v>42</v>
      </c>
      <c r="M544">
        <v>19603603.603603605</v>
      </c>
      <c r="N544">
        <v>20564144.144144144</v>
      </c>
      <c r="O544">
        <v>31649840.540540542</v>
      </c>
      <c r="P544">
        <v>33824272.972972974</v>
      </c>
      <c r="Q544">
        <v>16422792.792792793</v>
      </c>
      <c r="R544">
        <v>16008061.26126126</v>
      </c>
      <c r="S544">
        <v>7296</v>
      </c>
      <c r="T544">
        <v>7434</v>
      </c>
    </row>
    <row r="545" spans="1:20" x14ac:dyDescent="0.35">
      <c r="A545" s="7" t="s">
        <v>641</v>
      </c>
      <c r="B545" s="12" t="s">
        <v>80</v>
      </c>
      <c r="C545">
        <v>142063054.523121</v>
      </c>
      <c r="D545">
        <v>142576346.17188692</v>
      </c>
      <c r="E545">
        <v>1801.801801802</v>
      </c>
      <c r="F545">
        <v>446846.84684684803</v>
      </c>
      <c r="G545">
        <v>24</v>
      </c>
      <c r="H545">
        <v>26</v>
      </c>
      <c r="I545">
        <v>1</v>
      </c>
      <c r="K545">
        <v>26</v>
      </c>
      <c r="L545">
        <v>30</v>
      </c>
      <c r="M545">
        <v>16760360.36036036</v>
      </c>
      <c r="N545">
        <v>10199099.0990991</v>
      </c>
      <c r="O545">
        <v>48368286.486486487</v>
      </c>
      <c r="P545">
        <v>50226761.261261262</v>
      </c>
      <c r="Q545">
        <v>13152072.072072072</v>
      </c>
      <c r="R545">
        <v>13219099.0990991</v>
      </c>
      <c r="S545">
        <v>4940</v>
      </c>
      <c r="T545">
        <v>4901</v>
      </c>
    </row>
    <row r="546" spans="1:20" x14ac:dyDescent="0.35">
      <c r="A546" s="7" t="s">
        <v>642</v>
      </c>
      <c r="B546" s="12" t="s">
        <v>169</v>
      </c>
      <c r="C546">
        <v>260316414.1224328</v>
      </c>
      <c r="D546">
        <v>226039020.35605046</v>
      </c>
      <c r="E546">
        <v>1292342.342342342</v>
      </c>
      <c r="F546">
        <v>1048648.6486486499</v>
      </c>
      <c r="G546">
        <v>30</v>
      </c>
      <c r="H546">
        <v>24</v>
      </c>
      <c r="I546">
        <v>1</v>
      </c>
      <c r="K546">
        <v>31</v>
      </c>
      <c r="L546">
        <v>36</v>
      </c>
      <c r="M546">
        <v>18184234.234234232</v>
      </c>
      <c r="N546">
        <v>14877477.47747748</v>
      </c>
      <c r="O546">
        <v>85060207.207207203</v>
      </c>
      <c r="P546">
        <v>81290558.558558553</v>
      </c>
      <c r="Q546">
        <v>17266306.306306306</v>
      </c>
      <c r="R546">
        <v>18293063.063063063</v>
      </c>
      <c r="S546">
        <v>8859</v>
      </c>
      <c r="T546">
        <v>8929</v>
      </c>
    </row>
    <row r="547" spans="1:20" x14ac:dyDescent="0.35">
      <c r="A547" s="7" t="s">
        <v>643</v>
      </c>
      <c r="B547" s="12" t="s">
        <v>58</v>
      </c>
      <c r="C547">
        <v>413285503.75808209</v>
      </c>
      <c r="D547">
        <v>395321039.4543047</v>
      </c>
      <c r="E547">
        <v>1568018.018018018</v>
      </c>
      <c r="F547">
        <v>17762162.162162162</v>
      </c>
      <c r="G547">
        <v>101</v>
      </c>
      <c r="H547">
        <v>85</v>
      </c>
      <c r="K547">
        <v>113</v>
      </c>
      <c r="L547">
        <v>105</v>
      </c>
      <c r="M547">
        <v>32759909.909909908</v>
      </c>
      <c r="N547">
        <v>25440990.990990989</v>
      </c>
      <c r="O547">
        <v>79934763.963963971</v>
      </c>
      <c r="P547">
        <v>82628463.963963971</v>
      </c>
      <c r="Q547">
        <v>31611891.891891893</v>
      </c>
      <c r="R547">
        <v>27841171.17117117</v>
      </c>
      <c r="S547">
        <v>17584</v>
      </c>
      <c r="T547">
        <v>17253</v>
      </c>
    </row>
    <row r="548" spans="1:20" x14ac:dyDescent="0.35">
      <c r="A548" s="7" t="s">
        <v>644</v>
      </c>
      <c r="B548" s="12" t="s">
        <v>58</v>
      </c>
      <c r="C548">
        <v>518786497.51731449</v>
      </c>
      <c r="D548">
        <v>506990694.79413241</v>
      </c>
      <c r="E548">
        <v>206070420.72072074</v>
      </c>
      <c r="F548">
        <v>7013063.0630630646</v>
      </c>
      <c r="G548">
        <v>130</v>
      </c>
      <c r="H548">
        <v>223</v>
      </c>
      <c r="K548">
        <v>167</v>
      </c>
      <c r="L548">
        <v>357</v>
      </c>
      <c r="M548">
        <v>92530180.180180177</v>
      </c>
      <c r="N548">
        <v>77105405.405405402</v>
      </c>
      <c r="O548">
        <v>135966430.63063061</v>
      </c>
      <c r="P548">
        <v>144038454.95495495</v>
      </c>
      <c r="Q548">
        <v>72282522.522522524</v>
      </c>
      <c r="R548">
        <v>74028648.648648635</v>
      </c>
      <c r="S548">
        <v>22751</v>
      </c>
      <c r="T548">
        <v>22812</v>
      </c>
    </row>
    <row r="549" spans="1:20" x14ac:dyDescent="0.35">
      <c r="A549" s="7" t="s">
        <v>645</v>
      </c>
      <c r="B549" s="12" t="s">
        <v>307</v>
      </c>
      <c r="C549">
        <v>161715691.95923281</v>
      </c>
      <c r="D549">
        <v>162436319.22928402</v>
      </c>
      <c r="E549">
        <v>110027927.92792794</v>
      </c>
      <c r="F549">
        <v>299956756.75675672</v>
      </c>
      <c r="G549">
        <v>20</v>
      </c>
      <c r="H549">
        <v>11</v>
      </c>
      <c r="K549">
        <v>21</v>
      </c>
      <c r="L549">
        <v>16</v>
      </c>
      <c r="M549">
        <v>7733198.1981981983</v>
      </c>
      <c r="N549">
        <v>4014414.4144144142</v>
      </c>
      <c r="O549">
        <v>25936405.40540541</v>
      </c>
      <c r="P549">
        <v>27051833.333333332</v>
      </c>
      <c r="Q549">
        <v>3803423.423423422</v>
      </c>
      <c r="R549">
        <v>2722252.2522522509</v>
      </c>
      <c r="S549">
        <v>5174</v>
      </c>
      <c r="T549">
        <v>5113</v>
      </c>
    </row>
    <row r="550" spans="1:20" x14ac:dyDescent="0.35">
      <c r="A550" s="7" t="s">
        <v>13</v>
      </c>
      <c r="B550" s="12" t="s">
        <v>158</v>
      </c>
      <c r="C550">
        <v>194312897.91637087</v>
      </c>
      <c r="D550">
        <v>182133674.37086722</v>
      </c>
      <c r="E550">
        <v>453917951.35135138</v>
      </c>
      <c r="F550">
        <v>330404641.44144148</v>
      </c>
      <c r="G550">
        <v>35</v>
      </c>
      <c r="H550">
        <v>14</v>
      </c>
      <c r="I550">
        <v>1</v>
      </c>
      <c r="K550">
        <v>248</v>
      </c>
      <c r="L550">
        <v>104</v>
      </c>
      <c r="M550">
        <v>55165590.090090089</v>
      </c>
      <c r="N550">
        <v>64902702.702702701</v>
      </c>
      <c r="O550">
        <v>111974644.14414415</v>
      </c>
      <c r="P550">
        <v>102395351.35135135</v>
      </c>
      <c r="Q550">
        <v>33375585.585585583</v>
      </c>
      <c r="R550">
        <v>42757207.20720721</v>
      </c>
      <c r="S550">
        <v>7420</v>
      </c>
      <c r="T550">
        <v>7093</v>
      </c>
    </row>
    <row r="551" spans="1:20" x14ac:dyDescent="0.35">
      <c r="A551" s="7" t="s">
        <v>646</v>
      </c>
      <c r="B551" s="12" t="s">
        <v>121</v>
      </c>
      <c r="C551">
        <v>126777632.97332329</v>
      </c>
      <c r="D551">
        <v>132725647.24506496</v>
      </c>
      <c r="E551">
        <v>900.900900901</v>
      </c>
      <c r="F551">
        <v>95495.495495495998</v>
      </c>
      <c r="G551">
        <v>30</v>
      </c>
      <c r="H551">
        <v>28</v>
      </c>
      <c r="K551">
        <v>33</v>
      </c>
      <c r="L551">
        <v>29</v>
      </c>
      <c r="M551">
        <v>181081.08108108101</v>
      </c>
      <c r="N551">
        <v>909909.90990991006</v>
      </c>
      <c r="O551">
        <v>10535198.198198197</v>
      </c>
      <c r="P551">
        <v>11195858.108108109</v>
      </c>
      <c r="Q551">
        <v>176126.12612612601</v>
      </c>
      <c r="R551">
        <v>483513.51351351402</v>
      </c>
      <c r="S551">
        <v>3008</v>
      </c>
      <c r="T551">
        <v>3256</v>
      </c>
    </row>
    <row r="552" spans="1:20" x14ac:dyDescent="0.35">
      <c r="A552" s="7" t="s">
        <v>647</v>
      </c>
      <c r="B552" s="12" t="s">
        <v>315</v>
      </c>
      <c r="C552">
        <v>49289655.377925649</v>
      </c>
      <c r="D552">
        <v>42574728.734713405</v>
      </c>
      <c r="E552">
        <v>461261.26126126101</v>
      </c>
      <c r="F552">
        <v>334234.23423423403</v>
      </c>
      <c r="G552">
        <v>14</v>
      </c>
      <c r="H552">
        <v>10</v>
      </c>
      <c r="K552">
        <v>15</v>
      </c>
      <c r="L552">
        <v>11</v>
      </c>
      <c r="M552">
        <v>4026576.576576577</v>
      </c>
      <c r="N552">
        <v>7615315.3153153136</v>
      </c>
      <c r="O552">
        <v>11591418.918918921</v>
      </c>
      <c r="P552">
        <v>10359522.522522524</v>
      </c>
      <c r="Q552">
        <v>4116396.3963963948</v>
      </c>
      <c r="R552">
        <v>6509729.7297297297</v>
      </c>
      <c r="S552">
        <v>1323</v>
      </c>
      <c r="T552">
        <v>1229</v>
      </c>
    </row>
    <row r="553" spans="1:20" x14ac:dyDescent="0.35">
      <c r="A553" s="7" t="s">
        <v>648</v>
      </c>
      <c r="B553" s="12" t="s">
        <v>260</v>
      </c>
      <c r="C553">
        <v>121950049.34063983</v>
      </c>
      <c r="D553">
        <v>118005742.69398005</v>
      </c>
      <c r="E553">
        <v>149819.81981981901</v>
      </c>
      <c r="F553">
        <v>729954.95495495503</v>
      </c>
      <c r="G553">
        <v>32</v>
      </c>
      <c r="H553">
        <v>24</v>
      </c>
      <c r="K553">
        <v>35</v>
      </c>
      <c r="L553">
        <v>29</v>
      </c>
      <c r="M553">
        <v>20537207.207207207</v>
      </c>
      <c r="N553">
        <v>19261261.261261258</v>
      </c>
      <c r="O553">
        <v>37971306.306306303</v>
      </c>
      <c r="P553">
        <v>37556117.117117122</v>
      </c>
      <c r="Q553">
        <v>21107207.207207207</v>
      </c>
      <c r="R553">
        <v>23133513.513513513</v>
      </c>
      <c r="S553">
        <v>4449</v>
      </c>
      <c r="T553">
        <v>4482</v>
      </c>
    </row>
    <row r="554" spans="1:20" x14ac:dyDescent="0.35">
      <c r="A554" s="7" t="s">
        <v>649</v>
      </c>
      <c r="B554" s="12" t="s">
        <v>224</v>
      </c>
      <c r="C554">
        <v>127157254.54304573</v>
      </c>
      <c r="D554">
        <v>106668428.38622735</v>
      </c>
      <c r="E554">
        <v>68918.918918919997</v>
      </c>
      <c r="F554">
        <v>526801.80180180306</v>
      </c>
      <c r="G554">
        <v>21</v>
      </c>
      <c r="H554">
        <v>24</v>
      </c>
      <c r="K554">
        <v>24</v>
      </c>
      <c r="L554">
        <v>34</v>
      </c>
      <c r="M554">
        <v>7203513.5135135157</v>
      </c>
      <c r="N554">
        <v>7895855.8558558552</v>
      </c>
      <c r="O554">
        <v>25688423.423423424</v>
      </c>
      <c r="P554">
        <v>25480765.765765764</v>
      </c>
      <c r="Q554">
        <v>7354684.6846846808</v>
      </c>
      <c r="R554">
        <v>8889819.8198198192</v>
      </c>
      <c r="S554">
        <v>5513</v>
      </c>
      <c r="T554">
        <v>5473</v>
      </c>
    </row>
    <row r="555" spans="1:20" x14ac:dyDescent="0.35">
      <c r="A555" s="7" t="s">
        <v>650</v>
      </c>
      <c r="B555" s="12" t="s">
        <v>224</v>
      </c>
      <c r="C555">
        <v>102418815.20513718</v>
      </c>
      <c r="D555">
        <v>86559044.876458421</v>
      </c>
      <c r="E555">
        <v>27027.027027027001</v>
      </c>
      <c r="F555">
        <v>36036.036036037003</v>
      </c>
      <c r="G555">
        <v>14</v>
      </c>
      <c r="H555">
        <v>16</v>
      </c>
      <c r="K555">
        <v>15</v>
      </c>
      <c r="L555">
        <v>21</v>
      </c>
      <c r="M555">
        <v>4628828.8288288284</v>
      </c>
      <c r="N555">
        <v>2999999.9999999991</v>
      </c>
      <c r="O555">
        <v>12677747.747747747</v>
      </c>
      <c r="P555">
        <v>13707513.513513513</v>
      </c>
      <c r="Q555">
        <v>3232612.6126126139</v>
      </c>
      <c r="R555">
        <v>2406126.1261261269</v>
      </c>
      <c r="S555">
        <v>3130</v>
      </c>
      <c r="T555">
        <v>3062</v>
      </c>
    </row>
    <row r="556" spans="1:20" x14ac:dyDescent="0.35">
      <c r="A556" s="7" t="s">
        <v>651</v>
      </c>
      <c r="B556" s="12" t="s">
        <v>224</v>
      </c>
      <c r="C556">
        <v>393760087.32177097</v>
      </c>
      <c r="D556">
        <v>330395723.88398963</v>
      </c>
      <c r="E556">
        <v>96172985.585585594</v>
      </c>
      <c r="F556">
        <v>69016645.945945948</v>
      </c>
      <c r="G556">
        <v>117</v>
      </c>
      <c r="H556">
        <v>96</v>
      </c>
      <c r="I556">
        <v>3</v>
      </c>
      <c r="K556">
        <v>163</v>
      </c>
      <c r="L556">
        <v>138</v>
      </c>
      <c r="M556">
        <v>53701711.711711712</v>
      </c>
      <c r="N556">
        <v>56699639.639639638</v>
      </c>
      <c r="O556">
        <v>85935468.468468457</v>
      </c>
      <c r="P556">
        <v>84151135.135135129</v>
      </c>
      <c r="Q556">
        <v>46075945.945945948</v>
      </c>
      <c r="R556">
        <v>41939279.279279277</v>
      </c>
      <c r="S556">
        <v>18404</v>
      </c>
      <c r="T556">
        <v>18326</v>
      </c>
    </row>
    <row r="557" spans="1:20" x14ac:dyDescent="0.35">
      <c r="A557" s="7" t="s">
        <v>652</v>
      </c>
      <c r="B557" s="12" t="s">
        <v>224</v>
      </c>
      <c r="C557">
        <v>45135173.449172825</v>
      </c>
      <c r="D557">
        <v>43085201.596080393</v>
      </c>
      <c r="E557">
        <v>900.900900901</v>
      </c>
      <c r="F557">
        <v>207207.207207208</v>
      </c>
      <c r="G557">
        <v>13</v>
      </c>
      <c r="H557">
        <v>11</v>
      </c>
      <c r="K557">
        <v>15</v>
      </c>
      <c r="L557">
        <v>12</v>
      </c>
      <c r="M557">
        <v>1561981.981981982</v>
      </c>
      <c r="N557">
        <v>657657.65765765798</v>
      </c>
      <c r="O557">
        <v>6695810.8108108109</v>
      </c>
      <c r="P557">
        <v>6848189.1891891891</v>
      </c>
      <c r="Q557">
        <v>818018.01801801904</v>
      </c>
      <c r="R557">
        <v>606576.57657657599</v>
      </c>
      <c r="S557">
        <v>1797</v>
      </c>
      <c r="T557">
        <v>1752</v>
      </c>
    </row>
    <row r="558" spans="1:20" x14ac:dyDescent="0.35">
      <c r="A558" s="7" t="s">
        <v>672</v>
      </c>
      <c r="B558" s="12" t="s">
        <v>123</v>
      </c>
      <c r="E558">
        <v>103423423.42342342</v>
      </c>
      <c r="M558">
        <v>1459234.2342342341</v>
      </c>
      <c r="N558">
        <v>200450.45045045001</v>
      </c>
    </row>
    <row r="559" spans="1:20" x14ac:dyDescent="0.35">
      <c r="A559" s="7" t="s">
        <v>653</v>
      </c>
      <c r="B559" s="12" t="s">
        <v>96</v>
      </c>
      <c r="C559">
        <v>235444614.53721496</v>
      </c>
      <c r="D559">
        <v>221025068.69039685</v>
      </c>
      <c r="E559">
        <v>154954.95495495599</v>
      </c>
      <c r="F559">
        <v>229729.729729732</v>
      </c>
      <c r="G559">
        <v>49</v>
      </c>
      <c r="H559">
        <v>100</v>
      </c>
      <c r="K559">
        <v>61</v>
      </c>
      <c r="L559">
        <v>126</v>
      </c>
      <c r="M559">
        <v>6571171.1711711716</v>
      </c>
      <c r="N559">
        <v>4808108.1081081079</v>
      </c>
      <c r="O559">
        <v>28936972.97297297</v>
      </c>
      <c r="P559">
        <v>30103729.729729727</v>
      </c>
      <c r="Q559">
        <v>7325225.2252252251</v>
      </c>
      <c r="R559">
        <v>3294144.1441441448</v>
      </c>
      <c r="S559">
        <v>8635</v>
      </c>
      <c r="T559">
        <v>9186</v>
      </c>
    </row>
    <row r="560" spans="1:20" x14ac:dyDescent="0.35">
      <c r="A560" s="7" t="s">
        <v>654</v>
      </c>
      <c r="B560" s="12" t="s">
        <v>66</v>
      </c>
      <c r="C560">
        <v>137913452.89525071</v>
      </c>
      <c r="D560">
        <v>139279775.1912384</v>
      </c>
      <c r="E560">
        <v>1710810.8108108121</v>
      </c>
      <c r="F560">
        <v>2517117.1171171162</v>
      </c>
      <c r="G560">
        <v>47</v>
      </c>
      <c r="H560">
        <v>51</v>
      </c>
      <c r="K560">
        <v>49</v>
      </c>
      <c r="L560">
        <v>79</v>
      </c>
      <c r="M560">
        <v>15596126.126126127</v>
      </c>
      <c r="N560">
        <v>68933333.333333343</v>
      </c>
      <c r="O560">
        <v>87195720.720720723</v>
      </c>
      <c r="P560">
        <v>89833243.243243247</v>
      </c>
      <c r="Q560">
        <v>14957747.747747753</v>
      </c>
      <c r="R560">
        <v>35052252.252252258</v>
      </c>
      <c r="S560">
        <v>5378</v>
      </c>
      <c r="T560">
        <v>5308</v>
      </c>
    </row>
    <row r="561" spans="1:20" x14ac:dyDescent="0.35">
      <c r="A561" s="7" t="s">
        <v>655</v>
      </c>
      <c r="B561" s="12" t="s">
        <v>68</v>
      </c>
      <c r="C561">
        <v>241395371.73277915</v>
      </c>
      <c r="D561">
        <v>210769598.05807653</v>
      </c>
      <c r="E561">
        <v>393513.51351351402</v>
      </c>
      <c r="F561">
        <v>700000.00000000105</v>
      </c>
      <c r="G561">
        <v>63</v>
      </c>
      <c r="H561">
        <v>36</v>
      </c>
      <c r="I561">
        <v>4</v>
      </c>
      <c r="K561">
        <v>71</v>
      </c>
      <c r="L561">
        <v>41</v>
      </c>
      <c r="M561">
        <v>13344864.864864863</v>
      </c>
      <c r="N561">
        <v>9155405.4054054078</v>
      </c>
      <c r="O561">
        <v>31725689.189189188</v>
      </c>
      <c r="P561">
        <v>30020711.711711712</v>
      </c>
      <c r="Q561">
        <v>11210180.180180181</v>
      </c>
      <c r="R561">
        <v>8395765.7657657675</v>
      </c>
      <c r="S561">
        <v>7217</v>
      </c>
      <c r="T561">
        <v>6475</v>
      </c>
    </row>
    <row r="562" spans="1:20" x14ac:dyDescent="0.35">
      <c r="A562" s="7" t="s">
        <v>14</v>
      </c>
      <c r="B562" s="12" t="s">
        <v>158</v>
      </c>
      <c r="C562">
        <v>101971695.10773975</v>
      </c>
      <c r="D562">
        <v>92309852.376240969</v>
      </c>
      <c r="E562">
        <v>80180.180180184005</v>
      </c>
      <c r="F562">
        <v>713513.513513515</v>
      </c>
      <c r="G562">
        <v>10</v>
      </c>
      <c r="H562">
        <v>15</v>
      </c>
      <c r="K562">
        <v>10</v>
      </c>
      <c r="L562">
        <v>19</v>
      </c>
      <c r="M562">
        <v>9575495.4954954963</v>
      </c>
      <c r="N562">
        <v>26611711.711711712</v>
      </c>
      <c r="O562">
        <v>33544675.675675675</v>
      </c>
      <c r="P562">
        <v>31675387.387387387</v>
      </c>
      <c r="Q562">
        <v>10369459.459459459</v>
      </c>
      <c r="R562">
        <v>29439099.0990991</v>
      </c>
      <c r="S562">
        <v>3797</v>
      </c>
      <c r="T562">
        <v>3106</v>
      </c>
    </row>
    <row r="563" spans="1:20" x14ac:dyDescent="0.35">
      <c r="A563" s="7" t="s">
        <v>656</v>
      </c>
      <c r="B563" s="12" t="s">
        <v>304</v>
      </c>
      <c r="C563">
        <v>90104730.805100963</v>
      </c>
      <c r="D563">
        <v>105824662.65649046</v>
      </c>
      <c r="E563">
        <v>39639.639639640001</v>
      </c>
      <c r="F563">
        <v>548648.64864864701</v>
      </c>
      <c r="G563">
        <v>33</v>
      </c>
      <c r="H563">
        <v>20</v>
      </c>
      <c r="K563">
        <v>35</v>
      </c>
      <c r="L563">
        <v>20</v>
      </c>
      <c r="M563">
        <v>18778378.378378376</v>
      </c>
      <c r="N563">
        <v>15812612.612612613</v>
      </c>
      <c r="O563">
        <v>27415666.666666668</v>
      </c>
      <c r="P563">
        <v>26123094.59459459</v>
      </c>
      <c r="Q563">
        <v>16574144.144144144</v>
      </c>
      <c r="R563">
        <v>14720990.990990991</v>
      </c>
      <c r="S563">
        <v>3265</v>
      </c>
      <c r="T563">
        <v>3361</v>
      </c>
    </row>
    <row r="564" spans="1:20" x14ac:dyDescent="0.35">
      <c r="A564" s="7" t="s">
        <v>657</v>
      </c>
      <c r="B564" s="12" t="s">
        <v>48</v>
      </c>
      <c r="C564">
        <v>146902703.35080045</v>
      </c>
      <c r="D564">
        <v>123334695.68178093</v>
      </c>
      <c r="E564">
        <v>481981.98198198201</v>
      </c>
      <c r="F564">
        <v>863963.96396396495</v>
      </c>
      <c r="G564">
        <v>5</v>
      </c>
      <c r="H564">
        <v>17</v>
      </c>
      <c r="K564">
        <v>8</v>
      </c>
      <c r="L564">
        <v>29</v>
      </c>
      <c r="M564">
        <v>17846306.306306306</v>
      </c>
      <c r="N564">
        <v>28799099.099099096</v>
      </c>
      <c r="O564">
        <v>43010666.666666664</v>
      </c>
      <c r="P564">
        <v>37129882.882882878</v>
      </c>
      <c r="Q564">
        <v>16764234.234234236</v>
      </c>
      <c r="R564">
        <v>23373783.783783782</v>
      </c>
      <c r="S564">
        <v>3363</v>
      </c>
      <c r="T564">
        <v>3200</v>
      </c>
    </row>
    <row r="565" spans="1:20" x14ac:dyDescent="0.35">
      <c r="A565" s="7" t="s">
        <v>658</v>
      </c>
      <c r="B565" s="12" t="s">
        <v>54</v>
      </c>
      <c r="C565">
        <v>41745307.594571941</v>
      </c>
      <c r="D565">
        <v>42000342.237210274</v>
      </c>
      <c r="E565">
        <v>194594.59459459499</v>
      </c>
      <c r="F565">
        <v>114414.41441441501</v>
      </c>
      <c r="G565">
        <v>5</v>
      </c>
      <c r="K565">
        <v>5</v>
      </c>
      <c r="M565">
        <v>6259459.4594594594</v>
      </c>
      <c r="N565">
        <v>3920720.7207207209</v>
      </c>
      <c r="O565">
        <v>9147792.7927927915</v>
      </c>
      <c r="P565">
        <v>9996621.6216216218</v>
      </c>
      <c r="Q565">
        <v>4561171.1711711707</v>
      </c>
      <c r="R565">
        <v>3118828.8288288289</v>
      </c>
      <c r="S565">
        <v>1552</v>
      </c>
      <c r="T565">
        <v>1516</v>
      </c>
    </row>
    <row r="566" spans="1:20" x14ac:dyDescent="0.35">
      <c r="A566" s="7" t="s">
        <v>659</v>
      </c>
      <c r="B566" s="12" t="s">
        <v>50</v>
      </c>
      <c r="C566">
        <v>183355362.51023427</v>
      </c>
      <c r="D566">
        <v>182129534.36104357</v>
      </c>
      <c r="E566">
        <v>280810.81081081199</v>
      </c>
      <c r="F566">
        <v>606306.30630630697</v>
      </c>
      <c r="G566">
        <v>20</v>
      </c>
      <c r="H566">
        <v>31</v>
      </c>
      <c r="K566">
        <v>22</v>
      </c>
      <c r="L566">
        <v>38</v>
      </c>
      <c r="M566">
        <v>43911531.531531528</v>
      </c>
      <c r="N566">
        <v>43513693.693693697</v>
      </c>
      <c r="O566">
        <v>88470027.027027026</v>
      </c>
      <c r="P566">
        <v>87656306.306306303</v>
      </c>
      <c r="Q566">
        <v>40698558.558558561</v>
      </c>
      <c r="R566">
        <v>38868108.108108103</v>
      </c>
      <c r="S566">
        <v>5910</v>
      </c>
      <c r="T566">
        <v>5582</v>
      </c>
    </row>
    <row r="567" spans="1:20" x14ac:dyDescent="0.35">
      <c r="A567" s="7" t="s">
        <v>660</v>
      </c>
      <c r="B567" s="12" t="s">
        <v>83</v>
      </c>
      <c r="C567">
        <v>214818366.45899689</v>
      </c>
      <c r="D567">
        <v>224530504.48777479</v>
      </c>
      <c r="E567">
        <v>833423.42342342297</v>
      </c>
      <c r="F567">
        <v>1593693.6936936961</v>
      </c>
      <c r="G567">
        <v>60</v>
      </c>
      <c r="H567">
        <v>61</v>
      </c>
      <c r="I567">
        <v>2</v>
      </c>
      <c r="K567">
        <v>70</v>
      </c>
      <c r="L567">
        <v>74</v>
      </c>
      <c r="M567">
        <v>29618108.108108111</v>
      </c>
      <c r="N567">
        <v>44658333.333333328</v>
      </c>
      <c r="O567">
        <v>51264387.387387395</v>
      </c>
      <c r="P567">
        <v>58394702.702702701</v>
      </c>
      <c r="Q567">
        <v>26917567.567567565</v>
      </c>
      <c r="R567">
        <v>20088063.063063063</v>
      </c>
      <c r="S567">
        <v>8388</v>
      </c>
      <c r="T567">
        <v>8971</v>
      </c>
    </row>
    <row r="568" spans="1:20" x14ac:dyDescent="0.35">
      <c r="A568" s="14" t="s">
        <v>665</v>
      </c>
      <c r="B568" s="15"/>
      <c r="C568" s="16">
        <v>92932092863.081116</v>
      </c>
      <c r="D568" s="16">
        <v>91407902248.296143</v>
      </c>
      <c r="E568" s="16">
        <v>15607392363.963974</v>
      </c>
      <c r="F568" s="16">
        <v>19203138036.936939</v>
      </c>
      <c r="G568" s="16">
        <v>25358</v>
      </c>
      <c r="H568" s="16">
        <v>25428</v>
      </c>
      <c r="I568" s="16">
        <v>278</v>
      </c>
      <c r="J568" s="16"/>
      <c r="K568" s="16">
        <v>33283</v>
      </c>
      <c r="L568" s="16">
        <v>39493</v>
      </c>
      <c r="M568" s="16">
        <v>15698056427.027025</v>
      </c>
      <c r="N568" s="16">
        <v>19273279470.27026</v>
      </c>
      <c r="O568" s="16">
        <v>24467416767.567543</v>
      </c>
      <c r="P568" s="16">
        <v>27030935846.396404</v>
      </c>
      <c r="Q568" s="16">
        <v>13070786544.144146</v>
      </c>
      <c r="R568" s="16">
        <v>13350563998.198193</v>
      </c>
      <c r="S568" s="16">
        <v>3713762</v>
      </c>
      <c r="T568" s="16">
        <v>3723379</v>
      </c>
    </row>
    <row r="569" spans="1:20" x14ac:dyDescent="0.35">
      <c r="A569" s="7" t="s">
        <v>659</v>
      </c>
      <c r="B569" s="12" t="s">
        <v>50</v>
      </c>
      <c r="C569">
        <v>168109190.33600447</v>
      </c>
      <c r="D569">
        <v>170032271.8803114</v>
      </c>
      <c r="E569">
        <v>280810.81081081199</v>
      </c>
      <c r="F569">
        <v>543243.24324324494</v>
      </c>
      <c r="G569">
        <v>19</v>
      </c>
      <c r="H569">
        <v>30</v>
      </c>
      <c r="K569">
        <v>21</v>
      </c>
      <c r="L569">
        <v>35</v>
      </c>
      <c r="M569">
        <v>42626846.846846849</v>
      </c>
      <c r="N569">
        <v>43302702.702702701</v>
      </c>
      <c r="O569">
        <v>81794351.351351365</v>
      </c>
      <c r="P569">
        <v>81295000</v>
      </c>
      <c r="Q569">
        <v>38337747.747747749</v>
      </c>
      <c r="R569">
        <v>36266306.306306303</v>
      </c>
      <c r="S569">
        <v>6170</v>
      </c>
      <c r="T569">
        <v>5641</v>
      </c>
    </row>
    <row r="570" spans="1:20" x14ac:dyDescent="0.35">
      <c r="A570" s="7" t="s">
        <v>660</v>
      </c>
      <c r="B570" s="12" t="s">
        <v>83</v>
      </c>
      <c r="C570">
        <v>196671866.89634708</v>
      </c>
      <c r="D570">
        <v>207231996.00953579</v>
      </c>
      <c r="E570">
        <v>826216.21621621598</v>
      </c>
      <c r="F570">
        <v>1480180.1801801811</v>
      </c>
      <c r="G570">
        <v>51</v>
      </c>
      <c r="H570">
        <v>59</v>
      </c>
      <c r="I570">
        <v>2</v>
      </c>
      <c r="K570">
        <v>60</v>
      </c>
      <c r="L570">
        <v>71</v>
      </c>
      <c r="M570">
        <v>18435225.225225225</v>
      </c>
      <c r="N570">
        <v>40600900.900900893</v>
      </c>
      <c r="O570">
        <v>46605783.783783786</v>
      </c>
      <c r="P570">
        <v>54347684.684684686</v>
      </c>
      <c r="Q570">
        <v>16014954.954954952</v>
      </c>
      <c r="R570">
        <v>18595315.315315317</v>
      </c>
      <c r="S570">
        <v>8698</v>
      </c>
      <c r="T570">
        <v>8836</v>
      </c>
    </row>
    <row r="571" spans="1:20" x14ac:dyDescent="0.35">
      <c r="A571" s="14" t="s">
        <v>665</v>
      </c>
      <c r="B571" s="15"/>
      <c r="C571" s="16">
        <v>85257453595.846848</v>
      </c>
      <c r="D571" s="16">
        <v>83300947386.079926</v>
      </c>
      <c r="E571" s="16">
        <v>14432464327.027033</v>
      </c>
      <c r="F571" s="16">
        <v>16755259302.702713</v>
      </c>
      <c r="G571" s="16">
        <v>22838</v>
      </c>
      <c r="H571" s="16">
        <v>22779</v>
      </c>
      <c r="I571" s="16">
        <v>217</v>
      </c>
      <c r="J571" s="16"/>
      <c r="K571" s="16">
        <v>30703</v>
      </c>
      <c r="L571" s="16">
        <v>35249</v>
      </c>
      <c r="M571" s="16">
        <v>14089062573.87388</v>
      </c>
      <c r="N571" s="16">
        <v>14893310771.171181</v>
      </c>
      <c r="O571" s="16">
        <v>22339609207.207211</v>
      </c>
      <c r="P571" s="16">
        <v>24015815115.765778</v>
      </c>
      <c r="Q571" s="16">
        <v>11687824677.477467</v>
      </c>
      <c r="R571" s="16">
        <v>11473442257.65765</v>
      </c>
      <c r="S571" s="16">
        <v>3711130</v>
      </c>
      <c r="T571" s="16">
        <v>3711152</v>
      </c>
    </row>
    <row r="572" spans="1:20" x14ac:dyDescent="0.35">
      <c r="A572" s="14" t="s">
        <v>665</v>
      </c>
      <c r="B572" s="15"/>
      <c r="C572" s="16">
        <v>55358547001.576622</v>
      </c>
      <c r="D572" s="16">
        <v>53437564264.043854</v>
      </c>
      <c r="E572" s="16">
        <v>8726350884.6846867</v>
      </c>
      <c r="F572" s="16">
        <v>11464027162.16217</v>
      </c>
      <c r="G572" s="16">
        <v>13062</v>
      </c>
      <c r="H572" s="16">
        <v>13456</v>
      </c>
      <c r="I572" s="16">
        <v>105</v>
      </c>
      <c r="J572" s="16"/>
      <c r="K572" s="16">
        <v>17425</v>
      </c>
      <c r="L572" s="16">
        <v>21377</v>
      </c>
      <c r="M572" s="16">
        <v>9406953593.6936951</v>
      </c>
      <c r="N572" s="16">
        <v>9090595687.387392</v>
      </c>
      <c r="O572" s="16">
        <v>14465865920.720705</v>
      </c>
      <c r="P572" s="16">
        <v>14948300250.900902</v>
      </c>
      <c r="Q572" s="16">
        <v>8290068868.4684687</v>
      </c>
      <c r="R572" s="16">
        <v>7345024007.207201</v>
      </c>
      <c r="S572" s="16">
        <v>3711109</v>
      </c>
      <c r="T572" s="16">
        <v>3718301</v>
      </c>
    </row>
    <row r="573" spans="1:20" x14ac:dyDescent="0.35">
      <c r="A573" s="14" t="s">
        <v>665</v>
      </c>
      <c r="B573" s="15"/>
      <c r="C573" s="16">
        <v>47673468058.648651</v>
      </c>
      <c r="D573" s="16">
        <v>45725668552.77359</v>
      </c>
      <c r="E573" s="16">
        <v>6750684932.4324331</v>
      </c>
      <c r="F573" s="16">
        <v>7278150781.0810843</v>
      </c>
      <c r="G573" s="16">
        <v>10880</v>
      </c>
      <c r="H573" s="16">
        <v>11314</v>
      </c>
      <c r="I573" s="16">
        <v>93</v>
      </c>
      <c r="J573" s="16"/>
      <c r="K573" s="16">
        <v>14629</v>
      </c>
      <c r="L573" s="16">
        <v>18019</v>
      </c>
      <c r="M573" s="16">
        <v>8400560054.9549551</v>
      </c>
      <c r="N573" s="16">
        <v>7754327600.9009027</v>
      </c>
      <c r="O573" s="16">
        <v>12448176926.126125</v>
      </c>
      <c r="P573" s="16">
        <v>12632864741.441456</v>
      </c>
      <c r="Q573" s="16">
        <v>7587006075.6756754</v>
      </c>
      <c r="R573" s="16">
        <v>6448169836.0360336</v>
      </c>
      <c r="S573" s="16">
        <v>3709889</v>
      </c>
      <c r="T573" s="16">
        <v>3720143</v>
      </c>
    </row>
    <row r="574" spans="1:20" x14ac:dyDescent="0.35">
      <c r="A574" s="14" t="s">
        <v>665</v>
      </c>
      <c r="B574" s="15"/>
      <c r="C574" s="16">
        <v>40153713895.621635</v>
      </c>
      <c r="D574" s="16">
        <v>38575779599.806999</v>
      </c>
      <c r="E574" s="16">
        <v>6502331295.4955006</v>
      </c>
      <c r="F574" s="16">
        <v>4247491559.4594607</v>
      </c>
      <c r="G574" s="16">
        <v>8785</v>
      </c>
      <c r="H574" s="16">
        <v>9286</v>
      </c>
      <c r="I574" s="16">
        <v>84</v>
      </c>
      <c r="J574" s="16"/>
      <c r="K574" s="16">
        <v>12137</v>
      </c>
      <c r="L574" s="16">
        <v>15079</v>
      </c>
      <c r="M574" s="16">
        <v>7666294559.4594593</v>
      </c>
      <c r="N574" s="16">
        <v>6241563141.4414463</v>
      </c>
      <c r="O574" s="16">
        <v>10443902275.675674</v>
      </c>
      <c r="P574" s="16">
        <v>10632147763.963968</v>
      </c>
      <c r="Q574" s="16">
        <v>6156623830.6306314</v>
      </c>
      <c r="R574" s="16">
        <v>5391210214.4144135</v>
      </c>
      <c r="S574" s="16">
        <v>3710814</v>
      </c>
      <c r="T574" s="16">
        <v>3726702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2026-08-01T16:49:51Z</dcterms:created>
  <dcterms:modified xsi:type="dcterms:W3CDTF">2026-09-14T10:41:57Z</dcterms:modified>
</cp:coreProperties>
</file>