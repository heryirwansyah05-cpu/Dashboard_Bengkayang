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7" i="1" l="1"/>
  <c r="V8" i="1"/>
  <c r="V9" i="1"/>
  <c r="V10" i="1"/>
  <c r="V11" i="1"/>
  <c r="V12" i="1"/>
  <c r="V13" i="1"/>
  <c r="W13" i="1" s="1"/>
  <c r="V14" i="1"/>
  <c r="V15" i="1"/>
  <c r="V16" i="1"/>
  <c r="V17" i="1"/>
  <c r="V18" i="1"/>
  <c r="V19" i="1"/>
  <c r="V20" i="1"/>
  <c r="V21" i="1"/>
  <c r="V22" i="1"/>
  <c r="V6" i="1"/>
  <c r="U7" i="1"/>
  <c r="U8" i="1"/>
  <c r="W8" i="1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6" i="1"/>
  <c r="W7" i="1"/>
  <c r="W9" i="1" l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R6" i="1"/>
  <c r="S6" i="1"/>
  <c r="P6" i="1"/>
  <c r="O6" i="1"/>
  <c r="M6" i="1"/>
  <c r="L6" i="1"/>
  <c r="J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6" i="1"/>
  <c r="C7" i="1"/>
  <c r="D7" i="1"/>
  <c r="C8" i="1"/>
  <c r="D8" i="1"/>
  <c r="C9" i="1"/>
  <c r="D9" i="1"/>
  <c r="C10" i="1"/>
  <c r="D10" i="1"/>
  <c r="C11" i="1"/>
  <c r="D1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C19" i="1"/>
  <c r="D19" i="1"/>
  <c r="C20" i="1"/>
  <c r="D20" i="1"/>
  <c r="C21" i="1"/>
  <c r="D21" i="1"/>
  <c r="C22" i="1"/>
  <c r="D22" i="1"/>
  <c r="D6" i="1"/>
  <c r="C6" i="1"/>
  <c r="T20" i="1" l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E20" i="1"/>
  <c r="E8" i="1"/>
  <c r="E13" i="1"/>
  <c r="E7" i="1"/>
  <c r="E18" i="1"/>
  <c r="E19" i="1"/>
  <c r="E17" i="1"/>
  <c r="E16" i="1"/>
  <c r="E15" i="1"/>
  <c r="E21" i="1"/>
  <c r="E9" i="1"/>
  <c r="E14" i="1"/>
  <c r="E12" i="1"/>
  <c r="E22" i="1"/>
  <c r="E10" i="1"/>
  <c r="E11" i="1"/>
  <c r="T15" i="1"/>
  <c r="T17" i="1"/>
  <c r="T14" i="1" l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  <c r="E6" i="1"/>
</calcChain>
</file>

<file path=xl/sharedStrings.xml><?xml version="1.0" encoding="utf-8"?>
<sst xmlns="http://schemas.openxmlformats.org/spreadsheetml/2006/main" count="1239" uniqueCount="676">
  <si>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</si>
  <si>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</si>
  <si>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</si>
  <si>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</si>
  <si>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</si>
  <si>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</si>
  <si>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</si>
  <si>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</si>
  <si>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</si>
  <si>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</si>
  <si>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</si>
  <si>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</si>
  <si>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</si>
  <si>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</si>
  <si>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</si>
  <si>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</si>
  <si>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</si>
  <si>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</si>
  <si>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</si>
  <si>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</si>
  <si>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</si>
  <si>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</si>
  <si>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</si>
  <si>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</si>
  <si>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</si>
  <si>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</si>
  <si>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</si>
  <si>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</si>
  <si>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</si>
  <si>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</si>
  <si>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</si>
  <si>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</si>
  <si>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</si>
  <si>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</si>
  <si>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</si>
  <si>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</si>
  <si>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</si>
  <si>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</si>
  <si>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</si>
  <si>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</si>
  <si>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</si>
  <si>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 FWA ALL CHANNEL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</si>
  <si>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</si>
  <si>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</si>
  <si>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</si>
  <si>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</si>
  <si>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</si>
  <si>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</si>
  <si>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</si>
  <si>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</si>
  <si>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</si>
  <si>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</si>
  <si>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</si>
  <si>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</si>
  <si>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</si>
  <si>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</si>
  <si>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</si>
  <si>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</si>
  <si>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</si>
  <si>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</si>
  <si>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</si>
  <si>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</si>
  <si>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</si>
  <si>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</si>
  <si>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</si>
  <si>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</si>
  <si>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</si>
  <si>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</si>
  <si>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</si>
  <si>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</si>
  <si>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</si>
  <si>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</si>
  <si>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</si>
  <si>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</si>
  <si>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</si>
  <si>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</si>
  <si>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</si>
  <si>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</si>
  <si>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</si>
  <si>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</si>
  <si>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</si>
  <si>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</si>
  <si>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</si>
  <si>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</si>
  <si>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</si>
  <si>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</si>
  <si>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</si>
  <si>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</si>
  <si>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</si>
  <si>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</si>
  <si>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</si>
  <si>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</si>
  <si>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</si>
  <si>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</si>
  <si>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</si>
  <si>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</si>
  <si>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</si>
  <si>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</si>
  <si>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</si>
  <si>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</si>
  <si>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</si>
  <si>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</si>
  <si>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</si>
  <si>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</si>
  <si>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</si>
  <si>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</si>
  <si>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</si>
  <si>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</si>
  <si>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</si>
  <si>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</si>
  <si>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</si>
  <si>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</si>
  <si>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</si>
  <si>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</si>
  <si>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</si>
  <si>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</si>
  <si>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</si>
  <si>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</si>
  <si>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</si>
  <si>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</si>
  <si>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</si>
  <si>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</si>
  <si>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</si>
  <si>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</si>
  <si>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</si>
  <si>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</si>
  <si>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</si>
  <si>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</si>
  <si>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</si>
  <si>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</si>
  <si>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</si>
  <si>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</si>
  <si>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</si>
  <si>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</si>
  <si>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</si>
  <si>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</si>
  <si>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</si>
  <si>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</si>
  <si>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</si>
  <si>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</si>
  <si>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</si>
  <si>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</si>
  <si>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</si>
  <si>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</si>
  <si>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</si>
  <si>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</si>
  <si>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</si>
  <si>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</si>
  <si>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</si>
  <si>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</si>
  <si>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</si>
  <si>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</si>
  <si>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</si>
  <si>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</si>
  <si>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</si>
  <si>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</si>
  <si>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</si>
  <si>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</si>
  <si>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</si>
  <si>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</si>
  <si>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</si>
  <si>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</si>
  <si>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</si>
  <si>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</si>
  <si>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</si>
  <si>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</si>
  <si>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</si>
  <si>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</si>
  <si>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</si>
  <si>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</si>
  <si>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</si>
  <si>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</si>
  <si>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</si>
  <si>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</si>
  <si>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</si>
  <si>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</si>
  <si>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</si>
  <si>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</si>
  <si>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</si>
  <si>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</si>
  <si>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</si>
  <si>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</si>
  <si>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</si>
  <si>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</si>
  <si>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</si>
  <si>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</si>
  <si>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</si>
  <si>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</si>
  <si>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</si>
  <si>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</si>
  <si>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</si>
  <si>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</si>
  <si>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</si>
  <si>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</si>
  <si>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</si>
  <si>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</si>
  <si>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</si>
  <si>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</si>
  <si>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</si>
  <si>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</si>
  <si>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</si>
  <si>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</si>
  <si>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</si>
  <si>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</si>
  <si>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</si>
  <si>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</si>
  <si>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</si>
  <si>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</si>
  <si>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</si>
  <si>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</si>
  <si>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</si>
  <si>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</si>
  <si>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</si>
  <si>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</si>
  <si>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</si>
  <si>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</si>
  <si>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</si>
  <si>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</si>
  <si>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</si>
  <si>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</si>
  <si>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</si>
  <si>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</si>
  <si>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</si>
  <si>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</si>
  <si>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</si>
  <si>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</si>
  <si>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</si>
  <si>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</si>
  <si>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</si>
  <si>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</si>
  <si>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</si>
  <si>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</si>
  <si>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</si>
  <si>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</si>
  <si>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</si>
  <si>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</si>
  <si>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</si>
  <si>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</si>
  <si>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</si>
  <si>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</si>
  <si>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</si>
  <si>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</si>
  <si>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</si>
  <si>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</si>
  <si>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</si>
  <si>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</si>
  <si>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</si>
  <si>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</si>
  <si>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</si>
  <si>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</si>
  <si>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</si>
  <si>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</si>
  <si>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</si>
  <si>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</si>
  <si>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</si>
  <si>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</si>
  <si>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</si>
  <si>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</si>
  <si>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</si>
  <si>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</si>
  <si>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</si>
  <si>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</si>
  <si>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</si>
  <si>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</si>
  <si>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</si>
  <si>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</si>
  <si>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</si>
  <si>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</si>
  <si>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</si>
  <si>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</si>
  <si>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</si>
  <si>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</si>
  <si>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</si>
  <si>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</si>
  <si>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</si>
  <si>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</si>
  <si>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</si>
  <si>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</si>
  <si>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</si>
  <si>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</si>
  <si>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</si>
  <si>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</si>
  <si>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</si>
  <si>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</si>
  <si>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</si>
  <si>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</si>
  <si>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</si>
  <si>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</si>
  <si>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</si>
  <si>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</si>
  <si>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</si>
  <si>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</si>
  <si>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</si>
  <si>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</si>
  <si>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</si>
  <si>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</si>
  <si>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</si>
  <si>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</si>
  <si>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</si>
  <si>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</si>
  <si>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</si>
  <si>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</si>
  <si>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</si>
  <si>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</si>
  <si>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</si>
  <si>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</si>
  <si>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</si>
  <si>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</si>
  <si>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</si>
  <si>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</si>
  <si>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</si>
  <si>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</si>
  <si>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</si>
  <si>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</si>
  <si>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</si>
  <si>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</si>
  <si>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</si>
  <si>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</si>
  <si>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</si>
  <si>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</si>
  <si>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</si>
  <si>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</si>
  <si>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</si>
  <si>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</si>
  <si>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</si>
  <si>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</si>
  <si>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</si>
  <si>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</si>
  <si>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</si>
  <si>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</si>
  <si>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</si>
  <si>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</si>
  <si>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</si>
  <si>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</si>
  <si>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</si>
  <si>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</si>
  <si>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</si>
  <si>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</si>
  <si>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</si>
  <si>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</si>
  <si>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</si>
  <si>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</si>
  <si>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</si>
  <si>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</si>
  <si>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</si>
  <si>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</si>
  <si>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</si>
  <si>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</si>
  <si>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</si>
  <si>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</si>
  <si>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</si>
  <si>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</si>
  <si>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</si>
  <si>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</si>
  <si>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</si>
  <si>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</si>
  <si>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</si>
  <si>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</si>
  <si>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</si>
  <si>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</si>
  <si>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</si>
  <si>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</si>
  <si>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</si>
  <si>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</si>
  <si>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</si>
  <si>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</si>
  <si>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</si>
  <si>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</si>
  <si>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</si>
  <si>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</si>
  <si>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</si>
  <si>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</si>
  <si>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</si>
  <si>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</si>
  <si>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</si>
  <si>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</si>
  <si>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</si>
  <si>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</si>
  <si>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</si>
  <si>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</si>
  <si>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</si>
  <si>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</si>
  <si>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</si>
  <si>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</si>
  <si>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</si>
  <si>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</si>
  <si>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</si>
  <si>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</si>
  <si>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</si>
  <si>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</si>
  <si>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</si>
  <si>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</si>
  <si>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</si>
  <si>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</si>
  <si>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</si>
  <si>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</si>
  <si>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</si>
  <si>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</si>
  <si>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</si>
  <si>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</si>
  <si>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</si>
  <si>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</si>
  <si>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</si>
  <si>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</si>
  <si>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</si>
  <si>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</si>
  <si>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</si>
  <si>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</si>
  <si>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</si>
  <si>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</si>
  <si>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</si>
  <si>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</si>
  <si>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</si>
  <si>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</si>
  <si>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</si>
  <si>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</si>
  <si>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</si>
  <si>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</si>
  <si>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</si>
  <si>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</si>
  <si>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</si>
  <si>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</si>
  <si>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</si>
  <si>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</si>
  <si>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</si>
  <si>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</si>
  <si>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</si>
  <si>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</si>
  <si>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</si>
  <si>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</si>
  <si>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</si>
  <si>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</si>
  <si>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</si>
  <si>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</si>
  <si>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</si>
  <si>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</si>
  <si>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</si>
  <si>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</si>
  <si>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</si>
  <si>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</si>
  <si>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</si>
  <si>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</si>
  <si>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</si>
  <si>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</si>
  <si>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</si>
  <si>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</si>
  <si>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</si>
  <si>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</si>
  <si>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</si>
  <si>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</si>
  <si>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</si>
  <si>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</si>
  <si>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</si>
  <si>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</si>
  <si>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</si>
  <si>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</si>
  <si>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</si>
  <si>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</si>
  <si>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</si>
  <si>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</si>
  <si>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</si>
  <si>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</si>
  <si>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</si>
  <si>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</si>
  <si>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</si>
  <si>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</si>
  <si>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</si>
  <si>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</si>
  <si>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</si>
  <si>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</si>
  <si>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</si>
  <si>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</si>
  <si>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</si>
  <si>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</si>
  <si>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</si>
  <si>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</si>
  <si>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</si>
  <si>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</si>
  <si>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</si>
  <si>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</si>
  <si>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</si>
  <si>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</si>
  <si>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</si>
  <si>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</si>
  <si>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</si>
  <si>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</si>
  <si>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</si>
  <si>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</si>
  <si>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</si>
  <si>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</si>
  <si>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</si>
  <si>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</si>
  <si>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</si>
  <si>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</si>
  <si>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</si>
  <si>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</si>
  <si>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</si>
  <si>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</si>
  <si>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</si>
  <si>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</si>
  <si>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</si>
  <si>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</si>
  <si>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</si>
  <si>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</si>
  <si>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</si>
  <si>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</si>
  <si>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</si>
  <si>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</si>
  <si>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</si>
  <si>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</si>
  <si>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</si>
  <si>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</si>
  <si>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</si>
  <si>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</si>
  <si>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</si>
  <si>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</si>
  <si>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</si>
  <si>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</si>
  <si>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</si>
  <si>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</si>
  <si>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</si>
  <si>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</si>
  <si>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</si>
  <si>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</si>
  <si>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</si>
  <si>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</si>
  <si>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</si>
  <si>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</si>
  <si>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</si>
  <si>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</si>
  <si>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</si>
  <si>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</si>
  <si>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</si>
  <si>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</si>
  <si>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</si>
  <si>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</si>
  <si>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</si>
  <si>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</si>
  <si>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</si>
  <si>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</si>
  <si>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</si>
  <si>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</si>
  <si>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</si>
  <si>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</si>
  <si>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</si>
  <si>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</si>
  <si>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</si>
  <si>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</si>
  <si>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</si>
  <si>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</si>
  <si>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</si>
  <si>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</si>
  <si>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</si>
  <si>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</si>
  <si>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</si>
  <si>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</si>
  <si>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</si>
  <si>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</si>
  <si>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</si>
  <si>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</si>
  <si>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</si>
  <si>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</si>
  <si>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</si>
  <si>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</si>
  <si>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</si>
  <si>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</si>
  <si>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</si>
  <si>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</si>
  <si>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</si>
  <si>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</si>
  <si>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</si>
  <si>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</si>
  <si>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</si>
  <si>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</si>
  <si>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</si>
  <si>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</si>
  <si>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</si>
  <si>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</si>
  <si>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</si>
  <si>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</si>
  <si>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</si>
  <si>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</si>
  <si>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</si>
  <si>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</si>
  <si>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</si>
  <si>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</si>
  <si>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</si>
  <si>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</si>
  <si>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</si>
  <si>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</si>
  <si>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</si>
  <si>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</si>
  <si>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</si>
  <si>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</si>
  <si>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</si>
  <si>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</si>
  <si>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</si>
  <si>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</si>
  <si>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</si>
  <si>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</si>
  <si>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</si>
  <si>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</si>
  <si>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</si>
  <si>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</si>
  <si>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</si>
  <si>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</si>
  <si>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</si>
  <si>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</si>
  <si>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</si>
  <si>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</si>
  <si>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</si>
  <si>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</si>
  <si>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</si>
  <si>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</si>
  <si>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</si>
  <si>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</si>
  <si>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</si>
  <si>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</si>
  <si>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</si>
  <si>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</si>
  <si>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</si>
  <si>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</si>
  <si>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</si>
  <si>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</si>
  <si>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</si>
  <si>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</si>
  <si>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</si>
  <si>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</si>
  <si>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</si>
  <si>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</si>
  <si>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</si>
  <si>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</si>
  <si>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</si>
  <si>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</si>
  <si>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</si>
  <si>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</si>
  <si>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</si>
  <si>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</si>
  <si>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</si>
  <si>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</si>
  <si>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</si>
  <si>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</si>
  <si>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</si>
  <si>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</si>
  <si>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</si>
  <si>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</si>
  <si>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</si>
  <si>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</si>
  <si>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</si>
  <si>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</si>
  <si>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</si>
  <si>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</si>
  <si>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</si>
  <si>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</si>
  <si>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</si>
  <si>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</si>
  <si>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</si>
  <si>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</si>
  <si>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</si>
  <si>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</si>
  <si>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</si>
  <si>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</si>
  <si>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Total</t>
  </si>
  <si>
    <t>SEKATAK|BULUNGAN</t>
  </si>
  <si>
    <t>MURUK RIAN|TANA TIDUNG</t>
  </si>
  <si>
    <t>RGUGA TRADE MTD</t>
  </si>
  <si>
    <t>RGUGA TRADE LMTD</t>
  </si>
  <si>
    <t>DAHA BARAT|HULU SUNGAI SELATAN</t>
  </si>
  <si>
    <t>BUKIT SANTUAI|KOTAWARINGIN TIMUR</t>
  </si>
  <si>
    <t>HAMPANG|KOTABARU</t>
  </si>
  <si>
    <t>KRAYAN SELATAN|NUNUKAN</t>
  </si>
  <si>
    <t>LAMANDAU|LAMANDAU</t>
  </si>
  <si>
    <t>PULAU SEMBILAN|KOTABARU</t>
  </si>
  <si>
    <t>RUNGAN HULU|GUNUNG MAS</t>
  </si>
  <si>
    <t>SOMPAK|LANDAK</t>
  </si>
  <si>
    <t>TANAH PINOH|MELAWI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</si>
</sst>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b/>
      <sz val="11"/>
      <name val="Calibri"/>
      <family val="2"/>
    </font>
    <font>
      <b/>
      <sz val="11"/>
      <name val="Calibri"/>
    </font>
    <font>
      <sz val="14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0" fontId="0" fillId="0" borderId="2" xfId="0" applyBorder="1"/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0" fillId="0" borderId="4" xfId="0" applyBorder="1"/>
    <xf numFmtId="0" fontId="6" fillId="0" borderId="0" xfId="0" applyFont="1" applyAlignment="1">
      <alignment vertical="top"/>
    </xf>
    <xf numFmtId="0" fontId="0" fillId="0" borderId="4" xfId="0" applyBorder="1" applyAlignment="1"/>
    <xf numFmtId="0" fontId="6" fillId="0" borderId="0" xfId="0" applyFont="1"/>
    <xf numFmtId="0" fontId="7" fillId="0" borderId="0" xfId="0" applyFont="1" applyAlignment="1">
      <alignment vertical="top"/>
    </xf>
    <xf numFmtId="0" fontId="7" fillId="0" borderId="0" xfId="0" applyFont="1"/>
    <xf numFmtId="0" fontId="8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W22"/>
  <sheetViews>
    <sheetView zoomScale="44" workbookViewId="0">
      <pane xSplit="1" ySplit="5" topLeftCell="P6" activePane="bottomRight" state="frozen"/>
      <selection pane="topRight" activeCell="B1" sqref="B1"/>
      <selection pane="bottomLeft" activeCell="A6" sqref="A6"/>
      <selection pane="bottomRight" activeCell="U6" sqref="U6:W22"/>
    </sheetView>
  </sheetViews>
  <sheetFormatPr defaultColWidth="11.7265625" defaultRowHeight="64.5" customHeight="1" x14ac:dyDescent="0.35"/>
  <cols>
    <col min="1" max="1" width="60.6328125" style="2" bestFit="1" customWidth="1"/>
    <col min="2" max="2" width="29.54296875" style="5" bestFit="1" customWidth="1"/>
    <col min="3" max="17" width="28.6328125" style="5" customWidth="1"/>
    <col min="18" max="18" width="18" style="2" bestFit="1" customWidth="1"/>
    <col min="19" max="19" width="19.08984375" style="2" bestFit="1" customWidth="1"/>
    <col min="20" max="20" width="25.453125" style="2" customWidth="1"/>
    <col min="21" max="23" width="34.90625" style="5" customWidth="1"/>
    <col min="24" max="25" width="34.90625" style="2" customWidth="1"/>
    <col min="26" max="16384" width="11.7265625" style="2"/>
  </cols>
  <sheetData>
    <row r="4" spans="1:23" ht="64.5" customHeight="1" x14ac:dyDescent="0.35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3" ht="64.5" customHeight="1" x14ac:dyDescent="0.35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665</v>
      </c>
      <c r="V5" s="3" t="s">
        <v>666</v>
      </c>
      <c r="W5" s="3" t="s">
        <v>33</v>
      </c>
    </row>
    <row r="6" spans="1:23" ht="64.5" customHeight="1" x14ac:dyDescent="0.35">
      <c r="A6" s="10" t="s">
        <v>1</v>
      </c>
      <c r="B6" s="1" t="s">
        <v>16</v>
      </c>
      <c r="C6" s="4">
        <f>IFERROR(VLOOKUP($A:$A,MASTER!$A:$T,3,0),0)</f>
        <v>482120787.14352679</v>
      </c>
      <c r="D6" s="4">
        <f>IFERROR(VLOOKUP($A:$A,MASTER!$A:$T,4,0),0)</f>
        <v>478626723.20604098</v>
      </c>
      <c r="E6" s="9">
        <f>IFERROR(C6/D6-1,0)</f>
        <v>7.3001856521530684E-3</v>
      </c>
      <c r="F6" s="4">
        <f>IFERROR(VLOOKUP(A:A,MASTER!A:E,5,0),0)</f>
        <v>854642650.45045042</v>
      </c>
      <c r="G6" s="4">
        <f>IFERROR(VLOOKUP(A:A,MASTER!A:F,6,0),0)</f>
        <v>837375893.69369364</v>
      </c>
      <c r="H6" s="9">
        <f>IFERROR(F6/G6-1,0)</f>
        <v>2.0620078613193149E-2</v>
      </c>
      <c r="I6" s="4">
        <f>IFERROR(VLOOKUP(A:A,MASTER!A:M,13,0),0)</f>
        <v>130888198.19819821</v>
      </c>
      <c r="J6" s="4">
        <f>IFERROR(VLOOKUP($A:$A,MASTER!$A:$T,14,0),0)</f>
        <v>174972054.05405405</v>
      </c>
      <c r="K6" s="9">
        <f>IFERROR(I6/J6-1,0)</f>
        <v>-0.25194798160303378</v>
      </c>
      <c r="L6" s="4">
        <f>IFERROR(VLOOKUP($A:$A,MASTER!$A:$T,15,0),0)</f>
        <v>229371288.2882883</v>
      </c>
      <c r="M6" s="4">
        <f>IFERROR(VLOOKUP($A:$A,MASTER!$A:$T,16,0),0)</f>
        <v>233866378.37837836</v>
      </c>
      <c r="N6" s="9">
        <f>IFERROR(L6/M6-1,0)</f>
        <v>-1.9220762391152002E-2</v>
      </c>
      <c r="O6" s="4">
        <f>IFERROR(VLOOKUP($A:$A,MASTER!$A:$T,17,0),0)</f>
        <v>53851081.081081077</v>
      </c>
      <c r="P6" s="4">
        <f>IFERROR(VLOOKUP($A:$A,MASTER!$A:$T,18,0),0)</f>
        <v>105622972.97297297</v>
      </c>
      <c r="Q6" s="9">
        <f>IFERROR(O6/P6-1,0)</f>
        <v>-0.49015749542610765</v>
      </c>
      <c r="R6" s="4">
        <f>IFERROR(VLOOKUP($A:$A,MASTER!$A:$T,19,0),0)</f>
        <v>9358</v>
      </c>
      <c r="S6" s="4">
        <f>IFERROR(VLOOKUP($A:$A,MASTER!$A:$T,20,0),0)</f>
        <v>8023</v>
      </c>
      <c r="T6" s="9">
        <f>IFERROR(R6/S6-1,0)</f>
        <v>0.16639660974697734</v>
      </c>
      <c r="U6" s="18">
        <f>IFERROR(VLOOKUP(A:A,MASTER!A:K,11,0),0)</f>
        <v>529</v>
      </c>
      <c r="V6" s="18">
        <f>IFERROR(VLOOKUP(A:A,MASTER!A:L,12,0),0)</f>
        <v>413</v>
      </c>
      <c r="W6" s="9">
        <f>IFERROR(U6/V6-1,0)</f>
        <v>0.28087167070217922</v>
      </c>
    </row>
    <row r="7" spans="1:23" ht="64.5" customHeight="1" x14ac:dyDescent="0.35">
      <c r="A7" s="10" t="s">
        <v>2</v>
      </c>
      <c r="B7" s="1" t="s">
        <v>17</v>
      </c>
      <c r="C7" s="4">
        <f>IFERROR(VLOOKUP($A:$A,MASTER!$A:$T,3,0),0)</f>
        <v>48645993.757762209</v>
      </c>
      <c r="D7" s="4">
        <f>IFERROR(VLOOKUP($A:$A,MASTER!$A:$T,4,0),0)</f>
        <v>30288914.758705486</v>
      </c>
      <c r="E7" s="9">
        <f t="shared" ref="E7:E22" si="0">IFERROR(C7/D7-1,0)</f>
        <v>0.60606592033082407</v>
      </c>
      <c r="F7" s="4">
        <f>IFERROR(VLOOKUP(A:A,MASTER!A:E,5,0),0)</f>
        <v>313963496.3963964</v>
      </c>
      <c r="G7" s="4">
        <f>IFERROR(VLOOKUP(A:A,MASTER!A:F,6,0),0)</f>
        <v>348623836.93693697</v>
      </c>
      <c r="H7" s="9">
        <f t="shared" ref="H7:H22" si="1">IFERROR(F7/G7-1,0)</f>
        <v>-9.9420455138901853E-2</v>
      </c>
      <c r="I7" s="4">
        <f>IFERROR(VLOOKUP(A:A,MASTER!A:M,13,0),0)</f>
        <v>6662162.1621621633</v>
      </c>
      <c r="J7" s="4">
        <f>IFERROR(VLOOKUP($A:$A,MASTER!$A:$T,14,0),0)</f>
        <v>49364864.864864863</v>
      </c>
      <c r="K7" s="9">
        <f t="shared" ref="K7:K22" si="2">IFERROR(I7/J7-1,0)</f>
        <v>-0.86504243087872978</v>
      </c>
      <c r="L7" s="4">
        <f>IFERROR(VLOOKUP($A:$A,MASTER!$A:$T,15,0),0)</f>
        <v>27030243.243243244</v>
      </c>
      <c r="M7" s="4">
        <f>IFERROR(VLOOKUP($A:$A,MASTER!$A:$T,16,0),0)</f>
        <v>18427603.603603605</v>
      </c>
      <c r="N7" s="9">
        <f t="shared" ref="N7:N22" si="3">IFERROR(L7/M7-1,0)</f>
        <v>0.46683441996534758</v>
      </c>
      <c r="O7" s="4">
        <f>IFERROR(VLOOKUP($A:$A,MASTER!$A:$T,17,0),0)</f>
        <v>6763063.0630630637</v>
      </c>
      <c r="P7" s="4">
        <f>IFERROR(VLOOKUP($A:$A,MASTER!$A:$T,18,0),0)</f>
        <v>8310360.3603603598</v>
      </c>
      <c r="Q7" s="9">
        <f t="shared" ref="Q7:Q22" si="4">IFERROR(O7/P7-1,0)</f>
        <v>-0.18618895333080376</v>
      </c>
      <c r="R7" s="4">
        <f>IFERROR(VLOOKUP($A:$A,MASTER!$A:$T,19,0),0)</f>
        <v>1210</v>
      </c>
      <c r="S7" s="4">
        <f>IFERROR(VLOOKUP($A:$A,MASTER!$A:$T,20,0),0)</f>
        <v>1149</v>
      </c>
      <c r="T7" s="9">
        <f t="shared" ref="T7:T22" si="5">IFERROR(R7/S7-1,0)</f>
        <v>5.3089643167972156E-2</v>
      </c>
      <c r="U7" s="18">
        <f>IFERROR(VLOOKUP(A:A,MASTER!A:K,11,0),0)</f>
        <v>6</v>
      </c>
      <c r="V7" s="18">
        <f>IFERROR(VLOOKUP(A:A,MASTER!A:L,12,0),0)</f>
        <v>1</v>
      </c>
      <c r="W7" s="9">
        <f t="shared" ref="W7:W22" si="6">IFERROR(U7/V7-1,0)</f>
        <v>5</v>
      </c>
    </row>
    <row r="8" spans="1:23" ht="64.5" customHeight="1" x14ac:dyDescent="0.35">
      <c r="A8" s="10" t="s">
        <v>3</v>
      </c>
      <c r="B8" s="1" t="s">
        <v>16</v>
      </c>
      <c r="C8" s="4">
        <f>IFERROR(VLOOKUP($A:$A,MASTER!$A:$T,3,0),0)</f>
        <v>362330781.87162668</v>
      </c>
      <c r="D8" s="4">
        <f>IFERROR(VLOOKUP($A:$A,MASTER!$A:$T,4,0),0)</f>
        <v>321587555.64916307</v>
      </c>
      <c r="E8" s="9">
        <f t="shared" si="0"/>
        <v>0.12669403870500684</v>
      </c>
      <c r="F8" s="4">
        <f>IFERROR(VLOOKUP(A:A,MASTER!A:E,5,0),0)</f>
        <v>4904279.2792792823</v>
      </c>
      <c r="G8" s="4">
        <f>IFERROR(VLOOKUP(A:A,MASTER!A:F,6,0),0)</f>
        <v>4725606.3063063063</v>
      </c>
      <c r="H8" s="9">
        <f t="shared" si="1"/>
        <v>3.7809534140526679E-2</v>
      </c>
      <c r="I8" s="4">
        <f>IFERROR(VLOOKUP(A:A,MASTER!A:M,13,0),0)</f>
        <v>71862162.162162155</v>
      </c>
      <c r="J8" s="4">
        <f>IFERROR(VLOOKUP($A:$A,MASTER!$A:$T,14,0),0)</f>
        <v>96806209.009009004</v>
      </c>
      <c r="K8" s="9">
        <f t="shared" si="2"/>
        <v>-0.25766990673630763</v>
      </c>
      <c r="L8" s="4">
        <f>IFERROR(VLOOKUP($A:$A,MASTER!$A:$T,15,0),0)</f>
        <v>98740477.477477476</v>
      </c>
      <c r="M8" s="4">
        <f>IFERROR(VLOOKUP($A:$A,MASTER!$A:$T,16,0),0)</f>
        <v>91890513.51351352</v>
      </c>
      <c r="N8" s="9">
        <f t="shared" si="3"/>
        <v>7.4544843662850857E-2</v>
      </c>
      <c r="O8" s="4">
        <f>IFERROR(VLOOKUP($A:$A,MASTER!$A:$T,17,0),0)</f>
        <v>65380090.090090089</v>
      </c>
      <c r="P8" s="4">
        <f>IFERROR(VLOOKUP($A:$A,MASTER!$A:$T,18,0),0)</f>
        <v>94269819.819819823</v>
      </c>
      <c r="Q8" s="9">
        <f t="shared" si="4"/>
        <v>-0.3064578863622246</v>
      </c>
      <c r="R8" s="4">
        <f>IFERROR(VLOOKUP($A:$A,MASTER!$A:$T,19,0),0)</f>
        <v>3952</v>
      </c>
      <c r="S8" s="4">
        <f>IFERROR(VLOOKUP($A:$A,MASTER!$A:$T,20,0),0)</f>
        <v>3540</v>
      </c>
      <c r="T8" s="9">
        <f t="shared" si="5"/>
        <v>0.11638418079096047</v>
      </c>
      <c r="U8" s="18">
        <f>IFERROR(VLOOKUP(A:A,MASTER!A:K,11,0),0)</f>
        <v>62</v>
      </c>
      <c r="V8" s="18">
        <f>IFERROR(VLOOKUP(A:A,MASTER!A:L,12,0),0)</f>
        <v>68</v>
      </c>
      <c r="W8" s="9">
        <f t="shared" si="6"/>
        <v>-8.8235294117647078E-2</v>
      </c>
    </row>
    <row r="9" spans="1:23" ht="64.5" customHeight="1" x14ac:dyDescent="0.35">
      <c r="A9" s="10" t="s">
        <v>4</v>
      </c>
      <c r="B9" s="1" t="s">
        <v>16</v>
      </c>
      <c r="C9" s="4">
        <f>IFERROR(VLOOKUP($A:$A,MASTER!$A:$T,3,0),0)</f>
        <v>214886749.31760141</v>
      </c>
      <c r="D9" s="4">
        <f>IFERROR(VLOOKUP($A:$A,MASTER!$A:$T,4,0),0)</f>
        <v>205940994.04236427</v>
      </c>
      <c r="E9" s="9">
        <f t="shared" si="0"/>
        <v>4.343843884426879E-2</v>
      </c>
      <c r="F9" s="4">
        <f>IFERROR(VLOOKUP(A:A,MASTER!A:E,5,0),0)</f>
        <v>3161261.2612612639</v>
      </c>
      <c r="G9" s="4">
        <f>IFERROR(VLOOKUP(A:A,MASTER!A:F,6,0),0)</f>
        <v>6696621.6216216218</v>
      </c>
      <c r="H9" s="9">
        <f t="shared" si="1"/>
        <v>-0.5279319274879759</v>
      </c>
      <c r="I9" s="4">
        <f>IFERROR(VLOOKUP(A:A,MASTER!A:M,13,0),0)</f>
        <v>34358558.558558561</v>
      </c>
      <c r="J9" s="4">
        <f>IFERROR(VLOOKUP($A:$A,MASTER!$A:$T,14,0),0)</f>
        <v>79037162.162162155</v>
      </c>
      <c r="K9" s="9">
        <f t="shared" si="2"/>
        <v>-0.56528602977844256</v>
      </c>
      <c r="L9" s="4">
        <f>IFERROR(VLOOKUP($A:$A,MASTER!$A:$T,15,0),0)</f>
        <v>76073000</v>
      </c>
      <c r="M9" s="4">
        <f>IFERROR(VLOOKUP($A:$A,MASTER!$A:$T,16,0),0)</f>
        <v>76297756.756756753</v>
      </c>
      <c r="N9" s="9">
        <f t="shared" si="3"/>
        <v>-2.945784598534118E-3</v>
      </c>
      <c r="O9" s="4">
        <f>IFERROR(VLOOKUP($A:$A,MASTER!$A:$T,17,0),0)</f>
        <v>41556126.126126125</v>
      </c>
      <c r="P9" s="4">
        <f>IFERROR(VLOOKUP($A:$A,MASTER!$A:$T,18,0),0)</f>
        <v>69597702.702702701</v>
      </c>
      <c r="Q9" s="9">
        <f t="shared" si="4"/>
        <v>-0.40290951407348152</v>
      </c>
      <c r="R9" s="4">
        <f>IFERROR(VLOOKUP($A:$A,MASTER!$A:$T,19,0),0)</f>
        <v>4122</v>
      </c>
      <c r="S9" s="4">
        <f>IFERROR(VLOOKUP($A:$A,MASTER!$A:$T,20,0),0)</f>
        <v>3495</v>
      </c>
      <c r="T9" s="9">
        <f t="shared" si="5"/>
        <v>0.17939914163090132</v>
      </c>
      <c r="U9" s="18">
        <f>IFERROR(VLOOKUP(A:A,MASTER!A:K,11,0),0)</f>
        <v>23</v>
      </c>
      <c r="V9" s="18">
        <f>IFERROR(VLOOKUP(A:A,MASTER!A:L,12,0),0)</f>
        <v>45</v>
      </c>
      <c r="W9" s="9">
        <f t="shared" si="6"/>
        <v>-0.48888888888888893</v>
      </c>
    </row>
    <row r="10" spans="1:23" ht="64.5" customHeight="1" x14ac:dyDescent="0.35">
      <c r="A10" s="10" t="s">
        <v>34</v>
      </c>
      <c r="B10" s="1" t="s">
        <v>17</v>
      </c>
      <c r="C10" s="4">
        <f>IFERROR(VLOOKUP($A:$A,MASTER!$A:$T,3,0),0)</f>
        <v>0</v>
      </c>
      <c r="D10" s="4">
        <f>IFERROR(VLOOKUP($A:$A,MASTER!$A:$T,4,0),0)</f>
        <v>0</v>
      </c>
      <c r="E10" s="9">
        <f t="shared" si="0"/>
        <v>0</v>
      </c>
      <c r="F10" s="4">
        <f>IFERROR(VLOOKUP(A:A,MASTER!A:E,5,0),0)</f>
        <v>0</v>
      </c>
      <c r="G10" s="4">
        <f>IFERROR(VLOOKUP(A:A,MASTER!A:F,6,0),0)</f>
        <v>0</v>
      </c>
      <c r="H10" s="9">
        <f t="shared" si="1"/>
        <v>0</v>
      </c>
      <c r="I10" s="4">
        <f>IFERROR(VLOOKUP(A:A,MASTER!A:M,13,0),0)</f>
        <v>0</v>
      </c>
      <c r="J10" s="4">
        <f>IFERROR(VLOOKUP($A:$A,MASTER!$A:$T,14,0),0)</f>
        <v>0</v>
      </c>
      <c r="K10" s="9">
        <f t="shared" si="2"/>
        <v>0</v>
      </c>
      <c r="L10" s="4">
        <f>IFERROR(VLOOKUP($A:$A,MASTER!$A:$T,15,0),0)</f>
        <v>0</v>
      </c>
      <c r="M10" s="4">
        <f>IFERROR(VLOOKUP($A:$A,MASTER!$A:$T,16,0),0)</f>
        <v>0</v>
      </c>
      <c r="N10" s="9">
        <f t="shared" si="3"/>
        <v>0</v>
      </c>
      <c r="O10" s="4">
        <f>IFERROR(VLOOKUP($A:$A,MASTER!$A:$T,17,0),0)</f>
        <v>0</v>
      </c>
      <c r="P10" s="4">
        <f>IFERROR(VLOOKUP($A:$A,MASTER!$A:$T,18,0),0)</f>
        <v>0</v>
      </c>
      <c r="Q10" s="9">
        <f t="shared" si="4"/>
        <v>0</v>
      </c>
      <c r="R10" s="4">
        <f>IFERROR(VLOOKUP($A:$A,MASTER!$A:$T,19,0),0)</f>
        <v>0</v>
      </c>
      <c r="S10" s="4">
        <f>IFERROR(VLOOKUP($A:$A,MASTER!$A:$T,20,0),0)</f>
        <v>0</v>
      </c>
      <c r="T10" s="9">
        <f t="shared" si="5"/>
        <v>0</v>
      </c>
      <c r="U10" s="18">
        <f>IFERROR(VLOOKUP(A:A,MASTER!A:K,11,0),0)</f>
        <v>0</v>
      </c>
      <c r="V10" s="18">
        <f>IFERROR(VLOOKUP(A:A,MASTER!A:L,12,0),0)</f>
        <v>0</v>
      </c>
      <c r="W10" s="9">
        <f t="shared" si="6"/>
        <v>0</v>
      </c>
    </row>
    <row r="11" spans="1:23" ht="64.5" customHeight="1" x14ac:dyDescent="0.35">
      <c r="A11" s="10" t="s">
        <v>5</v>
      </c>
      <c r="B11" s="1" t="s">
        <v>16</v>
      </c>
      <c r="C11" s="4">
        <f>IFERROR(VLOOKUP($A:$A,MASTER!$A:$T,3,0),0)</f>
        <v>227459287.21299589</v>
      </c>
      <c r="D11" s="4">
        <f>IFERROR(VLOOKUP($A:$A,MASTER!$A:$T,4,0),0)</f>
        <v>231437729.55832419</v>
      </c>
      <c r="E11" s="9">
        <f t="shared" si="0"/>
        <v>-1.719012000731579E-2</v>
      </c>
      <c r="F11" s="4">
        <f>IFERROR(VLOOKUP(A:A,MASTER!A:E,5,0),0)</f>
        <v>1108108.1081081079</v>
      </c>
      <c r="G11" s="4">
        <f>IFERROR(VLOOKUP(A:A,MASTER!A:F,6,0),0)</f>
        <v>167567.56756756801</v>
      </c>
      <c r="H11" s="9">
        <f t="shared" si="1"/>
        <v>5.6129032258064333</v>
      </c>
      <c r="I11" s="4">
        <f>IFERROR(VLOOKUP(A:A,MASTER!A:M,13,0),0)</f>
        <v>15475675.675675675</v>
      </c>
      <c r="J11" s="4">
        <f>IFERROR(VLOOKUP($A:$A,MASTER!$A:$T,14,0),0)</f>
        <v>40710135.135135137</v>
      </c>
      <c r="K11" s="9">
        <f t="shared" si="2"/>
        <v>-0.61985693183515633</v>
      </c>
      <c r="L11" s="4">
        <f>IFERROR(VLOOKUP($A:$A,MASTER!$A:$T,15,0),0)</f>
        <v>95805981.981981978</v>
      </c>
      <c r="M11" s="4">
        <f>IFERROR(VLOOKUP($A:$A,MASTER!$A:$T,16,0),0)</f>
        <v>97858684.684684694</v>
      </c>
      <c r="N11" s="9">
        <f t="shared" si="3"/>
        <v>-2.097619347037849E-2</v>
      </c>
      <c r="O11" s="4">
        <f>IFERROR(VLOOKUP($A:$A,MASTER!$A:$T,17,0),0)</f>
        <v>14532252.252252253</v>
      </c>
      <c r="P11" s="4">
        <f>IFERROR(VLOOKUP($A:$A,MASTER!$A:$T,18,0),0)</f>
        <v>38540495.495495498</v>
      </c>
      <c r="Q11" s="9">
        <f t="shared" si="4"/>
        <v>-0.6229355106773149</v>
      </c>
      <c r="R11" s="4">
        <f>IFERROR(VLOOKUP($A:$A,MASTER!$A:$T,19,0),0)</f>
        <v>3299</v>
      </c>
      <c r="S11" s="4">
        <f>IFERROR(VLOOKUP($A:$A,MASTER!$A:$T,20,0),0)</f>
        <v>3045</v>
      </c>
      <c r="T11" s="9">
        <f t="shared" si="5"/>
        <v>8.3415435139573058E-2</v>
      </c>
      <c r="U11" s="18">
        <f>IFERROR(VLOOKUP(A:A,MASTER!A:K,11,0),0)</f>
        <v>40</v>
      </c>
      <c r="V11" s="18">
        <f>IFERROR(VLOOKUP(A:A,MASTER!A:L,12,0),0)</f>
        <v>28</v>
      </c>
      <c r="W11" s="9">
        <f t="shared" si="6"/>
        <v>0.4285714285714286</v>
      </c>
    </row>
    <row r="12" spans="1:23" ht="64.5" customHeight="1" x14ac:dyDescent="0.35">
      <c r="A12" s="10" t="s">
        <v>6</v>
      </c>
      <c r="B12" s="1" t="s">
        <v>17</v>
      </c>
      <c r="C12" s="4">
        <f>IFERROR(VLOOKUP($A:$A,MASTER!$A:$T,3,0),0)</f>
        <v>833475697.60113668</v>
      </c>
      <c r="D12" s="4">
        <f>IFERROR(VLOOKUP($A:$A,MASTER!$A:$T,4,0),0)</f>
        <v>791245685.23635364</v>
      </c>
      <c r="E12" s="9">
        <f t="shared" si="0"/>
        <v>5.337155469248267E-2</v>
      </c>
      <c r="F12" s="4">
        <f>IFERROR(VLOOKUP(A:A,MASTER!A:E,5,0),0)</f>
        <v>101461736.03603604</v>
      </c>
      <c r="G12" s="4">
        <f>IFERROR(VLOOKUP(A:A,MASTER!A:F,6,0),0)</f>
        <v>141667847.74774775</v>
      </c>
      <c r="H12" s="9">
        <f t="shared" si="1"/>
        <v>-0.28380548127830862</v>
      </c>
      <c r="I12" s="4">
        <f>IFERROR(VLOOKUP(A:A,MASTER!A:M,13,0),0)</f>
        <v>361308454.05405408</v>
      </c>
      <c r="J12" s="4">
        <f>IFERROR(VLOOKUP($A:$A,MASTER!$A:$T,14,0),0)</f>
        <v>543947231.53153157</v>
      </c>
      <c r="K12" s="9">
        <f t="shared" si="2"/>
        <v>-0.33576561638753422</v>
      </c>
      <c r="L12" s="4">
        <f>IFERROR(VLOOKUP($A:$A,MASTER!$A:$T,15,0),0)</f>
        <v>561515252.25225222</v>
      </c>
      <c r="M12" s="4">
        <f>IFERROR(VLOOKUP($A:$A,MASTER!$A:$T,16,0),0)</f>
        <v>544940099.09909904</v>
      </c>
      <c r="N12" s="9">
        <f t="shared" si="3"/>
        <v>3.041646812292842E-2</v>
      </c>
      <c r="O12" s="4">
        <f>IFERROR(VLOOKUP($A:$A,MASTER!$A:$T,17,0),0)</f>
        <v>328891621.62162161</v>
      </c>
      <c r="P12" s="4">
        <f>IFERROR(VLOOKUP($A:$A,MASTER!$A:$T,18,0),0)</f>
        <v>515925315.31531531</v>
      </c>
      <c r="Q12" s="9">
        <f t="shared" si="4"/>
        <v>-0.36252086909010328</v>
      </c>
      <c r="R12" s="4">
        <f>IFERROR(VLOOKUP($A:$A,MASTER!$A:$T,19,0),0)</f>
        <v>14062</v>
      </c>
      <c r="S12" s="4">
        <f>IFERROR(VLOOKUP($A:$A,MASTER!$A:$T,20,0),0)</f>
        <v>13155</v>
      </c>
      <c r="T12" s="9">
        <f t="shared" si="5"/>
        <v>6.8947168377042845E-2</v>
      </c>
      <c r="U12" s="18">
        <f>IFERROR(VLOOKUP(A:A,MASTER!A:K,11,0),0)</f>
        <v>979</v>
      </c>
      <c r="V12" s="18">
        <f>IFERROR(VLOOKUP(A:A,MASTER!A:L,12,0),0)</f>
        <v>1326</v>
      </c>
      <c r="W12" s="9">
        <f t="shared" si="6"/>
        <v>-0.26168929110105577</v>
      </c>
    </row>
    <row r="13" spans="1:23" ht="64.5" customHeight="1" x14ac:dyDescent="0.35">
      <c r="A13" s="10" t="s">
        <v>7</v>
      </c>
      <c r="B13" s="1" t="s">
        <v>17</v>
      </c>
      <c r="C13" s="4">
        <f>IFERROR(VLOOKUP($A:$A,MASTER!$A:$T,3,0),0)</f>
        <v>193382183.48710367</v>
      </c>
      <c r="D13" s="4">
        <f>IFERROR(VLOOKUP($A:$A,MASTER!$A:$T,4,0),0)</f>
        <v>189575459.23862797</v>
      </c>
      <c r="E13" s="9">
        <f t="shared" si="0"/>
        <v>2.0080258614507684E-2</v>
      </c>
      <c r="F13" s="4">
        <f>IFERROR(VLOOKUP(A:A,MASTER!A:E,5,0),0)</f>
        <v>518018.01801802003</v>
      </c>
      <c r="G13" s="4">
        <f>IFERROR(VLOOKUP(A:A,MASTER!A:F,6,0),0)</f>
        <v>600900.90090090199</v>
      </c>
      <c r="H13" s="9">
        <f t="shared" si="1"/>
        <v>-0.1379310344827569</v>
      </c>
      <c r="I13" s="4">
        <f>IFERROR(VLOOKUP(A:A,MASTER!A:M,13,0),0)</f>
        <v>38930180.180180177</v>
      </c>
      <c r="J13" s="4">
        <f>IFERROR(VLOOKUP($A:$A,MASTER!$A:$T,14,0),0)</f>
        <v>67100450.45045045</v>
      </c>
      <c r="K13" s="9">
        <f t="shared" si="2"/>
        <v>-0.41982237199841577</v>
      </c>
      <c r="L13" s="4">
        <f>IFERROR(VLOOKUP($A:$A,MASTER!$A:$T,15,0),0)</f>
        <v>134598828.82882884</v>
      </c>
      <c r="M13" s="4">
        <f>IFERROR(VLOOKUP($A:$A,MASTER!$A:$T,16,0),0)</f>
        <v>127092765.76576576</v>
      </c>
      <c r="N13" s="9">
        <f t="shared" si="3"/>
        <v>5.9059719236080666E-2</v>
      </c>
      <c r="O13" s="4">
        <f>IFERROR(VLOOKUP($A:$A,MASTER!$A:$T,17,0),0)</f>
        <v>38096576.576576576</v>
      </c>
      <c r="P13" s="4">
        <f>IFERROR(VLOOKUP($A:$A,MASTER!$A:$T,18,0),0)</f>
        <v>65035855.855855852</v>
      </c>
      <c r="Q13" s="9">
        <f t="shared" si="4"/>
        <v>-0.41422195379402627</v>
      </c>
      <c r="R13" s="4">
        <f>IFERROR(VLOOKUP($A:$A,MASTER!$A:$T,19,0),0)</f>
        <v>5459</v>
      </c>
      <c r="S13" s="4">
        <f>IFERROR(VLOOKUP($A:$A,MASTER!$A:$T,20,0),0)</f>
        <v>4770</v>
      </c>
      <c r="T13" s="9">
        <f t="shared" si="5"/>
        <v>0.14444444444444438</v>
      </c>
      <c r="U13" s="18">
        <f>IFERROR(VLOOKUP(A:A,MASTER!A:K,11,0),0)</f>
        <v>78</v>
      </c>
      <c r="V13" s="18">
        <f>IFERROR(VLOOKUP(A:A,MASTER!A:L,12,0),0)</f>
        <v>63</v>
      </c>
      <c r="W13" s="9">
        <f t="shared" si="6"/>
        <v>0.23809523809523814</v>
      </c>
    </row>
    <row r="14" spans="1:23" ht="64.5" customHeight="1" x14ac:dyDescent="0.35">
      <c r="A14" s="10" t="s">
        <v>8</v>
      </c>
      <c r="B14" s="1" t="s">
        <v>16</v>
      </c>
      <c r="C14" s="4">
        <f>IFERROR(VLOOKUP($A:$A,MASTER!$A:$T,3,0),0)</f>
        <v>273534125.94776011</v>
      </c>
      <c r="D14" s="4">
        <f>IFERROR(VLOOKUP($A:$A,MASTER!$A:$T,4,0),0)</f>
        <v>270999889.99547154</v>
      </c>
      <c r="E14" s="9">
        <f t="shared" si="0"/>
        <v>9.3514279741253592E-3</v>
      </c>
      <c r="F14" s="4">
        <f>IFERROR(VLOOKUP(A:A,MASTER!A:E,5,0),0)</f>
        <v>5694594.594594596</v>
      </c>
      <c r="G14" s="4">
        <f>IFERROR(VLOOKUP(A:A,MASTER!A:F,6,0),0)</f>
        <v>5910267.5675675692</v>
      </c>
      <c r="H14" s="9">
        <f t="shared" si="1"/>
        <v>-3.6491236734606192E-2</v>
      </c>
      <c r="I14" s="4">
        <f>IFERROR(VLOOKUP(A:A,MASTER!A:M,13,0),0)</f>
        <v>48337837.837837838</v>
      </c>
      <c r="J14" s="4">
        <f>IFERROR(VLOOKUP($A:$A,MASTER!$A:$T,14,0),0)</f>
        <v>50497057.657657661</v>
      </c>
      <c r="K14" s="9">
        <f t="shared" si="2"/>
        <v>-4.2759319452989719E-2</v>
      </c>
      <c r="L14" s="4">
        <f>IFERROR(VLOOKUP($A:$A,MASTER!$A:$T,15,0),0)</f>
        <v>80461414.414414421</v>
      </c>
      <c r="M14" s="4">
        <f>IFERROR(VLOOKUP($A:$A,MASTER!$A:$T,16,0),0)</f>
        <v>80994342.342342332</v>
      </c>
      <c r="N14" s="9">
        <f t="shared" si="3"/>
        <v>-6.5798167194859314E-3</v>
      </c>
      <c r="O14" s="4">
        <f>IFERROR(VLOOKUP($A:$A,MASTER!$A:$T,17,0),0)</f>
        <v>42733153.153153151</v>
      </c>
      <c r="P14" s="4">
        <f>IFERROR(VLOOKUP($A:$A,MASTER!$A:$T,18,0),0)</f>
        <v>44255855.855855852</v>
      </c>
      <c r="Q14" s="9">
        <f t="shared" si="4"/>
        <v>-3.4406807263252182E-2</v>
      </c>
      <c r="R14" s="4">
        <f>IFERROR(VLOOKUP($A:$A,MASTER!$A:$T,19,0),0)</f>
        <v>4240</v>
      </c>
      <c r="S14" s="4">
        <f>IFERROR(VLOOKUP($A:$A,MASTER!$A:$T,20,0),0)</f>
        <v>3673</v>
      </c>
      <c r="T14" s="9">
        <f t="shared" si="5"/>
        <v>0.15436972502041924</v>
      </c>
      <c r="U14" s="18">
        <f>IFERROR(VLOOKUP(A:A,MASTER!A:K,11,0),0)</f>
        <v>30</v>
      </c>
      <c r="V14" s="18">
        <f>IFERROR(VLOOKUP(A:A,MASTER!A:L,12,0),0)</f>
        <v>61</v>
      </c>
      <c r="W14" s="9">
        <f t="shared" si="6"/>
        <v>-0.50819672131147542</v>
      </c>
    </row>
    <row r="15" spans="1:23" ht="64.5" customHeight="1" x14ac:dyDescent="0.35">
      <c r="A15" s="10" t="s">
        <v>9</v>
      </c>
      <c r="B15" s="1" t="s">
        <v>16</v>
      </c>
      <c r="C15" s="4">
        <f>IFERROR(VLOOKUP($A:$A,MASTER!$A:$T,3,0),0)</f>
        <v>525826648.29186225</v>
      </c>
      <c r="D15" s="4">
        <f>IFERROR(VLOOKUP($A:$A,MASTER!$A:$T,4,0),0)</f>
        <v>497989777.10676163</v>
      </c>
      <c r="E15" s="9">
        <f t="shared" si="0"/>
        <v>5.5898479175271909E-2</v>
      </c>
      <c r="F15" s="4">
        <f>IFERROR(VLOOKUP(A:A,MASTER!A:E,5,0),0)</f>
        <v>14174192.792792795</v>
      </c>
      <c r="G15" s="4">
        <f>IFERROR(VLOOKUP(A:A,MASTER!A:F,6,0),0)</f>
        <v>11601609.009009015</v>
      </c>
      <c r="H15" s="9">
        <f t="shared" si="1"/>
        <v>0.22174370656570885</v>
      </c>
      <c r="I15" s="4">
        <f>IFERROR(VLOOKUP(A:A,MASTER!A:M,13,0),0)</f>
        <v>748572924.32432437</v>
      </c>
      <c r="J15" s="4">
        <f>IFERROR(VLOOKUP($A:$A,MASTER!$A:$T,14,0),0)</f>
        <v>730869529.72972977</v>
      </c>
      <c r="K15" s="9">
        <f t="shared" si="2"/>
        <v>2.4222373316262313E-2</v>
      </c>
      <c r="L15" s="4">
        <f>IFERROR(VLOOKUP($A:$A,MASTER!$A:$T,15,0),0)</f>
        <v>189265054.05405405</v>
      </c>
      <c r="M15" s="4">
        <f>IFERROR(VLOOKUP($A:$A,MASTER!$A:$T,16,0),0)</f>
        <v>181817601.8018018</v>
      </c>
      <c r="N15" s="9">
        <f t="shared" si="3"/>
        <v>4.0961118057044166E-2</v>
      </c>
      <c r="O15" s="4">
        <f>IFERROR(VLOOKUP($A:$A,MASTER!$A:$T,17,0),0)</f>
        <v>651802072.07207203</v>
      </c>
      <c r="P15" s="4">
        <f>IFERROR(VLOOKUP($A:$A,MASTER!$A:$T,18,0),0)</f>
        <v>684632027.02702713</v>
      </c>
      <c r="Q15" s="9">
        <f t="shared" si="4"/>
        <v>-4.7952701099183481E-2</v>
      </c>
      <c r="R15" s="4">
        <f>IFERROR(VLOOKUP($A:$A,MASTER!$A:$T,19,0),0)</f>
        <v>8287</v>
      </c>
      <c r="S15" s="4">
        <f>IFERROR(VLOOKUP($A:$A,MASTER!$A:$T,20,0),0)</f>
        <v>7127</v>
      </c>
      <c r="T15" s="9">
        <f t="shared" si="5"/>
        <v>0.16276133015293959</v>
      </c>
      <c r="U15" s="18">
        <f>IFERROR(VLOOKUP(A:A,MASTER!A:K,11,0),0)</f>
        <v>93</v>
      </c>
      <c r="V15" s="18">
        <f>IFERROR(VLOOKUP(A:A,MASTER!A:L,12,0),0)</f>
        <v>144</v>
      </c>
      <c r="W15" s="9">
        <f t="shared" si="6"/>
        <v>-0.35416666666666663</v>
      </c>
    </row>
    <row r="16" spans="1:23" ht="64.5" customHeight="1" x14ac:dyDescent="0.35">
      <c r="A16" s="10" t="s">
        <v>35</v>
      </c>
      <c r="B16" s="1" t="s">
        <v>16</v>
      </c>
      <c r="C16" s="4">
        <f>IFERROR(VLOOKUP($A:$A,MASTER!$A:$T,3,0),0)</f>
        <v>0</v>
      </c>
      <c r="D16" s="4">
        <f>IFERROR(VLOOKUP($A:$A,MASTER!$A:$T,4,0),0)</f>
        <v>0</v>
      </c>
      <c r="E16" s="9">
        <f t="shared" si="0"/>
        <v>0</v>
      </c>
      <c r="F16" s="4">
        <f>IFERROR(VLOOKUP(A:A,MASTER!A:E,5,0),0)</f>
        <v>376959459.45945948</v>
      </c>
      <c r="G16" s="4">
        <f>IFERROR(VLOOKUP(A:A,MASTER!A:F,6,0),0)</f>
        <v>831701801.8018018</v>
      </c>
      <c r="H16" s="9">
        <f t="shared" si="1"/>
        <v>-0.54676128073449748</v>
      </c>
      <c r="I16" s="4">
        <f>IFERROR(VLOOKUP(A:A,MASTER!A:M,13,0),0)</f>
        <v>25661036.036036037</v>
      </c>
      <c r="J16" s="4">
        <f>IFERROR(VLOOKUP($A:$A,MASTER!$A:$T,14,0),0)</f>
        <v>42986711.711711712</v>
      </c>
      <c r="K16" s="9">
        <f t="shared" si="2"/>
        <v>-0.40304724380570156</v>
      </c>
      <c r="L16" s="4">
        <f>IFERROR(VLOOKUP($A:$A,MASTER!$A:$T,15,0),0)</f>
        <v>0</v>
      </c>
      <c r="M16" s="4">
        <f>IFERROR(VLOOKUP($A:$A,MASTER!$A:$T,16,0),0)</f>
        <v>0</v>
      </c>
      <c r="N16" s="9">
        <f t="shared" si="3"/>
        <v>0</v>
      </c>
      <c r="O16" s="4">
        <f>IFERROR(VLOOKUP($A:$A,MASTER!$A:$T,17,0),0)</f>
        <v>0</v>
      </c>
      <c r="P16" s="4">
        <f>IFERROR(VLOOKUP($A:$A,MASTER!$A:$T,18,0),0)</f>
        <v>0</v>
      </c>
      <c r="Q16" s="9">
        <f t="shared" si="4"/>
        <v>0</v>
      </c>
      <c r="R16" s="4">
        <f>IFERROR(VLOOKUP($A:$A,MASTER!$A:$T,19,0),0)</f>
        <v>0</v>
      </c>
      <c r="S16" s="4">
        <f>IFERROR(VLOOKUP($A:$A,MASTER!$A:$T,20,0),0)</f>
        <v>0</v>
      </c>
      <c r="T16" s="9">
        <f t="shared" si="5"/>
        <v>0</v>
      </c>
      <c r="U16" s="18">
        <f>IFERROR(VLOOKUP(A:A,MASTER!A:K,11,0),0)</f>
        <v>0</v>
      </c>
      <c r="V16" s="18">
        <f>IFERROR(VLOOKUP(A:A,MASTER!A:L,12,0),0)</f>
        <v>0</v>
      </c>
      <c r="W16" s="9">
        <f t="shared" si="6"/>
        <v>0</v>
      </c>
    </row>
    <row r="17" spans="1:23" ht="64.5" customHeight="1" x14ac:dyDescent="0.35">
      <c r="A17" s="10" t="s">
        <v>10</v>
      </c>
      <c r="B17" s="1" t="s">
        <v>17</v>
      </c>
      <c r="C17" s="4">
        <f>IFERROR(VLOOKUP($A:$A,MASTER!$A:$T,3,0),0)</f>
        <v>220905960.20294353</v>
      </c>
      <c r="D17" s="4">
        <f>IFERROR(VLOOKUP($A:$A,MASTER!$A:$T,4,0),0)</f>
        <v>216835277.35089386</v>
      </c>
      <c r="E17" s="9">
        <f t="shared" si="0"/>
        <v>1.8773157678869223E-2</v>
      </c>
      <c r="F17" s="4">
        <f>IFERROR(VLOOKUP(A:A,MASTER!A:E,5,0),0)</f>
        <v>0</v>
      </c>
      <c r="G17" s="4">
        <f>IFERROR(VLOOKUP(A:A,MASTER!A:F,6,0),0)</f>
        <v>20268.468468469</v>
      </c>
      <c r="H17" s="9">
        <f t="shared" si="1"/>
        <v>-1</v>
      </c>
      <c r="I17" s="4">
        <f>IFERROR(VLOOKUP(A:A,MASTER!A:M,13,0),0)</f>
        <v>0</v>
      </c>
      <c r="J17" s="4">
        <f>IFERROR(VLOOKUP($A:$A,MASTER!$A:$T,14,0),0)</f>
        <v>21335.135135134999</v>
      </c>
      <c r="K17" s="9">
        <f t="shared" si="2"/>
        <v>-1</v>
      </c>
      <c r="L17" s="4">
        <f>IFERROR(VLOOKUP($A:$A,MASTER!$A:$T,15,0),0)</f>
        <v>131784700.9009009</v>
      </c>
      <c r="M17" s="4">
        <f>IFERROR(VLOOKUP($A:$A,MASTER!$A:$T,16,0),0)</f>
        <v>129149063.06306306</v>
      </c>
      <c r="N17" s="9">
        <f t="shared" si="3"/>
        <v>2.0407719385086676E-2</v>
      </c>
      <c r="O17" s="4">
        <f>IFERROR(VLOOKUP($A:$A,MASTER!$A:$T,17,0),0)</f>
        <v>19639.639639640001</v>
      </c>
      <c r="P17" s="4">
        <f>IFERROR(VLOOKUP($A:$A,MASTER!$A:$T,18,0),0)</f>
        <v>576486.48648648604</v>
      </c>
      <c r="Q17" s="9">
        <f t="shared" si="4"/>
        <v>-0.96593217690264033</v>
      </c>
      <c r="R17" s="4">
        <f>IFERROR(VLOOKUP($A:$A,MASTER!$A:$T,19,0),0)</f>
        <v>4395</v>
      </c>
      <c r="S17" s="4">
        <f>IFERROR(VLOOKUP($A:$A,MASTER!$A:$T,20,0),0)</f>
        <v>3572</v>
      </c>
      <c r="T17" s="9">
        <f t="shared" si="5"/>
        <v>0.23040313549832026</v>
      </c>
      <c r="U17" s="18">
        <f>IFERROR(VLOOKUP(A:A,MASTER!A:K,11,0),0)</f>
        <v>33</v>
      </c>
      <c r="V17" s="18">
        <f>IFERROR(VLOOKUP(A:A,MASTER!A:L,12,0),0)</f>
        <v>28</v>
      </c>
      <c r="W17" s="9">
        <f t="shared" si="6"/>
        <v>0.1785714285714286</v>
      </c>
    </row>
    <row r="18" spans="1:23" ht="64.5" customHeight="1" x14ac:dyDescent="0.35">
      <c r="A18" s="10" t="s">
        <v>11</v>
      </c>
      <c r="B18" s="1" t="s">
        <v>17</v>
      </c>
      <c r="C18" s="4">
        <f>IFERROR(VLOOKUP($A:$A,MASTER!$A:$T,3,0),0)</f>
        <v>193153816.77363324</v>
      </c>
      <c r="D18" s="4">
        <f>IFERROR(VLOOKUP($A:$A,MASTER!$A:$T,4,0),0)</f>
        <v>178101403.14284438</v>
      </c>
      <c r="E18" s="9">
        <f t="shared" si="0"/>
        <v>8.4515974412151307E-2</v>
      </c>
      <c r="F18" s="4">
        <f>IFERROR(VLOOKUP(A:A,MASTER!A:E,5,0),0)</f>
        <v>636936.93693693797</v>
      </c>
      <c r="G18" s="4">
        <f>IFERROR(VLOOKUP(A:A,MASTER!A:F,6,0),0)</f>
        <v>1235135.1351351349</v>
      </c>
      <c r="H18" s="9">
        <f t="shared" si="1"/>
        <v>-0.48431801604668034</v>
      </c>
      <c r="I18" s="4">
        <f>IFERROR(VLOOKUP(A:A,MASTER!A:M,13,0),0)</f>
        <v>15456756.756756758</v>
      </c>
      <c r="J18" s="4">
        <f>IFERROR(VLOOKUP($A:$A,MASTER!$A:$T,14,0),0)</f>
        <v>23036936.936936937</v>
      </c>
      <c r="K18" s="9">
        <f t="shared" si="2"/>
        <v>-0.32904462085956743</v>
      </c>
      <c r="L18" s="4">
        <f>IFERROR(VLOOKUP($A:$A,MASTER!$A:$T,15,0),0)</f>
        <v>65294804.054054059</v>
      </c>
      <c r="M18" s="4">
        <f>IFERROR(VLOOKUP($A:$A,MASTER!$A:$T,16,0),0)</f>
        <v>67773378.378378376</v>
      </c>
      <c r="N18" s="9">
        <f t="shared" si="3"/>
        <v>-3.6571503201248912E-2</v>
      </c>
      <c r="O18" s="4">
        <f>IFERROR(VLOOKUP($A:$A,MASTER!$A:$T,17,0),0)</f>
        <v>15790720.72072072</v>
      </c>
      <c r="P18" s="4">
        <f>IFERROR(VLOOKUP($A:$A,MASTER!$A:$T,18,0),0)</f>
        <v>22814234.234234232</v>
      </c>
      <c r="Q18" s="9">
        <f t="shared" si="4"/>
        <v>-0.30785664078850727</v>
      </c>
      <c r="R18" s="4">
        <f>IFERROR(VLOOKUP($A:$A,MASTER!$A:$T,19,0),0)</f>
        <v>6474</v>
      </c>
      <c r="S18" s="4">
        <f>IFERROR(VLOOKUP($A:$A,MASTER!$A:$T,20,0),0)</f>
        <v>3787</v>
      </c>
      <c r="T18" s="9">
        <f t="shared" si="5"/>
        <v>0.70953261156588332</v>
      </c>
      <c r="U18" s="18">
        <f>IFERROR(VLOOKUP(A:A,MASTER!A:K,11,0),0)</f>
        <v>49</v>
      </c>
      <c r="V18" s="18">
        <f>IFERROR(VLOOKUP(A:A,MASTER!A:L,12,0),0)</f>
        <v>44</v>
      </c>
      <c r="W18" s="9">
        <f t="shared" si="6"/>
        <v>0.11363636363636354</v>
      </c>
    </row>
    <row r="19" spans="1:23" ht="64.5" customHeight="1" x14ac:dyDescent="0.35">
      <c r="A19" s="10" t="s">
        <v>12</v>
      </c>
      <c r="B19" s="1" t="s">
        <v>17</v>
      </c>
      <c r="C19" s="4">
        <f>IFERROR(VLOOKUP($A:$A,MASTER!$A:$T,3,0),0)</f>
        <v>131333292.76205365</v>
      </c>
      <c r="D19" s="4">
        <f>IFERROR(VLOOKUP($A:$A,MASTER!$A:$T,4,0),0)</f>
        <v>116088530.24195302</v>
      </c>
      <c r="E19" s="9">
        <f t="shared" si="0"/>
        <v>0.1313201441031886</v>
      </c>
      <c r="F19" s="4">
        <f>IFERROR(VLOOKUP(A:A,MASTER!A:E,5,0),0)</f>
        <v>5459459.4594594594</v>
      </c>
      <c r="G19" s="4">
        <f>IFERROR(VLOOKUP(A:A,MASTER!A:F,6,0),0)</f>
        <v>721621.62162162305</v>
      </c>
      <c r="H19" s="9">
        <f t="shared" si="1"/>
        <v>6.5655430711610334</v>
      </c>
      <c r="I19" s="4">
        <f>IFERROR(VLOOKUP(A:A,MASTER!A:M,13,0),0)</f>
        <v>23117117.117117114</v>
      </c>
      <c r="J19" s="4">
        <f>IFERROR(VLOOKUP($A:$A,MASTER!$A:$T,14,0),0)</f>
        <v>10181081.081081079</v>
      </c>
      <c r="K19" s="9">
        <f t="shared" si="2"/>
        <v>1.2705955225201313</v>
      </c>
      <c r="L19" s="4">
        <f>IFERROR(VLOOKUP($A:$A,MASTER!$A:$T,15,0),0)</f>
        <v>50972765.765765771</v>
      </c>
      <c r="M19" s="4">
        <f>IFERROR(VLOOKUP($A:$A,MASTER!$A:$T,16,0),0)</f>
        <v>49649729.729729727</v>
      </c>
      <c r="N19" s="9">
        <f t="shared" si="3"/>
        <v>2.6647396536457313E-2</v>
      </c>
      <c r="O19" s="4">
        <f>IFERROR(VLOOKUP($A:$A,MASTER!$A:$T,17,0),0)</f>
        <v>26469099.0990991</v>
      </c>
      <c r="P19" s="4">
        <f>IFERROR(VLOOKUP($A:$A,MASTER!$A:$T,18,0),0)</f>
        <v>12175135.135135137</v>
      </c>
      <c r="Q19" s="9">
        <f t="shared" si="4"/>
        <v>1.1740291836855499</v>
      </c>
      <c r="R19" s="4">
        <f>IFERROR(VLOOKUP($A:$A,MASTER!$A:$T,19,0),0)</f>
        <v>6004</v>
      </c>
      <c r="S19" s="4">
        <f>IFERROR(VLOOKUP($A:$A,MASTER!$A:$T,20,0),0)</f>
        <v>2766</v>
      </c>
      <c r="T19" s="9">
        <f t="shared" si="5"/>
        <v>1.170643528561099</v>
      </c>
      <c r="U19" s="18">
        <f>IFERROR(VLOOKUP(A:A,MASTER!A:K,11,0),0)</f>
        <v>23</v>
      </c>
      <c r="V19" s="18">
        <f>IFERROR(VLOOKUP(A:A,MASTER!A:L,12,0),0)</f>
        <v>25</v>
      </c>
      <c r="W19" s="9">
        <f t="shared" si="6"/>
        <v>-7.999999999999996E-2</v>
      </c>
    </row>
    <row r="20" spans="1:23" ht="64.5" customHeight="1" x14ac:dyDescent="0.35">
      <c r="A20" s="10" t="s">
        <v>36</v>
      </c>
      <c r="B20" s="1" t="s">
        <v>16</v>
      </c>
      <c r="C20" s="4">
        <f>IFERROR(VLOOKUP($A:$A,MASTER!$A:$T,3,0),0)</f>
        <v>0</v>
      </c>
      <c r="D20" s="4">
        <f>IFERROR(VLOOKUP($A:$A,MASTER!$A:$T,4,0),0)</f>
        <v>0</v>
      </c>
      <c r="E20" s="9">
        <f t="shared" si="0"/>
        <v>0</v>
      </c>
      <c r="F20" s="4">
        <f>IFERROR(VLOOKUP(A:A,MASTER!A:E,5,0),0)</f>
        <v>0</v>
      </c>
      <c r="G20" s="4">
        <f>IFERROR(VLOOKUP(A:A,MASTER!A:F,6,0),0)</f>
        <v>0</v>
      </c>
      <c r="H20" s="9">
        <f t="shared" si="1"/>
        <v>0</v>
      </c>
      <c r="I20" s="4">
        <f>IFERROR(VLOOKUP(A:A,MASTER!A:M,13,0),0)</f>
        <v>0</v>
      </c>
      <c r="J20" s="4">
        <f>IFERROR(VLOOKUP($A:$A,MASTER!$A:$T,14,0),0)</f>
        <v>0</v>
      </c>
      <c r="K20" s="9">
        <f t="shared" si="2"/>
        <v>0</v>
      </c>
      <c r="L20" s="4">
        <f>IFERROR(VLOOKUP($A:$A,MASTER!$A:$T,15,0),0)</f>
        <v>0</v>
      </c>
      <c r="M20" s="4">
        <f>IFERROR(VLOOKUP($A:$A,MASTER!$A:$T,16,0),0)</f>
        <v>0</v>
      </c>
      <c r="N20" s="9">
        <f t="shared" si="3"/>
        <v>0</v>
      </c>
      <c r="O20" s="4">
        <f>IFERROR(VLOOKUP($A:$A,MASTER!$A:$T,17,0),0)</f>
        <v>0</v>
      </c>
      <c r="P20" s="4">
        <f>IFERROR(VLOOKUP($A:$A,MASTER!$A:$T,18,0),0)</f>
        <v>0</v>
      </c>
      <c r="Q20" s="9">
        <f t="shared" si="4"/>
        <v>0</v>
      </c>
      <c r="R20" s="4">
        <f>IFERROR(VLOOKUP($A:$A,MASTER!$A:$T,19,0),0)</f>
        <v>0</v>
      </c>
      <c r="S20" s="4">
        <f>IFERROR(VLOOKUP($A:$A,MASTER!$A:$T,20,0),0)</f>
        <v>0</v>
      </c>
      <c r="T20" s="9">
        <f t="shared" si="5"/>
        <v>0</v>
      </c>
      <c r="U20" s="18">
        <f>IFERROR(VLOOKUP(A:A,MASTER!A:K,11,0),0)</f>
        <v>0</v>
      </c>
      <c r="V20" s="18">
        <f>IFERROR(VLOOKUP(A:A,MASTER!A:L,12,0),0)</f>
        <v>0</v>
      </c>
      <c r="W20" s="9">
        <f t="shared" si="6"/>
        <v>0</v>
      </c>
    </row>
    <row r="21" spans="1:23" ht="64.5" customHeight="1" x14ac:dyDescent="0.35">
      <c r="A21" s="10" t="s">
        <v>13</v>
      </c>
      <c r="B21" s="1" t="s">
        <v>16</v>
      </c>
      <c r="C21" s="4">
        <f>IFERROR(VLOOKUP($A:$A,MASTER!$A:$T,3,0),0)</f>
        <v>441759941.02012259</v>
      </c>
      <c r="D21" s="4">
        <f>IFERROR(VLOOKUP($A:$A,MASTER!$A:$T,4,0),0)</f>
        <v>417460165.52510321</v>
      </c>
      <c r="E21" s="9">
        <f t="shared" si="0"/>
        <v>5.8208608872786449E-2</v>
      </c>
      <c r="F21" s="4">
        <f>IFERROR(VLOOKUP(A:A,MASTER!A:E,5,0),0)</f>
        <v>6066666.6666666744</v>
      </c>
      <c r="G21" s="4">
        <f>IFERROR(VLOOKUP(A:A,MASTER!A:F,6,0),0)</f>
        <v>6853442.342342346</v>
      </c>
      <c r="H21" s="9">
        <f t="shared" si="1"/>
        <v>-0.11480007219361388</v>
      </c>
      <c r="I21" s="4">
        <f>IFERROR(VLOOKUP(A:A,MASTER!A:M,13,0),0)</f>
        <v>159559684.68468466</v>
      </c>
      <c r="J21" s="4">
        <f>IFERROR(VLOOKUP($A:$A,MASTER!$A:$T,14,0),0)</f>
        <v>170560035.13513514</v>
      </c>
      <c r="K21" s="9">
        <f t="shared" si="2"/>
        <v>-6.4495474814688425E-2</v>
      </c>
      <c r="L21" s="4">
        <f>IFERROR(VLOOKUP($A:$A,MASTER!$A:$T,15,0),0)</f>
        <v>262214684.68468466</v>
      </c>
      <c r="M21" s="4">
        <f>IFERROR(VLOOKUP($A:$A,MASTER!$A:$T,16,0),0)</f>
        <v>261836756.75675678</v>
      </c>
      <c r="N21" s="9">
        <f t="shared" si="3"/>
        <v>1.4433723233098217E-3</v>
      </c>
      <c r="O21" s="4">
        <f>IFERROR(VLOOKUP($A:$A,MASTER!$A:$T,17,0),0)</f>
        <v>156390088.2882883</v>
      </c>
      <c r="P21" s="4">
        <f>IFERROR(VLOOKUP($A:$A,MASTER!$A:$T,18,0),0)</f>
        <v>192985405.4054054</v>
      </c>
      <c r="Q21" s="9">
        <f t="shared" si="4"/>
        <v>-0.18962738161593695</v>
      </c>
      <c r="R21" s="4">
        <f>IFERROR(VLOOKUP($A:$A,MASTER!$A:$T,19,0),0)</f>
        <v>10410</v>
      </c>
      <c r="S21" s="4">
        <f>IFERROR(VLOOKUP($A:$A,MASTER!$A:$T,20,0),0)</f>
        <v>7324</v>
      </c>
      <c r="T21" s="9">
        <f t="shared" si="5"/>
        <v>0.42135445111960679</v>
      </c>
      <c r="U21" s="18">
        <f>IFERROR(VLOOKUP(A:A,MASTER!A:K,11,0),0)</f>
        <v>470</v>
      </c>
      <c r="V21" s="18">
        <f>IFERROR(VLOOKUP(A:A,MASTER!A:L,12,0),0)</f>
        <v>978</v>
      </c>
      <c r="W21" s="9">
        <f t="shared" si="6"/>
        <v>-0.51942740286298572</v>
      </c>
    </row>
    <row r="22" spans="1:23" ht="64.5" customHeight="1" x14ac:dyDescent="0.35">
      <c r="A22" s="10" t="s">
        <v>14</v>
      </c>
      <c r="B22" s="1" t="s">
        <v>16</v>
      </c>
      <c r="C22" s="4">
        <f>IFERROR(VLOOKUP($A:$A,MASTER!$A:$T,3,0),0)</f>
        <v>224378758.41357687</v>
      </c>
      <c r="D22" s="4">
        <f>IFERROR(VLOOKUP($A:$A,MASTER!$A:$T,4,0),0)</f>
        <v>224833310.61537081</v>
      </c>
      <c r="E22" s="9">
        <f t="shared" si="0"/>
        <v>-2.0217297897265896E-3</v>
      </c>
      <c r="F22" s="4">
        <f>IFERROR(VLOOKUP(A:A,MASTER!A:E,5,0),0)</f>
        <v>1451351.3513513519</v>
      </c>
      <c r="G22" s="4">
        <f>IFERROR(VLOOKUP(A:A,MASTER!A:F,6,0),0)</f>
        <v>1215983.7837837851</v>
      </c>
      <c r="H22" s="9">
        <f t="shared" si="1"/>
        <v>0.1935614361855813</v>
      </c>
      <c r="I22" s="4">
        <f>IFERROR(VLOOKUP(A:A,MASTER!A:M,13,0),0)</f>
        <v>50304504.504504502</v>
      </c>
      <c r="J22" s="4">
        <f>IFERROR(VLOOKUP($A:$A,MASTER!$A:$T,14,0),0)</f>
        <v>37772372.072072074</v>
      </c>
      <c r="K22" s="9">
        <f t="shared" si="2"/>
        <v>0.33178039251864644</v>
      </c>
      <c r="L22" s="4">
        <f>IFERROR(VLOOKUP($A:$A,MASTER!$A:$T,15,0),0)</f>
        <v>75243333.333333328</v>
      </c>
      <c r="M22" s="4">
        <f>IFERROR(VLOOKUP($A:$A,MASTER!$A:$T,16,0),0)</f>
        <v>78627540.540540546</v>
      </c>
      <c r="N22" s="9">
        <f t="shared" si="3"/>
        <v>-4.3040990268064072E-2</v>
      </c>
      <c r="O22" s="4">
        <f>IFERROR(VLOOKUP($A:$A,MASTER!$A:$T,17,0),0)</f>
        <v>48095855.855855852</v>
      </c>
      <c r="P22" s="4">
        <f>IFERROR(VLOOKUP($A:$A,MASTER!$A:$T,18,0),0)</f>
        <v>33590000</v>
      </c>
      <c r="Q22" s="9">
        <f t="shared" si="4"/>
        <v>0.4318504273848125</v>
      </c>
      <c r="R22" s="4">
        <f>IFERROR(VLOOKUP($A:$A,MASTER!$A:$T,19,0),0)</f>
        <v>4100</v>
      </c>
      <c r="S22" s="4">
        <f>IFERROR(VLOOKUP($A:$A,MASTER!$A:$T,20,0),0)</f>
        <v>3912</v>
      </c>
      <c r="T22" s="9">
        <f t="shared" si="5"/>
        <v>4.805725971370145E-2</v>
      </c>
      <c r="U22" s="18">
        <f>IFERROR(VLOOKUP(A:A,MASTER!A:K,11,0),0)</f>
        <v>38</v>
      </c>
      <c r="V22" s="18">
        <f>IFERROR(VLOOKUP(A:A,MASTER!A:L,12,0),0)</f>
        <v>36</v>
      </c>
      <c r="W22" s="9">
        <f t="shared" si="6"/>
        <v>5.555555555555558E-2</v>
      </c>
    </row>
  </sheetData>
  <autoFilter ref="A5:T22"/>
  <conditionalFormatting sqref="E6:E22">
    <cfRule type="cellIs" dxfId="6" priority="12" operator="lessThan">
      <formula>0</formula>
    </cfRule>
  </conditionalFormatting>
  <conditionalFormatting sqref="H6:H22">
    <cfRule type="cellIs" dxfId="5" priority="6" operator="lessThan">
      <formula>0</formula>
    </cfRule>
  </conditionalFormatting>
  <conditionalFormatting sqref="K6:K22">
    <cfRule type="cellIs" dxfId="4" priority="5" operator="lessThan">
      <formula>0</formula>
    </cfRule>
  </conditionalFormatting>
  <conditionalFormatting sqref="N6:N22">
    <cfRule type="cellIs" dxfId="3" priority="4" operator="lessThan">
      <formula>0</formula>
    </cfRule>
  </conditionalFormatting>
  <conditionalFormatting sqref="Q6:Q22">
    <cfRule type="cellIs" dxfId="2" priority="3" operator="lessThan">
      <formula>0</formula>
    </cfRule>
  </conditionalFormatting>
  <conditionalFormatting sqref="T6:T22">
    <cfRule type="cellIs" dxfId="1" priority="2" operator="lessThan">
      <formula>0</formula>
    </cfRule>
  </conditionalFormatting>
  <conditionalFormatting sqref="W6:W22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76"/>
  <sheetViews>
    <sheetView tabSelected="1" workbookViewId="0">
      <pane xSplit="1" ySplit="2" topLeftCell="K3" activePane="bottomRight" state="frozen"/>
      <selection pane="topRight" activeCell="B1" sqref="B1"/>
      <selection pane="bottomLeft" activeCell="A3" sqref="A3"/>
      <selection pane="bottomRight" activeCell="A3" sqref="A3:T571"/>
    </sheetView>
  </sheetViews>
  <sheetFormatPr defaultRowHeight="14.5" x14ac:dyDescent="0.3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23.1796875" bestFit="1" customWidth="1"/>
    <col min="11" max="12" width="11.36328125" bestFit="1" customWidth="1"/>
    <col min="13" max="18" width="11.81640625" bestFit="1" customWidth="1"/>
  </cols>
  <sheetData>
    <row r="1" spans="1:20" x14ac:dyDescent="0.35">
      <c r="L1" s="7"/>
      <c r="M1" s="7"/>
    </row>
    <row r="2" spans="1:20" x14ac:dyDescent="0.35">
      <c r="A2" s="7" t="s">
        <v>37</v>
      </c>
      <c r="B2" s="11"/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41</v>
      </c>
      <c r="J2" s="7" t="s">
        <v>41</v>
      </c>
      <c r="K2" s="7" t="s">
        <v>42</v>
      </c>
      <c r="L2" s="7" t="s">
        <v>42</v>
      </c>
      <c r="M2" s="7" t="s">
        <v>43</v>
      </c>
      <c r="N2" s="7" t="s">
        <v>43</v>
      </c>
      <c r="O2" s="7" t="s">
        <v>44</v>
      </c>
      <c r="P2" s="7" t="s">
        <v>44</v>
      </c>
      <c r="Q2" s="7" t="s">
        <v>45</v>
      </c>
      <c r="R2" s="7" t="s">
        <v>45</v>
      </c>
      <c r="S2" s="7" t="s">
        <v>30</v>
      </c>
      <c r="T2" s="7" t="s">
        <v>30</v>
      </c>
    </row>
    <row r="3" spans="1:20" x14ac:dyDescent="0.35">
      <c r="A3" s="8" t="s">
        <v>46</v>
      </c>
      <c r="B3" s="8" t="s">
        <v>47</v>
      </c>
      <c r="C3" s="8" t="s">
        <v>31</v>
      </c>
      <c r="D3" s="8" t="s">
        <v>32</v>
      </c>
      <c r="E3" s="8" t="s">
        <v>31</v>
      </c>
      <c r="F3" s="8" t="s">
        <v>32</v>
      </c>
      <c r="G3" s="8" t="s">
        <v>31</v>
      </c>
      <c r="H3" s="8" t="s">
        <v>32</v>
      </c>
      <c r="I3" s="8" t="s">
        <v>31</v>
      </c>
      <c r="J3" s="8" t="s">
        <v>32</v>
      </c>
      <c r="K3" s="8" t="s">
        <v>31</v>
      </c>
      <c r="L3" s="8" t="s">
        <v>32</v>
      </c>
      <c r="M3" s="8" t="s">
        <v>31</v>
      </c>
      <c r="N3" s="8" t="s">
        <v>32</v>
      </c>
      <c r="O3" s="8" t="s">
        <v>31</v>
      </c>
      <c r="P3" s="8" t="s">
        <v>32</v>
      </c>
      <c r="Q3" s="8" t="s">
        <v>31</v>
      </c>
      <c r="R3" s="8" t="s">
        <v>32</v>
      </c>
      <c r="S3" s="8" t="s">
        <v>31</v>
      </c>
      <c r="T3" s="8" t="s">
        <v>32</v>
      </c>
    </row>
    <row r="4" spans="1:20" x14ac:dyDescent="0.35">
      <c r="A4" s="7" t="s">
        <v>48</v>
      </c>
      <c r="B4" s="12" t="s">
        <v>49</v>
      </c>
      <c r="C4">
        <v>701909831.73128259</v>
      </c>
      <c r="D4">
        <v>737097593.18683422</v>
      </c>
      <c r="E4">
        <v>3729279.2792792809</v>
      </c>
      <c r="F4">
        <v>3568136.9369369391</v>
      </c>
      <c r="G4">
        <v>103</v>
      </c>
      <c r="H4">
        <v>33</v>
      </c>
      <c r="K4">
        <v>191</v>
      </c>
      <c r="L4">
        <v>59</v>
      </c>
      <c r="M4">
        <v>62924324.324324317</v>
      </c>
      <c r="N4">
        <v>31952188.288288288</v>
      </c>
      <c r="O4">
        <v>88587989.189189181</v>
      </c>
      <c r="P4">
        <v>102694763.96396397</v>
      </c>
      <c r="Q4">
        <v>65818378.378378376</v>
      </c>
      <c r="R4">
        <v>35096846.846846841</v>
      </c>
      <c r="S4">
        <v>8792</v>
      </c>
      <c r="T4">
        <v>8354</v>
      </c>
    </row>
    <row r="5" spans="1:20" x14ac:dyDescent="0.35">
      <c r="A5" s="7" t="s">
        <v>50</v>
      </c>
      <c r="B5" s="12" t="s">
        <v>51</v>
      </c>
      <c r="C5">
        <v>1062342565.3717815</v>
      </c>
      <c r="D5">
        <v>1094708199.5665207</v>
      </c>
      <c r="E5">
        <v>18363063.063063063</v>
      </c>
      <c r="F5">
        <v>14170081.081081092</v>
      </c>
      <c r="G5">
        <v>1063</v>
      </c>
      <c r="H5">
        <v>590</v>
      </c>
      <c r="I5">
        <v>2</v>
      </c>
      <c r="K5">
        <v>1412</v>
      </c>
      <c r="L5">
        <v>1008</v>
      </c>
      <c r="M5">
        <v>330768108.1081081</v>
      </c>
      <c r="N5">
        <v>424925698.1981982</v>
      </c>
      <c r="O5">
        <v>336697954.95495492</v>
      </c>
      <c r="P5">
        <v>356163927.92792791</v>
      </c>
      <c r="Q5">
        <v>318620180.18018013</v>
      </c>
      <c r="R5">
        <v>418015765.76576579</v>
      </c>
      <c r="S5">
        <v>24708</v>
      </c>
      <c r="T5">
        <v>19932</v>
      </c>
    </row>
    <row r="6" spans="1:20" x14ac:dyDescent="0.35">
      <c r="A6" s="7" t="s">
        <v>52</v>
      </c>
      <c r="B6" s="12" t="s">
        <v>53</v>
      </c>
      <c r="C6">
        <v>267795843.12326798</v>
      </c>
      <c r="D6">
        <v>279370435.42910022</v>
      </c>
      <c r="E6">
        <v>7727027.0270270286</v>
      </c>
      <c r="F6">
        <v>5433012.6126126144</v>
      </c>
      <c r="G6">
        <v>152</v>
      </c>
      <c r="H6">
        <v>144</v>
      </c>
      <c r="I6">
        <v>1</v>
      </c>
      <c r="K6">
        <v>233</v>
      </c>
      <c r="L6">
        <v>176</v>
      </c>
      <c r="M6">
        <v>73962432.432432428</v>
      </c>
      <c r="N6">
        <v>54897428.828828834</v>
      </c>
      <c r="O6">
        <v>88960108.108108118</v>
      </c>
      <c r="P6">
        <v>92953585.585585579</v>
      </c>
      <c r="Q6">
        <v>64096756.75675676</v>
      </c>
      <c r="R6">
        <v>51790360.360360362</v>
      </c>
      <c r="S6">
        <v>4702</v>
      </c>
      <c r="T6">
        <v>4658</v>
      </c>
    </row>
    <row r="7" spans="1:20" x14ac:dyDescent="0.35">
      <c r="A7" s="7" t="s">
        <v>54</v>
      </c>
      <c r="B7" s="12" t="s">
        <v>55</v>
      </c>
      <c r="C7">
        <v>145011883.49778992</v>
      </c>
      <c r="D7">
        <v>134669171.42167377</v>
      </c>
      <c r="E7">
        <v>2730405.4054054101</v>
      </c>
      <c r="F7">
        <v>3047873.8738738769</v>
      </c>
      <c r="G7">
        <v>40</v>
      </c>
      <c r="H7">
        <v>75</v>
      </c>
      <c r="K7">
        <v>92</v>
      </c>
      <c r="L7">
        <v>120</v>
      </c>
      <c r="M7">
        <v>17207837.837837841</v>
      </c>
      <c r="N7">
        <v>30623470.270270273</v>
      </c>
      <c r="O7">
        <v>45731209.459459461</v>
      </c>
      <c r="P7">
        <v>45075162.162162162</v>
      </c>
      <c r="Q7">
        <v>16751801.801801804</v>
      </c>
      <c r="R7">
        <v>29244504.504504506</v>
      </c>
      <c r="S7">
        <v>5629</v>
      </c>
      <c r="T7">
        <v>4180</v>
      </c>
    </row>
    <row r="8" spans="1:20" x14ac:dyDescent="0.35">
      <c r="A8" s="7" t="s">
        <v>56</v>
      </c>
      <c r="B8" s="12" t="s">
        <v>55</v>
      </c>
      <c r="C8">
        <v>238577700.50774595</v>
      </c>
      <c r="D8">
        <v>250749542.29968444</v>
      </c>
      <c r="E8">
        <v>4833783.7837837851</v>
      </c>
      <c r="F8">
        <v>6788235.1351351393</v>
      </c>
      <c r="G8">
        <v>268</v>
      </c>
      <c r="H8">
        <v>131</v>
      </c>
      <c r="K8">
        <v>697</v>
      </c>
      <c r="L8">
        <v>476</v>
      </c>
      <c r="M8">
        <v>98844774.774774775</v>
      </c>
      <c r="N8">
        <v>190494676.57657659</v>
      </c>
      <c r="O8">
        <v>67786432.432432428</v>
      </c>
      <c r="P8">
        <v>77590971.171171173</v>
      </c>
      <c r="Q8">
        <v>84021531.531531543</v>
      </c>
      <c r="R8">
        <v>128384774.77477479</v>
      </c>
      <c r="S8">
        <v>7415</v>
      </c>
      <c r="T8">
        <v>4596</v>
      </c>
    </row>
    <row r="9" spans="1:20" x14ac:dyDescent="0.35">
      <c r="A9" s="7" t="s">
        <v>57</v>
      </c>
      <c r="B9" s="12" t="s">
        <v>55</v>
      </c>
      <c r="C9">
        <v>116343101.01961911</v>
      </c>
      <c r="D9">
        <v>123119415.90400389</v>
      </c>
      <c r="E9">
        <v>2296396.3963963971</v>
      </c>
      <c r="F9">
        <v>3430857.6576576568</v>
      </c>
      <c r="G9">
        <v>34</v>
      </c>
      <c r="H9">
        <v>70</v>
      </c>
      <c r="K9">
        <v>38</v>
      </c>
      <c r="L9">
        <v>99</v>
      </c>
      <c r="M9">
        <v>18505045.045045044</v>
      </c>
      <c r="N9">
        <v>19219679.27927928</v>
      </c>
      <c r="O9">
        <v>34507585.585585587</v>
      </c>
      <c r="P9">
        <v>39238765.765765771</v>
      </c>
      <c r="Q9">
        <v>16881621.621621624</v>
      </c>
      <c r="R9">
        <v>18915135.135135137</v>
      </c>
      <c r="S9">
        <v>3282</v>
      </c>
      <c r="T9">
        <v>2137</v>
      </c>
    </row>
    <row r="10" spans="1:20" x14ac:dyDescent="0.35">
      <c r="A10" s="7" t="s">
        <v>58</v>
      </c>
      <c r="B10" s="12" t="s">
        <v>59</v>
      </c>
      <c r="C10">
        <v>307615416.46227711</v>
      </c>
      <c r="D10">
        <v>305573131.47600013</v>
      </c>
      <c r="E10">
        <v>1373873.873873875</v>
      </c>
      <c r="F10">
        <v>503818.91891892097</v>
      </c>
      <c r="G10">
        <v>98</v>
      </c>
      <c r="H10">
        <v>82</v>
      </c>
      <c r="I10">
        <v>1</v>
      </c>
      <c r="K10">
        <v>103</v>
      </c>
      <c r="L10">
        <v>101</v>
      </c>
      <c r="M10">
        <v>4806306.3063063053</v>
      </c>
      <c r="N10">
        <v>7631189.1891891891</v>
      </c>
      <c r="O10">
        <v>57249205.40540541</v>
      </c>
      <c r="P10">
        <v>61542234.234234244</v>
      </c>
      <c r="Q10">
        <v>4693333.333333334</v>
      </c>
      <c r="R10">
        <v>7450810.8108108109</v>
      </c>
      <c r="S10">
        <v>5979</v>
      </c>
      <c r="T10">
        <v>5493</v>
      </c>
    </row>
    <row r="11" spans="1:20" x14ac:dyDescent="0.35">
      <c r="A11" s="7" t="s">
        <v>60</v>
      </c>
      <c r="B11" s="12" t="s">
        <v>61</v>
      </c>
      <c r="C11">
        <v>136175516.98416263</v>
      </c>
      <c r="D11">
        <v>140988878.07764176</v>
      </c>
      <c r="E11">
        <v>1369369.3693693711</v>
      </c>
      <c r="F11">
        <v>1654701.8018018031</v>
      </c>
      <c r="G11">
        <v>73</v>
      </c>
      <c r="H11">
        <v>40</v>
      </c>
      <c r="I11">
        <v>1</v>
      </c>
      <c r="K11">
        <v>194</v>
      </c>
      <c r="L11">
        <v>91</v>
      </c>
      <c r="M11">
        <v>20519523.423423424</v>
      </c>
      <c r="N11">
        <v>86222255.855855852</v>
      </c>
      <c r="O11">
        <v>62876180.180180177</v>
      </c>
      <c r="P11">
        <v>66440261.261261262</v>
      </c>
      <c r="Q11">
        <v>16085405.405405406</v>
      </c>
      <c r="R11">
        <v>80015495.495495483</v>
      </c>
      <c r="S11">
        <v>3600</v>
      </c>
      <c r="T11">
        <v>3138</v>
      </c>
    </row>
    <row r="12" spans="1:20" x14ac:dyDescent="0.35">
      <c r="A12" s="7" t="s">
        <v>62</v>
      </c>
      <c r="B12" s="12" t="s">
        <v>63</v>
      </c>
      <c r="C12">
        <v>617172115.63689852</v>
      </c>
      <c r="D12">
        <v>609910961.83340251</v>
      </c>
      <c r="E12">
        <v>833682190.09009016</v>
      </c>
      <c r="F12">
        <v>918576572.97297287</v>
      </c>
      <c r="G12">
        <v>89</v>
      </c>
      <c r="H12">
        <v>50</v>
      </c>
      <c r="K12">
        <v>97</v>
      </c>
      <c r="L12">
        <v>74</v>
      </c>
      <c r="M12">
        <v>196641075.67567569</v>
      </c>
      <c r="N12">
        <v>128822756.75675675</v>
      </c>
      <c r="O12">
        <v>65495854.054054059</v>
      </c>
      <c r="P12">
        <v>74992165.765765756</v>
      </c>
      <c r="Q12">
        <v>132425045.04504503</v>
      </c>
      <c r="R12">
        <v>79056936.93693693</v>
      </c>
      <c r="S12">
        <v>9411</v>
      </c>
      <c r="T12">
        <v>8547</v>
      </c>
    </row>
    <row r="13" spans="1:20" x14ac:dyDescent="0.35">
      <c r="A13" s="7" t="s">
        <v>64</v>
      </c>
      <c r="B13" s="12" t="s">
        <v>51</v>
      </c>
      <c r="C13">
        <v>326771371.44826597</v>
      </c>
      <c r="D13">
        <v>321234169.25437498</v>
      </c>
      <c r="E13">
        <v>3874774.7747747782</v>
      </c>
      <c r="F13">
        <v>4995790.0900900885</v>
      </c>
      <c r="G13">
        <v>110</v>
      </c>
      <c r="H13">
        <v>103</v>
      </c>
      <c r="K13">
        <v>146</v>
      </c>
      <c r="L13">
        <v>112</v>
      </c>
      <c r="M13">
        <v>106898738.73873873</v>
      </c>
      <c r="N13">
        <v>66535797.297297299</v>
      </c>
      <c r="O13">
        <v>126052801.8018018</v>
      </c>
      <c r="P13">
        <v>129961036.03603603</v>
      </c>
      <c r="Q13">
        <v>102499639.63963963</v>
      </c>
      <c r="R13">
        <v>67619279.279279277</v>
      </c>
      <c r="S13">
        <v>5880</v>
      </c>
      <c r="T13">
        <v>5538</v>
      </c>
    </row>
    <row r="14" spans="1:20" x14ac:dyDescent="0.35">
      <c r="A14" s="7" t="s">
        <v>65</v>
      </c>
      <c r="B14" s="12" t="s">
        <v>51</v>
      </c>
      <c r="C14">
        <v>334219357.91480023</v>
      </c>
      <c r="D14">
        <v>328119171.38856077</v>
      </c>
      <c r="E14">
        <v>4762162.1621621624</v>
      </c>
      <c r="F14">
        <v>4925947.7477477482</v>
      </c>
      <c r="G14">
        <v>76</v>
      </c>
      <c r="H14">
        <v>48</v>
      </c>
      <c r="K14">
        <v>91</v>
      </c>
      <c r="L14">
        <v>59</v>
      </c>
      <c r="M14">
        <v>44783153.153153151</v>
      </c>
      <c r="N14">
        <v>58330627.927927926</v>
      </c>
      <c r="O14">
        <v>126475576.57657658</v>
      </c>
      <c r="P14">
        <v>128952288.2882883</v>
      </c>
      <c r="Q14">
        <v>42803063.063063063</v>
      </c>
      <c r="R14">
        <v>49136576.576576576</v>
      </c>
      <c r="S14">
        <v>5765</v>
      </c>
      <c r="T14">
        <v>5389</v>
      </c>
    </row>
    <row r="15" spans="1:20" x14ac:dyDescent="0.35">
      <c r="A15" s="7" t="s">
        <v>66</v>
      </c>
      <c r="B15" s="12" t="s">
        <v>67</v>
      </c>
      <c r="C15">
        <v>339447816.14355844</v>
      </c>
      <c r="D15">
        <v>328831273.80532277</v>
      </c>
      <c r="E15">
        <v>11471621.621621625</v>
      </c>
      <c r="F15">
        <v>17426661.261261262</v>
      </c>
      <c r="G15">
        <v>84</v>
      </c>
      <c r="H15">
        <v>98</v>
      </c>
      <c r="K15">
        <v>100</v>
      </c>
      <c r="L15">
        <v>123</v>
      </c>
      <c r="M15">
        <v>181213963.96396396</v>
      </c>
      <c r="N15">
        <v>237870240.54054055</v>
      </c>
      <c r="O15">
        <v>172986450.45045045</v>
      </c>
      <c r="P15">
        <v>166838162.16216218</v>
      </c>
      <c r="Q15">
        <v>177333963.96396396</v>
      </c>
      <c r="R15">
        <v>232895225.22522521</v>
      </c>
      <c r="S15">
        <v>9659</v>
      </c>
      <c r="T15">
        <v>5541</v>
      </c>
    </row>
    <row r="16" spans="1:20" x14ac:dyDescent="0.35">
      <c r="A16" s="7" t="s">
        <v>68</v>
      </c>
      <c r="B16" s="12" t="s">
        <v>69</v>
      </c>
      <c r="C16">
        <v>197943305.69084257</v>
      </c>
      <c r="D16">
        <v>192074394.68471572</v>
      </c>
      <c r="E16">
        <v>144234990.09009007</v>
      </c>
      <c r="F16">
        <v>157494061.26126125</v>
      </c>
      <c r="G16">
        <v>80</v>
      </c>
      <c r="H16">
        <v>43</v>
      </c>
      <c r="K16">
        <v>83</v>
      </c>
      <c r="L16">
        <v>48</v>
      </c>
      <c r="M16">
        <v>37789729.729729727</v>
      </c>
      <c r="N16">
        <v>60245747.747747742</v>
      </c>
      <c r="O16">
        <v>54228045.045045048</v>
      </c>
      <c r="P16">
        <v>56350513.513513513</v>
      </c>
      <c r="Q16">
        <v>25614954.954954956</v>
      </c>
      <c r="R16">
        <v>24922837.837837841</v>
      </c>
      <c r="S16">
        <v>3552</v>
      </c>
      <c r="T16">
        <v>3103</v>
      </c>
    </row>
    <row r="17" spans="1:20" x14ac:dyDescent="0.35">
      <c r="A17" s="7" t="s">
        <v>70</v>
      </c>
      <c r="B17" s="12" t="s">
        <v>71</v>
      </c>
      <c r="C17">
        <v>15311719.962956207</v>
      </c>
      <c r="D17">
        <v>15090408.679726236</v>
      </c>
      <c r="E17">
        <v>116216.216216217</v>
      </c>
      <c r="F17">
        <v>531531.53153153195</v>
      </c>
      <c r="G17">
        <v>5</v>
      </c>
      <c r="H17">
        <v>4</v>
      </c>
      <c r="K17">
        <v>5</v>
      </c>
      <c r="L17">
        <v>5</v>
      </c>
      <c r="M17">
        <v>404504.50450450502</v>
      </c>
      <c r="N17">
        <v>2117117.1171171172</v>
      </c>
      <c r="O17">
        <v>4430373.8738738736</v>
      </c>
      <c r="P17">
        <v>4924405.405405405</v>
      </c>
      <c r="Q17">
        <v>404054.05405405402</v>
      </c>
      <c r="R17">
        <v>1725675.675675676</v>
      </c>
      <c r="S17">
        <v>631</v>
      </c>
      <c r="T17">
        <v>257</v>
      </c>
    </row>
    <row r="18" spans="1:20" x14ac:dyDescent="0.35">
      <c r="A18" s="7" t="s">
        <v>72</v>
      </c>
      <c r="B18" s="12" t="s">
        <v>73</v>
      </c>
      <c r="C18">
        <v>2587204491.4650922</v>
      </c>
      <c r="D18">
        <v>2651513097.7652144</v>
      </c>
      <c r="E18">
        <v>665964705.4054054</v>
      </c>
      <c r="F18">
        <v>924652675.67567563</v>
      </c>
      <c r="G18">
        <v>902</v>
      </c>
      <c r="H18">
        <v>1070</v>
      </c>
      <c r="I18">
        <v>23</v>
      </c>
      <c r="K18">
        <v>1325</v>
      </c>
      <c r="L18">
        <v>1545</v>
      </c>
      <c r="M18">
        <v>393111268.46846849</v>
      </c>
      <c r="N18">
        <v>351565063.06306303</v>
      </c>
      <c r="O18">
        <v>532892682.88288289</v>
      </c>
      <c r="P18">
        <v>655930145.04504502</v>
      </c>
      <c r="Q18">
        <v>248410854.05405405</v>
      </c>
      <c r="R18">
        <v>288736800</v>
      </c>
      <c r="S18">
        <v>52381</v>
      </c>
      <c r="T18">
        <v>47681</v>
      </c>
    </row>
    <row r="19" spans="1:20" x14ac:dyDescent="0.35">
      <c r="A19" s="7" t="s">
        <v>74</v>
      </c>
      <c r="B19" s="12" t="s">
        <v>73</v>
      </c>
      <c r="C19">
        <v>243397823.98968169</v>
      </c>
      <c r="D19">
        <v>253973329.21958908</v>
      </c>
      <c r="E19">
        <v>66403963.963963971</v>
      </c>
      <c r="F19">
        <v>142207477.47747746</v>
      </c>
      <c r="G19">
        <v>57</v>
      </c>
      <c r="H19">
        <v>42</v>
      </c>
      <c r="I19">
        <v>1</v>
      </c>
      <c r="K19">
        <v>69</v>
      </c>
      <c r="L19">
        <v>52</v>
      </c>
      <c r="M19">
        <v>11825225.225225223</v>
      </c>
      <c r="N19">
        <v>12785135.135135137</v>
      </c>
      <c r="O19">
        <v>36226504.504504502</v>
      </c>
      <c r="P19">
        <v>37385900.900900893</v>
      </c>
      <c r="Q19">
        <v>7083603.6036036042</v>
      </c>
      <c r="R19">
        <v>6032342.3423423413</v>
      </c>
      <c r="S19">
        <v>3580</v>
      </c>
      <c r="T19">
        <v>3657</v>
      </c>
    </row>
    <row r="20" spans="1:20" x14ac:dyDescent="0.35">
      <c r="A20" s="7" t="s">
        <v>75</v>
      </c>
      <c r="B20" s="12" t="s">
        <v>71</v>
      </c>
      <c r="C20">
        <v>271741635.99601656</v>
      </c>
      <c r="D20">
        <v>266708158.72144076</v>
      </c>
      <c r="E20">
        <v>6953153.1531531587</v>
      </c>
      <c r="F20">
        <v>14139066.666666662</v>
      </c>
      <c r="G20">
        <v>86</v>
      </c>
      <c r="H20">
        <v>73</v>
      </c>
      <c r="I20">
        <v>1</v>
      </c>
      <c r="K20">
        <v>229</v>
      </c>
      <c r="L20">
        <v>126</v>
      </c>
      <c r="M20">
        <v>60952252.252252258</v>
      </c>
      <c r="N20">
        <v>361015162.16216218</v>
      </c>
      <c r="O20">
        <v>100907225.22522521</v>
      </c>
      <c r="P20">
        <v>98231504.504504517</v>
      </c>
      <c r="Q20">
        <v>59085585.585585587</v>
      </c>
      <c r="R20">
        <v>348997567.56756753</v>
      </c>
      <c r="S20">
        <v>5985</v>
      </c>
      <c r="T20">
        <v>4374</v>
      </c>
    </row>
    <row r="21" spans="1:20" x14ac:dyDescent="0.35">
      <c r="A21" s="7" t="s">
        <v>76</v>
      </c>
      <c r="B21" s="12" t="s">
        <v>77</v>
      </c>
      <c r="C21">
        <v>78699200.555370748</v>
      </c>
      <c r="D21">
        <v>80375936.435928941</v>
      </c>
      <c r="E21">
        <v>648648.64864864899</v>
      </c>
      <c r="F21">
        <v>471171.171171172</v>
      </c>
      <c r="G21">
        <v>27</v>
      </c>
      <c r="H21">
        <v>33</v>
      </c>
      <c r="K21">
        <v>27</v>
      </c>
      <c r="L21">
        <v>35</v>
      </c>
      <c r="M21">
        <v>10239099.0990991</v>
      </c>
      <c r="N21">
        <v>11202702.702702705</v>
      </c>
      <c r="O21">
        <v>19899558.558558561</v>
      </c>
      <c r="P21">
        <v>23136288.288288288</v>
      </c>
      <c r="Q21">
        <v>7595405.4054054059</v>
      </c>
      <c r="R21">
        <v>9185405.4054054059</v>
      </c>
      <c r="S21">
        <v>1855</v>
      </c>
      <c r="T21">
        <v>1490</v>
      </c>
    </row>
    <row r="22" spans="1:20" x14ac:dyDescent="0.35">
      <c r="A22" s="7" t="s">
        <v>78</v>
      </c>
      <c r="B22" s="12" t="s">
        <v>79</v>
      </c>
      <c r="C22">
        <v>169774987.15714744</v>
      </c>
      <c r="D22">
        <v>171665304.5728853</v>
      </c>
      <c r="E22">
        <v>2654954.9549549539</v>
      </c>
      <c r="F22">
        <v>3592569.3693693699</v>
      </c>
      <c r="G22">
        <v>36</v>
      </c>
      <c r="H22">
        <v>65</v>
      </c>
      <c r="I22">
        <v>2</v>
      </c>
      <c r="K22">
        <v>41</v>
      </c>
      <c r="L22">
        <v>92</v>
      </c>
      <c r="M22">
        <v>21435135.135135133</v>
      </c>
      <c r="N22">
        <v>32227858.558558557</v>
      </c>
      <c r="O22">
        <v>55829819.819819823</v>
      </c>
      <c r="P22">
        <v>56346989.189189196</v>
      </c>
      <c r="Q22">
        <v>23123603.603603605</v>
      </c>
      <c r="R22">
        <v>31260090.090090089</v>
      </c>
      <c r="S22">
        <v>2894</v>
      </c>
      <c r="T22">
        <v>2505</v>
      </c>
    </row>
    <row r="23" spans="1:20" x14ac:dyDescent="0.35">
      <c r="A23" s="7" t="s">
        <v>80</v>
      </c>
      <c r="B23" s="12" t="s">
        <v>81</v>
      </c>
      <c r="C23">
        <v>1547048177.5308039</v>
      </c>
      <c r="D23">
        <v>1648320054.4936035</v>
      </c>
      <c r="E23">
        <v>10644819.819819827</v>
      </c>
      <c r="F23">
        <v>18095945.045045052</v>
      </c>
      <c r="G23">
        <v>1060</v>
      </c>
      <c r="H23">
        <v>1008</v>
      </c>
      <c r="I23">
        <v>7</v>
      </c>
      <c r="K23">
        <v>1187</v>
      </c>
      <c r="L23">
        <v>1353</v>
      </c>
      <c r="M23">
        <v>400676576.57657659</v>
      </c>
      <c r="N23">
        <v>210332072.07207206</v>
      </c>
      <c r="O23">
        <v>404317799.54954958</v>
      </c>
      <c r="P23">
        <v>504929246.84684682</v>
      </c>
      <c r="Q23">
        <v>203400720.72072074</v>
      </c>
      <c r="R23">
        <v>185114864.86486486</v>
      </c>
      <c r="S23">
        <v>33581</v>
      </c>
      <c r="T23">
        <v>27867</v>
      </c>
    </row>
    <row r="24" spans="1:20" x14ac:dyDescent="0.35">
      <c r="A24" s="7" t="s">
        <v>82</v>
      </c>
      <c r="B24" s="12" t="s">
        <v>55</v>
      </c>
      <c r="C24">
        <v>48607873.865095034</v>
      </c>
      <c r="D24">
        <v>45748220.382247999</v>
      </c>
      <c r="E24">
        <v>477477.47747747903</v>
      </c>
      <c r="F24">
        <v>347747.74774774897</v>
      </c>
      <c r="G24">
        <v>17</v>
      </c>
      <c r="H24">
        <v>11</v>
      </c>
      <c r="K24">
        <v>21</v>
      </c>
      <c r="L24">
        <v>12</v>
      </c>
      <c r="M24">
        <v>3831351.3513513519</v>
      </c>
      <c r="N24">
        <v>3555855.8558558552</v>
      </c>
      <c r="O24">
        <v>11336198.198198199</v>
      </c>
      <c r="P24">
        <v>12657738.73873874</v>
      </c>
      <c r="Q24">
        <v>3030900.9009009008</v>
      </c>
      <c r="R24">
        <v>3423063.0630630632</v>
      </c>
      <c r="S24">
        <v>1875</v>
      </c>
      <c r="T24">
        <v>1451</v>
      </c>
    </row>
    <row r="25" spans="1:20" x14ac:dyDescent="0.35">
      <c r="A25" s="7" t="s">
        <v>83</v>
      </c>
      <c r="B25" s="12" t="s">
        <v>84</v>
      </c>
      <c r="C25">
        <v>1123297006.7718692</v>
      </c>
      <c r="D25">
        <v>1103720807.5538671</v>
      </c>
      <c r="E25">
        <v>78946171.171171173</v>
      </c>
      <c r="F25">
        <v>158305208.1081081</v>
      </c>
      <c r="G25">
        <v>221</v>
      </c>
      <c r="H25">
        <v>177</v>
      </c>
      <c r="I25">
        <v>2</v>
      </c>
      <c r="K25">
        <v>261</v>
      </c>
      <c r="L25">
        <v>247</v>
      </c>
      <c r="M25">
        <v>226871621.62162164</v>
      </c>
      <c r="N25">
        <v>279015521.62162161</v>
      </c>
      <c r="O25">
        <v>328149677.02702701</v>
      </c>
      <c r="P25">
        <v>341952603.6036036</v>
      </c>
      <c r="Q25">
        <v>168041891.8918919</v>
      </c>
      <c r="R25">
        <v>185485765.76576576</v>
      </c>
      <c r="S25">
        <v>15939</v>
      </c>
      <c r="T25">
        <v>14868</v>
      </c>
    </row>
    <row r="26" spans="1:20" x14ac:dyDescent="0.35">
      <c r="A26" s="7" t="s">
        <v>85</v>
      </c>
      <c r="B26" s="12" t="s">
        <v>86</v>
      </c>
      <c r="C26">
        <v>106217083.10183285</v>
      </c>
      <c r="D26">
        <v>103516243.67894696</v>
      </c>
      <c r="E26">
        <v>2078828.82882883</v>
      </c>
      <c r="F26">
        <v>7705218.0180180185</v>
      </c>
      <c r="G26">
        <v>58</v>
      </c>
      <c r="H26">
        <v>152</v>
      </c>
      <c r="K26">
        <v>69</v>
      </c>
      <c r="L26">
        <v>166</v>
      </c>
      <c r="M26">
        <v>214430180.18018019</v>
      </c>
      <c r="N26">
        <v>155523368.46846849</v>
      </c>
      <c r="O26">
        <v>37189936.936936937</v>
      </c>
      <c r="P26">
        <v>47221369.369369365</v>
      </c>
      <c r="Q26">
        <v>190199459.45945945</v>
      </c>
      <c r="R26">
        <v>122833239.63963963</v>
      </c>
      <c r="S26">
        <v>2438</v>
      </c>
      <c r="T26">
        <v>2218</v>
      </c>
    </row>
    <row r="27" spans="1:20" x14ac:dyDescent="0.35">
      <c r="A27" s="7" t="s">
        <v>87</v>
      </c>
      <c r="B27" s="12" t="s">
        <v>88</v>
      </c>
      <c r="C27">
        <v>4033837.294398325</v>
      </c>
      <c r="D27">
        <v>5253522.5422683368</v>
      </c>
      <c r="G27">
        <v>4</v>
      </c>
      <c r="K27">
        <v>4</v>
      </c>
      <c r="O27">
        <v>1764378.378378378</v>
      </c>
      <c r="P27">
        <v>2518153.1531531531</v>
      </c>
      <c r="S27">
        <v>179</v>
      </c>
      <c r="T27">
        <v>162</v>
      </c>
    </row>
    <row r="28" spans="1:20" x14ac:dyDescent="0.35">
      <c r="A28" s="7" t="s">
        <v>89</v>
      </c>
      <c r="B28" s="12" t="s">
        <v>90</v>
      </c>
      <c r="C28">
        <v>230883572.02343804</v>
      </c>
      <c r="D28">
        <v>243317624.00441825</v>
      </c>
      <c r="E28">
        <v>5076576.5765765747</v>
      </c>
      <c r="F28">
        <v>4306496.3963963958</v>
      </c>
      <c r="G28">
        <v>37</v>
      </c>
      <c r="H28">
        <v>45</v>
      </c>
      <c r="K28">
        <v>40</v>
      </c>
      <c r="L28">
        <v>55</v>
      </c>
      <c r="M28">
        <v>44486666.666666664</v>
      </c>
      <c r="N28">
        <v>40821091.891891889</v>
      </c>
      <c r="O28">
        <v>81859774.774774775</v>
      </c>
      <c r="P28">
        <v>84972675.675675675</v>
      </c>
      <c r="Q28">
        <v>43134954.954954952</v>
      </c>
      <c r="R28">
        <v>42375315.315315321</v>
      </c>
      <c r="S28">
        <v>3742</v>
      </c>
      <c r="T28">
        <v>3335</v>
      </c>
    </row>
    <row r="29" spans="1:20" x14ac:dyDescent="0.35">
      <c r="A29" s="7" t="s">
        <v>91</v>
      </c>
      <c r="B29" s="12" t="s">
        <v>61</v>
      </c>
      <c r="C29">
        <v>80706491.910556719</v>
      </c>
      <c r="D29">
        <v>84383537.322652653</v>
      </c>
      <c r="E29">
        <v>285585.58558558702</v>
      </c>
      <c r="F29">
        <v>1625675.6756756769</v>
      </c>
      <c r="G29">
        <v>26</v>
      </c>
      <c r="H29">
        <v>55</v>
      </c>
      <c r="K29">
        <v>173</v>
      </c>
      <c r="L29">
        <v>163</v>
      </c>
      <c r="M29">
        <v>5663963.963963965</v>
      </c>
      <c r="N29">
        <v>9844144.1441441439</v>
      </c>
      <c r="O29">
        <v>47295747.747747742</v>
      </c>
      <c r="P29">
        <v>49234891.891891889</v>
      </c>
      <c r="Q29">
        <v>5340810.81081081</v>
      </c>
      <c r="R29">
        <v>10243423.423423424</v>
      </c>
      <c r="S29">
        <v>2002</v>
      </c>
      <c r="T29">
        <v>1692</v>
      </c>
    </row>
    <row r="30" spans="1:20" x14ac:dyDescent="0.35">
      <c r="A30" s="7" t="s">
        <v>92</v>
      </c>
      <c r="B30" s="12" t="s">
        <v>93</v>
      </c>
      <c r="C30">
        <v>68001615.262908995</v>
      </c>
      <c r="D30">
        <v>62294938.30404301</v>
      </c>
      <c r="E30">
        <v>221672821.62162164</v>
      </c>
      <c r="F30">
        <v>144821872.97297296</v>
      </c>
      <c r="G30">
        <v>18</v>
      </c>
      <c r="H30">
        <v>9</v>
      </c>
      <c r="K30">
        <v>20</v>
      </c>
      <c r="L30">
        <v>10</v>
      </c>
      <c r="M30">
        <v>30400540.540540539</v>
      </c>
      <c r="N30">
        <v>31395892.792792793</v>
      </c>
      <c r="O30">
        <v>21892306.306306303</v>
      </c>
      <c r="P30">
        <v>22729225.225225225</v>
      </c>
      <c r="Q30">
        <v>16771711.711711712</v>
      </c>
      <c r="R30">
        <v>19485225.225225225</v>
      </c>
      <c r="S30">
        <v>1159</v>
      </c>
      <c r="T30">
        <v>1076</v>
      </c>
    </row>
    <row r="31" spans="1:20" x14ac:dyDescent="0.35">
      <c r="A31" s="7" t="s">
        <v>94</v>
      </c>
      <c r="B31" s="12" t="s">
        <v>95</v>
      </c>
      <c r="C31">
        <v>283846950.85746247</v>
      </c>
      <c r="D31">
        <v>296625893.68290716</v>
      </c>
      <c r="E31">
        <v>587837.83783783903</v>
      </c>
      <c r="F31">
        <v>1118553.153153155</v>
      </c>
      <c r="G31">
        <v>48</v>
      </c>
      <c r="H31">
        <v>21</v>
      </c>
      <c r="K31">
        <v>57</v>
      </c>
      <c r="L31">
        <v>28</v>
      </c>
      <c r="M31">
        <v>34695945.945945948</v>
      </c>
      <c r="N31">
        <v>36866139.639639638</v>
      </c>
      <c r="O31">
        <v>40763809.009009011</v>
      </c>
      <c r="P31">
        <v>50033309.009009011</v>
      </c>
      <c r="Q31">
        <v>30089189.189189188</v>
      </c>
      <c r="R31">
        <v>35528198.198198199</v>
      </c>
      <c r="S31">
        <v>4433</v>
      </c>
      <c r="T31">
        <v>4470</v>
      </c>
    </row>
    <row r="32" spans="1:20" x14ac:dyDescent="0.35">
      <c r="A32" s="7" t="s">
        <v>96</v>
      </c>
      <c r="B32" s="12" t="s">
        <v>97</v>
      </c>
      <c r="C32">
        <v>308941424.99155021</v>
      </c>
      <c r="D32">
        <v>315997997.94327253</v>
      </c>
      <c r="E32">
        <v>448033802.7027027</v>
      </c>
      <c r="F32">
        <v>512262819.81981987</v>
      </c>
      <c r="G32">
        <v>71</v>
      </c>
      <c r="H32">
        <v>119</v>
      </c>
      <c r="I32">
        <v>4</v>
      </c>
      <c r="K32">
        <v>78</v>
      </c>
      <c r="L32">
        <v>144</v>
      </c>
      <c r="M32">
        <v>163104135.13513514</v>
      </c>
      <c r="N32">
        <v>73471261.261261269</v>
      </c>
      <c r="O32">
        <v>153484792.7927928</v>
      </c>
      <c r="P32">
        <v>159650189.1891892</v>
      </c>
      <c r="Q32">
        <v>56365315.315315314</v>
      </c>
      <c r="R32">
        <v>57755045.045045048</v>
      </c>
      <c r="S32">
        <v>7208</v>
      </c>
      <c r="T32">
        <v>10714</v>
      </c>
    </row>
    <row r="33" spans="1:20" x14ac:dyDescent="0.35">
      <c r="A33" s="7" t="s">
        <v>98</v>
      </c>
      <c r="B33" s="12" t="s">
        <v>99</v>
      </c>
      <c r="C33">
        <v>1079820541.5446241</v>
      </c>
      <c r="D33">
        <v>1071792648.4557091</v>
      </c>
      <c r="E33">
        <v>12100675.675675681</v>
      </c>
      <c r="F33">
        <v>13370118.01801802</v>
      </c>
      <c r="G33">
        <v>431</v>
      </c>
      <c r="H33">
        <v>319</v>
      </c>
      <c r="K33">
        <v>529</v>
      </c>
      <c r="L33">
        <v>368</v>
      </c>
      <c r="M33">
        <v>290033333.33333331</v>
      </c>
      <c r="N33">
        <v>251513696.3963964</v>
      </c>
      <c r="O33">
        <v>278922030.18018019</v>
      </c>
      <c r="P33">
        <v>297034801.8018018</v>
      </c>
      <c r="Q33">
        <v>232252612.61261261</v>
      </c>
      <c r="R33">
        <v>196809054.05405405</v>
      </c>
      <c r="S33">
        <v>27450</v>
      </c>
      <c r="T33">
        <v>22254</v>
      </c>
    </row>
    <row r="34" spans="1:20" x14ac:dyDescent="0.35">
      <c r="A34" s="7" t="s">
        <v>100</v>
      </c>
      <c r="B34" s="12" t="s">
        <v>99</v>
      </c>
      <c r="C34">
        <v>1748152545.8384163</v>
      </c>
      <c r="D34">
        <v>1746169837.2416055</v>
      </c>
      <c r="E34">
        <v>6758920.7207207261</v>
      </c>
      <c r="F34">
        <v>9734029.7297297325</v>
      </c>
      <c r="G34">
        <v>551</v>
      </c>
      <c r="H34">
        <v>541</v>
      </c>
      <c r="I34">
        <v>25</v>
      </c>
      <c r="K34">
        <v>846</v>
      </c>
      <c r="L34">
        <v>685</v>
      </c>
      <c r="M34">
        <v>99832882.882882878</v>
      </c>
      <c r="N34">
        <v>301907990.990991</v>
      </c>
      <c r="O34">
        <v>333479671.62162161</v>
      </c>
      <c r="P34">
        <v>352165574.77477479</v>
      </c>
      <c r="Q34">
        <v>96197837.837837845</v>
      </c>
      <c r="R34">
        <v>115014909.90990992</v>
      </c>
      <c r="S34">
        <v>42080</v>
      </c>
      <c r="T34">
        <v>28079</v>
      </c>
    </row>
    <row r="35" spans="1:20" x14ac:dyDescent="0.35">
      <c r="A35" s="7" t="s">
        <v>101</v>
      </c>
      <c r="B35" s="12" t="s">
        <v>99</v>
      </c>
      <c r="C35">
        <v>2348791729.1785283</v>
      </c>
      <c r="D35">
        <v>2287136483.9153438</v>
      </c>
      <c r="E35">
        <v>22689414.414414421</v>
      </c>
      <c r="F35">
        <v>20697479.27927928</v>
      </c>
      <c r="G35">
        <v>501</v>
      </c>
      <c r="H35">
        <v>402</v>
      </c>
      <c r="I35">
        <v>20</v>
      </c>
      <c r="K35">
        <v>1566</v>
      </c>
      <c r="L35">
        <v>1011</v>
      </c>
      <c r="M35">
        <v>983277522.52252245</v>
      </c>
      <c r="N35">
        <v>292893916.21621621</v>
      </c>
      <c r="O35">
        <v>1025543595.045045</v>
      </c>
      <c r="P35">
        <v>952700097.29729724</v>
      </c>
      <c r="Q35">
        <v>334283918.91891891</v>
      </c>
      <c r="R35">
        <v>194143198.1981982</v>
      </c>
      <c r="S35">
        <v>47107</v>
      </c>
      <c r="T35">
        <v>33114</v>
      </c>
    </row>
    <row r="36" spans="1:20" x14ac:dyDescent="0.35">
      <c r="A36" s="7" t="s">
        <v>102</v>
      </c>
      <c r="B36" s="12" t="s">
        <v>99</v>
      </c>
      <c r="C36">
        <v>1006356941.9306191</v>
      </c>
      <c r="D36">
        <v>1012948382.0106411</v>
      </c>
      <c r="E36">
        <v>186003423.42342341</v>
      </c>
      <c r="F36">
        <v>322619769.36936933</v>
      </c>
      <c r="G36">
        <v>309</v>
      </c>
      <c r="H36">
        <v>238</v>
      </c>
      <c r="I36">
        <v>6</v>
      </c>
      <c r="K36">
        <v>363</v>
      </c>
      <c r="L36">
        <v>305</v>
      </c>
      <c r="M36">
        <v>115866891.89189188</v>
      </c>
      <c r="N36">
        <v>94480566.666666672</v>
      </c>
      <c r="O36">
        <v>219654882.88288289</v>
      </c>
      <c r="P36">
        <v>226754171.17117116</v>
      </c>
      <c r="Q36">
        <v>81413963.963963971</v>
      </c>
      <c r="R36">
        <v>81150540.540540546</v>
      </c>
      <c r="S36">
        <v>30130</v>
      </c>
      <c r="T36">
        <v>23191</v>
      </c>
    </row>
    <row r="37" spans="1:20" x14ac:dyDescent="0.35">
      <c r="A37" s="7" t="s">
        <v>103</v>
      </c>
      <c r="B37" s="12" t="s">
        <v>99</v>
      </c>
      <c r="C37">
        <v>1133538679.9595549</v>
      </c>
      <c r="D37">
        <v>1162266059.1050925</v>
      </c>
      <c r="E37">
        <v>11718918.918918923</v>
      </c>
      <c r="F37">
        <v>15581479.27927928</v>
      </c>
      <c r="G37">
        <v>257</v>
      </c>
      <c r="H37">
        <v>129</v>
      </c>
      <c r="I37">
        <v>1</v>
      </c>
      <c r="K37">
        <v>339</v>
      </c>
      <c r="L37">
        <v>225</v>
      </c>
      <c r="M37">
        <v>176191891.8918919</v>
      </c>
      <c r="N37">
        <v>240552609.90990993</v>
      </c>
      <c r="O37">
        <v>328653274.77477479</v>
      </c>
      <c r="P37">
        <v>336852052.25225222</v>
      </c>
      <c r="Q37">
        <v>196904054.05405405</v>
      </c>
      <c r="R37">
        <v>204168648.64864865</v>
      </c>
      <c r="S37">
        <v>35725</v>
      </c>
      <c r="T37">
        <v>25360</v>
      </c>
    </row>
    <row r="38" spans="1:20" x14ac:dyDescent="0.35">
      <c r="A38" s="7" t="s">
        <v>104</v>
      </c>
      <c r="B38" s="12" t="s">
        <v>99</v>
      </c>
      <c r="C38">
        <v>2925576666.8998489</v>
      </c>
      <c r="D38">
        <v>2914999744.8690686</v>
      </c>
      <c r="E38">
        <v>959732004.50450456</v>
      </c>
      <c r="F38">
        <v>2111233321.6216216</v>
      </c>
      <c r="G38">
        <v>886</v>
      </c>
      <c r="H38">
        <v>596</v>
      </c>
      <c r="I38">
        <v>18</v>
      </c>
      <c r="K38">
        <v>1258</v>
      </c>
      <c r="L38">
        <v>707</v>
      </c>
      <c r="M38">
        <v>336779127.02702701</v>
      </c>
      <c r="N38">
        <v>1547652763.0630631</v>
      </c>
      <c r="O38">
        <v>620700619.81981981</v>
      </c>
      <c r="P38">
        <v>636228070.27027023</v>
      </c>
      <c r="Q38">
        <v>297380900.90090084</v>
      </c>
      <c r="R38">
        <v>1203699729.7297299</v>
      </c>
      <c r="S38">
        <v>72685</v>
      </c>
      <c r="T38">
        <v>54699</v>
      </c>
    </row>
    <row r="39" spans="1:20" x14ac:dyDescent="0.35">
      <c r="A39" s="7" t="s">
        <v>105</v>
      </c>
      <c r="B39" s="12" t="s">
        <v>106</v>
      </c>
      <c r="C39">
        <v>204918671.72617957</v>
      </c>
      <c r="D39">
        <v>194660942.57310513</v>
      </c>
      <c r="E39">
        <v>1264864.8648648651</v>
      </c>
      <c r="F39">
        <v>165765.765765766</v>
      </c>
      <c r="G39">
        <v>46</v>
      </c>
      <c r="H39">
        <v>22</v>
      </c>
      <c r="K39">
        <v>48</v>
      </c>
      <c r="L39">
        <v>24</v>
      </c>
      <c r="M39">
        <v>1715315.315315315</v>
      </c>
      <c r="N39">
        <v>165765.765765766</v>
      </c>
      <c r="O39">
        <v>44513630.630630635</v>
      </c>
      <c r="P39">
        <v>46359396.396396399</v>
      </c>
      <c r="Q39">
        <v>1200360.36036036</v>
      </c>
      <c r="R39">
        <v>341441.44144144101</v>
      </c>
      <c r="S39">
        <v>2722</v>
      </c>
      <c r="T39">
        <v>2563</v>
      </c>
    </row>
    <row r="40" spans="1:20" x14ac:dyDescent="0.35">
      <c r="A40" s="7" t="s">
        <v>107</v>
      </c>
      <c r="B40" s="12" t="s">
        <v>55</v>
      </c>
      <c r="C40">
        <v>70420487.90149045</v>
      </c>
      <c r="D40">
        <v>65258334.723424822</v>
      </c>
      <c r="E40">
        <v>191891.891891893</v>
      </c>
      <c r="F40">
        <v>830630.63063063205</v>
      </c>
      <c r="G40">
        <v>36</v>
      </c>
      <c r="H40">
        <v>69</v>
      </c>
      <c r="I40">
        <v>11</v>
      </c>
      <c r="K40">
        <v>54</v>
      </c>
      <c r="L40">
        <v>77</v>
      </c>
      <c r="M40">
        <v>2655135.1351351361</v>
      </c>
      <c r="N40">
        <v>24288738.738738742</v>
      </c>
      <c r="O40">
        <v>18098018.018018018</v>
      </c>
      <c r="P40">
        <v>17667171.171171173</v>
      </c>
      <c r="Q40">
        <v>2484144.1441441448</v>
      </c>
      <c r="R40">
        <v>23906666.666666668</v>
      </c>
      <c r="S40">
        <v>2167</v>
      </c>
      <c r="T40">
        <v>1341</v>
      </c>
    </row>
    <row r="41" spans="1:20" x14ac:dyDescent="0.35">
      <c r="A41" s="7" t="s">
        <v>108</v>
      </c>
      <c r="B41" s="12" t="s">
        <v>109</v>
      </c>
      <c r="C41">
        <v>563594802.38160241</v>
      </c>
      <c r="D41">
        <v>588354931.32732654</v>
      </c>
      <c r="E41">
        <v>6220270.2702702722</v>
      </c>
      <c r="F41">
        <v>9053299.0990991034</v>
      </c>
      <c r="G41">
        <v>165</v>
      </c>
      <c r="H41">
        <v>137</v>
      </c>
      <c r="I41">
        <v>1</v>
      </c>
      <c r="K41">
        <v>195</v>
      </c>
      <c r="L41">
        <v>162</v>
      </c>
      <c r="M41">
        <v>85234414.414414421</v>
      </c>
      <c r="N41">
        <v>80468550.45045045</v>
      </c>
      <c r="O41">
        <v>122061585.58558558</v>
      </c>
      <c r="P41">
        <v>128574117.11711712</v>
      </c>
      <c r="Q41">
        <v>71324414.414414406</v>
      </c>
      <c r="R41">
        <v>71463243.243243247</v>
      </c>
      <c r="S41">
        <v>14216</v>
      </c>
      <c r="T41">
        <v>10559</v>
      </c>
    </row>
    <row r="42" spans="1:20" x14ac:dyDescent="0.35">
      <c r="A42" s="7" t="s">
        <v>110</v>
      </c>
      <c r="B42" s="12" t="s">
        <v>109</v>
      </c>
      <c r="C42">
        <v>799285407.64070761</v>
      </c>
      <c r="D42">
        <v>826116411.46660578</v>
      </c>
      <c r="E42">
        <v>8085662.162162168</v>
      </c>
      <c r="F42">
        <v>17597254.954954959</v>
      </c>
      <c r="G42">
        <v>273</v>
      </c>
      <c r="H42">
        <v>285</v>
      </c>
      <c r="I42">
        <v>1</v>
      </c>
      <c r="K42">
        <v>628</v>
      </c>
      <c r="L42">
        <v>561</v>
      </c>
      <c r="M42">
        <v>57546746.846846849</v>
      </c>
      <c r="N42">
        <v>434353850.45045042</v>
      </c>
      <c r="O42">
        <v>227816675.67567569</v>
      </c>
      <c r="P42">
        <v>226232648.64864865</v>
      </c>
      <c r="Q42">
        <v>186100270.27027026</v>
      </c>
      <c r="R42">
        <v>251968198.1981982</v>
      </c>
      <c r="S42">
        <v>21975</v>
      </c>
      <c r="T42">
        <v>15011</v>
      </c>
    </row>
    <row r="43" spans="1:20" x14ac:dyDescent="0.35">
      <c r="A43" s="7" t="s">
        <v>111</v>
      </c>
      <c r="B43" s="12" t="s">
        <v>112</v>
      </c>
      <c r="C43">
        <v>922262493.79688239</v>
      </c>
      <c r="D43">
        <v>950072492.39975333</v>
      </c>
      <c r="E43">
        <v>14008108.108108113</v>
      </c>
      <c r="F43">
        <v>12558547.747747747</v>
      </c>
      <c r="G43">
        <v>355</v>
      </c>
      <c r="H43">
        <v>279</v>
      </c>
      <c r="K43">
        <v>666</v>
      </c>
      <c r="L43">
        <v>504</v>
      </c>
      <c r="M43">
        <v>105900925.22522521</v>
      </c>
      <c r="N43">
        <v>114983398.1981982</v>
      </c>
      <c r="O43">
        <v>320012495.4954955</v>
      </c>
      <c r="P43">
        <v>344390387.38738739</v>
      </c>
      <c r="Q43">
        <v>93943646.846846849</v>
      </c>
      <c r="R43">
        <v>111441081.08108108</v>
      </c>
      <c r="S43">
        <v>28010</v>
      </c>
      <c r="T43">
        <v>19608</v>
      </c>
    </row>
    <row r="44" spans="1:20" x14ac:dyDescent="0.35">
      <c r="A44" s="7" t="s">
        <v>113</v>
      </c>
      <c r="B44" s="12" t="s">
        <v>112</v>
      </c>
      <c r="C44">
        <v>1184417686.1111507</v>
      </c>
      <c r="D44">
        <v>1216723673.7377079</v>
      </c>
      <c r="E44">
        <v>100335225.22522523</v>
      </c>
      <c r="F44">
        <v>1082203813.5135136</v>
      </c>
      <c r="G44">
        <v>456</v>
      </c>
      <c r="H44">
        <v>394</v>
      </c>
      <c r="I44">
        <v>1</v>
      </c>
      <c r="K44">
        <v>873</v>
      </c>
      <c r="L44">
        <v>561</v>
      </c>
      <c r="M44">
        <v>101844697.2972973</v>
      </c>
      <c r="N44">
        <v>323704083.78378379</v>
      </c>
      <c r="O44">
        <v>437289345.04504508</v>
      </c>
      <c r="P44">
        <v>453624963.96396399</v>
      </c>
      <c r="Q44">
        <v>97570720.720720723</v>
      </c>
      <c r="R44">
        <v>358089322.52252251</v>
      </c>
      <c r="S44">
        <v>41562</v>
      </c>
      <c r="T44">
        <v>28320</v>
      </c>
    </row>
    <row r="45" spans="1:20" x14ac:dyDescent="0.35">
      <c r="A45" s="7" t="s">
        <v>114</v>
      </c>
      <c r="B45" s="12" t="s">
        <v>112</v>
      </c>
      <c r="C45">
        <v>1657278347.2917714</v>
      </c>
      <c r="D45">
        <v>831094171.74651992</v>
      </c>
      <c r="E45">
        <v>12501801.801801808</v>
      </c>
      <c r="F45">
        <v>19547951.351351354</v>
      </c>
      <c r="G45">
        <v>455</v>
      </c>
      <c r="H45">
        <v>337</v>
      </c>
      <c r="I45">
        <v>5</v>
      </c>
      <c r="K45">
        <v>766</v>
      </c>
      <c r="L45">
        <v>603</v>
      </c>
      <c r="M45">
        <v>518306862.16216218</v>
      </c>
      <c r="N45">
        <v>711569071.17117119</v>
      </c>
      <c r="O45">
        <v>1109890304.5045044</v>
      </c>
      <c r="P45">
        <v>276440756.75675678</v>
      </c>
      <c r="Q45">
        <v>55138421.621621624</v>
      </c>
      <c r="R45">
        <v>114245225.22522521</v>
      </c>
      <c r="S45">
        <v>23382</v>
      </c>
      <c r="T45">
        <v>14148</v>
      </c>
    </row>
    <row r="46" spans="1:20" x14ac:dyDescent="0.35">
      <c r="A46" s="7" t="s">
        <v>115</v>
      </c>
      <c r="B46" s="12" t="s">
        <v>112</v>
      </c>
      <c r="C46">
        <v>944335122.6602869</v>
      </c>
      <c r="D46">
        <v>1566766096.8079453</v>
      </c>
      <c r="E46">
        <v>14837612.61261262</v>
      </c>
      <c r="F46">
        <v>15850647.747747753</v>
      </c>
      <c r="G46">
        <v>719</v>
      </c>
      <c r="H46">
        <v>373</v>
      </c>
      <c r="I46">
        <v>12</v>
      </c>
      <c r="K46">
        <v>1466</v>
      </c>
      <c r="L46">
        <v>635</v>
      </c>
      <c r="M46">
        <v>121461531.53153154</v>
      </c>
      <c r="N46">
        <v>388042635.13513511</v>
      </c>
      <c r="O46">
        <v>283304108.1081081</v>
      </c>
      <c r="P46">
        <v>879672495.49549556</v>
      </c>
      <c r="Q46">
        <v>109072072.07207206</v>
      </c>
      <c r="R46">
        <v>379904774.77477479</v>
      </c>
      <c r="S46">
        <v>29232</v>
      </c>
      <c r="T46">
        <v>20545</v>
      </c>
    </row>
    <row r="47" spans="1:20" x14ac:dyDescent="0.35">
      <c r="A47" s="7" t="s">
        <v>116</v>
      </c>
      <c r="B47" s="12" t="s">
        <v>112</v>
      </c>
      <c r="C47">
        <v>1192088098.942837</v>
      </c>
      <c r="D47">
        <v>1141502253.4738014</v>
      </c>
      <c r="E47">
        <v>1699132718.018018</v>
      </c>
      <c r="F47">
        <v>1893488947.7477479</v>
      </c>
      <c r="G47">
        <v>534</v>
      </c>
      <c r="H47">
        <v>502</v>
      </c>
      <c r="K47">
        <v>814</v>
      </c>
      <c r="L47">
        <v>810</v>
      </c>
      <c r="M47">
        <v>899850639.63963974</v>
      </c>
      <c r="N47">
        <v>567459492.7927928</v>
      </c>
      <c r="O47">
        <v>371069440.0900901</v>
      </c>
      <c r="P47">
        <v>325502252.25225222</v>
      </c>
      <c r="Q47">
        <v>854243690.09009016</v>
      </c>
      <c r="R47">
        <v>416852612.61261261</v>
      </c>
      <c r="S47">
        <v>34393</v>
      </c>
      <c r="T47">
        <v>24731</v>
      </c>
    </row>
    <row r="48" spans="1:20" x14ac:dyDescent="0.35">
      <c r="A48" s="7" t="s">
        <v>117</v>
      </c>
      <c r="B48" s="12" t="s">
        <v>55</v>
      </c>
      <c r="C48">
        <v>65472180.755889677</v>
      </c>
      <c r="D48">
        <v>63067510.91434361</v>
      </c>
      <c r="E48">
        <v>1343918.9189189191</v>
      </c>
      <c r="F48">
        <v>1826716.216216217</v>
      </c>
      <c r="G48">
        <v>12</v>
      </c>
      <c r="H48">
        <v>13</v>
      </c>
      <c r="K48">
        <v>12</v>
      </c>
      <c r="L48">
        <v>15</v>
      </c>
      <c r="M48">
        <v>5547297.2972972952</v>
      </c>
      <c r="N48">
        <v>9377955.8558558561</v>
      </c>
      <c r="O48">
        <v>16030153.153153151</v>
      </c>
      <c r="P48">
        <v>15313216.216216216</v>
      </c>
      <c r="Q48">
        <v>4910900.9009009004</v>
      </c>
      <c r="R48">
        <v>9030540.5405405406</v>
      </c>
      <c r="S48">
        <v>1334</v>
      </c>
      <c r="T48">
        <v>983</v>
      </c>
    </row>
    <row r="49" spans="1:20" x14ac:dyDescent="0.35">
      <c r="A49" s="7" t="s">
        <v>119</v>
      </c>
      <c r="B49" s="12" t="s">
        <v>79</v>
      </c>
      <c r="C49">
        <v>547410527.73078108</v>
      </c>
      <c r="D49">
        <v>588271592.37485647</v>
      </c>
      <c r="E49">
        <v>415030864.86486483</v>
      </c>
      <c r="F49">
        <v>938536878.37837839</v>
      </c>
      <c r="G49">
        <v>239</v>
      </c>
      <c r="H49">
        <v>383</v>
      </c>
      <c r="I49">
        <v>8</v>
      </c>
      <c r="K49">
        <v>315</v>
      </c>
      <c r="L49">
        <v>514</v>
      </c>
      <c r="M49">
        <v>124486486.48648648</v>
      </c>
      <c r="N49">
        <v>239651653.15315315</v>
      </c>
      <c r="O49">
        <v>219474414.86486486</v>
      </c>
      <c r="P49">
        <v>236130675.67567569</v>
      </c>
      <c r="Q49">
        <v>116996126.12612613</v>
      </c>
      <c r="R49">
        <v>232989909.90990993</v>
      </c>
      <c r="S49">
        <v>14062</v>
      </c>
      <c r="T49">
        <v>11708</v>
      </c>
    </row>
    <row r="50" spans="1:20" x14ac:dyDescent="0.35">
      <c r="A50" s="7" t="s">
        <v>120</v>
      </c>
      <c r="B50" s="12" t="s">
        <v>51</v>
      </c>
      <c r="C50">
        <v>173542792.94365337</v>
      </c>
      <c r="D50">
        <v>169388350.42723274</v>
      </c>
      <c r="E50">
        <v>4949549.5495495498</v>
      </c>
      <c r="F50">
        <v>2498002.7027027062</v>
      </c>
      <c r="G50">
        <v>58</v>
      </c>
      <c r="H50">
        <v>31</v>
      </c>
      <c r="K50">
        <v>64</v>
      </c>
      <c r="L50">
        <v>33</v>
      </c>
      <c r="M50">
        <v>106524324.32432432</v>
      </c>
      <c r="N50">
        <v>42497234.234234244</v>
      </c>
      <c r="O50">
        <v>62667693.693693697</v>
      </c>
      <c r="P50">
        <v>65756981.981981985</v>
      </c>
      <c r="Q50">
        <v>100502252.25225225</v>
      </c>
      <c r="R50">
        <v>43220630.630630635</v>
      </c>
      <c r="S50">
        <v>2688</v>
      </c>
      <c r="T50">
        <v>2667</v>
      </c>
    </row>
    <row r="51" spans="1:20" x14ac:dyDescent="0.35">
      <c r="A51" s="7" t="s">
        <v>121</v>
      </c>
      <c r="B51" s="12" t="s">
        <v>122</v>
      </c>
      <c r="C51">
        <v>582386118.62403309</v>
      </c>
      <c r="D51">
        <v>545421190.03860414</v>
      </c>
      <c r="E51">
        <v>4846396.3963963985</v>
      </c>
      <c r="F51">
        <v>3963264.864864869</v>
      </c>
      <c r="G51">
        <v>225</v>
      </c>
      <c r="H51">
        <v>251</v>
      </c>
      <c r="K51">
        <v>254</v>
      </c>
      <c r="L51">
        <v>410</v>
      </c>
      <c r="M51">
        <v>23497297.297297295</v>
      </c>
      <c r="N51">
        <v>26076551.351351351</v>
      </c>
      <c r="O51">
        <v>48103594.594594598</v>
      </c>
      <c r="P51">
        <v>52015621.621621624</v>
      </c>
      <c r="Q51">
        <v>20215765.765765768</v>
      </c>
      <c r="R51">
        <v>23188468.468468465</v>
      </c>
      <c r="S51">
        <v>8744</v>
      </c>
      <c r="T51">
        <v>8034</v>
      </c>
    </row>
    <row r="52" spans="1:20" x14ac:dyDescent="0.35">
      <c r="A52" s="7" t="s">
        <v>123</v>
      </c>
      <c r="B52" s="12" t="s">
        <v>124</v>
      </c>
      <c r="C52">
        <v>303396171.83338976</v>
      </c>
      <c r="D52">
        <v>309469851.26965141</v>
      </c>
      <c r="E52">
        <v>1306531.5315315321</v>
      </c>
      <c r="F52">
        <v>3044022.5225225212</v>
      </c>
      <c r="G52">
        <v>50</v>
      </c>
      <c r="H52">
        <v>28</v>
      </c>
      <c r="K52">
        <v>56</v>
      </c>
      <c r="L52">
        <v>30</v>
      </c>
      <c r="M52">
        <v>64914504.504504502</v>
      </c>
      <c r="N52">
        <v>83772394.594594598</v>
      </c>
      <c r="O52">
        <v>139603833.33333331</v>
      </c>
      <c r="P52">
        <v>140334841.44144145</v>
      </c>
      <c r="Q52">
        <v>63853873.873873875</v>
      </c>
      <c r="R52">
        <v>68086165.765765771</v>
      </c>
      <c r="S52">
        <v>4895</v>
      </c>
      <c r="T52">
        <v>4403</v>
      </c>
    </row>
    <row r="53" spans="1:20" x14ac:dyDescent="0.35">
      <c r="A53" s="7" t="s">
        <v>125</v>
      </c>
      <c r="B53" s="12" t="s">
        <v>126</v>
      </c>
      <c r="C53">
        <v>399691500.51661128</v>
      </c>
      <c r="D53">
        <v>413780495.63424295</v>
      </c>
      <c r="E53">
        <v>3689189.1891891919</v>
      </c>
      <c r="F53">
        <v>3633320.7207207219</v>
      </c>
      <c r="G53">
        <v>104</v>
      </c>
      <c r="H53">
        <v>76</v>
      </c>
      <c r="K53">
        <v>168</v>
      </c>
      <c r="L53">
        <v>88</v>
      </c>
      <c r="M53">
        <v>102001801.8018018</v>
      </c>
      <c r="N53">
        <v>99660759.459459454</v>
      </c>
      <c r="O53">
        <v>123521661.26126127</v>
      </c>
      <c r="P53">
        <v>130247877.47747748</v>
      </c>
      <c r="Q53">
        <v>113323243.24324325</v>
      </c>
      <c r="R53">
        <v>105330000</v>
      </c>
      <c r="S53">
        <v>6883</v>
      </c>
      <c r="T53">
        <v>6472</v>
      </c>
    </row>
    <row r="54" spans="1:20" x14ac:dyDescent="0.35">
      <c r="A54" s="7" t="s">
        <v>127</v>
      </c>
      <c r="B54" s="12" t="s">
        <v>79</v>
      </c>
      <c r="C54">
        <v>266321750.35414585</v>
      </c>
      <c r="D54">
        <v>257348754.06824431</v>
      </c>
      <c r="E54">
        <v>5653153.1531531569</v>
      </c>
      <c r="F54">
        <v>7261758.55855856</v>
      </c>
      <c r="G54">
        <v>90</v>
      </c>
      <c r="H54">
        <v>59</v>
      </c>
      <c r="I54">
        <v>1</v>
      </c>
      <c r="K54">
        <v>98</v>
      </c>
      <c r="L54">
        <v>62</v>
      </c>
      <c r="M54">
        <v>49193693.693693697</v>
      </c>
      <c r="N54">
        <v>57818066.666666664</v>
      </c>
      <c r="O54">
        <v>108226495.4954955</v>
      </c>
      <c r="P54">
        <v>105174945.94594595</v>
      </c>
      <c r="Q54">
        <v>45173333.333333336</v>
      </c>
      <c r="R54">
        <v>56589009.009009011</v>
      </c>
      <c r="S54">
        <v>5406</v>
      </c>
      <c r="T54">
        <v>4979</v>
      </c>
    </row>
    <row r="55" spans="1:20" x14ac:dyDescent="0.35">
      <c r="A55" s="7" t="s">
        <v>128</v>
      </c>
      <c r="B55" s="12" t="s">
        <v>79</v>
      </c>
      <c r="C55">
        <v>44194593.337133192</v>
      </c>
      <c r="D55">
        <v>44051430.462733656</v>
      </c>
      <c r="E55">
        <v>86239639.639639631</v>
      </c>
      <c r="F55">
        <v>215197455.85585588</v>
      </c>
      <c r="G55">
        <v>16</v>
      </c>
      <c r="H55">
        <v>9</v>
      </c>
      <c r="K55">
        <v>20</v>
      </c>
      <c r="L55">
        <v>11</v>
      </c>
      <c r="M55">
        <v>19343243.243243244</v>
      </c>
      <c r="N55">
        <v>20225439.639639638</v>
      </c>
      <c r="O55">
        <v>25622252.252252251</v>
      </c>
      <c r="P55">
        <v>24208000</v>
      </c>
      <c r="Q55">
        <v>20606126.126126129</v>
      </c>
      <c r="R55">
        <v>13419189.189189188</v>
      </c>
      <c r="S55">
        <v>1449</v>
      </c>
      <c r="T55">
        <v>1142</v>
      </c>
    </row>
    <row r="56" spans="1:20" x14ac:dyDescent="0.35">
      <c r="A56" s="7" t="s">
        <v>129</v>
      </c>
      <c r="B56" s="12" t="s">
        <v>79</v>
      </c>
      <c r="C56">
        <v>254128063.30761781</v>
      </c>
      <c r="D56">
        <v>256219271.31766176</v>
      </c>
      <c r="E56">
        <v>2967342.3423423469</v>
      </c>
      <c r="F56">
        <v>4157657.6576576601</v>
      </c>
      <c r="G56">
        <v>206</v>
      </c>
      <c r="H56">
        <v>86</v>
      </c>
      <c r="K56">
        <v>239</v>
      </c>
      <c r="L56">
        <v>146</v>
      </c>
      <c r="M56">
        <v>34268468.468468472</v>
      </c>
      <c r="N56">
        <v>46032882.882882886</v>
      </c>
      <c r="O56">
        <v>97183845.045045033</v>
      </c>
      <c r="P56">
        <v>103723558.55855855</v>
      </c>
      <c r="Q56">
        <v>32410900.900900897</v>
      </c>
      <c r="R56">
        <v>44829729.729729727</v>
      </c>
      <c r="S56">
        <v>6220</v>
      </c>
      <c r="T56">
        <v>5888</v>
      </c>
    </row>
    <row r="57" spans="1:20" x14ac:dyDescent="0.35">
      <c r="A57" s="7" t="s">
        <v>130</v>
      </c>
      <c r="B57" s="12" t="s">
        <v>86</v>
      </c>
      <c r="C57">
        <v>74956323.170361206</v>
      </c>
      <c r="D57">
        <v>78276524.146160021</v>
      </c>
      <c r="E57">
        <v>212612.612612614</v>
      </c>
      <c r="F57">
        <v>750183.78378378495</v>
      </c>
      <c r="G57">
        <v>16</v>
      </c>
      <c r="H57">
        <v>55</v>
      </c>
      <c r="K57">
        <v>18</v>
      </c>
      <c r="L57">
        <v>58</v>
      </c>
      <c r="M57">
        <v>88749279.279279277</v>
      </c>
      <c r="N57">
        <v>79629733.333333328</v>
      </c>
      <c r="O57">
        <v>34979801.801801801</v>
      </c>
      <c r="P57">
        <v>43425900.9009009</v>
      </c>
      <c r="Q57">
        <v>71728198.198198199</v>
      </c>
      <c r="R57">
        <v>72197297.297297299</v>
      </c>
      <c r="S57">
        <v>1387</v>
      </c>
      <c r="T57">
        <v>1164</v>
      </c>
    </row>
    <row r="58" spans="1:20" x14ac:dyDescent="0.35">
      <c r="A58" s="7" t="s">
        <v>131</v>
      </c>
      <c r="B58" s="12" t="s">
        <v>90</v>
      </c>
      <c r="C58">
        <v>695909544.42179382</v>
      </c>
      <c r="D58">
        <v>690698037.59024882</v>
      </c>
      <c r="E58">
        <v>4965315.3153153211</v>
      </c>
      <c r="F58">
        <v>10705502.702702709</v>
      </c>
      <c r="G58">
        <v>84</v>
      </c>
      <c r="H58">
        <v>106</v>
      </c>
      <c r="K58">
        <v>116</v>
      </c>
      <c r="L58">
        <v>136</v>
      </c>
      <c r="M58">
        <v>73579189.189189181</v>
      </c>
      <c r="N58">
        <v>69272122.522522524</v>
      </c>
      <c r="O58">
        <v>216769771.17117116</v>
      </c>
      <c r="P58">
        <v>221274504.5045045</v>
      </c>
      <c r="Q58">
        <v>72080627.027027026</v>
      </c>
      <c r="R58">
        <v>64330180.180180177</v>
      </c>
      <c r="S58">
        <v>12554</v>
      </c>
      <c r="T58">
        <v>10298</v>
      </c>
    </row>
    <row r="59" spans="1:20" x14ac:dyDescent="0.35">
      <c r="A59" s="7" t="s">
        <v>132</v>
      </c>
      <c r="B59" s="12" t="s">
        <v>133</v>
      </c>
      <c r="C59">
        <v>383946389.28817374</v>
      </c>
      <c r="D59">
        <v>366761367.44382489</v>
      </c>
      <c r="E59">
        <v>21657657.657657661</v>
      </c>
      <c r="F59">
        <v>25488294.594594598</v>
      </c>
      <c r="G59">
        <v>223</v>
      </c>
      <c r="H59">
        <v>153</v>
      </c>
      <c r="K59">
        <v>230</v>
      </c>
      <c r="L59">
        <v>164</v>
      </c>
      <c r="M59">
        <v>38199324.324324325</v>
      </c>
      <c r="N59">
        <v>63725729.729729727</v>
      </c>
      <c r="O59">
        <v>120703626.57657658</v>
      </c>
      <c r="P59">
        <v>123558225.22522523</v>
      </c>
      <c r="Q59">
        <v>34436396.396396399</v>
      </c>
      <c r="R59">
        <v>54767927.927927926</v>
      </c>
      <c r="S59">
        <v>6949</v>
      </c>
      <c r="T59">
        <v>7253</v>
      </c>
    </row>
    <row r="60" spans="1:20" x14ac:dyDescent="0.35">
      <c r="A60" s="7" t="s">
        <v>134</v>
      </c>
      <c r="B60" s="12" t="s">
        <v>135</v>
      </c>
      <c r="C60">
        <v>45097328.872945294</v>
      </c>
      <c r="D60">
        <v>62777357.134460598</v>
      </c>
      <c r="G60">
        <v>3</v>
      </c>
      <c r="H60">
        <v>4</v>
      </c>
      <c r="K60">
        <v>3</v>
      </c>
      <c r="L60">
        <v>6</v>
      </c>
      <c r="O60">
        <v>7151610.8108108109</v>
      </c>
      <c r="P60">
        <v>9941315.3153153155</v>
      </c>
      <c r="S60">
        <v>2362</v>
      </c>
      <c r="T60">
        <v>2283</v>
      </c>
    </row>
    <row r="61" spans="1:20" x14ac:dyDescent="0.35">
      <c r="A61" s="7" t="s">
        <v>136</v>
      </c>
      <c r="B61" s="12" t="s">
        <v>137</v>
      </c>
      <c r="C61">
        <v>309031072.4399029</v>
      </c>
      <c r="D61">
        <v>307953959.65852666</v>
      </c>
      <c r="E61">
        <v>1044144.1441441471</v>
      </c>
      <c r="F61">
        <v>2187872.0720720738</v>
      </c>
      <c r="G61">
        <v>83</v>
      </c>
      <c r="H61">
        <v>70</v>
      </c>
      <c r="I61">
        <v>4</v>
      </c>
      <c r="K61">
        <v>86</v>
      </c>
      <c r="L61">
        <v>74</v>
      </c>
      <c r="M61">
        <v>27125225.225225229</v>
      </c>
      <c r="N61">
        <v>32477994.594594598</v>
      </c>
      <c r="O61">
        <v>48302360.360360362</v>
      </c>
      <c r="P61">
        <v>54735331.531531528</v>
      </c>
      <c r="Q61">
        <v>22552882.882882886</v>
      </c>
      <c r="R61">
        <v>26082342.342342343</v>
      </c>
      <c r="S61">
        <v>3828</v>
      </c>
      <c r="T61">
        <v>3596</v>
      </c>
    </row>
    <row r="62" spans="1:20" x14ac:dyDescent="0.35">
      <c r="A62" s="7" t="s">
        <v>138</v>
      </c>
      <c r="B62" s="12" t="s">
        <v>90</v>
      </c>
      <c r="C62">
        <v>343440814.05990183</v>
      </c>
      <c r="D62">
        <v>350432273.08284289</v>
      </c>
      <c r="E62">
        <v>4906081.0810810868</v>
      </c>
      <c r="F62">
        <v>6967304.5045045046</v>
      </c>
      <c r="G62">
        <v>70</v>
      </c>
      <c r="H62">
        <v>46</v>
      </c>
      <c r="I62">
        <v>10</v>
      </c>
      <c r="K62">
        <v>296</v>
      </c>
      <c r="L62">
        <v>106</v>
      </c>
      <c r="M62">
        <v>63330000</v>
      </c>
      <c r="N62">
        <v>70150760.360360354</v>
      </c>
      <c r="O62">
        <v>122700772.97297297</v>
      </c>
      <c r="P62">
        <v>128775675.67567568</v>
      </c>
      <c r="Q62">
        <v>55720630.630630635</v>
      </c>
      <c r="R62">
        <v>71880270.270270273</v>
      </c>
      <c r="S62">
        <v>5093</v>
      </c>
      <c r="T62">
        <v>4845</v>
      </c>
    </row>
    <row r="63" spans="1:20" x14ac:dyDescent="0.35">
      <c r="A63" s="7" t="s">
        <v>139</v>
      </c>
      <c r="B63" s="12" t="s">
        <v>79</v>
      </c>
      <c r="C63">
        <v>247071259.43166578</v>
      </c>
      <c r="D63">
        <v>247595067.92078769</v>
      </c>
      <c r="E63">
        <v>6414414.4144144161</v>
      </c>
      <c r="F63">
        <v>7225330.6306306319</v>
      </c>
      <c r="G63">
        <v>137</v>
      </c>
      <c r="H63">
        <v>115</v>
      </c>
      <c r="I63">
        <v>5</v>
      </c>
      <c r="K63">
        <v>152</v>
      </c>
      <c r="L63">
        <v>124</v>
      </c>
      <c r="M63">
        <v>35396396.396396391</v>
      </c>
      <c r="N63">
        <v>43842927.927927926</v>
      </c>
      <c r="O63">
        <v>105603128.37837839</v>
      </c>
      <c r="P63">
        <v>108310342.34234233</v>
      </c>
      <c r="Q63">
        <v>35174144.14414414</v>
      </c>
      <c r="R63">
        <v>39212162.162162162</v>
      </c>
      <c r="S63">
        <v>5795</v>
      </c>
      <c r="T63">
        <v>5191</v>
      </c>
    </row>
    <row r="64" spans="1:20" x14ac:dyDescent="0.35">
      <c r="A64" s="7" t="s">
        <v>140</v>
      </c>
      <c r="B64" s="12" t="s">
        <v>141</v>
      </c>
      <c r="C64">
        <v>341793240.3977741</v>
      </c>
      <c r="D64">
        <v>371706512.53875417</v>
      </c>
      <c r="E64">
        <v>3407207.207207208</v>
      </c>
      <c r="F64">
        <v>4746581.9819819797</v>
      </c>
      <c r="G64">
        <v>28</v>
      </c>
      <c r="H64">
        <v>17</v>
      </c>
      <c r="K64">
        <v>30</v>
      </c>
      <c r="L64">
        <v>33</v>
      </c>
      <c r="M64">
        <v>33805225.225225225</v>
      </c>
      <c r="N64">
        <v>35642442.342342339</v>
      </c>
      <c r="O64">
        <v>59708594.59459459</v>
      </c>
      <c r="P64">
        <v>67281526.126126125</v>
      </c>
      <c r="Q64">
        <v>28673783.783783782</v>
      </c>
      <c r="R64">
        <v>30159639.639639638</v>
      </c>
      <c r="S64">
        <v>5590</v>
      </c>
      <c r="T64">
        <v>5605</v>
      </c>
    </row>
    <row r="65" spans="1:20" x14ac:dyDescent="0.35">
      <c r="A65" s="7" t="s">
        <v>142</v>
      </c>
      <c r="B65" s="12" t="s">
        <v>63</v>
      </c>
      <c r="C65">
        <v>226139392.35150996</v>
      </c>
      <c r="D65">
        <v>236934375.62612709</v>
      </c>
      <c r="E65">
        <v>3500790.090090089</v>
      </c>
      <c r="F65">
        <v>9900930.6306306329</v>
      </c>
      <c r="G65">
        <v>135</v>
      </c>
      <c r="H65">
        <v>44</v>
      </c>
      <c r="I65">
        <v>4</v>
      </c>
      <c r="K65">
        <v>146</v>
      </c>
      <c r="L65">
        <v>68</v>
      </c>
      <c r="M65">
        <v>120820443.24324325</v>
      </c>
      <c r="N65">
        <v>260090368.46846849</v>
      </c>
      <c r="O65">
        <v>50185711.711711712</v>
      </c>
      <c r="P65">
        <v>53763000</v>
      </c>
      <c r="Q65">
        <v>123060900.9009009</v>
      </c>
      <c r="R65">
        <v>265127297.2972973</v>
      </c>
      <c r="S65">
        <v>4384</v>
      </c>
      <c r="T65">
        <v>3855</v>
      </c>
    </row>
    <row r="66" spans="1:20" x14ac:dyDescent="0.35">
      <c r="A66" s="7" t="s">
        <v>143</v>
      </c>
      <c r="B66" s="12" t="s">
        <v>144</v>
      </c>
      <c r="C66">
        <v>2359235.0755612231</v>
      </c>
      <c r="D66">
        <v>2421251.0673207161</v>
      </c>
      <c r="G66">
        <v>1</v>
      </c>
      <c r="K66">
        <v>1</v>
      </c>
      <c r="O66">
        <v>164504.50450450499</v>
      </c>
      <c r="P66">
        <v>284279.279279279</v>
      </c>
      <c r="S66">
        <v>314</v>
      </c>
      <c r="T66">
        <v>117</v>
      </c>
    </row>
    <row r="67" spans="1:20" x14ac:dyDescent="0.35">
      <c r="A67" s="7" t="s">
        <v>145</v>
      </c>
      <c r="B67" s="12" t="s">
        <v>141</v>
      </c>
      <c r="C67">
        <v>481920759.7899822</v>
      </c>
      <c r="D67">
        <v>484406543.21616423</v>
      </c>
      <c r="E67">
        <v>3426576.5765765761</v>
      </c>
      <c r="F67">
        <v>3939604.5045045041</v>
      </c>
      <c r="G67">
        <v>125</v>
      </c>
      <c r="H67">
        <v>60</v>
      </c>
      <c r="K67">
        <v>145</v>
      </c>
      <c r="L67">
        <v>75</v>
      </c>
      <c r="M67">
        <v>56258018.018018015</v>
      </c>
      <c r="N67">
        <v>60349782.882882878</v>
      </c>
      <c r="O67">
        <v>90278126.126126125</v>
      </c>
      <c r="P67">
        <v>97273342.342342332</v>
      </c>
      <c r="Q67">
        <v>52713243.243243247</v>
      </c>
      <c r="R67">
        <v>60225225.225225225</v>
      </c>
      <c r="S67">
        <v>7957</v>
      </c>
      <c r="T67">
        <v>7799</v>
      </c>
    </row>
    <row r="68" spans="1:20" x14ac:dyDescent="0.35">
      <c r="A68" s="7" t="s">
        <v>146</v>
      </c>
      <c r="B68" s="12" t="s">
        <v>79</v>
      </c>
      <c r="C68">
        <v>345079727.44873917</v>
      </c>
      <c r="D68">
        <v>346843737.45775372</v>
      </c>
      <c r="E68">
        <v>4472072.0720720738</v>
      </c>
      <c r="F68">
        <v>4819259.4594594613</v>
      </c>
      <c r="G68">
        <v>108</v>
      </c>
      <c r="H68">
        <v>101</v>
      </c>
      <c r="K68">
        <v>119</v>
      </c>
      <c r="L68">
        <v>113</v>
      </c>
      <c r="M68">
        <v>34232432.432432435</v>
      </c>
      <c r="N68">
        <v>42886227.927927926</v>
      </c>
      <c r="O68">
        <v>98038684.684684694</v>
      </c>
      <c r="P68">
        <v>101365511.7117117</v>
      </c>
      <c r="Q68">
        <v>34749189.189189181</v>
      </c>
      <c r="R68">
        <v>39486846.846846849</v>
      </c>
      <c r="S68">
        <v>6559</v>
      </c>
      <c r="T68">
        <v>6484</v>
      </c>
    </row>
    <row r="69" spans="1:20" x14ac:dyDescent="0.35">
      <c r="A69" s="7" t="s">
        <v>147</v>
      </c>
      <c r="B69" s="12" t="s">
        <v>148</v>
      </c>
      <c r="C69">
        <v>226627545.18275097</v>
      </c>
      <c r="D69">
        <v>220670871.32368019</v>
      </c>
      <c r="E69">
        <v>5263963.9639639659</v>
      </c>
      <c r="F69">
        <v>4593632.4324324355</v>
      </c>
      <c r="G69">
        <v>45</v>
      </c>
      <c r="H69">
        <v>32</v>
      </c>
      <c r="K69">
        <v>48</v>
      </c>
      <c r="L69">
        <v>35</v>
      </c>
      <c r="M69">
        <v>87980714.414414421</v>
      </c>
      <c r="N69">
        <v>80543843.243243247</v>
      </c>
      <c r="O69">
        <v>71443981.981981978</v>
      </c>
      <c r="P69">
        <v>71569304.504504502</v>
      </c>
      <c r="Q69">
        <v>84619639.639639646</v>
      </c>
      <c r="R69">
        <v>79091171.171171173</v>
      </c>
      <c r="S69">
        <v>4287</v>
      </c>
      <c r="T69">
        <v>4300</v>
      </c>
    </row>
    <row r="70" spans="1:20" x14ac:dyDescent="0.35">
      <c r="A70" s="7" t="s">
        <v>149</v>
      </c>
      <c r="B70" s="12" t="s">
        <v>95</v>
      </c>
      <c r="C70">
        <v>17.531949365999999</v>
      </c>
      <c r="D70">
        <v>38.68289583</v>
      </c>
    </row>
    <row r="71" spans="1:20" x14ac:dyDescent="0.35">
      <c r="A71" s="7" t="s">
        <v>150</v>
      </c>
      <c r="B71" s="12" t="s">
        <v>51</v>
      </c>
      <c r="C71">
        <v>201244199.34032196</v>
      </c>
      <c r="D71">
        <v>200480327.993994</v>
      </c>
      <c r="E71">
        <v>857657.65765765798</v>
      </c>
      <c r="F71">
        <v>1406889.1891891931</v>
      </c>
      <c r="G71">
        <v>63</v>
      </c>
      <c r="H71">
        <v>33</v>
      </c>
      <c r="K71">
        <v>65</v>
      </c>
      <c r="L71">
        <v>36</v>
      </c>
      <c r="M71">
        <v>12707657.657657659</v>
      </c>
      <c r="N71">
        <v>66700319.819819815</v>
      </c>
      <c r="O71">
        <v>89157117.117117122</v>
      </c>
      <c r="P71">
        <v>92104729.729729727</v>
      </c>
      <c r="Q71">
        <v>12209639.63963964</v>
      </c>
      <c r="R71">
        <v>65872522.522522517</v>
      </c>
      <c r="S71">
        <v>3696</v>
      </c>
      <c r="T71">
        <v>3424</v>
      </c>
    </row>
    <row r="72" spans="1:20" x14ac:dyDescent="0.35">
      <c r="A72" s="7" t="s">
        <v>151</v>
      </c>
      <c r="B72" s="12" t="s">
        <v>152</v>
      </c>
      <c r="C72">
        <v>60838498.026457153</v>
      </c>
      <c r="D72">
        <v>56614464.635037057</v>
      </c>
      <c r="E72">
        <v>249742605.4054054</v>
      </c>
      <c r="F72">
        <v>281277355.85585588</v>
      </c>
      <c r="G72">
        <v>12</v>
      </c>
      <c r="H72">
        <v>7</v>
      </c>
      <c r="K72">
        <v>14</v>
      </c>
      <c r="L72">
        <v>7</v>
      </c>
      <c r="M72">
        <v>70720720.720720723</v>
      </c>
      <c r="N72">
        <v>66411711.711711712</v>
      </c>
      <c r="O72">
        <v>16988234.234234232</v>
      </c>
      <c r="P72">
        <v>15963369.369369367</v>
      </c>
      <c r="Q72">
        <v>28027387.387387387</v>
      </c>
      <c r="R72">
        <v>33280540.540540539</v>
      </c>
      <c r="S72">
        <v>1076</v>
      </c>
      <c r="T72">
        <v>642</v>
      </c>
    </row>
    <row r="73" spans="1:20" x14ac:dyDescent="0.35">
      <c r="A73" s="7" t="s">
        <v>153</v>
      </c>
      <c r="B73" s="12" t="s">
        <v>152</v>
      </c>
      <c r="C73">
        <v>596874268.10176098</v>
      </c>
      <c r="D73">
        <v>576289479.06725156</v>
      </c>
      <c r="E73">
        <v>591282657.65765762</v>
      </c>
      <c r="F73">
        <v>293346675.67567563</v>
      </c>
      <c r="G73">
        <v>341</v>
      </c>
      <c r="H73">
        <v>226</v>
      </c>
      <c r="I73">
        <v>2</v>
      </c>
      <c r="K73">
        <v>353</v>
      </c>
      <c r="L73">
        <v>269</v>
      </c>
      <c r="M73">
        <v>443730702.7027027</v>
      </c>
      <c r="N73">
        <v>417523027.02702701</v>
      </c>
      <c r="O73">
        <v>213127153.15315315</v>
      </c>
      <c r="P73">
        <v>211143117.11711711</v>
      </c>
      <c r="Q73">
        <v>330179899.0990991</v>
      </c>
      <c r="R73">
        <v>327331618.01801807</v>
      </c>
      <c r="S73">
        <v>8374</v>
      </c>
      <c r="T73">
        <v>13518</v>
      </c>
    </row>
    <row r="74" spans="1:20" x14ac:dyDescent="0.35">
      <c r="A74" s="7" t="s">
        <v>154</v>
      </c>
      <c r="B74" s="12" t="s">
        <v>155</v>
      </c>
      <c r="C74">
        <v>493962085.0114122</v>
      </c>
      <c r="D74">
        <v>488595784.5566228</v>
      </c>
      <c r="E74">
        <v>254122297.2972973</v>
      </c>
      <c r="F74">
        <v>139248676.57657659</v>
      </c>
      <c r="G74">
        <v>71</v>
      </c>
      <c r="H74">
        <v>47</v>
      </c>
      <c r="K74">
        <v>79</v>
      </c>
      <c r="L74">
        <v>56</v>
      </c>
      <c r="M74">
        <v>76689639.639639631</v>
      </c>
      <c r="N74">
        <v>101324318.91891891</v>
      </c>
      <c r="O74">
        <v>211438315.31531534</v>
      </c>
      <c r="P74">
        <v>218515666.66666666</v>
      </c>
      <c r="Q74">
        <v>64230630.630630635</v>
      </c>
      <c r="R74">
        <v>92260000</v>
      </c>
      <c r="S74">
        <v>7429</v>
      </c>
      <c r="T74">
        <v>7053</v>
      </c>
    </row>
    <row r="75" spans="1:20" x14ac:dyDescent="0.35">
      <c r="A75" s="7" t="s">
        <v>156</v>
      </c>
      <c r="B75" s="12" t="s">
        <v>155</v>
      </c>
      <c r="C75">
        <v>52960820.604212046</v>
      </c>
      <c r="D75">
        <v>60608008.447217233</v>
      </c>
      <c r="E75">
        <v>244144.144144144</v>
      </c>
      <c r="F75">
        <v>1376351.351351351</v>
      </c>
      <c r="G75">
        <v>14</v>
      </c>
      <c r="H75">
        <v>9</v>
      </c>
      <c r="K75">
        <v>16</v>
      </c>
      <c r="L75">
        <v>9</v>
      </c>
      <c r="M75">
        <v>5353153.1531531531</v>
      </c>
      <c r="N75">
        <v>23953153.153153151</v>
      </c>
      <c r="O75">
        <v>13779360.36036036</v>
      </c>
      <c r="P75">
        <v>18394576.576576576</v>
      </c>
      <c r="Q75">
        <v>4642522.5225225221</v>
      </c>
      <c r="R75">
        <v>17944774.774774775</v>
      </c>
      <c r="S75">
        <v>2078</v>
      </c>
      <c r="T75">
        <v>1899</v>
      </c>
    </row>
    <row r="76" spans="1:20" x14ac:dyDescent="0.35">
      <c r="A76" s="7" t="s">
        <v>157</v>
      </c>
      <c r="B76" s="12" t="s">
        <v>155</v>
      </c>
      <c r="C76">
        <v>583931419.91044486</v>
      </c>
      <c r="D76">
        <v>559316345.0275507</v>
      </c>
      <c r="E76">
        <v>122838254.05405405</v>
      </c>
      <c r="F76">
        <v>294311642.34234232</v>
      </c>
      <c r="G76">
        <v>61</v>
      </c>
      <c r="H76">
        <v>55</v>
      </c>
      <c r="K76">
        <v>153</v>
      </c>
      <c r="L76">
        <v>212</v>
      </c>
      <c r="M76">
        <v>139096396.3963964</v>
      </c>
      <c r="N76">
        <v>209201628.82882884</v>
      </c>
      <c r="O76">
        <v>227089927.92792794</v>
      </c>
      <c r="P76">
        <v>238282774.77477479</v>
      </c>
      <c r="Q76">
        <v>126085495.49549548</v>
      </c>
      <c r="R76">
        <v>168584774.77477479</v>
      </c>
      <c r="S76">
        <v>8466</v>
      </c>
      <c r="T76">
        <v>7844</v>
      </c>
    </row>
    <row r="77" spans="1:20" x14ac:dyDescent="0.35">
      <c r="A77" s="7" t="s">
        <v>158</v>
      </c>
      <c r="B77" s="12" t="s">
        <v>135</v>
      </c>
      <c r="C77">
        <v>269389373.35632002</v>
      </c>
      <c r="D77">
        <v>257120581.28925669</v>
      </c>
      <c r="E77">
        <v>1404504.5045045069</v>
      </c>
      <c r="F77">
        <v>3057486.486486489</v>
      </c>
      <c r="G77">
        <v>52</v>
      </c>
      <c r="H77">
        <v>64</v>
      </c>
      <c r="K77">
        <v>56</v>
      </c>
      <c r="L77">
        <v>103</v>
      </c>
      <c r="M77">
        <v>34147755.855855852</v>
      </c>
      <c r="N77">
        <v>30104039.639639638</v>
      </c>
      <c r="O77">
        <v>26565081.081081081</v>
      </c>
      <c r="P77">
        <v>28099729.729729727</v>
      </c>
      <c r="Q77">
        <v>16980630.630630631</v>
      </c>
      <c r="R77">
        <v>16970630.630630631</v>
      </c>
      <c r="S77">
        <v>4860</v>
      </c>
      <c r="T77">
        <v>4537</v>
      </c>
    </row>
    <row r="78" spans="1:20" x14ac:dyDescent="0.35">
      <c r="A78" s="7" t="s">
        <v>1</v>
      </c>
      <c r="B78" s="12" t="s">
        <v>159</v>
      </c>
      <c r="C78">
        <v>482120787.14352679</v>
      </c>
      <c r="D78">
        <v>478626723.20604098</v>
      </c>
      <c r="E78">
        <v>854642650.45045042</v>
      </c>
      <c r="F78">
        <v>837375893.69369364</v>
      </c>
      <c r="G78">
        <v>297</v>
      </c>
      <c r="H78">
        <v>97</v>
      </c>
      <c r="I78">
        <v>1</v>
      </c>
      <c r="K78">
        <v>529</v>
      </c>
      <c r="L78">
        <v>413</v>
      </c>
      <c r="M78">
        <v>130888198.19819821</v>
      </c>
      <c r="N78">
        <v>174972054.05405405</v>
      </c>
      <c r="O78">
        <v>229371288.2882883</v>
      </c>
      <c r="P78">
        <v>233866378.37837836</v>
      </c>
      <c r="Q78">
        <v>53851081.081081077</v>
      </c>
      <c r="R78">
        <v>105622972.97297297</v>
      </c>
      <c r="S78">
        <v>9358</v>
      </c>
      <c r="T78">
        <v>8023</v>
      </c>
    </row>
    <row r="79" spans="1:20" x14ac:dyDescent="0.35">
      <c r="A79" s="7" t="s">
        <v>160</v>
      </c>
      <c r="B79" s="12" t="s">
        <v>122</v>
      </c>
      <c r="C79">
        <v>17813465.052666232</v>
      </c>
      <c r="D79">
        <v>15259270.974633303</v>
      </c>
      <c r="G79">
        <v>8</v>
      </c>
      <c r="H79">
        <v>11</v>
      </c>
      <c r="K79">
        <v>8</v>
      </c>
      <c r="L79">
        <v>12</v>
      </c>
      <c r="O79">
        <v>1768963.963963964</v>
      </c>
      <c r="P79">
        <v>1794684.684684685</v>
      </c>
      <c r="Q79">
        <v>96396.396396395998</v>
      </c>
      <c r="R79">
        <v>116216.21621621599</v>
      </c>
      <c r="S79">
        <v>674</v>
      </c>
      <c r="T79">
        <v>512</v>
      </c>
    </row>
    <row r="80" spans="1:20" x14ac:dyDescent="0.35">
      <c r="A80" s="7" t="s">
        <v>161</v>
      </c>
      <c r="B80" s="12" t="s">
        <v>162</v>
      </c>
      <c r="C80">
        <v>254923661.10588935</v>
      </c>
      <c r="D80">
        <v>266644252.75847164</v>
      </c>
      <c r="E80">
        <v>187774972.97297299</v>
      </c>
      <c r="F80">
        <v>195312543.24324328</v>
      </c>
      <c r="G80">
        <v>187</v>
      </c>
      <c r="H80">
        <v>308</v>
      </c>
      <c r="K80">
        <v>280</v>
      </c>
      <c r="L80">
        <v>526</v>
      </c>
      <c r="M80">
        <v>132464431.53153151</v>
      </c>
      <c r="N80">
        <v>147344857.65765765</v>
      </c>
      <c r="O80">
        <v>111321351.35135135</v>
      </c>
      <c r="P80">
        <v>118409989.18918918</v>
      </c>
      <c r="Q80">
        <v>113429549.54954955</v>
      </c>
      <c r="R80">
        <v>123537522.52252252</v>
      </c>
      <c r="S80">
        <v>15746</v>
      </c>
      <c r="T80">
        <v>5933</v>
      </c>
    </row>
    <row r="81" spans="1:20" x14ac:dyDescent="0.35">
      <c r="A81" s="7" t="s">
        <v>163</v>
      </c>
      <c r="B81" s="12" t="s">
        <v>77</v>
      </c>
      <c r="C81">
        <v>115146360.39311886</v>
      </c>
      <c r="D81">
        <v>117950087.69010265</v>
      </c>
      <c r="E81">
        <v>371171.171171172</v>
      </c>
      <c r="F81">
        <v>229729.72972973</v>
      </c>
      <c r="G81">
        <v>50</v>
      </c>
      <c r="H81">
        <v>16</v>
      </c>
      <c r="K81">
        <v>53</v>
      </c>
      <c r="L81">
        <v>16</v>
      </c>
      <c r="M81">
        <v>1695495.4954954961</v>
      </c>
      <c r="N81">
        <v>1755855.8558558561</v>
      </c>
      <c r="O81">
        <v>6313495.4954954954</v>
      </c>
      <c r="P81">
        <v>6033846.8468468469</v>
      </c>
      <c r="Q81">
        <v>1596666.666666667</v>
      </c>
      <c r="R81">
        <v>1790450.4504504499</v>
      </c>
      <c r="S81">
        <v>993</v>
      </c>
      <c r="T81">
        <v>942</v>
      </c>
    </row>
    <row r="82" spans="1:20" x14ac:dyDescent="0.35">
      <c r="A82" s="7" t="s">
        <v>164</v>
      </c>
      <c r="B82" s="12" t="s">
        <v>53</v>
      </c>
      <c r="C82">
        <v>89206645.391359076</v>
      </c>
      <c r="D82">
        <v>84472924.633765027</v>
      </c>
      <c r="E82">
        <v>1405405.4054054059</v>
      </c>
      <c r="F82">
        <v>1656845.945945947</v>
      </c>
      <c r="G82">
        <v>26</v>
      </c>
      <c r="H82">
        <v>9</v>
      </c>
      <c r="K82">
        <v>28</v>
      </c>
      <c r="L82">
        <v>11</v>
      </c>
      <c r="M82">
        <v>1712072.0720720729</v>
      </c>
      <c r="N82">
        <v>4500416.2162162159</v>
      </c>
      <c r="O82">
        <v>43482252.252252258</v>
      </c>
      <c r="P82">
        <v>38844846.846846849</v>
      </c>
      <c r="Q82">
        <v>1859729.7297297311</v>
      </c>
      <c r="R82">
        <v>4235045.0450450452</v>
      </c>
      <c r="S82">
        <v>2181</v>
      </c>
      <c r="T82">
        <v>1399</v>
      </c>
    </row>
    <row r="83" spans="1:20" x14ac:dyDescent="0.35">
      <c r="A83" s="7" t="s">
        <v>165</v>
      </c>
      <c r="B83" s="12" t="s">
        <v>88</v>
      </c>
      <c r="C83">
        <v>49462035.094314665</v>
      </c>
      <c r="D83">
        <v>61552498.627847143</v>
      </c>
      <c r="E83">
        <v>514414.41441441502</v>
      </c>
      <c r="F83">
        <v>147072.07207207099</v>
      </c>
      <c r="G83">
        <v>17</v>
      </c>
      <c r="H83">
        <v>18</v>
      </c>
      <c r="K83">
        <v>18</v>
      </c>
      <c r="L83">
        <v>20</v>
      </c>
      <c r="M83">
        <v>3761261.2612612611</v>
      </c>
      <c r="N83">
        <v>2056756.7567567581</v>
      </c>
      <c r="O83">
        <v>5082387.3873873875</v>
      </c>
      <c r="P83">
        <v>8948018.0180180185</v>
      </c>
      <c r="Q83">
        <v>3234324.3243243238</v>
      </c>
      <c r="R83">
        <v>2046126.1261261271</v>
      </c>
      <c r="S83">
        <v>1225</v>
      </c>
      <c r="T83">
        <v>1164</v>
      </c>
    </row>
    <row r="84" spans="1:20" x14ac:dyDescent="0.35">
      <c r="A84" s="7" t="s">
        <v>166</v>
      </c>
      <c r="B84" s="12" t="s">
        <v>144</v>
      </c>
      <c r="C84">
        <v>15376511.282481143</v>
      </c>
      <c r="D84">
        <v>14917018.619166384</v>
      </c>
      <c r="E84">
        <v>265765.76576576597</v>
      </c>
      <c r="F84">
        <v>321046.84684684698</v>
      </c>
      <c r="G84">
        <v>10</v>
      </c>
      <c r="K84">
        <v>10</v>
      </c>
      <c r="M84">
        <v>2220720.72072072</v>
      </c>
      <c r="N84">
        <v>772746.84684684698</v>
      </c>
      <c r="O84">
        <v>1739702.702702703</v>
      </c>
      <c r="P84">
        <v>1591297.297297297</v>
      </c>
      <c r="Q84">
        <v>893513.51351351303</v>
      </c>
      <c r="R84">
        <v>962972.97297297302</v>
      </c>
      <c r="S84">
        <v>391</v>
      </c>
      <c r="T84">
        <v>346</v>
      </c>
    </row>
    <row r="85" spans="1:20" x14ac:dyDescent="0.35">
      <c r="A85" s="7" t="s">
        <v>167</v>
      </c>
      <c r="B85" s="12" t="s">
        <v>168</v>
      </c>
      <c r="C85">
        <v>60915658.127644762</v>
      </c>
      <c r="D85">
        <v>57333841.113500111</v>
      </c>
      <c r="E85">
        <v>853153.15315315302</v>
      </c>
      <c r="F85">
        <v>3015315.315315315</v>
      </c>
      <c r="G85">
        <v>20</v>
      </c>
      <c r="H85">
        <v>12</v>
      </c>
      <c r="K85">
        <v>21</v>
      </c>
      <c r="L85">
        <v>14</v>
      </c>
      <c r="M85">
        <v>9164414.4144144133</v>
      </c>
      <c r="N85">
        <v>9531531.5315315314</v>
      </c>
      <c r="O85">
        <v>29213971.171171173</v>
      </c>
      <c r="P85">
        <v>30778783.783783782</v>
      </c>
      <c r="Q85">
        <v>6619279.2792792786</v>
      </c>
      <c r="R85">
        <v>7263693.6936936937</v>
      </c>
      <c r="S85">
        <v>1759</v>
      </c>
      <c r="T85">
        <v>1371</v>
      </c>
    </row>
    <row r="86" spans="1:20" x14ac:dyDescent="0.35">
      <c r="A86" s="7" t="s">
        <v>169</v>
      </c>
      <c r="B86" s="12" t="s">
        <v>170</v>
      </c>
      <c r="C86">
        <v>292407674.24860734</v>
      </c>
      <c r="D86">
        <v>305671888.52932531</v>
      </c>
      <c r="E86">
        <v>1890090.0900900899</v>
      </c>
      <c r="F86">
        <v>4701047.7477477491</v>
      </c>
      <c r="G86">
        <v>56</v>
      </c>
      <c r="H86">
        <v>50</v>
      </c>
      <c r="K86">
        <v>61</v>
      </c>
      <c r="L86">
        <v>56</v>
      </c>
      <c r="M86">
        <v>42548906.306306303</v>
      </c>
      <c r="N86">
        <v>65914663.963963963</v>
      </c>
      <c r="O86">
        <v>88824092.342342332</v>
      </c>
      <c r="P86">
        <v>99212981.981981978</v>
      </c>
      <c r="Q86">
        <v>44481171.171171166</v>
      </c>
      <c r="R86">
        <v>61827657.657657653</v>
      </c>
      <c r="S86">
        <v>6862</v>
      </c>
      <c r="T86">
        <v>5998</v>
      </c>
    </row>
    <row r="87" spans="1:20" x14ac:dyDescent="0.35">
      <c r="A87" s="7" t="s">
        <v>171</v>
      </c>
      <c r="B87" s="12" t="s">
        <v>55</v>
      </c>
      <c r="C87">
        <v>43265857.512660049</v>
      </c>
      <c r="D87">
        <v>50394627.10526944</v>
      </c>
      <c r="E87">
        <v>570270.27027027099</v>
      </c>
      <c r="F87">
        <v>224949.54954954999</v>
      </c>
      <c r="G87">
        <v>4</v>
      </c>
      <c r="H87">
        <v>4</v>
      </c>
      <c r="K87">
        <v>5</v>
      </c>
      <c r="L87">
        <v>5</v>
      </c>
      <c r="M87">
        <v>4581531.5315315323</v>
      </c>
      <c r="N87">
        <v>7477045.0450450452</v>
      </c>
      <c r="O87">
        <v>7105990.9909909908</v>
      </c>
      <c r="P87">
        <v>8304099.0990990987</v>
      </c>
      <c r="Q87">
        <v>4273963.9639639631</v>
      </c>
      <c r="R87">
        <v>6117837.8378378376</v>
      </c>
      <c r="S87">
        <v>782</v>
      </c>
      <c r="T87">
        <v>714</v>
      </c>
    </row>
    <row r="88" spans="1:20" x14ac:dyDescent="0.35">
      <c r="A88" s="7" t="s">
        <v>172</v>
      </c>
      <c r="B88" s="12" t="s">
        <v>61</v>
      </c>
      <c r="C88">
        <v>918182205.47732079</v>
      </c>
      <c r="D88">
        <v>896532765.27675927</v>
      </c>
      <c r="E88">
        <v>11378153.153153151</v>
      </c>
      <c r="F88">
        <v>7418353.153153155</v>
      </c>
      <c r="G88">
        <v>246</v>
      </c>
      <c r="H88">
        <v>91</v>
      </c>
      <c r="K88">
        <v>281</v>
      </c>
      <c r="L88">
        <v>129</v>
      </c>
      <c r="M88">
        <v>47861261.261261262</v>
      </c>
      <c r="N88">
        <v>48470300</v>
      </c>
      <c r="O88">
        <v>335041540.54054052</v>
      </c>
      <c r="P88">
        <v>327106590.990991</v>
      </c>
      <c r="Q88">
        <v>45188378.378378376</v>
      </c>
      <c r="R88">
        <v>44310630.630630642</v>
      </c>
      <c r="S88">
        <v>12415</v>
      </c>
      <c r="T88">
        <v>12089</v>
      </c>
    </row>
    <row r="89" spans="1:20" x14ac:dyDescent="0.35">
      <c r="A89" s="7" t="s">
        <v>173</v>
      </c>
      <c r="B89" s="12" t="s">
        <v>122</v>
      </c>
      <c r="C89">
        <v>374965176.84769857</v>
      </c>
      <c r="D89">
        <v>355837553.22802424</v>
      </c>
      <c r="E89">
        <v>82289497.297297299</v>
      </c>
      <c r="F89">
        <v>104122481.98198198</v>
      </c>
      <c r="G89">
        <v>169</v>
      </c>
      <c r="H89">
        <v>158</v>
      </c>
      <c r="K89">
        <v>179</v>
      </c>
      <c r="L89">
        <v>181</v>
      </c>
      <c r="M89">
        <v>44243369.369369365</v>
      </c>
      <c r="N89">
        <v>30102157.657657661</v>
      </c>
      <c r="O89">
        <v>50715754.504504502</v>
      </c>
      <c r="P89">
        <v>57953340.540540546</v>
      </c>
      <c r="Q89">
        <v>17141261.261261262</v>
      </c>
      <c r="R89">
        <v>19966396.396396395</v>
      </c>
      <c r="S89">
        <v>5970</v>
      </c>
      <c r="T89">
        <v>5799</v>
      </c>
    </row>
    <row r="90" spans="1:20" x14ac:dyDescent="0.35">
      <c r="A90" s="7" t="s">
        <v>174</v>
      </c>
      <c r="B90" s="12" t="s">
        <v>175</v>
      </c>
      <c r="C90">
        <v>268478656.45168298</v>
      </c>
      <c r="D90">
        <v>279874870.26549459</v>
      </c>
      <c r="E90">
        <v>23973648.648648649</v>
      </c>
      <c r="F90">
        <v>17612136.036036037</v>
      </c>
      <c r="G90">
        <v>134</v>
      </c>
      <c r="H90">
        <v>52</v>
      </c>
      <c r="K90">
        <v>171</v>
      </c>
      <c r="L90">
        <v>72</v>
      </c>
      <c r="M90">
        <v>42022072.072072074</v>
      </c>
      <c r="N90">
        <v>46764909.009009011</v>
      </c>
      <c r="O90">
        <v>33511486.486486487</v>
      </c>
      <c r="P90">
        <v>38646423.423423424</v>
      </c>
      <c r="Q90">
        <v>38159549.54954955</v>
      </c>
      <c r="R90">
        <v>37937927.927927926</v>
      </c>
      <c r="S90">
        <v>6105</v>
      </c>
      <c r="T90">
        <v>4725</v>
      </c>
    </row>
    <row r="91" spans="1:20" x14ac:dyDescent="0.35">
      <c r="A91" s="7" t="s">
        <v>176</v>
      </c>
      <c r="B91" s="12" t="s">
        <v>175</v>
      </c>
      <c r="C91">
        <v>419151531.20201874</v>
      </c>
      <c r="D91">
        <v>431473407.71954882</v>
      </c>
      <c r="E91">
        <v>141349490.0900901</v>
      </c>
      <c r="F91">
        <v>147796704.5045045</v>
      </c>
      <c r="G91">
        <v>216</v>
      </c>
      <c r="H91">
        <v>197</v>
      </c>
      <c r="I91">
        <v>1</v>
      </c>
      <c r="K91">
        <v>259</v>
      </c>
      <c r="L91">
        <v>247</v>
      </c>
      <c r="M91">
        <v>80487387.387387395</v>
      </c>
      <c r="N91">
        <v>73008025.22522521</v>
      </c>
      <c r="O91">
        <v>72987954.954954967</v>
      </c>
      <c r="P91">
        <v>71167981.981981978</v>
      </c>
      <c r="Q91">
        <v>51472385.585585587</v>
      </c>
      <c r="R91">
        <v>46471441.441441447</v>
      </c>
      <c r="S91">
        <v>12398</v>
      </c>
      <c r="T91">
        <v>8634</v>
      </c>
    </row>
    <row r="92" spans="1:20" x14ac:dyDescent="0.35">
      <c r="A92" s="7" t="s">
        <v>177</v>
      </c>
      <c r="B92" s="12" t="s">
        <v>175</v>
      </c>
      <c r="C92">
        <v>572381205.93125522</v>
      </c>
      <c r="D92">
        <v>577145608.78941822</v>
      </c>
      <c r="E92">
        <v>2599099.0990991001</v>
      </c>
      <c r="F92">
        <v>3383259.459459465</v>
      </c>
      <c r="G92">
        <v>271</v>
      </c>
      <c r="H92">
        <v>272</v>
      </c>
      <c r="K92">
        <v>339</v>
      </c>
      <c r="L92">
        <v>363</v>
      </c>
      <c r="M92">
        <v>67004954.954954952</v>
      </c>
      <c r="N92">
        <v>66570767.567567565</v>
      </c>
      <c r="O92">
        <v>85713475.675675675</v>
      </c>
      <c r="P92">
        <v>91361499.0990991</v>
      </c>
      <c r="Q92">
        <v>54391531.531531528</v>
      </c>
      <c r="R92">
        <v>56950990.990990989</v>
      </c>
      <c r="S92">
        <v>17187</v>
      </c>
      <c r="T92">
        <v>13711</v>
      </c>
    </row>
    <row r="93" spans="1:20" x14ac:dyDescent="0.35">
      <c r="A93" s="7" t="s">
        <v>178</v>
      </c>
      <c r="B93" s="12" t="s">
        <v>179</v>
      </c>
      <c r="C93">
        <v>196202193.90466252</v>
      </c>
      <c r="D93">
        <v>175455729.78363752</v>
      </c>
      <c r="E93">
        <v>1468468.4684684679</v>
      </c>
      <c r="F93">
        <v>2268468.4684684682</v>
      </c>
      <c r="G93">
        <v>36</v>
      </c>
      <c r="H93">
        <v>57</v>
      </c>
      <c r="K93">
        <v>47</v>
      </c>
      <c r="L93">
        <v>105</v>
      </c>
      <c r="M93">
        <v>14994099.0990991</v>
      </c>
      <c r="N93">
        <v>12612162.162162162</v>
      </c>
      <c r="O93">
        <v>77812511.711711705</v>
      </c>
      <c r="P93">
        <v>69823765.765765771</v>
      </c>
      <c r="Q93">
        <v>13908783.783783784</v>
      </c>
      <c r="R93">
        <v>10143333.333333332</v>
      </c>
      <c r="S93">
        <v>3728</v>
      </c>
      <c r="T93">
        <v>3464</v>
      </c>
    </row>
    <row r="94" spans="1:20" x14ac:dyDescent="0.35">
      <c r="A94" s="7" t="s">
        <v>180</v>
      </c>
      <c r="B94" s="12" t="s">
        <v>168</v>
      </c>
      <c r="C94">
        <v>231349862.71453542</v>
      </c>
      <c r="D94">
        <v>248456844.55400315</v>
      </c>
      <c r="E94">
        <v>3742117.1171171172</v>
      </c>
      <c r="F94">
        <v>7529020.7207207195</v>
      </c>
      <c r="G94">
        <v>37</v>
      </c>
      <c r="H94">
        <v>24</v>
      </c>
      <c r="K94">
        <v>52</v>
      </c>
      <c r="L94">
        <v>25</v>
      </c>
      <c r="M94">
        <v>14191891.891891891</v>
      </c>
      <c r="N94">
        <v>23983938.738738742</v>
      </c>
      <c r="O94">
        <v>57875684.684684686</v>
      </c>
      <c r="P94">
        <v>76602549.54954955</v>
      </c>
      <c r="Q94">
        <v>12486486.486486483</v>
      </c>
      <c r="R94">
        <v>18416576.576576576</v>
      </c>
      <c r="S94">
        <v>4891</v>
      </c>
      <c r="T94">
        <v>4356</v>
      </c>
    </row>
    <row r="95" spans="1:20" x14ac:dyDescent="0.35">
      <c r="A95" s="7" t="s">
        <v>181</v>
      </c>
      <c r="B95" s="12" t="s">
        <v>182</v>
      </c>
      <c r="C95">
        <v>182609597.91952339</v>
      </c>
      <c r="D95">
        <v>193652483.66898093</v>
      </c>
      <c r="E95">
        <v>505405.40540540603</v>
      </c>
      <c r="F95">
        <v>2873188.2882882901</v>
      </c>
      <c r="G95">
        <v>32</v>
      </c>
      <c r="H95">
        <v>41</v>
      </c>
      <c r="K95">
        <v>35</v>
      </c>
      <c r="L95">
        <v>45</v>
      </c>
      <c r="M95">
        <v>13316936.936936935</v>
      </c>
      <c r="N95">
        <v>30299207.207207203</v>
      </c>
      <c r="O95">
        <v>45490137.387387395</v>
      </c>
      <c r="P95">
        <v>47364720.720720723</v>
      </c>
      <c r="Q95">
        <v>13052072.072072072</v>
      </c>
      <c r="R95">
        <v>29862432.432432432</v>
      </c>
      <c r="S95">
        <v>3409</v>
      </c>
      <c r="T95">
        <v>3068</v>
      </c>
    </row>
    <row r="96" spans="1:20" x14ac:dyDescent="0.35">
      <c r="A96" s="7" t="s">
        <v>668</v>
      </c>
      <c r="B96" s="12" t="s">
        <v>69</v>
      </c>
      <c r="T96">
        <v>19</v>
      </c>
    </row>
    <row r="97" spans="1:20" x14ac:dyDescent="0.35">
      <c r="A97" s="7" t="s">
        <v>183</v>
      </c>
      <c r="B97" s="12" t="s">
        <v>95</v>
      </c>
      <c r="C97">
        <v>174668750.925237</v>
      </c>
      <c r="D97">
        <v>182790105.5350315</v>
      </c>
      <c r="E97">
        <v>81081.081081081997</v>
      </c>
      <c r="F97">
        <v>203611.71171171201</v>
      </c>
      <c r="G97">
        <v>54</v>
      </c>
      <c r="H97">
        <v>55</v>
      </c>
      <c r="K97">
        <v>64</v>
      </c>
      <c r="L97">
        <v>61</v>
      </c>
      <c r="M97">
        <v>4504504.5045045037</v>
      </c>
      <c r="N97">
        <v>2006646.8468468471</v>
      </c>
      <c r="O97">
        <v>18014900.9009009</v>
      </c>
      <c r="P97">
        <v>26849855.855855856</v>
      </c>
      <c r="Q97">
        <v>1890090.0900900899</v>
      </c>
      <c r="R97">
        <v>1063063.063063063</v>
      </c>
      <c r="S97">
        <v>3971</v>
      </c>
      <c r="T97">
        <v>3657</v>
      </c>
    </row>
    <row r="98" spans="1:20" x14ac:dyDescent="0.35">
      <c r="A98" s="7" t="s">
        <v>184</v>
      </c>
      <c r="B98" s="12" t="s">
        <v>95</v>
      </c>
      <c r="C98">
        <v>1088023134.7951531</v>
      </c>
      <c r="D98">
        <v>1158046267.0209019</v>
      </c>
      <c r="E98">
        <v>1245888228.8288288</v>
      </c>
      <c r="F98">
        <v>209226845.04504505</v>
      </c>
      <c r="G98">
        <v>216</v>
      </c>
      <c r="H98">
        <v>312</v>
      </c>
      <c r="K98">
        <v>271</v>
      </c>
      <c r="L98">
        <v>380</v>
      </c>
      <c r="M98">
        <v>75143693.693693697</v>
      </c>
      <c r="N98">
        <v>76039913.51351352</v>
      </c>
      <c r="O98">
        <v>131875572.52252252</v>
      </c>
      <c r="P98">
        <v>166718423.42342341</v>
      </c>
      <c r="Q98">
        <v>60049819.819819815</v>
      </c>
      <c r="R98">
        <v>56552252.252252258</v>
      </c>
      <c r="S98">
        <v>16422</v>
      </c>
      <c r="T98">
        <v>15693</v>
      </c>
    </row>
    <row r="99" spans="1:20" x14ac:dyDescent="0.35">
      <c r="A99" s="7" t="s">
        <v>185</v>
      </c>
      <c r="B99" s="12" t="s">
        <v>90</v>
      </c>
      <c r="C99">
        <v>99652489.609013438</v>
      </c>
      <c r="D99">
        <v>90580606.645483598</v>
      </c>
      <c r="E99">
        <v>1214189.1891891891</v>
      </c>
      <c r="F99">
        <v>2446621.6216216208</v>
      </c>
      <c r="G99">
        <v>21</v>
      </c>
      <c r="H99">
        <v>11</v>
      </c>
      <c r="K99">
        <v>21</v>
      </c>
      <c r="L99">
        <v>11</v>
      </c>
      <c r="M99">
        <v>5001261.2612612611</v>
      </c>
      <c r="N99">
        <v>7144144.1441441439</v>
      </c>
      <c r="O99">
        <v>33310702.702702705</v>
      </c>
      <c r="P99">
        <v>33984027.027027026</v>
      </c>
      <c r="Q99">
        <v>4744414.4144144151</v>
      </c>
      <c r="R99">
        <v>7225495.4954954963</v>
      </c>
      <c r="S99">
        <v>2649</v>
      </c>
      <c r="T99">
        <v>1524</v>
      </c>
    </row>
    <row r="100" spans="1:20" x14ac:dyDescent="0.35">
      <c r="A100" s="7" t="s">
        <v>186</v>
      </c>
      <c r="B100" s="12" t="s">
        <v>61</v>
      </c>
      <c r="C100">
        <v>60987262.19634378</v>
      </c>
      <c r="D100">
        <v>63563941.429697968</v>
      </c>
      <c r="E100">
        <v>270270.27027027198</v>
      </c>
      <c r="F100">
        <v>1230405.4054054059</v>
      </c>
      <c r="G100">
        <v>13</v>
      </c>
      <c r="H100">
        <v>10</v>
      </c>
      <c r="K100">
        <v>13</v>
      </c>
      <c r="L100">
        <v>12</v>
      </c>
      <c r="M100">
        <v>1756756.756756759</v>
      </c>
      <c r="N100">
        <v>3051351.3513513519</v>
      </c>
      <c r="O100">
        <v>20686281.531531531</v>
      </c>
      <c r="P100">
        <v>21874135.135135137</v>
      </c>
      <c r="Q100">
        <v>1533333.333333333</v>
      </c>
      <c r="R100">
        <v>3726666.666666666</v>
      </c>
      <c r="S100">
        <v>989</v>
      </c>
      <c r="T100">
        <v>801</v>
      </c>
    </row>
    <row r="101" spans="1:20" x14ac:dyDescent="0.35">
      <c r="A101" s="7" t="s">
        <v>187</v>
      </c>
      <c r="B101" s="12" t="s">
        <v>168</v>
      </c>
      <c r="C101">
        <v>149122814.42179585</v>
      </c>
      <c r="D101">
        <v>141046545.16611433</v>
      </c>
      <c r="E101">
        <v>2413288.2882882892</v>
      </c>
      <c r="F101">
        <v>6621396.3963963967</v>
      </c>
      <c r="G101">
        <v>5</v>
      </c>
      <c r="H101">
        <v>6</v>
      </c>
      <c r="K101">
        <v>6</v>
      </c>
      <c r="L101">
        <v>12</v>
      </c>
      <c r="M101">
        <v>7913513.5135135129</v>
      </c>
      <c r="N101">
        <v>10935135.135135137</v>
      </c>
      <c r="O101">
        <v>39538585.585585587</v>
      </c>
      <c r="P101">
        <v>42264727.927927926</v>
      </c>
      <c r="Q101">
        <v>5803963.963963964</v>
      </c>
      <c r="R101">
        <v>7038468.4684684668</v>
      </c>
      <c r="S101">
        <v>3062</v>
      </c>
      <c r="T101">
        <v>2847</v>
      </c>
    </row>
    <row r="102" spans="1:20" x14ac:dyDescent="0.35">
      <c r="A102" s="7" t="s">
        <v>188</v>
      </c>
      <c r="B102" s="12" t="s">
        <v>168</v>
      </c>
      <c r="C102">
        <v>393549659.59414721</v>
      </c>
      <c r="D102">
        <v>417764895.02201825</v>
      </c>
      <c r="E102">
        <v>1455855.855855857</v>
      </c>
      <c r="F102">
        <v>4377927.9279279271</v>
      </c>
      <c r="G102">
        <v>61</v>
      </c>
      <c r="H102">
        <v>20</v>
      </c>
      <c r="K102">
        <v>69</v>
      </c>
      <c r="L102">
        <v>26</v>
      </c>
      <c r="M102">
        <v>16436518.018018018</v>
      </c>
      <c r="N102">
        <v>26505405.40540541</v>
      </c>
      <c r="O102">
        <v>82255810.810810819</v>
      </c>
      <c r="P102">
        <v>98287989.189189181</v>
      </c>
      <c r="Q102">
        <v>13544864.864864863</v>
      </c>
      <c r="R102">
        <v>21022702.702702705</v>
      </c>
      <c r="S102">
        <v>6518</v>
      </c>
      <c r="T102">
        <v>5606</v>
      </c>
    </row>
    <row r="103" spans="1:20" x14ac:dyDescent="0.35">
      <c r="A103" s="7" t="s">
        <v>189</v>
      </c>
      <c r="B103" s="12" t="s">
        <v>190</v>
      </c>
      <c r="C103">
        <v>172686997.13754371</v>
      </c>
      <c r="D103">
        <v>177775323.05041835</v>
      </c>
      <c r="E103">
        <v>283783.78378378402</v>
      </c>
      <c r="F103">
        <v>270270.27027027</v>
      </c>
      <c r="G103">
        <v>22</v>
      </c>
      <c r="H103">
        <v>37</v>
      </c>
      <c r="I103">
        <v>1</v>
      </c>
      <c r="K103">
        <v>22</v>
      </c>
      <c r="L103">
        <v>40</v>
      </c>
      <c r="M103">
        <v>4076576.576576577</v>
      </c>
      <c r="N103">
        <v>6792792.7927927934</v>
      </c>
      <c r="O103">
        <v>12964090.09009009</v>
      </c>
      <c r="P103">
        <v>15240549.549549548</v>
      </c>
      <c r="Q103">
        <v>2319369.369369369</v>
      </c>
      <c r="R103">
        <v>2251621.6216216218</v>
      </c>
      <c r="S103">
        <v>1868</v>
      </c>
      <c r="T103">
        <v>1716</v>
      </c>
    </row>
    <row r="104" spans="1:20" x14ac:dyDescent="0.35">
      <c r="A104" s="7" t="s">
        <v>191</v>
      </c>
      <c r="B104" s="12" t="s">
        <v>135</v>
      </c>
      <c r="C104">
        <v>41814316.432674035</v>
      </c>
      <c r="D104">
        <v>38327289.717340305</v>
      </c>
      <c r="E104">
        <v>340844499.0990991</v>
      </c>
      <c r="F104">
        <v>365678039.63963962</v>
      </c>
      <c r="G104">
        <v>22</v>
      </c>
      <c r="H104">
        <v>33</v>
      </c>
      <c r="K104">
        <v>25</v>
      </c>
      <c r="L104">
        <v>35</v>
      </c>
      <c r="M104">
        <v>54923423.423423424</v>
      </c>
      <c r="N104">
        <v>47067312.612612613</v>
      </c>
      <c r="O104">
        <v>2817702.702702703</v>
      </c>
      <c r="P104">
        <v>3197828.8288288289</v>
      </c>
      <c r="Q104">
        <v>200900.900900901</v>
      </c>
      <c r="S104">
        <v>988</v>
      </c>
      <c r="T104">
        <v>610</v>
      </c>
    </row>
    <row r="105" spans="1:20" x14ac:dyDescent="0.35">
      <c r="A105" s="7" t="s">
        <v>192</v>
      </c>
      <c r="B105" s="12" t="s">
        <v>61</v>
      </c>
      <c r="C105">
        <v>244594488.84407687</v>
      </c>
      <c r="D105">
        <v>251640276.53483263</v>
      </c>
      <c r="E105">
        <v>3682657.6576576568</v>
      </c>
      <c r="F105">
        <v>3646497.297297298</v>
      </c>
      <c r="G105">
        <v>49</v>
      </c>
      <c r="H105">
        <v>47</v>
      </c>
      <c r="K105">
        <v>86</v>
      </c>
      <c r="L105">
        <v>102</v>
      </c>
      <c r="M105">
        <v>21962162.162162159</v>
      </c>
      <c r="N105">
        <v>79882514.414414421</v>
      </c>
      <c r="O105">
        <v>80777729.729729727</v>
      </c>
      <c r="P105">
        <v>85316279.279279277</v>
      </c>
      <c r="Q105">
        <v>20675135.135135137</v>
      </c>
      <c r="R105">
        <v>79271711.711711705</v>
      </c>
      <c r="S105">
        <v>4093</v>
      </c>
      <c r="T105">
        <v>3903</v>
      </c>
    </row>
    <row r="106" spans="1:20" x14ac:dyDescent="0.35">
      <c r="A106" s="7" t="s">
        <v>193</v>
      </c>
      <c r="B106" s="12" t="s">
        <v>61</v>
      </c>
      <c r="C106">
        <v>436104968.28005141</v>
      </c>
      <c r="D106">
        <v>435316736.95275086</v>
      </c>
      <c r="E106">
        <v>4046846.8468468459</v>
      </c>
      <c r="F106">
        <v>4445194.5945945969</v>
      </c>
      <c r="G106">
        <v>41</v>
      </c>
      <c r="H106">
        <v>46</v>
      </c>
      <c r="I106">
        <v>2</v>
      </c>
      <c r="K106">
        <v>59</v>
      </c>
      <c r="L106">
        <v>63</v>
      </c>
      <c r="M106">
        <v>25290090.090090089</v>
      </c>
      <c r="N106">
        <v>83616063.963963971</v>
      </c>
      <c r="O106">
        <v>100711378.37837839</v>
      </c>
      <c r="P106">
        <v>101415827.02702703</v>
      </c>
      <c r="Q106">
        <v>21353153.153153151</v>
      </c>
      <c r="R106">
        <v>81529412.612612605</v>
      </c>
      <c r="S106">
        <v>6916</v>
      </c>
      <c r="T106">
        <v>6648</v>
      </c>
    </row>
    <row r="107" spans="1:20" x14ac:dyDescent="0.35">
      <c r="A107" s="7" t="s">
        <v>2</v>
      </c>
      <c r="B107" s="12" t="s">
        <v>194</v>
      </c>
      <c r="C107">
        <v>48645993.757762209</v>
      </c>
      <c r="D107">
        <v>30288914.758705486</v>
      </c>
      <c r="E107">
        <v>313963496.3963964</v>
      </c>
      <c r="F107">
        <v>348623836.93693697</v>
      </c>
      <c r="G107">
        <v>6</v>
      </c>
      <c r="K107">
        <v>6</v>
      </c>
      <c r="L107">
        <v>1</v>
      </c>
      <c r="M107">
        <v>6662162.1621621633</v>
      </c>
      <c r="N107">
        <v>49364864.864864863</v>
      </c>
      <c r="O107">
        <v>27030243.243243244</v>
      </c>
      <c r="P107">
        <v>18427603.603603605</v>
      </c>
      <c r="Q107">
        <v>6763063.0630630637</v>
      </c>
      <c r="R107">
        <v>8310360.3603603598</v>
      </c>
      <c r="S107">
        <v>1210</v>
      </c>
      <c r="T107">
        <v>1149</v>
      </c>
    </row>
    <row r="108" spans="1:20" x14ac:dyDescent="0.35">
      <c r="A108" s="7" t="s">
        <v>195</v>
      </c>
      <c r="B108" s="12" t="s">
        <v>196</v>
      </c>
      <c r="C108">
        <v>1491530865.4363968</v>
      </c>
      <c r="D108">
        <v>1524074540.7722099</v>
      </c>
      <c r="E108">
        <v>75634009.009009004</v>
      </c>
      <c r="F108">
        <v>68088963.963963971</v>
      </c>
      <c r="G108">
        <v>440</v>
      </c>
      <c r="H108">
        <v>166</v>
      </c>
      <c r="I108">
        <v>2</v>
      </c>
      <c r="K108">
        <v>636</v>
      </c>
      <c r="L108">
        <v>226</v>
      </c>
      <c r="M108">
        <v>104667927.92792794</v>
      </c>
      <c r="N108">
        <v>67009672.072072074</v>
      </c>
      <c r="O108">
        <v>289628504.5045045</v>
      </c>
      <c r="P108">
        <v>305572342.34234232</v>
      </c>
      <c r="Q108">
        <v>90090450.45045045</v>
      </c>
      <c r="R108">
        <v>66818288.288288288</v>
      </c>
      <c r="S108">
        <v>19019</v>
      </c>
      <c r="T108">
        <v>18295</v>
      </c>
    </row>
    <row r="109" spans="1:20" x14ac:dyDescent="0.35">
      <c r="A109" s="7" t="s">
        <v>197</v>
      </c>
      <c r="B109" s="12" t="s">
        <v>81</v>
      </c>
      <c r="C109">
        <v>457600252.55165726</v>
      </c>
      <c r="D109">
        <v>437932575.34488696</v>
      </c>
      <c r="E109">
        <v>2380180.1801801822</v>
      </c>
      <c r="F109">
        <v>4054886.486486489</v>
      </c>
      <c r="G109">
        <v>117</v>
      </c>
      <c r="H109">
        <v>72</v>
      </c>
      <c r="K109">
        <v>127</v>
      </c>
      <c r="L109">
        <v>89</v>
      </c>
      <c r="M109">
        <v>59663783.783783786</v>
      </c>
      <c r="N109">
        <v>70425746.846846834</v>
      </c>
      <c r="O109">
        <v>124233414.41441442</v>
      </c>
      <c r="P109">
        <v>121356549.54954955</v>
      </c>
      <c r="Q109">
        <v>58818648.648648649</v>
      </c>
      <c r="R109">
        <v>70468288.288288295</v>
      </c>
      <c r="S109">
        <v>7634</v>
      </c>
      <c r="T109">
        <v>6865</v>
      </c>
    </row>
    <row r="110" spans="1:20" x14ac:dyDescent="0.35">
      <c r="A110" s="7" t="s">
        <v>198</v>
      </c>
      <c r="B110" s="12" t="s">
        <v>109</v>
      </c>
      <c r="C110">
        <v>367629748.62718809</v>
      </c>
      <c r="D110">
        <v>378154522.97977382</v>
      </c>
      <c r="E110">
        <v>99329009.009009004</v>
      </c>
      <c r="F110">
        <v>707621171.17117119</v>
      </c>
      <c r="G110">
        <v>132</v>
      </c>
      <c r="H110">
        <v>102</v>
      </c>
      <c r="I110">
        <v>1</v>
      </c>
      <c r="K110">
        <v>147</v>
      </c>
      <c r="L110">
        <v>132</v>
      </c>
      <c r="M110">
        <v>29487387.387387387</v>
      </c>
      <c r="N110">
        <v>43834864.864864863</v>
      </c>
      <c r="O110">
        <v>111412792.7927928</v>
      </c>
      <c r="P110">
        <v>115682936.93693693</v>
      </c>
      <c r="Q110">
        <v>18796936.936936937</v>
      </c>
      <c r="R110">
        <v>28337837.837837838</v>
      </c>
      <c r="S110">
        <v>8805</v>
      </c>
      <c r="T110">
        <v>7342</v>
      </c>
    </row>
    <row r="111" spans="1:20" x14ac:dyDescent="0.35">
      <c r="A111" s="7" t="s">
        <v>199</v>
      </c>
      <c r="B111" s="12" t="s">
        <v>93</v>
      </c>
      <c r="C111">
        <v>199170459.61177585</v>
      </c>
      <c r="D111">
        <v>204215402.67573887</v>
      </c>
      <c r="E111">
        <v>6187387.3873873884</v>
      </c>
      <c r="F111">
        <v>5303603.6036036033</v>
      </c>
      <c r="G111">
        <v>235</v>
      </c>
      <c r="H111">
        <v>36</v>
      </c>
      <c r="K111">
        <v>257</v>
      </c>
      <c r="L111">
        <v>40</v>
      </c>
      <c r="M111">
        <v>63078288.288288288</v>
      </c>
      <c r="N111">
        <v>46108558.558558561</v>
      </c>
      <c r="O111">
        <v>53423936.936936937</v>
      </c>
      <c r="P111">
        <v>54157522.522522517</v>
      </c>
      <c r="Q111">
        <v>61462342.342342347</v>
      </c>
      <c r="R111">
        <v>43867927.927927926</v>
      </c>
      <c r="S111">
        <v>3159</v>
      </c>
      <c r="T111">
        <v>3044</v>
      </c>
    </row>
    <row r="112" spans="1:20" x14ac:dyDescent="0.35">
      <c r="A112" s="7" t="s">
        <v>200</v>
      </c>
      <c r="B112" s="12" t="s">
        <v>124</v>
      </c>
      <c r="C112">
        <v>185320691.39497104</v>
      </c>
      <c r="D112">
        <v>151073577.42547464</v>
      </c>
      <c r="E112">
        <v>635135.13513513503</v>
      </c>
      <c r="F112">
        <v>1795045.045045045</v>
      </c>
      <c r="G112">
        <v>67</v>
      </c>
      <c r="H112">
        <v>25</v>
      </c>
      <c r="K112">
        <v>70</v>
      </c>
      <c r="L112">
        <v>26</v>
      </c>
      <c r="M112">
        <v>5581441.441441441</v>
      </c>
      <c r="N112">
        <v>10532702.702702705</v>
      </c>
      <c r="O112">
        <v>34797927.927927926</v>
      </c>
      <c r="P112">
        <v>33853576.576576576</v>
      </c>
      <c r="Q112">
        <v>7660540.5405405406</v>
      </c>
      <c r="R112">
        <v>7839819.8198198192</v>
      </c>
      <c r="S112">
        <v>2699</v>
      </c>
      <c r="T112">
        <v>2279</v>
      </c>
    </row>
    <row r="113" spans="1:20" x14ac:dyDescent="0.35">
      <c r="A113" s="7" t="s">
        <v>667</v>
      </c>
      <c r="B113" s="12" t="s">
        <v>61</v>
      </c>
      <c r="T113">
        <v>1</v>
      </c>
    </row>
    <row r="114" spans="1:20" x14ac:dyDescent="0.35">
      <c r="A114" s="7" t="s">
        <v>201</v>
      </c>
      <c r="B114" s="12" t="s">
        <v>61</v>
      </c>
      <c r="C114">
        <v>136198561.97605836</v>
      </c>
      <c r="D114">
        <v>136551834.28076106</v>
      </c>
      <c r="E114">
        <v>3266666.666666667</v>
      </c>
      <c r="F114">
        <v>1454504.504504509</v>
      </c>
      <c r="G114">
        <v>30</v>
      </c>
      <c r="H114">
        <v>11</v>
      </c>
      <c r="I114">
        <v>1</v>
      </c>
      <c r="K114">
        <v>36</v>
      </c>
      <c r="L114">
        <v>22</v>
      </c>
      <c r="M114">
        <v>18681081.081081081</v>
      </c>
      <c r="N114">
        <v>21040540.540540542</v>
      </c>
      <c r="O114">
        <v>25003256.75675676</v>
      </c>
      <c r="P114">
        <v>25001729.729729727</v>
      </c>
      <c r="Q114">
        <v>18877297.297297299</v>
      </c>
      <c r="R114">
        <v>8876486.4864864871</v>
      </c>
      <c r="S114">
        <v>4421</v>
      </c>
      <c r="T114">
        <v>3231</v>
      </c>
    </row>
    <row r="115" spans="1:20" x14ac:dyDescent="0.35">
      <c r="A115" s="7" t="s">
        <v>202</v>
      </c>
      <c r="B115" s="12" t="s">
        <v>61</v>
      </c>
      <c r="C115">
        <v>45604541.863579407</v>
      </c>
      <c r="D115">
        <v>44639874.537684619</v>
      </c>
      <c r="E115">
        <v>247747.74774774999</v>
      </c>
      <c r="F115">
        <v>534847.74774774804</v>
      </c>
      <c r="G115">
        <v>16</v>
      </c>
      <c r="H115">
        <v>8</v>
      </c>
      <c r="K115">
        <v>19</v>
      </c>
      <c r="L115">
        <v>10</v>
      </c>
      <c r="M115">
        <v>2770270.2702702712</v>
      </c>
      <c r="N115">
        <v>2923120.72072072</v>
      </c>
      <c r="O115">
        <v>7996288.2882882878</v>
      </c>
      <c r="P115">
        <v>9200891.8918918911</v>
      </c>
      <c r="Q115">
        <v>1595405.405405405</v>
      </c>
      <c r="R115">
        <v>1557567.567567569</v>
      </c>
      <c r="S115">
        <v>1563</v>
      </c>
      <c r="T115">
        <v>1392</v>
      </c>
    </row>
    <row r="116" spans="1:20" x14ac:dyDescent="0.35">
      <c r="A116" s="7" t="s">
        <v>203</v>
      </c>
      <c r="B116" s="12" t="s">
        <v>122</v>
      </c>
      <c r="C116">
        <v>85478762.517869562</v>
      </c>
      <c r="D116">
        <v>77833569.055051371</v>
      </c>
      <c r="E116">
        <v>648648.64864864899</v>
      </c>
      <c r="F116">
        <v>891891.89189189405</v>
      </c>
      <c r="G116">
        <v>47</v>
      </c>
      <c r="H116">
        <v>34</v>
      </c>
      <c r="K116">
        <v>50</v>
      </c>
      <c r="L116">
        <v>37</v>
      </c>
      <c r="M116">
        <v>2004504.5045045051</v>
      </c>
      <c r="N116">
        <v>2378378.3783783792</v>
      </c>
      <c r="O116">
        <v>8272531.5315315314</v>
      </c>
      <c r="P116">
        <v>7615666.666666667</v>
      </c>
      <c r="Q116">
        <v>1427477.4774774781</v>
      </c>
      <c r="R116">
        <v>1554054.054054053</v>
      </c>
      <c r="S116">
        <v>1612</v>
      </c>
      <c r="T116">
        <v>1366</v>
      </c>
    </row>
    <row r="117" spans="1:20" x14ac:dyDescent="0.35">
      <c r="A117" s="7" t="s">
        <v>204</v>
      </c>
      <c r="B117" s="12" t="s">
        <v>55</v>
      </c>
      <c r="C117">
        <v>138797623.69667029</v>
      </c>
      <c r="D117">
        <v>143812717.63012794</v>
      </c>
      <c r="E117">
        <v>1181081.0810810809</v>
      </c>
      <c r="F117">
        <v>1709193.6936936949</v>
      </c>
      <c r="G117">
        <v>31</v>
      </c>
      <c r="H117">
        <v>23</v>
      </c>
      <c r="K117">
        <v>35</v>
      </c>
      <c r="L117">
        <v>23</v>
      </c>
      <c r="M117">
        <v>7690090.0900900913</v>
      </c>
      <c r="N117">
        <v>9437301.8018018045</v>
      </c>
      <c r="O117">
        <v>36188855.855855852</v>
      </c>
      <c r="P117">
        <v>37839360.360360362</v>
      </c>
      <c r="Q117">
        <v>7601261.2612612601</v>
      </c>
      <c r="R117">
        <v>9025765.7657657657</v>
      </c>
      <c r="S117">
        <v>4570</v>
      </c>
      <c r="T117">
        <v>3668</v>
      </c>
    </row>
    <row r="118" spans="1:20" x14ac:dyDescent="0.35">
      <c r="A118" s="7" t="s">
        <v>205</v>
      </c>
      <c r="B118" s="12" t="s">
        <v>137</v>
      </c>
      <c r="C118">
        <v>489605125.07465732</v>
      </c>
      <c r="D118">
        <v>468814883.09327996</v>
      </c>
      <c r="E118">
        <v>1091891.8918918881</v>
      </c>
      <c r="F118">
        <v>4117918.918918916</v>
      </c>
      <c r="G118">
        <v>72</v>
      </c>
      <c r="H118">
        <v>80</v>
      </c>
      <c r="I118">
        <v>2</v>
      </c>
      <c r="K118">
        <v>81</v>
      </c>
      <c r="L118">
        <v>86</v>
      </c>
      <c r="M118">
        <v>42308108.108108111</v>
      </c>
      <c r="N118">
        <v>42647002.702702701</v>
      </c>
      <c r="O118">
        <v>84168119.819819823</v>
      </c>
      <c r="P118">
        <v>89152360.360360354</v>
      </c>
      <c r="Q118">
        <v>35822252.252252251</v>
      </c>
      <c r="R118">
        <v>39024864.864864863</v>
      </c>
      <c r="S118">
        <v>5827</v>
      </c>
      <c r="T118">
        <v>5696</v>
      </c>
    </row>
    <row r="119" spans="1:20" x14ac:dyDescent="0.35">
      <c r="A119" s="7" t="s">
        <v>206</v>
      </c>
      <c r="B119" s="12" t="s">
        <v>137</v>
      </c>
      <c r="C119">
        <v>242326353.31041542</v>
      </c>
      <c r="D119">
        <v>234556159.12889558</v>
      </c>
      <c r="E119">
        <v>676576.57657657599</v>
      </c>
      <c r="F119">
        <v>371658.55855855998</v>
      </c>
      <c r="G119">
        <v>45</v>
      </c>
      <c r="H119">
        <v>33</v>
      </c>
      <c r="K119">
        <v>50</v>
      </c>
      <c r="L119">
        <v>35</v>
      </c>
      <c r="M119">
        <v>7910810.8108108109</v>
      </c>
      <c r="N119">
        <v>7634415.3153153146</v>
      </c>
      <c r="O119">
        <v>46959926.126126125</v>
      </c>
      <c r="P119">
        <v>53583549.54954955</v>
      </c>
      <c r="Q119">
        <v>4666036.036036036</v>
      </c>
      <c r="R119">
        <v>4529639.6396396384</v>
      </c>
      <c r="S119">
        <v>3405</v>
      </c>
      <c r="T119">
        <v>3178</v>
      </c>
    </row>
    <row r="120" spans="1:20" x14ac:dyDescent="0.35">
      <c r="A120" s="7" t="s">
        <v>207</v>
      </c>
      <c r="B120" s="12" t="s">
        <v>170</v>
      </c>
      <c r="C120">
        <v>573494635.46984029</v>
      </c>
      <c r="D120">
        <v>591268697.40673602</v>
      </c>
      <c r="E120">
        <v>1798198.1981982</v>
      </c>
      <c r="F120">
        <v>26634759.459459461</v>
      </c>
      <c r="G120">
        <v>22</v>
      </c>
      <c r="H120">
        <v>24</v>
      </c>
      <c r="K120">
        <v>24</v>
      </c>
      <c r="L120">
        <v>28</v>
      </c>
      <c r="M120">
        <v>2470625968.4684682</v>
      </c>
      <c r="N120">
        <v>921019815.31531537</v>
      </c>
      <c r="O120">
        <v>273147774.77477479</v>
      </c>
      <c r="P120">
        <v>286619198.1981982</v>
      </c>
      <c r="Q120">
        <v>758231272.07207203</v>
      </c>
      <c r="R120">
        <v>260131765.76576576</v>
      </c>
      <c r="S120">
        <v>8537</v>
      </c>
      <c r="T120">
        <v>7577</v>
      </c>
    </row>
    <row r="121" spans="1:20" x14ac:dyDescent="0.35">
      <c r="A121" s="7" t="s">
        <v>208</v>
      </c>
      <c r="B121" s="12" t="s">
        <v>162</v>
      </c>
      <c r="C121">
        <v>634120489.52955723</v>
      </c>
      <c r="D121">
        <v>647239081.02047539</v>
      </c>
      <c r="E121">
        <v>4611261.2612612639</v>
      </c>
      <c r="F121">
        <v>5085135.135135144</v>
      </c>
      <c r="G121">
        <v>428</v>
      </c>
      <c r="H121">
        <v>176</v>
      </c>
      <c r="K121">
        <v>609</v>
      </c>
      <c r="L121">
        <v>514</v>
      </c>
      <c r="M121">
        <v>95684504.504504517</v>
      </c>
      <c r="N121">
        <v>123311666.66666667</v>
      </c>
      <c r="O121">
        <v>185265409.90990993</v>
      </c>
      <c r="P121">
        <v>210343414.41441441</v>
      </c>
      <c r="Q121">
        <v>91454944.144144148</v>
      </c>
      <c r="R121">
        <v>122648863.06306306</v>
      </c>
      <c r="S121">
        <v>37245</v>
      </c>
      <c r="T121">
        <v>12101</v>
      </c>
    </row>
    <row r="122" spans="1:20" x14ac:dyDescent="0.35">
      <c r="A122" s="7" t="s">
        <v>209</v>
      </c>
      <c r="B122" s="12" t="s">
        <v>77</v>
      </c>
      <c r="C122">
        <v>19517580.009939883</v>
      </c>
      <c r="D122">
        <v>20930100.518973771</v>
      </c>
      <c r="H122">
        <v>3</v>
      </c>
      <c r="L122">
        <v>3</v>
      </c>
      <c r="N122">
        <v>9009.0090090089998</v>
      </c>
      <c r="O122">
        <v>1183558.5585585581</v>
      </c>
      <c r="P122">
        <v>1549459.4594594589</v>
      </c>
      <c r="S122">
        <v>582</v>
      </c>
      <c r="T122">
        <v>530</v>
      </c>
    </row>
    <row r="123" spans="1:20" x14ac:dyDescent="0.35">
      <c r="A123" s="7" t="s">
        <v>210</v>
      </c>
      <c r="B123" s="12" t="s">
        <v>77</v>
      </c>
      <c r="C123">
        <v>289569185.8187865</v>
      </c>
      <c r="D123">
        <v>280616176.81409335</v>
      </c>
      <c r="E123">
        <v>267785159.45945945</v>
      </c>
      <c r="F123">
        <v>216492188.2882883</v>
      </c>
      <c r="G123">
        <v>165</v>
      </c>
      <c r="H123">
        <v>185</v>
      </c>
      <c r="I123">
        <v>9</v>
      </c>
      <c r="K123">
        <v>263</v>
      </c>
      <c r="L123">
        <v>243</v>
      </c>
      <c r="M123">
        <v>41103693.69369369</v>
      </c>
      <c r="N123">
        <v>36357470.270270273</v>
      </c>
      <c r="O123">
        <v>43850351.351351351</v>
      </c>
      <c r="P123">
        <v>47636684.684684686</v>
      </c>
      <c r="Q123">
        <v>39431531.531531528</v>
      </c>
      <c r="R123">
        <v>33318108.108108107</v>
      </c>
      <c r="S123">
        <v>5574</v>
      </c>
      <c r="T123">
        <v>4472</v>
      </c>
    </row>
    <row r="124" spans="1:20" x14ac:dyDescent="0.35">
      <c r="A124" s="7" t="s">
        <v>211</v>
      </c>
      <c r="B124" s="12" t="s">
        <v>77</v>
      </c>
      <c r="C124">
        <v>358620269.84738743</v>
      </c>
      <c r="D124">
        <v>384924315.30833495</v>
      </c>
      <c r="E124">
        <v>5455630.6306306357</v>
      </c>
      <c r="F124">
        <v>10698607.207207205</v>
      </c>
      <c r="G124">
        <v>220</v>
      </c>
      <c r="H124">
        <v>428</v>
      </c>
      <c r="I124">
        <v>1</v>
      </c>
      <c r="K124">
        <v>284</v>
      </c>
      <c r="L124">
        <v>479</v>
      </c>
      <c r="M124">
        <v>178597567.56756756</v>
      </c>
      <c r="N124">
        <v>151800889.1891892</v>
      </c>
      <c r="O124">
        <v>108773840.54054055</v>
      </c>
      <c r="P124">
        <v>134194288.2882883</v>
      </c>
      <c r="Q124">
        <v>149765899.0990991</v>
      </c>
      <c r="R124">
        <v>119234324.32432432</v>
      </c>
      <c r="S124">
        <v>7221</v>
      </c>
      <c r="T124">
        <v>6838</v>
      </c>
    </row>
    <row r="125" spans="1:20" x14ac:dyDescent="0.35">
      <c r="A125" s="7" t="s">
        <v>212</v>
      </c>
      <c r="B125" s="12" t="s">
        <v>77</v>
      </c>
      <c r="C125">
        <v>261079110.579348</v>
      </c>
      <c r="D125">
        <v>254437414.32543054</v>
      </c>
      <c r="E125">
        <v>3943918.9189189221</v>
      </c>
      <c r="F125">
        <v>3632427.9279279308</v>
      </c>
      <c r="G125">
        <v>120</v>
      </c>
      <c r="H125">
        <v>170</v>
      </c>
      <c r="K125">
        <v>134</v>
      </c>
      <c r="L125">
        <v>190</v>
      </c>
      <c r="M125">
        <v>26536396.396396399</v>
      </c>
      <c r="N125">
        <v>35090567.567567565</v>
      </c>
      <c r="O125">
        <v>39812443.693693697</v>
      </c>
      <c r="P125">
        <v>42009297.297297299</v>
      </c>
      <c r="Q125">
        <v>24922882.882882886</v>
      </c>
      <c r="R125">
        <v>31641981.981981982</v>
      </c>
      <c r="S125">
        <v>4359</v>
      </c>
      <c r="T125">
        <v>4735</v>
      </c>
    </row>
    <row r="126" spans="1:20" x14ac:dyDescent="0.35">
      <c r="A126" s="7" t="s">
        <v>213</v>
      </c>
      <c r="B126" s="12" t="s">
        <v>77</v>
      </c>
      <c r="C126">
        <v>93531154.086338684</v>
      </c>
      <c r="D126">
        <v>107288592.97689639</v>
      </c>
      <c r="E126">
        <v>66666.666666666002</v>
      </c>
      <c r="F126">
        <v>151351.35135135101</v>
      </c>
      <c r="G126">
        <v>19</v>
      </c>
      <c r="H126">
        <v>15</v>
      </c>
      <c r="K126">
        <v>22</v>
      </c>
      <c r="L126">
        <v>15</v>
      </c>
      <c r="M126">
        <v>1541621.6216216199</v>
      </c>
      <c r="N126">
        <v>5128828.8288288293</v>
      </c>
      <c r="O126">
        <v>14719918.918918921</v>
      </c>
      <c r="P126">
        <v>17178099.0990991</v>
      </c>
      <c r="Q126">
        <v>2199009.0090090092</v>
      </c>
      <c r="R126">
        <v>4754414.4144144151</v>
      </c>
      <c r="S126">
        <v>1883</v>
      </c>
      <c r="T126">
        <v>2097</v>
      </c>
    </row>
    <row r="127" spans="1:20" x14ac:dyDescent="0.35">
      <c r="A127" s="7" t="s">
        <v>214</v>
      </c>
      <c r="B127" s="12" t="s">
        <v>215</v>
      </c>
      <c r="C127">
        <v>133814327.96850297</v>
      </c>
      <c r="D127">
        <v>136818248.21746334</v>
      </c>
      <c r="E127">
        <v>2661261.2612612611</v>
      </c>
      <c r="F127">
        <v>1431486.486486485</v>
      </c>
      <c r="G127">
        <v>38</v>
      </c>
      <c r="H127">
        <v>23</v>
      </c>
      <c r="I127">
        <v>1</v>
      </c>
      <c r="K127">
        <v>45</v>
      </c>
      <c r="L127">
        <v>23</v>
      </c>
      <c r="M127">
        <v>16003171.171171172</v>
      </c>
      <c r="N127">
        <v>27210645.045045048</v>
      </c>
      <c r="O127">
        <v>60900709.909909911</v>
      </c>
      <c r="P127">
        <v>67446099.0990991</v>
      </c>
      <c r="Q127">
        <v>14122522.522522522</v>
      </c>
      <c r="R127">
        <v>28739099.099099096</v>
      </c>
      <c r="S127">
        <v>2678</v>
      </c>
      <c r="T127">
        <v>2255</v>
      </c>
    </row>
    <row r="128" spans="1:20" x14ac:dyDescent="0.35">
      <c r="A128" s="7" t="s">
        <v>216</v>
      </c>
      <c r="B128" s="12" t="s">
        <v>168</v>
      </c>
      <c r="C128">
        <v>139765586.13124812</v>
      </c>
      <c r="D128">
        <v>140611635.32452959</v>
      </c>
      <c r="E128">
        <v>109013513.51351352</v>
      </c>
      <c r="F128">
        <v>218801801.8018018</v>
      </c>
      <c r="G128">
        <v>8</v>
      </c>
      <c r="H128">
        <v>1</v>
      </c>
      <c r="K128">
        <v>8</v>
      </c>
      <c r="L128">
        <v>1</v>
      </c>
      <c r="M128">
        <v>2984684.684684684</v>
      </c>
      <c r="N128">
        <v>5666666.666666667</v>
      </c>
      <c r="O128">
        <v>24476216.216216218</v>
      </c>
      <c r="P128">
        <v>37276612.612612605</v>
      </c>
      <c r="Q128">
        <v>586486.48648648697</v>
      </c>
      <c r="R128">
        <v>2831081.0810810798</v>
      </c>
      <c r="S128">
        <v>1884</v>
      </c>
      <c r="T128">
        <v>2191</v>
      </c>
    </row>
    <row r="129" spans="1:20" x14ac:dyDescent="0.35">
      <c r="A129" s="7" t="s">
        <v>217</v>
      </c>
      <c r="B129" s="12" t="s">
        <v>86</v>
      </c>
      <c r="C129">
        <v>33008335.499460459</v>
      </c>
      <c r="D129">
        <v>37332882.239316478</v>
      </c>
      <c r="E129">
        <v>1072072.072072072</v>
      </c>
      <c r="F129">
        <v>5301414.4144144161</v>
      </c>
      <c r="G129">
        <v>11</v>
      </c>
      <c r="H129">
        <v>6</v>
      </c>
      <c r="K129">
        <v>12</v>
      </c>
      <c r="L129">
        <v>7</v>
      </c>
      <c r="M129">
        <v>59751801.801801801</v>
      </c>
      <c r="N129">
        <v>52986221.621621624</v>
      </c>
      <c r="O129">
        <v>10199216.216216216</v>
      </c>
      <c r="P129">
        <v>12496917.117117116</v>
      </c>
      <c r="Q129">
        <v>51453243.243243247</v>
      </c>
      <c r="R129">
        <v>44442072.072072074</v>
      </c>
      <c r="S129">
        <v>672</v>
      </c>
      <c r="T129">
        <v>663</v>
      </c>
    </row>
    <row r="130" spans="1:20" x14ac:dyDescent="0.35">
      <c r="A130" s="7" t="s">
        <v>218</v>
      </c>
      <c r="B130" s="12" t="s">
        <v>86</v>
      </c>
      <c r="C130">
        <v>131937832.59624657</v>
      </c>
      <c r="D130">
        <v>134368700.57287455</v>
      </c>
      <c r="E130">
        <v>631531.53153153195</v>
      </c>
      <c r="F130">
        <v>734234.23423423397</v>
      </c>
      <c r="G130">
        <v>51</v>
      </c>
      <c r="H130">
        <v>20</v>
      </c>
      <c r="K130">
        <v>56</v>
      </c>
      <c r="L130">
        <v>24</v>
      </c>
      <c r="M130">
        <v>40326306.306306303</v>
      </c>
      <c r="N130">
        <v>30416674.774774775</v>
      </c>
      <c r="O130">
        <v>25104441.441441439</v>
      </c>
      <c r="P130">
        <v>27451540.540540539</v>
      </c>
      <c r="Q130">
        <v>35525765.765765771</v>
      </c>
      <c r="R130">
        <v>22725495.495495494</v>
      </c>
      <c r="S130">
        <v>2580</v>
      </c>
      <c r="T130">
        <v>2402</v>
      </c>
    </row>
    <row r="131" spans="1:20" x14ac:dyDescent="0.35">
      <c r="A131" s="7" t="s">
        <v>219</v>
      </c>
      <c r="B131" s="12" t="s">
        <v>148</v>
      </c>
      <c r="C131">
        <v>128465744.44183315</v>
      </c>
      <c r="D131">
        <v>120791739.59870473</v>
      </c>
      <c r="E131">
        <v>456143929.72972971</v>
      </c>
      <c r="F131">
        <v>476722747.74774778</v>
      </c>
      <c r="G131">
        <v>82</v>
      </c>
      <c r="H131">
        <v>22</v>
      </c>
      <c r="K131">
        <v>98</v>
      </c>
      <c r="L131">
        <v>31</v>
      </c>
      <c r="M131">
        <v>122464890.990991</v>
      </c>
      <c r="N131">
        <v>144450345.94594595</v>
      </c>
      <c r="O131">
        <v>40348828.828828834</v>
      </c>
      <c r="P131">
        <v>36589315.315315314</v>
      </c>
      <c r="Q131">
        <v>95035675.675675675</v>
      </c>
      <c r="R131">
        <v>101391441.44144145</v>
      </c>
      <c r="S131">
        <v>3451</v>
      </c>
      <c r="T131">
        <v>2437</v>
      </c>
    </row>
    <row r="132" spans="1:20" x14ac:dyDescent="0.35">
      <c r="A132" s="7" t="s">
        <v>220</v>
      </c>
      <c r="B132" s="12" t="s">
        <v>221</v>
      </c>
      <c r="C132">
        <v>253390896.31479755</v>
      </c>
      <c r="D132">
        <v>244637051.54706824</v>
      </c>
      <c r="E132">
        <v>7229793.6936936956</v>
      </c>
      <c r="F132">
        <v>8992389.1891891863</v>
      </c>
      <c r="G132">
        <v>93</v>
      </c>
      <c r="H132">
        <v>103</v>
      </c>
      <c r="K132">
        <v>105</v>
      </c>
      <c r="L132">
        <v>166</v>
      </c>
      <c r="M132">
        <v>212229554.95495495</v>
      </c>
      <c r="N132">
        <v>424261009.9099099</v>
      </c>
      <c r="O132">
        <v>64958416.666666664</v>
      </c>
      <c r="P132">
        <v>68551846.846846849</v>
      </c>
      <c r="Q132">
        <v>354960810.8108108</v>
      </c>
      <c r="R132">
        <v>377134639.63963962</v>
      </c>
      <c r="S132">
        <v>6792</v>
      </c>
      <c r="T132">
        <v>6264</v>
      </c>
    </row>
    <row r="133" spans="1:20" x14ac:dyDescent="0.35">
      <c r="A133" s="7" t="s">
        <v>222</v>
      </c>
      <c r="B133" s="12" t="s">
        <v>53</v>
      </c>
      <c r="C133">
        <v>603807851.0086298</v>
      </c>
      <c r="D133">
        <v>634095062.97998405</v>
      </c>
      <c r="E133">
        <v>5831306.3063063119</v>
      </c>
      <c r="F133">
        <v>12046508.108108114</v>
      </c>
      <c r="G133">
        <v>137</v>
      </c>
      <c r="H133">
        <v>135</v>
      </c>
      <c r="K133">
        <v>172</v>
      </c>
      <c r="L133">
        <v>201</v>
      </c>
      <c r="M133">
        <v>44085405.40540541</v>
      </c>
      <c r="N133">
        <v>73643464.864864871</v>
      </c>
      <c r="O133">
        <v>193272612.61261261</v>
      </c>
      <c r="P133">
        <v>205628711.7117117</v>
      </c>
      <c r="Q133">
        <v>53326126.126126125</v>
      </c>
      <c r="R133">
        <v>61885855.855855852</v>
      </c>
      <c r="S133">
        <v>14006</v>
      </c>
      <c r="T133">
        <v>10512</v>
      </c>
    </row>
    <row r="134" spans="1:20" x14ac:dyDescent="0.35">
      <c r="A134" s="7" t="s">
        <v>223</v>
      </c>
      <c r="B134" s="12" t="s">
        <v>77</v>
      </c>
      <c r="C134">
        <v>465421591.4404127</v>
      </c>
      <c r="D134">
        <v>470157197.85956085</v>
      </c>
      <c r="E134">
        <v>1484909.9099099161</v>
      </c>
      <c r="F134">
        <v>2113714.4144144198</v>
      </c>
      <c r="G134">
        <v>137</v>
      </c>
      <c r="H134">
        <v>118</v>
      </c>
      <c r="K134">
        <v>145</v>
      </c>
      <c r="L134">
        <v>124</v>
      </c>
      <c r="M134">
        <v>34632702.702702701</v>
      </c>
      <c r="N134">
        <v>42697175.675675683</v>
      </c>
      <c r="O134">
        <v>89241768.468468457</v>
      </c>
      <c r="P134">
        <v>99971963.963963971</v>
      </c>
      <c r="Q134">
        <v>29341981.981981982</v>
      </c>
      <c r="R134">
        <v>36631891.891891889</v>
      </c>
      <c r="S134">
        <v>7333</v>
      </c>
      <c r="T134">
        <v>7067</v>
      </c>
    </row>
    <row r="135" spans="1:20" x14ac:dyDescent="0.35">
      <c r="A135" s="7" t="s">
        <v>224</v>
      </c>
      <c r="B135" s="12" t="s">
        <v>225</v>
      </c>
      <c r="C135">
        <v>39870602.959773012</v>
      </c>
      <c r="D135">
        <v>40274229.129143298</v>
      </c>
      <c r="E135">
        <v>5405.4054054050002</v>
      </c>
      <c r="F135">
        <v>27557.657657658001</v>
      </c>
      <c r="G135">
        <v>3</v>
      </c>
      <c r="H135">
        <v>2</v>
      </c>
      <c r="K135">
        <v>3</v>
      </c>
      <c r="L135">
        <v>2</v>
      </c>
      <c r="M135">
        <v>906306.30630630604</v>
      </c>
      <c r="N135">
        <v>1779506.306306306</v>
      </c>
      <c r="O135">
        <v>10093225.225225223</v>
      </c>
      <c r="P135">
        <v>9484027.0270270277</v>
      </c>
      <c r="Q135">
        <v>964234.23423423397</v>
      </c>
      <c r="R135">
        <v>1261801.8018018019</v>
      </c>
      <c r="S135">
        <v>812</v>
      </c>
      <c r="T135">
        <v>791</v>
      </c>
    </row>
    <row r="136" spans="1:20" x14ac:dyDescent="0.35">
      <c r="A136" s="7" t="s">
        <v>226</v>
      </c>
      <c r="B136" s="12" t="s">
        <v>144</v>
      </c>
      <c r="C136">
        <v>377837582.47598809</v>
      </c>
      <c r="D136">
        <v>387441408.03026599</v>
      </c>
      <c r="E136">
        <v>3817117.1171171181</v>
      </c>
      <c r="F136">
        <v>2317232.4324324392</v>
      </c>
      <c r="G136">
        <v>149</v>
      </c>
      <c r="H136">
        <v>43</v>
      </c>
      <c r="K136">
        <v>162</v>
      </c>
      <c r="L136">
        <v>54</v>
      </c>
      <c r="M136">
        <v>23685585.585585587</v>
      </c>
      <c r="N136">
        <v>24903154.954954959</v>
      </c>
      <c r="O136">
        <v>47902510.360360362</v>
      </c>
      <c r="P136">
        <v>56695448.648648649</v>
      </c>
      <c r="Q136">
        <v>14971441.441441443</v>
      </c>
      <c r="R136">
        <v>16796756.756756756</v>
      </c>
      <c r="S136">
        <v>6666</v>
      </c>
      <c r="T136">
        <v>6066</v>
      </c>
    </row>
    <row r="137" spans="1:20" x14ac:dyDescent="0.35">
      <c r="A137" s="7" t="s">
        <v>227</v>
      </c>
      <c r="B137" s="12" t="s">
        <v>225</v>
      </c>
      <c r="C137">
        <v>43868985.555791467</v>
      </c>
      <c r="D137">
        <v>42807336.047527</v>
      </c>
      <c r="E137">
        <v>135135.13513513599</v>
      </c>
      <c r="F137">
        <v>139533.33333333401</v>
      </c>
      <c r="G137">
        <v>16</v>
      </c>
      <c r="H137">
        <v>10</v>
      </c>
      <c r="K137">
        <v>18</v>
      </c>
      <c r="L137">
        <v>12</v>
      </c>
      <c r="M137">
        <v>6082162.1621621624</v>
      </c>
      <c r="N137">
        <v>10447659.459459459</v>
      </c>
      <c r="O137">
        <v>11763490.990990993</v>
      </c>
      <c r="P137">
        <v>10002801.801801803</v>
      </c>
      <c r="Q137">
        <v>4919189.18918919</v>
      </c>
      <c r="R137">
        <v>9143783.7837837841</v>
      </c>
      <c r="S137">
        <v>815</v>
      </c>
      <c r="T137">
        <v>739</v>
      </c>
    </row>
    <row r="138" spans="1:20" x14ac:dyDescent="0.35">
      <c r="A138" s="7" t="s">
        <v>228</v>
      </c>
      <c r="B138" s="12" t="s">
        <v>79</v>
      </c>
      <c r="C138">
        <v>357055901.99687272</v>
      </c>
      <c r="D138">
        <v>368654129.2369206</v>
      </c>
      <c r="E138">
        <v>4143243.2432432449</v>
      </c>
      <c r="F138">
        <v>4865061.2612612611</v>
      </c>
      <c r="G138">
        <v>78</v>
      </c>
      <c r="H138">
        <v>43</v>
      </c>
      <c r="K138">
        <v>89</v>
      </c>
      <c r="L138">
        <v>52</v>
      </c>
      <c r="M138">
        <v>44022342.342342347</v>
      </c>
      <c r="N138">
        <v>42076276.576576576</v>
      </c>
      <c r="O138">
        <v>142798882.88288289</v>
      </c>
      <c r="P138">
        <v>150642261.26126125</v>
      </c>
      <c r="Q138">
        <v>38198738.738738738</v>
      </c>
      <c r="R138">
        <v>37106800</v>
      </c>
      <c r="S138">
        <v>5281</v>
      </c>
      <c r="T138">
        <v>4870</v>
      </c>
    </row>
    <row r="139" spans="1:20" x14ac:dyDescent="0.35">
      <c r="A139" s="7" t="s">
        <v>669</v>
      </c>
      <c r="B139" s="12" t="s">
        <v>284</v>
      </c>
      <c r="E139">
        <v>134819819.81981984</v>
      </c>
      <c r="F139">
        <v>56914414.414414413</v>
      </c>
      <c r="M139">
        <v>3972972.9729729728</v>
      </c>
      <c r="N139">
        <v>27027.027027027001</v>
      </c>
    </row>
    <row r="140" spans="1:20" x14ac:dyDescent="0.35">
      <c r="A140" s="7" t="s">
        <v>229</v>
      </c>
      <c r="B140" s="12" t="s">
        <v>137</v>
      </c>
      <c r="C140">
        <v>465189755.00374544</v>
      </c>
      <c r="D140">
        <v>481495814.49166685</v>
      </c>
      <c r="E140">
        <v>4023648.6486486499</v>
      </c>
      <c r="F140">
        <v>3717839.6396396421</v>
      </c>
      <c r="G140">
        <v>119</v>
      </c>
      <c r="H140">
        <v>94</v>
      </c>
      <c r="I140">
        <v>1</v>
      </c>
      <c r="K140">
        <v>135</v>
      </c>
      <c r="L140">
        <v>105</v>
      </c>
      <c r="M140">
        <v>56165765.765765771</v>
      </c>
      <c r="N140">
        <v>74746327.027027026</v>
      </c>
      <c r="O140">
        <v>107762031.53153154</v>
      </c>
      <c r="P140">
        <v>116871158.55855855</v>
      </c>
      <c r="Q140">
        <v>46298738.738738738</v>
      </c>
      <c r="R140">
        <v>68431351.351351351</v>
      </c>
      <c r="S140">
        <v>8100</v>
      </c>
      <c r="T140">
        <v>7482</v>
      </c>
    </row>
    <row r="141" spans="1:20" x14ac:dyDescent="0.35">
      <c r="A141" s="7" t="s">
        <v>230</v>
      </c>
      <c r="B141" s="12" t="s">
        <v>79</v>
      </c>
      <c r="C141">
        <v>133169907.56912345</v>
      </c>
      <c r="D141">
        <v>145432612.74966413</v>
      </c>
      <c r="E141">
        <v>4580630.6306306301</v>
      </c>
      <c r="F141">
        <v>6135055.8558558552</v>
      </c>
      <c r="G141">
        <v>51</v>
      </c>
      <c r="H141">
        <v>50</v>
      </c>
      <c r="I141">
        <v>2</v>
      </c>
      <c r="K141">
        <v>54</v>
      </c>
      <c r="L141">
        <v>62</v>
      </c>
      <c r="M141">
        <v>28187387.387387387</v>
      </c>
      <c r="N141">
        <v>29049371.171171173</v>
      </c>
      <c r="O141">
        <v>63589935.135135137</v>
      </c>
      <c r="P141">
        <v>68879439.639639646</v>
      </c>
      <c r="Q141">
        <v>27676890.090090092</v>
      </c>
      <c r="R141">
        <v>27568331.531531531</v>
      </c>
      <c r="S141">
        <v>2739</v>
      </c>
      <c r="T141">
        <v>2843</v>
      </c>
    </row>
    <row r="142" spans="1:20" x14ac:dyDescent="0.35">
      <c r="A142" s="7" t="s">
        <v>231</v>
      </c>
      <c r="B142" s="12" t="s">
        <v>55</v>
      </c>
      <c r="C142">
        <v>390495123.37894893</v>
      </c>
      <c r="D142">
        <v>396598576.28599048</v>
      </c>
      <c r="E142">
        <v>1047747.747747748</v>
      </c>
      <c r="F142">
        <v>1218574.7747747749</v>
      </c>
      <c r="G142">
        <v>48</v>
      </c>
      <c r="H142">
        <v>58</v>
      </c>
      <c r="K142">
        <v>54</v>
      </c>
      <c r="L142">
        <v>70</v>
      </c>
      <c r="M142">
        <v>23838738.738738742</v>
      </c>
      <c r="N142">
        <v>24324535.135135137</v>
      </c>
      <c r="O142">
        <v>95058825.225225225</v>
      </c>
      <c r="P142">
        <v>99671468.468468457</v>
      </c>
      <c r="Q142">
        <v>26863873.873873875</v>
      </c>
      <c r="R142">
        <v>17761711.711711712</v>
      </c>
      <c r="S142">
        <v>7372</v>
      </c>
      <c r="T142">
        <v>6823</v>
      </c>
    </row>
    <row r="143" spans="1:20" x14ac:dyDescent="0.35">
      <c r="A143" s="7" t="s">
        <v>232</v>
      </c>
      <c r="B143" s="12" t="s">
        <v>79</v>
      </c>
      <c r="C143">
        <v>150129878.30825901</v>
      </c>
      <c r="D143">
        <v>151232701.98117575</v>
      </c>
      <c r="E143">
        <v>3648648.648648649</v>
      </c>
      <c r="F143">
        <v>7035096.3963963985</v>
      </c>
      <c r="G143">
        <v>83</v>
      </c>
      <c r="H143">
        <v>49</v>
      </c>
      <c r="I143">
        <v>2</v>
      </c>
      <c r="K143">
        <v>102</v>
      </c>
      <c r="L143">
        <v>78</v>
      </c>
      <c r="M143">
        <v>37386486.486486487</v>
      </c>
      <c r="N143">
        <v>49822458.558558561</v>
      </c>
      <c r="O143">
        <v>71088369.369369373</v>
      </c>
      <c r="P143">
        <v>71773909.909909919</v>
      </c>
      <c r="Q143">
        <v>37120720.720720723</v>
      </c>
      <c r="R143">
        <v>50123243.24324324</v>
      </c>
      <c r="S143">
        <v>4190</v>
      </c>
      <c r="T143">
        <v>3864</v>
      </c>
    </row>
    <row r="144" spans="1:20" x14ac:dyDescent="0.35">
      <c r="A144" s="7" t="s">
        <v>233</v>
      </c>
      <c r="B144" s="12" t="s">
        <v>61</v>
      </c>
      <c r="C144">
        <v>135444043.13876536</v>
      </c>
      <c r="D144">
        <v>134749721.78148592</v>
      </c>
      <c r="G144">
        <v>52</v>
      </c>
      <c r="H144">
        <v>8</v>
      </c>
      <c r="K144">
        <v>54</v>
      </c>
      <c r="L144">
        <v>10</v>
      </c>
      <c r="O144">
        <v>55602522.522522517</v>
      </c>
      <c r="P144">
        <v>56096612.612612613</v>
      </c>
      <c r="S144">
        <v>1943</v>
      </c>
      <c r="T144">
        <v>1941</v>
      </c>
    </row>
    <row r="145" spans="1:20" x14ac:dyDescent="0.35">
      <c r="A145" s="7" t="s">
        <v>234</v>
      </c>
      <c r="B145" s="12" t="s">
        <v>55</v>
      </c>
      <c r="C145">
        <v>64213103.570542641</v>
      </c>
      <c r="D145">
        <v>63338225.910849229</v>
      </c>
      <c r="E145">
        <v>157657.65765765699</v>
      </c>
      <c r="F145">
        <v>2011711.711711711</v>
      </c>
      <c r="G145">
        <v>48</v>
      </c>
      <c r="H145">
        <v>8</v>
      </c>
      <c r="K145">
        <v>62</v>
      </c>
      <c r="L145">
        <v>8</v>
      </c>
      <c r="M145">
        <v>3209279.2792792781</v>
      </c>
      <c r="N145">
        <v>6768468.4684684686</v>
      </c>
      <c r="O145">
        <v>14138099.099099098</v>
      </c>
      <c r="P145">
        <v>15930585.585585585</v>
      </c>
      <c r="Q145">
        <v>3062252.2522522518</v>
      </c>
      <c r="R145">
        <v>6634324.3243243257</v>
      </c>
      <c r="S145">
        <v>1719</v>
      </c>
      <c r="T145">
        <v>1052</v>
      </c>
    </row>
    <row r="146" spans="1:20" x14ac:dyDescent="0.35">
      <c r="A146" s="7" t="s">
        <v>235</v>
      </c>
      <c r="B146" s="12" t="s">
        <v>168</v>
      </c>
      <c r="C146">
        <v>299242386.26214045</v>
      </c>
      <c r="D146">
        <v>286119780.48928165</v>
      </c>
      <c r="E146">
        <v>530630.63063062902</v>
      </c>
      <c r="F146">
        <v>2236318.9189189179</v>
      </c>
      <c r="G146">
        <v>24</v>
      </c>
      <c r="H146">
        <v>25</v>
      </c>
      <c r="K146">
        <v>28</v>
      </c>
      <c r="L146">
        <v>27</v>
      </c>
      <c r="M146">
        <v>35190438.738738738</v>
      </c>
      <c r="N146">
        <v>49398543.24324324</v>
      </c>
      <c r="O146">
        <v>83201851.351351351</v>
      </c>
      <c r="P146">
        <v>96739297.297297299</v>
      </c>
      <c r="Q146">
        <v>16775045.045045044</v>
      </c>
      <c r="R146">
        <v>26344144.144144144</v>
      </c>
      <c r="S146">
        <v>5335</v>
      </c>
      <c r="T146">
        <v>5005</v>
      </c>
    </row>
    <row r="147" spans="1:20" x14ac:dyDescent="0.35">
      <c r="A147" s="7" t="s">
        <v>236</v>
      </c>
      <c r="B147" s="12" t="s">
        <v>237</v>
      </c>
      <c r="C147">
        <v>6333.8288553570001</v>
      </c>
      <c r="D147">
        <v>1143.0024433619999</v>
      </c>
      <c r="E147">
        <v>194421860.36036035</v>
      </c>
      <c r="F147">
        <v>244381058.55855855</v>
      </c>
      <c r="M147">
        <v>25523648.648648649</v>
      </c>
      <c r="N147">
        <v>12469639.63963964</v>
      </c>
      <c r="O147">
        <v>9009.0090090089998</v>
      </c>
      <c r="S147">
        <v>52</v>
      </c>
      <c r="T147">
        <v>55</v>
      </c>
    </row>
    <row r="148" spans="1:20" x14ac:dyDescent="0.35">
      <c r="A148" s="7" t="s">
        <v>238</v>
      </c>
      <c r="B148" s="12" t="s">
        <v>106</v>
      </c>
      <c r="C148">
        <v>176174943.61118585</v>
      </c>
      <c r="D148">
        <v>176258949.34087524</v>
      </c>
      <c r="E148">
        <v>50981981.981981985</v>
      </c>
      <c r="F148">
        <v>133446463.96396397</v>
      </c>
      <c r="G148">
        <v>23</v>
      </c>
      <c r="H148">
        <v>25</v>
      </c>
      <c r="K148">
        <v>25</v>
      </c>
      <c r="L148">
        <v>26</v>
      </c>
      <c r="M148">
        <v>29059099.0990991</v>
      </c>
      <c r="N148">
        <v>25691963.063063063</v>
      </c>
      <c r="O148">
        <v>51265342.342342347</v>
      </c>
      <c r="P148">
        <v>55306351.351351351</v>
      </c>
      <c r="Q148">
        <v>27168018.018018015</v>
      </c>
      <c r="R148">
        <v>22220090.090090089</v>
      </c>
      <c r="S148">
        <v>2203</v>
      </c>
      <c r="T148">
        <v>1861</v>
      </c>
    </row>
    <row r="149" spans="1:20" x14ac:dyDescent="0.35">
      <c r="A149" s="7" t="s">
        <v>3</v>
      </c>
      <c r="B149" s="12" t="s">
        <v>159</v>
      </c>
      <c r="C149">
        <v>362330781.87162668</v>
      </c>
      <c r="D149">
        <v>321587555.64916307</v>
      </c>
      <c r="E149">
        <v>4904279.2792792823</v>
      </c>
      <c r="F149">
        <v>4725606.3063063063</v>
      </c>
      <c r="G149">
        <v>56</v>
      </c>
      <c r="H149">
        <v>60</v>
      </c>
      <c r="K149">
        <v>62</v>
      </c>
      <c r="L149">
        <v>68</v>
      </c>
      <c r="M149">
        <v>71862162.162162155</v>
      </c>
      <c r="N149">
        <v>96806209.009009004</v>
      </c>
      <c r="O149">
        <v>98740477.477477476</v>
      </c>
      <c r="P149">
        <v>91890513.51351352</v>
      </c>
      <c r="Q149">
        <v>65380090.090090089</v>
      </c>
      <c r="R149">
        <v>94269819.819819823</v>
      </c>
      <c r="S149">
        <v>3952</v>
      </c>
      <c r="T149">
        <v>3540</v>
      </c>
    </row>
    <row r="150" spans="1:20" x14ac:dyDescent="0.35">
      <c r="A150" s="7" t="s">
        <v>239</v>
      </c>
      <c r="B150" s="12" t="s">
        <v>179</v>
      </c>
      <c r="C150">
        <v>280898135.08373678</v>
      </c>
      <c r="D150">
        <v>293957918.16880143</v>
      </c>
      <c r="E150">
        <v>310891891.8918919</v>
      </c>
      <c r="F150">
        <v>294032277.47747749</v>
      </c>
      <c r="G150">
        <v>74</v>
      </c>
      <c r="H150">
        <v>64</v>
      </c>
      <c r="K150">
        <v>91</v>
      </c>
      <c r="L150">
        <v>76</v>
      </c>
      <c r="M150">
        <v>44990990.990990989</v>
      </c>
      <c r="N150">
        <v>58616242.342342347</v>
      </c>
      <c r="O150">
        <v>89433828.828828827</v>
      </c>
      <c r="P150">
        <v>94917018.018018022</v>
      </c>
      <c r="Q150">
        <v>33084234.234234236</v>
      </c>
      <c r="R150">
        <v>51006846.846846849</v>
      </c>
      <c r="S150">
        <v>5680</v>
      </c>
      <c r="T150">
        <v>5056</v>
      </c>
    </row>
    <row r="151" spans="1:20" x14ac:dyDescent="0.35">
      <c r="A151" s="7" t="s">
        <v>240</v>
      </c>
      <c r="B151" s="12" t="s">
        <v>55</v>
      </c>
      <c r="C151">
        <v>202333894.73442951</v>
      </c>
      <c r="D151">
        <v>212481234.08003429</v>
      </c>
      <c r="E151">
        <v>4223423.4234234244</v>
      </c>
      <c r="F151">
        <v>2273272.0720720729</v>
      </c>
      <c r="G151">
        <v>36</v>
      </c>
      <c r="H151">
        <v>51</v>
      </c>
      <c r="K151">
        <v>37</v>
      </c>
      <c r="L151">
        <v>81</v>
      </c>
      <c r="M151">
        <v>27616576.576576576</v>
      </c>
      <c r="N151">
        <v>27392003.603603605</v>
      </c>
      <c r="O151">
        <v>55719257.657657653</v>
      </c>
      <c r="P151">
        <v>63019381.981981985</v>
      </c>
      <c r="Q151">
        <v>24302068.468468469</v>
      </c>
      <c r="R151">
        <v>27484684.684684683</v>
      </c>
      <c r="S151">
        <v>3612</v>
      </c>
      <c r="T151">
        <v>3360</v>
      </c>
    </row>
    <row r="152" spans="1:20" x14ac:dyDescent="0.35">
      <c r="A152" s="7" t="s">
        <v>241</v>
      </c>
      <c r="B152" s="12" t="s">
        <v>242</v>
      </c>
      <c r="C152">
        <v>173838424.14985836</v>
      </c>
      <c r="D152">
        <v>165700732.48171282</v>
      </c>
      <c r="E152">
        <v>208540970.27027026</v>
      </c>
      <c r="F152">
        <v>148056792.7927928</v>
      </c>
      <c r="G152">
        <v>79</v>
      </c>
      <c r="H152">
        <v>61</v>
      </c>
      <c r="K152">
        <v>83</v>
      </c>
      <c r="L152">
        <v>77</v>
      </c>
      <c r="M152">
        <v>70409189.189189196</v>
      </c>
      <c r="N152">
        <v>35789970.270270273</v>
      </c>
      <c r="O152">
        <v>40734187.387387387</v>
      </c>
      <c r="P152">
        <v>43525567.567567565</v>
      </c>
      <c r="Q152">
        <v>50844414.414414413</v>
      </c>
      <c r="R152">
        <v>21828918.918918919</v>
      </c>
      <c r="S152">
        <v>2997</v>
      </c>
      <c r="T152">
        <v>2979</v>
      </c>
    </row>
    <row r="153" spans="1:20" x14ac:dyDescent="0.35">
      <c r="A153" s="7" t="s">
        <v>243</v>
      </c>
      <c r="B153" s="12" t="s">
        <v>242</v>
      </c>
      <c r="C153">
        <v>444814422.365385</v>
      </c>
      <c r="D153">
        <v>402497845.51655656</v>
      </c>
      <c r="E153">
        <v>187995765.76576576</v>
      </c>
      <c r="F153">
        <v>75773635.135135129</v>
      </c>
      <c r="G153">
        <v>182</v>
      </c>
      <c r="H153">
        <v>155</v>
      </c>
      <c r="K153">
        <v>203</v>
      </c>
      <c r="L153">
        <v>174</v>
      </c>
      <c r="M153">
        <v>171981351.35135135</v>
      </c>
      <c r="N153">
        <v>155120281.98198199</v>
      </c>
      <c r="O153">
        <v>132344405.4054054</v>
      </c>
      <c r="P153">
        <v>130896873.87387387</v>
      </c>
      <c r="Q153">
        <v>160001261.26126125</v>
      </c>
      <c r="R153">
        <v>142529639.63963965</v>
      </c>
      <c r="S153">
        <v>8159</v>
      </c>
      <c r="T153">
        <v>7154</v>
      </c>
    </row>
    <row r="154" spans="1:20" x14ac:dyDescent="0.35">
      <c r="A154" s="7" t="s">
        <v>244</v>
      </c>
      <c r="B154" s="12" t="s">
        <v>51</v>
      </c>
      <c r="C154">
        <v>80395220.79651463</v>
      </c>
      <c r="D154">
        <v>72927373.519014269</v>
      </c>
      <c r="E154">
        <v>1502771669.3693693</v>
      </c>
      <c r="F154">
        <v>1132971593.6936936</v>
      </c>
      <c r="G154">
        <v>27</v>
      </c>
      <c r="H154">
        <v>12</v>
      </c>
      <c r="K154">
        <v>27</v>
      </c>
      <c r="L154">
        <v>13</v>
      </c>
      <c r="M154">
        <v>115577567.56756757</v>
      </c>
      <c r="N154">
        <v>112895442.34234233</v>
      </c>
      <c r="O154">
        <v>26035594.594594598</v>
      </c>
      <c r="P154">
        <v>25132882.882882886</v>
      </c>
      <c r="Q154">
        <v>16204414.414414413</v>
      </c>
      <c r="R154">
        <v>4960585.5855855849</v>
      </c>
      <c r="S154">
        <v>1259</v>
      </c>
      <c r="T154">
        <v>1125</v>
      </c>
    </row>
    <row r="155" spans="1:20" x14ac:dyDescent="0.35">
      <c r="A155" s="7" t="s">
        <v>245</v>
      </c>
      <c r="B155" s="12" t="s">
        <v>182</v>
      </c>
      <c r="C155">
        <v>2432767400.1807432</v>
      </c>
      <c r="D155">
        <v>2332696229.1099615</v>
      </c>
      <c r="E155">
        <v>232046134.23423424</v>
      </c>
      <c r="F155">
        <v>279078750.45045048</v>
      </c>
      <c r="G155">
        <v>1044</v>
      </c>
      <c r="H155">
        <v>989</v>
      </c>
      <c r="I155">
        <v>16</v>
      </c>
      <c r="K155">
        <v>1585</v>
      </c>
      <c r="L155">
        <v>1232</v>
      </c>
      <c r="M155">
        <v>353107477.47747749</v>
      </c>
      <c r="N155">
        <v>582354429.72972977</v>
      </c>
      <c r="O155">
        <v>529413100.9009009</v>
      </c>
      <c r="P155">
        <v>547896394.5945946</v>
      </c>
      <c r="Q155">
        <v>367051441.44144142</v>
      </c>
      <c r="R155">
        <v>571873693.69369364</v>
      </c>
      <c r="S155">
        <v>61584</v>
      </c>
      <c r="T155">
        <v>39851</v>
      </c>
    </row>
    <row r="156" spans="1:20" x14ac:dyDescent="0.35">
      <c r="A156" s="7" t="s">
        <v>246</v>
      </c>
      <c r="B156" s="12" t="s">
        <v>49</v>
      </c>
      <c r="C156">
        <v>107904611.35110757</v>
      </c>
      <c r="D156">
        <v>106779553.78934138</v>
      </c>
      <c r="E156">
        <v>247940109.90990993</v>
      </c>
      <c r="F156">
        <v>106550399.0990991</v>
      </c>
      <c r="G156">
        <v>14</v>
      </c>
      <c r="H156">
        <v>7</v>
      </c>
      <c r="K156">
        <v>19</v>
      </c>
      <c r="L156">
        <v>7</v>
      </c>
      <c r="M156">
        <v>45925997.297297299</v>
      </c>
      <c r="N156">
        <v>31718063.963963963</v>
      </c>
      <c r="O156">
        <v>25659513.513513513</v>
      </c>
      <c r="P156">
        <v>28586738.738738734</v>
      </c>
      <c r="Q156">
        <v>29883513.513513513</v>
      </c>
      <c r="R156">
        <v>9865585.5855855886</v>
      </c>
      <c r="S156">
        <v>2160</v>
      </c>
      <c r="T156">
        <v>1795</v>
      </c>
    </row>
    <row r="157" spans="1:20" x14ac:dyDescent="0.35">
      <c r="A157" s="7" t="s">
        <v>247</v>
      </c>
      <c r="B157" s="12" t="s">
        <v>95</v>
      </c>
      <c r="C157">
        <v>33124500.76176348</v>
      </c>
      <c r="D157">
        <v>26624436.111316018</v>
      </c>
      <c r="E157">
        <v>68840090.090090081</v>
      </c>
      <c r="F157">
        <v>93378378.378378391</v>
      </c>
      <c r="G157">
        <v>5</v>
      </c>
      <c r="K157">
        <v>5</v>
      </c>
      <c r="M157">
        <v>12758108.108108109</v>
      </c>
      <c r="N157">
        <v>5677027.0270270268</v>
      </c>
      <c r="O157">
        <v>6618414.4144144142</v>
      </c>
      <c r="P157">
        <v>5320855.8558558561</v>
      </c>
      <c r="S157">
        <v>732</v>
      </c>
      <c r="T157">
        <v>690</v>
      </c>
    </row>
    <row r="158" spans="1:20" x14ac:dyDescent="0.35">
      <c r="A158" s="7" t="s">
        <v>248</v>
      </c>
      <c r="B158" s="12" t="s">
        <v>118</v>
      </c>
      <c r="C158">
        <v>99333804.724962562</v>
      </c>
      <c r="D158">
        <v>92011731.830172673</v>
      </c>
      <c r="E158">
        <v>2517483.7837837841</v>
      </c>
      <c r="F158">
        <v>2863358.5585585581</v>
      </c>
      <c r="G158">
        <v>15</v>
      </c>
      <c r="H158">
        <v>20</v>
      </c>
      <c r="K158">
        <v>20</v>
      </c>
      <c r="L158">
        <v>31</v>
      </c>
      <c r="M158">
        <v>19369369.369369373</v>
      </c>
      <c r="N158">
        <v>111093247.74774775</v>
      </c>
      <c r="O158">
        <v>47183891.891891889</v>
      </c>
      <c r="P158">
        <v>47498747.747747742</v>
      </c>
      <c r="Q158">
        <v>18748468.468468469</v>
      </c>
      <c r="R158">
        <v>12866936.936936934</v>
      </c>
      <c r="S158">
        <v>1821</v>
      </c>
      <c r="T158">
        <v>1736</v>
      </c>
    </row>
    <row r="159" spans="1:20" x14ac:dyDescent="0.35">
      <c r="A159" s="7" t="s">
        <v>249</v>
      </c>
      <c r="B159" s="12" t="s">
        <v>122</v>
      </c>
      <c r="C159">
        <v>160630471.76600018</v>
      </c>
      <c r="D159">
        <v>147802958.13066342</v>
      </c>
      <c r="E159">
        <v>901801.80180180201</v>
      </c>
      <c r="F159">
        <v>480478.37837838201</v>
      </c>
      <c r="G159">
        <v>88</v>
      </c>
      <c r="H159">
        <v>92</v>
      </c>
      <c r="K159">
        <v>96</v>
      </c>
      <c r="L159">
        <v>96</v>
      </c>
      <c r="M159">
        <v>6815315.3153153136</v>
      </c>
      <c r="N159">
        <v>8128408.1081081107</v>
      </c>
      <c r="O159">
        <v>18185639.639639638</v>
      </c>
      <c r="P159">
        <v>16240576.576576576</v>
      </c>
      <c r="Q159">
        <v>4914684.6846846854</v>
      </c>
      <c r="R159">
        <v>6037387.3873873875</v>
      </c>
      <c r="S159">
        <v>2552</v>
      </c>
      <c r="T159">
        <v>2330</v>
      </c>
    </row>
    <row r="160" spans="1:20" x14ac:dyDescent="0.35">
      <c r="A160" s="7" t="s">
        <v>250</v>
      </c>
      <c r="B160" s="12" t="s">
        <v>77</v>
      </c>
      <c r="C160">
        <v>71033807.203759223</v>
      </c>
      <c r="D160">
        <v>67274749.092481822</v>
      </c>
      <c r="G160">
        <v>6</v>
      </c>
      <c r="K160">
        <v>7</v>
      </c>
      <c r="L160">
        <v>1</v>
      </c>
      <c r="O160">
        <v>7040180.1801801808</v>
      </c>
      <c r="P160">
        <v>7753927.927927928</v>
      </c>
      <c r="S160">
        <v>1806</v>
      </c>
      <c r="T160">
        <v>1480</v>
      </c>
    </row>
    <row r="161" spans="1:20" x14ac:dyDescent="0.35">
      <c r="A161" s="7" t="s">
        <v>251</v>
      </c>
      <c r="B161" s="12" t="s">
        <v>168</v>
      </c>
      <c r="C161">
        <v>228329201.29194295</v>
      </c>
      <c r="D161">
        <v>229823152.84795743</v>
      </c>
      <c r="E161">
        <v>32432.432432432</v>
      </c>
      <c r="F161">
        <v>963991.89189189195</v>
      </c>
      <c r="G161">
        <v>38</v>
      </c>
      <c r="H161">
        <v>10</v>
      </c>
      <c r="K161">
        <v>43</v>
      </c>
      <c r="L161">
        <v>12</v>
      </c>
      <c r="M161">
        <v>4819819.8198198192</v>
      </c>
      <c r="N161">
        <v>10058754.054054055</v>
      </c>
      <c r="O161">
        <v>42500599.0990991</v>
      </c>
      <c r="P161">
        <v>58311477.477477483</v>
      </c>
      <c r="Q161">
        <v>3939729.7297297288</v>
      </c>
      <c r="R161">
        <v>5947927.927927928</v>
      </c>
      <c r="S161">
        <v>3855</v>
      </c>
      <c r="T161">
        <v>3631</v>
      </c>
    </row>
    <row r="162" spans="1:20" x14ac:dyDescent="0.35">
      <c r="A162" s="7" t="s">
        <v>252</v>
      </c>
      <c r="B162" s="12" t="s">
        <v>90</v>
      </c>
      <c r="C162">
        <v>675226442.7610476</v>
      </c>
      <c r="D162">
        <v>700419071.53031027</v>
      </c>
      <c r="E162">
        <v>146618468.46846849</v>
      </c>
      <c r="F162">
        <v>421778476.57657659</v>
      </c>
      <c r="G162">
        <v>123</v>
      </c>
      <c r="H162">
        <v>56</v>
      </c>
      <c r="I162">
        <v>1</v>
      </c>
      <c r="K162">
        <v>136</v>
      </c>
      <c r="L162">
        <v>74</v>
      </c>
      <c r="M162">
        <v>57694684.684684679</v>
      </c>
      <c r="N162">
        <v>58333938.738738745</v>
      </c>
      <c r="O162">
        <v>164862926.12612611</v>
      </c>
      <c r="P162">
        <v>184195135.13513514</v>
      </c>
      <c r="Q162">
        <v>53468468.468468472</v>
      </c>
      <c r="R162">
        <v>57927297.297297299</v>
      </c>
      <c r="S162">
        <v>10347</v>
      </c>
      <c r="T162">
        <v>10875</v>
      </c>
    </row>
    <row r="163" spans="1:20" x14ac:dyDescent="0.35">
      <c r="A163" s="7" t="s">
        <v>253</v>
      </c>
      <c r="B163" s="12" t="s">
        <v>79</v>
      </c>
      <c r="C163">
        <v>200644455.82997841</v>
      </c>
      <c r="D163">
        <v>201414284.98024213</v>
      </c>
      <c r="E163">
        <v>2776576.5765765789</v>
      </c>
      <c r="F163">
        <v>1824330.6306306331</v>
      </c>
      <c r="G163">
        <v>35</v>
      </c>
      <c r="H163">
        <v>20</v>
      </c>
      <c r="K163">
        <v>37</v>
      </c>
      <c r="L163">
        <v>21</v>
      </c>
      <c r="M163">
        <v>40126306.306306303</v>
      </c>
      <c r="N163">
        <v>34238118.918918923</v>
      </c>
      <c r="O163">
        <v>55536261.261261262</v>
      </c>
      <c r="P163">
        <v>57936846.846846849</v>
      </c>
      <c r="Q163">
        <v>38108108.108108111</v>
      </c>
      <c r="R163">
        <v>33747657.657657661</v>
      </c>
      <c r="S163">
        <v>3443</v>
      </c>
      <c r="T163">
        <v>2871</v>
      </c>
    </row>
    <row r="164" spans="1:20" x14ac:dyDescent="0.35">
      <c r="A164" s="7" t="s">
        <v>254</v>
      </c>
      <c r="B164" s="12" t="s">
        <v>106</v>
      </c>
      <c r="C164">
        <v>389650850.56531173</v>
      </c>
      <c r="D164">
        <v>403121491.86861223</v>
      </c>
      <c r="E164">
        <v>173179944.14414415</v>
      </c>
      <c r="F164">
        <v>206849701.8018018</v>
      </c>
      <c r="G164">
        <v>178</v>
      </c>
      <c r="H164">
        <v>103</v>
      </c>
      <c r="I164">
        <v>1</v>
      </c>
      <c r="K164">
        <v>218</v>
      </c>
      <c r="L164">
        <v>121</v>
      </c>
      <c r="M164">
        <v>70984324.324324325</v>
      </c>
      <c r="N164">
        <v>183238174.77477479</v>
      </c>
      <c r="O164">
        <v>113945556.75675675</v>
      </c>
      <c r="P164">
        <v>121023711.7117117</v>
      </c>
      <c r="Q164">
        <v>71018781.981981978</v>
      </c>
      <c r="R164">
        <v>181394909.90990993</v>
      </c>
      <c r="S164">
        <v>5677</v>
      </c>
      <c r="T164">
        <v>5354</v>
      </c>
    </row>
    <row r="165" spans="1:20" x14ac:dyDescent="0.35">
      <c r="A165" s="7" t="s">
        <v>255</v>
      </c>
      <c r="B165" s="12" t="s">
        <v>106</v>
      </c>
      <c r="C165">
        <v>259487004.87301177</v>
      </c>
      <c r="D165">
        <v>228852099.234579</v>
      </c>
      <c r="E165">
        <v>2523198.1981981988</v>
      </c>
      <c r="F165">
        <v>2259344.1441441439</v>
      </c>
      <c r="G165">
        <v>33</v>
      </c>
      <c r="H165">
        <v>39</v>
      </c>
      <c r="I165">
        <v>1</v>
      </c>
      <c r="K165">
        <v>38</v>
      </c>
      <c r="L165">
        <v>42</v>
      </c>
      <c r="M165">
        <v>20449909.909909908</v>
      </c>
      <c r="N165">
        <v>26580604.504504506</v>
      </c>
      <c r="O165">
        <v>81447891.891891882</v>
      </c>
      <c r="P165">
        <v>79498270.270270273</v>
      </c>
      <c r="Q165">
        <v>18703423.423423424</v>
      </c>
      <c r="R165">
        <v>22825855.855855856</v>
      </c>
      <c r="S165">
        <v>4211</v>
      </c>
      <c r="T165">
        <v>3673</v>
      </c>
    </row>
    <row r="166" spans="1:20" x14ac:dyDescent="0.35">
      <c r="A166" s="7" t="s">
        <v>256</v>
      </c>
      <c r="B166" s="12" t="s">
        <v>106</v>
      </c>
      <c r="C166">
        <v>211053703.79686436</v>
      </c>
      <c r="D166">
        <v>230647352.80779764</v>
      </c>
      <c r="E166">
        <v>136936.936936938</v>
      </c>
      <c r="F166">
        <v>69369.369369370004</v>
      </c>
      <c r="G166">
        <v>37</v>
      </c>
      <c r="H166">
        <v>29</v>
      </c>
      <c r="I166">
        <v>4</v>
      </c>
      <c r="K166">
        <v>39</v>
      </c>
      <c r="L166">
        <v>32</v>
      </c>
      <c r="M166">
        <v>2389189.1891891891</v>
      </c>
      <c r="N166">
        <v>2546846.8468468469</v>
      </c>
      <c r="O166">
        <v>44987403.603603601</v>
      </c>
      <c r="P166">
        <v>54038225.225225225</v>
      </c>
      <c r="Q166">
        <v>2636486.4864864862</v>
      </c>
      <c r="R166">
        <v>1946666.666666667</v>
      </c>
      <c r="S166">
        <v>2612</v>
      </c>
      <c r="T166">
        <v>2089</v>
      </c>
    </row>
    <row r="167" spans="1:20" x14ac:dyDescent="0.35">
      <c r="A167" s="7" t="s">
        <v>257</v>
      </c>
      <c r="B167" s="12" t="s">
        <v>135</v>
      </c>
      <c r="C167">
        <v>328193897.93978077</v>
      </c>
      <c r="D167">
        <v>347819024.34653568</v>
      </c>
      <c r="E167">
        <v>1045045.045045046</v>
      </c>
      <c r="F167">
        <v>936934.23423423397</v>
      </c>
      <c r="G167">
        <v>25</v>
      </c>
      <c r="H167">
        <v>23</v>
      </c>
      <c r="K167">
        <v>26</v>
      </c>
      <c r="L167">
        <v>29</v>
      </c>
      <c r="M167">
        <v>3666666.666666667</v>
      </c>
      <c r="N167">
        <v>7091035.1351351347</v>
      </c>
      <c r="O167">
        <v>23798198.198198199</v>
      </c>
      <c r="P167">
        <v>34181412.612612613</v>
      </c>
      <c r="Q167">
        <v>4490990.9909909908</v>
      </c>
      <c r="R167">
        <v>5864144.1441441439</v>
      </c>
      <c r="S167">
        <v>4646</v>
      </c>
      <c r="T167">
        <v>4262</v>
      </c>
    </row>
    <row r="168" spans="1:20" x14ac:dyDescent="0.35">
      <c r="A168" s="7" t="s">
        <v>258</v>
      </c>
      <c r="B168" s="12" t="s">
        <v>168</v>
      </c>
      <c r="C168">
        <v>117180153.21006797</v>
      </c>
      <c r="D168">
        <v>131370295.10722019</v>
      </c>
      <c r="E168">
        <v>1233333.333333333</v>
      </c>
      <c r="F168">
        <v>942509.90990991006</v>
      </c>
      <c r="G168">
        <v>25</v>
      </c>
      <c r="H168">
        <v>12</v>
      </c>
      <c r="K168">
        <v>27</v>
      </c>
      <c r="L168">
        <v>13</v>
      </c>
      <c r="M168">
        <v>6933125.2252252251</v>
      </c>
      <c r="N168">
        <v>10446927.927927928</v>
      </c>
      <c r="O168">
        <v>39645484.684684686</v>
      </c>
      <c r="P168">
        <v>50351513.513513513</v>
      </c>
      <c r="Q168">
        <v>5950270.2702702703</v>
      </c>
      <c r="R168">
        <v>9856306.3063063081</v>
      </c>
      <c r="S168">
        <v>2574</v>
      </c>
      <c r="T168">
        <v>2455</v>
      </c>
    </row>
    <row r="169" spans="1:20" x14ac:dyDescent="0.35">
      <c r="A169" s="7" t="s">
        <v>259</v>
      </c>
      <c r="B169" s="12" t="s">
        <v>61</v>
      </c>
      <c r="C169">
        <v>46850901.500246808</v>
      </c>
      <c r="D169">
        <v>46295061.955073714</v>
      </c>
      <c r="E169">
        <v>377477.47747747699</v>
      </c>
      <c r="F169">
        <v>1345495.4954954949</v>
      </c>
      <c r="G169">
        <v>26</v>
      </c>
      <c r="H169">
        <v>19</v>
      </c>
      <c r="I169">
        <v>4</v>
      </c>
      <c r="K169">
        <v>31</v>
      </c>
      <c r="L169">
        <v>24</v>
      </c>
      <c r="M169">
        <v>9512612.6126126125</v>
      </c>
      <c r="N169">
        <v>16046396.396396399</v>
      </c>
      <c r="O169">
        <v>16941819.819819819</v>
      </c>
      <c r="P169">
        <v>17529162.162162162</v>
      </c>
      <c r="Q169">
        <v>8839819.8198198192</v>
      </c>
      <c r="R169">
        <v>12673693.693693694</v>
      </c>
      <c r="S169">
        <v>758</v>
      </c>
      <c r="T169">
        <v>640</v>
      </c>
    </row>
    <row r="170" spans="1:20" x14ac:dyDescent="0.35">
      <c r="A170" s="7" t="s">
        <v>260</v>
      </c>
      <c r="B170" s="12" t="s">
        <v>261</v>
      </c>
      <c r="C170">
        <v>27607910.15351972</v>
      </c>
      <c r="D170">
        <v>28804393.289255068</v>
      </c>
      <c r="E170">
        <v>462569561.26126122</v>
      </c>
      <c r="F170">
        <v>530561582.88288289</v>
      </c>
      <c r="G170">
        <v>8</v>
      </c>
      <c r="H170">
        <v>2</v>
      </c>
      <c r="K170">
        <v>11</v>
      </c>
      <c r="L170">
        <v>2</v>
      </c>
      <c r="M170">
        <v>66160810.810810804</v>
      </c>
      <c r="N170">
        <v>54524324.324324325</v>
      </c>
      <c r="O170">
        <v>5162369.3693693699</v>
      </c>
      <c r="P170">
        <v>6888810.8108108109</v>
      </c>
      <c r="Q170">
        <v>3427747.7477477472</v>
      </c>
      <c r="R170">
        <v>1822252.252252253</v>
      </c>
      <c r="S170">
        <v>626</v>
      </c>
      <c r="T170">
        <v>558</v>
      </c>
    </row>
    <row r="171" spans="1:20" x14ac:dyDescent="0.35">
      <c r="A171" s="7" t="s">
        <v>262</v>
      </c>
      <c r="B171" s="12" t="s">
        <v>61</v>
      </c>
      <c r="C171">
        <v>433760532.83389497</v>
      </c>
      <c r="D171">
        <v>436411085.92520869</v>
      </c>
      <c r="E171">
        <v>265377681.98198199</v>
      </c>
      <c r="F171">
        <v>795606372.07207203</v>
      </c>
      <c r="G171">
        <v>311</v>
      </c>
      <c r="H171">
        <v>252</v>
      </c>
      <c r="I171">
        <v>3</v>
      </c>
      <c r="K171">
        <v>1150</v>
      </c>
      <c r="L171">
        <v>407</v>
      </c>
      <c r="M171">
        <v>87013063.063063055</v>
      </c>
      <c r="N171">
        <v>116359102.7027027</v>
      </c>
      <c r="O171">
        <v>159896240.99099097</v>
      </c>
      <c r="P171">
        <v>160663108.1081081</v>
      </c>
      <c r="Q171">
        <v>93086216.216216221</v>
      </c>
      <c r="R171">
        <v>110209729.72972973</v>
      </c>
      <c r="S171">
        <v>8881</v>
      </c>
      <c r="T171">
        <v>7091</v>
      </c>
    </row>
    <row r="172" spans="1:20" x14ac:dyDescent="0.35">
      <c r="A172" s="7" t="s">
        <v>263</v>
      </c>
      <c r="B172" s="12" t="s">
        <v>124</v>
      </c>
      <c r="C172">
        <v>334167059.18641722</v>
      </c>
      <c r="D172">
        <v>313881221.6491043</v>
      </c>
      <c r="E172">
        <v>1468468.4684684691</v>
      </c>
      <c r="F172">
        <v>1521576.576576578</v>
      </c>
      <c r="G172">
        <v>93</v>
      </c>
      <c r="H172">
        <v>80</v>
      </c>
      <c r="I172">
        <v>1</v>
      </c>
      <c r="K172">
        <v>117</v>
      </c>
      <c r="L172">
        <v>105</v>
      </c>
      <c r="M172">
        <v>33907117.117117114</v>
      </c>
      <c r="N172">
        <v>26728273.873873875</v>
      </c>
      <c r="O172">
        <v>131195873.87387387</v>
      </c>
      <c r="P172">
        <v>127189061.26126127</v>
      </c>
      <c r="Q172">
        <v>31710090.090090092</v>
      </c>
      <c r="R172">
        <v>27104054.054054052</v>
      </c>
      <c r="S172">
        <v>5772</v>
      </c>
      <c r="T172">
        <v>5805</v>
      </c>
    </row>
    <row r="173" spans="1:20" x14ac:dyDescent="0.35">
      <c r="A173" s="7" t="s">
        <v>264</v>
      </c>
      <c r="B173" s="12" t="s">
        <v>124</v>
      </c>
      <c r="C173">
        <v>141686497.42922333</v>
      </c>
      <c r="D173">
        <v>147087163.66149348</v>
      </c>
      <c r="E173">
        <v>2325450.450450452</v>
      </c>
      <c r="F173">
        <v>4844624.3243243247</v>
      </c>
      <c r="G173">
        <v>104</v>
      </c>
      <c r="H173">
        <v>75</v>
      </c>
      <c r="I173">
        <v>2</v>
      </c>
      <c r="K173">
        <v>340</v>
      </c>
      <c r="L173">
        <v>397</v>
      </c>
      <c r="M173">
        <v>51639369.369369365</v>
      </c>
      <c r="N173">
        <v>40146981.981981985</v>
      </c>
      <c r="O173">
        <v>59610936.936936937</v>
      </c>
      <c r="P173">
        <v>66938252.252252258</v>
      </c>
      <c r="Q173">
        <v>53764234.234234244</v>
      </c>
      <c r="R173">
        <v>38957027.027027033</v>
      </c>
      <c r="S173">
        <v>3373</v>
      </c>
      <c r="T173">
        <v>2451</v>
      </c>
    </row>
    <row r="174" spans="1:20" x14ac:dyDescent="0.35">
      <c r="A174" s="7" t="s">
        <v>265</v>
      </c>
      <c r="B174" s="12" t="s">
        <v>126</v>
      </c>
      <c r="C174">
        <v>356947764.88270199</v>
      </c>
      <c r="D174">
        <v>356619884.54361391</v>
      </c>
      <c r="E174">
        <v>275466872.07207209</v>
      </c>
      <c r="F174">
        <v>181040355.85585588</v>
      </c>
      <c r="G174">
        <v>96</v>
      </c>
      <c r="H174">
        <v>51</v>
      </c>
      <c r="K174">
        <v>97</v>
      </c>
      <c r="L174">
        <v>53</v>
      </c>
      <c r="M174">
        <v>46129729.729729727</v>
      </c>
      <c r="N174">
        <v>44348035.135135137</v>
      </c>
      <c r="O174">
        <v>128471122.52252252</v>
      </c>
      <c r="P174">
        <v>128292567.56756757</v>
      </c>
      <c r="Q174">
        <v>32248691.891891893</v>
      </c>
      <c r="R174">
        <v>30262432.432432432</v>
      </c>
      <c r="S174">
        <v>4622</v>
      </c>
      <c r="T174">
        <v>4818</v>
      </c>
    </row>
    <row r="175" spans="1:20" x14ac:dyDescent="0.35">
      <c r="A175" s="7" t="s">
        <v>266</v>
      </c>
      <c r="B175" s="12" t="s">
        <v>124</v>
      </c>
      <c r="C175">
        <v>342616695.08977729</v>
      </c>
      <c r="D175">
        <v>323649673.68813401</v>
      </c>
      <c r="E175">
        <v>2208108.1081081089</v>
      </c>
      <c r="F175">
        <v>2638900.0000000009</v>
      </c>
      <c r="G175">
        <v>57</v>
      </c>
      <c r="H175">
        <v>51</v>
      </c>
      <c r="I175">
        <v>1</v>
      </c>
      <c r="K175">
        <v>60</v>
      </c>
      <c r="L175">
        <v>55</v>
      </c>
      <c r="M175">
        <v>41590000</v>
      </c>
      <c r="N175">
        <v>57343431.531531528</v>
      </c>
      <c r="O175">
        <v>119863715.31531531</v>
      </c>
      <c r="P175">
        <v>124011500.9009009</v>
      </c>
      <c r="Q175">
        <v>38029009.009009011</v>
      </c>
      <c r="R175">
        <v>56773963.963963971</v>
      </c>
      <c r="S175">
        <v>5133</v>
      </c>
      <c r="T175">
        <v>3840</v>
      </c>
    </row>
    <row r="176" spans="1:20" x14ac:dyDescent="0.35">
      <c r="A176" s="7" t="s">
        <v>267</v>
      </c>
      <c r="B176" s="12" t="s">
        <v>124</v>
      </c>
      <c r="C176">
        <v>356147685.32357299</v>
      </c>
      <c r="D176">
        <v>359010135.48642462</v>
      </c>
      <c r="E176">
        <v>3288738.7387387408</v>
      </c>
      <c r="F176">
        <v>4139106.3063063058</v>
      </c>
      <c r="G176">
        <v>76</v>
      </c>
      <c r="H176">
        <v>99</v>
      </c>
      <c r="K176">
        <v>83</v>
      </c>
      <c r="L176">
        <v>105</v>
      </c>
      <c r="M176">
        <v>56880450.45045045</v>
      </c>
      <c r="N176">
        <v>46306929.729729727</v>
      </c>
      <c r="O176">
        <v>144573673.87387389</v>
      </c>
      <c r="P176">
        <v>144303726.12612611</v>
      </c>
      <c r="Q176">
        <v>56765675.675675683</v>
      </c>
      <c r="R176">
        <v>43336036.036036037</v>
      </c>
      <c r="S176">
        <v>6081</v>
      </c>
      <c r="T176">
        <v>5466</v>
      </c>
    </row>
    <row r="177" spans="1:20" x14ac:dyDescent="0.35">
      <c r="A177" s="7" t="s">
        <v>268</v>
      </c>
      <c r="B177" s="12" t="s">
        <v>179</v>
      </c>
      <c r="C177">
        <v>1815849467.6066129</v>
      </c>
      <c r="D177">
        <v>1806045105.2301455</v>
      </c>
      <c r="E177">
        <v>997522984.68468463</v>
      </c>
      <c r="F177">
        <v>975108626.12612605</v>
      </c>
      <c r="G177">
        <v>1056</v>
      </c>
      <c r="H177">
        <v>800</v>
      </c>
      <c r="I177">
        <v>2</v>
      </c>
      <c r="K177">
        <v>1639</v>
      </c>
      <c r="L177">
        <v>1601</v>
      </c>
      <c r="M177">
        <v>283018041.44144142</v>
      </c>
      <c r="N177">
        <v>499880890.990991</v>
      </c>
      <c r="O177">
        <v>542567453.15315318</v>
      </c>
      <c r="P177">
        <v>576636454.05405402</v>
      </c>
      <c r="Q177">
        <v>253635225.22522521</v>
      </c>
      <c r="R177">
        <v>274131216.21621621</v>
      </c>
      <c r="S177">
        <v>38752</v>
      </c>
      <c r="T177">
        <v>32484</v>
      </c>
    </row>
    <row r="178" spans="1:20" x14ac:dyDescent="0.35">
      <c r="A178" s="7" t="s">
        <v>269</v>
      </c>
      <c r="B178" s="12" t="s">
        <v>63</v>
      </c>
      <c r="C178">
        <v>295206086.69986326</v>
      </c>
      <c r="D178">
        <v>309044295.69049072</v>
      </c>
      <c r="E178">
        <v>6968468.4684684714</v>
      </c>
      <c r="F178">
        <v>9561013.5135135129</v>
      </c>
      <c r="G178">
        <v>84</v>
      </c>
      <c r="H178">
        <v>204</v>
      </c>
      <c r="K178">
        <v>91</v>
      </c>
      <c r="L178">
        <v>256</v>
      </c>
      <c r="M178">
        <v>130737927.92792793</v>
      </c>
      <c r="N178">
        <v>102006874.77477477</v>
      </c>
      <c r="O178">
        <v>98834279.279279277</v>
      </c>
      <c r="P178">
        <v>112412899.0990991</v>
      </c>
      <c r="Q178">
        <v>79877477.477477476</v>
      </c>
      <c r="R178">
        <v>97129549.54954955</v>
      </c>
      <c r="S178">
        <v>4838</v>
      </c>
      <c r="T178">
        <v>4917</v>
      </c>
    </row>
    <row r="179" spans="1:20" x14ac:dyDescent="0.35">
      <c r="A179" s="7" t="s">
        <v>270</v>
      </c>
      <c r="B179" s="12" t="s">
        <v>71</v>
      </c>
      <c r="C179">
        <v>383211819.03887671</v>
      </c>
      <c r="D179">
        <v>369034520.62542856</v>
      </c>
      <c r="E179">
        <v>7223108.1081081145</v>
      </c>
      <c r="F179">
        <v>14403515.315315319</v>
      </c>
      <c r="G179">
        <v>160</v>
      </c>
      <c r="H179">
        <v>255</v>
      </c>
      <c r="K179">
        <v>505</v>
      </c>
      <c r="L179">
        <v>365</v>
      </c>
      <c r="M179">
        <v>34096396.396396399</v>
      </c>
      <c r="N179">
        <v>70190783.783783793</v>
      </c>
      <c r="O179">
        <v>178347504.5045045</v>
      </c>
      <c r="P179">
        <v>179178567.56756756</v>
      </c>
      <c r="Q179">
        <v>24804684.684684686</v>
      </c>
      <c r="R179">
        <v>56491621.621621616</v>
      </c>
      <c r="S179">
        <v>7999</v>
      </c>
      <c r="T179">
        <v>7118</v>
      </c>
    </row>
    <row r="180" spans="1:20" x14ac:dyDescent="0.35">
      <c r="A180" s="7" t="s">
        <v>271</v>
      </c>
      <c r="B180" s="12" t="s">
        <v>135</v>
      </c>
      <c r="C180">
        <v>5355768.427403993</v>
      </c>
      <c r="D180">
        <v>5782633.6695947731</v>
      </c>
      <c r="L180">
        <v>1</v>
      </c>
      <c r="O180">
        <v>434864.86486486503</v>
      </c>
      <c r="P180">
        <v>382972.97297297302</v>
      </c>
      <c r="S180">
        <v>212</v>
      </c>
      <c r="T180">
        <v>221</v>
      </c>
    </row>
    <row r="181" spans="1:20" x14ac:dyDescent="0.35">
      <c r="A181" s="7" t="s">
        <v>272</v>
      </c>
      <c r="B181" s="12" t="s">
        <v>77</v>
      </c>
      <c r="C181">
        <v>175093371.12511554</v>
      </c>
      <c r="D181">
        <v>166792588.80298108</v>
      </c>
      <c r="E181">
        <v>346846.84684684698</v>
      </c>
      <c r="F181">
        <v>835135.13513513503</v>
      </c>
      <c r="G181">
        <v>22</v>
      </c>
      <c r="H181">
        <v>21</v>
      </c>
      <c r="K181">
        <v>25</v>
      </c>
      <c r="L181">
        <v>21</v>
      </c>
      <c r="M181">
        <v>436936.93693693698</v>
      </c>
      <c r="N181">
        <v>1141441.4414414419</v>
      </c>
      <c r="O181">
        <v>10215040.540540541</v>
      </c>
      <c r="P181">
        <v>11841891.891891891</v>
      </c>
      <c r="Q181">
        <v>347747.74774774798</v>
      </c>
      <c r="R181">
        <v>791171.17117117101</v>
      </c>
      <c r="S181">
        <v>2554</v>
      </c>
      <c r="T181">
        <v>2483</v>
      </c>
    </row>
    <row r="182" spans="1:20" x14ac:dyDescent="0.35">
      <c r="A182" s="7" t="s">
        <v>273</v>
      </c>
      <c r="B182" s="12" t="s">
        <v>77</v>
      </c>
      <c r="C182">
        <v>62104182.344689555</v>
      </c>
      <c r="D182">
        <v>69897694.413394511</v>
      </c>
      <c r="E182">
        <v>210810.81081081199</v>
      </c>
      <c r="F182">
        <v>421927.02702702698</v>
      </c>
      <c r="G182">
        <v>7</v>
      </c>
      <c r="H182">
        <v>18</v>
      </c>
      <c r="K182">
        <v>9</v>
      </c>
      <c r="L182">
        <v>18</v>
      </c>
      <c r="M182">
        <v>12836216.216216216</v>
      </c>
      <c r="N182">
        <v>16346504.504504504</v>
      </c>
      <c r="O182">
        <v>15206585.585585587</v>
      </c>
      <c r="P182">
        <v>20117709.909909911</v>
      </c>
      <c r="Q182">
        <v>11035315.315315315</v>
      </c>
      <c r="R182">
        <v>14061081.081081079</v>
      </c>
      <c r="S182">
        <v>808</v>
      </c>
      <c r="T182">
        <v>817</v>
      </c>
    </row>
    <row r="183" spans="1:20" x14ac:dyDescent="0.35">
      <c r="A183" s="7" t="s">
        <v>274</v>
      </c>
      <c r="B183" s="12" t="s">
        <v>261</v>
      </c>
      <c r="C183">
        <v>1277572779.6124566</v>
      </c>
      <c r="D183">
        <v>1302171440.337965</v>
      </c>
      <c r="E183">
        <v>15700900.900900899</v>
      </c>
      <c r="F183">
        <v>20425992.792792797</v>
      </c>
      <c r="G183">
        <v>521</v>
      </c>
      <c r="H183">
        <v>573</v>
      </c>
      <c r="K183">
        <v>650</v>
      </c>
      <c r="L183">
        <v>728</v>
      </c>
      <c r="M183">
        <v>270300000</v>
      </c>
      <c r="N183">
        <v>323203097.2972973</v>
      </c>
      <c r="O183">
        <v>394084878.37837839</v>
      </c>
      <c r="P183">
        <v>439116790.990991</v>
      </c>
      <c r="Q183">
        <v>236087747.74774775</v>
      </c>
      <c r="R183">
        <v>303709729.72972971</v>
      </c>
      <c r="S183">
        <v>21002</v>
      </c>
      <c r="T183">
        <v>18876</v>
      </c>
    </row>
    <row r="184" spans="1:20" x14ac:dyDescent="0.35">
      <c r="A184" s="7" t="s">
        <v>275</v>
      </c>
      <c r="B184" s="12" t="s">
        <v>261</v>
      </c>
      <c r="C184">
        <v>286575284.07298869</v>
      </c>
      <c r="D184">
        <v>276435380.17374706</v>
      </c>
      <c r="E184">
        <v>70562162.162162155</v>
      </c>
      <c r="F184">
        <v>59408233.333333336</v>
      </c>
      <c r="G184">
        <v>18</v>
      </c>
      <c r="H184">
        <v>35</v>
      </c>
      <c r="K184">
        <v>22</v>
      </c>
      <c r="L184">
        <v>36</v>
      </c>
      <c r="M184">
        <v>25418243.24324324</v>
      </c>
      <c r="N184">
        <v>25594916.216216218</v>
      </c>
      <c r="O184">
        <v>58321153.153153151</v>
      </c>
      <c r="P184">
        <v>62814495.495495498</v>
      </c>
      <c r="Q184">
        <v>17930180.180180177</v>
      </c>
      <c r="R184">
        <v>23218464.864864867</v>
      </c>
      <c r="S184">
        <v>3879</v>
      </c>
      <c r="T184">
        <v>3789</v>
      </c>
    </row>
    <row r="185" spans="1:20" x14ac:dyDescent="0.35">
      <c r="A185" s="7" t="s">
        <v>276</v>
      </c>
      <c r="B185" s="12" t="s">
        <v>261</v>
      </c>
      <c r="C185">
        <v>319891064.08407909</v>
      </c>
      <c r="D185">
        <v>342117871.61861563</v>
      </c>
      <c r="E185">
        <v>10356396.396396391</v>
      </c>
      <c r="F185">
        <v>8799392.7927927952</v>
      </c>
      <c r="G185">
        <v>221</v>
      </c>
      <c r="H185">
        <v>51</v>
      </c>
      <c r="K185">
        <v>231</v>
      </c>
      <c r="L185">
        <v>55</v>
      </c>
      <c r="M185">
        <v>66173423.423423424</v>
      </c>
      <c r="N185">
        <v>48273092.79279279</v>
      </c>
      <c r="O185">
        <v>77257315.315315306</v>
      </c>
      <c r="P185">
        <v>93566818.018018022</v>
      </c>
      <c r="Q185">
        <v>62285045.045045048</v>
      </c>
      <c r="R185">
        <v>49270990.990990989</v>
      </c>
      <c r="S185">
        <v>7095</v>
      </c>
      <c r="T185">
        <v>5764</v>
      </c>
    </row>
    <row r="186" spans="1:20" x14ac:dyDescent="0.35">
      <c r="A186" s="7" t="s">
        <v>277</v>
      </c>
      <c r="B186" s="12" t="s">
        <v>135</v>
      </c>
      <c r="C186">
        <v>394733793.43089408</v>
      </c>
      <c r="D186">
        <v>419519375.98261052</v>
      </c>
      <c r="E186">
        <v>2290990.9909909922</v>
      </c>
      <c r="F186">
        <v>2428962.1621621642</v>
      </c>
      <c r="G186">
        <v>76</v>
      </c>
      <c r="H186">
        <v>40</v>
      </c>
      <c r="K186">
        <v>83</v>
      </c>
      <c r="L186">
        <v>42</v>
      </c>
      <c r="M186">
        <v>18058558.558558561</v>
      </c>
      <c r="N186">
        <v>20546371.171171173</v>
      </c>
      <c r="O186">
        <v>36298608.108108111</v>
      </c>
      <c r="P186">
        <v>43804331.531531528</v>
      </c>
      <c r="Q186">
        <v>9521351.3513513505</v>
      </c>
      <c r="R186">
        <v>10827297.297297301</v>
      </c>
      <c r="S186">
        <v>6672</v>
      </c>
      <c r="T186">
        <v>5940</v>
      </c>
    </row>
    <row r="187" spans="1:20" x14ac:dyDescent="0.35">
      <c r="A187" s="7" t="s">
        <v>278</v>
      </c>
      <c r="B187" s="12" t="s">
        <v>170</v>
      </c>
      <c r="C187">
        <v>231655070.41894865</v>
      </c>
      <c r="D187">
        <v>217637948.17648065</v>
      </c>
      <c r="E187">
        <v>1626126.1261261259</v>
      </c>
      <c r="F187">
        <v>2945793.6936936951</v>
      </c>
      <c r="G187">
        <v>56</v>
      </c>
      <c r="H187">
        <v>13</v>
      </c>
      <c r="K187">
        <v>60</v>
      </c>
      <c r="L187">
        <v>14</v>
      </c>
      <c r="M187">
        <v>20592342.342342343</v>
      </c>
      <c r="N187">
        <v>17746402.702702705</v>
      </c>
      <c r="O187">
        <v>106196601.35135135</v>
      </c>
      <c r="P187">
        <v>99557367.567567572</v>
      </c>
      <c r="Q187">
        <v>15452432.432432432</v>
      </c>
      <c r="R187">
        <v>14495225.225225223</v>
      </c>
      <c r="S187">
        <v>6117</v>
      </c>
      <c r="T187">
        <v>3203</v>
      </c>
    </row>
    <row r="188" spans="1:20" x14ac:dyDescent="0.35">
      <c r="A188" s="7" t="s">
        <v>279</v>
      </c>
      <c r="B188" s="12" t="s">
        <v>170</v>
      </c>
      <c r="C188">
        <v>138211126.28481969</v>
      </c>
      <c r="D188">
        <v>118672443.90278412</v>
      </c>
      <c r="E188">
        <v>12612.612612613</v>
      </c>
      <c r="F188">
        <v>11711.711711712</v>
      </c>
      <c r="G188">
        <v>20</v>
      </c>
      <c r="H188">
        <v>46</v>
      </c>
      <c r="K188">
        <v>21</v>
      </c>
      <c r="L188">
        <v>47</v>
      </c>
      <c r="M188">
        <v>8784346.8468468469</v>
      </c>
      <c r="N188">
        <v>6768468.4684684686</v>
      </c>
      <c r="O188">
        <v>60324391.891891889</v>
      </c>
      <c r="P188">
        <v>60482108.108108111</v>
      </c>
      <c r="Q188">
        <v>6910270.2702702703</v>
      </c>
      <c r="R188">
        <v>5634144.1441441439</v>
      </c>
      <c r="S188">
        <v>2047</v>
      </c>
      <c r="T188">
        <v>1922</v>
      </c>
    </row>
    <row r="189" spans="1:20" x14ac:dyDescent="0.35">
      <c r="A189" s="7" t="s">
        <v>280</v>
      </c>
      <c r="B189" s="12" t="s">
        <v>88</v>
      </c>
      <c r="C189">
        <v>3251092.3194163409</v>
      </c>
      <c r="D189">
        <v>3518310.269404368</v>
      </c>
      <c r="G189">
        <v>6</v>
      </c>
      <c r="H189">
        <v>2</v>
      </c>
      <c r="K189">
        <v>7</v>
      </c>
      <c r="L189">
        <v>2</v>
      </c>
      <c r="O189">
        <v>1300504.5045045051</v>
      </c>
      <c r="P189">
        <v>1401549.5495495501</v>
      </c>
      <c r="S189">
        <v>203</v>
      </c>
      <c r="T189">
        <v>170</v>
      </c>
    </row>
    <row r="190" spans="1:20" x14ac:dyDescent="0.35">
      <c r="A190" s="7" t="s">
        <v>281</v>
      </c>
      <c r="B190" s="12" t="s">
        <v>170</v>
      </c>
      <c r="C190">
        <v>227381429.23476848</v>
      </c>
      <c r="D190">
        <v>260604688.05205256</v>
      </c>
      <c r="E190">
        <v>1204279.2792792809</v>
      </c>
      <c r="F190">
        <v>2533019.819819822</v>
      </c>
      <c r="G190">
        <v>45</v>
      </c>
      <c r="H190">
        <v>99</v>
      </c>
      <c r="K190">
        <v>46</v>
      </c>
      <c r="L190">
        <v>112</v>
      </c>
      <c r="M190">
        <v>29942162.162162162</v>
      </c>
      <c r="N190">
        <v>31078887.387387387</v>
      </c>
      <c r="O190">
        <v>90745592.792792797</v>
      </c>
      <c r="P190">
        <v>108462486.48648648</v>
      </c>
      <c r="Q190">
        <v>29061214.414414417</v>
      </c>
      <c r="R190">
        <v>28629189.189189192</v>
      </c>
      <c r="S190">
        <v>4291</v>
      </c>
      <c r="T190">
        <v>4209</v>
      </c>
    </row>
    <row r="191" spans="1:20" x14ac:dyDescent="0.35">
      <c r="A191" s="7" t="s">
        <v>282</v>
      </c>
      <c r="B191" s="12" t="s">
        <v>55</v>
      </c>
      <c r="C191">
        <v>174831082.27781162</v>
      </c>
      <c r="D191">
        <v>179384412.39786577</v>
      </c>
      <c r="E191">
        <v>2589189.189189191</v>
      </c>
      <c r="F191">
        <v>3465875.6756756818</v>
      </c>
      <c r="G191">
        <v>65</v>
      </c>
      <c r="H191">
        <v>89</v>
      </c>
      <c r="K191">
        <v>75</v>
      </c>
      <c r="L191">
        <v>100</v>
      </c>
      <c r="M191">
        <v>21245045.045045048</v>
      </c>
      <c r="N191">
        <v>52620044.144144148</v>
      </c>
      <c r="O191">
        <v>37535207.20720721</v>
      </c>
      <c r="P191">
        <v>42457655.855855852</v>
      </c>
      <c r="Q191">
        <v>19814954.954954956</v>
      </c>
      <c r="R191">
        <v>47816169.369369365</v>
      </c>
      <c r="S191">
        <v>4039</v>
      </c>
      <c r="T191">
        <v>3677</v>
      </c>
    </row>
    <row r="192" spans="1:20" x14ac:dyDescent="0.35">
      <c r="A192" s="7" t="s">
        <v>283</v>
      </c>
      <c r="B192" s="12" t="s">
        <v>284</v>
      </c>
      <c r="C192">
        <v>257470624.53458649</v>
      </c>
      <c r="D192">
        <v>284241032.78089422</v>
      </c>
      <c r="E192">
        <v>437837.83783783898</v>
      </c>
      <c r="F192">
        <v>1061813.513513515</v>
      </c>
      <c r="G192">
        <v>132</v>
      </c>
      <c r="H192">
        <v>28</v>
      </c>
      <c r="K192">
        <v>149</v>
      </c>
      <c r="L192">
        <v>57</v>
      </c>
      <c r="M192">
        <v>11675675.675675675</v>
      </c>
      <c r="N192">
        <v>10793421.621621622</v>
      </c>
      <c r="O192">
        <v>38579720.720720723</v>
      </c>
      <c r="P192">
        <v>42016387.387387387</v>
      </c>
      <c r="Q192">
        <v>11645225.225225223</v>
      </c>
      <c r="R192">
        <v>9651801.8018018026</v>
      </c>
      <c r="S192">
        <v>3414</v>
      </c>
      <c r="T192">
        <v>3249</v>
      </c>
    </row>
    <row r="193" spans="1:20" x14ac:dyDescent="0.35">
      <c r="A193" s="7" t="s">
        <v>285</v>
      </c>
      <c r="B193" s="12" t="s">
        <v>284</v>
      </c>
      <c r="C193">
        <v>489720778.89254439</v>
      </c>
      <c r="D193">
        <v>495696850.55237347</v>
      </c>
      <c r="E193">
        <v>4022072.0720720729</v>
      </c>
      <c r="F193">
        <v>7778191.8918918949</v>
      </c>
      <c r="G193">
        <v>121</v>
      </c>
      <c r="H193">
        <v>220</v>
      </c>
      <c r="K193">
        <v>180</v>
      </c>
      <c r="L193">
        <v>393</v>
      </c>
      <c r="M193">
        <v>59367747.747747742</v>
      </c>
      <c r="N193">
        <v>79146156.756756753</v>
      </c>
      <c r="O193">
        <v>103415603.6036036</v>
      </c>
      <c r="P193">
        <v>111052657.65765767</v>
      </c>
      <c r="Q193">
        <v>52945045.045045048</v>
      </c>
      <c r="R193">
        <v>66040360.360360362</v>
      </c>
      <c r="S193">
        <v>8256</v>
      </c>
      <c r="T193">
        <v>9078</v>
      </c>
    </row>
    <row r="194" spans="1:20" x14ac:dyDescent="0.35">
      <c r="A194" s="7" t="s">
        <v>286</v>
      </c>
      <c r="B194" s="12" t="s">
        <v>284</v>
      </c>
      <c r="C194">
        <v>259893062.01493213</v>
      </c>
      <c r="D194">
        <v>272679637.60360527</v>
      </c>
      <c r="E194">
        <v>2390000</v>
      </c>
      <c r="F194">
        <v>4325211.7117117131</v>
      </c>
      <c r="G194">
        <v>57</v>
      </c>
      <c r="H194">
        <v>40</v>
      </c>
      <c r="K194">
        <v>98</v>
      </c>
      <c r="L194">
        <v>98</v>
      </c>
      <c r="M194">
        <v>68032432.432432428</v>
      </c>
      <c r="N194">
        <v>81501740.540540546</v>
      </c>
      <c r="O194">
        <v>80308990.990990996</v>
      </c>
      <c r="P194">
        <v>86735837.837837845</v>
      </c>
      <c r="Q194">
        <v>60383873.873873875</v>
      </c>
      <c r="R194">
        <v>72794324.324324325</v>
      </c>
      <c r="S194">
        <v>4778</v>
      </c>
      <c r="T194">
        <v>4688</v>
      </c>
    </row>
    <row r="195" spans="1:20" x14ac:dyDescent="0.35">
      <c r="A195" s="7" t="s">
        <v>287</v>
      </c>
      <c r="B195" s="12" t="s">
        <v>284</v>
      </c>
      <c r="C195">
        <v>196015123.35293567</v>
      </c>
      <c r="D195">
        <v>201471575.50589913</v>
      </c>
      <c r="E195">
        <v>772072.07207207195</v>
      </c>
      <c r="F195">
        <v>1008025.225225226</v>
      </c>
      <c r="G195">
        <v>17</v>
      </c>
      <c r="H195">
        <v>13</v>
      </c>
      <c r="K195">
        <v>19</v>
      </c>
      <c r="L195">
        <v>14</v>
      </c>
      <c r="M195">
        <v>33039819.819819819</v>
      </c>
      <c r="N195">
        <v>13717930.630630633</v>
      </c>
      <c r="O195">
        <v>36553630.630630635</v>
      </c>
      <c r="P195">
        <v>38802171.171171166</v>
      </c>
      <c r="Q195">
        <v>32944954.954954956</v>
      </c>
      <c r="R195">
        <v>13842792.792792792</v>
      </c>
      <c r="S195">
        <v>2622</v>
      </c>
      <c r="T195">
        <v>2476</v>
      </c>
    </row>
    <row r="196" spans="1:20" x14ac:dyDescent="0.35">
      <c r="A196" s="7" t="s">
        <v>288</v>
      </c>
      <c r="B196" s="12" t="s">
        <v>284</v>
      </c>
      <c r="C196">
        <v>97137811.193535134</v>
      </c>
      <c r="D196">
        <v>100844544.09330675</v>
      </c>
      <c r="E196">
        <v>555855.855855859</v>
      </c>
      <c r="F196">
        <v>1429729.7297297299</v>
      </c>
      <c r="G196">
        <v>2</v>
      </c>
      <c r="H196">
        <v>1</v>
      </c>
      <c r="K196">
        <v>3</v>
      </c>
      <c r="L196">
        <v>1</v>
      </c>
      <c r="M196">
        <v>12979279.27927928</v>
      </c>
      <c r="N196">
        <v>12820720.72072072</v>
      </c>
      <c r="O196">
        <v>17131594.594594598</v>
      </c>
      <c r="P196">
        <v>20523018.018018015</v>
      </c>
      <c r="Q196">
        <v>13801441.441441439</v>
      </c>
      <c r="R196">
        <v>12024954.954954956</v>
      </c>
      <c r="S196">
        <v>1459</v>
      </c>
      <c r="T196">
        <v>1419</v>
      </c>
    </row>
    <row r="197" spans="1:20" x14ac:dyDescent="0.35">
      <c r="A197" s="7" t="s">
        <v>289</v>
      </c>
      <c r="B197" s="12" t="s">
        <v>284</v>
      </c>
      <c r="C197">
        <v>15661546.355186168</v>
      </c>
      <c r="D197">
        <v>14622335.538084067</v>
      </c>
      <c r="E197">
        <v>393693.69369369402</v>
      </c>
      <c r="F197">
        <v>718918.91891891905</v>
      </c>
      <c r="M197">
        <v>19871171.171171173</v>
      </c>
      <c r="N197">
        <v>9154954.9549549557</v>
      </c>
      <c r="O197">
        <v>2538792.7927927929</v>
      </c>
      <c r="P197">
        <v>3205621.6216216218</v>
      </c>
      <c r="Q197">
        <v>19748648.648648649</v>
      </c>
      <c r="R197">
        <v>9497297.2972972952</v>
      </c>
      <c r="S197">
        <v>358</v>
      </c>
      <c r="T197">
        <v>266</v>
      </c>
    </row>
    <row r="198" spans="1:20" x14ac:dyDescent="0.35">
      <c r="A198" s="7" t="s">
        <v>290</v>
      </c>
      <c r="B198" s="12" t="s">
        <v>291</v>
      </c>
      <c r="C198">
        <v>191539965.78649807</v>
      </c>
      <c r="D198">
        <v>201364134.81871322</v>
      </c>
      <c r="E198">
        <v>142342.34234234301</v>
      </c>
      <c r="F198">
        <v>209360.36036036201</v>
      </c>
      <c r="G198">
        <v>46</v>
      </c>
      <c r="H198">
        <v>32</v>
      </c>
      <c r="K198">
        <v>52</v>
      </c>
      <c r="L198">
        <v>37</v>
      </c>
      <c r="M198">
        <v>1099099.0990991001</v>
      </c>
      <c r="N198">
        <v>2390364.8648648649</v>
      </c>
      <c r="O198">
        <v>17745398.198198199</v>
      </c>
      <c r="P198">
        <v>22513918.918918919</v>
      </c>
      <c r="Q198">
        <v>1352702.702702703</v>
      </c>
      <c r="R198">
        <v>1722972.9729729739</v>
      </c>
      <c r="S198">
        <v>4732</v>
      </c>
      <c r="T198">
        <v>4380</v>
      </c>
    </row>
    <row r="199" spans="1:20" x14ac:dyDescent="0.35">
      <c r="A199" s="7" t="s">
        <v>292</v>
      </c>
      <c r="B199" s="12" t="s">
        <v>148</v>
      </c>
      <c r="C199">
        <v>464350095.53117269</v>
      </c>
      <c r="D199">
        <v>423820249.17024034</v>
      </c>
      <c r="E199">
        <v>94190270.270270273</v>
      </c>
      <c r="F199">
        <v>188507765.76576576</v>
      </c>
      <c r="G199">
        <v>118</v>
      </c>
      <c r="H199">
        <v>164</v>
      </c>
      <c r="I199">
        <v>1</v>
      </c>
      <c r="K199">
        <v>222</v>
      </c>
      <c r="L199">
        <v>382</v>
      </c>
      <c r="M199">
        <v>204024200</v>
      </c>
      <c r="N199">
        <v>201733739.63963965</v>
      </c>
      <c r="O199">
        <v>179126459.45945945</v>
      </c>
      <c r="P199">
        <v>168677351.35135135</v>
      </c>
      <c r="Q199">
        <v>181068378.37837836</v>
      </c>
      <c r="R199">
        <v>183888423.42342341</v>
      </c>
      <c r="S199">
        <v>9876</v>
      </c>
      <c r="T199">
        <v>7476</v>
      </c>
    </row>
    <row r="200" spans="1:20" x14ac:dyDescent="0.35">
      <c r="A200" s="7" t="s">
        <v>293</v>
      </c>
      <c r="B200" s="12" t="s">
        <v>294</v>
      </c>
      <c r="C200">
        <v>226174002.69262359</v>
      </c>
      <c r="D200">
        <v>227514595.60366061</v>
      </c>
      <c r="E200">
        <v>1786486.4864864859</v>
      </c>
      <c r="F200">
        <v>5156981.9819819815</v>
      </c>
      <c r="G200">
        <v>30</v>
      </c>
      <c r="H200">
        <v>13</v>
      </c>
      <c r="K200">
        <v>37</v>
      </c>
      <c r="L200">
        <v>17</v>
      </c>
      <c r="M200">
        <v>62916846.846846849</v>
      </c>
      <c r="N200">
        <v>57808918.918918923</v>
      </c>
      <c r="O200">
        <v>30809936.936936937</v>
      </c>
      <c r="P200">
        <v>32958531.531531531</v>
      </c>
      <c r="Q200">
        <v>63991351.351351351</v>
      </c>
      <c r="R200">
        <v>57819099.0990991</v>
      </c>
      <c r="S200">
        <v>8814</v>
      </c>
      <c r="T200">
        <v>3477</v>
      </c>
    </row>
    <row r="201" spans="1:20" x14ac:dyDescent="0.35">
      <c r="A201" s="7" t="s">
        <v>295</v>
      </c>
      <c r="B201" s="12" t="s">
        <v>291</v>
      </c>
      <c r="C201">
        <v>51335180.860979594</v>
      </c>
      <c r="D201">
        <v>56858832.659700699</v>
      </c>
      <c r="E201">
        <v>343115454.05405408</v>
      </c>
      <c r="F201">
        <v>209424348.64864865</v>
      </c>
      <c r="G201">
        <v>8</v>
      </c>
      <c r="H201">
        <v>11</v>
      </c>
      <c r="K201">
        <v>8</v>
      </c>
      <c r="L201">
        <v>11</v>
      </c>
      <c r="M201">
        <v>30095744.144144144</v>
      </c>
      <c r="N201">
        <v>35668049.54954955</v>
      </c>
      <c r="O201">
        <v>7234908.1081081079</v>
      </c>
      <c r="P201">
        <v>6968540.5405405406</v>
      </c>
      <c r="Q201">
        <v>2743513.5135135138</v>
      </c>
      <c r="R201">
        <v>2490450.4504504511</v>
      </c>
      <c r="S201">
        <v>1321</v>
      </c>
      <c r="T201">
        <v>2089</v>
      </c>
    </row>
    <row r="202" spans="1:20" x14ac:dyDescent="0.35">
      <c r="A202" s="7" t="s">
        <v>296</v>
      </c>
      <c r="B202" s="12" t="s">
        <v>53</v>
      </c>
      <c r="C202">
        <v>650248172.0691458</v>
      </c>
      <c r="D202">
        <v>659747826.50706923</v>
      </c>
      <c r="E202">
        <v>176551351.35135135</v>
      </c>
      <c r="F202">
        <v>348245243.24324328</v>
      </c>
      <c r="G202">
        <v>370</v>
      </c>
      <c r="H202">
        <v>257</v>
      </c>
      <c r="K202">
        <v>603</v>
      </c>
      <c r="L202">
        <v>402</v>
      </c>
      <c r="M202">
        <v>334416936.93693697</v>
      </c>
      <c r="N202">
        <v>123630468.46846846</v>
      </c>
      <c r="O202">
        <v>176905763.96396396</v>
      </c>
      <c r="P202">
        <v>182972333.33333334</v>
      </c>
      <c r="Q202">
        <v>338882792.7927928</v>
      </c>
      <c r="R202">
        <v>117823603.6036036</v>
      </c>
      <c r="S202">
        <v>16673</v>
      </c>
      <c r="T202">
        <v>11591</v>
      </c>
    </row>
    <row r="203" spans="1:20" x14ac:dyDescent="0.35">
      <c r="A203" s="7" t="s">
        <v>297</v>
      </c>
      <c r="B203" s="12" t="s">
        <v>170</v>
      </c>
      <c r="C203">
        <v>175747685.84413749</v>
      </c>
      <c r="D203">
        <v>208873709.60331941</v>
      </c>
      <c r="E203">
        <v>127027.027027028</v>
      </c>
      <c r="F203">
        <v>124774.77477477401</v>
      </c>
      <c r="G203">
        <v>24</v>
      </c>
      <c r="H203">
        <v>20</v>
      </c>
      <c r="I203">
        <v>1</v>
      </c>
      <c r="K203">
        <v>31</v>
      </c>
      <c r="L203">
        <v>23</v>
      </c>
      <c r="M203">
        <v>13244144.144144144</v>
      </c>
      <c r="N203">
        <v>7395045.0450450461</v>
      </c>
      <c r="O203">
        <v>38823360.360360362</v>
      </c>
      <c r="P203">
        <v>54280612.612612605</v>
      </c>
      <c r="Q203">
        <v>11917477.477477478</v>
      </c>
      <c r="R203">
        <v>11100450.45045045</v>
      </c>
      <c r="S203">
        <v>4646</v>
      </c>
      <c r="T203">
        <v>4254</v>
      </c>
    </row>
    <row r="204" spans="1:20" x14ac:dyDescent="0.35">
      <c r="A204" s="7" t="s">
        <v>298</v>
      </c>
      <c r="B204" s="12" t="s">
        <v>170</v>
      </c>
      <c r="C204">
        <v>239601591.17180967</v>
      </c>
      <c r="D204">
        <v>204192677.88439351</v>
      </c>
      <c r="E204">
        <v>972378945.94594598</v>
      </c>
      <c r="F204">
        <v>2112517945.9459457</v>
      </c>
      <c r="G204">
        <v>44</v>
      </c>
      <c r="H204">
        <v>27</v>
      </c>
      <c r="K204">
        <v>48</v>
      </c>
      <c r="L204">
        <v>29</v>
      </c>
      <c r="M204">
        <v>1850855630.6306307</v>
      </c>
      <c r="N204">
        <v>1867507628.8288288</v>
      </c>
      <c r="O204">
        <v>84604018.018018022</v>
      </c>
      <c r="P204">
        <v>83058216.216216221</v>
      </c>
      <c r="Q204">
        <v>1832695308.108108</v>
      </c>
      <c r="R204">
        <v>1824787913.5135136</v>
      </c>
      <c r="S204">
        <v>2893</v>
      </c>
      <c r="T204">
        <v>2668</v>
      </c>
    </row>
    <row r="205" spans="1:20" x14ac:dyDescent="0.35">
      <c r="A205" s="7" t="s">
        <v>299</v>
      </c>
      <c r="B205" s="12" t="s">
        <v>90</v>
      </c>
      <c r="C205">
        <v>747464963.11776221</v>
      </c>
      <c r="D205">
        <v>755079087.54966605</v>
      </c>
      <c r="E205">
        <v>10596262.162162164</v>
      </c>
      <c r="F205">
        <v>6496682.8828828866</v>
      </c>
      <c r="G205">
        <v>206</v>
      </c>
      <c r="H205">
        <v>97</v>
      </c>
      <c r="I205">
        <v>2</v>
      </c>
      <c r="K205">
        <v>304</v>
      </c>
      <c r="L205">
        <v>115</v>
      </c>
      <c r="M205">
        <v>55549312.612612613</v>
      </c>
      <c r="N205">
        <v>649387345.04504502</v>
      </c>
      <c r="O205">
        <v>144983702.70270273</v>
      </c>
      <c r="P205">
        <v>158800468.46846849</v>
      </c>
      <c r="Q205">
        <v>56836936.936936945</v>
      </c>
      <c r="R205">
        <v>634777655.85585582</v>
      </c>
      <c r="S205">
        <v>11316</v>
      </c>
      <c r="T205">
        <v>10682</v>
      </c>
    </row>
    <row r="206" spans="1:20" x14ac:dyDescent="0.35">
      <c r="A206" s="7" t="s">
        <v>300</v>
      </c>
      <c r="B206" s="12" t="s">
        <v>135</v>
      </c>
      <c r="C206">
        <v>412598934.5938462</v>
      </c>
      <c r="D206">
        <v>445349703.17334211</v>
      </c>
      <c r="E206">
        <v>3932432.4324324341</v>
      </c>
      <c r="F206">
        <v>3412710.8108108169</v>
      </c>
      <c r="G206">
        <v>85</v>
      </c>
      <c r="H206">
        <v>87</v>
      </c>
      <c r="K206">
        <v>105</v>
      </c>
      <c r="L206">
        <v>123</v>
      </c>
      <c r="M206">
        <v>31441441.441441439</v>
      </c>
      <c r="N206">
        <v>46164873.873873875</v>
      </c>
      <c r="O206">
        <v>51422045.045045041</v>
      </c>
      <c r="P206">
        <v>62982818.018018015</v>
      </c>
      <c r="Q206">
        <v>26219819.819819815</v>
      </c>
      <c r="R206">
        <v>38336036.036036037</v>
      </c>
      <c r="S206">
        <v>7411</v>
      </c>
      <c r="T206">
        <v>6964</v>
      </c>
    </row>
    <row r="207" spans="1:20" x14ac:dyDescent="0.35">
      <c r="A207" s="7" t="s">
        <v>301</v>
      </c>
      <c r="B207" s="12" t="s">
        <v>291</v>
      </c>
      <c r="C207">
        <v>278253340.01774848</v>
      </c>
      <c r="D207">
        <v>280135229.08214259</v>
      </c>
      <c r="E207">
        <v>4813513.5135135129</v>
      </c>
      <c r="F207">
        <v>3466794.5945945978</v>
      </c>
      <c r="G207">
        <v>83</v>
      </c>
      <c r="H207">
        <v>82</v>
      </c>
      <c r="K207">
        <v>97</v>
      </c>
      <c r="L207">
        <v>100</v>
      </c>
      <c r="M207">
        <v>44416223.423423424</v>
      </c>
      <c r="N207">
        <v>29912936.936936941</v>
      </c>
      <c r="O207">
        <v>39572302.702702701</v>
      </c>
      <c r="P207">
        <v>43747369.369369365</v>
      </c>
      <c r="Q207">
        <v>43146306.306306303</v>
      </c>
      <c r="R207">
        <v>31519009.009009007</v>
      </c>
      <c r="S207">
        <v>4893</v>
      </c>
      <c r="T207">
        <v>4336</v>
      </c>
    </row>
    <row r="208" spans="1:20" x14ac:dyDescent="0.35">
      <c r="A208" s="7" t="s">
        <v>302</v>
      </c>
      <c r="B208" s="12" t="s">
        <v>81</v>
      </c>
      <c r="C208">
        <v>412389391.9367004</v>
      </c>
      <c r="D208">
        <v>406736840.98069131</v>
      </c>
      <c r="E208">
        <v>4746621.6216216227</v>
      </c>
      <c r="F208">
        <v>6889142.342342345</v>
      </c>
      <c r="G208">
        <v>71</v>
      </c>
      <c r="H208">
        <v>46</v>
      </c>
      <c r="I208">
        <v>5</v>
      </c>
      <c r="K208">
        <v>77</v>
      </c>
      <c r="L208">
        <v>56</v>
      </c>
      <c r="M208">
        <v>61743603.603603601</v>
      </c>
      <c r="N208">
        <v>47403703.603603601</v>
      </c>
      <c r="O208">
        <v>86459124.324324325</v>
      </c>
      <c r="P208">
        <v>92552972.972972974</v>
      </c>
      <c r="Q208">
        <v>57169819.819819823</v>
      </c>
      <c r="R208">
        <v>40363693.693693697</v>
      </c>
      <c r="S208">
        <v>6514</v>
      </c>
      <c r="T208">
        <v>6532</v>
      </c>
    </row>
    <row r="209" spans="1:20" x14ac:dyDescent="0.35">
      <c r="A209" s="7" t="s">
        <v>303</v>
      </c>
      <c r="B209" s="12" t="s">
        <v>73</v>
      </c>
      <c r="C209">
        <v>613867027.23013616</v>
      </c>
      <c r="D209">
        <v>643740990.93436098</v>
      </c>
      <c r="E209">
        <v>1809009.0090090111</v>
      </c>
      <c r="F209">
        <v>2890915.3153153202</v>
      </c>
      <c r="G209">
        <v>142</v>
      </c>
      <c r="H209">
        <v>73</v>
      </c>
      <c r="I209">
        <v>2</v>
      </c>
      <c r="K209">
        <v>154</v>
      </c>
      <c r="L209">
        <v>85</v>
      </c>
      <c r="M209">
        <v>36410810.810810804</v>
      </c>
      <c r="N209">
        <v>49062888.288288288</v>
      </c>
      <c r="O209">
        <v>88774243.243243247</v>
      </c>
      <c r="P209">
        <v>100986187.38738739</v>
      </c>
      <c r="Q209">
        <v>30817387.387387387</v>
      </c>
      <c r="R209">
        <v>36734864.864864863</v>
      </c>
      <c r="S209">
        <v>9234</v>
      </c>
      <c r="T209">
        <v>9319</v>
      </c>
    </row>
    <row r="210" spans="1:20" x14ac:dyDescent="0.35">
      <c r="A210" s="7" t="s">
        <v>304</v>
      </c>
      <c r="B210" s="12" t="s">
        <v>305</v>
      </c>
      <c r="C210">
        <v>2115263.8172376771</v>
      </c>
      <c r="D210">
        <v>2488422.7907582661</v>
      </c>
      <c r="O210">
        <v>725315.31531531503</v>
      </c>
      <c r="P210">
        <v>863819.81981982</v>
      </c>
      <c r="S210">
        <v>69</v>
      </c>
      <c r="T210">
        <v>68</v>
      </c>
    </row>
    <row r="211" spans="1:20" x14ac:dyDescent="0.35">
      <c r="A211" s="7" t="s">
        <v>670</v>
      </c>
      <c r="B211" s="12" t="s">
        <v>305</v>
      </c>
      <c r="E211">
        <v>9009009.0090090074</v>
      </c>
      <c r="F211">
        <v>32913693.693693697</v>
      </c>
      <c r="M211">
        <v>44594.594594595001</v>
      </c>
      <c r="N211">
        <v>81081.081081081007</v>
      </c>
    </row>
    <row r="212" spans="1:20" x14ac:dyDescent="0.35">
      <c r="A212" s="7" t="s">
        <v>306</v>
      </c>
      <c r="B212" s="12" t="s">
        <v>118</v>
      </c>
      <c r="C212">
        <v>81752255.400889546</v>
      </c>
      <c r="D212">
        <v>80880965.386936188</v>
      </c>
      <c r="E212">
        <v>309909.90990990802</v>
      </c>
      <c r="F212">
        <v>1015594.594594595</v>
      </c>
      <c r="G212">
        <v>33</v>
      </c>
      <c r="H212">
        <v>23</v>
      </c>
      <c r="K212">
        <v>41</v>
      </c>
      <c r="L212">
        <v>64</v>
      </c>
      <c r="M212">
        <v>3285045.0450450461</v>
      </c>
      <c r="N212">
        <v>98592968.468468457</v>
      </c>
      <c r="O212">
        <v>34794054.054054059</v>
      </c>
      <c r="P212">
        <v>33125045.045045044</v>
      </c>
      <c r="Q212">
        <v>3583423.4234234239</v>
      </c>
      <c r="R212">
        <v>4478648.6486486467</v>
      </c>
      <c r="S212">
        <v>2157</v>
      </c>
      <c r="T212">
        <v>1712</v>
      </c>
    </row>
    <row r="213" spans="1:20" x14ac:dyDescent="0.35">
      <c r="A213" s="7" t="s">
        <v>307</v>
      </c>
      <c r="B213" s="12" t="s">
        <v>308</v>
      </c>
      <c r="C213">
        <v>101867654.3204398</v>
      </c>
      <c r="D213">
        <v>99019496.099637359</v>
      </c>
      <c r="E213">
        <v>392792.79279279598</v>
      </c>
      <c r="F213">
        <v>521621.62162162003</v>
      </c>
      <c r="G213">
        <v>52</v>
      </c>
      <c r="H213">
        <v>40</v>
      </c>
      <c r="K213">
        <v>61</v>
      </c>
      <c r="L213">
        <v>47</v>
      </c>
      <c r="M213">
        <v>1631531.5315315339</v>
      </c>
      <c r="N213">
        <v>2771261.261261262</v>
      </c>
      <c r="O213">
        <v>54834000</v>
      </c>
      <c r="P213">
        <v>51858306.306306303</v>
      </c>
      <c r="Q213">
        <v>1333693.693693694</v>
      </c>
      <c r="R213">
        <v>2931891.8918918921</v>
      </c>
      <c r="S213">
        <v>4717</v>
      </c>
      <c r="T213">
        <v>4213</v>
      </c>
    </row>
    <row r="214" spans="1:20" x14ac:dyDescent="0.35">
      <c r="A214" s="7" t="s">
        <v>309</v>
      </c>
      <c r="B214" s="12" t="s">
        <v>141</v>
      </c>
      <c r="C214">
        <v>659948977.95385385</v>
      </c>
      <c r="D214">
        <v>690503925.08390486</v>
      </c>
      <c r="E214">
        <v>114106036.03603604</v>
      </c>
      <c r="F214">
        <v>176257063.96396396</v>
      </c>
      <c r="G214">
        <v>100</v>
      </c>
      <c r="H214">
        <v>69</v>
      </c>
      <c r="I214">
        <v>5</v>
      </c>
      <c r="K214">
        <v>126</v>
      </c>
      <c r="L214">
        <v>83</v>
      </c>
      <c r="M214">
        <v>122357207.20720722</v>
      </c>
      <c r="N214">
        <v>126436653.15315315</v>
      </c>
      <c r="O214">
        <v>145837783.78378376</v>
      </c>
      <c r="P214">
        <v>157381843.24324322</v>
      </c>
      <c r="Q214">
        <v>70785855.855855852</v>
      </c>
      <c r="R214">
        <v>73439819.819819823</v>
      </c>
      <c r="S214">
        <v>8361</v>
      </c>
      <c r="T214">
        <v>8208</v>
      </c>
    </row>
    <row r="215" spans="1:20" x14ac:dyDescent="0.35">
      <c r="A215" s="7" t="s">
        <v>310</v>
      </c>
      <c r="B215" s="12" t="s">
        <v>133</v>
      </c>
      <c r="C215">
        <v>658777349.79112494</v>
      </c>
      <c r="D215">
        <v>636274393.86597836</v>
      </c>
      <c r="E215">
        <v>4604504.5045045055</v>
      </c>
      <c r="F215">
        <v>3817591.891891893</v>
      </c>
      <c r="G215">
        <v>189</v>
      </c>
      <c r="H215">
        <v>127</v>
      </c>
      <c r="K215">
        <v>205</v>
      </c>
      <c r="L215">
        <v>140</v>
      </c>
      <c r="M215">
        <v>26946846.846846849</v>
      </c>
      <c r="N215">
        <v>25055917.117117114</v>
      </c>
      <c r="O215">
        <v>177106081.08108109</v>
      </c>
      <c r="P215">
        <v>182592918.91891891</v>
      </c>
      <c r="Q215">
        <v>21268468.468468472</v>
      </c>
      <c r="R215">
        <v>19187252.252252251</v>
      </c>
      <c r="S215">
        <v>14017</v>
      </c>
      <c r="T215">
        <v>12001</v>
      </c>
    </row>
    <row r="216" spans="1:20" x14ac:dyDescent="0.35">
      <c r="A216" s="7" t="s">
        <v>311</v>
      </c>
      <c r="B216" s="12" t="s">
        <v>73</v>
      </c>
      <c r="C216">
        <v>1050048238.9703851</v>
      </c>
      <c r="D216">
        <v>1143724761.7141755</v>
      </c>
      <c r="E216">
        <v>8080855.8558558589</v>
      </c>
      <c r="F216">
        <v>9072787.3873874005</v>
      </c>
      <c r="G216">
        <v>251</v>
      </c>
      <c r="H216">
        <v>137</v>
      </c>
      <c r="I216">
        <v>3</v>
      </c>
      <c r="K216">
        <v>294</v>
      </c>
      <c r="L216">
        <v>151</v>
      </c>
      <c r="M216">
        <v>161965765.76576576</v>
      </c>
      <c r="N216">
        <v>178145465.76576576</v>
      </c>
      <c r="O216">
        <v>264257753.15315315</v>
      </c>
      <c r="P216">
        <v>369020014.41441441</v>
      </c>
      <c r="Q216">
        <v>137597250.45045045</v>
      </c>
      <c r="R216">
        <v>153385045.04504505</v>
      </c>
      <c r="S216">
        <v>18614</v>
      </c>
      <c r="T216">
        <v>16365</v>
      </c>
    </row>
    <row r="217" spans="1:20" x14ac:dyDescent="0.35">
      <c r="A217" s="7" t="s">
        <v>312</v>
      </c>
      <c r="B217" s="12" t="s">
        <v>63</v>
      </c>
      <c r="C217">
        <v>188753419.27938107</v>
      </c>
      <c r="D217">
        <v>181151387.54142541</v>
      </c>
      <c r="E217">
        <v>1874774.7747747749</v>
      </c>
      <c r="F217">
        <v>2722019.8198198201</v>
      </c>
      <c r="G217">
        <v>18</v>
      </c>
      <c r="H217">
        <v>15</v>
      </c>
      <c r="K217">
        <v>19</v>
      </c>
      <c r="L217">
        <v>19</v>
      </c>
      <c r="M217">
        <v>35490090.090090089</v>
      </c>
      <c r="N217">
        <v>36943899.0990991</v>
      </c>
      <c r="O217">
        <v>51188090.090090089</v>
      </c>
      <c r="P217">
        <v>51309486.486486487</v>
      </c>
      <c r="Q217">
        <v>31045315.315315317</v>
      </c>
      <c r="R217">
        <v>37110540.540540546</v>
      </c>
      <c r="S217">
        <v>2382</v>
      </c>
      <c r="T217">
        <v>2122</v>
      </c>
    </row>
    <row r="218" spans="1:20" x14ac:dyDescent="0.35">
      <c r="A218" s="7" t="s">
        <v>313</v>
      </c>
      <c r="B218" s="12" t="s">
        <v>90</v>
      </c>
      <c r="C218">
        <v>64509845.120124191</v>
      </c>
      <c r="D218">
        <v>67376077.790312096</v>
      </c>
      <c r="E218">
        <v>1082882.8828828819</v>
      </c>
      <c r="F218">
        <v>3587837.83783784</v>
      </c>
      <c r="G218">
        <v>19</v>
      </c>
      <c r="H218">
        <v>16</v>
      </c>
      <c r="I218">
        <v>1</v>
      </c>
      <c r="K218">
        <v>24</v>
      </c>
      <c r="L218">
        <v>16</v>
      </c>
      <c r="M218">
        <v>10141981.981981982</v>
      </c>
      <c r="N218">
        <v>55572432.432432435</v>
      </c>
      <c r="O218">
        <v>21709981.981981985</v>
      </c>
      <c r="P218">
        <v>23494954.954954956</v>
      </c>
      <c r="Q218">
        <v>10476126.126126127</v>
      </c>
      <c r="R218">
        <v>55104954.954954959</v>
      </c>
      <c r="S218">
        <v>1014</v>
      </c>
      <c r="T218">
        <v>1261</v>
      </c>
    </row>
    <row r="219" spans="1:20" x14ac:dyDescent="0.35">
      <c r="A219" s="7" t="s">
        <v>314</v>
      </c>
      <c r="B219" s="12" t="s">
        <v>93</v>
      </c>
      <c r="C219">
        <v>28744091.395777255</v>
      </c>
      <c r="D219">
        <v>23306433.347612839</v>
      </c>
      <c r="E219">
        <v>200000</v>
      </c>
      <c r="F219">
        <v>130630.630630631</v>
      </c>
      <c r="G219">
        <v>4</v>
      </c>
      <c r="H219">
        <v>5</v>
      </c>
      <c r="K219">
        <v>5</v>
      </c>
      <c r="L219">
        <v>5</v>
      </c>
      <c r="M219">
        <v>1416216.2162162161</v>
      </c>
      <c r="N219">
        <v>2247755.8558558561</v>
      </c>
      <c r="O219">
        <v>2098108.1081081079</v>
      </c>
      <c r="P219">
        <v>2382018.018018018</v>
      </c>
      <c r="Q219">
        <v>1361261.2612612611</v>
      </c>
      <c r="R219">
        <v>2153153.1531531531</v>
      </c>
      <c r="S219">
        <v>545</v>
      </c>
      <c r="T219">
        <v>392</v>
      </c>
    </row>
    <row r="220" spans="1:20" x14ac:dyDescent="0.35">
      <c r="A220" s="7" t="s">
        <v>315</v>
      </c>
      <c r="B220" s="12" t="s">
        <v>316</v>
      </c>
      <c r="C220">
        <v>215533997.29215547</v>
      </c>
      <c r="D220">
        <v>213859573.41674879</v>
      </c>
      <c r="E220">
        <v>879729.72972972901</v>
      </c>
      <c r="F220">
        <v>3866891.8918918949</v>
      </c>
      <c r="G220">
        <v>52</v>
      </c>
      <c r="H220">
        <v>55</v>
      </c>
      <c r="K220">
        <v>58</v>
      </c>
      <c r="L220">
        <v>64</v>
      </c>
      <c r="M220">
        <v>26596396.396396395</v>
      </c>
      <c r="N220">
        <v>46135040.540540546</v>
      </c>
      <c r="O220">
        <v>33322511.711711712</v>
      </c>
      <c r="P220">
        <v>37556909.909909911</v>
      </c>
      <c r="Q220">
        <v>25188738.738738742</v>
      </c>
      <c r="R220">
        <v>36605765.765765771</v>
      </c>
      <c r="S220">
        <v>3831</v>
      </c>
      <c r="T220">
        <v>3680</v>
      </c>
    </row>
    <row r="221" spans="1:20" x14ac:dyDescent="0.35">
      <c r="A221" s="7" t="s">
        <v>317</v>
      </c>
      <c r="B221" s="12" t="s">
        <v>63</v>
      </c>
      <c r="C221">
        <v>367322547.94852489</v>
      </c>
      <c r="D221">
        <v>394402989.02258116</v>
      </c>
      <c r="E221">
        <v>7126126.126126131</v>
      </c>
      <c r="F221">
        <v>7702281.9819819871</v>
      </c>
      <c r="G221">
        <v>216</v>
      </c>
      <c r="H221">
        <v>102</v>
      </c>
      <c r="K221">
        <v>278</v>
      </c>
      <c r="L221">
        <v>209</v>
      </c>
      <c r="M221">
        <v>57215495.495495498</v>
      </c>
      <c r="N221">
        <v>70466672.972972974</v>
      </c>
      <c r="O221">
        <v>129311468.46846846</v>
      </c>
      <c r="P221">
        <v>142857367.56756756</v>
      </c>
      <c r="Q221">
        <v>54834414.414414406</v>
      </c>
      <c r="R221">
        <v>76096036.036036029</v>
      </c>
      <c r="S221">
        <v>9172</v>
      </c>
      <c r="T221">
        <v>8926</v>
      </c>
    </row>
    <row r="222" spans="1:20" x14ac:dyDescent="0.35">
      <c r="A222" s="7" t="s">
        <v>318</v>
      </c>
      <c r="B222" s="12" t="s">
        <v>63</v>
      </c>
      <c r="C222">
        <v>342699857.82913113</v>
      </c>
      <c r="D222">
        <v>371123723.3751142</v>
      </c>
      <c r="E222">
        <v>4064864.864864869</v>
      </c>
      <c r="F222">
        <v>4877834.2342342352</v>
      </c>
      <c r="G222">
        <v>64</v>
      </c>
      <c r="H222">
        <v>17</v>
      </c>
      <c r="K222">
        <v>72</v>
      </c>
      <c r="L222">
        <v>30</v>
      </c>
      <c r="M222">
        <v>51303603.603603609</v>
      </c>
      <c r="N222">
        <v>61546321.621621616</v>
      </c>
      <c r="O222">
        <v>118339657.65765767</v>
      </c>
      <c r="P222">
        <v>129807153.15315315</v>
      </c>
      <c r="Q222">
        <v>46358738.738738738</v>
      </c>
      <c r="R222">
        <v>62610090.090090089</v>
      </c>
      <c r="S222">
        <v>5759</v>
      </c>
      <c r="T222">
        <v>5797</v>
      </c>
    </row>
    <row r="223" spans="1:20" x14ac:dyDescent="0.35">
      <c r="A223" s="7" t="s">
        <v>319</v>
      </c>
      <c r="B223" s="12" t="s">
        <v>79</v>
      </c>
      <c r="C223">
        <v>357652530.08289671</v>
      </c>
      <c r="D223">
        <v>362098470.6033783</v>
      </c>
      <c r="E223">
        <v>6512387.3873873912</v>
      </c>
      <c r="F223">
        <v>8749308.1081081107</v>
      </c>
      <c r="G223">
        <v>213</v>
      </c>
      <c r="H223">
        <v>122</v>
      </c>
      <c r="I223">
        <v>2</v>
      </c>
      <c r="K223">
        <v>268</v>
      </c>
      <c r="L223">
        <v>146</v>
      </c>
      <c r="M223">
        <v>92821171.171171173</v>
      </c>
      <c r="N223">
        <v>103774259.45945945</v>
      </c>
      <c r="O223">
        <v>154652734.23423424</v>
      </c>
      <c r="P223">
        <v>160461088.2882883</v>
      </c>
      <c r="Q223">
        <v>92549009.009009004</v>
      </c>
      <c r="R223">
        <v>97770990.990990996</v>
      </c>
      <c r="S223">
        <v>9549</v>
      </c>
      <c r="T223">
        <v>8600</v>
      </c>
    </row>
    <row r="224" spans="1:20" x14ac:dyDescent="0.35">
      <c r="A224" s="7" t="s">
        <v>320</v>
      </c>
      <c r="B224" s="12" t="s">
        <v>79</v>
      </c>
      <c r="C224">
        <v>217354562.51111519</v>
      </c>
      <c r="D224">
        <v>212683555.2179518</v>
      </c>
      <c r="E224">
        <v>3982882.8828828838</v>
      </c>
      <c r="F224">
        <v>4842103.6036036061</v>
      </c>
      <c r="G224">
        <v>118</v>
      </c>
      <c r="H224">
        <v>61</v>
      </c>
      <c r="K224">
        <v>224</v>
      </c>
      <c r="L224">
        <v>134</v>
      </c>
      <c r="M224">
        <v>21226126.126126125</v>
      </c>
      <c r="N224">
        <v>24003683.783783782</v>
      </c>
      <c r="O224">
        <v>80380234.234234244</v>
      </c>
      <c r="P224">
        <v>84187684.684684694</v>
      </c>
      <c r="Q224">
        <v>18955495.495495494</v>
      </c>
      <c r="R224">
        <v>22148648.648648649</v>
      </c>
      <c r="S224">
        <v>6181</v>
      </c>
      <c r="T224">
        <v>5443</v>
      </c>
    </row>
    <row r="225" spans="1:20" x14ac:dyDescent="0.35">
      <c r="A225" s="7" t="s">
        <v>321</v>
      </c>
      <c r="B225" s="12" t="s">
        <v>122</v>
      </c>
      <c r="C225">
        <v>1681146.868450616</v>
      </c>
      <c r="D225">
        <v>1288374.4236610329</v>
      </c>
      <c r="G225">
        <v>1</v>
      </c>
      <c r="H225">
        <v>2</v>
      </c>
      <c r="K225">
        <v>1</v>
      </c>
      <c r="L225">
        <v>2</v>
      </c>
      <c r="O225">
        <v>232072.07207207201</v>
      </c>
      <c r="P225">
        <v>400855.85585585597</v>
      </c>
      <c r="S225">
        <v>92</v>
      </c>
      <c r="T225">
        <v>53</v>
      </c>
    </row>
    <row r="226" spans="1:20" x14ac:dyDescent="0.35">
      <c r="A226" s="7" t="s">
        <v>322</v>
      </c>
      <c r="B226" s="12" t="s">
        <v>225</v>
      </c>
      <c r="C226">
        <v>247138252.17363152</v>
      </c>
      <c r="D226">
        <v>246945331.3652131</v>
      </c>
      <c r="E226">
        <v>84684.684684685999</v>
      </c>
      <c r="F226">
        <v>51351.351351352001</v>
      </c>
      <c r="G226">
        <v>57</v>
      </c>
      <c r="H226">
        <v>41</v>
      </c>
      <c r="I226">
        <v>2</v>
      </c>
      <c r="K226">
        <v>61</v>
      </c>
      <c r="L226">
        <v>42</v>
      </c>
      <c r="M226">
        <v>10667747.747747747</v>
      </c>
      <c r="N226">
        <v>11027927.927927928</v>
      </c>
      <c r="O226">
        <v>98735610.810810819</v>
      </c>
      <c r="P226">
        <v>105163394.5945946</v>
      </c>
      <c r="Q226">
        <v>10667747.747747747</v>
      </c>
      <c r="R226">
        <v>11708558.558558557</v>
      </c>
      <c r="S226">
        <v>4338</v>
      </c>
      <c r="T226">
        <v>3872</v>
      </c>
    </row>
    <row r="227" spans="1:20" x14ac:dyDescent="0.35">
      <c r="A227" s="7" t="s">
        <v>323</v>
      </c>
      <c r="B227" s="12" t="s">
        <v>225</v>
      </c>
      <c r="C227">
        <v>176574096.8441833</v>
      </c>
      <c r="D227">
        <v>188023641.98683581</v>
      </c>
      <c r="E227">
        <v>91891.891891892999</v>
      </c>
      <c r="F227">
        <v>189747.747747749</v>
      </c>
      <c r="G227">
        <v>13</v>
      </c>
      <c r="H227">
        <v>43</v>
      </c>
      <c r="K227">
        <v>15</v>
      </c>
      <c r="L227">
        <v>50</v>
      </c>
      <c r="M227">
        <v>19460540.540540542</v>
      </c>
      <c r="N227">
        <v>21081209.009009007</v>
      </c>
      <c r="O227">
        <v>53054261.261261262</v>
      </c>
      <c r="P227">
        <v>58109405.40540541</v>
      </c>
      <c r="Q227">
        <v>14986486.486486485</v>
      </c>
      <c r="R227">
        <v>16132162.162162164</v>
      </c>
      <c r="S227">
        <v>2298</v>
      </c>
      <c r="T227">
        <v>2233</v>
      </c>
    </row>
    <row r="228" spans="1:20" x14ac:dyDescent="0.35">
      <c r="A228" s="7" t="s">
        <v>671</v>
      </c>
      <c r="B228" s="12" t="s">
        <v>95</v>
      </c>
      <c r="S228">
        <v>1</v>
      </c>
    </row>
    <row r="229" spans="1:20" x14ac:dyDescent="0.35">
      <c r="A229" s="7" t="s">
        <v>324</v>
      </c>
      <c r="B229" s="12" t="s">
        <v>79</v>
      </c>
      <c r="C229">
        <v>268045286.26689863</v>
      </c>
      <c r="D229">
        <v>264837421.06839702</v>
      </c>
      <c r="E229">
        <v>1527027.02702703</v>
      </c>
      <c r="F229">
        <v>2878662.1621621628</v>
      </c>
      <c r="G229">
        <v>159</v>
      </c>
      <c r="H229">
        <v>134</v>
      </c>
      <c r="I229">
        <v>2</v>
      </c>
      <c r="K229">
        <v>193</v>
      </c>
      <c r="L229">
        <v>159</v>
      </c>
      <c r="M229">
        <v>28292792.792792797</v>
      </c>
      <c r="N229">
        <v>36451602.702702701</v>
      </c>
      <c r="O229">
        <v>80001450.45045045</v>
      </c>
      <c r="P229">
        <v>79401612.612612605</v>
      </c>
      <c r="Q229">
        <v>27148558.558558557</v>
      </c>
      <c r="R229">
        <v>30879189.189189192</v>
      </c>
      <c r="S229">
        <v>5100</v>
      </c>
      <c r="T229">
        <v>4574</v>
      </c>
    </row>
    <row r="230" spans="1:20" x14ac:dyDescent="0.35">
      <c r="A230" s="7" t="s">
        <v>325</v>
      </c>
      <c r="B230" s="12" t="s">
        <v>109</v>
      </c>
      <c r="C230">
        <v>1684092230.3576941</v>
      </c>
      <c r="D230">
        <v>1723322064.6125636</v>
      </c>
      <c r="E230">
        <v>1830334552.2522521</v>
      </c>
      <c r="F230">
        <v>1549682581.981982</v>
      </c>
      <c r="G230">
        <v>531</v>
      </c>
      <c r="H230">
        <v>503</v>
      </c>
      <c r="I230">
        <v>5</v>
      </c>
      <c r="K230">
        <v>964</v>
      </c>
      <c r="L230">
        <v>905</v>
      </c>
      <c r="M230">
        <v>597134684.68468463</v>
      </c>
      <c r="N230">
        <v>186066767.56756759</v>
      </c>
      <c r="O230">
        <v>766068693.69369364</v>
      </c>
      <c r="P230">
        <v>783881553.15315318</v>
      </c>
      <c r="Q230">
        <v>144715045.04504505</v>
      </c>
      <c r="R230">
        <v>172711531.53153151</v>
      </c>
      <c r="S230">
        <v>30538</v>
      </c>
      <c r="T230">
        <v>21819</v>
      </c>
    </row>
    <row r="231" spans="1:20" x14ac:dyDescent="0.35">
      <c r="A231" s="7" t="s">
        <v>326</v>
      </c>
      <c r="B231" s="12" t="s">
        <v>225</v>
      </c>
      <c r="C231">
        <v>244972922.70126727</v>
      </c>
      <c r="D231">
        <v>266661909.89932796</v>
      </c>
      <c r="E231">
        <v>801801.80180180306</v>
      </c>
      <c r="F231">
        <v>1021666.666666667</v>
      </c>
      <c r="G231">
        <v>40</v>
      </c>
      <c r="H231">
        <v>54</v>
      </c>
      <c r="K231">
        <v>43</v>
      </c>
      <c r="L231">
        <v>65</v>
      </c>
      <c r="M231">
        <v>20273513.513513513</v>
      </c>
      <c r="N231">
        <v>21933048.648648649</v>
      </c>
      <c r="O231">
        <v>51692099.0990991</v>
      </c>
      <c r="P231">
        <v>61838108.108108111</v>
      </c>
      <c r="Q231">
        <v>19591351.351351351</v>
      </c>
      <c r="R231">
        <v>23464054.054054055</v>
      </c>
      <c r="S231">
        <v>4490</v>
      </c>
      <c r="T231">
        <v>4470</v>
      </c>
    </row>
    <row r="232" spans="1:20" x14ac:dyDescent="0.35">
      <c r="A232" s="7" t="s">
        <v>4</v>
      </c>
      <c r="B232" s="12" t="s">
        <v>159</v>
      </c>
      <c r="C232">
        <v>214886749.31760141</v>
      </c>
      <c r="D232">
        <v>205940994.04236427</v>
      </c>
      <c r="E232">
        <v>3161261.2612612639</v>
      </c>
      <c r="F232">
        <v>6696621.6216216218</v>
      </c>
      <c r="G232">
        <v>19</v>
      </c>
      <c r="H232">
        <v>39</v>
      </c>
      <c r="I232">
        <v>1</v>
      </c>
      <c r="K232">
        <v>23</v>
      </c>
      <c r="L232">
        <v>45</v>
      </c>
      <c r="M232">
        <v>34358558.558558561</v>
      </c>
      <c r="N232">
        <v>79037162.162162155</v>
      </c>
      <c r="O232">
        <v>76073000</v>
      </c>
      <c r="P232">
        <v>76297756.756756753</v>
      </c>
      <c r="Q232">
        <v>41556126.126126125</v>
      </c>
      <c r="R232">
        <v>69597702.702702701</v>
      </c>
      <c r="S232">
        <v>4122</v>
      </c>
      <c r="T232">
        <v>3495</v>
      </c>
    </row>
    <row r="233" spans="1:20" x14ac:dyDescent="0.35">
      <c r="A233" s="7" t="s">
        <v>327</v>
      </c>
      <c r="B233" s="12" t="s">
        <v>109</v>
      </c>
      <c r="C233">
        <v>1010409323.2577229</v>
      </c>
      <c r="D233">
        <v>1027030621.9807112</v>
      </c>
      <c r="E233">
        <v>17467272.972972982</v>
      </c>
      <c r="F233">
        <v>75413958.558558553</v>
      </c>
      <c r="G233">
        <v>565</v>
      </c>
      <c r="H233">
        <v>394</v>
      </c>
      <c r="I233">
        <v>1</v>
      </c>
      <c r="K233">
        <v>1350</v>
      </c>
      <c r="L233">
        <v>825</v>
      </c>
      <c r="M233">
        <v>786418039.63963974</v>
      </c>
      <c r="N233">
        <v>391725870.27027029</v>
      </c>
      <c r="O233">
        <v>309403065.31531531</v>
      </c>
      <c r="P233">
        <v>316379765.76576579</v>
      </c>
      <c r="Q233">
        <v>768026306.30630636</v>
      </c>
      <c r="R233">
        <v>337753243.24324328</v>
      </c>
      <c r="S233">
        <v>24742</v>
      </c>
      <c r="T233">
        <v>20869</v>
      </c>
    </row>
    <row r="234" spans="1:20" x14ac:dyDescent="0.35">
      <c r="A234" s="7" t="s">
        <v>328</v>
      </c>
      <c r="B234" s="12" t="s">
        <v>79</v>
      </c>
      <c r="C234">
        <v>106810267.79112524</v>
      </c>
      <c r="D234">
        <v>103483765.85390094</v>
      </c>
      <c r="E234">
        <v>712612.61261261499</v>
      </c>
      <c r="F234">
        <v>1123698.198198199</v>
      </c>
      <c r="G234">
        <v>34</v>
      </c>
      <c r="H234">
        <v>39</v>
      </c>
      <c r="K234">
        <v>39</v>
      </c>
      <c r="L234">
        <v>39</v>
      </c>
      <c r="M234">
        <v>8280180.1801801799</v>
      </c>
      <c r="N234">
        <v>15701900.900900902</v>
      </c>
      <c r="O234">
        <v>32761468.468468469</v>
      </c>
      <c r="P234">
        <v>35125252.252252251</v>
      </c>
      <c r="Q234">
        <v>8890360.3603603598</v>
      </c>
      <c r="R234">
        <v>15083513.513513513</v>
      </c>
      <c r="S234">
        <v>2179</v>
      </c>
      <c r="T234">
        <v>1909</v>
      </c>
    </row>
    <row r="235" spans="1:20" x14ac:dyDescent="0.35">
      <c r="A235" s="7" t="s">
        <v>329</v>
      </c>
      <c r="B235" s="12" t="s">
        <v>122</v>
      </c>
      <c r="C235">
        <v>270029940.52700222</v>
      </c>
      <c r="D235">
        <v>259061558.30270869</v>
      </c>
      <c r="E235">
        <v>2509234.2342342339</v>
      </c>
      <c r="F235">
        <v>1206258.5585585621</v>
      </c>
      <c r="G235">
        <v>81</v>
      </c>
      <c r="H235">
        <v>92</v>
      </c>
      <c r="I235">
        <v>9</v>
      </c>
      <c r="K235">
        <v>89</v>
      </c>
      <c r="L235">
        <v>102</v>
      </c>
      <c r="M235">
        <v>27354954.954954956</v>
      </c>
      <c r="N235">
        <v>20118963.963963963</v>
      </c>
      <c r="O235">
        <v>41648199.0990991</v>
      </c>
      <c r="P235">
        <v>45506018.018018015</v>
      </c>
      <c r="Q235">
        <v>18044954.954954952</v>
      </c>
      <c r="R235">
        <v>16927117.117117118</v>
      </c>
      <c r="S235">
        <v>7566</v>
      </c>
      <c r="T235">
        <v>3539</v>
      </c>
    </row>
    <row r="236" spans="1:20" x14ac:dyDescent="0.35">
      <c r="A236" s="7" t="s">
        <v>330</v>
      </c>
      <c r="B236" s="12" t="s">
        <v>331</v>
      </c>
      <c r="C236">
        <v>668358815.17972291</v>
      </c>
      <c r="D236">
        <v>630009843.40180194</v>
      </c>
      <c r="E236">
        <v>10990090.090090085</v>
      </c>
      <c r="F236">
        <v>4964162.1621621652</v>
      </c>
      <c r="G236">
        <v>255</v>
      </c>
      <c r="H236">
        <v>295</v>
      </c>
      <c r="I236">
        <v>34</v>
      </c>
      <c r="K236">
        <v>406</v>
      </c>
      <c r="L236">
        <v>367</v>
      </c>
      <c r="M236">
        <v>99379639.639639631</v>
      </c>
      <c r="N236">
        <v>107916681.08108108</v>
      </c>
      <c r="O236">
        <v>173468775.22522521</v>
      </c>
      <c r="P236">
        <v>145245926.12612611</v>
      </c>
      <c r="Q236">
        <v>91467610.810810819</v>
      </c>
      <c r="R236">
        <v>113096486.48648648</v>
      </c>
      <c r="S236">
        <v>18410</v>
      </c>
      <c r="T236">
        <v>13683</v>
      </c>
    </row>
    <row r="237" spans="1:20" x14ac:dyDescent="0.35">
      <c r="A237" s="7" t="s">
        <v>332</v>
      </c>
      <c r="B237" s="12" t="s">
        <v>291</v>
      </c>
      <c r="C237">
        <v>988150493.80782187</v>
      </c>
      <c r="D237">
        <v>964966085.17772746</v>
      </c>
      <c r="E237">
        <v>10218018.01801802</v>
      </c>
      <c r="F237">
        <v>5557689.1891891956</v>
      </c>
      <c r="G237">
        <v>411</v>
      </c>
      <c r="H237">
        <v>369</v>
      </c>
      <c r="K237">
        <v>581</v>
      </c>
      <c r="L237">
        <v>434</v>
      </c>
      <c r="M237">
        <v>167618018.01801801</v>
      </c>
      <c r="N237">
        <v>95442825.225225225</v>
      </c>
      <c r="O237">
        <v>193690016.21621624</v>
      </c>
      <c r="P237">
        <v>179555845.04504505</v>
      </c>
      <c r="Q237">
        <v>153860630.63063061</v>
      </c>
      <c r="R237">
        <v>103167297.2972973</v>
      </c>
      <c r="S237">
        <v>19721</v>
      </c>
      <c r="T237">
        <v>16990</v>
      </c>
    </row>
    <row r="238" spans="1:20" x14ac:dyDescent="0.35">
      <c r="A238" s="7" t="s">
        <v>333</v>
      </c>
      <c r="B238" s="12" t="s">
        <v>291</v>
      </c>
      <c r="C238">
        <v>734096030.79918838</v>
      </c>
      <c r="D238">
        <v>751386462.11999726</v>
      </c>
      <c r="E238">
        <v>11097072.072072079</v>
      </c>
      <c r="F238">
        <v>6962115.315315322</v>
      </c>
      <c r="G238">
        <v>222</v>
      </c>
      <c r="H238">
        <v>240</v>
      </c>
      <c r="I238">
        <v>2</v>
      </c>
      <c r="K238">
        <v>269</v>
      </c>
      <c r="L238">
        <v>395</v>
      </c>
      <c r="M238">
        <v>152418918.91891891</v>
      </c>
      <c r="N238">
        <v>106506848.64864865</v>
      </c>
      <c r="O238">
        <v>199702666.66666666</v>
      </c>
      <c r="P238">
        <v>209526286.48648649</v>
      </c>
      <c r="Q238">
        <v>147522252.25225225</v>
      </c>
      <c r="R238">
        <v>164022522.52252254</v>
      </c>
      <c r="S238">
        <v>17050</v>
      </c>
      <c r="T238">
        <v>14691</v>
      </c>
    </row>
    <row r="239" spans="1:20" x14ac:dyDescent="0.35">
      <c r="A239" s="7" t="s">
        <v>334</v>
      </c>
      <c r="B239" s="12" t="s">
        <v>61</v>
      </c>
      <c r="C239">
        <v>101301127.59257787</v>
      </c>
      <c r="D239">
        <v>102265887.08975869</v>
      </c>
      <c r="E239">
        <v>3297297.297297298</v>
      </c>
      <c r="F239">
        <v>2290090.0900900909</v>
      </c>
      <c r="G239">
        <v>101</v>
      </c>
      <c r="H239">
        <v>63</v>
      </c>
      <c r="I239">
        <v>2</v>
      </c>
      <c r="K239">
        <v>165</v>
      </c>
      <c r="L239">
        <v>95</v>
      </c>
      <c r="M239">
        <v>41811711.711711712</v>
      </c>
      <c r="N239">
        <v>17276576.576576579</v>
      </c>
      <c r="O239">
        <v>35204531.531531535</v>
      </c>
      <c r="P239">
        <v>35207486.486486487</v>
      </c>
      <c r="Q239">
        <v>39924774.774774775</v>
      </c>
      <c r="R239">
        <v>15595945.945945945</v>
      </c>
      <c r="S239">
        <v>2356</v>
      </c>
      <c r="T239">
        <v>1980</v>
      </c>
    </row>
    <row r="240" spans="1:20" x14ac:dyDescent="0.35">
      <c r="A240" s="7" t="s">
        <v>335</v>
      </c>
      <c r="B240" s="12" t="s">
        <v>61</v>
      </c>
      <c r="C240">
        <v>19944012.445540559</v>
      </c>
      <c r="D240">
        <v>22077164.619324815</v>
      </c>
      <c r="E240">
        <v>243243.24324324299</v>
      </c>
      <c r="F240">
        <v>571171.17117117206</v>
      </c>
      <c r="G240">
        <v>7</v>
      </c>
      <c r="H240">
        <v>11</v>
      </c>
      <c r="K240">
        <v>9</v>
      </c>
      <c r="L240">
        <v>12</v>
      </c>
      <c r="M240">
        <v>902252.25225225196</v>
      </c>
      <c r="N240">
        <v>1668018.0180180189</v>
      </c>
      <c r="O240">
        <v>11088198.198198197</v>
      </c>
      <c r="P240">
        <v>10995567.567567568</v>
      </c>
      <c r="Q240">
        <v>850720.72072072094</v>
      </c>
      <c r="R240">
        <v>1688648.6486486481</v>
      </c>
      <c r="S240">
        <v>1251</v>
      </c>
      <c r="T240">
        <v>809</v>
      </c>
    </row>
    <row r="241" spans="1:20" x14ac:dyDescent="0.35">
      <c r="A241" s="7" t="s">
        <v>336</v>
      </c>
      <c r="B241" s="12" t="s">
        <v>122</v>
      </c>
      <c r="C241">
        <v>2055250.6932520431</v>
      </c>
      <c r="D241">
        <v>2665480.0583508192</v>
      </c>
      <c r="G241">
        <v>1</v>
      </c>
      <c r="K241">
        <v>1</v>
      </c>
      <c r="L241">
        <v>1</v>
      </c>
      <c r="O241">
        <v>97747.747747747999</v>
      </c>
      <c r="P241">
        <v>529504.50450450496</v>
      </c>
      <c r="S241">
        <v>170</v>
      </c>
      <c r="T241">
        <v>169</v>
      </c>
    </row>
    <row r="242" spans="1:20" x14ac:dyDescent="0.35">
      <c r="A242" s="7" t="s">
        <v>337</v>
      </c>
      <c r="B242" s="12" t="s">
        <v>122</v>
      </c>
      <c r="C242">
        <v>3528598.782468189</v>
      </c>
      <c r="D242">
        <v>3745844.656059097</v>
      </c>
      <c r="G242">
        <v>4</v>
      </c>
      <c r="H242">
        <v>2</v>
      </c>
      <c r="K242">
        <v>4</v>
      </c>
      <c r="L242">
        <v>2</v>
      </c>
      <c r="O242">
        <v>697792.79279279301</v>
      </c>
      <c r="P242">
        <v>1188423.423423423</v>
      </c>
      <c r="S242">
        <v>105</v>
      </c>
      <c r="T242">
        <v>90</v>
      </c>
    </row>
    <row r="243" spans="1:20" x14ac:dyDescent="0.35">
      <c r="A243" s="7" t="s">
        <v>338</v>
      </c>
      <c r="B243" s="12" t="s">
        <v>122</v>
      </c>
      <c r="C243">
        <v>2847040.3898587958</v>
      </c>
      <c r="D243">
        <v>3053634.2524298038</v>
      </c>
      <c r="G243">
        <v>1</v>
      </c>
      <c r="K243">
        <v>2</v>
      </c>
      <c r="O243">
        <v>56531.531531531997</v>
      </c>
      <c r="P243">
        <v>372297.29729729699</v>
      </c>
      <c r="S243">
        <v>160</v>
      </c>
      <c r="T243">
        <v>133</v>
      </c>
    </row>
    <row r="244" spans="1:20" x14ac:dyDescent="0.35">
      <c r="A244" s="7" t="s">
        <v>339</v>
      </c>
      <c r="B244" s="12" t="s">
        <v>141</v>
      </c>
      <c r="C244">
        <v>1111131344.4238393</v>
      </c>
      <c r="D244">
        <v>1122230778.9359205</v>
      </c>
      <c r="E244">
        <v>5460360.3603603663</v>
      </c>
      <c r="F244">
        <v>5707887.3873873902</v>
      </c>
      <c r="G244">
        <v>470</v>
      </c>
      <c r="H244">
        <v>147</v>
      </c>
      <c r="I244">
        <v>1</v>
      </c>
      <c r="K244">
        <v>493</v>
      </c>
      <c r="L244">
        <v>296</v>
      </c>
      <c r="M244">
        <v>111522342.34234233</v>
      </c>
      <c r="N244">
        <v>120805545.94594595</v>
      </c>
      <c r="O244">
        <v>220170565.76576576</v>
      </c>
      <c r="P244">
        <v>249475264.86486486</v>
      </c>
      <c r="Q244">
        <v>96734414.414414421</v>
      </c>
      <c r="R244">
        <v>102116396.3963964</v>
      </c>
      <c r="S244">
        <v>16852</v>
      </c>
      <c r="T244">
        <v>16217</v>
      </c>
    </row>
    <row r="245" spans="1:20" x14ac:dyDescent="0.35">
      <c r="A245" s="7" t="s">
        <v>340</v>
      </c>
      <c r="B245" s="12" t="s">
        <v>122</v>
      </c>
      <c r="C245">
        <v>166947910.23434019</v>
      </c>
      <c r="D245">
        <v>166358488.57117319</v>
      </c>
      <c r="G245">
        <v>52</v>
      </c>
      <c r="H245">
        <v>66</v>
      </c>
      <c r="K245">
        <v>56</v>
      </c>
      <c r="L245">
        <v>72</v>
      </c>
      <c r="N245">
        <v>270270.27027027</v>
      </c>
      <c r="O245">
        <v>10729495.495495496</v>
      </c>
      <c r="P245">
        <v>11944376.576576576</v>
      </c>
      <c r="R245">
        <v>270270.27027027</v>
      </c>
      <c r="S245">
        <v>2660</v>
      </c>
      <c r="T245">
        <v>2438</v>
      </c>
    </row>
    <row r="246" spans="1:20" x14ac:dyDescent="0.35">
      <c r="A246" s="7" t="s">
        <v>341</v>
      </c>
      <c r="B246" s="12" t="s">
        <v>141</v>
      </c>
      <c r="C246">
        <v>585484849.6630336</v>
      </c>
      <c r="D246">
        <v>616010830.80933511</v>
      </c>
      <c r="E246">
        <v>3915315.3153153169</v>
      </c>
      <c r="F246">
        <v>3899890.0900900899</v>
      </c>
      <c r="G246">
        <v>120</v>
      </c>
      <c r="H246">
        <v>73</v>
      </c>
      <c r="I246">
        <v>4</v>
      </c>
      <c r="K246">
        <v>150</v>
      </c>
      <c r="L246">
        <v>128</v>
      </c>
      <c r="M246">
        <v>102911891.89189188</v>
      </c>
      <c r="N246">
        <v>111214978.37837839</v>
      </c>
      <c r="O246">
        <v>172639108.55855855</v>
      </c>
      <c r="P246">
        <v>185542738.73873875</v>
      </c>
      <c r="Q246">
        <v>98034504.504504517</v>
      </c>
      <c r="R246">
        <v>98143378.378378391</v>
      </c>
      <c r="S246">
        <v>8882</v>
      </c>
      <c r="T246">
        <v>9029</v>
      </c>
    </row>
    <row r="247" spans="1:20" x14ac:dyDescent="0.35">
      <c r="A247" s="7" t="s">
        <v>342</v>
      </c>
      <c r="B247" s="12" t="s">
        <v>135</v>
      </c>
      <c r="C247">
        <v>67095654.836052462</v>
      </c>
      <c r="D247">
        <v>59915237.854236931</v>
      </c>
      <c r="E247">
        <v>54054.054054054002</v>
      </c>
      <c r="F247">
        <v>71369.369369369</v>
      </c>
      <c r="G247">
        <v>13</v>
      </c>
      <c r="H247">
        <v>17</v>
      </c>
      <c r="I247">
        <v>1</v>
      </c>
      <c r="K247">
        <v>13</v>
      </c>
      <c r="L247">
        <v>18</v>
      </c>
      <c r="M247">
        <v>2666666.666666666</v>
      </c>
      <c r="N247">
        <v>2504712.6126126121</v>
      </c>
      <c r="O247">
        <v>6074693.6936936937</v>
      </c>
      <c r="P247">
        <v>7101270.2702702703</v>
      </c>
      <c r="Q247">
        <v>1537747.747747747</v>
      </c>
      <c r="R247">
        <v>1106486.4864864871</v>
      </c>
      <c r="S247">
        <v>1470</v>
      </c>
      <c r="T247">
        <v>1400</v>
      </c>
    </row>
    <row r="248" spans="1:20" x14ac:dyDescent="0.35">
      <c r="A248" s="7" t="s">
        <v>343</v>
      </c>
      <c r="B248" s="12" t="s">
        <v>122</v>
      </c>
      <c r="C248">
        <v>2975671.1347763771</v>
      </c>
      <c r="D248">
        <v>3714109.9168764232</v>
      </c>
      <c r="G248">
        <v>10</v>
      </c>
      <c r="H248">
        <v>3</v>
      </c>
      <c r="K248">
        <v>14</v>
      </c>
      <c r="L248">
        <v>6</v>
      </c>
      <c r="O248">
        <v>1128333.333333333</v>
      </c>
      <c r="P248">
        <v>2361801.8018018021</v>
      </c>
      <c r="S248">
        <v>396</v>
      </c>
      <c r="T248">
        <v>376</v>
      </c>
    </row>
    <row r="249" spans="1:20" x14ac:dyDescent="0.35">
      <c r="A249" s="7" t="s">
        <v>5</v>
      </c>
      <c r="B249" s="12" t="s">
        <v>159</v>
      </c>
      <c r="C249">
        <v>227459287.21299589</v>
      </c>
      <c r="D249">
        <v>231437729.55832419</v>
      </c>
      <c r="E249">
        <v>1108108.1081081079</v>
      </c>
      <c r="F249">
        <v>167567.56756756801</v>
      </c>
      <c r="G249">
        <v>38</v>
      </c>
      <c r="H249">
        <v>24</v>
      </c>
      <c r="I249">
        <v>1</v>
      </c>
      <c r="K249">
        <v>40</v>
      </c>
      <c r="L249">
        <v>28</v>
      </c>
      <c r="M249">
        <v>15475675.675675675</v>
      </c>
      <c r="N249">
        <v>40710135.135135137</v>
      </c>
      <c r="O249">
        <v>95805981.981981978</v>
      </c>
      <c r="P249">
        <v>97858684.684684694</v>
      </c>
      <c r="Q249">
        <v>14532252.252252253</v>
      </c>
      <c r="R249">
        <v>38540495.495495498</v>
      </c>
      <c r="S249">
        <v>3299</v>
      </c>
      <c r="T249">
        <v>3045</v>
      </c>
    </row>
    <row r="250" spans="1:20" x14ac:dyDescent="0.35">
      <c r="A250" s="7" t="s">
        <v>344</v>
      </c>
      <c r="B250" s="12" t="s">
        <v>305</v>
      </c>
      <c r="C250">
        <v>21607758.015322447</v>
      </c>
      <c r="D250">
        <v>35685491.25616876</v>
      </c>
      <c r="E250">
        <v>900900.90090090095</v>
      </c>
      <c r="F250">
        <v>630630.630630631</v>
      </c>
      <c r="G250">
        <v>20</v>
      </c>
      <c r="H250">
        <v>55</v>
      </c>
      <c r="K250">
        <v>26</v>
      </c>
      <c r="L250">
        <v>65</v>
      </c>
      <c r="M250">
        <v>1351351.351351351</v>
      </c>
      <c r="N250">
        <v>630630.630630631</v>
      </c>
      <c r="O250">
        <v>3795594.594594595</v>
      </c>
      <c r="P250">
        <v>6749142.3423423423</v>
      </c>
      <c r="Q250">
        <v>294954.95495495503</v>
      </c>
      <c r="R250">
        <v>602702.70270270295</v>
      </c>
      <c r="S250">
        <v>666</v>
      </c>
      <c r="T250">
        <v>541</v>
      </c>
    </row>
    <row r="251" spans="1:20" x14ac:dyDescent="0.35">
      <c r="A251" s="7" t="s">
        <v>345</v>
      </c>
      <c r="B251" s="12" t="s">
        <v>106</v>
      </c>
      <c r="C251">
        <v>461150449.44590837</v>
      </c>
      <c r="D251">
        <v>471368422.12539512</v>
      </c>
      <c r="E251">
        <v>2983333.3333333321</v>
      </c>
      <c r="F251">
        <v>2898796.3963963971</v>
      </c>
      <c r="G251">
        <v>176</v>
      </c>
      <c r="H251">
        <v>114</v>
      </c>
      <c r="K251">
        <v>207</v>
      </c>
      <c r="L251">
        <v>125</v>
      </c>
      <c r="M251">
        <v>65514414.414414413</v>
      </c>
      <c r="N251">
        <v>128056804.50450452</v>
      </c>
      <c r="O251">
        <v>114502234.23423424</v>
      </c>
      <c r="P251">
        <v>120520540.54054055</v>
      </c>
      <c r="Q251">
        <v>60080990.990990989</v>
      </c>
      <c r="R251">
        <v>125920495.49549548</v>
      </c>
      <c r="S251">
        <v>6470</v>
      </c>
      <c r="T251">
        <v>6074</v>
      </c>
    </row>
    <row r="252" spans="1:20" x14ac:dyDescent="0.35">
      <c r="A252" s="7" t="s">
        <v>346</v>
      </c>
      <c r="B252" s="12" t="s">
        <v>88</v>
      </c>
      <c r="C252">
        <v>134092066.41563395</v>
      </c>
      <c r="D252">
        <v>134951218.48282558</v>
      </c>
      <c r="E252">
        <v>995495.49549549504</v>
      </c>
      <c r="F252">
        <v>1539999.099099098</v>
      </c>
      <c r="G252">
        <v>62</v>
      </c>
      <c r="H252">
        <v>61</v>
      </c>
      <c r="K252">
        <v>66</v>
      </c>
      <c r="L252">
        <v>67</v>
      </c>
      <c r="M252">
        <v>37354414.414414406</v>
      </c>
      <c r="N252">
        <v>35454242.342342347</v>
      </c>
      <c r="O252">
        <v>35881100</v>
      </c>
      <c r="P252">
        <v>41295383.783783786</v>
      </c>
      <c r="Q252">
        <v>28556032.432432432</v>
      </c>
      <c r="R252">
        <v>24187881.081081081</v>
      </c>
      <c r="S252">
        <v>2290</v>
      </c>
      <c r="T252">
        <v>2217</v>
      </c>
    </row>
    <row r="253" spans="1:20" x14ac:dyDescent="0.35">
      <c r="A253" s="7" t="s">
        <v>347</v>
      </c>
      <c r="B253" s="12" t="s">
        <v>88</v>
      </c>
      <c r="C253">
        <v>390760879.19450831</v>
      </c>
      <c r="D253">
        <v>356878247.72490799</v>
      </c>
      <c r="E253">
        <v>4063288.2882882892</v>
      </c>
      <c r="F253">
        <v>3161355.8558558589</v>
      </c>
      <c r="G253">
        <v>217</v>
      </c>
      <c r="H253">
        <v>235</v>
      </c>
      <c r="I253">
        <v>4</v>
      </c>
      <c r="K253">
        <v>268</v>
      </c>
      <c r="L253">
        <v>281</v>
      </c>
      <c r="M253">
        <v>37018738.738738738</v>
      </c>
      <c r="N253">
        <v>42232057.657657653</v>
      </c>
      <c r="O253">
        <v>63187763.963963971</v>
      </c>
      <c r="P253">
        <v>70588351.351351351</v>
      </c>
      <c r="Q253">
        <v>27794504.504504506</v>
      </c>
      <c r="R253">
        <v>34714414.414414413</v>
      </c>
      <c r="S253">
        <v>7545</v>
      </c>
      <c r="T253">
        <v>6340</v>
      </c>
    </row>
    <row r="254" spans="1:20" x14ac:dyDescent="0.35">
      <c r="A254" s="7" t="s">
        <v>348</v>
      </c>
      <c r="B254" s="12" t="s">
        <v>88</v>
      </c>
      <c r="C254">
        <v>11413448.756965972</v>
      </c>
      <c r="D254">
        <v>11728572.990402255</v>
      </c>
      <c r="G254">
        <v>26</v>
      </c>
      <c r="H254">
        <v>10</v>
      </c>
      <c r="K254">
        <v>27</v>
      </c>
      <c r="L254">
        <v>11</v>
      </c>
      <c r="O254">
        <v>5170666.6666666679</v>
      </c>
      <c r="P254">
        <v>6440495.4954954972</v>
      </c>
      <c r="S254">
        <v>874</v>
      </c>
      <c r="T254">
        <v>795</v>
      </c>
    </row>
    <row r="255" spans="1:20" x14ac:dyDescent="0.35">
      <c r="A255" s="7" t="s">
        <v>349</v>
      </c>
      <c r="B255" s="12" t="s">
        <v>88</v>
      </c>
      <c r="C255">
        <v>5104724.0093425419</v>
      </c>
      <c r="D255">
        <v>4378711.1264781244</v>
      </c>
      <c r="G255">
        <v>3</v>
      </c>
      <c r="K255">
        <v>3</v>
      </c>
      <c r="O255">
        <v>1706351.351351351</v>
      </c>
      <c r="P255">
        <v>1531711.711711711</v>
      </c>
      <c r="S255">
        <v>176</v>
      </c>
      <c r="T255">
        <v>186</v>
      </c>
    </row>
    <row r="256" spans="1:20" x14ac:dyDescent="0.35">
      <c r="A256" s="7" t="s">
        <v>350</v>
      </c>
      <c r="B256" s="12" t="s">
        <v>88</v>
      </c>
      <c r="C256">
        <v>4255760.3694286151</v>
      </c>
      <c r="D256">
        <v>2062186.2371011551</v>
      </c>
      <c r="G256">
        <v>7</v>
      </c>
      <c r="H256">
        <v>5</v>
      </c>
      <c r="K256">
        <v>14</v>
      </c>
      <c r="L256">
        <v>10</v>
      </c>
      <c r="O256">
        <v>2316585.5855855858</v>
      </c>
      <c r="P256">
        <v>1388963.963963964</v>
      </c>
      <c r="S256">
        <v>667</v>
      </c>
      <c r="T256">
        <v>621</v>
      </c>
    </row>
    <row r="257" spans="1:20" x14ac:dyDescent="0.35">
      <c r="A257" s="7" t="s">
        <v>351</v>
      </c>
      <c r="B257" s="12" t="s">
        <v>88</v>
      </c>
      <c r="C257">
        <v>123698630.60970162</v>
      </c>
      <c r="D257">
        <v>124626326.59003995</v>
      </c>
      <c r="E257">
        <v>188288.28828828901</v>
      </c>
      <c r="F257">
        <v>1150580.1801801811</v>
      </c>
      <c r="G257">
        <v>93</v>
      </c>
      <c r="H257">
        <v>63</v>
      </c>
      <c r="I257">
        <v>1</v>
      </c>
      <c r="K257">
        <v>98</v>
      </c>
      <c r="L257">
        <v>72</v>
      </c>
      <c r="M257">
        <v>9046306.3063063081</v>
      </c>
      <c r="N257">
        <v>15275575.675675675</v>
      </c>
      <c r="O257">
        <v>23460563.063063063</v>
      </c>
      <c r="P257">
        <v>29442279.27927928</v>
      </c>
      <c r="Q257">
        <v>8251981.9819819815</v>
      </c>
      <c r="R257">
        <v>12898108.108108109</v>
      </c>
      <c r="S257">
        <v>1770</v>
      </c>
      <c r="T257">
        <v>1987</v>
      </c>
    </row>
    <row r="258" spans="1:20" x14ac:dyDescent="0.35">
      <c r="A258" s="7" t="s">
        <v>352</v>
      </c>
      <c r="B258" s="12" t="s">
        <v>51</v>
      </c>
      <c r="C258">
        <v>333186970.04182643</v>
      </c>
      <c r="D258">
        <v>316109780.41600156</v>
      </c>
      <c r="E258">
        <v>4026801.8018018031</v>
      </c>
      <c r="F258">
        <v>3034234.2342342362</v>
      </c>
      <c r="G258">
        <v>88</v>
      </c>
      <c r="H258">
        <v>123</v>
      </c>
      <c r="K258">
        <v>96</v>
      </c>
      <c r="L258">
        <v>165</v>
      </c>
      <c r="M258">
        <v>57222342.342342339</v>
      </c>
      <c r="N258">
        <v>52741036.036036029</v>
      </c>
      <c r="O258">
        <v>129309238.73873873</v>
      </c>
      <c r="P258">
        <v>130657225.22522523</v>
      </c>
      <c r="Q258">
        <v>54305945.945945941</v>
      </c>
      <c r="R258">
        <v>51031216.216216214</v>
      </c>
      <c r="S258">
        <v>4622</v>
      </c>
      <c r="T258">
        <v>5129</v>
      </c>
    </row>
    <row r="259" spans="1:20" x14ac:dyDescent="0.35">
      <c r="A259" s="7" t="s">
        <v>353</v>
      </c>
      <c r="B259" s="12" t="s">
        <v>124</v>
      </c>
      <c r="C259">
        <v>2004090.1071936081</v>
      </c>
      <c r="D259">
        <v>3253290.7553485418</v>
      </c>
      <c r="G259">
        <v>2</v>
      </c>
      <c r="H259">
        <v>1</v>
      </c>
      <c r="K259">
        <v>2</v>
      </c>
      <c r="L259">
        <v>1</v>
      </c>
      <c r="O259">
        <v>767657.65765765798</v>
      </c>
      <c r="P259">
        <v>938684.68468468497</v>
      </c>
      <c r="S259">
        <v>131</v>
      </c>
      <c r="T259">
        <v>121</v>
      </c>
    </row>
    <row r="260" spans="1:20" x14ac:dyDescent="0.35">
      <c r="A260" s="7" t="s">
        <v>354</v>
      </c>
      <c r="B260" s="12" t="s">
        <v>355</v>
      </c>
      <c r="C260">
        <v>575193549.40231121</v>
      </c>
      <c r="D260">
        <v>608759812.37548876</v>
      </c>
      <c r="E260">
        <v>11287387.387387387</v>
      </c>
      <c r="F260">
        <v>22831283.783783782</v>
      </c>
      <c r="G260">
        <v>474</v>
      </c>
      <c r="H260">
        <v>673</v>
      </c>
      <c r="I260">
        <v>1</v>
      </c>
      <c r="K260">
        <v>627</v>
      </c>
      <c r="L260">
        <v>696</v>
      </c>
      <c r="M260">
        <v>363920135.13513511</v>
      </c>
      <c r="N260">
        <v>366379204.5045045</v>
      </c>
      <c r="O260">
        <v>343178954.95495492</v>
      </c>
      <c r="P260">
        <v>366710864.86486489</v>
      </c>
      <c r="Q260">
        <v>386643288.28828824</v>
      </c>
      <c r="R260">
        <v>347741801.8018018</v>
      </c>
      <c r="S260">
        <v>10323</v>
      </c>
      <c r="T260">
        <v>9992</v>
      </c>
    </row>
    <row r="261" spans="1:20" x14ac:dyDescent="0.35">
      <c r="A261" s="7" t="s">
        <v>356</v>
      </c>
      <c r="B261" s="12" t="s">
        <v>49</v>
      </c>
      <c r="C261">
        <v>406277937.93176556</v>
      </c>
      <c r="D261">
        <v>439070384.38600135</v>
      </c>
      <c r="E261">
        <v>1869369.3693693711</v>
      </c>
      <c r="F261">
        <v>813183.783783786</v>
      </c>
      <c r="G261">
        <v>44</v>
      </c>
      <c r="H261">
        <v>14</v>
      </c>
      <c r="K261">
        <v>45</v>
      </c>
      <c r="L261">
        <v>17</v>
      </c>
      <c r="M261">
        <v>8701801.8018018007</v>
      </c>
      <c r="N261">
        <v>959491.89189189405</v>
      </c>
      <c r="O261">
        <v>30933756.756756756</v>
      </c>
      <c r="P261">
        <v>36023387.387387387</v>
      </c>
      <c r="Q261">
        <v>8656306.3063063063</v>
      </c>
      <c r="R261">
        <v>1110180.1801801829</v>
      </c>
      <c r="S261">
        <v>5784</v>
      </c>
      <c r="T261">
        <v>5629</v>
      </c>
    </row>
    <row r="262" spans="1:20" x14ac:dyDescent="0.35">
      <c r="A262" s="7" t="s">
        <v>357</v>
      </c>
      <c r="B262" s="12" t="s">
        <v>124</v>
      </c>
      <c r="C262">
        <v>446887093.85440129</v>
      </c>
      <c r="D262">
        <v>434700778.98642701</v>
      </c>
      <c r="E262">
        <v>201170900.9009009</v>
      </c>
      <c r="F262">
        <v>430172159.45945948</v>
      </c>
      <c r="G262">
        <v>103</v>
      </c>
      <c r="H262">
        <v>67</v>
      </c>
      <c r="K262">
        <v>107</v>
      </c>
      <c r="L262">
        <v>73</v>
      </c>
      <c r="M262">
        <v>24648783.783783782</v>
      </c>
      <c r="N262">
        <v>18938826.126126125</v>
      </c>
      <c r="O262">
        <v>94328531.531531543</v>
      </c>
      <c r="P262">
        <v>103709720.72072072</v>
      </c>
      <c r="Q262">
        <v>21604324.324324325</v>
      </c>
      <c r="R262">
        <v>17929279.27927928</v>
      </c>
      <c r="S262">
        <v>6668</v>
      </c>
      <c r="T262">
        <v>5927</v>
      </c>
    </row>
    <row r="263" spans="1:20" x14ac:dyDescent="0.35">
      <c r="A263" s="7" t="s">
        <v>358</v>
      </c>
      <c r="B263" s="12" t="s">
        <v>63</v>
      </c>
      <c r="C263">
        <v>242626279.81931311</v>
      </c>
      <c r="D263">
        <v>246558236.22598863</v>
      </c>
      <c r="E263">
        <v>3114414.414414417</v>
      </c>
      <c r="F263">
        <v>1938795.4954954991</v>
      </c>
      <c r="G263">
        <v>51</v>
      </c>
      <c r="H263">
        <v>9</v>
      </c>
      <c r="K263">
        <v>54</v>
      </c>
      <c r="L263">
        <v>12</v>
      </c>
      <c r="M263">
        <v>39165405.40540541</v>
      </c>
      <c r="N263">
        <v>50759333.333333336</v>
      </c>
      <c r="O263">
        <v>68202765.765765771</v>
      </c>
      <c r="P263">
        <v>77192360.360360354</v>
      </c>
      <c r="Q263">
        <v>37950540.540540546</v>
      </c>
      <c r="R263">
        <v>32223693.693693694</v>
      </c>
      <c r="S263">
        <v>4261</v>
      </c>
      <c r="T263">
        <v>3709</v>
      </c>
    </row>
    <row r="264" spans="1:20" x14ac:dyDescent="0.35">
      <c r="A264" s="7" t="s">
        <v>359</v>
      </c>
      <c r="B264" s="12" t="s">
        <v>316</v>
      </c>
      <c r="C264">
        <v>5705625.5849834774</v>
      </c>
      <c r="D264">
        <v>15229212.190628519</v>
      </c>
      <c r="G264">
        <v>10</v>
      </c>
      <c r="H264">
        <v>16</v>
      </c>
      <c r="K264">
        <v>11</v>
      </c>
      <c r="L264">
        <v>16</v>
      </c>
      <c r="O264">
        <v>2316846.8468468469</v>
      </c>
      <c r="P264">
        <v>7956306.3063063063</v>
      </c>
      <c r="T264">
        <v>573</v>
      </c>
    </row>
    <row r="265" spans="1:20" x14ac:dyDescent="0.35">
      <c r="A265" s="7" t="s">
        <v>360</v>
      </c>
      <c r="B265" s="12" t="s">
        <v>316</v>
      </c>
      <c r="C265">
        <v>243081862.056656</v>
      </c>
      <c r="D265">
        <v>192772466.05667073</v>
      </c>
      <c r="E265">
        <v>1806306.3063063051</v>
      </c>
      <c r="F265">
        <v>1234529.729729729</v>
      </c>
      <c r="G265">
        <v>55</v>
      </c>
      <c r="H265">
        <v>31</v>
      </c>
      <c r="K265">
        <v>64</v>
      </c>
      <c r="L265">
        <v>37</v>
      </c>
      <c r="M265">
        <v>61394054.054054059</v>
      </c>
      <c r="N265">
        <v>78732862.162162155</v>
      </c>
      <c r="O265">
        <v>87914981.981981978</v>
      </c>
      <c r="P265">
        <v>80622225.225225225</v>
      </c>
      <c r="Q265">
        <v>55635855.855855852</v>
      </c>
      <c r="R265">
        <v>73703333.333333328</v>
      </c>
      <c r="S265">
        <v>3344</v>
      </c>
      <c r="T265">
        <v>3184</v>
      </c>
    </row>
    <row r="266" spans="1:20" x14ac:dyDescent="0.35">
      <c r="A266" s="7" t="s">
        <v>361</v>
      </c>
      <c r="B266" s="12" t="s">
        <v>93</v>
      </c>
      <c r="C266">
        <v>447026979.13779956</v>
      </c>
      <c r="D266">
        <v>442645990.80923522</v>
      </c>
      <c r="E266">
        <v>9342342.3423423395</v>
      </c>
      <c r="F266">
        <v>6797127.9279279299</v>
      </c>
      <c r="G266">
        <v>226</v>
      </c>
      <c r="H266">
        <v>107</v>
      </c>
      <c r="I266">
        <v>2</v>
      </c>
      <c r="K266">
        <v>260</v>
      </c>
      <c r="L266">
        <v>149</v>
      </c>
      <c r="M266">
        <v>109327387.38738739</v>
      </c>
      <c r="N266">
        <v>88498683.783783779</v>
      </c>
      <c r="O266">
        <v>129065007.2072072</v>
      </c>
      <c r="P266">
        <v>131554297.2972973</v>
      </c>
      <c r="Q266">
        <v>103953827.02702703</v>
      </c>
      <c r="R266">
        <v>83253423.423423424</v>
      </c>
      <c r="S266">
        <v>6847</v>
      </c>
      <c r="T266">
        <v>7189</v>
      </c>
    </row>
    <row r="267" spans="1:20" x14ac:dyDescent="0.35">
      <c r="A267" s="7" t="s">
        <v>362</v>
      </c>
      <c r="B267" s="12" t="s">
        <v>59</v>
      </c>
      <c r="C267">
        <v>870845463.68948078</v>
      </c>
      <c r="D267">
        <v>891214813.73743868</v>
      </c>
      <c r="E267">
        <v>1798873.8738738759</v>
      </c>
      <c r="F267">
        <v>4664785.5855855877</v>
      </c>
      <c r="G267">
        <v>140</v>
      </c>
      <c r="H267">
        <v>256</v>
      </c>
      <c r="K267">
        <v>152</v>
      </c>
      <c r="L267">
        <v>287</v>
      </c>
      <c r="M267">
        <v>35319819.819819823</v>
      </c>
      <c r="N267">
        <v>79911485.585585579</v>
      </c>
      <c r="O267">
        <v>136309072.07207206</v>
      </c>
      <c r="P267">
        <v>159160324.32432431</v>
      </c>
      <c r="Q267">
        <v>33622252.252252258</v>
      </c>
      <c r="R267">
        <v>74925315.315315306</v>
      </c>
      <c r="S267">
        <v>14292</v>
      </c>
      <c r="T267">
        <v>12827</v>
      </c>
    </row>
    <row r="268" spans="1:20" x14ac:dyDescent="0.35">
      <c r="A268" s="7" t="s">
        <v>363</v>
      </c>
      <c r="B268" s="12" t="s">
        <v>49</v>
      </c>
      <c r="C268">
        <v>309076328.91794217</v>
      </c>
      <c r="D268">
        <v>316403289.44640362</v>
      </c>
      <c r="E268">
        <v>106439639.63963965</v>
      </c>
      <c r="F268">
        <v>57634455.855855852</v>
      </c>
      <c r="G268">
        <v>25</v>
      </c>
      <c r="H268">
        <v>9</v>
      </c>
      <c r="K268">
        <v>30</v>
      </c>
      <c r="L268">
        <v>10</v>
      </c>
      <c r="M268">
        <v>58778918.918918923</v>
      </c>
      <c r="N268">
        <v>33706824.324324325</v>
      </c>
      <c r="O268">
        <v>50020387.387387387</v>
      </c>
      <c r="P268">
        <v>57759567.567567565</v>
      </c>
      <c r="Q268">
        <v>48783693.69369369</v>
      </c>
      <c r="R268">
        <v>18284234.234234236</v>
      </c>
      <c r="S268">
        <v>4075</v>
      </c>
      <c r="T268">
        <v>3862</v>
      </c>
    </row>
    <row r="269" spans="1:20" x14ac:dyDescent="0.35">
      <c r="A269" s="7" t="s">
        <v>364</v>
      </c>
      <c r="B269" s="12" t="s">
        <v>53</v>
      </c>
      <c r="C269">
        <v>130897792.62308061</v>
      </c>
      <c r="D269">
        <v>129851948.8393824</v>
      </c>
      <c r="E269">
        <v>397297.29729729798</v>
      </c>
      <c r="F269">
        <v>1129279.2792792821</v>
      </c>
      <c r="G269">
        <v>71</v>
      </c>
      <c r="H269">
        <v>26</v>
      </c>
      <c r="K269">
        <v>84</v>
      </c>
      <c r="L269">
        <v>32</v>
      </c>
      <c r="M269">
        <v>2703603.6036036038</v>
      </c>
      <c r="N269">
        <v>6318918.9189189188</v>
      </c>
      <c r="O269">
        <v>62608774.774774775</v>
      </c>
      <c r="P269">
        <v>61298178.378378376</v>
      </c>
      <c r="Q269">
        <v>2655585.5855855849</v>
      </c>
      <c r="R269">
        <v>6175855.8558558542</v>
      </c>
      <c r="S269">
        <v>3583</v>
      </c>
      <c r="T269">
        <v>2352</v>
      </c>
    </row>
    <row r="270" spans="1:20" x14ac:dyDescent="0.35">
      <c r="A270" s="7" t="s">
        <v>365</v>
      </c>
      <c r="B270" s="12" t="s">
        <v>53</v>
      </c>
      <c r="C270">
        <v>100294156.52061848</v>
      </c>
      <c r="D270">
        <v>100914575.35592112</v>
      </c>
      <c r="E270">
        <v>3550450.450450453</v>
      </c>
      <c r="F270">
        <v>3329312.6126126121</v>
      </c>
      <c r="G270">
        <v>106</v>
      </c>
      <c r="H270">
        <v>62</v>
      </c>
      <c r="I270">
        <v>1</v>
      </c>
      <c r="K270">
        <v>453</v>
      </c>
      <c r="L270">
        <v>163</v>
      </c>
      <c r="M270">
        <v>10443063.063063065</v>
      </c>
      <c r="N270">
        <v>17506483.783783782</v>
      </c>
      <c r="O270">
        <v>56053720.720720723</v>
      </c>
      <c r="P270">
        <v>57044981.981981985</v>
      </c>
      <c r="Q270">
        <v>14870540.540540541</v>
      </c>
      <c r="R270">
        <v>16640180.180180181</v>
      </c>
      <c r="S270">
        <v>3021</v>
      </c>
      <c r="T270">
        <v>2434</v>
      </c>
    </row>
    <row r="271" spans="1:20" x14ac:dyDescent="0.35">
      <c r="A271" s="7" t="s">
        <v>366</v>
      </c>
      <c r="B271" s="12" t="s">
        <v>53</v>
      </c>
      <c r="C271">
        <v>1138085765.6895118</v>
      </c>
      <c r="D271">
        <v>1139525723.1113603</v>
      </c>
      <c r="E271">
        <v>343483242.34234232</v>
      </c>
      <c r="F271">
        <v>362927227.02702701</v>
      </c>
      <c r="G271">
        <v>396</v>
      </c>
      <c r="H271">
        <v>715</v>
      </c>
      <c r="I271">
        <v>5</v>
      </c>
      <c r="K271">
        <v>936</v>
      </c>
      <c r="L271">
        <v>1318</v>
      </c>
      <c r="M271">
        <v>80492439.639639646</v>
      </c>
      <c r="N271">
        <v>586732632.43243241</v>
      </c>
      <c r="O271">
        <v>413248636.93693697</v>
      </c>
      <c r="P271">
        <v>430252072.07207209</v>
      </c>
      <c r="Q271">
        <v>87964594.594594598</v>
      </c>
      <c r="R271">
        <v>129220000</v>
      </c>
      <c r="S271">
        <v>34532</v>
      </c>
      <c r="T271">
        <v>21387</v>
      </c>
    </row>
    <row r="272" spans="1:20" x14ac:dyDescent="0.35">
      <c r="A272" s="7" t="s">
        <v>367</v>
      </c>
      <c r="B272" s="12" t="s">
        <v>294</v>
      </c>
      <c r="C272">
        <v>652779501.15380692</v>
      </c>
      <c r="D272">
        <v>651801955.42153502</v>
      </c>
      <c r="E272">
        <v>151960013.51351351</v>
      </c>
      <c r="F272">
        <v>146316654.95495495</v>
      </c>
      <c r="G272">
        <v>347</v>
      </c>
      <c r="H272">
        <v>101</v>
      </c>
      <c r="K272">
        <v>399</v>
      </c>
      <c r="L272">
        <v>308</v>
      </c>
      <c r="M272">
        <v>88470720.720720738</v>
      </c>
      <c r="N272">
        <v>129165595.4954955</v>
      </c>
      <c r="O272">
        <v>211438435.13513514</v>
      </c>
      <c r="P272">
        <v>214620275.67567569</v>
      </c>
      <c r="Q272">
        <v>81286486.486486495</v>
      </c>
      <c r="R272">
        <v>111524727.92792794</v>
      </c>
      <c r="S272">
        <v>18236</v>
      </c>
      <c r="T272">
        <v>10548</v>
      </c>
    </row>
    <row r="273" spans="1:20" x14ac:dyDescent="0.35">
      <c r="A273" s="7" t="s">
        <v>368</v>
      </c>
      <c r="B273" s="12" t="s">
        <v>369</v>
      </c>
      <c r="C273">
        <v>278602042.78884953</v>
      </c>
      <c r="D273">
        <v>264070106.389689</v>
      </c>
      <c r="E273">
        <v>3715090.0900900881</v>
      </c>
      <c r="F273">
        <v>9367247.7477477472</v>
      </c>
      <c r="G273">
        <v>75</v>
      </c>
      <c r="H273">
        <v>39</v>
      </c>
      <c r="K273">
        <v>90</v>
      </c>
      <c r="L273">
        <v>44</v>
      </c>
      <c r="M273">
        <v>106989189.18918918</v>
      </c>
      <c r="N273">
        <v>124486073.87387387</v>
      </c>
      <c r="O273">
        <v>118695621.62162161</v>
      </c>
      <c r="P273">
        <v>115750646.84684685</v>
      </c>
      <c r="Q273">
        <v>109111801.80180179</v>
      </c>
      <c r="R273">
        <v>122617477.47747748</v>
      </c>
      <c r="S273">
        <v>6306</v>
      </c>
      <c r="T273">
        <v>3792</v>
      </c>
    </row>
    <row r="274" spans="1:20" x14ac:dyDescent="0.35">
      <c r="A274" s="7" t="s">
        <v>370</v>
      </c>
      <c r="B274" s="12" t="s">
        <v>71</v>
      </c>
      <c r="C274">
        <v>80160348.567131236</v>
      </c>
      <c r="D274">
        <v>79888612.246525943</v>
      </c>
      <c r="E274">
        <v>117908490.990991</v>
      </c>
      <c r="F274">
        <v>184877143.24324322</v>
      </c>
      <c r="G274">
        <v>51</v>
      </c>
      <c r="H274">
        <v>34</v>
      </c>
      <c r="K274">
        <v>84</v>
      </c>
      <c r="L274">
        <v>50</v>
      </c>
      <c r="M274">
        <v>52375685.585585587</v>
      </c>
      <c r="N274">
        <v>59078692.79279279</v>
      </c>
      <c r="O274">
        <v>26512801.801801804</v>
      </c>
      <c r="P274">
        <v>26499639.639639638</v>
      </c>
      <c r="Q274">
        <v>15426036.036036037</v>
      </c>
      <c r="R274">
        <v>15060180.180180181</v>
      </c>
      <c r="S274">
        <v>1514</v>
      </c>
      <c r="T274">
        <v>1211</v>
      </c>
    </row>
    <row r="275" spans="1:20" x14ac:dyDescent="0.35">
      <c r="A275" s="7" t="s">
        <v>371</v>
      </c>
      <c r="B275" s="12" t="s">
        <v>51</v>
      </c>
      <c r="C275">
        <v>167537274.55408034</v>
      </c>
      <c r="D275">
        <v>148096864.80612302</v>
      </c>
      <c r="E275">
        <v>1334234.2342342359</v>
      </c>
      <c r="F275">
        <v>1786746.8468468471</v>
      </c>
      <c r="G275">
        <v>40</v>
      </c>
      <c r="H275">
        <v>26</v>
      </c>
      <c r="K275">
        <v>43</v>
      </c>
      <c r="L275">
        <v>28</v>
      </c>
      <c r="M275">
        <v>14151171.171171168</v>
      </c>
      <c r="N275">
        <v>14407918.018018018</v>
      </c>
      <c r="O275">
        <v>75776567.567567572</v>
      </c>
      <c r="P275">
        <v>67432117.117117122</v>
      </c>
      <c r="Q275">
        <v>13309099.0990991</v>
      </c>
      <c r="R275">
        <v>12763333.333333334</v>
      </c>
      <c r="S275">
        <v>2977</v>
      </c>
      <c r="T275">
        <v>2923</v>
      </c>
    </row>
    <row r="276" spans="1:20" x14ac:dyDescent="0.35">
      <c r="A276" s="7" t="s">
        <v>372</v>
      </c>
      <c r="B276" s="12" t="s">
        <v>122</v>
      </c>
      <c r="C276">
        <v>164506086.05995178</v>
      </c>
      <c r="D276">
        <v>155387929.53601411</v>
      </c>
      <c r="E276">
        <v>1026126.126126126</v>
      </c>
      <c r="F276">
        <v>1052323.423423426</v>
      </c>
      <c r="G276">
        <v>68</v>
      </c>
      <c r="H276">
        <v>85</v>
      </c>
      <c r="K276">
        <v>78</v>
      </c>
      <c r="L276">
        <v>94</v>
      </c>
      <c r="M276">
        <v>6409909.9099099096</v>
      </c>
      <c r="N276">
        <v>5921127.927927929</v>
      </c>
      <c r="O276">
        <v>16367153.153153151</v>
      </c>
      <c r="P276">
        <v>17709927.927927926</v>
      </c>
      <c r="Q276">
        <v>5171891.8918918911</v>
      </c>
      <c r="R276">
        <v>4988648.6486486476</v>
      </c>
      <c r="S276">
        <v>2977</v>
      </c>
      <c r="T276">
        <v>3676</v>
      </c>
    </row>
    <row r="277" spans="1:20" x14ac:dyDescent="0.35">
      <c r="A277" s="7" t="s">
        <v>373</v>
      </c>
      <c r="B277" s="12" t="s">
        <v>374</v>
      </c>
      <c r="C277">
        <v>380435366.58359897</v>
      </c>
      <c r="D277">
        <v>382931649.59403872</v>
      </c>
      <c r="E277">
        <v>69649664.864864871</v>
      </c>
      <c r="F277">
        <v>118917304.50450452</v>
      </c>
      <c r="G277">
        <v>58</v>
      </c>
      <c r="H277">
        <v>33</v>
      </c>
      <c r="K277">
        <v>61</v>
      </c>
      <c r="L277">
        <v>42</v>
      </c>
      <c r="M277">
        <v>82278648.648648635</v>
      </c>
      <c r="N277">
        <v>116935400.9009009</v>
      </c>
      <c r="O277">
        <v>145232000</v>
      </c>
      <c r="P277">
        <v>154021959.45945945</v>
      </c>
      <c r="Q277">
        <v>69986306.306306303</v>
      </c>
      <c r="R277">
        <v>80321756.756756753</v>
      </c>
      <c r="S277">
        <v>11203</v>
      </c>
      <c r="T277">
        <v>10082</v>
      </c>
    </row>
    <row r="278" spans="1:20" x14ac:dyDescent="0.35">
      <c r="A278" s="7" t="s">
        <v>375</v>
      </c>
      <c r="B278" s="12" t="s">
        <v>67</v>
      </c>
      <c r="C278">
        <v>280789049.25132018</v>
      </c>
      <c r="D278">
        <v>294031858.05389553</v>
      </c>
      <c r="E278">
        <v>14279279.27927928</v>
      </c>
      <c r="F278">
        <v>17476776.576576579</v>
      </c>
      <c r="G278">
        <v>120</v>
      </c>
      <c r="H278">
        <v>60</v>
      </c>
      <c r="K278">
        <v>133</v>
      </c>
      <c r="L278">
        <v>70</v>
      </c>
      <c r="M278">
        <v>208723153.15315315</v>
      </c>
      <c r="N278">
        <v>387847852.25225222</v>
      </c>
      <c r="O278">
        <v>102887828.82882883</v>
      </c>
      <c r="P278">
        <v>111980457.65765767</v>
      </c>
      <c r="Q278">
        <v>205722072.07207206</v>
      </c>
      <c r="R278">
        <v>263780178.37837836</v>
      </c>
      <c r="S278">
        <v>11740</v>
      </c>
      <c r="T278">
        <v>7076</v>
      </c>
    </row>
    <row r="279" spans="1:20" x14ac:dyDescent="0.35">
      <c r="A279" s="7" t="s">
        <v>376</v>
      </c>
      <c r="B279" s="12" t="s">
        <v>355</v>
      </c>
      <c r="C279">
        <v>421553345.24823684</v>
      </c>
      <c r="D279">
        <v>423689938.78548276</v>
      </c>
      <c r="E279">
        <v>430562619.81981987</v>
      </c>
      <c r="F279">
        <v>486960669.36936933</v>
      </c>
      <c r="G279">
        <v>567</v>
      </c>
      <c r="H279">
        <v>526</v>
      </c>
      <c r="K279">
        <v>581</v>
      </c>
      <c r="L279">
        <v>542</v>
      </c>
      <c r="M279">
        <v>114105450.45045045</v>
      </c>
      <c r="N279">
        <v>165399436.03603604</v>
      </c>
      <c r="O279">
        <v>258095333.33333334</v>
      </c>
      <c r="P279">
        <v>252661918.91891891</v>
      </c>
      <c r="Q279">
        <v>107765135.13513513</v>
      </c>
      <c r="R279">
        <v>83402972.972972974</v>
      </c>
      <c r="S279">
        <v>8156</v>
      </c>
      <c r="T279">
        <v>6699</v>
      </c>
    </row>
    <row r="280" spans="1:20" x14ac:dyDescent="0.35">
      <c r="A280" s="7" t="s">
        <v>377</v>
      </c>
      <c r="B280" s="12" t="s">
        <v>67</v>
      </c>
      <c r="C280">
        <v>161162095.90443477</v>
      </c>
      <c r="D280">
        <v>166687676.45787799</v>
      </c>
      <c r="E280">
        <v>455019819.81981987</v>
      </c>
      <c r="F280">
        <v>481690091.8918919</v>
      </c>
      <c r="G280">
        <v>66</v>
      </c>
      <c r="H280">
        <v>32</v>
      </c>
      <c r="K280">
        <v>128</v>
      </c>
      <c r="L280">
        <v>36</v>
      </c>
      <c r="M280">
        <v>46806576.576576576</v>
      </c>
      <c r="N280">
        <v>126781209.009009</v>
      </c>
      <c r="O280">
        <v>76396328.828828827</v>
      </c>
      <c r="P280">
        <v>76291153.153153151</v>
      </c>
      <c r="Q280">
        <v>22178378.378378376</v>
      </c>
      <c r="R280">
        <v>94799864.864864871</v>
      </c>
      <c r="S280">
        <v>8627</v>
      </c>
      <c r="T280">
        <v>5141</v>
      </c>
    </row>
    <row r="281" spans="1:20" x14ac:dyDescent="0.35">
      <c r="A281" s="7" t="s">
        <v>378</v>
      </c>
      <c r="B281" s="12" t="s">
        <v>261</v>
      </c>
      <c r="C281">
        <v>134856990.57256123</v>
      </c>
      <c r="D281">
        <v>135087393.3367908</v>
      </c>
      <c r="E281">
        <v>243243.24324324401</v>
      </c>
      <c r="F281">
        <v>684019.81981981895</v>
      </c>
      <c r="G281">
        <v>10</v>
      </c>
      <c r="H281">
        <v>27</v>
      </c>
      <c r="K281">
        <v>10</v>
      </c>
      <c r="L281">
        <v>34</v>
      </c>
      <c r="M281">
        <v>10477477.477477476</v>
      </c>
      <c r="N281">
        <v>8270091.8918918921</v>
      </c>
      <c r="O281">
        <v>21928171.171171173</v>
      </c>
      <c r="P281">
        <v>29778509.009009007</v>
      </c>
      <c r="Q281">
        <v>5880990.9909909908</v>
      </c>
      <c r="R281">
        <v>8245225.2252252251</v>
      </c>
      <c r="S281">
        <v>1712</v>
      </c>
      <c r="T281">
        <v>1593</v>
      </c>
    </row>
    <row r="282" spans="1:20" x14ac:dyDescent="0.35">
      <c r="A282" s="7" t="s">
        <v>379</v>
      </c>
      <c r="B282" s="12" t="s">
        <v>355</v>
      </c>
      <c r="C282">
        <v>351025484.16405421</v>
      </c>
      <c r="D282">
        <v>339612955.97133958</v>
      </c>
      <c r="E282">
        <v>5579279.2792792805</v>
      </c>
      <c r="F282">
        <v>8589124.3243243247</v>
      </c>
      <c r="G282">
        <v>70</v>
      </c>
      <c r="H282">
        <v>125</v>
      </c>
      <c r="K282">
        <v>74</v>
      </c>
      <c r="L282">
        <v>132</v>
      </c>
      <c r="M282">
        <v>63721711.711711712</v>
      </c>
      <c r="N282">
        <v>81624280.180180177</v>
      </c>
      <c r="O282">
        <v>192794014.41441441</v>
      </c>
      <c r="P282">
        <v>188948774.77477479</v>
      </c>
      <c r="Q282">
        <v>61688468.468468472</v>
      </c>
      <c r="R282">
        <v>77645675.675675675</v>
      </c>
      <c r="S282">
        <v>4996</v>
      </c>
      <c r="T282">
        <v>4683</v>
      </c>
    </row>
    <row r="283" spans="1:20" x14ac:dyDescent="0.35">
      <c r="A283" s="7" t="s">
        <v>380</v>
      </c>
      <c r="B283" s="12" t="s">
        <v>88</v>
      </c>
      <c r="C283">
        <v>8853338.4189745374</v>
      </c>
      <c r="D283">
        <v>9226084.3919349741</v>
      </c>
      <c r="E283">
        <v>94408450.45045045</v>
      </c>
      <c r="F283">
        <v>82721168.468468457</v>
      </c>
      <c r="G283">
        <v>2</v>
      </c>
      <c r="H283">
        <v>7</v>
      </c>
      <c r="K283">
        <v>3</v>
      </c>
      <c r="L283">
        <v>7</v>
      </c>
      <c r="O283">
        <v>557117.11711711704</v>
      </c>
      <c r="P283">
        <v>1628603.603603604</v>
      </c>
      <c r="S283">
        <v>156</v>
      </c>
      <c r="T283">
        <v>240</v>
      </c>
    </row>
    <row r="284" spans="1:20" x14ac:dyDescent="0.35">
      <c r="A284" s="7" t="s">
        <v>381</v>
      </c>
      <c r="B284" s="12" t="s">
        <v>88</v>
      </c>
      <c r="C284">
        <v>12342630.58157848</v>
      </c>
      <c r="D284">
        <v>11507012.677403372</v>
      </c>
      <c r="E284">
        <v>14954954.954954956</v>
      </c>
      <c r="F284">
        <v>32639138.738738742</v>
      </c>
      <c r="G284">
        <v>27</v>
      </c>
      <c r="H284">
        <v>34</v>
      </c>
      <c r="K284">
        <v>29</v>
      </c>
      <c r="L284">
        <v>40</v>
      </c>
      <c r="M284">
        <v>29729.729729729999</v>
      </c>
      <c r="N284">
        <v>2702702.702702703</v>
      </c>
      <c r="O284">
        <v>1552531.5315315321</v>
      </c>
      <c r="P284">
        <v>2034504.5045045051</v>
      </c>
      <c r="S284">
        <v>392</v>
      </c>
      <c r="T284">
        <v>319</v>
      </c>
    </row>
    <row r="285" spans="1:20" x14ac:dyDescent="0.35">
      <c r="A285" s="7" t="s">
        <v>382</v>
      </c>
      <c r="B285" s="12" t="s">
        <v>81</v>
      </c>
      <c r="C285">
        <v>2352026869.0767326</v>
      </c>
      <c r="D285">
        <v>2373839276.6424389</v>
      </c>
      <c r="E285">
        <v>1387140828.8288288</v>
      </c>
      <c r="F285">
        <v>1113978214.4144144</v>
      </c>
      <c r="G285">
        <v>920</v>
      </c>
      <c r="H285">
        <v>655</v>
      </c>
      <c r="I285">
        <v>14</v>
      </c>
      <c r="K285">
        <v>1069</v>
      </c>
      <c r="L285">
        <v>937</v>
      </c>
      <c r="M285">
        <v>406146396.3963964</v>
      </c>
      <c r="N285">
        <v>631543239.63963974</v>
      </c>
      <c r="O285">
        <v>613051784.23423421</v>
      </c>
      <c r="P285">
        <v>676288496.3963964</v>
      </c>
      <c r="Q285">
        <v>360197837.83783782</v>
      </c>
      <c r="R285">
        <v>325672926.12612617</v>
      </c>
      <c r="S285">
        <v>45049</v>
      </c>
      <c r="T285">
        <v>37181</v>
      </c>
    </row>
    <row r="286" spans="1:20" x14ac:dyDescent="0.35">
      <c r="A286" s="7" t="s">
        <v>383</v>
      </c>
      <c r="B286" s="12" t="s">
        <v>81</v>
      </c>
      <c r="C286">
        <v>647138587.23135245</v>
      </c>
      <c r="D286">
        <v>624419142.39104128</v>
      </c>
      <c r="E286">
        <v>8663288.2882882915</v>
      </c>
      <c r="F286">
        <v>8818776.5765765812</v>
      </c>
      <c r="G286">
        <v>218</v>
      </c>
      <c r="H286">
        <v>227</v>
      </c>
      <c r="I286">
        <v>1</v>
      </c>
      <c r="K286">
        <v>277</v>
      </c>
      <c r="L286">
        <v>324</v>
      </c>
      <c r="M286">
        <v>135344144.14414415</v>
      </c>
      <c r="N286">
        <v>151200845.94594595</v>
      </c>
      <c r="O286">
        <v>268784555.4054054</v>
      </c>
      <c r="P286">
        <v>273207258.55855858</v>
      </c>
      <c r="Q286">
        <v>117160760.36036035</v>
      </c>
      <c r="R286">
        <v>134238735.13513514</v>
      </c>
      <c r="S286">
        <v>10880</v>
      </c>
      <c r="T286">
        <v>9904</v>
      </c>
    </row>
    <row r="287" spans="1:20" x14ac:dyDescent="0.35">
      <c r="A287" s="7" t="s">
        <v>384</v>
      </c>
      <c r="B287" s="12" t="s">
        <v>81</v>
      </c>
      <c r="C287">
        <v>818056646.6989994</v>
      </c>
      <c r="D287">
        <v>834305092.94746614</v>
      </c>
      <c r="E287">
        <v>884303.60360360495</v>
      </c>
      <c r="F287">
        <v>2050852.2522522539</v>
      </c>
      <c r="G287">
        <v>121</v>
      </c>
      <c r="H287">
        <v>65</v>
      </c>
      <c r="I287">
        <v>3</v>
      </c>
      <c r="K287">
        <v>131</v>
      </c>
      <c r="L287">
        <v>77</v>
      </c>
      <c r="M287">
        <v>58894193.693693697</v>
      </c>
      <c r="N287">
        <v>52062393.693693697</v>
      </c>
      <c r="O287">
        <v>166112963.96396396</v>
      </c>
      <c r="P287">
        <v>178316313.51351351</v>
      </c>
      <c r="Q287">
        <v>62492972.972972974</v>
      </c>
      <c r="R287">
        <v>52039549.54954955</v>
      </c>
      <c r="S287">
        <v>9822</v>
      </c>
      <c r="T287">
        <v>9396</v>
      </c>
    </row>
    <row r="288" spans="1:20" x14ac:dyDescent="0.35">
      <c r="A288" s="7" t="s">
        <v>385</v>
      </c>
      <c r="B288" s="12" t="s">
        <v>69</v>
      </c>
      <c r="C288">
        <v>352892700.82646644</v>
      </c>
      <c r="D288">
        <v>336027065.21378398</v>
      </c>
      <c r="E288">
        <v>1393693.6936936961</v>
      </c>
      <c r="F288">
        <v>2496176.5765765798</v>
      </c>
      <c r="G288">
        <v>72</v>
      </c>
      <c r="H288">
        <v>48</v>
      </c>
      <c r="I288">
        <v>3</v>
      </c>
      <c r="K288">
        <v>78</v>
      </c>
      <c r="L288">
        <v>57</v>
      </c>
      <c r="M288">
        <v>14744144.144144144</v>
      </c>
      <c r="N288">
        <v>16862405.405405406</v>
      </c>
      <c r="O288">
        <v>49962045.045045048</v>
      </c>
      <c r="P288">
        <v>50078463.063063063</v>
      </c>
      <c r="Q288">
        <v>13056756.756756756</v>
      </c>
      <c r="R288">
        <v>15220630.630630633</v>
      </c>
      <c r="S288">
        <v>5344</v>
      </c>
      <c r="T288">
        <v>5259</v>
      </c>
    </row>
    <row r="289" spans="1:20" x14ac:dyDescent="0.35">
      <c r="A289" s="7" t="s">
        <v>386</v>
      </c>
      <c r="B289" s="12" t="s">
        <v>168</v>
      </c>
      <c r="C289">
        <v>118210696.56108487</v>
      </c>
      <c r="D289">
        <v>140056091.21491712</v>
      </c>
      <c r="E289">
        <v>2042342.342342342</v>
      </c>
      <c r="F289">
        <v>4513216.2162162149</v>
      </c>
      <c r="G289">
        <v>45</v>
      </c>
      <c r="H289">
        <v>26</v>
      </c>
      <c r="K289">
        <v>53</v>
      </c>
      <c r="L289">
        <v>32</v>
      </c>
      <c r="M289">
        <v>27637903.603603605</v>
      </c>
      <c r="N289">
        <v>24449378.37837838</v>
      </c>
      <c r="O289">
        <v>51207270.270270273</v>
      </c>
      <c r="P289">
        <v>63990646.846846849</v>
      </c>
      <c r="Q289">
        <v>23827387.387387387</v>
      </c>
      <c r="R289">
        <v>26864414.414414417</v>
      </c>
      <c r="S289">
        <v>2735</v>
      </c>
      <c r="T289">
        <v>2457</v>
      </c>
    </row>
    <row r="290" spans="1:20" x14ac:dyDescent="0.35">
      <c r="A290" s="7" t="s">
        <v>387</v>
      </c>
      <c r="B290" s="12" t="s">
        <v>95</v>
      </c>
      <c r="C290">
        <v>694422940.92363274</v>
      </c>
      <c r="D290">
        <v>715050965.21731317</v>
      </c>
      <c r="E290">
        <v>833333.33333333395</v>
      </c>
      <c r="F290">
        <v>3094036.0360360369</v>
      </c>
      <c r="G290">
        <v>160</v>
      </c>
      <c r="H290">
        <v>157</v>
      </c>
      <c r="I290">
        <v>2</v>
      </c>
      <c r="K290">
        <v>179</v>
      </c>
      <c r="L290">
        <v>174</v>
      </c>
      <c r="M290">
        <v>24624324.324324325</v>
      </c>
      <c r="N290">
        <v>28667027.027027026</v>
      </c>
      <c r="O290">
        <v>81097338.738738731</v>
      </c>
      <c r="P290">
        <v>103514135.13513513</v>
      </c>
      <c r="Q290">
        <v>19524144.144144144</v>
      </c>
      <c r="R290">
        <v>17459189.189189188</v>
      </c>
      <c r="S290">
        <v>8325</v>
      </c>
      <c r="T290">
        <v>9266</v>
      </c>
    </row>
    <row r="291" spans="1:20" x14ac:dyDescent="0.35">
      <c r="A291" s="7" t="s">
        <v>388</v>
      </c>
      <c r="B291" s="12" t="s">
        <v>215</v>
      </c>
      <c r="C291">
        <v>126789929.32147996</v>
      </c>
      <c r="D291">
        <v>137199042.33708394</v>
      </c>
      <c r="E291">
        <v>1434234.234234235</v>
      </c>
      <c r="F291">
        <v>1323423.4234234239</v>
      </c>
      <c r="G291">
        <v>48</v>
      </c>
      <c r="H291">
        <v>9</v>
      </c>
      <c r="K291">
        <v>53</v>
      </c>
      <c r="L291">
        <v>11</v>
      </c>
      <c r="M291">
        <v>3236036.036036036</v>
      </c>
      <c r="N291">
        <v>5669819.8198198201</v>
      </c>
      <c r="O291">
        <v>60216558.558558561</v>
      </c>
      <c r="P291">
        <v>64118360.360360362</v>
      </c>
      <c r="Q291">
        <v>2896666.666666667</v>
      </c>
      <c r="R291">
        <v>5386396.3963963967</v>
      </c>
      <c r="S291">
        <v>2494</v>
      </c>
      <c r="T291">
        <v>2474</v>
      </c>
    </row>
    <row r="292" spans="1:20" x14ac:dyDescent="0.35">
      <c r="A292" s="7" t="s">
        <v>389</v>
      </c>
      <c r="B292" s="12" t="s">
        <v>118</v>
      </c>
      <c r="C292">
        <v>52006258.43815688</v>
      </c>
      <c r="D292">
        <v>50061704.710312366</v>
      </c>
      <c r="E292">
        <v>826126.12612612499</v>
      </c>
      <c r="F292">
        <v>868468.46846847003</v>
      </c>
      <c r="G292">
        <v>39</v>
      </c>
      <c r="H292">
        <v>35</v>
      </c>
      <c r="K292">
        <v>46</v>
      </c>
      <c r="L292">
        <v>39</v>
      </c>
      <c r="M292">
        <v>15465881.081081079</v>
      </c>
      <c r="N292">
        <v>9949490.9909909926</v>
      </c>
      <c r="O292">
        <v>24248837.837837841</v>
      </c>
      <c r="P292">
        <v>22400243.243243244</v>
      </c>
      <c r="Q292">
        <v>13628648.648648648</v>
      </c>
      <c r="R292">
        <v>10387747.747747747</v>
      </c>
      <c r="S292">
        <v>2234</v>
      </c>
      <c r="T292">
        <v>1703</v>
      </c>
    </row>
    <row r="293" spans="1:20" x14ac:dyDescent="0.35">
      <c r="A293" s="7" t="s">
        <v>390</v>
      </c>
      <c r="B293" s="12" t="s">
        <v>316</v>
      </c>
      <c r="C293">
        <v>225867942.466416</v>
      </c>
      <c r="D293">
        <v>223621388.9007102</v>
      </c>
      <c r="E293">
        <v>678378.37837837799</v>
      </c>
      <c r="F293">
        <v>102136.936936937</v>
      </c>
      <c r="G293">
        <v>25</v>
      </c>
      <c r="H293">
        <v>13</v>
      </c>
      <c r="I293">
        <v>2</v>
      </c>
      <c r="K293">
        <v>25</v>
      </c>
      <c r="L293">
        <v>14</v>
      </c>
      <c r="M293">
        <v>8245945.9459459456</v>
      </c>
      <c r="N293">
        <v>10564837.837837838</v>
      </c>
      <c r="O293">
        <v>45910954.954954952</v>
      </c>
      <c r="P293">
        <v>46678387.387387387</v>
      </c>
      <c r="Q293">
        <v>9052072.072072072</v>
      </c>
      <c r="R293">
        <v>10921621.62162162</v>
      </c>
      <c r="S293">
        <v>2764</v>
      </c>
      <c r="T293">
        <v>3695</v>
      </c>
    </row>
    <row r="294" spans="1:20" x14ac:dyDescent="0.35">
      <c r="A294" s="7" t="s">
        <v>391</v>
      </c>
      <c r="B294" s="12" t="s">
        <v>225</v>
      </c>
      <c r="C294">
        <v>92741761.402783632</v>
      </c>
      <c r="D294">
        <v>86878520.335553184</v>
      </c>
      <c r="E294">
        <v>148433873.87387389</v>
      </c>
      <c r="F294">
        <v>186576576.57657659</v>
      </c>
      <c r="G294">
        <v>11</v>
      </c>
      <c r="H294">
        <v>6</v>
      </c>
      <c r="K294">
        <v>12</v>
      </c>
      <c r="L294">
        <v>6</v>
      </c>
      <c r="M294">
        <v>3965315.315315315</v>
      </c>
      <c r="N294">
        <v>4322522.5225225231</v>
      </c>
      <c r="O294">
        <v>17644774.774774775</v>
      </c>
      <c r="P294">
        <v>16808765.765765764</v>
      </c>
      <c r="S294">
        <v>1548</v>
      </c>
      <c r="T294">
        <v>1368</v>
      </c>
    </row>
    <row r="295" spans="1:20" x14ac:dyDescent="0.35">
      <c r="A295" s="7" t="s">
        <v>6</v>
      </c>
      <c r="B295" s="12" t="s">
        <v>194</v>
      </c>
      <c r="C295">
        <v>833475697.60113668</v>
      </c>
      <c r="D295">
        <v>791245685.23635364</v>
      </c>
      <c r="E295">
        <v>101461736.03603604</v>
      </c>
      <c r="F295">
        <v>141667847.74774775</v>
      </c>
      <c r="G295">
        <v>560</v>
      </c>
      <c r="H295">
        <v>808</v>
      </c>
      <c r="K295">
        <v>979</v>
      </c>
      <c r="L295">
        <v>1326</v>
      </c>
      <c r="M295">
        <v>361308454.05405408</v>
      </c>
      <c r="N295">
        <v>543947231.53153157</v>
      </c>
      <c r="O295">
        <v>561515252.25225222</v>
      </c>
      <c r="P295">
        <v>544940099.09909904</v>
      </c>
      <c r="Q295">
        <v>328891621.62162161</v>
      </c>
      <c r="R295">
        <v>515925315.31531531</v>
      </c>
      <c r="S295">
        <v>14062</v>
      </c>
      <c r="T295">
        <v>13155</v>
      </c>
    </row>
    <row r="296" spans="1:20" x14ac:dyDescent="0.35">
      <c r="A296" s="7" t="s">
        <v>392</v>
      </c>
      <c r="B296" s="12" t="s">
        <v>122</v>
      </c>
      <c r="C296">
        <v>35896603.039138854</v>
      </c>
      <c r="D296">
        <v>35287621.770418078</v>
      </c>
      <c r="G296">
        <v>10</v>
      </c>
      <c r="H296">
        <v>25</v>
      </c>
      <c r="K296">
        <v>12</v>
      </c>
      <c r="L296">
        <v>27</v>
      </c>
      <c r="O296">
        <v>1783450.4504504499</v>
      </c>
      <c r="P296">
        <v>2561891.8918918921</v>
      </c>
      <c r="S296">
        <v>598</v>
      </c>
      <c r="T296">
        <v>579</v>
      </c>
    </row>
    <row r="297" spans="1:20" x14ac:dyDescent="0.35">
      <c r="A297" s="7" t="s">
        <v>393</v>
      </c>
      <c r="B297" s="12" t="s">
        <v>135</v>
      </c>
      <c r="C297">
        <v>109738682.73968887</v>
      </c>
      <c r="D297">
        <v>116816003.03528062</v>
      </c>
      <c r="E297">
        <v>67567.567567567996</v>
      </c>
      <c r="F297">
        <v>582882.88288288296</v>
      </c>
      <c r="G297">
        <v>33</v>
      </c>
      <c r="H297">
        <v>18</v>
      </c>
      <c r="K297">
        <v>40</v>
      </c>
      <c r="L297">
        <v>25</v>
      </c>
      <c r="M297">
        <v>7292792.7927927906</v>
      </c>
      <c r="N297">
        <v>11134684.684684685</v>
      </c>
      <c r="O297">
        <v>22318232.432432432</v>
      </c>
      <c r="P297">
        <v>31353765.765765768</v>
      </c>
      <c r="Q297">
        <v>2310090.0900900909</v>
      </c>
      <c r="R297">
        <v>4297657.6576576577</v>
      </c>
      <c r="S297">
        <v>3881</v>
      </c>
      <c r="T297">
        <v>3632</v>
      </c>
    </row>
    <row r="298" spans="1:20" x14ac:dyDescent="0.35">
      <c r="A298" s="7" t="s">
        <v>394</v>
      </c>
      <c r="B298" s="12" t="s">
        <v>59</v>
      </c>
      <c r="C298">
        <v>540749734.22829092</v>
      </c>
      <c r="D298">
        <v>560626683.21090174</v>
      </c>
      <c r="E298">
        <v>14346396.3963964</v>
      </c>
      <c r="F298">
        <v>9116079.2792792842</v>
      </c>
      <c r="G298">
        <v>189</v>
      </c>
      <c r="H298">
        <v>147</v>
      </c>
      <c r="K298">
        <v>219</v>
      </c>
      <c r="L298">
        <v>194</v>
      </c>
      <c r="M298">
        <v>46872972.972972974</v>
      </c>
      <c r="N298">
        <v>95394877.477477476</v>
      </c>
      <c r="O298">
        <v>87277189.189189181</v>
      </c>
      <c r="P298">
        <v>99407522.522522524</v>
      </c>
      <c r="Q298">
        <v>53329729.729729727</v>
      </c>
      <c r="R298">
        <v>95086576.576576576</v>
      </c>
      <c r="S298">
        <v>10000</v>
      </c>
      <c r="T298">
        <v>9881</v>
      </c>
    </row>
    <row r="299" spans="1:20" x14ac:dyDescent="0.35">
      <c r="A299" s="7" t="s">
        <v>395</v>
      </c>
      <c r="B299" s="12" t="s">
        <v>135</v>
      </c>
      <c r="C299">
        <v>187587262.68861267</v>
      </c>
      <c r="D299">
        <v>196842399.88365579</v>
      </c>
      <c r="E299">
        <v>1107657.6576576589</v>
      </c>
      <c r="F299">
        <v>1081624.324324324</v>
      </c>
      <c r="G299">
        <v>30</v>
      </c>
      <c r="H299">
        <v>23</v>
      </c>
      <c r="K299">
        <v>34</v>
      </c>
      <c r="L299">
        <v>29</v>
      </c>
      <c r="M299">
        <v>28238738.738738734</v>
      </c>
      <c r="N299">
        <v>27673402.702702705</v>
      </c>
      <c r="O299">
        <v>34042313.513513513</v>
      </c>
      <c r="P299">
        <v>41154135.135135137</v>
      </c>
      <c r="Q299">
        <v>18286666.666666664</v>
      </c>
      <c r="R299">
        <v>16435855.85585586</v>
      </c>
      <c r="S299">
        <v>4258</v>
      </c>
      <c r="T299">
        <v>3991</v>
      </c>
    </row>
    <row r="300" spans="1:20" x14ac:dyDescent="0.35">
      <c r="A300" s="7" t="s">
        <v>396</v>
      </c>
      <c r="B300" s="12" t="s">
        <v>55</v>
      </c>
      <c r="C300">
        <v>78699428.571322203</v>
      </c>
      <c r="D300">
        <v>75399796.604839891</v>
      </c>
      <c r="E300">
        <v>56756.756756757</v>
      </c>
      <c r="F300">
        <v>1182023.4234234239</v>
      </c>
      <c r="G300">
        <v>20</v>
      </c>
      <c r="H300">
        <v>23</v>
      </c>
      <c r="K300">
        <v>22</v>
      </c>
      <c r="L300">
        <v>23</v>
      </c>
      <c r="M300">
        <v>3281981.981981982</v>
      </c>
      <c r="N300">
        <v>10828398.198198196</v>
      </c>
      <c r="O300">
        <v>12652144.144144144</v>
      </c>
      <c r="P300">
        <v>13721666.666666668</v>
      </c>
      <c r="Q300">
        <v>3592072.072072072</v>
      </c>
      <c r="R300">
        <v>9856036.0360360369</v>
      </c>
      <c r="S300">
        <v>1712</v>
      </c>
      <c r="T300">
        <v>1558</v>
      </c>
    </row>
    <row r="301" spans="1:20" x14ac:dyDescent="0.35">
      <c r="A301" s="7" t="s">
        <v>397</v>
      </c>
      <c r="B301" s="12" t="s">
        <v>398</v>
      </c>
      <c r="C301">
        <v>555266218.5556196</v>
      </c>
      <c r="D301">
        <v>546160523.32577753</v>
      </c>
      <c r="E301">
        <v>5868918.9189189179</v>
      </c>
      <c r="F301">
        <v>7483910.8108108118</v>
      </c>
      <c r="G301">
        <v>446</v>
      </c>
      <c r="H301">
        <v>316</v>
      </c>
      <c r="I301">
        <v>2</v>
      </c>
      <c r="K301">
        <v>607</v>
      </c>
      <c r="L301">
        <v>420</v>
      </c>
      <c r="M301">
        <v>72233558.558558553</v>
      </c>
      <c r="N301">
        <v>65373498.198198199</v>
      </c>
      <c r="O301">
        <v>111364569.36936937</v>
      </c>
      <c r="P301">
        <v>116687756.75675675</v>
      </c>
      <c r="Q301">
        <v>64833288.288288288</v>
      </c>
      <c r="R301">
        <v>54732207.20720721</v>
      </c>
      <c r="S301">
        <v>12815</v>
      </c>
      <c r="T301">
        <v>9328</v>
      </c>
    </row>
    <row r="302" spans="1:20" x14ac:dyDescent="0.35">
      <c r="A302" s="7" t="s">
        <v>399</v>
      </c>
      <c r="B302" s="12" t="s">
        <v>400</v>
      </c>
      <c r="C302">
        <v>602192786.14628685</v>
      </c>
      <c r="D302">
        <v>599111030.77363896</v>
      </c>
      <c r="E302">
        <v>7991891.8918918939</v>
      </c>
      <c r="F302">
        <v>5961141.4414414428</v>
      </c>
      <c r="G302">
        <v>126</v>
      </c>
      <c r="H302">
        <v>124</v>
      </c>
      <c r="K302">
        <v>139</v>
      </c>
      <c r="L302">
        <v>145</v>
      </c>
      <c r="M302">
        <v>55731531.531531528</v>
      </c>
      <c r="N302">
        <v>61470422.522522517</v>
      </c>
      <c r="O302">
        <v>111458801.8018018</v>
      </c>
      <c r="P302">
        <v>118983450.45045045</v>
      </c>
      <c r="Q302">
        <v>54338108.108108111</v>
      </c>
      <c r="R302">
        <v>58511124.324324317</v>
      </c>
      <c r="S302">
        <v>12805</v>
      </c>
      <c r="T302">
        <v>11369</v>
      </c>
    </row>
    <row r="303" spans="1:20" x14ac:dyDescent="0.35">
      <c r="A303" s="7" t="s">
        <v>401</v>
      </c>
      <c r="B303" s="12" t="s">
        <v>141</v>
      </c>
      <c r="C303">
        <v>194117281.43329456</v>
      </c>
      <c r="D303">
        <v>198247156.03178051</v>
      </c>
      <c r="E303">
        <v>2718918.9189189202</v>
      </c>
      <c r="F303">
        <v>2561505.405405404</v>
      </c>
      <c r="G303">
        <v>55</v>
      </c>
      <c r="H303">
        <v>33</v>
      </c>
      <c r="K303">
        <v>59</v>
      </c>
      <c r="L303">
        <v>37</v>
      </c>
      <c r="M303">
        <v>41137117.117117122</v>
      </c>
      <c r="N303">
        <v>51215213.513513513</v>
      </c>
      <c r="O303">
        <v>60175806.306306303</v>
      </c>
      <c r="P303">
        <v>63826549.54954955</v>
      </c>
      <c r="Q303">
        <v>37775585.585585587</v>
      </c>
      <c r="R303">
        <v>41584954.954954959</v>
      </c>
      <c r="S303">
        <v>3580</v>
      </c>
      <c r="T303">
        <v>3249</v>
      </c>
    </row>
    <row r="304" spans="1:20" x14ac:dyDescent="0.35">
      <c r="A304" s="7" t="s">
        <v>402</v>
      </c>
      <c r="B304" s="12" t="s">
        <v>122</v>
      </c>
      <c r="C304">
        <v>53613982.283348419</v>
      </c>
      <c r="D304">
        <v>46579768.271999151</v>
      </c>
      <c r="E304">
        <v>414414.41441441502</v>
      </c>
      <c r="F304">
        <v>152628.82882882899</v>
      </c>
      <c r="G304">
        <v>18</v>
      </c>
      <c r="H304">
        <v>34</v>
      </c>
      <c r="K304">
        <v>22</v>
      </c>
      <c r="L304">
        <v>41</v>
      </c>
      <c r="M304">
        <v>3117117.1171171181</v>
      </c>
      <c r="N304">
        <v>2405896.3963963971</v>
      </c>
      <c r="O304">
        <v>5376542.7927927934</v>
      </c>
      <c r="P304">
        <v>6459819.8198198201</v>
      </c>
      <c r="Q304">
        <v>1482252.2522522521</v>
      </c>
      <c r="R304">
        <v>2083783.7837837839</v>
      </c>
      <c r="S304">
        <v>1160</v>
      </c>
      <c r="T304">
        <v>1041</v>
      </c>
    </row>
    <row r="305" spans="1:20" x14ac:dyDescent="0.35">
      <c r="A305" s="7" t="s">
        <v>403</v>
      </c>
      <c r="B305" s="12" t="s">
        <v>291</v>
      </c>
      <c r="C305">
        <v>84379930.290339217</v>
      </c>
      <c r="D305">
        <v>82665607.687618405</v>
      </c>
      <c r="E305">
        <v>19159909.909909911</v>
      </c>
      <c r="F305">
        <v>18259488.288288288</v>
      </c>
      <c r="G305">
        <v>19</v>
      </c>
      <c r="H305">
        <v>13</v>
      </c>
      <c r="K305">
        <v>22</v>
      </c>
      <c r="L305">
        <v>19</v>
      </c>
      <c r="M305">
        <v>3606306.3063063072</v>
      </c>
      <c r="N305">
        <v>5105767.5675675673</v>
      </c>
      <c r="O305">
        <v>11478243.243243244</v>
      </c>
      <c r="P305">
        <v>12276711.711711712</v>
      </c>
      <c r="Q305">
        <v>4085225.225225226</v>
      </c>
      <c r="R305">
        <v>3331621.6216216218</v>
      </c>
      <c r="S305">
        <v>2072</v>
      </c>
      <c r="T305">
        <v>1656</v>
      </c>
    </row>
    <row r="306" spans="1:20" x14ac:dyDescent="0.35">
      <c r="A306" s="7" t="s">
        <v>404</v>
      </c>
      <c r="B306" s="12" t="s">
        <v>122</v>
      </c>
      <c r="C306">
        <v>92009593.38690649</v>
      </c>
      <c r="D306">
        <v>85837971.805352539</v>
      </c>
      <c r="E306">
        <v>57432.432432431997</v>
      </c>
      <c r="F306">
        <v>9009.0090090100002</v>
      </c>
      <c r="G306">
        <v>16</v>
      </c>
      <c r="H306">
        <v>12</v>
      </c>
      <c r="K306">
        <v>19</v>
      </c>
      <c r="L306">
        <v>13</v>
      </c>
      <c r="M306">
        <v>60360.360360359999</v>
      </c>
      <c r="N306">
        <v>144144.14414414499</v>
      </c>
      <c r="O306">
        <v>6994180.1801801799</v>
      </c>
      <c r="P306">
        <v>8818819.8198198192</v>
      </c>
      <c r="Q306">
        <v>13513.513513514001</v>
      </c>
      <c r="R306">
        <v>162162.16216216201</v>
      </c>
      <c r="S306">
        <v>1244</v>
      </c>
      <c r="T306">
        <v>1091</v>
      </c>
    </row>
    <row r="307" spans="1:20" x14ac:dyDescent="0.35">
      <c r="A307" s="7" t="s">
        <v>405</v>
      </c>
      <c r="B307" s="12" t="s">
        <v>369</v>
      </c>
      <c r="C307">
        <v>208036827.40733525</v>
      </c>
      <c r="D307">
        <v>207902659.40037534</v>
      </c>
      <c r="E307">
        <v>127022149.54954955</v>
      </c>
      <c r="F307">
        <v>205702977.47747746</v>
      </c>
      <c r="G307">
        <v>135</v>
      </c>
      <c r="H307">
        <v>17</v>
      </c>
      <c r="K307">
        <v>172</v>
      </c>
      <c r="L307">
        <v>51</v>
      </c>
      <c r="M307">
        <v>87350720.720720723</v>
      </c>
      <c r="N307">
        <v>106365675.67567568</v>
      </c>
      <c r="O307">
        <v>74290608.108108118</v>
      </c>
      <c r="P307">
        <v>71009915.315315321</v>
      </c>
      <c r="Q307">
        <v>67955675.675675675</v>
      </c>
      <c r="R307">
        <v>88710990.990990996</v>
      </c>
      <c r="S307">
        <v>7308</v>
      </c>
      <c r="T307">
        <v>6128</v>
      </c>
    </row>
    <row r="308" spans="1:20" x14ac:dyDescent="0.35">
      <c r="A308" s="7" t="s">
        <v>406</v>
      </c>
      <c r="B308" s="12" t="s">
        <v>141</v>
      </c>
      <c r="C308">
        <v>101633647.63392094</v>
      </c>
      <c r="D308">
        <v>103409478.8779687</v>
      </c>
      <c r="E308">
        <v>255630.63063063001</v>
      </c>
      <c r="F308">
        <v>193709.00900901001</v>
      </c>
      <c r="G308">
        <v>22</v>
      </c>
      <c r="H308">
        <v>11</v>
      </c>
      <c r="K308">
        <v>23</v>
      </c>
      <c r="L308">
        <v>15</v>
      </c>
      <c r="M308">
        <v>12647207.207207208</v>
      </c>
      <c r="N308">
        <v>22244606.306306303</v>
      </c>
      <c r="O308">
        <v>27444448.648648649</v>
      </c>
      <c r="P308">
        <v>31582594.594594598</v>
      </c>
      <c r="Q308">
        <v>13865225.225225225</v>
      </c>
      <c r="R308">
        <v>18653873.873873871</v>
      </c>
      <c r="S308">
        <v>1482</v>
      </c>
      <c r="T308">
        <v>1417</v>
      </c>
    </row>
    <row r="309" spans="1:20" x14ac:dyDescent="0.35">
      <c r="A309" s="7" t="s">
        <v>407</v>
      </c>
      <c r="B309" s="12" t="s">
        <v>55</v>
      </c>
      <c r="C309">
        <v>140207450.42577076</v>
      </c>
      <c r="D309">
        <v>141153707.58211353</v>
      </c>
      <c r="E309">
        <v>2723423.4234234262</v>
      </c>
      <c r="F309">
        <v>6293078.3783783782</v>
      </c>
      <c r="G309">
        <v>115</v>
      </c>
      <c r="H309">
        <v>79</v>
      </c>
      <c r="I309">
        <v>1</v>
      </c>
      <c r="K309">
        <v>194</v>
      </c>
      <c r="L309">
        <v>140</v>
      </c>
      <c r="M309">
        <v>13066126.126126127</v>
      </c>
      <c r="N309">
        <v>19548299.099099096</v>
      </c>
      <c r="O309">
        <v>31536927.927927926</v>
      </c>
      <c r="P309">
        <v>34292513.513513513</v>
      </c>
      <c r="Q309">
        <v>13319909.909909908</v>
      </c>
      <c r="R309">
        <v>16967837.837837838</v>
      </c>
      <c r="S309">
        <v>2441</v>
      </c>
      <c r="T309">
        <v>2264</v>
      </c>
    </row>
    <row r="310" spans="1:20" x14ac:dyDescent="0.35">
      <c r="A310" s="7" t="s">
        <v>408</v>
      </c>
      <c r="B310" s="12" t="s">
        <v>135</v>
      </c>
      <c r="C310">
        <v>63006529.893402807</v>
      </c>
      <c r="D310">
        <v>67116226.897057787</v>
      </c>
      <c r="E310">
        <v>26603603.603603605</v>
      </c>
      <c r="F310">
        <v>21962342.342342343</v>
      </c>
      <c r="G310">
        <v>7</v>
      </c>
      <c r="H310">
        <v>2</v>
      </c>
      <c r="K310">
        <v>7</v>
      </c>
      <c r="L310">
        <v>3</v>
      </c>
      <c r="M310">
        <v>2234234.2342342348</v>
      </c>
      <c r="N310">
        <v>3686249.5495495498</v>
      </c>
      <c r="O310">
        <v>5279477.4774774769</v>
      </c>
      <c r="P310">
        <v>7731657.6576576568</v>
      </c>
      <c r="Q310">
        <v>1662342.342342342</v>
      </c>
      <c r="R310">
        <v>3494144.1441441439</v>
      </c>
      <c r="S310">
        <v>1021</v>
      </c>
      <c r="T310">
        <v>977</v>
      </c>
    </row>
    <row r="311" spans="1:20" x14ac:dyDescent="0.35">
      <c r="A311" s="7" t="s">
        <v>409</v>
      </c>
      <c r="B311" s="12" t="s">
        <v>291</v>
      </c>
      <c r="C311">
        <v>35168836.771990418</v>
      </c>
      <c r="D311">
        <v>35952415.138731308</v>
      </c>
      <c r="E311">
        <v>952252.25225225301</v>
      </c>
      <c r="F311">
        <v>440750.45045045001</v>
      </c>
      <c r="G311">
        <v>16</v>
      </c>
      <c r="H311">
        <v>15</v>
      </c>
      <c r="K311">
        <v>18</v>
      </c>
      <c r="L311">
        <v>22</v>
      </c>
      <c r="M311">
        <v>11297297.297297299</v>
      </c>
      <c r="N311">
        <v>4568500</v>
      </c>
      <c r="O311">
        <v>7129981.9819819815</v>
      </c>
      <c r="P311">
        <v>7698936.9369369363</v>
      </c>
      <c r="Q311">
        <v>7698738.738738738</v>
      </c>
      <c r="R311">
        <v>2344954.9549549562</v>
      </c>
      <c r="S311">
        <v>1069</v>
      </c>
      <c r="T311">
        <v>908</v>
      </c>
    </row>
    <row r="312" spans="1:20" x14ac:dyDescent="0.35">
      <c r="A312" s="7" t="s">
        <v>410</v>
      </c>
      <c r="B312" s="12" t="s">
        <v>179</v>
      </c>
      <c r="C312">
        <v>625713110.86168861</v>
      </c>
      <c r="D312">
        <v>583513321.01886415</v>
      </c>
      <c r="E312">
        <v>4607207.2072072066</v>
      </c>
      <c r="F312">
        <v>5843406.3063063072</v>
      </c>
      <c r="G312">
        <v>220</v>
      </c>
      <c r="H312">
        <v>190</v>
      </c>
      <c r="K312">
        <v>385</v>
      </c>
      <c r="L312">
        <v>387</v>
      </c>
      <c r="M312">
        <v>65873774.774774775</v>
      </c>
      <c r="N312">
        <v>78891233.333333328</v>
      </c>
      <c r="O312">
        <v>214047202.7027027</v>
      </c>
      <c r="P312">
        <v>226172358.55855855</v>
      </c>
      <c r="Q312">
        <v>59578738.738738745</v>
      </c>
      <c r="R312">
        <v>75183603.603603601</v>
      </c>
      <c r="S312">
        <v>11376</v>
      </c>
      <c r="T312">
        <v>9687</v>
      </c>
    </row>
    <row r="313" spans="1:20" x14ac:dyDescent="0.35">
      <c r="A313" s="7" t="s">
        <v>664</v>
      </c>
      <c r="B313" s="12" t="s">
        <v>88</v>
      </c>
      <c r="S313">
        <v>6</v>
      </c>
    </row>
    <row r="314" spans="1:20" x14ac:dyDescent="0.35">
      <c r="A314" s="7" t="s">
        <v>411</v>
      </c>
      <c r="B314" s="12" t="s">
        <v>55</v>
      </c>
      <c r="C314">
        <v>1143176339.8879957</v>
      </c>
      <c r="D314">
        <v>1144628657.0438247</v>
      </c>
      <c r="E314">
        <v>180262429.72972974</v>
      </c>
      <c r="F314">
        <v>233391271.17117116</v>
      </c>
      <c r="G314">
        <v>415</v>
      </c>
      <c r="H314">
        <v>382</v>
      </c>
      <c r="I314">
        <v>1</v>
      </c>
      <c r="K314">
        <v>928</v>
      </c>
      <c r="L314">
        <v>888</v>
      </c>
      <c r="M314">
        <v>89482432.432432443</v>
      </c>
      <c r="N314">
        <v>197194973.87387389</v>
      </c>
      <c r="O314">
        <v>236496252.25225225</v>
      </c>
      <c r="P314">
        <v>250274908.1081081</v>
      </c>
      <c r="Q314">
        <v>79722792.792792782</v>
      </c>
      <c r="R314">
        <v>186708151.35135135</v>
      </c>
      <c r="S314">
        <v>20668</v>
      </c>
      <c r="T314">
        <v>19999</v>
      </c>
    </row>
    <row r="315" spans="1:20" x14ac:dyDescent="0.35">
      <c r="A315" s="7" t="s">
        <v>412</v>
      </c>
      <c r="B315" s="12" t="s">
        <v>225</v>
      </c>
      <c r="C315">
        <v>574296564.47768819</v>
      </c>
      <c r="D315">
        <v>653232045.91256893</v>
      </c>
      <c r="E315">
        <v>2161261.2612612648</v>
      </c>
      <c r="F315">
        <v>4842590.9909909936</v>
      </c>
      <c r="G315">
        <v>221</v>
      </c>
      <c r="H315">
        <v>171</v>
      </c>
      <c r="K315">
        <v>245</v>
      </c>
      <c r="L315">
        <v>205</v>
      </c>
      <c r="M315">
        <v>78497657.657657668</v>
      </c>
      <c r="N315">
        <v>112570972.07207207</v>
      </c>
      <c r="O315">
        <v>164247188.2882883</v>
      </c>
      <c r="P315">
        <v>202418601.8018018</v>
      </c>
      <c r="Q315">
        <v>78371935.135135129</v>
      </c>
      <c r="R315">
        <v>101768288.2882883</v>
      </c>
      <c r="S315">
        <v>14052</v>
      </c>
      <c r="T315">
        <v>12864</v>
      </c>
    </row>
    <row r="316" spans="1:20" x14ac:dyDescent="0.35">
      <c r="A316" s="7" t="s">
        <v>413</v>
      </c>
      <c r="B316" s="12" t="s">
        <v>414</v>
      </c>
      <c r="C316">
        <v>226859997.2699503</v>
      </c>
      <c r="D316">
        <v>221420311.94306779</v>
      </c>
      <c r="E316">
        <v>613063.06306306703</v>
      </c>
      <c r="F316">
        <v>1317100.000000004</v>
      </c>
      <c r="G316">
        <v>23</v>
      </c>
      <c r="H316">
        <v>26</v>
      </c>
      <c r="K316">
        <v>23</v>
      </c>
      <c r="L316">
        <v>31</v>
      </c>
      <c r="M316">
        <v>3721621.621621625</v>
      </c>
      <c r="N316">
        <v>144544600</v>
      </c>
      <c r="O316">
        <v>90582603.603603601</v>
      </c>
      <c r="P316">
        <v>98956594.594594598</v>
      </c>
      <c r="Q316">
        <v>4474414.4144144142</v>
      </c>
      <c r="R316">
        <v>5669819.819819821</v>
      </c>
      <c r="S316">
        <v>4281</v>
      </c>
      <c r="T316">
        <v>4015</v>
      </c>
    </row>
    <row r="317" spans="1:20" x14ac:dyDescent="0.35">
      <c r="A317" s="7" t="s">
        <v>415</v>
      </c>
      <c r="B317" s="12" t="s">
        <v>215</v>
      </c>
      <c r="C317">
        <v>1463426997.4740446</v>
      </c>
      <c r="D317">
        <v>1357128921.36902</v>
      </c>
      <c r="E317">
        <v>614929795.49549556</v>
      </c>
      <c r="F317">
        <v>491190684.68468469</v>
      </c>
      <c r="G317">
        <v>1314</v>
      </c>
      <c r="H317">
        <v>707</v>
      </c>
      <c r="I317">
        <v>3</v>
      </c>
      <c r="K317">
        <v>1431</v>
      </c>
      <c r="L317">
        <v>993</v>
      </c>
      <c r="M317">
        <v>210523018.01801801</v>
      </c>
      <c r="N317">
        <v>222377290.99099097</v>
      </c>
      <c r="O317">
        <v>649089529.72972977</v>
      </c>
      <c r="P317">
        <v>617212846.84684682</v>
      </c>
      <c r="Q317">
        <v>188002702.7027027</v>
      </c>
      <c r="R317">
        <v>206745135.13513514</v>
      </c>
      <c r="S317">
        <v>26394</v>
      </c>
      <c r="T317">
        <v>23424</v>
      </c>
    </row>
    <row r="318" spans="1:20" x14ac:dyDescent="0.35">
      <c r="A318" s="7" t="s">
        <v>416</v>
      </c>
      <c r="B318" s="12" t="s">
        <v>414</v>
      </c>
      <c r="C318">
        <v>127668474.89210069</v>
      </c>
      <c r="D318">
        <v>122458140.0674817</v>
      </c>
      <c r="E318">
        <v>793243.24324324494</v>
      </c>
      <c r="F318">
        <v>2367811.7117117122</v>
      </c>
      <c r="G318">
        <v>44</v>
      </c>
      <c r="H318">
        <v>27</v>
      </c>
      <c r="K318">
        <v>50</v>
      </c>
      <c r="L318">
        <v>28</v>
      </c>
      <c r="M318">
        <v>20353371.171171173</v>
      </c>
      <c r="N318">
        <v>23127790.090090092</v>
      </c>
      <c r="O318">
        <v>46542182.432432435</v>
      </c>
      <c r="P318">
        <v>48522027.027027026</v>
      </c>
      <c r="Q318">
        <v>17426486.486486487</v>
      </c>
      <c r="R318">
        <v>19164504.504504506</v>
      </c>
      <c r="S318">
        <v>3098</v>
      </c>
      <c r="T318">
        <v>2957</v>
      </c>
    </row>
    <row r="319" spans="1:20" x14ac:dyDescent="0.35">
      <c r="A319" s="7" t="s">
        <v>417</v>
      </c>
      <c r="B319" s="12" t="s">
        <v>237</v>
      </c>
      <c r="C319">
        <v>913710063.4105866</v>
      </c>
      <c r="D319">
        <v>901301874.96908462</v>
      </c>
      <c r="E319">
        <v>5754054.0540540516</v>
      </c>
      <c r="F319">
        <v>4600553.153153155</v>
      </c>
      <c r="G319">
        <v>348</v>
      </c>
      <c r="H319">
        <v>250</v>
      </c>
      <c r="I319">
        <v>8</v>
      </c>
      <c r="K319">
        <v>454</v>
      </c>
      <c r="L319">
        <v>381</v>
      </c>
      <c r="M319">
        <v>185762945.94594595</v>
      </c>
      <c r="N319">
        <v>150388074.77477479</v>
      </c>
      <c r="O319">
        <v>213516621.62162164</v>
      </c>
      <c r="P319">
        <v>229418926.12612611</v>
      </c>
      <c r="Q319">
        <v>178965945.94594595</v>
      </c>
      <c r="R319">
        <v>133921846.84684685</v>
      </c>
      <c r="S319">
        <v>12373</v>
      </c>
      <c r="T319">
        <v>10672</v>
      </c>
    </row>
    <row r="320" spans="1:20" x14ac:dyDescent="0.35">
      <c r="A320" s="7" t="s">
        <v>418</v>
      </c>
      <c r="B320" s="12" t="s">
        <v>118</v>
      </c>
      <c r="C320">
        <v>883071068.71355498</v>
      </c>
      <c r="D320">
        <v>889878062.30894351</v>
      </c>
      <c r="E320">
        <v>651937290.990991</v>
      </c>
      <c r="F320">
        <v>648268378.37837839</v>
      </c>
      <c r="G320">
        <v>760</v>
      </c>
      <c r="H320">
        <v>781</v>
      </c>
      <c r="I320">
        <v>12</v>
      </c>
      <c r="K320">
        <v>1175</v>
      </c>
      <c r="L320">
        <v>1902</v>
      </c>
      <c r="M320">
        <v>517913594.59459454</v>
      </c>
      <c r="N320">
        <v>453724187.38738739</v>
      </c>
      <c r="O320">
        <v>404027002.7027027</v>
      </c>
      <c r="P320">
        <v>447552980.18018013</v>
      </c>
      <c r="Q320">
        <v>514641891.8918919</v>
      </c>
      <c r="R320">
        <v>245033198.1981982</v>
      </c>
      <c r="S320">
        <v>20794</v>
      </c>
      <c r="T320">
        <v>17643</v>
      </c>
    </row>
    <row r="321" spans="1:20" x14ac:dyDescent="0.35">
      <c r="A321" s="7" t="s">
        <v>419</v>
      </c>
      <c r="B321" s="12" t="s">
        <v>148</v>
      </c>
      <c r="C321">
        <v>21658394.754237097</v>
      </c>
      <c r="D321">
        <v>22709111.72799477</v>
      </c>
      <c r="G321">
        <v>3</v>
      </c>
      <c r="H321">
        <v>5</v>
      </c>
      <c r="K321">
        <v>3</v>
      </c>
      <c r="L321">
        <v>5</v>
      </c>
      <c r="O321">
        <v>7290306.3063063072</v>
      </c>
      <c r="P321">
        <v>7444936.9369369363</v>
      </c>
      <c r="S321">
        <v>573</v>
      </c>
      <c r="T321">
        <v>460</v>
      </c>
    </row>
    <row r="322" spans="1:20" x14ac:dyDescent="0.35">
      <c r="A322" s="7" t="s">
        <v>420</v>
      </c>
      <c r="B322" s="12" t="s">
        <v>305</v>
      </c>
      <c r="C322">
        <v>194685033.26379558</v>
      </c>
      <c r="D322">
        <v>179067884.22125769</v>
      </c>
      <c r="E322">
        <v>4837612.6126126125</v>
      </c>
      <c r="F322">
        <v>4795360.3603603616</v>
      </c>
      <c r="G322">
        <v>144</v>
      </c>
      <c r="H322">
        <v>83</v>
      </c>
      <c r="K322">
        <v>155</v>
      </c>
      <c r="L322">
        <v>104</v>
      </c>
      <c r="M322">
        <v>35653153.153153151</v>
      </c>
      <c r="N322">
        <v>43410810.810810819</v>
      </c>
      <c r="O322">
        <v>43630498.198198199</v>
      </c>
      <c r="P322">
        <v>40890027.027027026</v>
      </c>
      <c r="Q322">
        <v>34085135.135135137</v>
      </c>
      <c r="R322">
        <v>41083513.513513513</v>
      </c>
      <c r="S322">
        <v>4790</v>
      </c>
      <c r="T322">
        <v>2353</v>
      </c>
    </row>
    <row r="323" spans="1:20" x14ac:dyDescent="0.35">
      <c r="A323" s="7" t="s">
        <v>421</v>
      </c>
      <c r="B323" s="12" t="s">
        <v>305</v>
      </c>
      <c r="C323">
        <v>218041535.37903148</v>
      </c>
      <c r="D323">
        <v>214490251.69695586</v>
      </c>
      <c r="E323">
        <v>156442241.44144145</v>
      </c>
      <c r="F323">
        <v>145676682.88288289</v>
      </c>
      <c r="G323">
        <v>655</v>
      </c>
      <c r="H323">
        <v>343</v>
      </c>
      <c r="K323">
        <v>936</v>
      </c>
      <c r="L323">
        <v>681</v>
      </c>
      <c r="M323">
        <v>40181981.981981985</v>
      </c>
      <c r="N323">
        <v>71337958.558558553</v>
      </c>
      <c r="O323">
        <v>64619627.027027026</v>
      </c>
      <c r="P323">
        <v>68095093.693693697</v>
      </c>
      <c r="Q323">
        <v>35263466.666666672</v>
      </c>
      <c r="R323">
        <v>41099863.063063055</v>
      </c>
      <c r="S323">
        <v>9509</v>
      </c>
      <c r="T323">
        <v>2958</v>
      </c>
    </row>
    <row r="324" spans="1:20" x14ac:dyDescent="0.35">
      <c r="A324" s="7" t="s">
        <v>422</v>
      </c>
      <c r="B324" s="12" t="s">
        <v>122</v>
      </c>
      <c r="C324">
        <v>10641312.446534269</v>
      </c>
      <c r="D324">
        <v>10162007.269711396</v>
      </c>
      <c r="E324">
        <v>123648.648648649</v>
      </c>
      <c r="F324">
        <v>67567.567567567996</v>
      </c>
      <c r="G324">
        <v>5</v>
      </c>
      <c r="H324">
        <v>6</v>
      </c>
      <c r="K324">
        <v>5</v>
      </c>
      <c r="L324">
        <v>6</v>
      </c>
      <c r="M324">
        <v>127927.927927928</v>
      </c>
      <c r="N324">
        <v>247747.74774774801</v>
      </c>
      <c r="O324">
        <v>1274765.7657657659</v>
      </c>
      <c r="P324">
        <v>1000630.630630631</v>
      </c>
      <c r="Q324">
        <v>182432.43243243199</v>
      </c>
      <c r="R324">
        <v>262612.61261261202</v>
      </c>
      <c r="S324">
        <v>441</v>
      </c>
      <c r="T324">
        <v>294</v>
      </c>
    </row>
    <row r="325" spans="1:20" x14ac:dyDescent="0.35">
      <c r="A325" s="7" t="s">
        <v>423</v>
      </c>
      <c r="B325" s="12" t="s">
        <v>61</v>
      </c>
      <c r="C325">
        <v>115149795.34455952</v>
      </c>
      <c r="D325">
        <v>110223593.98376587</v>
      </c>
      <c r="E325">
        <v>1230630.6306306319</v>
      </c>
      <c r="F325">
        <v>1348614.4144144149</v>
      </c>
      <c r="G325">
        <v>48</v>
      </c>
      <c r="H325">
        <v>39</v>
      </c>
      <c r="I325">
        <v>5</v>
      </c>
      <c r="K325">
        <v>59</v>
      </c>
      <c r="L325">
        <v>70</v>
      </c>
      <c r="M325">
        <v>27863063.063063063</v>
      </c>
      <c r="N325">
        <v>22124738.738738734</v>
      </c>
      <c r="O325">
        <v>40520495.495495498</v>
      </c>
      <c r="P325">
        <v>41382873.873873875</v>
      </c>
      <c r="Q325">
        <v>25509279.27927928</v>
      </c>
      <c r="R325">
        <v>24624504.504504506</v>
      </c>
      <c r="S325">
        <v>2586</v>
      </c>
      <c r="T325">
        <v>2162</v>
      </c>
    </row>
    <row r="326" spans="1:20" x14ac:dyDescent="0.35">
      <c r="A326" s="7" t="s">
        <v>424</v>
      </c>
      <c r="B326" s="12" t="s">
        <v>182</v>
      </c>
      <c r="C326">
        <v>1119712607.5131571</v>
      </c>
      <c r="D326">
        <v>1159259157.9270029</v>
      </c>
      <c r="E326">
        <v>14204054.054054054</v>
      </c>
      <c r="F326">
        <v>14957589.189189199</v>
      </c>
      <c r="G326">
        <v>457</v>
      </c>
      <c r="H326">
        <v>431</v>
      </c>
      <c r="I326">
        <v>7</v>
      </c>
      <c r="K326">
        <v>640</v>
      </c>
      <c r="L326">
        <v>553</v>
      </c>
      <c r="M326">
        <v>196707567.56756756</v>
      </c>
      <c r="N326">
        <v>256140326.12612611</v>
      </c>
      <c r="O326">
        <v>321782212.61261261</v>
      </c>
      <c r="P326">
        <v>347918000</v>
      </c>
      <c r="Q326">
        <v>188918108.1081081</v>
      </c>
      <c r="R326">
        <v>254545000</v>
      </c>
      <c r="S326">
        <v>31953</v>
      </c>
      <c r="T326">
        <v>22398</v>
      </c>
    </row>
    <row r="327" spans="1:20" x14ac:dyDescent="0.35">
      <c r="A327" s="7" t="s">
        <v>425</v>
      </c>
      <c r="B327" s="12" t="s">
        <v>77</v>
      </c>
      <c r="C327">
        <v>38203644.571004361</v>
      </c>
      <c r="D327">
        <v>32509044.731047481</v>
      </c>
      <c r="E327">
        <v>81081.081081081997</v>
      </c>
      <c r="F327">
        <v>176295.495495496</v>
      </c>
      <c r="G327">
        <v>8</v>
      </c>
      <c r="H327">
        <v>4</v>
      </c>
      <c r="K327">
        <v>9</v>
      </c>
      <c r="L327">
        <v>5</v>
      </c>
      <c r="M327">
        <v>2990990.9909909908</v>
      </c>
      <c r="N327">
        <v>3600225.2252252251</v>
      </c>
      <c r="O327">
        <v>3450153.1531531531</v>
      </c>
      <c r="P327">
        <v>4949801.8018018017</v>
      </c>
      <c r="Q327">
        <v>2930720.7207207209</v>
      </c>
      <c r="R327">
        <v>2835675.6756756762</v>
      </c>
      <c r="S327">
        <v>1033</v>
      </c>
      <c r="T327">
        <v>872</v>
      </c>
    </row>
    <row r="328" spans="1:20" x14ac:dyDescent="0.35">
      <c r="A328" s="7" t="s">
        <v>426</v>
      </c>
      <c r="B328" s="12" t="s">
        <v>77</v>
      </c>
      <c r="C328">
        <v>129555278.44877116</v>
      </c>
      <c r="D328">
        <v>131141893.91735677</v>
      </c>
      <c r="E328">
        <v>202702.70270270301</v>
      </c>
      <c r="F328">
        <v>1194462.162162161</v>
      </c>
      <c r="G328">
        <v>31</v>
      </c>
      <c r="H328">
        <v>28</v>
      </c>
      <c r="K328">
        <v>33</v>
      </c>
      <c r="L328">
        <v>32</v>
      </c>
      <c r="M328">
        <v>15241171.171171172</v>
      </c>
      <c r="N328">
        <v>27172634.234234232</v>
      </c>
      <c r="O328">
        <v>28729702.702702705</v>
      </c>
      <c r="P328">
        <v>30308558.558558561</v>
      </c>
      <c r="Q328">
        <v>12585405.405405404</v>
      </c>
      <c r="R328">
        <v>20638018.018018018</v>
      </c>
      <c r="S328">
        <v>1611</v>
      </c>
      <c r="T328">
        <v>1476</v>
      </c>
    </row>
    <row r="329" spans="1:20" x14ac:dyDescent="0.35">
      <c r="A329" s="7" t="s">
        <v>427</v>
      </c>
      <c r="B329" s="12" t="s">
        <v>331</v>
      </c>
      <c r="C329">
        <v>677828574.39069533</v>
      </c>
      <c r="D329">
        <v>617119455.14462101</v>
      </c>
      <c r="E329">
        <v>7172747.7477477463</v>
      </c>
      <c r="F329">
        <v>819961441.44144142</v>
      </c>
      <c r="G329">
        <v>265</v>
      </c>
      <c r="H329">
        <v>267</v>
      </c>
      <c r="K329">
        <v>295</v>
      </c>
      <c r="L329">
        <v>315</v>
      </c>
      <c r="M329">
        <v>49140765.765765756</v>
      </c>
      <c r="N329">
        <v>123056891.89189188</v>
      </c>
      <c r="O329">
        <v>170214029.27927929</v>
      </c>
      <c r="P329">
        <v>119238574.77477477</v>
      </c>
      <c r="Q329">
        <v>42523783.783783786</v>
      </c>
      <c r="R329">
        <v>119405675.67567568</v>
      </c>
      <c r="S329">
        <v>16535</v>
      </c>
      <c r="T329">
        <v>11677</v>
      </c>
    </row>
    <row r="330" spans="1:20" x14ac:dyDescent="0.35">
      <c r="A330" s="7" t="s">
        <v>428</v>
      </c>
      <c r="B330" s="12" t="s">
        <v>242</v>
      </c>
      <c r="C330">
        <v>172784161.75745595</v>
      </c>
      <c r="D330">
        <v>164099556.39065877</v>
      </c>
      <c r="E330">
        <v>1209909.909909911</v>
      </c>
      <c r="F330">
        <v>2671665.765765768</v>
      </c>
      <c r="G330">
        <v>66</v>
      </c>
      <c r="H330">
        <v>56</v>
      </c>
      <c r="K330">
        <v>76</v>
      </c>
      <c r="L330">
        <v>63</v>
      </c>
      <c r="M330">
        <v>44083243.243243247</v>
      </c>
      <c r="N330">
        <v>29614555.855855856</v>
      </c>
      <c r="O330">
        <v>66012153.153153151</v>
      </c>
      <c r="P330">
        <v>66764432.432432435</v>
      </c>
      <c r="Q330">
        <v>42950630.630630635</v>
      </c>
      <c r="R330">
        <v>30041621.621621624</v>
      </c>
      <c r="S330">
        <v>5875</v>
      </c>
      <c r="T330">
        <v>5329</v>
      </c>
    </row>
    <row r="331" spans="1:20" x14ac:dyDescent="0.35">
      <c r="A331" s="7" t="s">
        <v>429</v>
      </c>
      <c r="B331" s="12" t="s">
        <v>284</v>
      </c>
      <c r="C331">
        <v>71290560.797107011</v>
      </c>
      <c r="D331">
        <v>90652921.533968762</v>
      </c>
      <c r="E331">
        <v>733333.33333333395</v>
      </c>
      <c r="F331">
        <v>2623873.873873875</v>
      </c>
      <c r="G331">
        <v>26</v>
      </c>
      <c r="H331">
        <v>38</v>
      </c>
      <c r="K331">
        <v>53</v>
      </c>
      <c r="L331">
        <v>109</v>
      </c>
      <c r="M331">
        <v>29630990.990990993</v>
      </c>
      <c r="N331">
        <v>23395675.675675675</v>
      </c>
      <c r="O331">
        <v>13679486.486486485</v>
      </c>
      <c r="P331">
        <v>21603828.828828827</v>
      </c>
      <c r="Q331">
        <v>31621351.351351351</v>
      </c>
      <c r="R331">
        <v>20009819.819819819</v>
      </c>
      <c r="S331">
        <v>311</v>
      </c>
      <c r="T331">
        <v>1374</v>
      </c>
    </row>
    <row r="332" spans="1:20" x14ac:dyDescent="0.35">
      <c r="A332" s="7" t="s">
        <v>430</v>
      </c>
      <c r="B332" s="12" t="s">
        <v>284</v>
      </c>
      <c r="C332">
        <v>23062479.205702215</v>
      </c>
      <c r="D332">
        <v>22207429.444905166</v>
      </c>
      <c r="E332">
        <v>255855.85585585501</v>
      </c>
      <c r="F332">
        <v>531531.53153153195</v>
      </c>
      <c r="G332">
        <v>1</v>
      </c>
      <c r="H332">
        <v>1</v>
      </c>
      <c r="K332">
        <v>1</v>
      </c>
      <c r="L332">
        <v>2</v>
      </c>
      <c r="M332">
        <v>3138738.7387387389</v>
      </c>
      <c r="N332">
        <v>5198198.1981981983</v>
      </c>
      <c r="O332">
        <v>1678864.8648648651</v>
      </c>
      <c r="P332">
        <v>2277225.2252252251</v>
      </c>
      <c r="Q332">
        <v>3806576.576576577</v>
      </c>
      <c r="R332">
        <v>4744324.3243243238</v>
      </c>
      <c r="S332">
        <v>651</v>
      </c>
      <c r="T332">
        <v>471</v>
      </c>
    </row>
    <row r="333" spans="1:20" x14ac:dyDescent="0.35">
      <c r="A333" s="7" t="s">
        <v>431</v>
      </c>
      <c r="B333" s="12" t="s">
        <v>284</v>
      </c>
      <c r="C333">
        <v>49206217.05270718</v>
      </c>
      <c r="D333">
        <v>52094894.365699314</v>
      </c>
      <c r="E333">
        <v>265765.76576576597</v>
      </c>
      <c r="F333">
        <v>617117.11711711797</v>
      </c>
      <c r="G333">
        <v>5</v>
      </c>
      <c r="H333">
        <v>3</v>
      </c>
      <c r="K333">
        <v>5</v>
      </c>
      <c r="L333">
        <v>4</v>
      </c>
      <c r="M333">
        <v>355855.85585585597</v>
      </c>
      <c r="N333">
        <v>617117.11711711797</v>
      </c>
      <c r="O333">
        <v>4163423.423423423</v>
      </c>
      <c r="P333">
        <v>4925891.8918918921</v>
      </c>
      <c r="Q333">
        <v>173423.423423423</v>
      </c>
      <c r="R333">
        <v>340720.720720721</v>
      </c>
      <c r="S333">
        <v>870</v>
      </c>
      <c r="T333">
        <v>799</v>
      </c>
    </row>
    <row r="334" spans="1:20" x14ac:dyDescent="0.35">
      <c r="A334" s="7" t="s">
        <v>432</v>
      </c>
      <c r="B334" s="12" t="s">
        <v>79</v>
      </c>
      <c r="C334">
        <v>294873783.28312379</v>
      </c>
      <c r="D334">
        <v>293937740.33506578</v>
      </c>
      <c r="E334">
        <v>4920720.7207207242</v>
      </c>
      <c r="F334">
        <v>7500244.1441441448</v>
      </c>
      <c r="G334">
        <v>345</v>
      </c>
      <c r="H334">
        <v>108</v>
      </c>
      <c r="K334">
        <v>456</v>
      </c>
      <c r="L334">
        <v>239</v>
      </c>
      <c r="M334">
        <v>31326126.126126129</v>
      </c>
      <c r="N334">
        <v>85752057.657657668</v>
      </c>
      <c r="O334">
        <v>129859945.94594595</v>
      </c>
      <c r="P334">
        <v>128821639.63963965</v>
      </c>
      <c r="Q334">
        <v>29455855.855855856</v>
      </c>
      <c r="R334">
        <v>79483333.333333328</v>
      </c>
      <c r="S334">
        <v>6687</v>
      </c>
      <c r="T334">
        <v>7802</v>
      </c>
    </row>
    <row r="335" spans="1:20" x14ac:dyDescent="0.35">
      <c r="A335" s="7" t="s">
        <v>433</v>
      </c>
      <c r="B335" s="12" t="s">
        <v>106</v>
      </c>
      <c r="C335">
        <v>259525683.68533492</v>
      </c>
      <c r="D335">
        <v>241445081.86273944</v>
      </c>
      <c r="E335">
        <v>1217117.1171171181</v>
      </c>
      <c r="F335">
        <v>1475697.297297297</v>
      </c>
      <c r="G335">
        <v>31</v>
      </c>
      <c r="H335">
        <v>46</v>
      </c>
      <c r="I335">
        <v>2</v>
      </c>
      <c r="K335">
        <v>36</v>
      </c>
      <c r="L335">
        <v>51</v>
      </c>
      <c r="M335">
        <v>31131666.666666664</v>
      </c>
      <c r="N335">
        <v>41738168.468468465</v>
      </c>
      <c r="O335">
        <v>61852000</v>
      </c>
      <c r="P335">
        <v>66272297.297297299</v>
      </c>
      <c r="Q335">
        <v>33015090.090090089</v>
      </c>
      <c r="R335">
        <v>41893063.063063063</v>
      </c>
      <c r="S335">
        <v>3336</v>
      </c>
      <c r="T335">
        <v>3320</v>
      </c>
    </row>
    <row r="336" spans="1:20" x14ac:dyDescent="0.35">
      <c r="A336" s="7" t="s">
        <v>434</v>
      </c>
      <c r="B336" s="12" t="s">
        <v>73</v>
      </c>
      <c r="C336">
        <v>1395054204.7292488</v>
      </c>
      <c r="D336">
        <v>1372541576.1971276</v>
      </c>
      <c r="E336">
        <v>8986036.0360360481</v>
      </c>
      <c r="F336">
        <v>10014004.504504511</v>
      </c>
      <c r="G336">
        <v>411</v>
      </c>
      <c r="H336">
        <v>337</v>
      </c>
      <c r="I336">
        <v>4</v>
      </c>
      <c r="K336">
        <v>522</v>
      </c>
      <c r="L336">
        <v>410</v>
      </c>
      <c r="M336">
        <v>206139189.1891892</v>
      </c>
      <c r="N336">
        <v>232029556.75675678</v>
      </c>
      <c r="O336">
        <v>291133650.9009009</v>
      </c>
      <c r="P336">
        <v>315841513.51351357</v>
      </c>
      <c r="Q336">
        <v>154794504.5045045</v>
      </c>
      <c r="R336">
        <v>171128558.55855855</v>
      </c>
      <c r="S336">
        <v>18753</v>
      </c>
      <c r="T336">
        <v>18172</v>
      </c>
    </row>
    <row r="337" spans="1:20" x14ac:dyDescent="0.35">
      <c r="A337" s="7" t="s">
        <v>435</v>
      </c>
      <c r="B337" s="12" t="s">
        <v>73</v>
      </c>
      <c r="C337">
        <v>953484561.15862989</v>
      </c>
      <c r="D337">
        <v>970459272.59776103</v>
      </c>
      <c r="E337">
        <v>5840765.7657657741</v>
      </c>
      <c r="F337">
        <v>8227678.3783783875</v>
      </c>
      <c r="G337">
        <v>231</v>
      </c>
      <c r="H337">
        <v>185</v>
      </c>
      <c r="I337">
        <v>2</v>
      </c>
      <c r="K337">
        <v>263</v>
      </c>
      <c r="L337">
        <v>214</v>
      </c>
      <c r="M337">
        <v>107703603.6036036</v>
      </c>
      <c r="N337">
        <v>120086647.74774776</v>
      </c>
      <c r="O337">
        <v>179347747.74774775</v>
      </c>
      <c r="P337">
        <v>205562738.73873875</v>
      </c>
      <c r="Q337">
        <v>78006216.216216221</v>
      </c>
      <c r="R337">
        <v>85244684.684684694</v>
      </c>
      <c r="S337">
        <v>14285</v>
      </c>
      <c r="T337">
        <v>13818</v>
      </c>
    </row>
    <row r="338" spans="1:20" x14ac:dyDescent="0.35">
      <c r="A338" s="7" t="s">
        <v>436</v>
      </c>
      <c r="B338" s="12" t="s">
        <v>95</v>
      </c>
      <c r="C338">
        <v>67265203.927635983</v>
      </c>
      <c r="D338">
        <v>68259008.721368149</v>
      </c>
      <c r="E338">
        <v>13513.513513514001</v>
      </c>
      <c r="F338">
        <v>7198.1981981979998</v>
      </c>
      <c r="G338">
        <v>6</v>
      </c>
      <c r="H338">
        <v>7</v>
      </c>
      <c r="K338">
        <v>6</v>
      </c>
      <c r="L338">
        <v>9</v>
      </c>
      <c r="M338">
        <v>554054.05405405397</v>
      </c>
      <c r="N338">
        <v>638207.20720720699</v>
      </c>
      <c r="O338">
        <v>16587405.405405404</v>
      </c>
      <c r="P338">
        <v>18608162.162162159</v>
      </c>
      <c r="Q338">
        <v>493603.60360360402</v>
      </c>
      <c r="R338">
        <v>344594.59459459502</v>
      </c>
      <c r="S338">
        <v>941</v>
      </c>
      <c r="T338">
        <v>886</v>
      </c>
    </row>
    <row r="339" spans="1:20" x14ac:dyDescent="0.35">
      <c r="A339" s="7" t="s">
        <v>437</v>
      </c>
      <c r="B339" s="12" t="s">
        <v>90</v>
      </c>
      <c r="C339">
        <v>354800982.4074648</v>
      </c>
      <c r="D339">
        <v>368348184.58021909</v>
      </c>
      <c r="E339">
        <v>5451351.3513513571</v>
      </c>
      <c r="F339">
        <v>10114481.081081085</v>
      </c>
      <c r="G339">
        <v>99</v>
      </c>
      <c r="H339">
        <v>63</v>
      </c>
      <c r="I339">
        <v>1</v>
      </c>
      <c r="K339">
        <v>108</v>
      </c>
      <c r="L339">
        <v>75</v>
      </c>
      <c r="M339">
        <v>76090990.990990996</v>
      </c>
      <c r="N339">
        <v>57391768.468468465</v>
      </c>
      <c r="O339">
        <v>160108418.91891891</v>
      </c>
      <c r="P339">
        <v>169531855.85585588</v>
      </c>
      <c r="Q339">
        <v>75487027.027027026</v>
      </c>
      <c r="R339">
        <v>60575675.675675683</v>
      </c>
      <c r="S339">
        <v>6389</v>
      </c>
      <c r="T339">
        <v>5432</v>
      </c>
    </row>
    <row r="340" spans="1:20" x14ac:dyDescent="0.35">
      <c r="A340" s="7" t="s">
        <v>438</v>
      </c>
      <c r="B340" s="12" t="s">
        <v>71</v>
      </c>
      <c r="C340">
        <v>11202929.444802724</v>
      </c>
      <c r="D340">
        <v>10394251.642245192</v>
      </c>
      <c r="G340">
        <v>9</v>
      </c>
      <c r="H340">
        <v>5</v>
      </c>
      <c r="K340">
        <v>10</v>
      </c>
      <c r="L340">
        <v>5</v>
      </c>
      <c r="O340">
        <v>7692828.8288288293</v>
      </c>
      <c r="P340">
        <v>6921171.1711711707</v>
      </c>
      <c r="S340">
        <v>2036</v>
      </c>
      <c r="T340">
        <v>2509</v>
      </c>
    </row>
    <row r="341" spans="1:20" x14ac:dyDescent="0.35">
      <c r="A341" s="7" t="s">
        <v>439</v>
      </c>
      <c r="B341" s="12" t="s">
        <v>196</v>
      </c>
      <c r="C341">
        <v>1676717887.7891824</v>
      </c>
      <c r="D341">
        <v>1658858164.8982184</v>
      </c>
      <c r="E341">
        <v>185951945.94594595</v>
      </c>
      <c r="F341">
        <v>291503310.8108108</v>
      </c>
      <c r="G341">
        <v>451</v>
      </c>
      <c r="H341">
        <v>287</v>
      </c>
      <c r="K341">
        <v>563</v>
      </c>
      <c r="L341">
        <v>422</v>
      </c>
      <c r="M341">
        <v>195564504.5045045</v>
      </c>
      <c r="N341">
        <v>155287700</v>
      </c>
      <c r="O341">
        <v>285385522.52252251</v>
      </c>
      <c r="P341">
        <v>293559097.2972973</v>
      </c>
      <c r="Q341">
        <v>163234054.05405405</v>
      </c>
      <c r="R341">
        <v>130396306.3063063</v>
      </c>
      <c r="S341">
        <v>21635</v>
      </c>
      <c r="T341">
        <v>22036</v>
      </c>
    </row>
    <row r="342" spans="1:20" x14ac:dyDescent="0.35">
      <c r="A342" s="7" t="s">
        <v>440</v>
      </c>
      <c r="B342" s="12" t="s">
        <v>179</v>
      </c>
      <c r="C342">
        <v>837277491.89641929</v>
      </c>
      <c r="D342">
        <v>831259062.2337749</v>
      </c>
      <c r="E342">
        <v>9097297.2972972952</v>
      </c>
      <c r="F342">
        <v>12275163.063063068</v>
      </c>
      <c r="G342">
        <v>250</v>
      </c>
      <c r="H342">
        <v>118</v>
      </c>
      <c r="I342">
        <v>1</v>
      </c>
      <c r="K342">
        <v>486</v>
      </c>
      <c r="L342">
        <v>164</v>
      </c>
      <c r="M342">
        <v>161522827.92792794</v>
      </c>
      <c r="N342">
        <v>161417549.54954955</v>
      </c>
      <c r="O342">
        <v>339195941.44144148</v>
      </c>
      <c r="P342">
        <v>349883036.03603601</v>
      </c>
      <c r="Q342">
        <v>150033648.64864865</v>
      </c>
      <c r="R342">
        <v>148907297.29729727</v>
      </c>
      <c r="S342">
        <v>16382</v>
      </c>
      <c r="T342">
        <v>14666</v>
      </c>
    </row>
    <row r="343" spans="1:20" x14ac:dyDescent="0.35">
      <c r="A343" s="7" t="s">
        <v>441</v>
      </c>
      <c r="B343" s="12" t="s">
        <v>79</v>
      </c>
      <c r="C343">
        <v>358590164.3959651</v>
      </c>
      <c r="D343">
        <v>359732223.04500055</v>
      </c>
      <c r="E343">
        <v>5108783.783783786</v>
      </c>
      <c r="F343">
        <v>7998168.4684684668</v>
      </c>
      <c r="G343">
        <v>78</v>
      </c>
      <c r="H343">
        <v>154</v>
      </c>
      <c r="I343">
        <v>5</v>
      </c>
      <c r="K343">
        <v>211</v>
      </c>
      <c r="L343">
        <v>230</v>
      </c>
      <c r="M343">
        <v>38537837.837837838</v>
      </c>
      <c r="N343">
        <v>50560898.198198199</v>
      </c>
      <c r="O343">
        <v>74442333.333333328</v>
      </c>
      <c r="P343">
        <v>80487909.909909904</v>
      </c>
      <c r="Q343">
        <v>36774324.324324317</v>
      </c>
      <c r="R343">
        <v>47093873.873873875</v>
      </c>
      <c r="S343">
        <v>5163</v>
      </c>
      <c r="T343">
        <v>5007</v>
      </c>
    </row>
    <row r="344" spans="1:20" x14ac:dyDescent="0.35">
      <c r="A344" s="7" t="s">
        <v>442</v>
      </c>
      <c r="B344" s="12" t="s">
        <v>79</v>
      </c>
      <c r="C344">
        <v>152798661.19199884</v>
      </c>
      <c r="D344">
        <v>159063685.5676783</v>
      </c>
      <c r="E344">
        <v>2815315.315315316</v>
      </c>
      <c r="F344">
        <v>2411791.891891893</v>
      </c>
      <c r="G344">
        <v>51</v>
      </c>
      <c r="H344">
        <v>34</v>
      </c>
      <c r="I344">
        <v>3</v>
      </c>
      <c r="K344">
        <v>56</v>
      </c>
      <c r="L344">
        <v>37</v>
      </c>
      <c r="M344">
        <v>73592522.522522524</v>
      </c>
      <c r="N344">
        <v>28167049.54954955</v>
      </c>
      <c r="O344">
        <v>33691189.189189188</v>
      </c>
      <c r="P344">
        <v>33802054.054054059</v>
      </c>
      <c r="Q344">
        <v>70455315.315315321</v>
      </c>
      <c r="R344">
        <v>25590270.270270269</v>
      </c>
      <c r="S344">
        <v>2710</v>
      </c>
      <c r="T344">
        <v>2281</v>
      </c>
    </row>
    <row r="345" spans="1:20" x14ac:dyDescent="0.35">
      <c r="A345" s="7" t="s">
        <v>443</v>
      </c>
      <c r="B345" s="12" t="s">
        <v>124</v>
      </c>
      <c r="C345">
        <v>2021371.1422017659</v>
      </c>
      <c r="D345">
        <v>1764552.644869853</v>
      </c>
      <c r="G345">
        <v>1</v>
      </c>
      <c r="K345">
        <v>3</v>
      </c>
      <c r="O345">
        <v>799054.05405405397</v>
      </c>
      <c r="P345">
        <v>790441.44144144095</v>
      </c>
      <c r="S345">
        <v>376</v>
      </c>
      <c r="T345">
        <v>324</v>
      </c>
    </row>
    <row r="346" spans="1:20" x14ac:dyDescent="0.35">
      <c r="A346" s="7" t="s">
        <v>444</v>
      </c>
      <c r="B346" s="12" t="s">
        <v>141</v>
      </c>
      <c r="C346">
        <v>364717713.89485514</v>
      </c>
      <c r="D346">
        <v>368620137.39163321</v>
      </c>
      <c r="E346">
        <v>4007657.6576576591</v>
      </c>
      <c r="F346">
        <v>6355794.5945945969</v>
      </c>
      <c r="G346">
        <v>59</v>
      </c>
      <c r="H346">
        <v>93</v>
      </c>
      <c r="I346">
        <v>10</v>
      </c>
      <c r="K346">
        <v>108</v>
      </c>
      <c r="L346">
        <v>121</v>
      </c>
      <c r="M346">
        <v>46446306.306306303</v>
      </c>
      <c r="N346">
        <v>49610831.531531528</v>
      </c>
      <c r="O346">
        <v>97050684.684684694</v>
      </c>
      <c r="P346">
        <v>104644792.7927928</v>
      </c>
      <c r="Q346">
        <v>40267657.657657653</v>
      </c>
      <c r="R346">
        <v>41514234.234234229</v>
      </c>
      <c r="S346">
        <v>5872</v>
      </c>
      <c r="T346">
        <v>5626</v>
      </c>
    </row>
    <row r="347" spans="1:20" x14ac:dyDescent="0.35">
      <c r="A347" s="7" t="s">
        <v>445</v>
      </c>
      <c r="B347" s="12" t="s">
        <v>77</v>
      </c>
      <c r="C347">
        <v>41231156.187113412</v>
      </c>
      <c r="D347">
        <v>38136070.865570635</v>
      </c>
      <c r="E347">
        <v>317117.11711711698</v>
      </c>
      <c r="F347">
        <v>234125.22522522599</v>
      </c>
      <c r="G347">
        <v>6</v>
      </c>
      <c r="H347">
        <v>3</v>
      </c>
      <c r="K347">
        <v>8</v>
      </c>
      <c r="L347">
        <v>3</v>
      </c>
      <c r="M347">
        <v>5456756.7567567565</v>
      </c>
      <c r="N347">
        <v>10814868.468468469</v>
      </c>
      <c r="O347">
        <v>9373711.7117117122</v>
      </c>
      <c r="P347">
        <v>9258315.3153153155</v>
      </c>
      <c r="Q347">
        <v>5756846.8468468459</v>
      </c>
      <c r="R347">
        <v>8661531.5315315314</v>
      </c>
      <c r="S347">
        <v>2146</v>
      </c>
      <c r="T347">
        <v>576</v>
      </c>
    </row>
    <row r="348" spans="1:20" x14ac:dyDescent="0.35">
      <c r="A348" s="7" t="s">
        <v>446</v>
      </c>
      <c r="B348" s="12" t="s">
        <v>90</v>
      </c>
      <c r="C348">
        <v>1130816224.8218994</v>
      </c>
      <c r="D348">
        <v>1127222908.7061288</v>
      </c>
      <c r="E348">
        <v>420523282.88288289</v>
      </c>
      <c r="F348">
        <v>846501602.70270276</v>
      </c>
      <c r="G348">
        <v>950</v>
      </c>
      <c r="H348">
        <v>368</v>
      </c>
      <c r="I348">
        <v>9</v>
      </c>
      <c r="K348">
        <v>1951</v>
      </c>
      <c r="L348">
        <v>915</v>
      </c>
      <c r="M348">
        <v>350199909.9099099</v>
      </c>
      <c r="N348">
        <v>182294985.58558556</v>
      </c>
      <c r="O348">
        <v>371732610.8108108</v>
      </c>
      <c r="P348">
        <v>370998306.3063063</v>
      </c>
      <c r="Q348">
        <v>248479369.36936939</v>
      </c>
      <c r="R348">
        <v>181457387.38738739</v>
      </c>
      <c r="S348">
        <v>19282</v>
      </c>
      <c r="T348">
        <v>15857</v>
      </c>
    </row>
    <row r="349" spans="1:20" x14ac:dyDescent="0.35">
      <c r="A349" s="7" t="s">
        <v>447</v>
      </c>
      <c r="B349" s="12" t="s">
        <v>49</v>
      </c>
      <c r="C349">
        <v>111564336.04080684</v>
      </c>
      <c r="D349">
        <v>109057502.37539659</v>
      </c>
      <c r="E349">
        <v>2914414.4144144161</v>
      </c>
      <c r="F349">
        <v>1377570.2702702701</v>
      </c>
      <c r="G349">
        <v>17</v>
      </c>
      <c r="H349">
        <v>4</v>
      </c>
      <c r="K349">
        <v>18</v>
      </c>
      <c r="L349">
        <v>5</v>
      </c>
      <c r="M349">
        <v>29021801.801801801</v>
      </c>
      <c r="N349">
        <v>18356000.9009009</v>
      </c>
      <c r="O349">
        <v>37876648.648648649</v>
      </c>
      <c r="P349">
        <v>40662360.360360362</v>
      </c>
      <c r="Q349">
        <v>29255225.225225225</v>
      </c>
      <c r="R349">
        <v>18229639.639639638</v>
      </c>
      <c r="S349">
        <v>1090</v>
      </c>
      <c r="T349">
        <v>1117</v>
      </c>
    </row>
    <row r="350" spans="1:20" x14ac:dyDescent="0.35">
      <c r="A350" s="7" t="s">
        <v>448</v>
      </c>
      <c r="B350" s="12" t="s">
        <v>449</v>
      </c>
      <c r="C350">
        <v>224908087.78419876</v>
      </c>
      <c r="D350">
        <v>232850861.91083187</v>
      </c>
      <c r="E350">
        <v>4790990.9909909889</v>
      </c>
      <c r="F350">
        <v>8785135.1351351347</v>
      </c>
      <c r="G350">
        <v>189</v>
      </c>
      <c r="H350">
        <v>420</v>
      </c>
      <c r="K350">
        <v>218</v>
      </c>
      <c r="L350">
        <v>447</v>
      </c>
      <c r="M350">
        <v>29536756.756756756</v>
      </c>
      <c r="N350">
        <v>125097522.52252252</v>
      </c>
      <c r="O350">
        <v>90218378.378378391</v>
      </c>
      <c r="P350">
        <v>97092981.981981978</v>
      </c>
      <c r="Q350">
        <v>29049729.729729731</v>
      </c>
      <c r="R350">
        <v>123563108.10810812</v>
      </c>
      <c r="S350">
        <v>11982</v>
      </c>
      <c r="T350">
        <v>5727</v>
      </c>
    </row>
    <row r="351" spans="1:20" x14ac:dyDescent="0.35">
      <c r="A351" s="7" t="s">
        <v>450</v>
      </c>
      <c r="B351" s="12" t="s">
        <v>77</v>
      </c>
      <c r="C351">
        <v>54666747.794171393</v>
      </c>
      <c r="D351">
        <v>57288158.002404973</v>
      </c>
      <c r="E351">
        <v>110012342.34234235</v>
      </c>
      <c r="F351">
        <v>89418759.459459454</v>
      </c>
      <c r="G351">
        <v>30</v>
      </c>
      <c r="H351">
        <v>25</v>
      </c>
      <c r="I351">
        <v>1</v>
      </c>
      <c r="K351">
        <v>32</v>
      </c>
      <c r="L351">
        <v>30</v>
      </c>
      <c r="M351">
        <v>18655225.225225229</v>
      </c>
      <c r="N351">
        <v>19315289.189189188</v>
      </c>
      <c r="O351">
        <v>19401079.27927928</v>
      </c>
      <c r="P351">
        <v>20073594.594594598</v>
      </c>
      <c r="Q351">
        <v>15546756.756756756</v>
      </c>
      <c r="R351">
        <v>13847477.477477476</v>
      </c>
      <c r="S351">
        <v>1898</v>
      </c>
      <c r="T351">
        <v>1846</v>
      </c>
    </row>
    <row r="352" spans="1:20" x14ac:dyDescent="0.35">
      <c r="A352" s="7" t="s">
        <v>451</v>
      </c>
      <c r="B352" s="12" t="s">
        <v>84</v>
      </c>
      <c r="C352">
        <v>1999402662.670352</v>
      </c>
      <c r="D352">
        <v>2055792616.9954681</v>
      </c>
      <c r="E352">
        <v>772694427.02702713</v>
      </c>
      <c r="F352">
        <v>757088842.34234238</v>
      </c>
      <c r="G352">
        <v>881</v>
      </c>
      <c r="H352">
        <v>415</v>
      </c>
      <c r="I352">
        <v>4</v>
      </c>
      <c r="K352">
        <v>1009</v>
      </c>
      <c r="L352">
        <v>731</v>
      </c>
      <c r="M352">
        <v>307459774.77477479</v>
      </c>
      <c r="N352">
        <v>313758014.41441441</v>
      </c>
      <c r="O352">
        <v>424387641.8918919</v>
      </c>
      <c r="P352">
        <v>471911800</v>
      </c>
      <c r="Q352">
        <v>289979954.95495492</v>
      </c>
      <c r="R352">
        <v>289718873.87387383</v>
      </c>
      <c r="S352">
        <v>35318</v>
      </c>
      <c r="T352">
        <v>32252</v>
      </c>
    </row>
    <row r="353" spans="1:20" x14ac:dyDescent="0.35">
      <c r="A353" s="7" t="s">
        <v>452</v>
      </c>
      <c r="B353" s="12" t="s">
        <v>71</v>
      </c>
      <c r="C353">
        <v>135791556.97543618</v>
      </c>
      <c r="D353">
        <v>125398060.5657203</v>
      </c>
      <c r="E353">
        <v>728828.82882883004</v>
      </c>
      <c r="F353">
        <v>2178722.5225225231</v>
      </c>
      <c r="G353">
        <v>30</v>
      </c>
      <c r="H353">
        <v>13</v>
      </c>
      <c r="K353">
        <v>32</v>
      </c>
      <c r="L353">
        <v>18</v>
      </c>
      <c r="M353">
        <v>4568468.4684684668</v>
      </c>
      <c r="N353">
        <v>192648204.5045045</v>
      </c>
      <c r="O353">
        <v>82214450.45045045</v>
      </c>
      <c r="P353">
        <v>72951171.171171173</v>
      </c>
      <c r="Q353">
        <v>3716396.3963963948</v>
      </c>
      <c r="R353">
        <v>190317387.38738739</v>
      </c>
      <c r="S353">
        <v>2963</v>
      </c>
      <c r="T353">
        <v>2752</v>
      </c>
    </row>
    <row r="354" spans="1:20" x14ac:dyDescent="0.35">
      <c r="A354" s="7" t="s">
        <v>453</v>
      </c>
      <c r="B354" s="12" t="s">
        <v>168</v>
      </c>
      <c r="C354">
        <v>159128231.15386495</v>
      </c>
      <c r="D354">
        <v>161067402.82403904</v>
      </c>
      <c r="E354">
        <v>3270270.2702702689</v>
      </c>
      <c r="F354">
        <v>4095106.3063063058</v>
      </c>
      <c r="G354">
        <v>6</v>
      </c>
      <c r="H354">
        <v>24</v>
      </c>
      <c r="K354">
        <v>6</v>
      </c>
      <c r="L354">
        <v>29</v>
      </c>
      <c r="M354">
        <v>9166216.2162162177</v>
      </c>
      <c r="N354">
        <v>13909073.873873873</v>
      </c>
      <c r="O354">
        <v>30447261.261261258</v>
      </c>
      <c r="P354">
        <v>38809441.441441439</v>
      </c>
      <c r="Q354">
        <v>8310360.3603603607</v>
      </c>
      <c r="R354">
        <v>9286396.3963963967</v>
      </c>
      <c r="S354">
        <v>3014</v>
      </c>
      <c r="T354">
        <v>2740</v>
      </c>
    </row>
    <row r="355" spans="1:20" x14ac:dyDescent="0.35">
      <c r="A355" s="7" t="s">
        <v>454</v>
      </c>
      <c r="B355" s="12" t="s">
        <v>122</v>
      </c>
      <c r="C355">
        <v>6273604.709080331</v>
      </c>
      <c r="D355">
        <v>7344182.8673183909</v>
      </c>
      <c r="E355">
        <v>34234.234234233998</v>
      </c>
      <c r="F355">
        <v>9009.0090090100002</v>
      </c>
      <c r="G355">
        <v>2</v>
      </c>
      <c r="K355">
        <v>2</v>
      </c>
      <c r="M355">
        <v>36036.036036035999</v>
      </c>
      <c r="N355">
        <v>99099.0990991</v>
      </c>
      <c r="O355">
        <v>630765.76576576603</v>
      </c>
      <c r="P355">
        <v>648234.23423423397</v>
      </c>
      <c r="R355">
        <v>90090.090090090001</v>
      </c>
      <c r="S355">
        <v>151</v>
      </c>
      <c r="T355">
        <v>135</v>
      </c>
    </row>
    <row r="356" spans="1:20" x14ac:dyDescent="0.35">
      <c r="A356" s="7" t="s">
        <v>455</v>
      </c>
      <c r="B356" s="12" t="s">
        <v>225</v>
      </c>
      <c r="C356">
        <v>53892448.699770115</v>
      </c>
      <c r="D356">
        <v>55574940.021873325</v>
      </c>
      <c r="E356">
        <v>900.900900901</v>
      </c>
      <c r="F356">
        <v>13513.513513514001</v>
      </c>
      <c r="G356">
        <v>2</v>
      </c>
      <c r="H356">
        <v>1</v>
      </c>
      <c r="K356">
        <v>3</v>
      </c>
      <c r="L356">
        <v>1</v>
      </c>
      <c r="M356">
        <v>271171.17117117101</v>
      </c>
      <c r="N356">
        <v>914414.41441441397</v>
      </c>
      <c r="O356">
        <v>10384765.765765764</v>
      </c>
      <c r="P356">
        <v>14525909.90990991</v>
      </c>
      <c r="Q356">
        <v>278198.19819819799</v>
      </c>
      <c r="R356">
        <v>258738.73873873899</v>
      </c>
      <c r="S356">
        <v>1398</v>
      </c>
      <c r="T356">
        <v>1281</v>
      </c>
    </row>
    <row r="357" spans="1:20" x14ac:dyDescent="0.35">
      <c r="A357" s="7" t="s">
        <v>456</v>
      </c>
      <c r="B357" s="12" t="s">
        <v>95</v>
      </c>
      <c r="C357">
        <v>79921393.371045858</v>
      </c>
      <c r="D357">
        <v>98828669.763104975</v>
      </c>
      <c r="E357">
        <v>711711.711711713</v>
      </c>
      <c r="F357">
        <v>2654618.018018018</v>
      </c>
      <c r="G357">
        <v>25</v>
      </c>
      <c r="H357">
        <v>39</v>
      </c>
      <c r="K357">
        <v>26</v>
      </c>
      <c r="L357">
        <v>43</v>
      </c>
      <c r="M357">
        <v>30975225.225225229</v>
      </c>
      <c r="N357">
        <v>22061523.423423424</v>
      </c>
      <c r="O357">
        <v>18306905.405405402</v>
      </c>
      <c r="P357">
        <v>25315058.558558561</v>
      </c>
      <c r="Q357">
        <v>29792432.432432432</v>
      </c>
      <c r="R357">
        <v>17862432.432432432</v>
      </c>
      <c r="S357">
        <v>2220</v>
      </c>
      <c r="T357">
        <v>2141</v>
      </c>
    </row>
    <row r="358" spans="1:20" x14ac:dyDescent="0.35">
      <c r="A358" s="7" t="s">
        <v>457</v>
      </c>
      <c r="B358" s="12" t="s">
        <v>61</v>
      </c>
      <c r="C358">
        <v>11819533.85241276</v>
      </c>
      <c r="D358">
        <v>13757357.446606874</v>
      </c>
      <c r="E358">
        <v>207207.20720720699</v>
      </c>
      <c r="F358">
        <v>46846.846846847002</v>
      </c>
      <c r="G358">
        <v>6</v>
      </c>
      <c r="H358">
        <v>4</v>
      </c>
      <c r="K358">
        <v>7</v>
      </c>
      <c r="L358">
        <v>5</v>
      </c>
      <c r="M358">
        <v>1243243.2432432431</v>
      </c>
      <c r="N358">
        <v>947747.74774774804</v>
      </c>
      <c r="O358">
        <v>5577828.8288288293</v>
      </c>
      <c r="P358">
        <v>7024747.7477477472</v>
      </c>
      <c r="Q358">
        <v>753063.06306306296</v>
      </c>
      <c r="R358">
        <v>979189.189189189</v>
      </c>
      <c r="S358">
        <v>613</v>
      </c>
      <c r="T358">
        <v>599</v>
      </c>
    </row>
    <row r="359" spans="1:20" x14ac:dyDescent="0.35">
      <c r="A359" s="7" t="s">
        <v>458</v>
      </c>
      <c r="B359" s="12" t="s">
        <v>215</v>
      </c>
      <c r="C359">
        <v>219974764.52614573</v>
      </c>
      <c r="D359">
        <v>212560370.80902332</v>
      </c>
      <c r="E359">
        <v>473873.87387387402</v>
      </c>
      <c r="G359">
        <v>45</v>
      </c>
      <c r="H359">
        <v>12</v>
      </c>
      <c r="K359">
        <v>47</v>
      </c>
      <c r="L359">
        <v>15</v>
      </c>
      <c r="M359">
        <v>1014414.414414414</v>
      </c>
      <c r="N359">
        <v>810810.81081080996</v>
      </c>
      <c r="O359">
        <v>113116495.49549548</v>
      </c>
      <c r="P359">
        <v>112490576.57657658</v>
      </c>
      <c r="Q359">
        <v>1821171.1711711709</v>
      </c>
      <c r="R359">
        <v>508738.73873873899</v>
      </c>
      <c r="S359">
        <v>3335</v>
      </c>
      <c r="T359">
        <v>3083</v>
      </c>
    </row>
    <row r="360" spans="1:20" x14ac:dyDescent="0.35">
      <c r="A360" s="7" t="s">
        <v>459</v>
      </c>
      <c r="B360" s="12" t="s">
        <v>460</v>
      </c>
      <c r="C360">
        <v>864883782.29945123</v>
      </c>
      <c r="D360">
        <v>893279225.43526328</v>
      </c>
      <c r="E360">
        <v>497492297.2972973</v>
      </c>
      <c r="F360">
        <v>866914943.24324322</v>
      </c>
      <c r="G360">
        <v>643</v>
      </c>
      <c r="H360">
        <v>410</v>
      </c>
      <c r="I360">
        <v>2</v>
      </c>
      <c r="K360">
        <v>790</v>
      </c>
      <c r="L360">
        <v>581</v>
      </c>
      <c r="M360">
        <v>296456801.8018018</v>
      </c>
      <c r="N360">
        <v>429060661.26126122</v>
      </c>
      <c r="O360">
        <v>306412362.61261261</v>
      </c>
      <c r="P360">
        <v>336619924.32432437</v>
      </c>
      <c r="Q360">
        <v>234944279.27927926</v>
      </c>
      <c r="R360">
        <v>308773693.6936937</v>
      </c>
      <c r="S360">
        <v>44189</v>
      </c>
      <c r="T360">
        <v>24741</v>
      </c>
    </row>
    <row r="361" spans="1:20" x14ac:dyDescent="0.35">
      <c r="A361" s="7" t="s">
        <v>461</v>
      </c>
      <c r="B361" s="12" t="s">
        <v>460</v>
      </c>
      <c r="C361">
        <v>3172303237.9006519</v>
      </c>
      <c r="D361">
        <v>3034008928.9284983</v>
      </c>
      <c r="E361">
        <v>20256756.756756768</v>
      </c>
      <c r="F361">
        <v>24715407.207207218</v>
      </c>
      <c r="G361">
        <v>895</v>
      </c>
      <c r="H361">
        <v>712</v>
      </c>
      <c r="I361">
        <v>6</v>
      </c>
      <c r="K361">
        <v>1037</v>
      </c>
      <c r="L361">
        <v>920</v>
      </c>
      <c r="M361">
        <v>148864324.32432431</v>
      </c>
      <c r="N361">
        <v>376720154.95495492</v>
      </c>
      <c r="O361">
        <v>2120800806.7567568</v>
      </c>
      <c r="P361">
        <v>1985056288.2882884</v>
      </c>
      <c r="Q361">
        <v>136921351.35135135</v>
      </c>
      <c r="R361">
        <v>320805360.36036038</v>
      </c>
      <c r="S361">
        <v>59187</v>
      </c>
      <c r="T361">
        <v>30910</v>
      </c>
    </row>
    <row r="362" spans="1:20" x14ac:dyDescent="0.35">
      <c r="A362" s="7" t="s">
        <v>462</v>
      </c>
      <c r="B362" s="12" t="s">
        <v>460</v>
      </c>
      <c r="C362">
        <v>1354985311.798162</v>
      </c>
      <c r="D362">
        <v>1353499062.4212475</v>
      </c>
      <c r="E362">
        <v>31685973.873873889</v>
      </c>
      <c r="F362">
        <v>39732662.16216217</v>
      </c>
      <c r="G362">
        <v>936</v>
      </c>
      <c r="H362">
        <v>593</v>
      </c>
      <c r="I362">
        <v>6</v>
      </c>
      <c r="K362">
        <v>1088</v>
      </c>
      <c r="L362">
        <v>792</v>
      </c>
      <c r="M362">
        <v>1547542965.7657659</v>
      </c>
      <c r="N362">
        <v>1120805065.7657657</v>
      </c>
      <c r="O362">
        <v>373373743.24324328</v>
      </c>
      <c r="P362">
        <v>401857106.3063063</v>
      </c>
      <c r="Q362">
        <v>1544912207.2072072</v>
      </c>
      <c r="R362">
        <v>1061229369.3693694</v>
      </c>
      <c r="S362">
        <v>49298</v>
      </c>
      <c r="T362">
        <v>23503</v>
      </c>
    </row>
    <row r="363" spans="1:20" x14ac:dyDescent="0.35">
      <c r="A363" s="7" t="s">
        <v>463</v>
      </c>
      <c r="B363" s="12" t="s">
        <v>460</v>
      </c>
      <c r="C363">
        <v>991137735.50335252</v>
      </c>
      <c r="D363">
        <v>898025233.34920514</v>
      </c>
      <c r="E363">
        <v>7813963.9639639789</v>
      </c>
      <c r="F363">
        <v>13318887.387387387</v>
      </c>
      <c r="G363">
        <v>414</v>
      </c>
      <c r="H363">
        <v>209</v>
      </c>
      <c r="I363">
        <v>5</v>
      </c>
      <c r="K363">
        <v>473</v>
      </c>
      <c r="L363">
        <v>250</v>
      </c>
      <c r="M363">
        <v>154649909.90990993</v>
      </c>
      <c r="N363">
        <v>209607407.2072072</v>
      </c>
      <c r="O363">
        <v>223460369.36936939</v>
      </c>
      <c r="P363">
        <v>227639872.07207206</v>
      </c>
      <c r="Q363">
        <v>111699909.90990992</v>
      </c>
      <c r="R363">
        <v>184514504.5045045</v>
      </c>
      <c r="S363">
        <v>32219</v>
      </c>
      <c r="T363">
        <v>18513</v>
      </c>
    </row>
    <row r="364" spans="1:20" x14ac:dyDescent="0.35">
      <c r="A364" s="7" t="s">
        <v>464</v>
      </c>
      <c r="B364" s="12" t="s">
        <v>460</v>
      </c>
      <c r="C364">
        <v>948407202.83141565</v>
      </c>
      <c r="D364">
        <v>987328527.90055573</v>
      </c>
      <c r="E364">
        <v>18017342.342342347</v>
      </c>
      <c r="F364">
        <v>17781347.747747749</v>
      </c>
      <c r="G364">
        <v>1714</v>
      </c>
      <c r="H364">
        <v>803</v>
      </c>
      <c r="I364">
        <v>1</v>
      </c>
      <c r="K364">
        <v>1915</v>
      </c>
      <c r="L364">
        <v>1341</v>
      </c>
      <c r="M364">
        <v>200789729.72972974</v>
      </c>
      <c r="N364">
        <v>525138905.4054054</v>
      </c>
      <c r="O364">
        <v>384399268.01801807</v>
      </c>
      <c r="P364">
        <v>402837009.009009</v>
      </c>
      <c r="Q364">
        <v>195252072.07207206</v>
      </c>
      <c r="R364">
        <v>381709054.05405408</v>
      </c>
      <c r="S364">
        <v>41280</v>
      </c>
      <c r="T364">
        <v>28361</v>
      </c>
    </row>
    <row r="365" spans="1:20" x14ac:dyDescent="0.35">
      <c r="A365" s="7" t="s">
        <v>465</v>
      </c>
      <c r="B365" s="12" t="s">
        <v>460</v>
      </c>
      <c r="C365">
        <v>1096402421.442136</v>
      </c>
      <c r="D365">
        <v>1083337893.0888317</v>
      </c>
      <c r="E365">
        <v>2277679828.8288288</v>
      </c>
      <c r="F365">
        <v>1576351434.2342343</v>
      </c>
      <c r="G365">
        <v>544</v>
      </c>
      <c r="H365">
        <v>305</v>
      </c>
      <c r="I365">
        <v>4</v>
      </c>
      <c r="K365">
        <v>613</v>
      </c>
      <c r="L365">
        <v>402</v>
      </c>
      <c r="M365">
        <v>169917188.2882883</v>
      </c>
      <c r="N365">
        <v>287089846.84684682</v>
      </c>
      <c r="O365">
        <v>474121140.0900901</v>
      </c>
      <c r="P365">
        <v>491196288.28828824</v>
      </c>
      <c r="Q365">
        <v>164988738.73873872</v>
      </c>
      <c r="R365">
        <v>292139234.23423421</v>
      </c>
      <c r="S365">
        <v>49188</v>
      </c>
      <c r="T365">
        <v>28897</v>
      </c>
    </row>
    <row r="366" spans="1:20" x14ac:dyDescent="0.35">
      <c r="A366" s="7" t="s">
        <v>466</v>
      </c>
      <c r="B366" s="12" t="s">
        <v>55</v>
      </c>
      <c r="C366">
        <v>73734364.832835421</v>
      </c>
      <c r="D366">
        <v>72061910.83180359</v>
      </c>
      <c r="E366">
        <v>942342.34234234097</v>
      </c>
      <c r="F366">
        <v>695740.54054054199</v>
      </c>
      <c r="G366">
        <v>25</v>
      </c>
      <c r="H366">
        <v>15</v>
      </c>
      <c r="K366">
        <v>35</v>
      </c>
      <c r="L366">
        <v>54</v>
      </c>
      <c r="M366">
        <v>7891711.7117117131</v>
      </c>
      <c r="N366">
        <v>7847294.594594595</v>
      </c>
      <c r="O366">
        <v>15152063.063063065</v>
      </c>
      <c r="P366">
        <v>15315630.630630633</v>
      </c>
      <c r="Q366">
        <v>7290810.8108108081</v>
      </c>
      <c r="R366">
        <v>7252882.8828828828</v>
      </c>
      <c r="S366">
        <v>1385</v>
      </c>
      <c r="T366">
        <v>1210</v>
      </c>
    </row>
    <row r="367" spans="1:20" x14ac:dyDescent="0.35">
      <c r="A367" s="7" t="s">
        <v>467</v>
      </c>
      <c r="B367" s="12" t="s">
        <v>88</v>
      </c>
      <c r="C367">
        <v>2703422.9238848039</v>
      </c>
      <c r="D367">
        <v>3115988.361771665</v>
      </c>
      <c r="H367">
        <v>1</v>
      </c>
      <c r="L367">
        <v>1</v>
      </c>
      <c r="O367">
        <v>400450.45045045001</v>
      </c>
      <c r="P367">
        <v>1172072.072072072</v>
      </c>
      <c r="S367">
        <v>100</v>
      </c>
      <c r="T367">
        <v>89</v>
      </c>
    </row>
    <row r="368" spans="1:20" x14ac:dyDescent="0.35">
      <c r="A368" s="7" t="s">
        <v>468</v>
      </c>
      <c r="B368" s="12" t="s">
        <v>144</v>
      </c>
      <c r="C368">
        <v>343916206.99552453</v>
      </c>
      <c r="D368">
        <v>371147671.42649794</v>
      </c>
      <c r="E368">
        <v>317117.11711711797</v>
      </c>
      <c r="F368">
        <v>869163.06306306401</v>
      </c>
      <c r="G368">
        <v>74</v>
      </c>
      <c r="H368">
        <v>20</v>
      </c>
      <c r="K368">
        <v>82</v>
      </c>
      <c r="L368">
        <v>21</v>
      </c>
      <c r="M368">
        <v>20028828.828828827</v>
      </c>
      <c r="N368">
        <v>19499782.882882878</v>
      </c>
      <c r="O368">
        <v>53607329.729729727</v>
      </c>
      <c r="P368">
        <v>67994718.918918923</v>
      </c>
      <c r="Q368">
        <v>15893783.783783784</v>
      </c>
      <c r="R368">
        <v>17183917.117117114</v>
      </c>
      <c r="S368">
        <v>5394</v>
      </c>
      <c r="T368">
        <v>4994</v>
      </c>
    </row>
    <row r="369" spans="1:20" x14ac:dyDescent="0.35">
      <c r="A369" s="7" t="s">
        <v>469</v>
      </c>
      <c r="B369" s="12" t="s">
        <v>81</v>
      </c>
      <c r="C369">
        <v>294244592.36566418</v>
      </c>
      <c r="D369">
        <v>283065237.43626052</v>
      </c>
      <c r="E369">
        <v>114972162.16216215</v>
      </c>
      <c r="F369">
        <v>159147387.38738739</v>
      </c>
      <c r="G369">
        <v>41</v>
      </c>
      <c r="H369">
        <v>34</v>
      </c>
      <c r="K369">
        <v>45</v>
      </c>
      <c r="L369">
        <v>36</v>
      </c>
      <c r="M369">
        <v>11922972.972972972</v>
      </c>
      <c r="N369">
        <v>12804324.324324325</v>
      </c>
      <c r="O369">
        <v>110658738.73873873</v>
      </c>
      <c r="P369">
        <v>109004803.6036036</v>
      </c>
      <c r="Q369">
        <v>8084864.8648648672</v>
      </c>
      <c r="R369">
        <v>7387387.3873873856</v>
      </c>
      <c r="S369">
        <v>5153</v>
      </c>
      <c r="T369">
        <v>5299</v>
      </c>
    </row>
    <row r="370" spans="1:20" x14ac:dyDescent="0.35">
      <c r="A370" s="7" t="s">
        <v>470</v>
      </c>
      <c r="B370" s="12" t="s">
        <v>471</v>
      </c>
      <c r="C370">
        <v>355628211.60838974</v>
      </c>
      <c r="D370">
        <v>348231566.02350223</v>
      </c>
      <c r="E370">
        <v>3719819.8198198201</v>
      </c>
      <c r="F370">
        <v>4146263.9639639668</v>
      </c>
      <c r="G370">
        <v>48</v>
      </c>
      <c r="H370">
        <v>26</v>
      </c>
      <c r="K370">
        <v>50</v>
      </c>
      <c r="L370">
        <v>59</v>
      </c>
      <c r="M370">
        <v>29359009.009009007</v>
      </c>
      <c r="N370">
        <v>21879234.234234236</v>
      </c>
      <c r="O370">
        <v>113250601.8018018</v>
      </c>
      <c r="P370">
        <v>117253654.05405405</v>
      </c>
      <c r="Q370">
        <v>29366709.909909911</v>
      </c>
      <c r="R370">
        <v>38104576.576576576</v>
      </c>
      <c r="S370">
        <v>5514</v>
      </c>
      <c r="T370">
        <v>5474</v>
      </c>
    </row>
    <row r="371" spans="1:20" x14ac:dyDescent="0.35">
      <c r="A371" s="7" t="s">
        <v>472</v>
      </c>
      <c r="B371" s="12" t="s">
        <v>471</v>
      </c>
      <c r="C371">
        <v>29642921.688083954</v>
      </c>
      <c r="D371">
        <v>30719649.494297769</v>
      </c>
      <c r="E371">
        <v>360733634.23423421</v>
      </c>
      <c r="F371">
        <v>209287700.9009009</v>
      </c>
      <c r="G371">
        <v>3</v>
      </c>
      <c r="H371">
        <v>1</v>
      </c>
      <c r="K371">
        <v>4</v>
      </c>
      <c r="L371">
        <v>1</v>
      </c>
      <c r="M371">
        <v>30960055.855855856</v>
      </c>
      <c r="N371">
        <v>17088737.837837838</v>
      </c>
      <c r="O371">
        <v>2534594.594594595</v>
      </c>
      <c r="P371">
        <v>3611738.7387387389</v>
      </c>
      <c r="Q371">
        <v>3069909.9099099091</v>
      </c>
      <c r="R371">
        <v>835135.13513513503</v>
      </c>
      <c r="S371">
        <v>642</v>
      </c>
      <c r="T371">
        <v>654</v>
      </c>
    </row>
    <row r="372" spans="1:20" x14ac:dyDescent="0.35">
      <c r="A372" s="7" t="s">
        <v>473</v>
      </c>
      <c r="B372" s="12" t="s">
        <v>471</v>
      </c>
      <c r="C372">
        <v>3587161.8192973081</v>
      </c>
      <c r="D372">
        <v>3723477.1666099909</v>
      </c>
      <c r="E372">
        <v>393693.69369369402</v>
      </c>
      <c r="F372">
        <v>656756.75675675704</v>
      </c>
      <c r="G372">
        <v>1</v>
      </c>
      <c r="K372">
        <v>1</v>
      </c>
      <c r="M372">
        <v>2943243.243243244</v>
      </c>
      <c r="N372">
        <v>1116216.2162162161</v>
      </c>
      <c r="O372">
        <v>847837.83783783799</v>
      </c>
      <c r="P372">
        <v>913918.91891891905</v>
      </c>
      <c r="Q372">
        <v>2703603.6036036038</v>
      </c>
      <c r="R372">
        <v>4409819.8198198201</v>
      </c>
      <c r="S372">
        <v>447</v>
      </c>
      <c r="T372">
        <v>426</v>
      </c>
    </row>
    <row r="373" spans="1:20" x14ac:dyDescent="0.35">
      <c r="A373" s="7" t="s">
        <v>474</v>
      </c>
      <c r="B373" s="12" t="s">
        <v>471</v>
      </c>
      <c r="C373">
        <v>125218990.76954104</v>
      </c>
      <c r="D373">
        <v>121607575.52598271</v>
      </c>
      <c r="E373">
        <v>989189.18918919004</v>
      </c>
      <c r="F373">
        <v>1454677.4774774769</v>
      </c>
      <c r="G373">
        <v>16</v>
      </c>
      <c r="H373">
        <v>15</v>
      </c>
      <c r="K373">
        <v>17</v>
      </c>
      <c r="L373">
        <v>44</v>
      </c>
      <c r="M373">
        <v>71631081.081081077</v>
      </c>
      <c r="N373">
        <v>25992524.324324325</v>
      </c>
      <c r="O373">
        <v>17110655.855855856</v>
      </c>
      <c r="P373">
        <v>21059421.621621624</v>
      </c>
      <c r="Q373">
        <v>32911261.261261258</v>
      </c>
      <c r="R373">
        <v>20054774.774774775</v>
      </c>
      <c r="S373">
        <v>2553</v>
      </c>
      <c r="T373">
        <v>2265</v>
      </c>
    </row>
    <row r="374" spans="1:20" x14ac:dyDescent="0.35">
      <c r="A374" s="7" t="s">
        <v>475</v>
      </c>
      <c r="B374" s="12" t="s">
        <v>471</v>
      </c>
      <c r="C374">
        <v>176184155.0165768</v>
      </c>
      <c r="D374">
        <v>173173565.246721</v>
      </c>
      <c r="E374">
        <v>1162162.1621621631</v>
      </c>
      <c r="F374">
        <v>1588288.2882882911</v>
      </c>
      <c r="G374">
        <v>38</v>
      </c>
      <c r="H374">
        <v>14</v>
      </c>
      <c r="K374">
        <v>39</v>
      </c>
      <c r="L374">
        <v>28</v>
      </c>
      <c r="M374">
        <v>12303693.693693692</v>
      </c>
      <c r="N374">
        <v>9227387.3873873893</v>
      </c>
      <c r="O374">
        <v>38249693.693693697</v>
      </c>
      <c r="P374">
        <v>42751927.927927926</v>
      </c>
      <c r="Q374">
        <v>13273333.333333336</v>
      </c>
      <c r="R374">
        <v>13554864.864864865</v>
      </c>
      <c r="S374">
        <v>2559</v>
      </c>
      <c r="T374">
        <v>2343</v>
      </c>
    </row>
    <row r="375" spans="1:20" x14ac:dyDescent="0.35">
      <c r="A375" s="7" t="s">
        <v>476</v>
      </c>
      <c r="B375" s="12" t="s">
        <v>471</v>
      </c>
      <c r="C375">
        <v>65123111.047800966</v>
      </c>
      <c r="D375">
        <v>64369638.814037815</v>
      </c>
      <c r="E375">
        <v>406306.30630630697</v>
      </c>
      <c r="F375">
        <v>483783.78378378501</v>
      </c>
      <c r="G375">
        <v>6</v>
      </c>
      <c r="H375">
        <v>6</v>
      </c>
      <c r="K375">
        <v>6</v>
      </c>
      <c r="L375">
        <v>8</v>
      </c>
      <c r="M375">
        <v>8316216.2162162168</v>
      </c>
      <c r="N375">
        <v>3704504.5045045051</v>
      </c>
      <c r="O375">
        <v>13701322.522522524</v>
      </c>
      <c r="P375">
        <v>16404873.873873875</v>
      </c>
      <c r="Q375">
        <v>7427027.0270270268</v>
      </c>
      <c r="R375">
        <v>8436756.7567567565</v>
      </c>
      <c r="S375">
        <v>1482</v>
      </c>
      <c r="T375">
        <v>1388</v>
      </c>
    </row>
    <row r="376" spans="1:20" x14ac:dyDescent="0.35">
      <c r="A376" s="7" t="s">
        <v>477</v>
      </c>
      <c r="B376" s="12" t="s">
        <v>471</v>
      </c>
      <c r="C376">
        <v>668290852.27917087</v>
      </c>
      <c r="D376">
        <v>701319976.74337995</v>
      </c>
      <c r="E376">
        <v>12792792.792792795</v>
      </c>
      <c r="F376">
        <v>13990737.837837845</v>
      </c>
      <c r="G376">
        <v>261</v>
      </c>
      <c r="H376">
        <v>366</v>
      </c>
      <c r="I376">
        <v>1</v>
      </c>
      <c r="K376">
        <v>537</v>
      </c>
      <c r="L376">
        <v>637</v>
      </c>
      <c r="M376">
        <v>216234144.14414415</v>
      </c>
      <c r="N376">
        <v>200924920.72072071</v>
      </c>
      <c r="O376">
        <v>175256645.04504505</v>
      </c>
      <c r="P376">
        <v>197186551.35135135</v>
      </c>
      <c r="Q376">
        <v>212347657.65765765</v>
      </c>
      <c r="R376">
        <v>204636890.09009007</v>
      </c>
      <c r="S376">
        <v>19168</v>
      </c>
      <c r="T376">
        <v>16472</v>
      </c>
    </row>
    <row r="377" spans="1:20" x14ac:dyDescent="0.35">
      <c r="A377" s="7" t="s">
        <v>478</v>
      </c>
      <c r="B377" s="12" t="s">
        <v>261</v>
      </c>
      <c r="C377">
        <v>775931239.11590397</v>
      </c>
      <c r="D377">
        <v>770447506.99479401</v>
      </c>
      <c r="E377">
        <v>4309684.6846846864</v>
      </c>
      <c r="F377">
        <v>7089672.0720720738</v>
      </c>
      <c r="G377">
        <v>201</v>
      </c>
      <c r="H377">
        <v>102</v>
      </c>
      <c r="I377">
        <v>1</v>
      </c>
      <c r="K377">
        <v>213</v>
      </c>
      <c r="L377">
        <v>112</v>
      </c>
      <c r="M377">
        <v>100198198.1981982</v>
      </c>
      <c r="N377">
        <v>124545506.3063063</v>
      </c>
      <c r="O377">
        <v>208467770.27027026</v>
      </c>
      <c r="P377">
        <v>221310837.83783782</v>
      </c>
      <c r="Q377">
        <v>98877477.477477476</v>
      </c>
      <c r="R377">
        <v>116981351.35135137</v>
      </c>
      <c r="S377">
        <v>11773</v>
      </c>
      <c r="T377">
        <v>10706</v>
      </c>
    </row>
    <row r="378" spans="1:20" x14ac:dyDescent="0.35">
      <c r="A378" s="7" t="s">
        <v>479</v>
      </c>
      <c r="B378" s="12" t="s">
        <v>480</v>
      </c>
      <c r="C378">
        <v>58781564.287988879</v>
      </c>
      <c r="D378">
        <v>58080646.685455061</v>
      </c>
      <c r="E378">
        <v>816216.21621621703</v>
      </c>
      <c r="F378">
        <v>847747.74774774804</v>
      </c>
      <c r="G378">
        <v>15</v>
      </c>
      <c r="H378">
        <v>18</v>
      </c>
      <c r="K378">
        <v>15</v>
      </c>
      <c r="L378">
        <v>19</v>
      </c>
      <c r="M378">
        <v>17849549.549549554</v>
      </c>
      <c r="N378">
        <v>17773513.513513513</v>
      </c>
      <c r="O378">
        <v>14132972.972972972</v>
      </c>
      <c r="P378">
        <v>15301610.81081081</v>
      </c>
      <c r="Q378">
        <v>17698018.018018018</v>
      </c>
      <c r="R378">
        <v>17930720.72072072</v>
      </c>
      <c r="S378">
        <v>1314</v>
      </c>
      <c r="T378">
        <v>856</v>
      </c>
    </row>
    <row r="379" spans="1:20" x14ac:dyDescent="0.35">
      <c r="A379" s="7" t="s">
        <v>481</v>
      </c>
      <c r="B379" s="12" t="s">
        <v>124</v>
      </c>
      <c r="C379">
        <v>423630050.21844441</v>
      </c>
      <c r="D379">
        <v>408783431.67217147</v>
      </c>
      <c r="E379">
        <v>3810810.8108108118</v>
      </c>
      <c r="F379">
        <v>2862879.27927928</v>
      </c>
      <c r="G379">
        <v>87</v>
      </c>
      <c r="H379">
        <v>64</v>
      </c>
      <c r="K379">
        <v>94</v>
      </c>
      <c r="L379">
        <v>69</v>
      </c>
      <c r="M379">
        <v>32493783.783783782</v>
      </c>
      <c r="N379">
        <v>32757417.117117114</v>
      </c>
      <c r="O379">
        <v>159306732.43243244</v>
      </c>
      <c r="P379">
        <v>165898563.96396396</v>
      </c>
      <c r="Q379">
        <v>30872836.036036037</v>
      </c>
      <c r="R379">
        <v>29456800</v>
      </c>
      <c r="S379">
        <v>6144</v>
      </c>
      <c r="T379">
        <v>6155</v>
      </c>
    </row>
    <row r="380" spans="1:20" x14ac:dyDescent="0.35">
      <c r="A380" s="7" t="s">
        <v>482</v>
      </c>
      <c r="B380" s="12" t="s">
        <v>471</v>
      </c>
      <c r="C380">
        <v>33544596.834418211</v>
      </c>
      <c r="D380">
        <v>33531249.040689625</v>
      </c>
      <c r="E380">
        <v>95495.495495495998</v>
      </c>
      <c r="F380">
        <v>339639.639639639</v>
      </c>
      <c r="G380">
        <v>3</v>
      </c>
      <c r="H380">
        <v>3</v>
      </c>
      <c r="K380">
        <v>4</v>
      </c>
      <c r="L380">
        <v>3</v>
      </c>
      <c r="M380">
        <v>1897297.297297297</v>
      </c>
      <c r="N380">
        <v>803603.60360360297</v>
      </c>
      <c r="O380">
        <v>4484720.7207207214</v>
      </c>
      <c r="P380">
        <v>4365216.2162162159</v>
      </c>
      <c r="Q380">
        <v>1041351.351351351</v>
      </c>
      <c r="R380">
        <v>1436576.576576578</v>
      </c>
      <c r="S380">
        <v>648</v>
      </c>
      <c r="T380">
        <v>605</v>
      </c>
    </row>
    <row r="381" spans="1:20" x14ac:dyDescent="0.35">
      <c r="A381" s="7" t="s">
        <v>672</v>
      </c>
      <c r="B381" s="12" t="s">
        <v>284</v>
      </c>
      <c r="E381">
        <v>253482762.16216218</v>
      </c>
      <c r="F381">
        <v>171837215.31531534</v>
      </c>
      <c r="M381">
        <v>24521598.198198199</v>
      </c>
      <c r="N381">
        <v>20141345.945945945</v>
      </c>
    </row>
    <row r="382" spans="1:20" x14ac:dyDescent="0.35">
      <c r="A382" s="7" t="s">
        <v>483</v>
      </c>
      <c r="B382" s="12" t="s">
        <v>168</v>
      </c>
      <c r="C382">
        <v>347129871.46634501</v>
      </c>
      <c r="D382">
        <v>365207257.41309726</v>
      </c>
      <c r="E382">
        <v>4290990.9909909889</v>
      </c>
      <c r="F382">
        <v>9102058.5585585572</v>
      </c>
      <c r="G382">
        <v>307</v>
      </c>
      <c r="H382">
        <v>110</v>
      </c>
      <c r="I382">
        <v>1</v>
      </c>
      <c r="K382">
        <v>378</v>
      </c>
      <c r="L382">
        <v>248</v>
      </c>
      <c r="M382">
        <v>37575712.612612613</v>
      </c>
      <c r="N382">
        <v>46688996.396396391</v>
      </c>
      <c r="O382">
        <v>144324270.27027026</v>
      </c>
      <c r="P382">
        <v>159977630.63063061</v>
      </c>
      <c r="Q382">
        <v>34083333.333333336</v>
      </c>
      <c r="R382">
        <v>43027702.702702701</v>
      </c>
      <c r="S382">
        <v>3953</v>
      </c>
      <c r="T382">
        <v>8507</v>
      </c>
    </row>
    <row r="383" spans="1:20" x14ac:dyDescent="0.35">
      <c r="A383" s="7" t="s">
        <v>484</v>
      </c>
      <c r="B383" s="12" t="s">
        <v>168</v>
      </c>
      <c r="C383">
        <v>393980716.29209787</v>
      </c>
      <c r="D383">
        <v>415770695.22131169</v>
      </c>
      <c r="E383">
        <v>480719962.16216218</v>
      </c>
      <c r="F383">
        <v>540746074.77477479</v>
      </c>
      <c r="G383">
        <v>854</v>
      </c>
      <c r="H383">
        <v>490</v>
      </c>
      <c r="I383">
        <v>1</v>
      </c>
      <c r="K383">
        <v>1473</v>
      </c>
      <c r="L383">
        <v>1169</v>
      </c>
      <c r="M383">
        <v>78665090.990990996</v>
      </c>
      <c r="N383">
        <v>104187146.84684685</v>
      </c>
      <c r="O383">
        <v>152697281.98198199</v>
      </c>
      <c r="P383">
        <v>186202347.74774775</v>
      </c>
      <c r="Q383">
        <v>67097250.45045045</v>
      </c>
      <c r="R383">
        <v>93656709.909909904</v>
      </c>
      <c r="S383">
        <v>15859</v>
      </c>
      <c r="T383">
        <v>9546</v>
      </c>
    </row>
    <row r="384" spans="1:20" x14ac:dyDescent="0.35">
      <c r="A384" s="7" t="s">
        <v>485</v>
      </c>
      <c r="B384" s="12" t="s">
        <v>51</v>
      </c>
      <c r="C384">
        <v>237814614.99116543</v>
      </c>
      <c r="D384">
        <v>240945940.84232354</v>
      </c>
      <c r="E384">
        <v>4239639.6396396412</v>
      </c>
      <c r="F384">
        <v>3750722.522522524</v>
      </c>
      <c r="G384">
        <v>68</v>
      </c>
      <c r="H384">
        <v>44</v>
      </c>
      <c r="K384">
        <v>73</v>
      </c>
      <c r="L384">
        <v>47</v>
      </c>
      <c r="M384">
        <v>48017387.387387395</v>
      </c>
      <c r="N384">
        <v>43687631.531531528</v>
      </c>
      <c r="O384">
        <v>103650493.6936937</v>
      </c>
      <c r="P384">
        <v>109600000</v>
      </c>
      <c r="Q384">
        <v>45442792.79279279</v>
      </c>
      <c r="R384">
        <v>40129009.009009011</v>
      </c>
      <c r="S384">
        <v>3920</v>
      </c>
      <c r="T384">
        <v>3127</v>
      </c>
    </row>
    <row r="385" spans="1:20" x14ac:dyDescent="0.35">
      <c r="A385" s="7" t="s">
        <v>486</v>
      </c>
      <c r="B385" s="12" t="s">
        <v>135</v>
      </c>
      <c r="C385">
        <v>319343174.4654572</v>
      </c>
      <c r="D385">
        <v>316004398.40836155</v>
      </c>
      <c r="E385">
        <v>2879504.5045045041</v>
      </c>
      <c r="F385">
        <v>2811033.333333334</v>
      </c>
      <c r="G385">
        <v>69</v>
      </c>
      <c r="H385">
        <v>63</v>
      </c>
      <c r="K385">
        <v>70</v>
      </c>
      <c r="L385">
        <v>72</v>
      </c>
      <c r="M385">
        <v>52897297.297297299</v>
      </c>
      <c r="N385">
        <v>51622567.567567565</v>
      </c>
      <c r="O385">
        <v>61404254.954954952</v>
      </c>
      <c r="P385">
        <v>67945414.414414421</v>
      </c>
      <c r="Q385">
        <v>33073423.423423424</v>
      </c>
      <c r="R385">
        <v>37286486.48648648</v>
      </c>
      <c r="S385">
        <v>4839</v>
      </c>
      <c r="T385">
        <v>4651</v>
      </c>
    </row>
    <row r="386" spans="1:20" x14ac:dyDescent="0.35">
      <c r="A386" s="7" t="s">
        <v>487</v>
      </c>
      <c r="B386" s="12" t="s">
        <v>77</v>
      </c>
      <c r="C386">
        <v>69507547.576237038</v>
      </c>
      <c r="D386">
        <v>83881839.860144377</v>
      </c>
      <c r="E386">
        <v>1490990.9909909919</v>
      </c>
      <c r="F386">
        <v>1516633.333333334</v>
      </c>
      <c r="G386">
        <v>19</v>
      </c>
      <c r="H386">
        <v>28</v>
      </c>
      <c r="K386">
        <v>19</v>
      </c>
      <c r="L386">
        <v>30</v>
      </c>
      <c r="M386">
        <v>17357747.747747749</v>
      </c>
      <c r="N386">
        <v>18593896.396396395</v>
      </c>
      <c r="O386">
        <v>26804053.153153151</v>
      </c>
      <c r="P386">
        <v>30252052.252252251</v>
      </c>
      <c r="Q386">
        <v>14915354.954954956</v>
      </c>
      <c r="R386">
        <v>16834097.297297299</v>
      </c>
      <c r="S386">
        <v>1665</v>
      </c>
      <c r="T386">
        <v>1679</v>
      </c>
    </row>
    <row r="387" spans="1:20" x14ac:dyDescent="0.35">
      <c r="A387" s="7" t="s">
        <v>488</v>
      </c>
      <c r="B387" s="12" t="s">
        <v>308</v>
      </c>
      <c r="C387">
        <v>539360063.8348068</v>
      </c>
      <c r="D387">
        <v>538288758.22757947</v>
      </c>
      <c r="E387">
        <v>6844144.1441441476</v>
      </c>
      <c r="F387">
        <v>7542662.1621621633</v>
      </c>
      <c r="G387">
        <v>226</v>
      </c>
      <c r="H387">
        <v>165</v>
      </c>
      <c r="K387">
        <v>244</v>
      </c>
      <c r="L387">
        <v>185</v>
      </c>
      <c r="M387">
        <v>120628918.91891891</v>
      </c>
      <c r="N387">
        <v>186476213.51351351</v>
      </c>
      <c r="O387">
        <v>228703306.3063063</v>
      </c>
      <c r="P387">
        <v>235956243.24324322</v>
      </c>
      <c r="Q387">
        <v>119772792.7927928</v>
      </c>
      <c r="R387">
        <v>180678603.6036036</v>
      </c>
      <c r="S387">
        <v>15715</v>
      </c>
      <c r="T387">
        <v>11574</v>
      </c>
    </row>
    <row r="388" spans="1:20" x14ac:dyDescent="0.35">
      <c r="A388" s="7" t="s">
        <v>673</v>
      </c>
      <c r="B388" s="12" t="s">
        <v>182</v>
      </c>
      <c r="E388">
        <v>65472972.972972974</v>
      </c>
      <c r="F388">
        <v>217972972.97297296</v>
      </c>
      <c r="M388">
        <v>4081081.0810810812</v>
      </c>
      <c r="N388">
        <v>3459459.4594594589</v>
      </c>
    </row>
    <row r="389" spans="1:20" x14ac:dyDescent="0.35">
      <c r="A389" s="7" t="s">
        <v>489</v>
      </c>
      <c r="B389" s="12" t="s">
        <v>316</v>
      </c>
      <c r="C389">
        <v>123912881.77048652</v>
      </c>
      <c r="D389">
        <v>119193002.79128145</v>
      </c>
      <c r="E389">
        <v>233566347.74774775</v>
      </c>
      <c r="F389">
        <v>267421406.3063063</v>
      </c>
      <c r="G389">
        <v>11</v>
      </c>
      <c r="H389">
        <v>7</v>
      </c>
      <c r="K389">
        <v>12</v>
      </c>
      <c r="L389">
        <v>7</v>
      </c>
      <c r="M389">
        <v>59299459.459459454</v>
      </c>
      <c r="N389">
        <v>92637954.954954967</v>
      </c>
      <c r="O389">
        <v>53429765.765765771</v>
      </c>
      <c r="P389">
        <v>49383837.837837838</v>
      </c>
      <c r="Q389">
        <v>53135405.40540541</v>
      </c>
      <c r="R389">
        <v>79846666.666666672</v>
      </c>
      <c r="S389">
        <v>1689</v>
      </c>
      <c r="T389">
        <v>1729</v>
      </c>
    </row>
    <row r="390" spans="1:20" x14ac:dyDescent="0.35">
      <c r="A390" s="7" t="s">
        <v>490</v>
      </c>
      <c r="B390" s="12" t="s">
        <v>182</v>
      </c>
      <c r="C390">
        <v>286316209.46697074</v>
      </c>
      <c r="D390">
        <v>293158846.30651623</v>
      </c>
      <c r="E390">
        <v>1821171.1711711709</v>
      </c>
      <c r="F390">
        <v>3045045.0450450452</v>
      </c>
      <c r="G390">
        <v>153</v>
      </c>
      <c r="H390">
        <v>118</v>
      </c>
      <c r="I390">
        <v>1</v>
      </c>
      <c r="K390">
        <v>194</v>
      </c>
      <c r="L390">
        <v>139</v>
      </c>
      <c r="M390">
        <v>33475135.135135137</v>
      </c>
      <c r="N390">
        <v>37653153.153153151</v>
      </c>
      <c r="O390">
        <v>83475432.432432428</v>
      </c>
      <c r="P390">
        <v>94549818.018018022</v>
      </c>
      <c r="Q390">
        <v>32715495.495495494</v>
      </c>
      <c r="R390">
        <v>37740180.180180185</v>
      </c>
      <c r="S390">
        <v>8032</v>
      </c>
      <c r="T390">
        <v>7139</v>
      </c>
    </row>
    <row r="391" spans="1:20" x14ac:dyDescent="0.35">
      <c r="A391" s="7" t="s">
        <v>491</v>
      </c>
      <c r="B391" s="12" t="s">
        <v>221</v>
      </c>
      <c r="C391">
        <v>168788608.02051097</v>
      </c>
      <c r="D391">
        <v>165949089.18731216</v>
      </c>
      <c r="E391">
        <v>102702.702702703</v>
      </c>
      <c r="F391">
        <v>69819.819819819997</v>
      </c>
      <c r="G391">
        <v>59</v>
      </c>
      <c r="H391">
        <v>62</v>
      </c>
      <c r="I391">
        <v>1</v>
      </c>
      <c r="K391">
        <v>69</v>
      </c>
      <c r="L391">
        <v>95</v>
      </c>
      <c r="M391">
        <v>7065045.0450450461</v>
      </c>
      <c r="N391">
        <v>2046846.846846848</v>
      </c>
      <c r="O391">
        <v>41621574.774774775</v>
      </c>
      <c r="P391">
        <v>44847322.522522517</v>
      </c>
      <c r="Q391">
        <v>3753783.7837837851</v>
      </c>
      <c r="R391">
        <v>924414.41441441595</v>
      </c>
      <c r="S391">
        <v>4206</v>
      </c>
      <c r="T391">
        <v>4100</v>
      </c>
    </row>
    <row r="392" spans="1:20" x14ac:dyDescent="0.35">
      <c r="A392" s="7" t="s">
        <v>492</v>
      </c>
      <c r="B392" s="12" t="s">
        <v>221</v>
      </c>
      <c r="C392">
        <v>54404436.424784914</v>
      </c>
      <c r="D392">
        <v>41909753.968528815</v>
      </c>
      <c r="E392">
        <v>492792.79279279301</v>
      </c>
      <c r="F392">
        <v>101198.198198199</v>
      </c>
      <c r="G392">
        <v>27</v>
      </c>
      <c r="H392">
        <v>12</v>
      </c>
      <c r="I392">
        <v>1</v>
      </c>
      <c r="K392">
        <v>30</v>
      </c>
      <c r="L392">
        <v>14</v>
      </c>
      <c r="M392">
        <v>16157207.207207208</v>
      </c>
      <c r="N392">
        <v>11444125.225225223</v>
      </c>
      <c r="O392">
        <v>15830621.62162162</v>
      </c>
      <c r="P392">
        <v>14730574.774774777</v>
      </c>
      <c r="Q392">
        <v>15955945.945945946</v>
      </c>
      <c r="R392">
        <v>13745225.225225223</v>
      </c>
      <c r="S392">
        <v>1400</v>
      </c>
      <c r="T392">
        <v>1138</v>
      </c>
    </row>
    <row r="393" spans="1:20" x14ac:dyDescent="0.35">
      <c r="A393" s="7" t="s">
        <v>493</v>
      </c>
      <c r="B393" s="12" t="s">
        <v>61</v>
      </c>
      <c r="C393">
        <v>192933849.08933714</v>
      </c>
      <c r="D393">
        <v>197834532.65984479</v>
      </c>
      <c r="E393">
        <v>3006306.30630631</v>
      </c>
      <c r="F393">
        <v>3768953.1531531559</v>
      </c>
      <c r="G393">
        <v>59</v>
      </c>
      <c r="H393">
        <v>22</v>
      </c>
      <c r="K393">
        <v>89</v>
      </c>
      <c r="L393">
        <v>33</v>
      </c>
      <c r="M393">
        <v>40167297.297297299</v>
      </c>
      <c r="N393">
        <v>42831970.270270273</v>
      </c>
      <c r="O393">
        <v>86430045.045045033</v>
      </c>
      <c r="P393">
        <v>91029423.423423424</v>
      </c>
      <c r="Q393">
        <v>37538648.648648649</v>
      </c>
      <c r="R393">
        <v>38443153.153153151</v>
      </c>
      <c r="S393">
        <v>3792</v>
      </c>
      <c r="T393">
        <v>3704</v>
      </c>
    </row>
    <row r="394" spans="1:20" x14ac:dyDescent="0.35">
      <c r="A394" s="7" t="s">
        <v>494</v>
      </c>
      <c r="B394" s="12" t="s">
        <v>449</v>
      </c>
      <c r="C394">
        <v>230892829.38649794</v>
      </c>
      <c r="D394">
        <v>221341894.19667786</v>
      </c>
      <c r="E394">
        <v>1446846.846846849</v>
      </c>
      <c r="F394">
        <v>4631934.2342342343</v>
      </c>
      <c r="G394">
        <v>157</v>
      </c>
      <c r="H394">
        <v>115</v>
      </c>
      <c r="K394">
        <v>231</v>
      </c>
      <c r="L394">
        <v>180</v>
      </c>
      <c r="M394">
        <v>65556756.75675676</v>
      </c>
      <c r="N394">
        <v>53818381.981981985</v>
      </c>
      <c r="O394">
        <v>82929855.855855852</v>
      </c>
      <c r="P394">
        <v>86758891.891891882</v>
      </c>
      <c r="Q394">
        <v>64965315.315315321</v>
      </c>
      <c r="R394">
        <v>41082432.432432435</v>
      </c>
      <c r="S394">
        <v>5643</v>
      </c>
      <c r="T394">
        <v>4846</v>
      </c>
    </row>
    <row r="395" spans="1:20" x14ac:dyDescent="0.35">
      <c r="A395" s="7" t="s">
        <v>7</v>
      </c>
      <c r="B395" s="12" t="s">
        <v>194</v>
      </c>
      <c r="C395">
        <v>193382183.48710367</v>
      </c>
      <c r="D395">
        <v>189575459.23862797</v>
      </c>
      <c r="E395">
        <v>518018.01801802003</v>
      </c>
      <c r="F395">
        <v>600900.90090090199</v>
      </c>
      <c r="G395">
        <v>64</v>
      </c>
      <c r="H395">
        <v>53</v>
      </c>
      <c r="I395">
        <v>1</v>
      </c>
      <c r="K395">
        <v>78</v>
      </c>
      <c r="L395">
        <v>63</v>
      </c>
      <c r="M395">
        <v>38930180.180180177</v>
      </c>
      <c r="N395">
        <v>67100450.45045045</v>
      </c>
      <c r="O395">
        <v>134598828.82882884</v>
      </c>
      <c r="P395">
        <v>127092765.76576576</v>
      </c>
      <c r="Q395">
        <v>38096576.576576576</v>
      </c>
      <c r="R395">
        <v>65035855.855855852</v>
      </c>
      <c r="S395">
        <v>5459</v>
      </c>
      <c r="T395">
        <v>4770</v>
      </c>
    </row>
    <row r="396" spans="1:20" x14ac:dyDescent="0.35">
      <c r="A396" s="7" t="s">
        <v>495</v>
      </c>
      <c r="B396" s="12" t="s">
        <v>331</v>
      </c>
      <c r="C396">
        <v>224264460.97395697</v>
      </c>
      <c r="D396">
        <v>223435599.45046863</v>
      </c>
      <c r="E396">
        <v>879279.27927927906</v>
      </c>
      <c r="F396">
        <v>465882.88288288401</v>
      </c>
      <c r="G396">
        <v>108</v>
      </c>
      <c r="H396">
        <v>112</v>
      </c>
      <c r="K396">
        <v>233</v>
      </c>
      <c r="L396">
        <v>133</v>
      </c>
      <c r="M396">
        <v>21644054.054054055</v>
      </c>
      <c r="N396">
        <v>13977743.243243244</v>
      </c>
      <c r="O396">
        <v>56419432.432432435</v>
      </c>
      <c r="P396">
        <v>57316819.819819823</v>
      </c>
      <c r="Q396">
        <v>20401981.981981982</v>
      </c>
      <c r="R396">
        <v>12656576.576576576</v>
      </c>
      <c r="S396">
        <v>8440</v>
      </c>
      <c r="T396">
        <v>5916</v>
      </c>
    </row>
    <row r="397" spans="1:20" x14ac:dyDescent="0.35">
      <c r="A397" s="7" t="s">
        <v>496</v>
      </c>
      <c r="B397" s="12" t="s">
        <v>331</v>
      </c>
      <c r="C397">
        <v>382693989.67299473</v>
      </c>
      <c r="D397">
        <v>382789171.99965018</v>
      </c>
      <c r="E397">
        <v>3780630.6306306329</v>
      </c>
      <c r="F397">
        <v>1481953.153153155</v>
      </c>
      <c r="G397">
        <v>166</v>
      </c>
      <c r="H397">
        <v>150</v>
      </c>
      <c r="K397">
        <v>187</v>
      </c>
      <c r="L397">
        <v>186</v>
      </c>
      <c r="M397">
        <v>25508288.288288292</v>
      </c>
      <c r="N397">
        <v>22281970.270270273</v>
      </c>
      <c r="O397">
        <v>86730229.729729727</v>
      </c>
      <c r="P397">
        <v>92775034.234234244</v>
      </c>
      <c r="Q397">
        <v>24151261.261261266</v>
      </c>
      <c r="R397">
        <v>24759729.729729727</v>
      </c>
      <c r="S397">
        <v>10239</v>
      </c>
      <c r="T397">
        <v>7309</v>
      </c>
    </row>
    <row r="398" spans="1:20" x14ac:dyDescent="0.35">
      <c r="A398" s="7" t="s">
        <v>497</v>
      </c>
      <c r="B398" s="12" t="s">
        <v>331</v>
      </c>
      <c r="C398">
        <v>384188158.01934773</v>
      </c>
      <c r="D398">
        <v>350809100.96432155</v>
      </c>
      <c r="E398">
        <v>7007657.6576576577</v>
      </c>
      <c r="F398">
        <v>3845798.1981981988</v>
      </c>
      <c r="G398">
        <v>198</v>
      </c>
      <c r="H398">
        <v>191</v>
      </c>
      <c r="K398">
        <v>310</v>
      </c>
      <c r="L398">
        <v>240</v>
      </c>
      <c r="M398">
        <v>48896036.036036029</v>
      </c>
      <c r="N398">
        <v>46739470.270270273</v>
      </c>
      <c r="O398">
        <v>84731594.594594598</v>
      </c>
      <c r="P398">
        <v>84808990.990990996</v>
      </c>
      <c r="Q398">
        <v>45153873.873873875</v>
      </c>
      <c r="R398">
        <v>46198198.198198199</v>
      </c>
      <c r="S398">
        <v>12530</v>
      </c>
      <c r="T398">
        <v>8378</v>
      </c>
    </row>
    <row r="399" spans="1:20" x14ac:dyDescent="0.35">
      <c r="A399" s="7" t="s">
        <v>498</v>
      </c>
      <c r="B399" s="12" t="s">
        <v>331</v>
      </c>
      <c r="C399">
        <v>1730405592.6897056</v>
      </c>
      <c r="D399">
        <v>1382857068.4727259</v>
      </c>
      <c r="E399">
        <v>1503496067.5675676</v>
      </c>
      <c r="F399">
        <v>17783385.585585587</v>
      </c>
      <c r="G399">
        <v>1169</v>
      </c>
      <c r="H399">
        <v>699</v>
      </c>
      <c r="I399">
        <v>1</v>
      </c>
      <c r="K399">
        <v>2227</v>
      </c>
      <c r="L399">
        <v>842</v>
      </c>
      <c r="M399">
        <v>757593663.96396387</v>
      </c>
      <c r="N399">
        <v>703671016.21621621</v>
      </c>
      <c r="O399">
        <v>447301171.17117113</v>
      </c>
      <c r="P399">
        <v>299290090.0900901</v>
      </c>
      <c r="Q399">
        <v>280568018.01801801</v>
      </c>
      <c r="R399">
        <v>624342162.16216218</v>
      </c>
      <c r="S399">
        <v>36719</v>
      </c>
      <c r="T399">
        <v>27056</v>
      </c>
    </row>
    <row r="400" spans="1:20" x14ac:dyDescent="0.35">
      <c r="A400" s="7" t="s">
        <v>499</v>
      </c>
      <c r="B400" s="12" t="s">
        <v>331</v>
      </c>
      <c r="C400">
        <v>1239124752.0052824</v>
      </c>
      <c r="D400">
        <v>1131699903.0587418</v>
      </c>
      <c r="E400">
        <v>14649549.549549552</v>
      </c>
      <c r="F400">
        <v>5789089.1891891882</v>
      </c>
      <c r="G400">
        <v>486</v>
      </c>
      <c r="H400">
        <v>475</v>
      </c>
      <c r="I400">
        <v>3</v>
      </c>
      <c r="K400">
        <v>652</v>
      </c>
      <c r="L400">
        <v>578</v>
      </c>
      <c r="M400">
        <v>340542702.7027027</v>
      </c>
      <c r="N400">
        <v>144041800</v>
      </c>
      <c r="O400">
        <v>358409777.02702701</v>
      </c>
      <c r="P400">
        <v>301419136.93693697</v>
      </c>
      <c r="Q400">
        <v>329563333.33333331</v>
      </c>
      <c r="R400">
        <v>144668468.46846849</v>
      </c>
      <c r="S400">
        <v>30752</v>
      </c>
      <c r="T400">
        <v>27495</v>
      </c>
    </row>
    <row r="401" spans="1:20" x14ac:dyDescent="0.35">
      <c r="A401" s="7" t="s">
        <v>500</v>
      </c>
      <c r="B401" s="12" t="s">
        <v>144</v>
      </c>
      <c r="C401">
        <v>497932396.99942517</v>
      </c>
      <c r="D401">
        <v>501115805.75179446</v>
      </c>
      <c r="E401">
        <v>2455180.1801801831</v>
      </c>
      <c r="F401">
        <v>2032525.225225227</v>
      </c>
      <c r="G401">
        <v>265</v>
      </c>
      <c r="H401">
        <v>83</v>
      </c>
      <c r="K401">
        <v>283</v>
      </c>
      <c r="L401">
        <v>105</v>
      </c>
      <c r="M401">
        <v>44897297.297297299</v>
      </c>
      <c r="N401">
        <v>44543339.639639638</v>
      </c>
      <c r="O401">
        <v>75074295.495495483</v>
      </c>
      <c r="P401">
        <v>90850403.603603601</v>
      </c>
      <c r="Q401">
        <v>29537387.387387384</v>
      </c>
      <c r="R401">
        <v>32625045.045045044</v>
      </c>
      <c r="S401">
        <v>8714</v>
      </c>
      <c r="T401">
        <v>8720</v>
      </c>
    </row>
    <row r="402" spans="1:20" x14ac:dyDescent="0.35">
      <c r="A402" s="7" t="s">
        <v>501</v>
      </c>
      <c r="B402" s="12" t="s">
        <v>221</v>
      </c>
      <c r="C402">
        <v>583978669.72814155</v>
      </c>
      <c r="D402">
        <v>611034573.75568295</v>
      </c>
      <c r="E402">
        <v>709242998.1981982</v>
      </c>
      <c r="F402">
        <v>582403986.48648655</v>
      </c>
      <c r="G402">
        <v>265</v>
      </c>
      <c r="H402">
        <v>314</v>
      </c>
      <c r="I402">
        <v>5</v>
      </c>
      <c r="K402">
        <v>333</v>
      </c>
      <c r="L402">
        <v>443</v>
      </c>
      <c r="M402">
        <v>254306081.08108109</v>
      </c>
      <c r="N402">
        <v>360956002.7027027</v>
      </c>
      <c r="O402">
        <v>179347509.00900903</v>
      </c>
      <c r="P402">
        <v>193419585.58558559</v>
      </c>
      <c r="Q402">
        <v>212987837.83783782</v>
      </c>
      <c r="R402">
        <v>326767117.11711711</v>
      </c>
      <c r="S402">
        <v>18872</v>
      </c>
      <c r="T402">
        <v>12013</v>
      </c>
    </row>
    <row r="403" spans="1:20" x14ac:dyDescent="0.35">
      <c r="A403" s="7" t="s">
        <v>502</v>
      </c>
      <c r="B403" s="12" t="s">
        <v>398</v>
      </c>
      <c r="C403">
        <v>1657586855.2106805</v>
      </c>
      <c r="D403">
        <v>1696241964.8582146</v>
      </c>
      <c r="E403">
        <v>180679625.22522521</v>
      </c>
      <c r="F403">
        <v>280247890.0900901</v>
      </c>
      <c r="G403">
        <v>516</v>
      </c>
      <c r="H403">
        <v>469</v>
      </c>
      <c r="I403">
        <v>1</v>
      </c>
      <c r="K403">
        <v>629</v>
      </c>
      <c r="L403">
        <v>644</v>
      </c>
      <c r="M403">
        <v>191266891.8918919</v>
      </c>
      <c r="N403">
        <v>258713225.22522521</v>
      </c>
      <c r="O403">
        <v>348693919.81981987</v>
      </c>
      <c r="P403">
        <v>377853147.74774778</v>
      </c>
      <c r="Q403">
        <v>174234279.27927929</v>
      </c>
      <c r="R403">
        <v>240996846.84684685</v>
      </c>
      <c r="S403">
        <v>28919</v>
      </c>
      <c r="T403">
        <v>27437</v>
      </c>
    </row>
    <row r="404" spans="1:20" x14ac:dyDescent="0.35">
      <c r="A404" s="7" t="s">
        <v>503</v>
      </c>
      <c r="B404" s="12" t="s">
        <v>71</v>
      </c>
      <c r="C404">
        <v>25801828.612149201</v>
      </c>
      <c r="D404">
        <v>26267078.450626452</v>
      </c>
      <c r="E404">
        <v>253153.15315315299</v>
      </c>
      <c r="F404">
        <v>1391441.441441441</v>
      </c>
      <c r="G404">
        <v>10</v>
      </c>
      <c r="H404">
        <v>8</v>
      </c>
      <c r="K404">
        <v>10</v>
      </c>
      <c r="L404">
        <v>9</v>
      </c>
      <c r="M404">
        <v>1112612.6126126121</v>
      </c>
      <c r="N404">
        <v>4721171.1711711716</v>
      </c>
      <c r="O404">
        <v>18536927.927927926</v>
      </c>
      <c r="P404">
        <v>19846081.081081081</v>
      </c>
      <c r="Q404">
        <v>928648.64864864806</v>
      </c>
      <c r="R404">
        <v>3380990.9909909908</v>
      </c>
      <c r="S404">
        <v>712</v>
      </c>
      <c r="T404">
        <v>667</v>
      </c>
    </row>
    <row r="405" spans="1:20" x14ac:dyDescent="0.35">
      <c r="A405" s="7" t="s">
        <v>504</v>
      </c>
      <c r="B405" s="12" t="s">
        <v>331</v>
      </c>
      <c r="C405">
        <v>713064878.76598155</v>
      </c>
      <c r="D405">
        <v>688007349.79067123</v>
      </c>
      <c r="E405">
        <v>7205630.6306306319</v>
      </c>
      <c r="F405">
        <v>6043949.5495495526</v>
      </c>
      <c r="G405">
        <v>299</v>
      </c>
      <c r="H405">
        <v>218</v>
      </c>
      <c r="K405">
        <v>418</v>
      </c>
      <c r="L405">
        <v>260</v>
      </c>
      <c r="M405">
        <v>116304234.23423423</v>
      </c>
      <c r="N405">
        <v>185806082.88288289</v>
      </c>
      <c r="O405">
        <v>227986939.1891892</v>
      </c>
      <c r="P405">
        <v>182023385.58558559</v>
      </c>
      <c r="Q405">
        <v>112688738.73873873</v>
      </c>
      <c r="R405">
        <v>188252432.43243244</v>
      </c>
      <c r="S405">
        <v>18442</v>
      </c>
      <c r="T405">
        <v>16007</v>
      </c>
    </row>
    <row r="406" spans="1:20" x14ac:dyDescent="0.35">
      <c r="A406" s="7" t="s">
        <v>505</v>
      </c>
      <c r="B406" s="12" t="s">
        <v>284</v>
      </c>
      <c r="C406">
        <v>217159429.18344077</v>
      </c>
      <c r="D406">
        <v>218288030.82519984</v>
      </c>
      <c r="E406">
        <v>379279.279279279</v>
      </c>
      <c r="F406">
        <v>1934014.4144144149</v>
      </c>
      <c r="G406">
        <v>41</v>
      </c>
      <c r="H406">
        <v>13</v>
      </c>
      <c r="K406">
        <v>42</v>
      </c>
      <c r="L406">
        <v>22</v>
      </c>
      <c r="M406">
        <v>16433333.333333334</v>
      </c>
      <c r="N406">
        <v>17333954.954954956</v>
      </c>
      <c r="O406">
        <v>36877369.369369365</v>
      </c>
      <c r="P406">
        <v>41750711.711711712</v>
      </c>
      <c r="Q406">
        <v>15206576.576576576</v>
      </c>
      <c r="R406">
        <v>14906666.666666668</v>
      </c>
      <c r="S406">
        <v>3186</v>
      </c>
      <c r="T406">
        <v>2989</v>
      </c>
    </row>
    <row r="407" spans="1:20" x14ac:dyDescent="0.35">
      <c r="A407" s="7" t="s">
        <v>506</v>
      </c>
      <c r="B407" s="12" t="s">
        <v>261</v>
      </c>
      <c r="C407">
        <v>131614817.61556175</v>
      </c>
      <c r="D407">
        <v>137891489.55976883</v>
      </c>
      <c r="E407">
        <v>109009.00900900899</v>
      </c>
      <c r="F407">
        <v>27027.027027028002</v>
      </c>
      <c r="G407">
        <v>6</v>
      </c>
      <c r="H407">
        <v>12</v>
      </c>
      <c r="K407">
        <v>8</v>
      </c>
      <c r="L407">
        <v>16</v>
      </c>
      <c r="M407">
        <v>2041441.4414414431</v>
      </c>
      <c r="N407">
        <v>2729729.7297297311</v>
      </c>
      <c r="O407">
        <v>29757684.684684683</v>
      </c>
      <c r="P407">
        <v>38891962.162162162</v>
      </c>
      <c r="Q407">
        <v>2305945.945945947</v>
      </c>
      <c r="R407">
        <v>3710810.8108108118</v>
      </c>
      <c r="S407">
        <v>2204</v>
      </c>
      <c r="T407">
        <v>2542</v>
      </c>
    </row>
    <row r="408" spans="1:20" x14ac:dyDescent="0.35">
      <c r="A408" s="7" t="s">
        <v>507</v>
      </c>
      <c r="B408" s="12" t="s">
        <v>237</v>
      </c>
      <c r="C408">
        <v>322257782.82952523</v>
      </c>
      <c r="D408">
        <v>311920206.86167872</v>
      </c>
      <c r="E408">
        <v>3514864.8648648639</v>
      </c>
      <c r="F408">
        <v>3983428.8288288349</v>
      </c>
      <c r="G408">
        <v>83</v>
      </c>
      <c r="H408">
        <v>119</v>
      </c>
      <c r="I408">
        <v>1</v>
      </c>
      <c r="K408">
        <v>231</v>
      </c>
      <c r="L408">
        <v>164</v>
      </c>
      <c r="M408">
        <v>95818783.783783793</v>
      </c>
      <c r="N408">
        <v>71856063.963963956</v>
      </c>
      <c r="O408">
        <v>72168968.468468457</v>
      </c>
      <c r="P408">
        <v>74034261.261261269</v>
      </c>
      <c r="Q408">
        <v>91579954.954954967</v>
      </c>
      <c r="R408">
        <v>67474729.729729727</v>
      </c>
      <c r="S408">
        <v>5302</v>
      </c>
      <c r="T408">
        <v>4519</v>
      </c>
    </row>
    <row r="409" spans="1:20" x14ac:dyDescent="0.35">
      <c r="A409" s="7" t="s">
        <v>508</v>
      </c>
      <c r="B409" s="12" t="s">
        <v>135</v>
      </c>
      <c r="C409">
        <v>38797727.072001792</v>
      </c>
      <c r="D409">
        <v>54064565.164905794</v>
      </c>
      <c r="G409">
        <v>2</v>
      </c>
      <c r="H409">
        <v>4</v>
      </c>
      <c r="K409">
        <v>2</v>
      </c>
      <c r="L409">
        <v>4</v>
      </c>
      <c r="O409">
        <v>6871432.4324324317</v>
      </c>
      <c r="P409">
        <v>9544900.9009009004</v>
      </c>
      <c r="S409">
        <v>1308</v>
      </c>
      <c r="T409">
        <v>1224</v>
      </c>
    </row>
    <row r="410" spans="1:20" x14ac:dyDescent="0.35">
      <c r="A410" s="7" t="s">
        <v>509</v>
      </c>
      <c r="B410" s="12" t="s">
        <v>398</v>
      </c>
      <c r="C410">
        <v>338975832.94670212</v>
      </c>
      <c r="D410">
        <v>345857206.46090615</v>
      </c>
      <c r="E410">
        <v>86322972.972972974</v>
      </c>
      <c r="F410">
        <v>107017627.02702703</v>
      </c>
      <c r="G410">
        <v>66</v>
      </c>
      <c r="H410">
        <v>65</v>
      </c>
      <c r="K410">
        <v>84</v>
      </c>
      <c r="L410">
        <v>91</v>
      </c>
      <c r="M410">
        <v>39732432.432432435</v>
      </c>
      <c r="N410">
        <v>41075345.945945941</v>
      </c>
      <c r="O410">
        <v>50383963.963963971</v>
      </c>
      <c r="P410">
        <v>53524684.684684686</v>
      </c>
      <c r="Q410">
        <v>36583423.423423424</v>
      </c>
      <c r="R410">
        <v>32448963.963963963</v>
      </c>
      <c r="S410">
        <v>4747</v>
      </c>
      <c r="T410">
        <v>4559</v>
      </c>
    </row>
    <row r="411" spans="1:20" x14ac:dyDescent="0.35">
      <c r="A411" s="7" t="s">
        <v>510</v>
      </c>
      <c r="B411" s="12" t="s">
        <v>135</v>
      </c>
      <c r="C411">
        <v>373189651.17996329</v>
      </c>
      <c r="D411">
        <v>393056559.88984656</v>
      </c>
      <c r="E411">
        <v>1980180.1801801811</v>
      </c>
      <c r="F411">
        <v>3102503.6036036061</v>
      </c>
      <c r="G411">
        <v>94</v>
      </c>
      <c r="H411">
        <v>80</v>
      </c>
      <c r="K411">
        <v>106</v>
      </c>
      <c r="L411">
        <v>88</v>
      </c>
      <c r="M411">
        <v>35906306.30630631</v>
      </c>
      <c r="N411">
        <v>41278644.144144148</v>
      </c>
      <c r="O411">
        <v>60958641.891891889</v>
      </c>
      <c r="P411">
        <v>67311243.243243247</v>
      </c>
      <c r="Q411">
        <v>29024414.414414417</v>
      </c>
      <c r="R411">
        <v>32070720.720720723</v>
      </c>
      <c r="S411">
        <v>6202</v>
      </c>
      <c r="T411">
        <v>5409</v>
      </c>
    </row>
    <row r="412" spans="1:20" x14ac:dyDescent="0.35">
      <c r="A412" s="7" t="s">
        <v>511</v>
      </c>
      <c r="B412" s="12" t="s">
        <v>135</v>
      </c>
      <c r="C412">
        <v>1030525403.909411</v>
      </c>
      <c r="D412">
        <v>1057594468.8519118</v>
      </c>
      <c r="E412">
        <v>6776801.8018018091</v>
      </c>
      <c r="F412">
        <v>9231706.3063063119</v>
      </c>
      <c r="G412">
        <v>222</v>
      </c>
      <c r="H412">
        <v>238</v>
      </c>
      <c r="K412">
        <v>278</v>
      </c>
      <c r="L412">
        <v>361</v>
      </c>
      <c r="M412">
        <v>89969369.369369373</v>
      </c>
      <c r="N412">
        <v>94402721.621621639</v>
      </c>
      <c r="O412">
        <v>107636549.54954955</v>
      </c>
      <c r="P412">
        <v>121104234.23423424</v>
      </c>
      <c r="Q412">
        <v>87322522.522522509</v>
      </c>
      <c r="R412">
        <v>85765225.22522521</v>
      </c>
      <c r="S412">
        <v>19019</v>
      </c>
      <c r="T412">
        <v>16876</v>
      </c>
    </row>
    <row r="413" spans="1:20" x14ac:dyDescent="0.35">
      <c r="A413" s="7" t="s">
        <v>8</v>
      </c>
      <c r="B413" s="12" t="s">
        <v>159</v>
      </c>
      <c r="C413">
        <v>273534125.94776011</v>
      </c>
      <c r="D413">
        <v>270999889.99547154</v>
      </c>
      <c r="E413">
        <v>5694594.594594596</v>
      </c>
      <c r="F413">
        <v>5910267.5675675692</v>
      </c>
      <c r="G413">
        <v>28</v>
      </c>
      <c r="H413">
        <v>58</v>
      </c>
      <c r="K413">
        <v>30</v>
      </c>
      <c r="L413">
        <v>61</v>
      </c>
      <c r="M413">
        <v>48337837.837837838</v>
      </c>
      <c r="N413">
        <v>50497057.657657661</v>
      </c>
      <c r="O413">
        <v>80461414.414414421</v>
      </c>
      <c r="P413">
        <v>80994342.342342332</v>
      </c>
      <c r="Q413">
        <v>42733153.153153151</v>
      </c>
      <c r="R413">
        <v>44255855.855855852</v>
      </c>
      <c r="S413">
        <v>4240</v>
      </c>
      <c r="T413">
        <v>3673</v>
      </c>
    </row>
    <row r="414" spans="1:20" x14ac:dyDescent="0.35">
      <c r="A414" s="7" t="s">
        <v>512</v>
      </c>
      <c r="B414" s="12" t="s">
        <v>135</v>
      </c>
      <c r="C414">
        <v>195500903.81559229</v>
      </c>
      <c r="D414">
        <v>224189620.35186714</v>
      </c>
      <c r="E414">
        <v>743243.24324324296</v>
      </c>
      <c r="F414">
        <v>854984.68468468601</v>
      </c>
      <c r="G414">
        <v>13</v>
      </c>
      <c r="H414">
        <v>2</v>
      </c>
      <c r="K414">
        <v>17</v>
      </c>
      <c r="L414">
        <v>3</v>
      </c>
      <c r="M414">
        <v>7049549.5495495498</v>
      </c>
      <c r="N414">
        <v>14414682.882882884</v>
      </c>
      <c r="O414">
        <v>26802225.225225225</v>
      </c>
      <c r="P414">
        <v>32783045.045045044</v>
      </c>
      <c r="Q414">
        <v>5495855.8558558561</v>
      </c>
      <c r="R414">
        <v>6855945.9459459474</v>
      </c>
      <c r="S414">
        <v>3389</v>
      </c>
      <c r="T414">
        <v>3482</v>
      </c>
    </row>
    <row r="415" spans="1:20" x14ac:dyDescent="0.35">
      <c r="A415" s="7" t="s">
        <v>513</v>
      </c>
      <c r="B415" s="12" t="s">
        <v>63</v>
      </c>
      <c r="C415">
        <v>871630221.41005099</v>
      </c>
      <c r="D415">
        <v>851714511.17071033</v>
      </c>
      <c r="E415">
        <v>5991891.8918918986</v>
      </c>
      <c r="F415">
        <v>6046395.4954955</v>
      </c>
      <c r="G415">
        <v>264</v>
      </c>
      <c r="H415">
        <v>167</v>
      </c>
      <c r="I415">
        <v>1</v>
      </c>
      <c r="K415">
        <v>342</v>
      </c>
      <c r="L415">
        <v>254</v>
      </c>
      <c r="M415">
        <v>117401711.7117117</v>
      </c>
      <c r="N415">
        <v>59890629.729729727</v>
      </c>
      <c r="O415">
        <v>179323027.92792794</v>
      </c>
      <c r="P415">
        <v>187288423.42342341</v>
      </c>
      <c r="Q415">
        <v>115703153.15315315</v>
      </c>
      <c r="R415">
        <v>65838601.801801801</v>
      </c>
      <c r="S415">
        <v>15785</v>
      </c>
      <c r="T415">
        <v>14997</v>
      </c>
    </row>
    <row r="416" spans="1:20" x14ac:dyDescent="0.35">
      <c r="A416" s="7" t="s">
        <v>514</v>
      </c>
      <c r="B416" s="12" t="s">
        <v>118</v>
      </c>
      <c r="C416">
        <v>89918643.219115049</v>
      </c>
      <c r="D416">
        <v>77165396.251508594</v>
      </c>
      <c r="E416">
        <v>333333.33333333302</v>
      </c>
      <c r="F416">
        <v>1694594.594594596</v>
      </c>
      <c r="G416">
        <v>37</v>
      </c>
      <c r="H416">
        <v>37</v>
      </c>
      <c r="K416">
        <v>39</v>
      </c>
      <c r="L416">
        <v>41</v>
      </c>
      <c r="M416">
        <v>3952342.3423423418</v>
      </c>
      <c r="N416">
        <v>6403828.8288288303</v>
      </c>
      <c r="O416">
        <v>39156279.279279277</v>
      </c>
      <c r="P416">
        <v>35304981.981981985</v>
      </c>
      <c r="Q416">
        <v>3529639.6396396412</v>
      </c>
      <c r="R416">
        <v>5603288.2882882878</v>
      </c>
      <c r="S416">
        <v>2175</v>
      </c>
      <c r="T416">
        <v>2002</v>
      </c>
    </row>
    <row r="417" spans="1:20" x14ac:dyDescent="0.35">
      <c r="A417" s="7" t="s">
        <v>515</v>
      </c>
      <c r="B417" s="12" t="s">
        <v>305</v>
      </c>
      <c r="C417">
        <v>160707328.76411077</v>
      </c>
      <c r="D417">
        <v>153962730.66166979</v>
      </c>
      <c r="E417">
        <v>1821621.6216216211</v>
      </c>
      <c r="F417">
        <v>1048645.045045045</v>
      </c>
      <c r="G417">
        <v>83</v>
      </c>
      <c r="H417">
        <v>84</v>
      </c>
      <c r="I417">
        <v>2</v>
      </c>
      <c r="K417">
        <v>84</v>
      </c>
      <c r="L417">
        <v>89</v>
      </c>
      <c r="M417">
        <v>13889639.63963964</v>
      </c>
      <c r="N417">
        <v>7351157.6576576577</v>
      </c>
      <c r="O417">
        <v>15937792.792792792</v>
      </c>
      <c r="P417">
        <v>16466423.423423424</v>
      </c>
      <c r="Q417">
        <v>13846486.486486487</v>
      </c>
      <c r="R417">
        <v>6523783.7837837841</v>
      </c>
      <c r="S417">
        <v>2125</v>
      </c>
      <c r="T417">
        <v>1448</v>
      </c>
    </row>
    <row r="418" spans="1:20" x14ac:dyDescent="0.35">
      <c r="A418" s="7" t="s">
        <v>516</v>
      </c>
      <c r="B418" s="12" t="s">
        <v>305</v>
      </c>
      <c r="C418">
        <v>45132948.209596097</v>
      </c>
      <c r="D418">
        <v>49716725.258998416</v>
      </c>
      <c r="E418">
        <v>451351.35135135101</v>
      </c>
      <c r="F418">
        <v>1002128.828828829</v>
      </c>
      <c r="G418">
        <v>11</v>
      </c>
      <c r="H418">
        <v>11</v>
      </c>
      <c r="K418">
        <v>12</v>
      </c>
      <c r="L418">
        <v>11</v>
      </c>
      <c r="M418">
        <v>5317117.1171171172</v>
      </c>
      <c r="N418">
        <v>8295365.7657657666</v>
      </c>
      <c r="O418">
        <v>6339378.3783783782</v>
      </c>
      <c r="P418">
        <v>7755306.3063063072</v>
      </c>
      <c r="Q418">
        <v>3783513.5135135129</v>
      </c>
      <c r="R418">
        <v>5829189.1891891882</v>
      </c>
      <c r="S418">
        <v>942</v>
      </c>
      <c r="T418">
        <v>557</v>
      </c>
    </row>
    <row r="419" spans="1:20" x14ac:dyDescent="0.35">
      <c r="A419" s="7" t="s">
        <v>517</v>
      </c>
      <c r="B419" s="12" t="s">
        <v>305</v>
      </c>
      <c r="C419">
        <v>93946647.59264335</v>
      </c>
      <c r="D419">
        <v>97133763.500960544</v>
      </c>
      <c r="E419">
        <v>770270.27027026704</v>
      </c>
      <c r="F419">
        <v>840701.80180180399</v>
      </c>
      <c r="G419">
        <v>43</v>
      </c>
      <c r="H419">
        <v>35</v>
      </c>
      <c r="K419">
        <v>48</v>
      </c>
      <c r="L419">
        <v>45</v>
      </c>
      <c r="M419">
        <v>5666666.666666667</v>
      </c>
      <c r="N419">
        <v>7951805.405405405</v>
      </c>
      <c r="O419">
        <v>14801315.315315315</v>
      </c>
      <c r="P419">
        <v>15111468.468468469</v>
      </c>
      <c r="Q419">
        <v>5249909.9099099077</v>
      </c>
      <c r="R419">
        <v>6961621.6216216208</v>
      </c>
      <c r="S419">
        <v>1811</v>
      </c>
      <c r="T419">
        <v>1449</v>
      </c>
    </row>
    <row r="420" spans="1:20" x14ac:dyDescent="0.35">
      <c r="A420" s="7" t="s">
        <v>518</v>
      </c>
      <c r="B420" s="12" t="s">
        <v>305</v>
      </c>
      <c r="C420">
        <v>74645850.936664164</v>
      </c>
      <c r="D420">
        <v>73216682.585442409</v>
      </c>
      <c r="E420">
        <v>102702.702702703</v>
      </c>
      <c r="F420">
        <v>327132.43243243301</v>
      </c>
      <c r="G420">
        <v>26</v>
      </c>
      <c r="H420">
        <v>26</v>
      </c>
      <c r="K420">
        <v>26</v>
      </c>
      <c r="L420">
        <v>27</v>
      </c>
      <c r="M420">
        <v>2001801.8018018019</v>
      </c>
      <c r="N420">
        <v>2894373.8738738731</v>
      </c>
      <c r="O420">
        <v>9464585.5855855867</v>
      </c>
      <c r="P420">
        <v>10910486.486486485</v>
      </c>
      <c r="Q420">
        <v>1294504.5045045039</v>
      </c>
      <c r="R420">
        <v>1640990.9909909901</v>
      </c>
      <c r="S420">
        <v>1286</v>
      </c>
      <c r="T420">
        <v>835</v>
      </c>
    </row>
    <row r="421" spans="1:20" x14ac:dyDescent="0.35">
      <c r="A421" s="7" t="s">
        <v>519</v>
      </c>
      <c r="B421" s="12" t="s">
        <v>449</v>
      </c>
      <c r="C421">
        <v>76539943.560330883</v>
      </c>
      <c r="D421">
        <v>75229847.191957042</v>
      </c>
      <c r="E421">
        <v>436936.93693693698</v>
      </c>
      <c r="F421">
        <v>1669369.3693693711</v>
      </c>
      <c r="G421">
        <v>19</v>
      </c>
      <c r="H421">
        <v>32</v>
      </c>
      <c r="K421">
        <v>25</v>
      </c>
      <c r="L421">
        <v>40</v>
      </c>
      <c r="M421">
        <v>4809459.4594594594</v>
      </c>
      <c r="N421">
        <v>70049819.819819823</v>
      </c>
      <c r="O421">
        <v>25978011.261261258</v>
      </c>
      <c r="P421">
        <v>26255954.954954956</v>
      </c>
      <c r="Q421">
        <v>5283423.4234234244</v>
      </c>
      <c r="R421">
        <v>69901351.351351351</v>
      </c>
      <c r="S421">
        <v>3346</v>
      </c>
      <c r="T421">
        <v>4601</v>
      </c>
    </row>
    <row r="422" spans="1:20" x14ac:dyDescent="0.35">
      <c r="A422" s="7" t="s">
        <v>520</v>
      </c>
      <c r="B422" s="12" t="s">
        <v>86</v>
      </c>
      <c r="C422">
        <v>236303241.3282747</v>
      </c>
      <c r="D422">
        <v>241140394.74281862</v>
      </c>
      <c r="E422">
        <v>138170270.27027026</v>
      </c>
      <c r="F422">
        <v>302345776.57657659</v>
      </c>
      <c r="G422">
        <v>44</v>
      </c>
      <c r="H422">
        <v>20</v>
      </c>
      <c r="K422">
        <v>50</v>
      </c>
      <c r="L422">
        <v>25</v>
      </c>
      <c r="M422">
        <v>55131081.081081077</v>
      </c>
      <c r="N422">
        <v>94360045.045045033</v>
      </c>
      <c r="O422">
        <v>57880863.063063063</v>
      </c>
      <c r="P422">
        <v>66359846.846846849</v>
      </c>
      <c r="Q422">
        <v>43998781.981981985</v>
      </c>
      <c r="R422">
        <v>72653423.423423424</v>
      </c>
      <c r="S422">
        <v>4236</v>
      </c>
      <c r="T422">
        <v>3969</v>
      </c>
    </row>
    <row r="423" spans="1:20" x14ac:dyDescent="0.35">
      <c r="A423" s="7" t="s">
        <v>521</v>
      </c>
      <c r="B423" s="12" t="s">
        <v>305</v>
      </c>
      <c r="C423">
        <v>118798783.38026808</v>
      </c>
      <c r="D423">
        <v>119424591.82162167</v>
      </c>
      <c r="E423">
        <v>264864.86486486503</v>
      </c>
      <c r="F423">
        <v>58983.783783783998</v>
      </c>
      <c r="G423">
        <v>15</v>
      </c>
      <c r="H423">
        <v>16</v>
      </c>
      <c r="K423">
        <v>16</v>
      </c>
      <c r="L423">
        <v>17</v>
      </c>
      <c r="M423">
        <v>8325225.225225226</v>
      </c>
      <c r="N423">
        <v>5989067.5675675683</v>
      </c>
      <c r="O423">
        <v>20911229.729729727</v>
      </c>
      <c r="P423">
        <v>22031873.873873871</v>
      </c>
      <c r="Q423">
        <v>4693603.6036036042</v>
      </c>
      <c r="R423">
        <v>4969459.4594594594</v>
      </c>
      <c r="S423">
        <v>1463</v>
      </c>
      <c r="T423">
        <v>1346</v>
      </c>
    </row>
    <row r="424" spans="1:20" x14ac:dyDescent="0.35">
      <c r="A424" s="7" t="s">
        <v>522</v>
      </c>
      <c r="B424" s="12" t="s">
        <v>400</v>
      </c>
      <c r="C424">
        <v>838107778.60543585</v>
      </c>
      <c r="D424">
        <v>838321333.84373879</v>
      </c>
      <c r="E424">
        <v>208389761.26126128</v>
      </c>
      <c r="F424">
        <v>200886661.26126128</v>
      </c>
      <c r="G424">
        <v>344</v>
      </c>
      <c r="H424">
        <v>219</v>
      </c>
      <c r="I424">
        <v>6</v>
      </c>
      <c r="K424">
        <v>657</v>
      </c>
      <c r="L424">
        <v>967</v>
      </c>
      <c r="M424">
        <v>149044819.81981981</v>
      </c>
      <c r="N424">
        <v>240295936.93693691</v>
      </c>
      <c r="O424">
        <v>213217599.0990991</v>
      </c>
      <c r="P424">
        <v>221215540.54054055</v>
      </c>
      <c r="Q424">
        <v>126999549.54954955</v>
      </c>
      <c r="R424">
        <v>163787520.72072074</v>
      </c>
      <c r="S424">
        <v>16994</v>
      </c>
      <c r="T424">
        <v>13851</v>
      </c>
    </row>
    <row r="425" spans="1:20" x14ac:dyDescent="0.35">
      <c r="A425" s="7" t="s">
        <v>523</v>
      </c>
      <c r="B425" s="12" t="s">
        <v>144</v>
      </c>
      <c r="C425">
        <v>236076488.39299539</v>
      </c>
      <c r="D425">
        <v>244916578.36614135</v>
      </c>
      <c r="E425">
        <v>573873.87387387396</v>
      </c>
      <c r="F425">
        <v>735093.69369369396</v>
      </c>
      <c r="G425">
        <v>61</v>
      </c>
      <c r="H425">
        <v>21</v>
      </c>
      <c r="K425">
        <v>63</v>
      </c>
      <c r="L425">
        <v>22</v>
      </c>
      <c r="M425">
        <v>14357657.657657661</v>
      </c>
      <c r="N425">
        <v>11098581.081081079</v>
      </c>
      <c r="O425">
        <v>29999279.27927928</v>
      </c>
      <c r="P425">
        <v>31116275.675675675</v>
      </c>
      <c r="Q425">
        <v>13078468.468468469</v>
      </c>
      <c r="R425">
        <v>11374054.054054054</v>
      </c>
      <c r="S425">
        <v>3082</v>
      </c>
      <c r="T425">
        <v>3027</v>
      </c>
    </row>
    <row r="426" spans="1:20" x14ac:dyDescent="0.35">
      <c r="A426" s="7" t="s">
        <v>524</v>
      </c>
      <c r="B426" s="12" t="s">
        <v>67</v>
      </c>
      <c r="C426">
        <v>163280555.07803836</v>
      </c>
      <c r="D426">
        <v>152815103.37289888</v>
      </c>
      <c r="E426">
        <v>4932432.4324324327</v>
      </c>
      <c r="F426">
        <v>4849178.3783783782</v>
      </c>
      <c r="G426">
        <v>38</v>
      </c>
      <c r="H426">
        <v>42</v>
      </c>
      <c r="K426">
        <v>43</v>
      </c>
      <c r="L426">
        <v>48</v>
      </c>
      <c r="M426">
        <v>67876936.93693693</v>
      </c>
      <c r="N426">
        <v>73739782.882882878</v>
      </c>
      <c r="O426">
        <v>78809414.414414421</v>
      </c>
      <c r="P426">
        <v>76173315.315315306</v>
      </c>
      <c r="Q426">
        <v>67186666.666666672</v>
      </c>
      <c r="R426">
        <v>71554819.819819823</v>
      </c>
      <c r="S426">
        <v>5612</v>
      </c>
      <c r="T426">
        <v>3631</v>
      </c>
    </row>
    <row r="427" spans="1:20" x14ac:dyDescent="0.35">
      <c r="A427" s="7" t="s">
        <v>525</v>
      </c>
      <c r="B427" s="12" t="s">
        <v>221</v>
      </c>
      <c r="C427">
        <v>211290753.55643854</v>
      </c>
      <c r="D427">
        <v>211366903.27553979</v>
      </c>
      <c r="E427">
        <v>1305405.405405405</v>
      </c>
      <c r="F427">
        <v>518672.97297297203</v>
      </c>
      <c r="G427">
        <v>76</v>
      </c>
      <c r="H427">
        <v>63</v>
      </c>
      <c r="K427">
        <v>84</v>
      </c>
      <c r="L427">
        <v>69</v>
      </c>
      <c r="M427">
        <v>16814414.414414413</v>
      </c>
      <c r="N427">
        <v>13835456.756756756</v>
      </c>
      <c r="O427">
        <v>53429585.585585587</v>
      </c>
      <c r="P427">
        <v>56850673.873873875</v>
      </c>
      <c r="Q427">
        <v>14020540.540540541</v>
      </c>
      <c r="R427">
        <v>8815360.3603603598</v>
      </c>
      <c r="S427">
        <v>4632</v>
      </c>
      <c r="T427">
        <v>4334</v>
      </c>
    </row>
    <row r="428" spans="1:20" x14ac:dyDescent="0.35">
      <c r="A428" s="7" t="s">
        <v>526</v>
      </c>
      <c r="B428" s="12" t="s">
        <v>414</v>
      </c>
      <c r="C428">
        <v>2329004234.5688052</v>
      </c>
      <c r="D428">
        <v>2359053316.5890923</v>
      </c>
      <c r="E428">
        <v>685524781.08108103</v>
      </c>
      <c r="F428">
        <v>854537222.52252245</v>
      </c>
      <c r="G428">
        <v>743</v>
      </c>
      <c r="H428">
        <v>933</v>
      </c>
      <c r="I428">
        <v>2</v>
      </c>
      <c r="K428">
        <v>1393</v>
      </c>
      <c r="L428">
        <v>1621</v>
      </c>
      <c r="M428">
        <v>196919405.4054054</v>
      </c>
      <c r="N428">
        <v>438778258.55855858</v>
      </c>
      <c r="O428">
        <v>679369986.48648655</v>
      </c>
      <c r="P428">
        <v>760057298.1981982</v>
      </c>
      <c r="Q428">
        <v>200092342.34234235</v>
      </c>
      <c r="R428">
        <v>243666936.93693697</v>
      </c>
      <c r="S428">
        <v>34731</v>
      </c>
      <c r="T428">
        <v>32453</v>
      </c>
    </row>
    <row r="429" spans="1:20" x14ac:dyDescent="0.35">
      <c r="A429" s="7" t="s">
        <v>527</v>
      </c>
      <c r="B429" s="12" t="s">
        <v>414</v>
      </c>
      <c r="C429">
        <v>263142861.87733436</v>
      </c>
      <c r="D429">
        <v>265342487.80579627</v>
      </c>
      <c r="E429">
        <v>2777702.702702703</v>
      </c>
      <c r="F429">
        <v>201696.39639639799</v>
      </c>
      <c r="G429">
        <v>44</v>
      </c>
      <c r="H429">
        <v>32</v>
      </c>
      <c r="K429">
        <v>48</v>
      </c>
      <c r="L429">
        <v>36</v>
      </c>
      <c r="M429">
        <v>16740408.108108109</v>
      </c>
      <c r="N429">
        <v>15195626.126126127</v>
      </c>
      <c r="O429">
        <v>82402819.819819823</v>
      </c>
      <c r="P429">
        <v>86230806.306306303</v>
      </c>
      <c r="Q429">
        <v>13682072.072072072</v>
      </c>
      <c r="R429">
        <v>13581711.711711712</v>
      </c>
      <c r="S429">
        <v>5009</v>
      </c>
      <c r="T429">
        <v>4419</v>
      </c>
    </row>
    <row r="430" spans="1:20" x14ac:dyDescent="0.35">
      <c r="A430" s="7" t="s">
        <v>663</v>
      </c>
      <c r="B430" s="12" t="s">
        <v>190</v>
      </c>
      <c r="C430">
        <v>1540138.4327026871</v>
      </c>
      <c r="G430">
        <v>3</v>
      </c>
      <c r="K430">
        <v>4</v>
      </c>
      <c r="O430">
        <v>877072.07207207195</v>
      </c>
      <c r="S430">
        <v>134</v>
      </c>
    </row>
    <row r="431" spans="1:20" x14ac:dyDescent="0.35">
      <c r="A431" s="7" t="s">
        <v>528</v>
      </c>
      <c r="B431" s="12" t="s">
        <v>148</v>
      </c>
      <c r="C431">
        <v>546918930.27111006</v>
      </c>
      <c r="D431">
        <v>519926616.89311439</v>
      </c>
      <c r="E431">
        <v>11284009.009009011</v>
      </c>
      <c r="F431">
        <v>12301960.360360363</v>
      </c>
      <c r="G431">
        <v>338</v>
      </c>
      <c r="H431">
        <v>214</v>
      </c>
      <c r="K431">
        <v>506</v>
      </c>
      <c r="L431">
        <v>269</v>
      </c>
      <c r="M431">
        <v>179921830.63063061</v>
      </c>
      <c r="N431">
        <v>151522521.62162164</v>
      </c>
      <c r="O431">
        <v>192927214.41441441</v>
      </c>
      <c r="P431">
        <v>196201763.96396396</v>
      </c>
      <c r="Q431">
        <v>172493513.51351351</v>
      </c>
      <c r="R431">
        <v>140834234.23423424</v>
      </c>
      <c r="S431">
        <v>11393</v>
      </c>
      <c r="T431">
        <v>9778</v>
      </c>
    </row>
    <row r="432" spans="1:20" x14ac:dyDescent="0.35">
      <c r="A432" s="7" t="s">
        <v>529</v>
      </c>
      <c r="B432" s="12" t="s">
        <v>122</v>
      </c>
      <c r="C432">
        <v>61000703.399941839</v>
      </c>
      <c r="D432">
        <v>53566803.662108026</v>
      </c>
      <c r="E432">
        <v>494594.59459459502</v>
      </c>
      <c r="F432">
        <v>453381.98198198399</v>
      </c>
      <c r="G432">
        <v>28</v>
      </c>
      <c r="H432">
        <v>32</v>
      </c>
      <c r="K432">
        <v>32</v>
      </c>
      <c r="L432">
        <v>35</v>
      </c>
      <c r="M432">
        <v>5760360.3603603607</v>
      </c>
      <c r="N432">
        <v>5148082.8828828828</v>
      </c>
      <c r="O432">
        <v>7878797.297297297</v>
      </c>
      <c r="P432">
        <v>7364144.1441441439</v>
      </c>
      <c r="Q432">
        <v>5215495.4954954954</v>
      </c>
      <c r="R432">
        <v>5448828.8288288303</v>
      </c>
      <c r="S432">
        <v>1023</v>
      </c>
      <c r="T432">
        <v>945</v>
      </c>
    </row>
    <row r="433" spans="1:20" x14ac:dyDescent="0.35">
      <c r="A433" s="7" t="s">
        <v>530</v>
      </c>
      <c r="B433" s="12" t="s">
        <v>449</v>
      </c>
      <c r="C433">
        <v>113233440.60458472</v>
      </c>
      <c r="D433">
        <v>140217995.62027588</v>
      </c>
      <c r="E433">
        <v>1125225.2252252251</v>
      </c>
      <c r="F433">
        <v>2400000</v>
      </c>
      <c r="G433">
        <v>120</v>
      </c>
      <c r="H433">
        <v>31</v>
      </c>
      <c r="K433">
        <v>157</v>
      </c>
      <c r="L433">
        <v>32</v>
      </c>
      <c r="M433">
        <v>20737612.612612616</v>
      </c>
      <c r="N433">
        <v>19309459.459459461</v>
      </c>
      <c r="O433">
        <v>55686362.612612613</v>
      </c>
      <c r="P433">
        <v>67832036.036036029</v>
      </c>
      <c r="Q433">
        <v>22517432.432432432</v>
      </c>
      <c r="R433">
        <v>20075315.315315317</v>
      </c>
      <c r="S433">
        <v>2371</v>
      </c>
      <c r="T433">
        <v>2173</v>
      </c>
    </row>
    <row r="434" spans="1:20" x14ac:dyDescent="0.35">
      <c r="A434" s="7" t="s">
        <v>531</v>
      </c>
      <c r="B434" s="12" t="s">
        <v>449</v>
      </c>
      <c r="C434">
        <v>254493747.18817455</v>
      </c>
      <c r="D434">
        <v>257151668.25017533</v>
      </c>
      <c r="E434">
        <v>2628828.8288288279</v>
      </c>
      <c r="F434">
        <v>5697972.9729729742</v>
      </c>
      <c r="G434">
        <v>226</v>
      </c>
      <c r="H434">
        <v>333</v>
      </c>
      <c r="K434">
        <v>234</v>
      </c>
      <c r="L434">
        <v>357</v>
      </c>
      <c r="M434">
        <v>57850450.45045045</v>
      </c>
      <c r="N434">
        <v>55158783.783783786</v>
      </c>
      <c r="O434">
        <v>121100603.6036036</v>
      </c>
      <c r="P434">
        <v>123683050.45045045</v>
      </c>
      <c r="Q434">
        <v>57238108.108108103</v>
      </c>
      <c r="R434">
        <v>37598243.24324324</v>
      </c>
      <c r="S434">
        <v>7982</v>
      </c>
      <c r="T434">
        <v>5273</v>
      </c>
    </row>
    <row r="435" spans="1:20" x14ac:dyDescent="0.35">
      <c r="A435" s="7" t="s">
        <v>532</v>
      </c>
      <c r="B435" s="12" t="s">
        <v>124</v>
      </c>
      <c r="C435">
        <v>669068774.25092649</v>
      </c>
      <c r="D435">
        <v>676654553.38203573</v>
      </c>
      <c r="E435">
        <v>318535753.15315318</v>
      </c>
      <c r="F435">
        <v>551926615.31531537</v>
      </c>
      <c r="G435">
        <v>477</v>
      </c>
      <c r="H435">
        <v>392</v>
      </c>
      <c r="I435">
        <v>8</v>
      </c>
      <c r="K435">
        <v>934</v>
      </c>
      <c r="L435">
        <v>1001</v>
      </c>
      <c r="M435">
        <v>272916846.84684682</v>
      </c>
      <c r="N435">
        <v>416526857.65765768</v>
      </c>
      <c r="O435">
        <v>235858687.38738739</v>
      </c>
      <c r="P435">
        <v>254528660.36036035</v>
      </c>
      <c r="Q435">
        <v>268133333.33333334</v>
      </c>
      <c r="R435">
        <v>417454684.68468469</v>
      </c>
      <c r="S435">
        <v>18144</v>
      </c>
      <c r="T435">
        <v>11260</v>
      </c>
    </row>
    <row r="436" spans="1:20" x14ac:dyDescent="0.35">
      <c r="A436" s="7" t="s">
        <v>533</v>
      </c>
      <c r="B436" s="12" t="s">
        <v>86</v>
      </c>
      <c r="C436">
        <v>195389821.43607539</v>
      </c>
      <c r="D436">
        <v>222913655.62124264</v>
      </c>
      <c r="E436">
        <v>2045045.0450450459</v>
      </c>
      <c r="F436">
        <v>3804564.8648648649</v>
      </c>
      <c r="G436">
        <v>46</v>
      </c>
      <c r="H436">
        <v>37</v>
      </c>
      <c r="K436">
        <v>55</v>
      </c>
      <c r="L436">
        <v>46</v>
      </c>
      <c r="M436">
        <v>34208648.648648649</v>
      </c>
      <c r="N436">
        <v>79839727.027027026</v>
      </c>
      <c r="O436">
        <v>42626036.036036029</v>
      </c>
      <c r="P436">
        <v>57202711.711711712</v>
      </c>
      <c r="Q436">
        <v>27088018.018018015</v>
      </c>
      <c r="R436">
        <v>60276126.126126125</v>
      </c>
      <c r="S436">
        <v>3864</v>
      </c>
      <c r="T436">
        <v>3839</v>
      </c>
    </row>
    <row r="437" spans="1:20" x14ac:dyDescent="0.35">
      <c r="A437" s="7" t="s">
        <v>9</v>
      </c>
      <c r="B437" s="12" t="s">
        <v>159</v>
      </c>
      <c r="C437">
        <v>525826648.29186225</v>
      </c>
      <c r="D437">
        <v>497989777.10676163</v>
      </c>
      <c r="E437">
        <v>14174192.792792795</v>
      </c>
      <c r="F437">
        <v>11601609.009009015</v>
      </c>
      <c r="G437">
        <v>86</v>
      </c>
      <c r="H437">
        <v>123</v>
      </c>
      <c r="I437">
        <v>1</v>
      </c>
      <c r="K437">
        <v>93</v>
      </c>
      <c r="L437">
        <v>144</v>
      </c>
      <c r="M437">
        <v>748572924.32432437</v>
      </c>
      <c r="N437">
        <v>730869529.72972977</v>
      </c>
      <c r="O437">
        <v>189265054.05405405</v>
      </c>
      <c r="P437">
        <v>181817601.8018018</v>
      </c>
      <c r="Q437">
        <v>651802072.07207203</v>
      </c>
      <c r="R437">
        <v>684632027.02702713</v>
      </c>
      <c r="S437">
        <v>8287</v>
      </c>
      <c r="T437">
        <v>7127</v>
      </c>
    </row>
    <row r="438" spans="1:20" x14ac:dyDescent="0.35">
      <c r="A438" s="7" t="s">
        <v>534</v>
      </c>
      <c r="B438" s="12" t="s">
        <v>95</v>
      </c>
      <c r="C438">
        <v>503158853.79681647</v>
      </c>
      <c r="D438">
        <v>516623287.08247662</v>
      </c>
      <c r="E438">
        <v>1558558.5585585621</v>
      </c>
      <c r="F438">
        <v>2971562.1621621628</v>
      </c>
      <c r="G438">
        <v>103</v>
      </c>
      <c r="H438">
        <v>126</v>
      </c>
      <c r="K438">
        <v>112</v>
      </c>
      <c r="L438">
        <v>137</v>
      </c>
      <c r="M438">
        <v>48124324.324324317</v>
      </c>
      <c r="N438">
        <v>53956599.0990991</v>
      </c>
      <c r="O438">
        <v>66625936.936936937</v>
      </c>
      <c r="P438">
        <v>78073320.720720723</v>
      </c>
      <c r="Q438">
        <v>30804414.414414417</v>
      </c>
      <c r="R438">
        <v>32318288.288288288</v>
      </c>
      <c r="S438">
        <v>6510</v>
      </c>
      <c r="T438">
        <v>6512</v>
      </c>
    </row>
    <row r="439" spans="1:20" x14ac:dyDescent="0.35">
      <c r="A439" s="7" t="s">
        <v>535</v>
      </c>
      <c r="B439" s="12" t="s">
        <v>305</v>
      </c>
      <c r="C439">
        <v>14221623.236026781</v>
      </c>
      <c r="D439">
        <v>18591141.088128321</v>
      </c>
      <c r="G439">
        <v>7</v>
      </c>
      <c r="H439">
        <v>7</v>
      </c>
      <c r="K439">
        <v>8</v>
      </c>
      <c r="L439">
        <v>7</v>
      </c>
      <c r="O439">
        <v>2525090.0900900899</v>
      </c>
      <c r="P439">
        <v>2296711.7117117122</v>
      </c>
      <c r="S439">
        <v>455</v>
      </c>
      <c r="T439">
        <v>388</v>
      </c>
    </row>
    <row r="440" spans="1:20" x14ac:dyDescent="0.35">
      <c r="A440" s="7" t="s">
        <v>536</v>
      </c>
      <c r="B440" s="12" t="s">
        <v>305</v>
      </c>
      <c r="C440">
        <v>205724716.03506979</v>
      </c>
      <c r="D440">
        <v>198549394.5888387</v>
      </c>
      <c r="E440">
        <v>1086486.4864864871</v>
      </c>
      <c r="F440">
        <v>1857654.054054054</v>
      </c>
      <c r="G440">
        <v>28</v>
      </c>
      <c r="H440">
        <v>35</v>
      </c>
      <c r="K440">
        <v>36</v>
      </c>
      <c r="L440">
        <v>39</v>
      </c>
      <c r="M440">
        <v>16347747.747747745</v>
      </c>
      <c r="N440">
        <v>18770266.666666668</v>
      </c>
      <c r="O440">
        <v>18543873.873873871</v>
      </c>
      <c r="P440">
        <v>17629171.171171173</v>
      </c>
      <c r="Q440">
        <v>9218738.7387387361</v>
      </c>
      <c r="R440">
        <v>9953783.7837837841</v>
      </c>
      <c r="S440">
        <v>2965</v>
      </c>
      <c r="T440">
        <v>2684</v>
      </c>
    </row>
    <row r="441" spans="1:20" x14ac:dyDescent="0.35">
      <c r="A441" s="7" t="s">
        <v>537</v>
      </c>
      <c r="B441" s="12" t="s">
        <v>86</v>
      </c>
      <c r="C441">
        <v>184818984.46995196</v>
      </c>
      <c r="D441">
        <v>191662482.11530069</v>
      </c>
      <c r="E441">
        <v>391023222.52252251</v>
      </c>
      <c r="F441">
        <v>512751218.91891891</v>
      </c>
      <c r="G441">
        <v>93</v>
      </c>
      <c r="H441">
        <v>199</v>
      </c>
      <c r="I441">
        <v>4</v>
      </c>
      <c r="K441">
        <v>108</v>
      </c>
      <c r="L441">
        <v>229</v>
      </c>
      <c r="M441">
        <v>109662972.97297297</v>
      </c>
      <c r="N441">
        <v>120279114.41441442</v>
      </c>
      <c r="O441">
        <v>80500252.252252251</v>
      </c>
      <c r="P441">
        <v>88805162.162162155</v>
      </c>
      <c r="Q441">
        <v>59232162.162162162</v>
      </c>
      <c r="R441">
        <v>86137207.207207203</v>
      </c>
      <c r="S441">
        <v>3157</v>
      </c>
      <c r="T441">
        <v>3065</v>
      </c>
    </row>
    <row r="442" spans="1:20" x14ac:dyDescent="0.35">
      <c r="A442" s="7" t="s">
        <v>538</v>
      </c>
      <c r="B442" s="12" t="s">
        <v>449</v>
      </c>
      <c r="C442">
        <v>252762933.30080518</v>
      </c>
      <c r="D442">
        <v>240628061.96284288</v>
      </c>
      <c r="E442">
        <v>519096396.3963964</v>
      </c>
      <c r="F442">
        <v>155459459.45945945</v>
      </c>
      <c r="G442">
        <v>245</v>
      </c>
      <c r="H442">
        <v>83</v>
      </c>
      <c r="I442">
        <v>2</v>
      </c>
      <c r="K442">
        <v>287</v>
      </c>
      <c r="L442">
        <v>95</v>
      </c>
      <c r="M442">
        <v>30852657.657657657</v>
      </c>
      <c r="N442">
        <v>53865765.765765771</v>
      </c>
      <c r="O442">
        <v>70779691.891891882</v>
      </c>
      <c r="P442">
        <v>73090630.630630627</v>
      </c>
      <c r="Q442">
        <v>28227567.567567568</v>
      </c>
      <c r="R442">
        <v>49121531.531531528</v>
      </c>
      <c r="S442">
        <v>6943</v>
      </c>
      <c r="T442">
        <v>5340</v>
      </c>
    </row>
    <row r="443" spans="1:20" x14ac:dyDescent="0.35">
      <c r="A443" s="7" t="s">
        <v>539</v>
      </c>
      <c r="B443" s="12" t="s">
        <v>118</v>
      </c>
      <c r="C443">
        <v>569871137.20048511</v>
      </c>
      <c r="D443">
        <v>545044753.9620018</v>
      </c>
      <c r="E443">
        <v>12604729.729729734</v>
      </c>
      <c r="F443">
        <v>13200160.36036036</v>
      </c>
      <c r="G443">
        <v>190</v>
      </c>
      <c r="H443">
        <v>192</v>
      </c>
      <c r="K443">
        <v>227</v>
      </c>
      <c r="L443">
        <v>242</v>
      </c>
      <c r="M443">
        <v>134606035.13513514</v>
      </c>
      <c r="N443">
        <v>128868892.7927928</v>
      </c>
      <c r="O443">
        <v>325374662.16216218</v>
      </c>
      <c r="P443">
        <v>310516522.52252251</v>
      </c>
      <c r="Q443">
        <v>120564504.5045045</v>
      </c>
      <c r="R443">
        <v>113492207.2072072</v>
      </c>
      <c r="S443">
        <v>12626</v>
      </c>
      <c r="T443">
        <v>11186</v>
      </c>
    </row>
    <row r="444" spans="1:20" x14ac:dyDescent="0.35">
      <c r="A444" s="7" t="s">
        <v>540</v>
      </c>
      <c r="B444" s="12" t="s">
        <v>84</v>
      </c>
      <c r="C444">
        <v>1795308383.1744535</v>
      </c>
      <c r="D444">
        <v>1774750275.4386468</v>
      </c>
      <c r="E444">
        <v>8711789.1891891919</v>
      </c>
      <c r="F444">
        <v>11143123.423423424</v>
      </c>
      <c r="G444">
        <v>346</v>
      </c>
      <c r="H444">
        <v>347</v>
      </c>
      <c r="I444">
        <v>2</v>
      </c>
      <c r="K444">
        <v>386</v>
      </c>
      <c r="L444">
        <v>420</v>
      </c>
      <c r="M444">
        <v>128953684.68468469</v>
      </c>
      <c r="N444">
        <v>124470143.24324325</v>
      </c>
      <c r="O444">
        <v>193245831.98198199</v>
      </c>
      <c r="P444">
        <v>209229983.78378376</v>
      </c>
      <c r="Q444">
        <v>123466439.63963965</v>
      </c>
      <c r="R444">
        <v>104816259.45945945</v>
      </c>
      <c r="S444">
        <v>23276</v>
      </c>
      <c r="T444">
        <v>21775</v>
      </c>
    </row>
    <row r="445" spans="1:20" x14ac:dyDescent="0.35">
      <c r="A445" s="7" t="s">
        <v>541</v>
      </c>
      <c r="B445" s="12" t="s">
        <v>316</v>
      </c>
      <c r="C445">
        <v>216971049.52484715</v>
      </c>
      <c r="D445">
        <v>212918920.3567344</v>
      </c>
      <c r="E445">
        <v>3152477.4774774769</v>
      </c>
      <c r="F445">
        <v>3147301.8018018049</v>
      </c>
      <c r="G445">
        <v>48</v>
      </c>
      <c r="H445">
        <v>23</v>
      </c>
      <c r="K445">
        <v>51</v>
      </c>
      <c r="L445">
        <v>24</v>
      </c>
      <c r="M445">
        <v>15052702.702702701</v>
      </c>
      <c r="N445">
        <v>29705172.972972974</v>
      </c>
      <c r="O445">
        <v>40850135.135135137</v>
      </c>
      <c r="P445">
        <v>42825675.675675675</v>
      </c>
      <c r="Q445">
        <v>13033243.243243244</v>
      </c>
      <c r="R445">
        <v>28221441.441441439</v>
      </c>
      <c r="S445">
        <v>2671</v>
      </c>
      <c r="T445">
        <v>2618</v>
      </c>
    </row>
    <row r="446" spans="1:20" x14ac:dyDescent="0.35">
      <c r="A446" s="7" t="s">
        <v>542</v>
      </c>
      <c r="B446" s="12" t="s">
        <v>170</v>
      </c>
      <c r="C446">
        <v>1512627707.2200735</v>
      </c>
      <c r="D446">
        <v>1525034391.5224996</v>
      </c>
      <c r="E446">
        <v>4536936.9369369363</v>
      </c>
      <c r="F446">
        <v>7556240.5405405406</v>
      </c>
      <c r="G446">
        <v>188</v>
      </c>
      <c r="H446">
        <v>260</v>
      </c>
      <c r="I446">
        <v>1</v>
      </c>
      <c r="K446">
        <v>233</v>
      </c>
      <c r="L446">
        <v>335</v>
      </c>
      <c r="M446">
        <v>92958986.486486495</v>
      </c>
      <c r="N446">
        <v>95337696.396396399</v>
      </c>
      <c r="O446">
        <v>556314033.78378379</v>
      </c>
      <c r="P446">
        <v>590637090.09009016</v>
      </c>
      <c r="Q446">
        <v>95009009.009009004</v>
      </c>
      <c r="R446">
        <v>93528288.288288295</v>
      </c>
      <c r="S446">
        <v>23984</v>
      </c>
      <c r="T446">
        <v>19552</v>
      </c>
    </row>
    <row r="447" spans="1:20" x14ac:dyDescent="0.35">
      <c r="A447" s="7" t="s">
        <v>543</v>
      </c>
      <c r="B447" s="12" t="s">
        <v>480</v>
      </c>
      <c r="C447">
        <v>471963163.7825132</v>
      </c>
      <c r="D447">
        <v>459737986.95595121</v>
      </c>
      <c r="E447">
        <v>1247747.74774775</v>
      </c>
      <c r="F447">
        <v>2189189.1891891891</v>
      </c>
      <c r="G447">
        <v>53</v>
      </c>
      <c r="H447">
        <v>35</v>
      </c>
      <c r="K447">
        <v>59</v>
      </c>
      <c r="L447">
        <v>43</v>
      </c>
      <c r="M447">
        <v>3500000.0000000009</v>
      </c>
      <c r="N447">
        <v>4608108.1081081163</v>
      </c>
      <c r="O447">
        <v>60855180.180180185</v>
      </c>
      <c r="P447">
        <v>80388441.441441447</v>
      </c>
      <c r="Q447">
        <v>2818198.1981981969</v>
      </c>
      <c r="R447">
        <v>3833423.42342343</v>
      </c>
      <c r="S447">
        <v>6791</v>
      </c>
      <c r="T447">
        <v>5385</v>
      </c>
    </row>
    <row r="448" spans="1:20" x14ac:dyDescent="0.35">
      <c r="A448" s="7" t="s">
        <v>544</v>
      </c>
      <c r="B448" s="12" t="s">
        <v>81</v>
      </c>
      <c r="C448">
        <v>116276913.60915059</v>
      </c>
      <c r="D448">
        <v>123379857.48955604</v>
      </c>
      <c r="E448">
        <v>1016666.666666667</v>
      </c>
      <c r="F448">
        <v>1909441.4414414431</v>
      </c>
      <c r="G448">
        <v>38</v>
      </c>
      <c r="H448">
        <v>11</v>
      </c>
      <c r="K448">
        <v>42</v>
      </c>
      <c r="L448">
        <v>17</v>
      </c>
      <c r="M448">
        <v>29048198.198198196</v>
      </c>
      <c r="N448">
        <v>14292821.621621624</v>
      </c>
      <c r="O448">
        <v>43076396.396396399</v>
      </c>
      <c r="P448">
        <v>44678405.40540541</v>
      </c>
      <c r="Q448">
        <v>28865585.585585583</v>
      </c>
      <c r="R448">
        <v>13563513.513513515</v>
      </c>
      <c r="S448">
        <v>2907</v>
      </c>
      <c r="T448">
        <v>2192</v>
      </c>
    </row>
    <row r="449" spans="1:20" x14ac:dyDescent="0.35">
      <c r="A449" s="7" t="s">
        <v>545</v>
      </c>
      <c r="B449" s="12" t="s">
        <v>170</v>
      </c>
      <c r="C449">
        <v>116289499.50666557</v>
      </c>
      <c r="D449">
        <v>160770084.54145882</v>
      </c>
      <c r="E449">
        <v>277477.47747747699</v>
      </c>
      <c r="F449">
        <v>461261.26126126101</v>
      </c>
      <c r="G449">
        <v>17</v>
      </c>
      <c r="H449">
        <v>5</v>
      </c>
      <c r="K449">
        <v>18</v>
      </c>
      <c r="L449">
        <v>6</v>
      </c>
      <c r="M449">
        <v>1178378.378378378</v>
      </c>
      <c r="N449">
        <v>461261.26126126101</v>
      </c>
      <c r="O449">
        <v>48299944.144144148</v>
      </c>
      <c r="P449">
        <v>59376414.414414413</v>
      </c>
      <c r="Q449">
        <v>814054.05405405397</v>
      </c>
      <c r="R449">
        <v>1236486.4864864871</v>
      </c>
      <c r="S449">
        <v>2462</v>
      </c>
      <c r="T449">
        <v>2469</v>
      </c>
    </row>
    <row r="450" spans="1:20" x14ac:dyDescent="0.35">
      <c r="A450" s="7" t="s">
        <v>546</v>
      </c>
      <c r="B450" s="12" t="s">
        <v>225</v>
      </c>
      <c r="C450">
        <v>22006.743812503999</v>
      </c>
      <c r="D450">
        <v>42313.454668708</v>
      </c>
      <c r="O450">
        <v>6081.0810810809999</v>
      </c>
      <c r="P450">
        <v>6081.0810810809999</v>
      </c>
      <c r="S450">
        <v>1</v>
      </c>
    </row>
    <row r="451" spans="1:20" x14ac:dyDescent="0.35">
      <c r="A451" s="7" t="s">
        <v>547</v>
      </c>
      <c r="B451" s="12" t="s">
        <v>137</v>
      </c>
      <c r="C451">
        <v>295684454.81642246</v>
      </c>
      <c r="D451">
        <v>308760440.56238604</v>
      </c>
      <c r="E451">
        <v>1118918.9189189179</v>
      </c>
      <c r="F451">
        <v>3195229.729729732</v>
      </c>
      <c r="G451">
        <v>98</v>
      </c>
      <c r="H451">
        <v>60</v>
      </c>
      <c r="K451">
        <v>104</v>
      </c>
      <c r="L451">
        <v>63</v>
      </c>
      <c r="M451">
        <v>68202702.702702701</v>
      </c>
      <c r="N451">
        <v>71535424.324324325</v>
      </c>
      <c r="O451">
        <v>98171029.729729727</v>
      </c>
      <c r="P451">
        <v>118768781.98198198</v>
      </c>
      <c r="Q451">
        <v>55309369.369369365</v>
      </c>
      <c r="R451">
        <v>58195315.315315314</v>
      </c>
      <c r="S451">
        <v>4448</v>
      </c>
      <c r="T451">
        <v>4469</v>
      </c>
    </row>
    <row r="452" spans="1:20" x14ac:dyDescent="0.35">
      <c r="A452" s="7" t="s">
        <v>548</v>
      </c>
      <c r="B452" s="12" t="s">
        <v>137</v>
      </c>
      <c r="C452">
        <v>554657260.46298099</v>
      </c>
      <c r="D452">
        <v>559973124.76204813</v>
      </c>
      <c r="E452">
        <v>383635127.92792791</v>
      </c>
      <c r="F452">
        <v>541920836.93693697</v>
      </c>
      <c r="G452">
        <v>269</v>
      </c>
      <c r="H452">
        <v>278</v>
      </c>
      <c r="I452">
        <v>7</v>
      </c>
      <c r="K452">
        <v>313</v>
      </c>
      <c r="L452">
        <v>346</v>
      </c>
      <c r="M452">
        <v>143256756.75675675</v>
      </c>
      <c r="N452">
        <v>135156321.62162161</v>
      </c>
      <c r="O452">
        <v>183564561.26126125</v>
      </c>
      <c r="P452">
        <v>193155106.3063063</v>
      </c>
      <c r="Q452">
        <v>118740846.84684685</v>
      </c>
      <c r="R452">
        <v>112948828.82882883</v>
      </c>
      <c r="S452">
        <v>12903</v>
      </c>
      <c r="T452">
        <v>12691</v>
      </c>
    </row>
    <row r="453" spans="1:20" x14ac:dyDescent="0.35">
      <c r="A453" s="7" t="s">
        <v>549</v>
      </c>
      <c r="B453" s="12" t="s">
        <v>137</v>
      </c>
      <c r="C453">
        <v>625536912.23251128</v>
      </c>
      <c r="D453">
        <v>647056733.70791006</v>
      </c>
      <c r="E453">
        <v>4824324.3243243266</v>
      </c>
      <c r="F453">
        <v>2862869.3693693699</v>
      </c>
      <c r="G453">
        <v>98</v>
      </c>
      <c r="H453">
        <v>124</v>
      </c>
      <c r="I453">
        <v>6</v>
      </c>
      <c r="K453">
        <v>108</v>
      </c>
      <c r="L453">
        <v>131</v>
      </c>
      <c r="M453">
        <v>23833333.333333336</v>
      </c>
      <c r="N453">
        <v>25986614.414414417</v>
      </c>
      <c r="O453">
        <v>101251601.8018018</v>
      </c>
      <c r="P453">
        <v>109777322.52252252</v>
      </c>
      <c r="Q453">
        <v>21755045.045045044</v>
      </c>
      <c r="R453">
        <v>22098738.738738734</v>
      </c>
      <c r="S453">
        <v>8537</v>
      </c>
      <c r="T453">
        <v>8819</v>
      </c>
    </row>
    <row r="454" spans="1:20" x14ac:dyDescent="0.35">
      <c r="A454" s="7" t="s">
        <v>550</v>
      </c>
      <c r="B454" s="12" t="s">
        <v>137</v>
      </c>
      <c r="C454">
        <v>262417438.18817016</v>
      </c>
      <c r="D454">
        <v>242719167.13141254</v>
      </c>
      <c r="E454">
        <v>646846.84684684605</v>
      </c>
      <c r="F454">
        <v>1867814.414414413</v>
      </c>
      <c r="G454">
        <v>46</v>
      </c>
      <c r="H454">
        <v>66</v>
      </c>
      <c r="I454">
        <v>1</v>
      </c>
      <c r="K454">
        <v>49</v>
      </c>
      <c r="L454">
        <v>67</v>
      </c>
      <c r="M454">
        <v>19196396.396396395</v>
      </c>
      <c r="N454">
        <v>23101586.486486487</v>
      </c>
      <c r="O454">
        <v>43509477.477477483</v>
      </c>
      <c r="P454">
        <v>46677891.891891889</v>
      </c>
      <c r="Q454">
        <v>15617747.747747747</v>
      </c>
      <c r="R454">
        <v>17730810.810810812</v>
      </c>
      <c r="S454">
        <v>4028</v>
      </c>
      <c r="T454">
        <v>3145</v>
      </c>
    </row>
    <row r="455" spans="1:20" x14ac:dyDescent="0.35">
      <c r="A455" s="7" t="s">
        <v>551</v>
      </c>
      <c r="B455" s="12" t="s">
        <v>88</v>
      </c>
      <c r="C455">
        <v>110555723.84790668</v>
      </c>
      <c r="D455">
        <v>106655028.95842762</v>
      </c>
      <c r="E455">
        <v>158558.55855855899</v>
      </c>
      <c r="F455">
        <v>128336.93693693601</v>
      </c>
      <c r="G455">
        <v>59</v>
      </c>
      <c r="H455">
        <v>31</v>
      </c>
      <c r="K455">
        <v>62</v>
      </c>
      <c r="L455">
        <v>32</v>
      </c>
      <c r="M455">
        <v>6848648.6486486495</v>
      </c>
      <c r="N455">
        <v>5708823.4234234234</v>
      </c>
      <c r="O455">
        <v>17716016.216216218</v>
      </c>
      <c r="P455">
        <v>18790207.207207207</v>
      </c>
      <c r="Q455">
        <v>6367387.3873873875</v>
      </c>
      <c r="R455">
        <v>4542522.5225225231</v>
      </c>
      <c r="S455">
        <v>1472</v>
      </c>
      <c r="T455">
        <v>1342</v>
      </c>
    </row>
    <row r="456" spans="1:20" x14ac:dyDescent="0.35">
      <c r="A456" s="7" t="s">
        <v>552</v>
      </c>
      <c r="B456" s="12" t="s">
        <v>88</v>
      </c>
      <c r="C456">
        <v>164741997.42140505</v>
      </c>
      <c r="D456">
        <v>167087993.18421268</v>
      </c>
      <c r="E456">
        <v>549549.54954955005</v>
      </c>
      <c r="F456">
        <v>813824.32432432601</v>
      </c>
      <c r="G456">
        <v>98</v>
      </c>
      <c r="H456">
        <v>67</v>
      </c>
      <c r="K456">
        <v>109</v>
      </c>
      <c r="L456">
        <v>72</v>
      </c>
      <c r="M456">
        <v>11915315.315315315</v>
      </c>
      <c r="N456">
        <v>13655851.351351352</v>
      </c>
      <c r="O456">
        <v>23184448.648648649</v>
      </c>
      <c r="P456">
        <v>22998747.747747749</v>
      </c>
      <c r="Q456">
        <v>9207117.1171171162</v>
      </c>
      <c r="R456">
        <v>9497837.8378378376</v>
      </c>
      <c r="S456">
        <v>2807</v>
      </c>
      <c r="T456">
        <v>2654</v>
      </c>
    </row>
    <row r="457" spans="1:20" x14ac:dyDescent="0.35">
      <c r="A457" s="7" t="s">
        <v>553</v>
      </c>
      <c r="B457" s="12" t="s">
        <v>67</v>
      </c>
      <c r="C457">
        <v>331221139.1688633</v>
      </c>
      <c r="D457">
        <v>334857025.30556637</v>
      </c>
      <c r="E457">
        <v>13504504.504504507</v>
      </c>
      <c r="F457">
        <v>18322063.963963967</v>
      </c>
      <c r="G457">
        <v>248</v>
      </c>
      <c r="H457">
        <v>112</v>
      </c>
      <c r="I457">
        <v>1</v>
      </c>
      <c r="K457">
        <v>271</v>
      </c>
      <c r="L457">
        <v>146</v>
      </c>
      <c r="M457">
        <v>226884504.5045045</v>
      </c>
      <c r="N457">
        <v>328439941.44144148</v>
      </c>
      <c r="O457">
        <v>142761209.45945945</v>
      </c>
      <c r="P457">
        <v>142307207.2072072</v>
      </c>
      <c r="Q457">
        <v>223774414.41441441</v>
      </c>
      <c r="R457">
        <v>226520900.9009009</v>
      </c>
      <c r="S457">
        <v>15793</v>
      </c>
      <c r="T457">
        <v>9221</v>
      </c>
    </row>
    <row r="458" spans="1:20" x14ac:dyDescent="0.35">
      <c r="A458" s="7" t="s">
        <v>35</v>
      </c>
      <c r="B458" s="12" t="s">
        <v>159</v>
      </c>
      <c r="E458">
        <v>376959459.45945948</v>
      </c>
      <c r="F458">
        <v>831701801.8018018</v>
      </c>
      <c r="M458">
        <v>25661036.036036037</v>
      </c>
      <c r="N458">
        <v>42986711.711711712</v>
      </c>
    </row>
    <row r="459" spans="1:20" x14ac:dyDescent="0.35">
      <c r="A459" s="7" t="s">
        <v>554</v>
      </c>
      <c r="B459" s="12" t="s">
        <v>555</v>
      </c>
      <c r="C459">
        <v>658244737.27894318</v>
      </c>
      <c r="D459">
        <v>644070145.78515482</v>
      </c>
      <c r="E459">
        <v>238137711.7117117</v>
      </c>
      <c r="F459">
        <v>243475240.54054055</v>
      </c>
      <c r="G459">
        <v>148</v>
      </c>
      <c r="H459">
        <v>83</v>
      </c>
      <c r="I459">
        <v>5</v>
      </c>
      <c r="K459">
        <v>188</v>
      </c>
      <c r="L459">
        <v>95</v>
      </c>
      <c r="M459">
        <v>251045045.04504505</v>
      </c>
      <c r="N459">
        <v>280958352.25225228</v>
      </c>
      <c r="O459">
        <v>180151990.99099097</v>
      </c>
      <c r="P459">
        <v>201075135.13513514</v>
      </c>
      <c r="Q459">
        <v>234131845.04504505</v>
      </c>
      <c r="R459">
        <v>250555045.04504505</v>
      </c>
      <c r="S459">
        <v>9279</v>
      </c>
      <c r="T459">
        <v>8851</v>
      </c>
    </row>
    <row r="460" spans="1:20" x14ac:dyDescent="0.35">
      <c r="A460" s="7" t="s">
        <v>556</v>
      </c>
      <c r="B460" s="12" t="s">
        <v>555</v>
      </c>
      <c r="C460">
        <v>101685108.9953704</v>
      </c>
      <c r="D460">
        <v>100261715.04616669</v>
      </c>
      <c r="E460">
        <v>34828828.828828834</v>
      </c>
      <c r="F460">
        <v>11366836.036036037</v>
      </c>
      <c r="G460">
        <v>36</v>
      </c>
      <c r="H460">
        <v>31</v>
      </c>
      <c r="K460">
        <v>38</v>
      </c>
      <c r="L460">
        <v>40</v>
      </c>
      <c r="M460">
        <v>13261261.26126126</v>
      </c>
      <c r="N460">
        <v>19976162.162162162</v>
      </c>
      <c r="O460">
        <v>36494900.9009009</v>
      </c>
      <c r="P460">
        <v>40620891.891891889</v>
      </c>
      <c r="Q460">
        <v>12970360.36036036</v>
      </c>
      <c r="R460">
        <v>8392702.7027027048</v>
      </c>
      <c r="S460">
        <v>1694</v>
      </c>
      <c r="T460">
        <v>1542</v>
      </c>
    </row>
    <row r="461" spans="1:20" x14ac:dyDescent="0.35">
      <c r="A461" s="7" t="s">
        <v>557</v>
      </c>
      <c r="B461" s="12" t="s">
        <v>122</v>
      </c>
      <c r="C461">
        <v>74048988.464154139</v>
      </c>
      <c r="D461">
        <v>75430721.351781562</v>
      </c>
      <c r="E461">
        <v>450450.45045045001</v>
      </c>
      <c r="F461">
        <v>157657.65765765801</v>
      </c>
      <c r="G461">
        <v>37</v>
      </c>
      <c r="H461">
        <v>34</v>
      </c>
      <c r="K461">
        <v>41</v>
      </c>
      <c r="L461">
        <v>36</v>
      </c>
      <c r="M461">
        <v>450450.45045045001</v>
      </c>
      <c r="N461">
        <v>157657.65765765801</v>
      </c>
      <c r="O461">
        <v>6763594.594594595</v>
      </c>
      <c r="P461">
        <v>9622432.4324324317</v>
      </c>
      <c r="Q461">
        <v>243693.69369369399</v>
      </c>
      <c r="R461">
        <v>257657.65765765699</v>
      </c>
      <c r="S461">
        <v>1477</v>
      </c>
      <c r="T461">
        <v>1349</v>
      </c>
    </row>
    <row r="462" spans="1:20" x14ac:dyDescent="0.35">
      <c r="A462" s="7" t="s">
        <v>558</v>
      </c>
      <c r="B462" s="12" t="s">
        <v>71</v>
      </c>
      <c r="C462">
        <v>605937730.38154459</v>
      </c>
      <c r="D462">
        <v>599532379.01314878</v>
      </c>
      <c r="E462">
        <v>7735135.135135144</v>
      </c>
      <c r="F462">
        <v>16343755.855855858</v>
      </c>
      <c r="G462">
        <v>145</v>
      </c>
      <c r="H462">
        <v>172</v>
      </c>
      <c r="I462">
        <v>1</v>
      </c>
      <c r="K462">
        <v>213</v>
      </c>
      <c r="L462">
        <v>195</v>
      </c>
      <c r="M462">
        <v>99509009.009009004</v>
      </c>
      <c r="N462">
        <v>204707958.55855855</v>
      </c>
      <c r="O462">
        <v>253192990.99099097</v>
      </c>
      <c r="P462">
        <v>252568855.85585588</v>
      </c>
      <c r="Q462">
        <v>82737837.837837845</v>
      </c>
      <c r="R462">
        <v>183299549.54954955</v>
      </c>
      <c r="S462">
        <v>10817</v>
      </c>
      <c r="T462">
        <v>10360</v>
      </c>
    </row>
    <row r="463" spans="1:20" x14ac:dyDescent="0.35">
      <c r="A463" s="7" t="s">
        <v>559</v>
      </c>
      <c r="B463" s="12" t="s">
        <v>63</v>
      </c>
      <c r="C463">
        <v>1097492305.2917116</v>
      </c>
      <c r="D463">
        <v>1099699655.839705</v>
      </c>
      <c r="E463">
        <v>17564950.450450458</v>
      </c>
      <c r="F463">
        <v>26063225.225225233</v>
      </c>
      <c r="G463">
        <v>654</v>
      </c>
      <c r="H463">
        <v>538</v>
      </c>
      <c r="I463">
        <v>1</v>
      </c>
      <c r="K463">
        <v>848</v>
      </c>
      <c r="L463">
        <v>871</v>
      </c>
      <c r="M463">
        <v>154613513.51351351</v>
      </c>
      <c r="N463">
        <v>283187400.9009009</v>
      </c>
      <c r="O463">
        <v>260114468.46846849</v>
      </c>
      <c r="P463">
        <v>288345423.42342341</v>
      </c>
      <c r="Q463">
        <v>149491621.62162164</v>
      </c>
      <c r="R463">
        <v>291284187.38738739</v>
      </c>
      <c r="S463">
        <v>19639</v>
      </c>
      <c r="T463">
        <v>18501</v>
      </c>
    </row>
    <row r="464" spans="1:20" x14ac:dyDescent="0.35">
      <c r="A464" s="7" t="s">
        <v>560</v>
      </c>
      <c r="B464" s="12" t="s">
        <v>480</v>
      </c>
      <c r="C464">
        <v>522718724.92656493</v>
      </c>
      <c r="D464">
        <v>518845770.83344585</v>
      </c>
      <c r="E464">
        <v>5888288.288288286</v>
      </c>
      <c r="F464">
        <v>4160411.7117117108</v>
      </c>
      <c r="G464">
        <v>248</v>
      </c>
      <c r="H464">
        <v>118</v>
      </c>
      <c r="I464">
        <v>2</v>
      </c>
      <c r="K464">
        <v>277</v>
      </c>
      <c r="L464">
        <v>132</v>
      </c>
      <c r="M464">
        <v>78177567.567567572</v>
      </c>
      <c r="N464">
        <v>86197600.900900915</v>
      </c>
      <c r="O464">
        <v>160635453.15315315</v>
      </c>
      <c r="P464">
        <v>159310873.87387389</v>
      </c>
      <c r="Q464">
        <v>69058558.558558553</v>
      </c>
      <c r="R464">
        <v>83229684.684684694</v>
      </c>
      <c r="S464">
        <v>9817</v>
      </c>
      <c r="T464">
        <v>7819</v>
      </c>
    </row>
    <row r="465" spans="1:20" x14ac:dyDescent="0.35">
      <c r="A465" s="7" t="s">
        <v>561</v>
      </c>
      <c r="B465" s="12" t="s">
        <v>237</v>
      </c>
      <c r="C465">
        <v>88773533.908293381</v>
      </c>
      <c r="D465">
        <v>89557612.218026921</v>
      </c>
      <c r="E465">
        <v>1436936.936936937</v>
      </c>
      <c r="F465">
        <v>1100839.639639637</v>
      </c>
      <c r="G465">
        <v>35</v>
      </c>
      <c r="H465">
        <v>26</v>
      </c>
      <c r="K465">
        <v>60</v>
      </c>
      <c r="L465">
        <v>30</v>
      </c>
      <c r="M465">
        <v>7051081.0810810812</v>
      </c>
      <c r="N465">
        <v>6145556.7567567565</v>
      </c>
      <c r="O465">
        <v>31927935.135135137</v>
      </c>
      <c r="P465">
        <v>35911972.972972974</v>
      </c>
      <c r="Q465">
        <v>7113963.9639639622</v>
      </c>
      <c r="R465">
        <v>4708243.2432432426</v>
      </c>
      <c r="S465">
        <v>2402</v>
      </c>
      <c r="T465">
        <v>2144</v>
      </c>
    </row>
    <row r="466" spans="1:20" x14ac:dyDescent="0.35">
      <c r="A466" s="7" t="s">
        <v>562</v>
      </c>
      <c r="B466" s="12" t="s">
        <v>61</v>
      </c>
      <c r="C466">
        <v>84657736.625384256</v>
      </c>
      <c r="D466">
        <v>81902960.199559867</v>
      </c>
      <c r="E466">
        <v>3354054.054054053</v>
      </c>
      <c r="F466">
        <v>2730570.2702702698</v>
      </c>
      <c r="G466">
        <v>28</v>
      </c>
      <c r="H466">
        <v>59</v>
      </c>
      <c r="K466">
        <v>58</v>
      </c>
      <c r="L466">
        <v>127</v>
      </c>
      <c r="M466">
        <v>23398198.198198199</v>
      </c>
      <c r="N466">
        <v>22359348.648648649</v>
      </c>
      <c r="O466">
        <v>29947657.657657657</v>
      </c>
      <c r="P466">
        <v>28941234.234234232</v>
      </c>
      <c r="Q466">
        <v>22574504.504504506</v>
      </c>
      <c r="R466">
        <v>21735855.855855856</v>
      </c>
      <c r="S466">
        <v>1850</v>
      </c>
      <c r="T466">
        <v>824</v>
      </c>
    </row>
    <row r="467" spans="1:20" x14ac:dyDescent="0.35">
      <c r="A467" s="7" t="s">
        <v>563</v>
      </c>
      <c r="B467" s="12" t="s">
        <v>564</v>
      </c>
      <c r="C467">
        <v>472586086.39344913</v>
      </c>
      <c r="D467">
        <v>487998954.93316829</v>
      </c>
      <c r="E467">
        <v>1039752205.4054054</v>
      </c>
      <c r="F467">
        <v>538071065.76576579</v>
      </c>
      <c r="G467">
        <v>761</v>
      </c>
      <c r="H467">
        <v>436</v>
      </c>
      <c r="I467">
        <v>3</v>
      </c>
      <c r="K467">
        <v>1240</v>
      </c>
      <c r="L467">
        <v>913</v>
      </c>
      <c r="M467">
        <v>740879926.12612605</v>
      </c>
      <c r="N467">
        <v>492948980.18018013</v>
      </c>
      <c r="O467">
        <v>202822747.74774775</v>
      </c>
      <c r="P467">
        <v>225453702.7027027</v>
      </c>
      <c r="Q467">
        <v>584529500.90090084</v>
      </c>
      <c r="R467">
        <v>708466504.50450444</v>
      </c>
      <c r="S467">
        <v>23055</v>
      </c>
      <c r="T467">
        <v>8561</v>
      </c>
    </row>
    <row r="468" spans="1:20" x14ac:dyDescent="0.35">
      <c r="A468" s="7" t="s">
        <v>565</v>
      </c>
      <c r="B468" s="12" t="s">
        <v>564</v>
      </c>
      <c r="C468">
        <v>645589761.14812529</v>
      </c>
      <c r="D468">
        <v>629415568.07623124</v>
      </c>
      <c r="E468">
        <v>10926126.126126127</v>
      </c>
      <c r="F468">
        <v>16028945.945945948</v>
      </c>
      <c r="G468">
        <v>228</v>
      </c>
      <c r="H468">
        <v>213</v>
      </c>
      <c r="K468">
        <v>263</v>
      </c>
      <c r="L468">
        <v>339</v>
      </c>
      <c r="M468">
        <v>82045136.936936945</v>
      </c>
      <c r="N468">
        <v>115005500</v>
      </c>
      <c r="O468">
        <v>266954279.27927926</v>
      </c>
      <c r="P468">
        <v>273962153.15315318</v>
      </c>
      <c r="Q468">
        <v>94916801.801801801</v>
      </c>
      <c r="R468">
        <v>110524864.86486487</v>
      </c>
      <c r="S468">
        <v>22113</v>
      </c>
      <c r="T468">
        <v>11801</v>
      </c>
    </row>
    <row r="469" spans="1:20" x14ac:dyDescent="0.35">
      <c r="A469" s="7" t="s">
        <v>566</v>
      </c>
      <c r="B469" s="12" t="s">
        <v>564</v>
      </c>
      <c r="C469">
        <v>463566836.70423096</v>
      </c>
      <c r="D469">
        <v>495726451.62179399</v>
      </c>
      <c r="E469">
        <v>8330142.3423423469</v>
      </c>
      <c r="F469">
        <v>12543374.774774775</v>
      </c>
      <c r="G469">
        <v>367</v>
      </c>
      <c r="H469">
        <v>262</v>
      </c>
      <c r="K469">
        <v>429</v>
      </c>
      <c r="L469">
        <v>341</v>
      </c>
      <c r="M469">
        <v>65241937.837837838</v>
      </c>
      <c r="N469">
        <v>114676043.24324325</v>
      </c>
      <c r="O469">
        <v>204430585.58558559</v>
      </c>
      <c r="P469">
        <v>222747027.02702704</v>
      </c>
      <c r="Q469">
        <v>61844774.774774775</v>
      </c>
      <c r="R469">
        <v>105809234.23423424</v>
      </c>
      <c r="S469">
        <v>25751</v>
      </c>
      <c r="T469">
        <v>11802</v>
      </c>
    </row>
    <row r="470" spans="1:20" x14ac:dyDescent="0.35">
      <c r="A470" s="7" t="s">
        <v>567</v>
      </c>
      <c r="B470" s="12" t="s">
        <v>564</v>
      </c>
      <c r="C470">
        <v>307677905.3424384</v>
      </c>
      <c r="D470">
        <v>325019058.74514592</v>
      </c>
      <c r="E470">
        <v>118057837.83783785</v>
      </c>
      <c r="F470">
        <v>466794819.81981987</v>
      </c>
      <c r="G470">
        <v>36</v>
      </c>
      <c r="H470">
        <v>102</v>
      </c>
      <c r="K470">
        <v>45</v>
      </c>
      <c r="L470">
        <v>106</v>
      </c>
      <c r="M470">
        <v>88487223.423423424</v>
      </c>
      <c r="N470">
        <v>98392342.342342332</v>
      </c>
      <c r="O470">
        <v>182337576.57657659</v>
      </c>
      <c r="P470">
        <v>184838891.8918919</v>
      </c>
      <c r="Q470">
        <v>63345945.945945941</v>
      </c>
      <c r="R470">
        <v>90615720.720720723</v>
      </c>
      <c r="S470">
        <v>9222</v>
      </c>
      <c r="T470">
        <v>7569</v>
      </c>
    </row>
    <row r="471" spans="1:20" x14ac:dyDescent="0.35">
      <c r="A471" s="7" t="s">
        <v>568</v>
      </c>
      <c r="B471" s="12" t="s">
        <v>564</v>
      </c>
      <c r="C471">
        <v>178335017.94086683</v>
      </c>
      <c r="D471">
        <v>181832343.21861246</v>
      </c>
      <c r="E471">
        <v>5820720.7207207214</v>
      </c>
      <c r="F471">
        <v>9166396.3963963967</v>
      </c>
      <c r="G471">
        <v>54</v>
      </c>
      <c r="H471">
        <v>49</v>
      </c>
      <c r="I471">
        <v>3</v>
      </c>
      <c r="K471">
        <v>66</v>
      </c>
      <c r="L471">
        <v>114</v>
      </c>
      <c r="M471">
        <v>201006118.91891891</v>
      </c>
      <c r="N471">
        <v>76552797.297297299</v>
      </c>
      <c r="O471">
        <v>72908007.207207203</v>
      </c>
      <c r="P471">
        <v>79845369.369369373</v>
      </c>
      <c r="Q471">
        <v>198387522.52252254</v>
      </c>
      <c r="R471">
        <v>74279099.0990991</v>
      </c>
      <c r="S471">
        <v>9898</v>
      </c>
      <c r="T471">
        <v>4864</v>
      </c>
    </row>
    <row r="472" spans="1:20" x14ac:dyDescent="0.35">
      <c r="A472" s="7" t="s">
        <v>569</v>
      </c>
      <c r="B472" s="12" t="s">
        <v>49</v>
      </c>
      <c r="C472">
        <v>402917753.73091668</v>
      </c>
      <c r="D472">
        <v>392859929.48183501</v>
      </c>
      <c r="E472">
        <v>1526126.1261261271</v>
      </c>
      <c r="F472">
        <v>1633156.7567567581</v>
      </c>
      <c r="G472">
        <v>54</v>
      </c>
      <c r="H472">
        <v>21</v>
      </c>
      <c r="K472">
        <v>51</v>
      </c>
      <c r="L472">
        <v>22</v>
      </c>
      <c r="M472">
        <v>18976576.576576576</v>
      </c>
      <c r="N472">
        <v>14089382.882882884</v>
      </c>
      <c r="O472">
        <v>50269922.522522517</v>
      </c>
      <c r="P472">
        <v>54344547.747747742</v>
      </c>
      <c r="Q472">
        <v>20498288.288288288</v>
      </c>
      <c r="R472">
        <v>16730403.603603603</v>
      </c>
      <c r="S472">
        <v>6404</v>
      </c>
      <c r="T472">
        <v>5930</v>
      </c>
    </row>
    <row r="473" spans="1:20" x14ac:dyDescent="0.35">
      <c r="A473" s="7" t="s">
        <v>570</v>
      </c>
      <c r="B473" s="12" t="s">
        <v>170</v>
      </c>
      <c r="C473">
        <v>5331712528.6250019</v>
      </c>
      <c r="D473">
        <v>5185681035.1888638</v>
      </c>
      <c r="E473">
        <v>3348089607.2072072</v>
      </c>
      <c r="F473">
        <v>5324371985.5855856</v>
      </c>
      <c r="G473">
        <v>2008</v>
      </c>
      <c r="H473">
        <v>1937</v>
      </c>
      <c r="I473">
        <v>13</v>
      </c>
      <c r="K473">
        <v>2443</v>
      </c>
      <c r="L473">
        <v>3499</v>
      </c>
      <c r="M473">
        <v>844745864.86486495</v>
      </c>
      <c r="N473">
        <v>974667994.5945946</v>
      </c>
      <c r="O473">
        <v>3159352636.036036</v>
      </c>
      <c r="P473">
        <v>5560818360.3603601</v>
      </c>
      <c r="Q473">
        <v>815234724.32432437</v>
      </c>
      <c r="R473">
        <v>909901706.30630636</v>
      </c>
      <c r="S473">
        <v>59162</v>
      </c>
      <c r="T473">
        <v>58144</v>
      </c>
    </row>
    <row r="474" spans="1:20" x14ac:dyDescent="0.35">
      <c r="A474" s="7" t="s">
        <v>674</v>
      </c>
      <c r="B474" s="12" t="s">
        <v>118</v>
      </c>
      <c r="E474">
        <v>106752252.25225225</v>
      </c>
      <c r="F474">
        <v>140526306.3063063</v>
      </c>
      <c r="M474">
        <v>3409909.9099099101</v>
      </c>
      <c r="N474">
        <v>1921621.621621622</v>
      </c>
    </row>
    <row r="475" spans="1:20" x14ac:dyDescent="0.35">
      <c r="A475" s="7" t="s">
        <v>571</v>
      </c>
      <c r="B475" s="12" t="s">
        <v>221</v>
      </c>
      <c r="C475">
        <v>351134974.76628792</v>
      </c>
      <c r="D475">
        <v>359289714.26225233</v>
      </c>
      <c r="E475">
        <v>2807207.2072072099</v>
      </c>
      <c r="F475">
        <v>3027563.0630630618</v>
      </c>
      <c r="G475">
        <v>35</v>
      </c>
      <c r="H475">
        <v>44</v>
      </c>
      <c r="K475">
        <v>37</v>
      </c>
      <c r="L475">
        <v>48</v>
      </c>
      <c r="M475">
        <v>21208738.738738742</v>
      </c>
      <c r="N475">
        <v>24576965.765765768</v>
      </c>
      <c r="O475">
        <v>57820567.567567565</v>
      </c>
      <c r="P475">
        <v>65086790.990990989</v>
      </c>
      <c r="Q475">
        <v>19641891.891891893</v>
      </c>
      <c r="R475">
        <v>23887567.567567568</v>
      </c>
      <c r="S475">
        <v>5298</v>
      </c>
      <c r="T475">
        <v>5161</v>
      </c>
    </row>
    <row r="476" spans="1:20" x14ac:dyDescent="0.35">
      <c r="A476" s="7" t="s">
        <v>572</v>
      </c>
      <c r="B476" s="12" t="s">
        <v>86</v>
      </c>
      <c r="C476">
        <v>435146288.30091077</v>
      </c>
      <c r="D476">
        <v>474015295.67173856</v>
      </c>
      <c r="E476">
        <v>847747.74774774897</v>
      </c>
      <c r="F476">
        <v>5657432.4324324317</v>
      </c>
      <c r="G476">
        <v>55</v>
      </c>
      <c r="H476">
        <v>24</v>
      </c>
      <c r="K476">
        <v>59</v>
      </c>
      <c r="L476">
        <v>29</v>
      </c>
      <c r="M476">
        <v>53002781.081081085</v>
      </c>
      <c r="N476">
        <v>106121891.89189188</v>
      </c>
      <c r="O476">
        <v>98155329.729729727</v>
      </c>
      <c r="P476">
        <v>118096466.66666667</v>
      </c>
      <c r="Q476">
        <v>41823153.153153151</v>
      </c>
      <c r="R476">
        <v>83827927.927927941</v>
      </c>
      <c r="S476">
        <v>5347</v>
      </c>
      <c r="T476">
        <v>5014</v>
      </c>
    </row>
    <row r="477" spans="1:20" x14ac:dyDescent="0.35">
      <c r="A477" s="7" t="s">
        <v>573</v>
      </c>
      <c r="B477" s="12" t="s">
        <v>480</v>
      </c>
      <c r="C477">
        <v>227176923.6718837</v>
      </c>
      <c r="D477">
        <v>204170906.91524327</v>
      </c>
      <c r="E477">
        <v>227341095.4954955</v>
      </c>
      <c r="F477">
        <v>264069684.68468466</v>
      </c>
      <c r="G477">
        <v>172</v>
      </c>
      <c r="H477">
        <v>107</v>
      </c>
      <c r="K477">
        <v>200</v>
      </c>
      <c r="L477">
        <v>144</v>
      </c>
      <c r="M477">
        <v>49527990.090090089</v>
      </c>
      <c r="N477">
        <v>66039130.630630635</v>
      </c>
      <c r="O477">
        <v>94962147.747747749</v>
      </c>
      <c r="P477">
        <v>90914396.396396399</v>
      </c>
      <c r="Q477">
        <v>40594684.684684686</v>
      </c>
      <c r="R477">
        <v>57476576.576576576</v>
      </c>
      <c r="S477">
        <v>11299</v>
      </c>
      <c r="T477">
        <v>5267</v>
      </c>
    </row>
    <row r="478" spans="1:20" x14ac:dyDescent="0.35">
      <c r="A478" s="7" t="s">
        <v>574</v>
      </c>
      <c r="B478" s="12" t="s">
        <v>95</v>
      </c>
      <c r="C478">
        <v>583043507.36164856</v>
      </c>
      <c r="D478">
        <v>611405700.35574996</v>
      </c>
      <c r="E478">
        <v>3559459.4594594608</v>
      </c>
      <c r="F478">
        <v>6607301.8018018017</v>
      </c>
      <c r="G478">
        <v>123</v>
      </c>
      <c r="H478">
        <v>216</v>
      </c>
      <c r="I478">
        <v>2</v>
      </c>
      <c r="K478">
        <v>151</v>
      </c>
      <c r="L478">
        <v>364</v>
      </c>
      <c r="M478">
        <v>864641216.21621621</v>
      </c>
      <c r="N478">
        <v>51560459.459459454</v>
      </c>
      <c r="O478">
        <v>124218540.990991</v>
      </c>
      <c r="P478">
        <v>138255538.73873875</v>
      </c>
      <c r="Q478">
        <v>47122837.837837838</v>
      </c>
      <c r="R478">
        <v>48237027.027027026</v>
      </c>
      <c r="S478">
        <v>9933</v>
      </c>
      <c r="T478">
        <v>9902</v>
      </c>
    </row>
    <row r="479" spans="1:20" x14ac:dyDescent="0.35">
      <c r="A479" s="7" t="s">
        <v>575</v>
      </c>
      <c r="B479" s="12" t="s">
        <v>308</v>
      </c>
      <c r="C479">
        <v>1356768909.0955553</v>
      </c>
      <c r="D479">
        <v>1381111892.0464194</v>
      </c>
      <c r="E479">
        <v>29835765.765765775</v>
      </c>
      <c r="F479">
        <v>29832538.738738742</v>
      </c>
      <c r="G479">
        <v>799</v>
      </c>
      <c r="H479">
        <v>553</v>
      </c>
      <c r="I479">
        <v>5</v>
      </c>
      <c r="K479">
        <v>923</v>
      </c>
      <c r="L479">
        <v>664</v>
      </c>
      <c r="M479">
        <v>1904750000</v>
      </c>
      <c r="N479">
        <v>576947280.18018019</v>
      </c>
      <c r="O479">
        <v>558057025.67567563</v>
      </c>
      <c r="P479">
        <v>581435009.009009</v>
      </c>
      <c r="Q479">
        <v>319005315.31531531</v>
      </c>
      <c r="R479">
        <v>343056936.93693697</v>
      </c>
      <c r="S479">
        <v>43925</v>
      </c>
      <c r="T479">
        <v>33266</v>
      </c>
    </row>
    <row r="480" spans="1:20" x14ac:dyDescent="0.35">
      <c r="A480" s="7" t="s">
        <v>10</v>
      </c>
      <c r="B480" s="12" t="s">
        <v>194</v>
      </c>
      <c r="C480">
        <v>220905960.20294353</v>
      </c>
      <c r="D480">
        <v>216835277.35089386</v>
      </c>
      <c r="F480">
        <v>20268.468468469</v>
      </c>
      <c r="G480">
        <v>31</v>
      </c>
      <c r="H480">
        <v>22</v>
      </c>
      <c r="K480">
        <v>33</v>
      </c>
      <c r="L480">
        <v>28</v>
      </c>
      <c r="N480">
        <v>21335.135135134999</v>
      </c>
      <c r="O480">
        <v>131784700.9009009</v>
      </c>
      <c r="P480">
        <v>129149063.06306306</v>
      </c>
      <c r="Q480">
        <v>19639.639639640001</v>
      </c>
      <c r="R480">
        <v>576486.48648648604</v>
      </c>
      <c r="S480">
        <v>4395</v>
      </c>
      <c r="T480">
        <v>3572</v>
      </c>
    </row>
    <row r="481" spans="1:20" x14ac:dyDescent="0.35">
      <c r="A481" s="7" t="s">
        <v>576</v>
      </c>
      <c r="B481" s="12" t="s">
        <v>88</v>
      </c>
      <c r="C481">
        <v>4740740.0011439333</v>
      </c>
      <c r="D481">
        <v>5529098.2878244929</v>
      </c>
      <c r="G481">
        <v>25</v>
      </c>
      <c r="H481">
        <v>14</v>
      </c>
      <c r="K481">
        <v>26</v>
      </c>
      <c r="L481">
        <v>18</v>
      </c>
      <c r="O481">
        <v>1680466.666666667</v>
      </c>
      <c r="P481">
        <v>2179099.0990990992</v>
      </c>
      <c r="S481">
        <v>266</v>
      </c>
      <c r="T481">
        <v>206</v>
      </c>
    </row>
    <row r="482" spans="1:20" x14ac:dyDescent="0.35">
      <c r="A482" s="7" t="s">
        <v>577</v>
      </c>
      <c r="B482" s="12" t="s">
        <v>284</v>
      </c>
      <c r="C482">
        <v>310512862.12370694</v>
      </c>
      <c r="D482">
        <v>319657817.95891088</v>
      </c>
      <c r="E482">
        <v>437837.83783783799</v>
      </c>
      <c r="F482">
        <v>512612.61261261301</v>
      </c>
      <c r="G482">
        <v>62</v>
      </c>
      <c r="H482">
        <v>9</v>
      </c>
      <c r="I482">
        <v>1</v>
      </c>
      <c r="K482">
        <v>63</v>
      </c>
      <c r="L482">
        <v>15</v>
      </c>
      <c r="M482">
        <v>20762162.162162159</v>
      </c>
      <c r="N482">
        <v>20571891.891891893</v>
      </c>
      <c r="O482">
        <v>49305378.378378376</v>
      </c>
      <c r="P482">
        <v>47777117.117117122</v>
      </c>
      <c r="Q482">
        <v>21334864.864864863</v>
      </c>
      <c r="R482">
        <v>20365585.585585583</v>
      </c>
      <c r="S482">
        <v>3746</v>
      </c>
      <c r="T482">
        <v>3502</v>
      </c>
    </row>
    <row r="483" spans="1:20" x14ac:dyDescent="0.35">
      <c r="A483" s="7" t="s">
        <v>578</v>
      </c>
      <c r="B483" s="12" t="s">
        <v>308</v>
      </c>
      <c r="C483">
        <v>1335503866.6622336</v>
      </c>
      <c r="D483">
        <v>1346156030.6576478</v>
      </c>
      <c r="E483">
        <v>18531081.081081096</v>
      </c>
      <c r="F483">
        <v>24587538.738738745</v>
      </c>
      <c r="G483">
        <v>660</v>
      </c>
      <c r="H483">
        <v>517</v>
      </c>
      <c r="K483">
        <v>736</v>
      </c>
      <c r="L483">
        <v>622</v>
      </c>
      <c r="M483">
        <v>169279279.27927929</v>
      </c>
      <c r="N483">
        <v>511318540.54054052</v>
      </c>
      <c r="O483">
        <v>557544747.74774778</v>
      </c>
      <c r="P483">
        <v>573359376.57657659</v>
      </c>
      <c r="Q483">
        <v>155921801.8018018</v>
      </c>
      <c r="R483">
        <v>280528288.2882883</v>
      </c>
      <c r="S483">
        <v>60522</v>
      </c>
      <c r="T483">
        <v>38121</v>
      </c>
    </row>
    <row r="484" spans="1:20" x14ac:dyDescent="0.35">
      <c r="A484" s="7" t="s">
        <v>579</v>
      </c>
      <c r="B484" s="12" t="s">
        <v>331</v>
      </c>
      <c r="C484">
        <v>1233171035.7961409</v>
      </c>
      <c r="D484">
        <v>1224255002.8622656</v>
      </c>
      <c r="E484">
        <v>13747747.747747744</v>
      </c>
      <c r="F484">
        <v>9981463.9639639668</v>
      </c>
      <c r="G484">
        <v>476</v>
      </c>
      <c r="H484">
        <v>485</v>
      </c>
      <c r="I484">
        <v>21</v>
      </c>
      <c r="K484">
        <v>700</v>
      </c>
      <c r="L484">
        <v>588</v>
      </c>
      <c r="M484">
        <v>292619099.0990991</v>
      </c>
      <c r="N484">
        <v>326239241.44144148</v>
      </c>
      <c r="O484">
        <v>264947610.8108108</v>
      </c>
      <c r="P484">
        <v>278096178.37837839</v>
      </c>
      <c r="Q484">
        <v>287617567.56756753</v>
      </c>
      <c r="R484">
        <v>322491171.17117119</v>
      </c>
      <c r="S484">
        <v>37457</v>
      </c>
      <c r="T484">
        <v>28020</v>
      </c>
    </row>
    <row r="485" spans="1:20" x14ac:dyDescent="0.35">
      <c r="A485" s="7" t="s">
        <v>580</v>
      </c>
      <c r="B485" s="12" t="s">
        <v>67</v>
      </c>
      <c r="C485">
        <v>191490736.83522975</v>
      </c>
      <c r="D485">
        <v>185354545.70663494</v>
      </c>
      <c r="E485">
        <v>449099.099099099</v>
      </c>
      <c r="F485">
        <v>90090.090090091006</v>
      </c>
      <c r="G485">
        <v>33</v>
      </c>
      <c r="H485">
        <v>25</v>
      </c>
      <c r="K485">
        <v>35</v>
      </c>
      <c r="L485">
        <v>27</v>
      </c>
      <c r="M485">
        <v>5427477.4774774807</v>
      </c>
      <c r="N485">
        <v>4010360.360360357</v>
      </c>
      <c r="O485">
        <v>51408869.369369365</v>
      </c>
      <c r="P485">
        <v>47277855.855855852</v>
      </c>
      <c r="Q485">
        <v>5058468.4684684724</v>
      </c>
      <c r="R485">
        <v>4873693.6936936909</v>
      </c>
      <c r="S485">
        <v>5202</v>
      </c>
      <c r="T485">
        <v>3309</v>
      </c>
    </row>
    <row r="486" spans="1:20" x14ac:dyDescent="0.35">
      <c r="A486" s="7" t="s">
        <v>581</v>
      </c>
      <c r="B486" s="12" t="s">
        <v>237</v>
      </c>
      <c r="C486">
        <v>12051.991542125999</v>
      </c>
      <c r="D486">
        <v>42686.488776755003</v>
      </c>
      <c r="P486">
        <v>34234.234234233998</v>
      </c>
    </row>
    <row r="487" spans="1:20" x14ac:dyDescent="0.35">
      <c r="A487" s="7" t="s">
        <v>582</v>
      </c>
      <c r="B487" s="12" t="s">
        <v>63</v>
      </c>
      <c r="C487">
        <v>492257923.80954367</v>
      </c>
      <c r="D487">
        <v>490444889.08372247</v>
      </c>
      <c r="E487">
        <v>4349549.5495495601</v>
      </c>
      <c r="F487">
        <v>4207907.207207215</v>
      </c>
      <c r="G487">
        <v>284</v>
      </c>
      <c r="H487">
        <v>74</v>
      </c>
      <c r="K487">
        <v>289</v>
      </c>
      <c r="L487">
        <v>194</v>
      </c>
      <c r="M487">
        <v>48503783.783783786</v>
      </c>
      <c r="N487">
        <v>54703428.828828834</v>
      </c>
      <c r="O487">
        <v>112348675.67567568</v>
      </c>
      <c r="P487">
        <v>123855054.05405405</v>
      </c>
      <c r="Q487">
        <v>45955765.765765771</v>
      </c>
      <c r="R487">
        <v>47792702.702702701</v>
      </c>
      <c r="S487">
        <v>7064</v>
      </c>
      <c r="T487">
        <v>6736</v>
      </c>
    </row>
    <row r="488" spans="1:20" x14ac:dyDescent="0.35">
      <c r="A488" s="7" t="s">
        <v>583</v>
      </c>
      <c r="B488" s="12" t="s">
        <v>49</v>
      </c>
      <c r="C488">
        <v>442695154.73822868</v>
      </c>
      <c r="D488">
        <v>421086783.69596493</v>
      </c>
      <c r="E488">
        <v>3534729.7297297339</v>
      </c>
      <c r="F488">
        <v>4954700.9009009032</v>
      </c>
      <c r="G488">
        <v>56</v>
      </c>
      <c r="H488">
        <v>20</v>
      </c>
      <c r="K488">
        <v>57</v>
      </c>
      <c r="L488">
        <v>23</v>
      </c>
      <c r="M488">
        <v>136068738.73873875</v>
      </c>
      <c r="N488">
        <v>42263364.864864863</v>
      </c>
      <c r="O488">
        <v>65026707.20720721</v>
      </c>
      <c r="P488">
        <v>71246234.234234229</v>
      </c>
      <c r="Q488">
        <v>131426306.3063063</v>
      </c>
      <c r="R488">
        <v>70384774.774774775</v>
      </c>
      <c r="S488">
        <v>5901</v>
      </c>
      <c r="T488">
        <v>5497</v>
      </c>
    </row>
    <row r="489" spans="1:20" x14ac:dyDescent="0.35">
      <c r="A489" s="7" t="s">
        <v>584</v>
      </c>
      <c r="B489" s="12" t="s">
        <v>55</v>
      </c>
      <c r="C489">
        <v>87519262.700742781</v>
      </c>
      <c r="D489">
        <v>87414817.736932307</v>
      </c>
      <c r="E489">
        <v>2006306.3063063079</v>
      </c>
      <c r="F489">
        <v>5133445.0450450471</v>
      </c>
      <c r="G489">
        <v>29</v>
      </c>
      <c r="H489">
        <v>77</v>
      </c>
      <c r="K489">
        <v>81</v>
      </c>
      <c r="L489">
        <v>218</v>
      </c>
      <c r="M489">
        <v>14842882.882882882</v>
      </c>
      <c r="N489">
        <v>35879154.954954952</v>
      </c>
      <c r="O489">
        <v>22392939.189189188</v>
      </c>
      <c r="P489">
        <v>25339729.729729727</v>
      </c>
      <c r="Q489">
        <v>12129549.54954955</v>
      </c>
      <c r="R489">
        <v>33119099.0990991</v>
      </c>
      <c r="S489">
        <v>3127</v>
      </c>
      <c r="T489">
        <v>2337</v>
      </c>
    </row>
    <row r="490" spans="1:20" x14ac:dyDescent="0.35">
      <c r="A490" s="7" t="s">
        <v>585</v>
      </c>
      <c r="B490" s="12" t="s">
        <v>71</v>
      </c>
      <c r="C490">
        <v>225981469.6546787</v>
      </c>
      <c r="D490">
        <v>220516718.02011868</v>
      </c>
      <c r="E490">
        <v>76301801.801801801</v>
      </c>
      <c r="F490">
        <v>46190090.090090089</v>
      </c>
      <c r="G490">
        <v>60</v>
      </c>
      <c r="H490">
        <v>50</v>
      </c>
      <c r="I490">
        <v>4</v>
      </c>
      <c r="K490">
        <v>61</v>
      </c>
      <c r="L490">
        <v>65</v>
      </c>
      <c r="M490">
        <v>33279504.504504506</v>
      </c>
      <c r="N490">
        <v>44870720.720720723</v>
      </c>
      <c r="O490">
        <v>103891045.04504503</v>
      </c>
      <c r="P490">
        <v>100856944.14414415</v>
      </c>
      <c r="Q490">
        <v>2296396.3963963981</v>
      </c>
      <c r="R490">
        <v>3445495.4954954949</v>
      </c>
      <c r="S490">
        <v>3850</v>
      </c>
      <c r="T490">
        <v>3808</v>
      </c>
    </row>
    <row r="491" spans="1:20" x14ac:dyDescent="0.35">
      <c r="A491" s="7" t="s">
        <v>586</v>
      </c>
      <c r="B491" s="12" t="s">
        <v>331</v>
      </c>
      <c r="C491">
        <v>850678925.50182319</v>
      </c>
      <c r="D491">
        <v>798170726.32740891</v>
      </c>
      <c r="E491">
        <v>10387162.162162164</v>
      </c>
      <c r="F491">
        <v>5209233.3333333367</v>
      </c>
      <c r="G491">
        <v>375</v>
      </c>
      <c r="H491">
        <v>392</v>
      </c>
      <c r="K491">
        <v>435</v>
      </c>
      <c r="L491">
        <v>459</v>
      </c>
      <c r="M491">
        <v>108488108.10810812</v>
      </c>
      <c r="N491">
        <v>168967004.5045045</v>
      </c>
      <c r="O491">
        <v>246598372.97297296</v>
      </c>
      <c r="P491">
        <v>212267951.35135135</v>
      </c>
      <c r="Q491">
        <v>99397117.117117122</v>
      </c>
      <c r="R491">
        <v>171423018.01801801</v>
      </c>
      <c r="S491">
        <v>26037</v>
      </c>
      <c r="T491">
        <v>19539</v>
      </c>
    </row>
    <row r="492" spans="1:20" x14ac:dyDescent="0.35">
      <c r="A492" s="7" t="s">
        <v>587</v>
      </c>
      <c r="B492" s="12" t="s">
        <v>67</v>
      </c>
      <c r="C492">
        <v>407812081.94074535</v>
      </c>
      <c r="D492">
        <v>429359344.23468572</v>
      </c>
      <c r="E492">
        <v>716402051.35135126</v>
      </c>
      <c r="F492">
        <v>1121391979.2792792</v>
      </c>
      <c r="G492">
        <v>326</v>
      </c>
      <c r="H492">
        <v>176</v>
      </c>
      <c r="K492">
        <v>665</v>
      </c>
      <c r="L492">
        <v>223</v>
      </c>
      <c r="M492">
        <v>93783918.918918908</v>
      </c>
      <c r="N492">
        <v>256722668.46846849</v>
      </c>
      <c r="O492">
        <v>202001790.990991</v>
      </c>
      <c r="P492">
        <v>220161954.95495495</v>
      </c>
      <c r="Q492">
        <v>91812790.990990996</v>
      </c>
      <c r="R492">
        <v>139518738.73873875</v>
      </c>
      <c r="S492">
        <v>18052</v>
      </c>
      <c r="T492">
        <v>11125</v>
      </c>
    </row>
    <row r="493" spans="1:20" x14ac:dyDescent="0.35">
      <c r="A493" s="7" t="s">
        <v>11</v>
      </c>
      <c r="B493" s="12" t="s">
        <v>194</v>
      </c>
      <c r="C493">
        <v>193153816.77363324</v>
      </c>
      <c r="D493">
        <v>178101403.14284438</v>
      </c>
      <c r="E493">
        <v>636936.93693693797</v>
      </c>
      <c r="F493">
        <v>1235135.1351351349</v>
      </c>
      <c r="G493">
        <v>43</v>
      </c>
      <c r="H493">
        <v>40</v>
      </c>
      <c r="K493">
        <v>49</v>
      </c>
      <c r="L493">
        <v>44</v>
      </c>
      <c r="M493">
        <v>15456756.756756758</v>
      </c>
      <c r="N493">
        <v>23036936.936936937</v>
      </c>
      <c r="O493">
        <v>65294804.054054059</v>
      </c>
      <c r="P493">
        <v>67773378.378378376</v>
      </c>
      <c r="Q493">
        <v>15790720.72072072</v>
      </c>
      <c r="R493">
        <v>22814234.234234232</v>
      </c>
      <c r="S493">
        <v>6474</v>
      </c>
      <c r="T493">
        <v>3787</v>
      </c>
    </row>
    <row r="494" spans="1:20" x14ac:dyDescent="0.35">
      <c r="A494" s="7" t="s">
        <v>12</v>
      </c>
      <c r="B494" s="12" t="s">
        <v>194</v>
      </c>
      <c r="C494">
        <v>131333292.76205365</v>
      </c>
      <c r="D494">
        <v>116088530.24195302</v>
      </c>
      <c r="E494">
        <v>5459459.4594594594</v>
      </c>
      <c r="F494">
        <v>721621.62162162305</v>
      </c>
      <c r="G494">
        <v>22</v>
      </c>
      <c r="H494">
        <v>19</v>
      </c>
      <c r="K494">
        <v>23</v>
      </c>
      <c r="L494">
        <v>25</v>
      </c>
      <c r="M494">
        <v>23117117.117117114</v>
      </c>
      <c r="N494">
        <v>10181081.081081079</v>
      </c>
      <c r="O494">
        <v>50972765.765765771</v>
      </c>
      <c r="P494">
        <v>49649729.729729727</v>
      </c>
      <c r="Q494">
        <v>26469099.0990991</v>
      </c>
      <c r="R494">
        <v>12175135.135135137</v>
      </c>
      <c r="S494">
        <v>6004</v>
      </c>
      <c r="T494">
        <v>2766</v>
      </c>
    </row>
    <row r="495" spans="1:20" x14ac:dyDescent="0.35">
      <c r="A495" s="7" t="s">
        <v>588</v>
      </c>
      <c r="B495" s="12" t="s">
        <v>61</v>
      </c>
      <c r="C495">
        <v>102853000.213369</v>
      </c>
      <c r="D495">
        <v>106418621.0400115</v>
      </c>
      <c r="E495">
        <v>1748648.648648649</v>
      </c>
      <c r="F495">
        <v>3235585.5855855849</v>
      </c>
      <c r="G495">
        <v>47</v>
      </c>
      <c r="H495">
        <v>48</v>
      </c>
      <c r="I495">
        <v>3</v>
      </c>
      <c r="K495">
        <v>57</v>
      </c>
      <c r="L495">
        <v>79</v>
      </c>
      <c r="M495">
        <v>18253153.153153151</v>
      </c>
      <c r="N495">
        <v>23270540.540540542</v>
      </c>
      <c r="O495">
        <v>37677245.495495498</v>
      </c>
      <c r="P495">
        <v>40809016.216216214</v>
      </c>
      <c r="Q495">
        <v>15762072.072072072</v>
      </c>
      <c r="R495">
        <v>22504818.018018015</v>
      </c>
      <c r="S495">
        <v>2285</v>
      </c>
      <c r="T495">
        <v>1905</v>
      </c>
    </row>
    <row r="496" spans="1:20" x14ac:dyDescent="0.35">
      <c r="A496" s="7" t="s">
        <v>589</v>
      </c>
      <c r="B496" s="12" t="s">
        <v>308</v>
      </c>
      <c r="C496">
        <v>2904057751.2237802</v>
      </c>
      <c r="D496">
        <v>2839384635.2021117</v>
      </c>
      <c r="E496">
        <v>3086896832.4324327</v>
      </c>
      <c r="F496">
        <v>3106398936.9369369</v>
      </c>
      <c r="G496">
        <v>1812</v>
      </c>
      <c r="H496">
        <v>890</v>
      </c>
      <c r="I496">
        <v>5</v>
      </c>
      <c r="K496">
        <v>2136</v>
      </c>
      <c r="L496">
        <v>1094</v>
      </c>
      <c r="M496">
        <v>637129086.48648655</v>
      </c>
      <c r="N496">
        <v>1017699213.5135134</v>
      </c>
      <c r="O496">
        <v>931758139.63963974</v>
      </c>
      <c r="P496">
        <v>943972144.14414418</v>
      </c>
      <c r="Q496">
        <v>611752342.34234238</v>
      </c>
      <c r="R496">
        <v>734362072.07207203</v>
      </c>
      <c r="S496">
        <v>99296</v>
      </c>
      <c r="T496">
        <v>65173</v>
      </c>
    </row>
    <row r="497" spans="1:20" x14ac:dyDescent="0.35">
      <c r="A497" s="7" t="s">
        <v>590</v>
      </c>
      <c r="B497" s="12" t="s">
        <v>53</v>
      </c>
      <c r="C497">
        <v>702967307.04713798</v>
      </c>
      <c r="D497">
        <v>721836372.38938296</v>
      </c>
      <c r="E497">
        <v>12348045.945945948</v>
      </c>
      <c r="F497">
        <v>18897354.954954956</v>
      </c>
      <c r="G497">
        <v>225</v>
      </c>
      <c r="H497">
        <v>467</v>
      </c>
      <c r="I497">
        <v>1</v>
      </c>
      <c r="K497">
        <v>515</v>
      </c>
      <c r="L497">
        <v>869</v>
      </c>
      <c r="M497">
        <v>190569855.85585588</v>
      </c>
      <c r="N497">
        <v>253043304.5045045</v>
      </c>
      <c r="O497">
        <v>279857441.44144142</v>
      </c>
      <c r="P497">
        <v>304840502.7027027</v>
      </c>
      <c r="Q497">
        <v>215489414.41441441</v>
      </c>
      <c r="R497">
        <v>245821261.26126125</v>
      </c>
      <c r="S497">
        <v>18274</v>
      </c>
      <c r="T497">
        <v>14426</v>
      </c>
    </row>
    <row r="498" spans="1:20" x14ac:dyDescent="0.35">
      <c r="A498" s="7" t="s">
        <v>591</v>
      </c>
      <c r="B498" s="12" t="s">
        <v>55</v>
      </c>
      <c r="C498">
        <v>59432014.002776146</v>
      </c>
      <c r="D498">
        <v>56937308.790088527</v>
      </c>
      <c r="E498">
        <v>1236936.936936937</v>
      </c>
      <c r="F498">
        <v>2385909.0090090102</v>
      </c>
      <c r="G498">
        <v>22</v>
      </c>
      <c r="H498">
        <v>38</v>
      </c>
      <c r="K498">
        <v>29</v>
      </c>
      <c r="L498">
        <v>45</v>
      </c>
      <c r="M498">
        <v>15435585.585585587</v>
      </c>
      <c r="N498">
        <v>11224100</v>
      </c>
      <c r="O498">
        <v>18505554.054054055</v>
      </c>
      <c r="P498">
        <v>19710509.009009007</v>
      </c>
      <c r="Q498">
        <v>13686756.756756758</v>
      </c>
      <c r="R498">
        <v>12870450.450450452</v>
      </c>
      <c r="S498">
        <v>1772</v>
      </c>
      <c r="T498">
        <v>1564</v>
      </c>
    </row>
    <row r="499" spans="1:20" x14ac:dyDescent="0.35">
      <c r="A499" s="7" t="s">
        <v>592</v>
      </c>
      <c r="B499" s="12" t="s">
        <v>170</v>
      </c>
      <c r="C499">
        <v>1691485717.7610774</v>
      </c>
      <c r="D499">
        <v>1649182891.8117414</v>
      </c>
      <c r="E499">
        <v>10985360.360360362</v>
      </c>
      <c r="F499">
        <v>25845091.891891897</v>
      </c>
      <c r="G499">
        <v>193</v>
      </c>
      <c r="H499">
        <v>171</v>
      </c>
      <c r="I499">
        <v>3</v>
      </c>
      <c r="K499">
        <v>219</v>
      </c>
      <c r="L499">
        <v>204</v>
      </c>
      <c r="M499">
        <v>324662881.08108109</v>
      </c>
      <c r="N499">
        <v>491425296.3963964</v>
      </c>
      <c r="O499">
        <v>570359094.5945946</v>
      </c>
      <c r="P499">
        <v>594426405.4054054</v>
      </c>
      <c r="Q499">
        <v>291522342.34234232</v>
      </c>
      <c r="R499">
        <v>431917387.38738739</v>
      </c>
      <c r="S499">
        <v>23939</v>
      </c>
      <c r="T499">
        <v>22926</v>
      </c>
    </row>
    <row r="500" spans="1:20" x14ac:dyDescent="0.35">
      <c r="A500" s="7" t="s">
        <v>593</v>
      </c>
      <c r="B500" s="12" t="s">
        <v>88</v>
      </c>
      <c r="C500">
        <v>8450089.6889239717</v>
      </c>
      <c r="D500">
        <v>7514185.8410561513</v>
      </c>
      <c r="G500">
        <v>2</v>
      </c>
      <c r="K500">
        <v>2</v>
      </c>
      <c r="M500">
        <v>1162162.1621621619</v>
      </c>
      <c r="N500">
        <v>1783783.7837837839</v>
      </c>
      <c r="O500">
        <v>2029909.9099099089</v>
      </c>
      <c r="P500">
        <v>3268603.6036036029</v>
      </c>
      <c r="S500">
        <v>355</v>
      </c>
      <c r="T500">
        <v>336</v>
      </c>
    </row>
    <row r="501" spans="1:20" x14ac:dyDescent="0.35">
      <c r="A501" s="7" t="s">
        <v>594</v>
      </c>
      <c r="B501" s="12" t="s">
        <v>144</v>
      </c>
      <c r="C501">
        <v>118249595.29861574</v>
      </c>
      <c r="D501">
        <v>118287182.4833651</v>
      </c>
      <c r="E501">
        <v>107581427.92792794</v>
      </c>
      <c r="F501">
        <v>141923296.3963964</v>
      </c>
      <c r="G501">
        <v>31</v>
      </c>
      <c r="H501">
        <v>4</v>
      </c>
      <c r="K501">
        <v>32</v>
      </c>
      <c r="L501">
        <v>4</v>
      </c>
      <c r="M501">
        <v>43366666.666666664</v>
      </c>
      <c r="N501">
        <v>38866528.828828834</v>
      </c>
      <c r="O501">
        <v>12263369.369369371</v>
      </c>
      <c r="P501">
        <v>12141495.495495496</v>
      </c>
      <c r="Q501">
        <v>6363693.6936936937</v>
      </c>
      <c r="R501">
        <v>6813873.8738738727</v>
      </c>
      <c r="S501">
        <v>1662</v>
      </c>
      <c r="T501">
        <v>1588</v>
      </c>
    </row>
    <row r="502" spans="1:20" x14ac:dyDescent="0.35">
      <c r="A502" s="7" t="s">
        <v>595</v>
      </c>
      <c r="B502" s="12" t="s">
        <v>291</v>
      </c>
      <c r="C502">
        <v>31770857.000911538</v>
      </c>
      <c r="D502">
        <v>30341694.674545515</v>
      </c>
      <c r="G502">
        <v>1</v>
      </c>
      <c r="H502">
        <v>14</v>
      </c>
      <c r="K502">
        <v>2</v>
      </c>
      <c r="L502">
        <v>16</v>
      </c>
      <c r="O502">
        <v>1785405.405405405</v>
      </c>
      <c r="P502">
        <v>2057657.657657658</v>
      </c>
      <c r="S502">
        <v>747</v>
      </c>
      <c r="T502">
        <v>774</v>
      </c>
    </row>
    <row r="503" spans="1:20" x14ac:dyDescent="0.35">
      <c r="A503" s="7" t="s">
        <v>596</v>
      </c>
      <c r="B503" s="12" t="s">
        <v>93</v>
      </c>
      <c r="C503">
        <v>44090503.494992621</v>
      </c>
      <c r="D503">
        <v>40328380.116694614</v>
      </c>
      <c r="E503">
        <v>1338738.7387387389</v>
      </c>
      <c r="F503">
        <v>1596561.2612612611</v>
      </c>
      <c r="G503">
        <v>30</v>
      </c>
      <c r="H503">
        <v>8</v>
      </c>
      <c r="K503">
        <v>30</v>
      </c>
      <c r="L503">
        <v>9</v>
      </c>
      <c r="M503">
        <v>4366126.1261261264</v>
      </c>
      <c r="N503">
        <v>6768973.8738738736</v>
      </c>
      <c r="O503">
        <v>7380486.4864864862</v>
      </c>
      <c r="P503">
        <v>7242648.6486486495</v>
      </c>
      <c r="Q503">
        <v>4370360.3603603607</v>
      </c>
      <c r="R503">
        <v>6556306.3063063072</v>
      </c>
      <c r="S503">
        <v>854</v>
      </c>
      <c r="T503">
        <v>1022</v>
      </c>
    </row>
    <row r="504" spans="1:20" x14ac:dyDescent="0.35">
      <c r="A504" s="7" t="s">
        <v>597</v>
      </c>
      <c r="B504" s="12" t="s">
        <v>51</v>
      </c>
      <c r="C504">
        <v>145784030.44979894</v>
      </c>
      <c r="D504">
        <v>143599092.9503718</v>
      </c>
      <c r="E504">
        <v>4781756.7567567537</v>
      </c>
      <c r="F504">
        <v>1821602.702702703</v>
      </c>
      <c r="G504">
        <v>12</v>
      </c>
      <c r="H504">
        <v>12</v>
      </c>
      <c r="K504">
        <v>14</v>
      </c>
      <c r="L504">
        <v>14</v>
      </c>
      <c r="M504">
        <v>47474864.864864863</v>
      </c>
      <c r="N504">
        <v>18790420.72072072</v>
      </c>
      <c r="O504">
        <v>31475897.297297295</v>
      </c>
      <c r="P504">
        <v>32872277.47747748</v>
      </c>
      <c r="Q504">
        <v>45298648.648648649</v>
      </c>
      <c r="R504">
        <v>23407297.297297295</v>
      </c>
      <c r="S504">
        <v>1695</v>
      </c>
      <c r="T504">
        <v>1741</v>
      </c>
    </row>
    <row r="505" spans="1:20" x14ac:dyDescent="0.35">
      <c r="A505" s="7" t="s">
        <v>598</v>
      </c>
      <c r="B505" s="12" t="s">
        <v>90</v>
      </c>
      <c r="C505">
        <v>221551226.73247072</v>
      </c>
      <c r="D505">
        <v>225666099.89902067</v>
      </c>
      <c r="E505">
        <v>2821621.621621626</v>
      </c>
      <c r="F505">
        <v>6932224.3243243294</v>
      </c>
      <c r="G505">
        <v>65</v>
      </c>
      <c r="H505">
        <v>65</v>
      </c>
      <c r="I505">
        <v>6</v>
      </c>
      <c r="K505">
        <v>377</v>
      </c>
      <c r="L505">
        <v>170</v>
      </c>
      <c r="M505">
        <v>17249009.009009007</v>
      </c>
      <c r="N505">
        <v>69001004.504504502</v>
      </c>
      <c r="O505">
        <v>55160382.882882878</v>
      </c>
      <c r="P505">
        <v>62157558.558558561</v>
      </c>
      <c r="Q505">
        <v>16566306.306306301</v>
      </c>
      <c r="R505">
        <v>66657567.567567565</v>
      </c>
      <c r="S505">
        <v>3962</v>
      </c>
      <c r="T505">
        <v>3625</v>
      </c>
    </row>
    <row r="506" spans="1:20" x14ac:dyDescent="0.35">
      <c r="A506" s="7" t="s">
        <v>599</v>
      </c>
      <c r="B506" s="12" t="s">
        <v>144</v>
      </c>
      <c r="C506">
        <v>83631351.885376588</v>
      </c>
      <c r="D506">
        <v>80498724.536903068</v>
      </c>
      <c r="E506">
        <v>1420945.945945946</v>
      </c>
      <c r="F506">
        <v>367239.63963963999</v>
      </c>
      <c r="G506">
        <v>12</v>
      </c>
      <c r="H506">
        <v>2</v>
      </c>
      <c r="K506">
        <v>12</v>
      </c>
      <c r="L506">
        <v>3</v>
      </c>
      <c r="M506">
        <v>7397297.297297297</v>
      </c>
      <c r="N506">
        <v>5233651.3513513524</v>
      </c>
      <c r="O506">
        <v>8239288.2882882887</v>
      </c>
      <c r="P506">
        <v>7234504.5045045046</v>
      </c>
      <c r="Q506">
        <v>5941621.6216216218</v>
      </c>
      <c r="R506">
        <v>4770990.9909909908</v>
      </c>
      <c r="S506">
        <v>1221</v>
      </c>
      <c r="T506">
        <v>1163</v>
      </c>
    </row>
    <row r="507" spans="1:20" x14ac:dyDescent="0.35">
      <c r="A507" s="7" t="s">
        <v>600</v>
      </c>
      <c r="B507" s="12" t="s">
        <v>126</v>
      </c>
      <c r="C507">
        <v>219397268.6923188</v>
      </c>
      <c r="D507">
        <v>218125659.39204279</v>
      </c>
      <c r="E507">
        <v>376576.57657657599</v>
      </c>
      <c r="F507">
        <v>511209.00900901097</v>
      </c>
      <c r="G507">
        <v>25</v>
      </c>
      <c r="H507">
        <v>26</v>
      </c>
      <c r="K507">
        <v>29</v>
      </c>
      <c r="L507">
        <v>29</v>
      </c>
      <c r="M507">
        <v>20121981.981981985</v>
      </c>
      <c r="N507">
        <v>15852941.441441443</v>
      </c>
      <c r="O507">
        <v>84350034.234234244</v>
      </c>
      <c r="P507">
        <v>85643648.648648649</v>
      </c>
      <c r="Q507">
        <v>19697477.47747748</v>
      </c>
      <c r="R507">
        <v>16235315.315315315</v>
      </c>
      <c r="S507">
        <v>3806</v>
      </c>
      <c r="T507">
        <v>2877</v>
      </c>
    </row>
    <row r="508" spans="1:20" x14ac:dyDescent="0.35">
      <c r="A508" s="7" t="s">
        <v>601</v>
      </c>
      <c r="B508" s="12" t="s">
        <v>51</v>
      </c>
      <c r="C508">
        <v>535205901.86059988</v>
      </c>
      <c r="D508">
        <v>554475173.4171921</v>
      </c>
      <c r="E508">
        <v>7307207.2072072066</v>
      </c>
      <c r="F508">
        <v>5002635.1351351356</v>
      </c>
      <c r="G508">
        <v>52</v>
      </c>
      <c r="H508">
        <v>63</v>
      </c>
      <c r="I508">
        <v>1</v>
      </c>
      <c r="K508">
        <v>64</v>
      </c>
      <c r="L508">
        <v>71</v>
      </c>
      <c r="M508">
        <v>96150450.45045045</v>
      </c>
      <c r="N508">
        <v>67978690.090090096</v>
      </c>
      <c r="O508">
        <v>223861378.37837836</v>
      </c>
      <c r="P508">
        <v>240078000</v>
      </c>
      <c r="Q508">
        <v>95993783.783783793</v>
      </c>
      <c r="R508">
        <v>68819009.009009004</v>
      </c>
      <c r="S508">
        <v>8027</v>
      </c>
      <c r="T508">
        <v>7552</v>
      </c>
    </row>
    <row r="509" spans="1:20" x14ac:dyDescent="0.35">
      <c r="A509" s="7" t="s">
        <v>602</v>
      </c>
      <c r="B509" s="12" t="s">
        <v>90</v>
      </c>
      <c r="C509">
        <v>156691764.99698013</v>
      </c>
      <c r="D509">
        <v>156946376.98470291</v>
      </c>
      <c r="E509">
        <v>1696396.396396402</v>
      </c>
      <c r="F509">
        <v>3959618.9189189211</v>
      </c>
      <c r="G509">
        <v>15</v>
      </c>
      <c r="H509">
        <v>15</v>
      </c>
      <c r="K509">
        <v>15</v>
      </c>
      <c r="L509">
        <v>17</v>
      </c>
      <c r="M509">
        <v>51985765.765765771</v>
      </c>
      <c r="N509">
        <v>58369444.144144148</v>
      </c>
      <c r="O509">
        <v>47595783.783783786</v>
      </c>
      <c r="P509">
        <v>50946756.75675676</v>
      </c>
      <c r="Q509">
        <v>50931531.531531528</v>
      </c>
      <c r="R509">
        <v>57256666.666666672</v>
      </c>
      <c r="S509">
        <v>2737</v>
      </c>
      <c r="T509">
        <v>2952</v>
      </c>
    </row>
    <row r="510" spans="1:20" x14ac:dyDescent="0.35">
      <c r="A510" s="7" t="s">
        <v>603</v>
      </c>
      <c r="B510" s="12" t="s">
        <v>88</v>
      </c>
      <c r="C510">
        <v>137418036.28119856</v>
      </c>
      <c r="D510">
        <v>139229105.96652514</v>
      </c>
      <c r="E510">
        <v>1157657.657657658</v>
      </c>
      <c r="F510">
        <v>906269.36936937005</v>
      </c>
      <c r="G510">
        <v>15</v>
      </c>
      <c r="H510">
        <v>11</v>
      </c>
      <c r="K510">
        <v>16</v>
      </c>
      <c r="L510">
        <v>14</v>
      </c>
      <c r="M510">
        <v>2202702.702702702</v>
      </c>
      <c r="N510">
        <v>2600482.8828828828</v>
      </c>
      <c r="O510">
        <v>11043315.315315315</v>
      </c>
      <c r="P510">
        <v>14733801.801801803</v>
      </c>
      <c r="Q510">
        <v>1959369.369369369</v>
      </c>
      <c r="R510">
        <v>2534054.054054054</v>
      </c>
      <c r="S510">
        <v>1303</v>
      </c>
      <c r="T510">
        <v>1262</v>
      </c>
    </row>
    <row r="511" spans="1:20" x14ac:dyDescent="0.35">
      <c r="A511" s="7" t="s">
        <v>604</v>
      </c>
      <c r="B511" s="12" t="s">
        <v>141</v>
      </c>
      <c r="C511">
        <v>1113870208.341239</v>
      </c>
      <c r="D511">
        <v>1165915244.1475258</v>
      </c>
      <c r="E511">
        <v>859921695.49549556</v>
      </c>
      <c r="F511">
        <v>827535195.49549556</v>
      </c>
      <c r="G511">
        <v>898</v>
      </c>
      <c r="H511">
        <v>488</v>
      </c>
      <c r="I511">
        <v>11</v>
      </c>
      <c r="K511">
        <v>1263</v>
      </c>
      <c r="L511">
        <v>929</v>
      </c>
      <c r="M511">
        <v>228713783.78378376</v>
      </c>
      <c r="N511">
        <v>282418398.1981982</v>
      </c>
      <c r="O511">
        <v>276741427.92792791</v>
      </c>
      <c r="P511">
        <v>296551677.47747749</v>
      </c>
      <c r="Q511">
        <v>222222252.25225225</v>
      </c>
      <c r="R511">
        <v>222984727.92792794</v>
      </c>
      <c r="S511">
        <v>20343</v>
      </c>
      <c r="T511">
        <v>19275</v>
      </c>
    </row>
    <row r="512" spans="1:20" x14ac:dyDescent="0.35">
      <c r="A512" s="7" t="s">
        <v>675</v>
      </c>
      <c r="B512" s="12" t="s">
        <v>215</v>
      </c>
      <c r="E512">
        <v>101261261.26126127</v>
      </c>
      <c r="F512">
        <v>232567567.56756756</v>
      </c>
      <c r="M512">
        <v>1830630.630630631</v>
      </c>
      <c r="N512">
        <v>50675.675675676001</v>
      </c>
    </row>
    <row r="513" spans="1:20" x14ac:dyDescent="0.35">
      <c r="A513" s="7" t="s">
        <v>605</v>
      </c>
      <c r="B513" s="12" t="s">
        <v>225</v>
      </c>
      <c r="C513">
        <v>184041760.93883103</v>
      </c>
      <c r="D513">
        <v>208943021.13238388</v>
      </c>
      <c r="E513">
        <v>116216.21621621599</v>
      </c>
      <c r="F513">
        <v>2091891.8918918921</v>
      </c>
      <c r="G513">
        <v>31</v>
      </c>
      <c r="H513">
        <v>32</v>
      </c>
      <c r="K513">
        <v>38</v>
      </c>
      <c r="L513">
        <v>35</v>
      </c>
      <c r="M513">
        <v>6692792.7927927924</v>
      </c>
      <c r="N513">
        <v>10461261.261261262</v>
      </c>
      <c r="O513">
        <v>60508252.252252258</v>
      </c>
      <c r="P513">
        <v>75971873.873873875</v>
      </c>
      <c r="Q513">
        <v>6791081.0810810812</v>
      </c>
      <c r="R513">
        <v>8696036.0360360369</v>
      </c>
      <c r="S513">
        <v>3599</v>
      </c>
      <c r="T513">
        <v>3833</v>
      </c>
    </row>
    <row r="514" spans="1:20" x14ac:dyDescent="0.35">
      <c r="A514" s="7" t="s">
        <v>606</v>
      </c>
      <c r="B514" s="12" t="s">
        <v>225</v>
      </c>
      <c r="C514">
        <v>120959071.30871579</v>
      </c>
      <c r="D514">
        <v>132438118.84113246</v>
      </c>
      <c r="E514">
        <v>84684.684684684005</v>
      </c>
      <c r="F514">
        <v>224496.39639639601</v>
      </c>
      <c r="G514">
        <v>44</v>
      </c>
      <c r="H514">
        <v>33</v>
      </c>
      <c r="K514">
        <v>45</v>
      </c>
      <c r="L514">
        <v>35</v>
      </c>
      <c r="M514">
        <v>6390990.9909909908</v>
      </c>
      <c r="N514">
        <v>10040470.270270271</v>
      </c>
      <c r="O514">
        <v>36659540.540540546</v>
      </c>
      <c r="P514">
        <v>45167603.603603601</v>
      </c>
      <c r="Q514">
        <v>7343243.2432432435</v>
      </c>
      <c r="R514">
        <v>10705135.135135137</v>
      </c>
      <c r="S514">
        <v>3154</v>
      </c>
      <c r="T514">
        <v>4487</v>
      </c>
    </row>
    <row r="515" spans="1:20" x14ac:dyDescent="0.35">
      <c r="A515" s="7" t="s">
        <v>607</v>
      </c>
      <c r="B515" s="12" t="s">
        <v>242</v>
      </c>
      <c r="C515">
        <v>107711618.27472891</v>
      </c>
      <c r="D515">
        <v>109244668.68401922</v>
      </c>
      <c r="E515">
        <v>898198.19819819904</v>
      </c>
      <c r="F515">
        <v>135135.13513513599</v>
      </c>
      <c r="G515">
        <v>59</v>
      </c>
      <c r="H515">
        <v>46</v>
      </c>
      <c r="K515">
        <v>65</v>
      </c>
      <c r="L515">
        <v>57</v>
      </c>
      <c r="M515">
        <v>12990990.990990989</v>
      </c>
      <c r="N515">
        <v>5029729.7297297306</v>
      </c>
      <c r="O515">
        <v>32543927.927927926</v>
      </c>
      <c r="P515">
        <v>35173693.693693697</v>
      </c>
      <c r="Q515">
        <v>12205225.225225223</v>
      </c>
      <c r="R515">
        <v>5181261.2612612611</v>
      </c>
      <c r="S515">
        <v>3793</v>
      </c>
      <c r="T515">
        <v>2314</v>
      </c>
    </row>
    <row r="516" spans="1:20" x14ac:dyDescent="0.35">
      <c r="A516" s="7" t="s">
        <v>608</v>
      </c>
      <c r="B516" s="12" t="s">
        <v>141</v>
      </c>
      <c r="C516">
        <v>31998760.392030507</v>
      </c>
      <c r="D516">
        <v>31267660.809645649</v>
      </c>
      <c r="E516">
        <v>2702.7027027029999</v>
      </c>
      <c r="F516">
        <v>45945.945945945998</v>
      </c>
      <c r="G516">
        <v>4</v>
      </c>
      <c r="H516">
        <v>12</v>
      </c>
      <c r="I516">
        <v>3</v>
      </c>
      <c r="K516">
        <v>4</v>
      </c>
      <c r="L516">
        <v>13</v>
      </c>
      <c r="M516">
        <v>1128828.8288288279</v>
      </c>
      <c r="N516">
        <v>761261.26126126095</v>
      </c>
      <c r="O516">
        <v>3594225.2252252251</v>
      </c>
      <c r="P516">
        <v>5232477.4774774769</v>
      </c>
      <c r="Q516">
        <v>726306.30630630697</v>
      </c>
      <c r="R516">
        <v>991531.53153153195</v>
      </c>
      <c r="S516">
        <v>337</v>
      </c>
      <c r="T516">
        <v>335</v>
      </c>
    </row>
    <row r="517" spans="1:20" x14ac:dyDescent="0.35">
      <c r="A517" s="7" t="s">
        <v>609</v>
      </c>
      <c r="B517" s="12" t="s">
        <v>190</v>
      </c>
      <c r="C517">
        <v>116119595.61544834</v>
      </c>
      <c r="D517">
        <v>106020517.03212942</v>
      </c>
      <c r="E517">
        <v>44310810.810810804</v>
      </c>
      <c r="F517">
        <v>42601504.504504502</v>
      </c>
      <c r="G517">
        <v>64</v>
      </c>
      <c r="H517">
        <v>25</v>
      </c>
      <c r="K517">
        <v>68</v>
      </c>
      <c r="L517">
        <v>28</v>
      </c>
      <c r="M517">
        <v>15806306.306306306</v>
      </c>
      <c r="N517">
        <v>18332830.630630631</v>
      </c>
      <c r="O517">
        <v>28854337.837837841</v>
      </c>
      <c r="P517">
        <v>27057810.810810812</v>
      </c>
      <c r="Q517">
        <v>11100720.72072072</v>
      </c>
      <c r="R517">
        <v>11604594.594594596</v>
      </c>
      <c r="S517">
        <v>1729</v>
      </c>
      <c r="T517">
        <v>1411</v>
      </c>
    </row>
    <row r="518" spans="1:20" x14ac:dyDescent="0.35">
      <c r="A518" s="7" t="s">
        <v>610</v>
      </c>
      <c r="B518" s="12" t="s">
        <v>190</v>
      </c>
      <c r="C518">
        <v>350561308.15721947</v>
      </c>
      <c r="D518">
        <v>338248506.08139795</v>
      </c>
      <c r="E518">
        <v>459459.45945946098</v>
      </c>
      <c r="F518">
        <v>718404.50450450403</v>
      </c>
      <c r="G518">
        <v>115</v>
      </c>
      <c r="H518">
        <v>97</v>
      </c>
      <c r="K518">
        <v>122</v>
      </c>
      <c r="L518">
        <v>108</v>
      </c>
      <c r="M518">
        <v>20666666.666666664</v>
      </c>
      <c r="N518">
        <v>23080718.918918919</v>
      </c>
      <c r="O518">
        <v>61317810.810810819</v>
      </c>
      <c r="P518">
        <v>60233765.765765771</v>
      </c>
      <c r="Q518">
        <v>12251441.441441439</v>
      </c>
      <c r="R518">
        <v>15043423.423423424</v>
      </c>
      <c r="S518">
        <v>6016</v>
      </c>
      <c r="T518">
        <v>4921</v>
      </c>
    </row>
    <row r="519" spans="1:20" x14ac:dyDescent="0.35">
      <c r="A519" s="7" t="s">
        <v>611</v>
      </c>
      <c r="B519" s="12" t="s">
        <v>190</v>
      </c>
      <c r="C519">
        <v>131929614.38844961</v>
      </c>
      <c r="D519">
        <v>148031340.32799378</v>
      </c>
      <c r="E519">
        <v>1068918.91891892</v>
      </c>
      <c r="F519">
        <v>539759.45945945999</v>
      </c>
      <c r="G519">
        <v>22</v>
      </c>
      <c r="H519">
        <v>27</v>
      </c>
      <c r="K519">
        <v>24</v>
      </c>
      <c r="L519">
        <v>32</v>
      </c>
      <c r="M519">
        <v>8475855.8558558542</v>
      </c>
      <c r="N519">
        <v>6029761.261261262</v>
      </c>
      <c r="O519">
        <v>16689405.405405404</v>
      </c>
      <c r="P519">
        <v>21283198.198198196</v>
      </c>
      <c r="Q519">
        <v>7196666.666666666</v>
      </c>
      <c r="R519">
        <v>5145675.6756756753</v>
      </c>
      <c r="S519">
        <v>1886</v>
      </c>
      <c r="T519">
        <v>1690</v>
      </c>
    </row>
    <row r="520" spans="1:20" x14ac:dyDescent="0.35">
      <c r="A520" s="7" t="s">
        <v>612</v>
      </c>
      <c r="B520" s="12" t="s">
        <v>190</v>
      </c>
      <c r="C520">
        <v>49617594.134777457</v>
      </c>
      <c r="D520">
        <v>56513005.128990687</v>
      </c>
      <c r="E520">
        <v>211261.261261262</v>
      </c>
      <c r="F520">
        <v>145410.810810811</v>
      </c>
      <c r="G520">
        <v>23</v>
      </c>
      <c r="H520">
        <v>48</v>
      </c>
      <c r="K520">
        <v>26</v>
      </c>
      <c r="L520">
        <v>59</v>
      </c>
      <c r="M520">
        <v>8356036.036036036</v>
      </c>
      <c r="N520">
        <v>6804226.1261261264</v>
      </c>
      <c r="O520">
        <v>9147405.4054054059</v>
      </c>
      <c r="P520">
        <v>11863837.837837838</v>
      </c>
      <c r="Q520">
        <v>7536846.8468468459</v>
      </c>
      <c r="R520">
        <v>4015765.7657657661</v>
      </c>
      <c r="S520">
        <v>972</v>
      </c>
      <c r="T520">
        <v>961</v>
      </c>
    </row>
    <row r="521" spans="1:20" x14ac:dyDescent="0.35">
      <c r="A521" s="7" t="s">
        <v>613</v>
      </c>
      <c r="B521" s="12" t="s">
        <v>144</v>
      </c>
      <c r="C521">
        <v>420215054.38931614</v>
      </c>
      <c r="D521">
        <v>402222432.43089116</v>
      </c>
      <c r="E521">
        <v>4151432.4324324331</v>
      </c>
      <c r="F521">
        <v>1656602.7027027039</v>
      </c>
      <c r="G521">
        <v>520</v>
      </c>
      <c r="H521">
        <v>171</v>
      </c>
      <c r="I521">
        <v>22</v>
      </c>
      <c r="K521">
        <v>551</v>
      </c>
      <c r="L521">
        <v>280</v>
      </c>
      <c r="M521">
        <v>35359459.459459461</v>
      </c>
      <c r="N521">
        <v>38049928.828828834</v>
      </c>
      <c r="O521">
        <v>50271139.639639638</v>
      </c>
      <c r="P521">
        <v>59330277.477477483</v>
      </c>
      <c r="Q521">
        <v>38006259.459459454</v>
      </c>
      <c r="R521">
        <v>40985218.018018015</v>
      </c>
      <c r="S521">
        <v>7693</v>
      </c>
      <c r="T521">
        <v>6405</v>
      </c>
    </row>
    <row r="522" spans="1:20" x14ac:dyDescent="0.35">
      <c r="A522" s="7" t="s">
        <v>614</v>
      </c>
      <c r="B522" s="12" t="s">
        <v>190</v>
      </c>
      <c r="C522">
        <v>445711185.79867405</v>
      </c>
      <c r="D522">
        <v>470166974.61660391</v>
      </c>
      <c r="E522">
        <v>51235653.153153151</v>
      </c>
      <c r="F522">
        <v>59259935.135135137</v>
      </c>
      <c r="G522">
        <v>178</v>
      </c>
      <c r="H522">
        <v>222</v>
      </c>
      <c r="I522">
        <v>3</v>
      </c>
      <c r="K522">
        <v>216</v>
      </c>
      <c r="L522">
        <v>286</v>
      </c>
      <c r="M522">
        <v>33223283.783783782</v>
      </c>
      <c r="N522">
        <v>24609808.108108107</v>
      </c>
      <c r="O522">
        <v>44345843.243243247</v>
      </c>
      <c r="P522">
        <v>53698311.711711712</v>
      </c>
      <c r="Q522">
        <v>17015448.648648649</v>
      </c>
      <c r="R522">
        <v>14688108.108108109</v>
      </c>
      <c r="S522">
        <v>9118</v>
      </c>
      <c r="T522">
        <v>7530</v>
      </c>
    </row>
    <row r="523" spans="1:20" x14ac:dyDescent="0.35">
      <c r="A523" s="7" t="s">
        <v>615</v>
      </c>
      <c r="B523" s="12" t="s">
        <v>55</v>
      </c>
      <c r="C523">
        <v>319323297.29115635</v>
      </c>
      <c r="D523">
        <v>321843777.11753958</v>
      </c>
      <c r="E523">
        <v>6296396.3963964013</v>
      </c>
      <c r="F523">
        <v>9569526.1261261273</v>
      </c>
      <c r="G523">
        <v>116</v>
      </c>
      <c r="H523">
        <v>110</v>
      </c>
      <c r="I523">
        <v>2</v>
      </c>
      <c r="K523">
        <v>219</v>
      </c>
      <c r="L523">
        <v>142</v>
      </c>
      <c r="M523">
        <v>54221621.621621624</v>
      </c>
      <c r="N523">
        <v>93358344.144144148</v>
      </c>
      <c r="O523">
        <v>100077981.98198198</v>
      </c>
      <c r="P523">
        <v>103507864.86486487</v>
      </c>
      <c r="Q523">
        <v>49983423.423423424</v>
      </c>
      <c r="R523">
        <v>91039729.729729727</v>
      </c>
      <c r="S523">
        <v>10369</v>
      </c>
      <c r="T523">
        <v>6262</v>
      </c>
    </row>
    <row r="524" spans="1:20" x14ac:dyDescent="0.35">
      <c r="A524" s="7" t="s">
        <v>616</v>
      </c>
      <c r="B524" s="12" t="s">
        <v>55</v>
      </c>
      <c r="C524">
        <v>172626616.97902292</v>
      </c>
      <c r="D524">
        <v>176697546.6836291</v>
      </c>
      <c r="E524">
        <v>816216.21621621703</v>
      </c>
      <c r="F524">
        <v>1627885.585585587</v>
      </c>
      <c r="G524">
        <v>20</v>
      </c>
      <c r="H524">
        <v>20</v>
      </c>
      <c r="I524">
        <v>1</v>
      </c>
      <c r="K524">
        <v>25</v>
      </c>
      <c r="L524">
        <v>32</v>
      </c>
      <c r="M524">
        <v>8228828.8288288293</v>
      </c>
      <c r="N524">
        <v>43862554.054054059</v>
      </c>
      <c r="O524">
        <v>28804612.612612613</v>
      </c>
      <c r="P524">
        <v>30988009.009009007</v>
      </c>
      <c r="Q524">
        <v>7277657.6576576587</v>
      </c>
      <c r="R524">
        <v>42962702.702702701</v>
      </c>
      <c r="S524">
        <v>3058</v>
      </c>
      <c r="T524">
        <v>2821</v>
      </c>
    </row>
    <row r="525" spans="1:20" x14ac:dyDescent="0.35">
      <c r="A525" s="7" t="s">
        <v>617</v>
      </c>
      <c r="B525" s="12" t="s">
        <v>61</v>
      </c>
      <c r="C525">
        <v>256397747.86032644</v>
      </c>
      <c r="D525">
        <v>279510854.31830233</v>
      </c>
      <c r="E525">
        <v>4170720.72072072</v>
      </c>
      <c r="F525">
        <v>2935543.2432432459</v>
      </c>
      <c r="G525">
        <v>105</v>
      </c>
      <c r="H525">
        <v>44</v>
      </c>
      <c r="K525">
        <v>138</v>
      </c>
      <c r="L525">
        <v>60</v>
      </c>
      <c r="M525">
        <v>41068918.918918923</v>
      </c>
      <c r="N525">
        <v>141066707.2072072</v>
      </c>
      <c r="O525">
        <v>83432288.288288295</v>
      </c>
      <c r="P525">
        <v>91312306.306306303</v>
      </c>
      <c r="Q525">
        <v>38854324.324324317</v>
      </c>
      <c r="R525">
        <v>137456576.57657659</v>
      </c>
      <c r="S525">
        <v>4390</v>
      </c>
      <c r="T525">
        <v>4474</v>
      </c>
    </row>
    <row r="526" spans="1:20" x14ac:dyDescent="0.35">
      <c r="A526" s="7" t="s">
        <v>618</v>
      </c>
      <c r="B526" s="12" t="s">
        <v>61</v>
      </c>
      <c r="C526">
        <v>286929294.5111267</v>
      </c>
      <c r="D526">
        <v>281492877.28582907</v>
      </c>
      <c r="E526">
        <v>2997297.2972972989</v>
      </c>
      <c r="F526">
        <v>3736813.5135135162</v>
      </c>
      <c r="G526">
        <v>69</v>
      </c>
      <c r="H526">
        <v>57</v>
      </c>
      <c r="K526">
        <v>77</v>
      </c>
      <c r="L526">
        <v>76</v>
      </c>
      <c r="M526">
        <v>38036936.936936937</v>
      </c>
      <c r="N526">
        <v>128081685.58558558</v>
      </c>
      <c r="O526">
        <v>147854914.41441441</v>
      </c>
      <c r="P526">
        <v>148265621.62162164</v>
      </c>
      <c r="Q526">
        <v>36573243.24324324</v>
      </c>
      <c r="R526">
        <v>120637297.2972973</v>
      </c>
      <c r="S526">
        <v>6675</v>
      </c>
      <c r="T526">
        <v>5233</v>
      </c>
    </row>
    <row r="527" spans="1:20" x14ac:dyDescent="0.35">
      <c r="A527" s="7" t="s">
        <v>619</v>
      </c>
      <c r="B527" s="12" t="s">
        <v>61</v>
      </c>
      <c r="C527">
        <v>362844665.28245056</v>
      </c>
      <c r="D527">
        <v>369805218.56088316</v>
      </c>
      <c r="E527">
        <v>42150225.225225225</v>
      </c>
      <c r="F527">
        <v>611064180.18018019</v>
      </c>
      <c r="G527">
        <v>58</v>
      </c>
      <c r="H527">
        <v>37</v>
      </c>
      <c r="I527">
        <v>1</v>
      </c>
      <c r="K527">
        <v>70</v>
      </c>
      <c r="L527">
        <v>52</v>
      </c>
      <c r="M527">
        <v>53612612.612612613</v>
      </c>
      <c r="N527">
        <v>136282779.27927929</v>
      </c>
      <c r="O527">
        <v>119116617.56756757</v>
      </c>
      <c r="P527">
        <v>123573628.82882883</v>
      </c>
      <c r="Q527">
        <v>50193873.873873882</v>
      </c>
      <c r="R527">
        <v>128689009.009009</v>
      </c>
      <c r="S527">
        <v>7383</v>
      </c>
      <c r="T527">
        <v>5807</v>
      </c>
    </row>
    <row r="528" spans="1:20" x14ac:dyDescent="0.35">
      <c r="A528" s="7" t="s">
        <v>620</v>
      </c>
      <c r="B528" s="12" t="s">
        <v>621</v>
      </c>
      <c r="C528">
        <v>426402658.92452866</v>
      </c>
      <c r="D528">
        <v>424129517.2811141</v>
      </c>
      <c r="E528">
        <v>7276126.1261261273</v>
      </c>
      <c r="F528">
        <v>8137888.2882882878</v>
      </c>
      <c r="G528">
        <v>274</v>
      </c>
      <c r="H528">
        <v>154</v>
      </c>
      <c r="I528">
        <v>2</v>
      </c>
      <c r="K528">
        <v>447</v>
      </c>
      <c r="L528">
        <v>265</v>
      </c>
      <c r="M528">
        <v>27353153.153153151</v>
      </c>
      <c r="N528">
        <v>35730290.090090089</v>
      </c>
      <c r="O528">
        <v>51414387.387387387</v>
      </c>
      <c r="P528">
        <v>62599351.351351351</v>
      </c>
      <c r="Q528">
        <v>31519009.009009004</v>
      </c>
      <c r="R528">
        <v>32841621.62162162</v>
      </c>
      <c r="S528">
        <v>11917</v>
      </c>
      <c r="T528">
        <v>7577</v>
      </c>
    </row>
    <row r="529" spans="1:20" x14ac:dyDescent="0.35">
      <c r="A529" s="7" t="s">
        <v>622</v>
      </c>
      <c r="B529" s="12" t="s">
        <v>621</v>
      </c>
      <c r="C529">
        <v>311483765.70997036</v>
      </c>
      <c r="D529">
        <v>312330916.59313285</v>
      </c>
      <c r="E529">
        <v>4731981.9819819834</v>
      </c>
      <c r="F529">
        <v>6323261.2612612611</v>
      </c>
      <c r="G529">
        <v>110</v>
      </c>
      <c r="H529">
        <v>151</v>
      </c>
      <c r="I529">
        <v>1</v>
      </c>
      <c r="K529">
        <v>131</v>
      </c>
      <c r="L529">
        <v>188</v>
      </c>
      <c r="M529">
        <v>27350450.45045045</v>
      </c>
      <c r="N529">
        <v>32856434.234234236</v>
      </c>
      <c r="O529">
        <v>50077825.225225225</v>
      </c>
      <c r="P529">
        <v>55637645.945945941</v>
      </c>
      <c r="Q529">
        <v>24159909.909909911</v>
      </c>
      <c r="R529">
        <v>33593153.153153159</v>
      </c>
      <c r="S529">
        <v>9616</v>
      </c>
      <c r="T529">
        <v>7673</v>
      </c>
    </row>
    <row r="530" spans="1:20" x14ac:dyDescent="0.35">
      <c r="A530" s="7" t="s">
        <v>623</v>
      </c>
      <c r="B530" s="12" t="s">
        <v>621</v>
      </c>
      <c r="C530">
        <v>326280582.00132716</v>
      </c>
      <c r="D530">
        <v>318020789.56563383</v>
      </c>
      <c r="E530">
        <v>1743693.693693694</v>
      </c>
      <c r="F530">
        <v>39937164.864864863</v>
      </c>
      <c r="G530">
        <v>136</v>
      </c>
      <c r="H530">
        <v>125</v>
      </c>
      <c r="I530">
        <v>1</v>
      </c>
      <c r="K530">
        <v>164</v>
      </c>
      <c r="L530">
        <v>160</v>
      </c>
      <c r="M530">
        <v>28390540.540540535</v>
      </c>
      <c r="N530">
        <v>31791221.621621624</v>
      </c>
      <c r="O530">
        <v>49619732.432432435</v>
      </c>
      <c r="P530">
        <v>54247509.909909911</v>
      </c>
      <c r="Q530">
        <v>18789459.459459458</v>
      </c>
      <c r="R530">
        <v>24612295.495495494</v>
      </c>
      <c r="S530">
        <v>9889</v>
      </c>
      <c r="T530">
        <v>5472</v>
      </c>
    </row>
    <row r="531" spans="1:20" x14ac:dyDescent="0.35">
      <c r="A531" s="7" t="s">
        <v>624</v>
      </c>
      <c r="B531" s="12" t="s">
        <v>621</v>
      </c>
      <c r="C531">
        <v>239882680.19533756</v>
      </c>
      <c r="D531">
        <v>238897547.46381178</v>
      </c>
      <c r="E531">
        <v>75538775.675675675</v>
      </c>
      <c r="F531">
        <v>86598277.477477476</v>
      </c>
      <c r="G531">
        <v>66</v>
      </c>
      <c r="H531">
        <v>155</v>
      </c>
      <c r="I531">
        <v>4</v>
      </c>
      <c r="K531">
        <v>78</v>
      </c>
      <c r="L531">
        <v>173</v>
      </c>
      <c r="M531">
        <v>33568845.945945948</v>
      </c>
      <c r="N531">
        <v>35364082.882882886</v>
      </c>
      <c r="O531">
        <v>30940554.054054055</v>
      </c>
      <c r="P531">
        <v>34800466.666666664</v>
      </c>
      <c r="Q531">
        <v>19801981.981981985</v>
      </c>
      <c r="R531">
        <v>23246126.126126129</v>
      </c>
      <c r="S531">
        <v>4915</v>
      </c>
      <c r="T531">
        <v>3651</v>
      </c>
    </row>
    <row r="532" spans="1:20" x14ac:dyDescent="0.35">
      <c r="A532" s="7" t="s">
        <v>625</v>
      </c>
      <c r="B532" s="12" t="s">
        <v>261</v>
      </c>
      <c r="C532">
        <v>126415405.97843266</v>
      </c>
      <c r="D532">
        <v>130523325.64478788</v>
      </c>
      <c r="E532">
        <v>830630.630630631</v>
      </c>
      <c r="F532">
        <v>419369.369369369</v>
      </c>
      <c r="G532">
        <v>19</v>
      </c>
      <c r="H532">
        <v>3</v>
      </c>
      <c r="K532">
        <v>19</v>
      </c>
      <c r="L532">
        <v>4</v>
      </c>
      <c r="M532">
        <v>14679279.279279279</v>
      </c>
      <c r="N532">
        <v>11071891.891891891</v>
      </c>
      <c r="O532">
        <v>41914819.819819815</v>
      </c>
      <c r="P532">
        <v>44516207.20720721</v>
      </c>
      <c r="Q532">
        <v>17130990.990990993</v>
      </c>
      <c r="R532">
        <v>14746756.756756756</v>
      </c>
      <c r="S532">
        <v>2544</v>
      </c>
      <c r="T532">
        <v>2026</v>
      </c>
    </row>
    <row r="533" spans="1:20" x14ac:dyDescent="0.35">
      <c r="A533" s="7" t="s">
        <v>626</v>
      </c>
      <c r="B533" s="12" t="s">
        <v>53</v>
      </c>
      <c r="C533">
        <v>197195168.447092</v>
      </c>
      <c r="D533">
        <v>202567939.16730854</v>
      </c>
      <c r="E533">
        <v>882882.88288288401</v>
      </c>
      <c r="F533">
        <v>1120720.720720723</v>
      </c>
      <c r="G533">
        <v>81</v>
      </c>
      <c r="H533">
        <v>96</v>
      </c>
      <c r="I533">
        <v>1</v>
      </c>
      <c r="K533">
        <v>159</v>
      </c>
      <c r="L533">
        <v>190</v>
      </c>
      <c r="M533">
        <v>6612612.6126126144</v>
      </c>
      <c r="N533">
        <v>5791891.891891893</v>
      </c>
      <c r="O533">
        <v>70453333.333333343</v>
      </c>
      <c r="P533">
        <v>74429836.036036029</v>
      </c>
      <c r="Q533">
        <v>4825765.7657657666</v>
      </c>
      <c r="R533">
        <v>5664864.8648648644</v>
      </c>
      <c r="S533">
        <v>5721</v>
      </c>
      <c r="T533">
        <v>4246</v>
      </c>
    </row>
    <row r="534" spans="1:20" x14ac:dyDescent="0.35">
      <c r="A534" s="7" t="s">
        <v>627</v>
      </c>
      <c r="B534" s="12" t="s">
        <v>97</v>
      </c>
      <c r="C534">
        <v>498519770.32140517</v>
      </c>
      <c r="D534">
        <v>461669737.76721114</v>
      </c>
      <c r="E534">
        <v>8366666.6666666679</v>
      </c>
      <c r="F534">
        <v>7610057.6576576587</v>
      </c>
      <c r="G534">
        <v>234</v>
      </c>
      <c r="H534">
        <v>496</v>
      </c>
      <c r="I534">
        <v>1</v>
      </c>
      <c r="K534">
        <v>276</v>
      </c>
      <c r="L534">
        <v>695</v>
      </c>
      <c r="M534">
        <v>106918918.91891892</v>
      </c>
      <c r="N534">
        <v>111961535.13513513</v>
      </c>
      <c r="O534">
        <v>161605410.36036035</v>
      </c>
      <c r="P534">
        <v>164268583.78378376</v>
      </c>
      <c r="Q534">
        <v>89566486.486486495</v>
      </c>
      <c r="R534">
        <v>110585628.82882883</v>
      </c>
      <c r="S534">
        <v>12881</v>
      </c>
      <c r="T534">
        <v>10864</v>
      </c>
    </row>
    <row r="535" spans="1:20" x14ac:dyDescent="0.35">
      <c r="A535" s="7" t="s">
        <v>628</v>
      </c>
      <c r="B535" s="12" t="s">
        <v>97</v>
      </c>
      <c r="C535">
        <v>829835709.33071458</v>
      </c>
      <c r="D535">
        <v>796958653.43376267</v>
      </c>
      <c r="E535">
        <v>6375000.0000000019</v>
      </c>
      <c r="F535">
        <v>11314496.3963964</v>
      </c>
      <c r="G535">
        <v>232</v>
      </c>
      <c r="H535">
        <v>258</v>
      </c>
      <c r="I535">
        <v>3</v>
      </c>
      <c r="K535">
        <v>301</v>
      </c>
      <c r="L535">
        <v>320</v>
      </c>
      <c r="M535">
        <v>242374324.32432431</v>
      </c>
      <c r="N535">
        <v>184173651.35135135</v>
      </c>
      <c r="O535">
        <v>336270186.93693697</v>
      </c>
      <c r="P535">
        <v>327665036.03603601</v>
      </c>
      <c r="Q535">
        <v>210371891.8918919</v>
      </c>
      <c r="R535">
        <v>181150090.09009007</v>
      </c>
      <c r="S535">
        <v>16502</v>
      </c>
      <c r="T535">
        <v>13127</v>
      </c>
    </row>
    <row r="536" spans="1:20" x14ac:dyDescent="0.35">
      <c r="A536" s="7" t="s">
        <v>629</v>
      </c>
      <c r="B536" s="12" t="s">
        <v>449</v>
      </c>
      <c r="C536">
        <v>605185651.82477725</v>
      </c>
      <c r="D536">
        <v>578647625.29392087</v>
      </c>
      <c r="E536">
        <v>170997316.21621624</v>
      </c>
      <c r="F536">
        <v>422996998.1981982</v>
      </c>
      <c r="G536">
        <v>224</v>
      </c>
      <c r="H536">
        <v>296</v>
      </c>
      <c r="I536">
        <v>2</v>
      </c>
      <c r="K536">
        <v>279</v>
      </c>
      <c r="L536">
        <v>435</v>
      </c>
      <c r="M536">
        <v>335711351.35135138</v>
      </c>
      <c r="N536">
        <v>211293978.37837836</v>
      </c>
      <c r="O536">
        <v>179548511.7117117</v>
      </c>
      <c r="P536">
        <v>187535009.00900903</v>
      </c>
      <c r="Q536">
        <v>336876396.3963964</v>
      </c>
      <c r="R536">
        <v>197905945.94594595</v>
      </c>
      <c r="S536">
        <v>14249</v>
      </c>
      <c r="T536">
        <v>10615</v>
      </c>
    </row>
    <row r="537" spans="1:20" x14ac:dyDescent="0.35">
      <c r="A537" s="7" t="s">
        <v>630</v>
      </c>
      <c r="B537" s="12" t="s">
        <v>79</v>
      </c>
      <c r="C537">
        <v>27372023.411953632</v>
      </c>
      <c r="D537">
        <v>27660523.525469523</v>
      </c>
      <c r="E537">
        <v>529729.72972972901</v>
      </c>
      <c r="F537">
        <v>320720.720720721</v>
      </c>
      <c r="G537">
        <v>3</v>
      </c>
      <c r="H537">
        <v>3</v>
      </c>
      <c r="K537">
        <v>4</v>
      </c>
      <c r="L537">
        <v>3</v>
      </c>
      <c r="M537">
        <v>2754954.9549549539</v>
      </c>
      <c r="N537">
        <v>2441441.4414414419</v>
      </c>
      <c r="O537">
        <v>7435477.4774774769</v>
      </c>
      <c r="P537">
        <v>8949288.2882882878</v>
      </c>
      <c r="Q537">
        <v>2367747.7477477482</v>
      </c>
      <c r="R537">
        <v>1968828.8288288291</v>
      </c>
      <c r="S537">
        <v>497</v>
      </c>
      <c r="T537">
        <v>372</v>
      </c>
    </row>
    <row r="538" spans="1:20" x14ac:dyDescent="0.35">
      <c r="A538" s="7" t="s">
        <v>631</v>
      </c>
      <c r="B538" s="12" t="s">
        <v>242</v>
      </c>
      <c r="C538">
        <v>159435990.05943978</v>
      </c>
      <c r="D538">
        <v>147589981.19218665</v>
      </c>
      <c r="E538">
        <v>1431306.306306307</v>
      </c>
      <c r="F538">
        <v>3353153.1531531531</v>
      </c>
      <c r="G538">
        <v>70</v>
      </c>
      <c r="H538">
        <v>45</v>
      </c>
      <c r="I538">
        <v>1</v>
      </c>
      <c r="K538">
        <v>77</v>
      </c>
      <c r="L538">
        <v>94</v>
      </c>
      <c r="M538">
        <v>32134054.054054055</v>
      </c>
      <c r="N538">
        <v>43119729.729729727</v>
      </c>
      <c r="O538">
        <v>37378612.612612613</v>
      </c>
      <c r="P538">
        <v>37140207.20720721</v>
      </c>
      <c r="Q538">
        <v>32153783.783783782</v>
      </c>
      <c r="R538">
        <v>40656936.936936937</v>
      </c>
      <c r="S538">
        <v>3238</v>
      </c>
      <c r="T538">
        <v>3004</v>
      </c>
    </row>
    <row r="539" spans="1:20" x14ac:dyDescent="0.35">
      <c r="A539" s="7" t="s">
        <v>632</v>
      </c>
      <c r="B539" s="12" t="s">
        <v>69</v>
      </c>
      <c r="C539">
        <v>688280600.41988623</v>
      </c>
      <c r="D539">
        <v>705605906.83405936</v>
      </c>
      <c r="E539">
        <v>7313963.963963965</v>
      </c>
      <c r="F539">
        <v>4578832.4324324317</v>
      </c>
      <c r="G539">
        <v>464</v>
      </c>
      <c r="H539">
        <v>124</v>
      </c>
      <c r="I539">
        <v>1</v>
      </c>
      <c r="K539">
        <v>501</v>
      </c>
      <c r="L539">
        <v>225</v>
      </c>
      <c r="M539">
        <v>68308558.558558553</v>
      </c>
      <c r="N539">
        <v>78032188.288288295</v>
      </c>
      <c r="O539">
        <v>117708913.51351352</v>
      </c>
      <c r="P539">
        <v>134900978.37837839</v>
      </c>
      <c r="Q539">
        <v>52763693.693693697</v>
      </c>
      <c r="R539">
        <v>59792522.522522517</v>
      </c>
      <c r="S539">
        <v>9575</v>
      </c>
      <c r="T539">
        <v>8946</v>
      </c>
    </row>
    <row r="540" spans="1:20" x14ac:dyDescent="0.35">
      <c r="A540" s="7" t="s">
        <v>633</v>
      </c>
      <c r="B540" s="12" t="s">
        <v>71</v>
      </c>
      <c r="C540">
        <v>5072243.5999165103</v>
      </c>
      <c r="D540">
        <v>5189799.1826993711</v>
      </c>
      <c r="E540">
        <v>54054.054054054002</v>
      </c>
      <c r="F540">
        <v>253153.15315315299</v>
      </c>
      <c r="G540">
        <v>2</v>
      </c>
      <c r="K540">
        <v>2</v>
      </c>
      <c r="M540">
        <v>54054.054054054002</v>
      </c>
      <c r="N540">
        <v>307207.20720720699</v>
      </c>
      <c r="O540">
        <v>2960450.4504504502</v>
      </c>
      <c r="P540">
        <v>3105045.0450450452</v>
      </c>
      <c r="Q540">
        <v>164864.864864865</v>
      </c>
      <c r="S540">
        <v>303</v>
      </c>
      <c r="T540">
        <v>100</v>
      </c>
    </row>
    <row r="541" spans="1:20" x14ac:dyDescent="0.35">
      <c r="A541" s="7" t="s">
        <v>634</v>
      </c>
      <c r="B541" s="12" t="s">
        <v>61</v>
      </c>
      <c r="C541">
        <v>53324057.988224082</v>
      </c>
      <c r="D541">
        <v>53846841.980975181</v>
      </c>
      <c r="E541">
        <v>151351.351351352</v>
      </c>
      <c r="F541">
        <v>379054.05405405501</v>
      </c>
      <c r="G541">
        <v>17</v>
      </c>
      <c r="H541">
        <v>8</v>
      </c>
      <c r="I541">
        <v>1</v>
      </c>
      <c r="K541">
        <v>17</v>
      </c>
      <c r="L541">
        <v>9</v>
      </c>
      <c r="M541">
        <v>1953153.1531531529</v>
      </c>
      <c r="N541">
        <v>6849549.5495495489</v>
      </c>
      <c r="O541">
        <v>22492441.441441439</v>
      </c>
      <c r="P541">
        <v>21343144.144144144</v>
      </c>
      <c r="Q541">
        <v>888738.73873873905</v>
      </c>
      <c r="R541">
        <v>5785135.1351351347</v>
      </c>
      <c r="S541">
        <v>1120</v>
      </c>
      <c r="T541">
        <v>1190</v>
      </c>
    </row>
    <row r="542" spans="1:20" x14ac:dyDescent="0.35">
      <c r="A542" s="7" t="s">
        <v>635</v>
      </c>
      <c r="B542" s="12" t="s">
        <v>81</v>
      </c>
      <c r="C542">
        <v>537610501.28214669</v>
      </c>
      <c r="D542">
        <v>546904765.19097555</v>
      </c>
      <c r="E542">
        <v>6227477.4774774788</v>
      </c>
      <c r="F542">
        <v>5018220.7207207223</v>
      </c>
      <c r="G542">
        <v>79</v>
      </c>
      <c r="H542">
        <v>61</v>
      </c>
      <c r="I542">
        <v>1</v>
      </c>
      <c r="K542">
        <v>90</v>
      </c>
      <c r="L542">
        <v>82</v>
      </c>
      <c r="M542">
        <v>64343693.693693697</v>
      </c>
      <c r="N542">
        <v>73720838.738738731</v>
      </c>
      <c r="O542">
        <v>107149391.89189188</v>
      </c>
      <c r="P542">
        <v>109964225.22522523</v>
      </c>
      <c r="Q542">
        <v>55686936.936936937</v>
      </c>
      <c r="R542">
        <v>66873603.603603601</v>
      </c>
      <c r="S542">
        <v>6950</v>
      </c>
      <c r="T542">
        <v>6117</v>
      </c>
    </row>
    <row r="543" spans="1:20" x14ac:dyDescent="0.35">
      <c r="A543" s="7" t="s">
        <v>636</v>
      </c>
      <c r="B543" s="12" t="s">
        <v>135</v>
      </c>
      <c r="C543">
        <v>98203679.562437475</v>
      </c>
      <c r="D543">
        <v>103109655.23802529</v>
      </c>
      <c r="E543">
        <v>874774.77477477503</v>
      </c>
      <c r="G543">
        <v>19</v>
      </c>
      <c r="H543">
        <v>17</v>
      </c>
      <c r="K543">
        <v>19</v>
      </c>
      <c r="L543">
        <v>18</v>
      </c>
      <c r="M543">
        <v>10933333.333333332</v>
      </c>
      <c r="N543">
        <v>1432432.432432432</v>
      </c>
      <c r="O543">
        <v>5498729.7297297297</v>
      </c>
      <c r="P543">
        <v>7329549.5495495489</v>
      </c>
      <c r="Q543">
        <v>10222252.252252253</v>
      </c>
      <c r="R543">
        <v>1312702.702702702</v>
      </c>
      <c r="S543">
        <v>1436</v>
      </c>
      <c r="T543">
        <v>1564</v>
      </c>
    </row>
    <row r="544" spans="1:20" x14ac:dyDescent="0.35">
      <c r="A544" s="7" t="s">
        <v>637</v>
      </c>
      <c r="B544" s="12" t="s">
        <v>480</v>
      </c>
      <c r="C544">
        <v>297784577.31738669</v>
      </c>
      <c r="D544">
        <v>285870464.85296661</v>
      </c>
      <c r="E544">
        <v>2892792.792792798</v>
      </c>
      <c r="F544">
        <v>2114923.4234234239</v>
      </c>
      <c r="G544">
        <v>96</v>
      </c>
      <c r="H544">
        <v>64</v>
      </c>
      <c r="K544">
        <v>103</v>
      </c>
      <c r="L544">
        <v>69</v>
      </c>
      <c r="M544">
        <v>78603089.189189181</v>
      </c>
      <c r="N544">
        <v>81869162.162162155</v>
      </c>
      <c r="O544">
        <v>107924297.2972973</v>
      </c>
      <c r="P544">
        <v>108854396.3963964</v>
      </c>
      <c r="Q544">
        <v>74403828.828828827</v>
      </c>
      <c r="R544">
        <v>88944909.909909919</v>
      </c>
      <c r="S544">
        <v>7687</v>
      </c>
      <c r="T544">
        <v>5645</v>
      </c>
    </row>
    <row r="545" spans="1:20" x14ac:dyDescent="0.35">
      <c r="A545" s="7" t="s">
        <v>638</v>
      </c>
      <c r="B545" s="12" t="s">
        <v>144</v>
      </c>
      <c r="C545">
        <v>501131022.24507779</v>
      </c>
      <c r="D545">
        <v>512795277.70477033</v>
      </c>
      <c r="E545">
        <v>106578378.37837839</v>
      </c>
      <c r="F545">
        <v>28698665.765765771</v>
      </c>
      <c r="G545">
        <v>126</v>
      </c>
      <c r="H545">
        <v>50</v>
      </c>
      <c r="K545">
        <v>156</v>
      </c>
      <c r="L545">
        <v>59</v>
      </c>
      <c r="M545">
        <v>34163513.513513513</v>
      </c>
      <c r="N545">
        <v>38477495.495495498</v>
      </c>
      <c r="O545">
        <v>63085141.891891889</v>
      </c>
      <c r="P545">
        <v>64138522.522522517</v>
      </c>
      <c r="Q545">
        <v>26265405.405405402</v>
      </c>
      <c r="R545">
        <v>30025675.675675675</v>
      </c>
      <c r="S545">
        <v>10518</v>
      </c>
      <c r="T545">
        <v>9516</v>
      </c>
    </row>
    <row r="546" spans="1:20" x14ac:dyDescent="0.35">
      <c r="A546" s="7" t="s">
        <v>639</v>
      </c>
      <c r="B546" s="12" t="s">
        <v>242</v>
      </c>
      <c r="C546">
        <v>547458228.78469718</v>
      </c>
      <c r="D546">
        <v>536911864.67717409</v>
      </c>
      <c r="E546">
        <v>2540540.540540542</v>
      </c>
      <c r="F546">
        <v>5394484.6846846854</v>
      </c>
      <c r="G546">
        <v>277</v>
      </c>
      <c r="H546">
        <v>248</v>
      </c>
      <c r="K546">
        <v>329</v>
      </c>
      <c r="L546">
        <v>379</v>
      </c>
      <c r="M546">
        <v>55596036.036036037</v>
      </c>
      <c r="N546">
        <v>49411076.576576583</v>
      </c>
      <c r="O546">
        <v>177102717.11711711</v>
      </c>
      <c r="P546">
        <v>189231135.13513514</v>
      </c>
      <c r="Q546">
        <v>52328828.828828834</v>
      </c>
      <c r="R546">
        <v>48680135.135135137</v>
      </c>
      <c r="S546">
        <v>17113</v>
      </c>
      <c r="T546">
        <v>12522</v>
      </c>
    </row>
    <row r="547" spans="1:20" x14ac:dyDescent="0.35">
      <c r="A547" s="7" t="s">
        <v>640</v>
      </c>
      <c r="B547" s="12" t="s">
        <v>133</v>
      </c>
      <c r="C547">
        <v>211290001.23325923</v>
      </c>
      <c r="D547">
        <v>218299935.64578873</v>
      </c>
      <c r="E547">
        <v>55097996.396396399</v>
      </c>
      <c r="F547">
        <v>82753400.9009009</v>
      </c>
      <c r="G547">
        <v>86</v>
      </c>
      <c r="H547">
        <v>73</v>
      </c>
      <c r="K547">
        <v>98</v>
      </c>
      <c r="L547">
        <v>84</v>
      </c>
      <c r="M547">
        <v>12317117.117117116</v>
      </c>
      <c r="N547">
        <v>14237162.162162162</v>
      </c>
      <c r="O547">
        <v>75464963.963963971</v>
      </c>
      <c r="P547">
        <v>78010430.630630627</v>
      </c>
      <c r="Q547">
        <v>5173963.963963964</v>
      </c>
      <c r="R547">
        <v>6422207.2072072066</v>
      </c>
      <c r="S547">
        <v>6838</v>
      </c>
      <c r="T547">
        <v>5653</v>
      </c>
    </row>
    <row r="548" spans="1:20" x14ac:dyDescent="0.35">
      <c r="A548" s="7" t="s">
        <v>641</v>
      </c>
      <c r="B548" s="12" t="s">
        <v>135</v>
      </c>
      <c r="C548">
        <v>633682787.96945679</v>
      </c>
      <c r="D548">
        <v>671894325.87533915</v>
      </c>
      <c r="E548">
        <v>1863063.0630630639</v>
      </c>
      <c r="F548">
        <v>4678401.8018018054</v>
      </c>
      <c r="G548">
        <v>105</v>
      </c>
      <c r="H548">
        <v>104</v>
      </c>
      <c r="I548">
        <v>1</v>
      </c>
      <c r="K548">
        <v>112</v>
      </c>
      <c r="L548">
        <v>120</v>
      </c>
      <c r="M548">
        <v>53481801.801801801</v>
      </c>
      <c r="N548">
        <v>62977806.306306303</v>
      </c>
      <c r="O548">
        <v>83415197.297297299</v>
      </c>
      <c r="P548">
        <v>97681963.963963971</v>
      </c>
      <c r="Q548">
        <v>42456890.090090096</v>
      </c>
      <c r="R548">
        <v>52669639.639639638</v>
      </c>
      <c r="S548">
        <v>8660</v>
      </c>
      <c r="T548">
        <v>7533</v>
      </c>
    </row>
    <row r="549" spans="1:20" x14ac:dyDescent="0.35">
      <c r="A549" s="7" t="s">
        <v>642</v>
      </c>
      <c r="B549" s="12" t="s">
        <v>81</v>
      </c>
      <c r="C549">
        <v>330909615.05567682</v>
      </c>
      <c r="D549">
        <v>333708085.85994893</v>
      </c>
      <c r="E549">
        <v>1261261.2612612599</v>
      </c>
      <c r="F549">
        <v>2083438.738738741</v>
      </c>
      <c r="G549">
        <v>59</v>
      </c>
      <c r="H549">
        <v>38</v>
      </c>
      <c r="K549">
        <v>74</v>
      </c>
      <c r="L549">
        <v>76</v>
      </c>
      <c r="M549">
        <v>36300900.900900893</v>
      </c>
      <c r="N549">
        <v>41319598.198198199</v>
      </c>
      <c r="O549">
        <v>119188110.81081082</v>
      </c>
      <c r="P549">
        <v>121514025.22522523</v>
      </c>
      <c r="Q549">
        <v>34998378.378378376</v>
      </c>
      <c r="R549">
        <v>38764864.864864863</v>
      </c>
      <c r="S549">
        <v>5155</v>
      </c>
      <c r="T549">
        <v>5909</v>
      </c>
    </row>
    <row r="550" spans="1:20" x14ac:dyDescent="0.35">
      <c r="A550" s="7" t="s">
        <v>643</v>
      </c>
      <c r="B550" s="12" t="s">
        <v>170</v>
      </c>
      <c r="C550">
        <v>553163608.99610615</v>
      </c>
      <c r="D550">
        <v>575658407.6159873</v>
      </c>
      <c r="E550">
        <v>1947747.7477477479</v>
      </c>
      <c r="F550">
        <v>3634176.576576578</v>
      </c>
      <c r="G550">
        <v>58</v>
      </c>
      <c r="H550">
        <v>68</v>
      </c>
      <c r="I550">
        <v>2</v>
      </c>
      <c r="K550">
        <v>61</v>
      </c>
      <c r="L550">
        <v>72</v>
      </c>
      <c r="M550">
        <v>49105600.9009009</v>
      </c>
      <c r="N550">
        <v>51626729.729729727</v>
      </c>
      <c r="O550">
        <v>195870756.75675678</v>
      </c>
      <c r="P550">
        <v>220233666.66666666</v>
      </c>
      <c r="Q550">
        <v>45045765.765765771</v>
      </c>
      <c r="R550">
        <v>47897657.657657653</v>
      </c>
      <c r="S550">
        <v>9167</v>
      </c>
      <c r="T550">
        <v>8936</v>
      </c>
    </row>
    <row r="551" spans="1:20" x14ac:dyDescent="0.35">
      <c r="A551" s="7" t="s">
        <v>644</v>
      </c>
      <c r="B551" s="12" t="s">
        <v>59</v>
      </c>
      <c r="C551">
        <v>948773486.57405758</v>
      </c>
      <c r="D551">
        <v>944410818.4422878</v>
      </c>
      <c r="E551">
        <v>25599324.324324321</v>
      </c>
      <c r="F551">
        <v>47887372.072072081</v>
      </c>
      <c r="G551">
        <v>290</v>
      </c>
      <c r="H551">
        <v>216</v>
      </c>
      <c r="K551">
        <v>324</v>
      </c>
      <c r="L551">
        <v>254</v>
      </c>
      <c r="M551">
        <v>117842792.79279278</v>
      </c>
      <c r="N551">
        <v>165437418.01801801</v>
      </c>
      <c r="O551">
        <v>195422914.41441441</v>
      </c>
      <c r="P551">
        <v>201467142.34234235</v>
      </c>
      <c r="Q551">
        <v>66226846.846846841</v>
      </c>
      <c r="R551">
        <v>170063963.96396396</v>
      </c>
      <c r="S551">
        <v>20225</v>
      </c>
      <c r="T551">
        <v>18027</v>
      </c>
    </row>
    <row r="552" spans="1:20" x14ac:dyDescent="0.35">
      <c r="A552" s="7" t="s">
        <v>645</v>
      </c>
      <c r="B552" s="12" t="s">
        <v>59</v>
      </c>
      <c r="C552">
        <v>1183463489.0247607</v>
      </c>
      <c r="D552">
        <v>1210225747.4138856</v>
      </c>
      <c r="E552">
        <v>360871801.8018018</v>
      </c>
      <c r="F552">
        <v>595773727.92792797</v>
      </c>
      <c r="G552">
        <v>1264</v>
      </c>
      <c r="H552">
        <v>518</v>
      </c>
      <c r="I552">
        <v>1</v>
      </c>
      <c r="K552">
        <v>1463</v>
      </c>
      <c r="L552">
        <v>832</v>
      </c>
      <c r="M552">
        <v>207395495.4954955</v>
      </c>
      <c r="N552">
        <v>316485978.37837839</v>
      </c>
      <c r="O552">
        <v>355649545.04504508</v>
      </c>
      <c r="P552">
        <v>351566742.34234232</v>
      </c>
      <c r="Q552">
        <v>176151261.26126125</v>
      </c>
      <c r="R552">
        <v>307184454.05405408</v>
      </c>
      <c r="S552">
        <v>34512</v>
      </c>
      <c r="T552">
        <v>22267</v>
      </c>
    </row>
    <row r="553" spans="1:20" x14ac:dyDescent="0.35">
      <c r="A553" s="7" t="s">
        <v>646</v>
      </c>
      <c r="B553" s="12" t="s">
        <v>308</v>
      </c>
      <c r="C553">
        <v>385468949.62599617</v>
      </c>
      <c r="D553">
        <v>370294982.42211211</v>
      </c>
      <c r="E553">
        <v>1884684.684684685</v>
      </c>
      <c r="F553">
        <v>2220720.7207207209</v>
      </c>
      <c r="G553">
        <v>61</v>
      </c>
      <c r="H553">
        <v>36</v>
      </c>
      <c r="K553">
        <v>65</v>
      </c>
      <c r="L553">
        <v>46</v>
      </c>
      <c r="M553">
        <v>7342882.8828828838</v>
      </c>
      <c r="N553">
        <v>7356936.9369369363</v>
      </c>
      <c r="O553">
        <v>63868696.396396399</v>
      </c>
      <c r="P553">
        <v>68548986.486486495</v>
      </c>
      <c r="Q553">
        <v>6799549.5495495498</v>
      </c>
      <c r="R553">
        <v>7326576.5765765756</v>
      </c>
      <c r="S553">
        <v>5567</v>
      </c>
      <c r="T553">
        <v>5241</v>
      </c>
    </row>
    <row r="554" spans="1:20" x14ac:dyDescent="0.35">
      <c r="A554" s="7" t="s">
        <v>13</v>
      </c>
      <c r="B554" s="12" t="s">
        <v>159</v>
      </c>
      <c r="C554">
        <v>441759941.02012259</v>
      </c>
      <c r="D554">
        <v>417460165.52510321</v>
      </c>
      <c r="E554">
        <v>6066666.6666666744</v>
      </c>
      <c r="F554">
        <v>6853442.342342346</v>
      </c>
      <c r="G554">
        <v>189</v>
      </c>
      <c r="H554">
        <v>155</v>
      </c>
      <c r="I554">
        <v>2</v>
      </c>
      <c r="K554">
        <v>470</v>
      </c>
      <c r="L554">
        <v>978</v>
      </c>
      <c r="M554">
        <v>159559684.68468466</v>
      </c>
      <c r="N554">
        <v>170560035.13513514</v>
      </c>
      <c r="O554">
        <v>262214684.68468466</v>
      </c>
      <c r="P554">
        <v>261836756.75675678</v>
      </c>
      <c r="Q554">
        <v>156390088.2882883</v>
      </c>
      <c r="R554">
        <v>192985405.4054054</v>
      </c>
      <c r="S554">
        <v>10410</v>
      </c>
      <c r="T554">
        <v>7324</v>
      </c>
    </row>
    <row r="555" spans="1:20" x14ac:dyDescent="0.35">
      <c r="A555" s="7" t="s">
        <v>647</v>
      </c>
      <c r="B555" s="12" t="s">
        <v>122</v>
      </c>
      <c r="C555">
        <v>297708983.16755468</v>
      </c>
      <c r="D555">
        <v>308066939.55319607</v>
      </c>
      <c r="E555">
        <v>181081.08108108101</v>
      </c>
      <c r="F555">
        <v>99581.981981983001</v>
      </c>
      <c r="G555">
        <v>70</v>
      </c>
      <c r="H555">
        <v>95</v>
      </c>
      <c r="K555">
        <v>75</v>
      </c>
      <c r="L555">
        <v>100</v>
      </c>
      <c r="M555">
        <v>2256756.7567567569</v>
      </c>
      <c r="N555">
        <v>1451432.4324324341</v>
      </c>
      <c r="O555">
        <v>25916889.639639638</v>
      </c>
      <c r="P555">
        <v>29685113.513513513</v>
      </c>
      <c r="Q555">
        <v>1188918.9189189191</v>
      </c>
      <c r="R555">
        <v>1065315.315315315</v>
      </c>
      <c r="S555">
        <v>3283</v>
      </c>
      <c r="T555">
        <v>3720</v>
      </c>
    </row>
    <row r="556" spans="1:20" x14ac:dyDescent="0.35">
      <c r="A556" s="7" t="s">
        <v>648</v>
      </c>
      <c r="B556" s="12" t="s">
        <v>316</v>
      </c>
      <c r="C556">
        <v>107431975.64412889</v>
      </c>
      <c r="D556">
        <v>97198304.314296827</v>
      </c>
      <c r="E556">
        <v>1697297.297297298</v>
      </c>
      <c r="F556">
        <v>2203692.7927927952</v>
      </c>
      <c r="G556">
        <v>43</v>
      </c>
      <c r="H556">
        <v>11</v>
      </c>
      <c r="K556">
        <v>46</v>
      </c>
      <c r="L556">
        <v>12</v>
      </c>
      <c r="M556">
        <v>19479279.27927928</v>
      </c>
      <c r="N556">
        <v>37315148.648648649</v>
      </c>
      <c r="O556">
        <v>27111675.675675675</v>
      </c>
      <c r="P556">
        <v>25946585.585585583</v>
      </c>
      <c r="Q556">
        <v>20075675.675675675</v>
      </c>
      <c r="R556">
        <v>34330180.180180177</v>
      </c>
      <c r="S556">
        <v>1546</v>
      </c>
      <c r="T556">
        <v>1328</v>
      </c>
    </row>
    <row r="557" spans="1:20" x14ac:dyDescent="0.35">
      <c r="A557" s="7" t="s">
        <v>649</v>
      </c>
      <c r="B557" s="12" t="s">
        <v>261</v>
      </c>
      <c r="C557">
        <v>274046098.01430631</v>
      </c>
      <c r="D557">
        <v>289423155.58758056</v>
      </c>
      <c r="E557">
        <v>1438738.738738738</v>
      </c>
      <c r="F557">
        <v>1504504.504504506</v>
      </c>
      <c r="G557">
        <v>92</v>
      </c>
      <c r="H557">
        <v>70</v>
      </c>
      <c r="K557">
        <v>99</v>
      </c>
      <c r="L557">
        <v>77</v>
      </c>
      <c r="M557">
        <v>50117117.117117122</v>
      </c>
      <c r="N557">
        <v>56542342.342342347</v>
      </c>
      <c r="O557">
        <v>91062063.063063055</v>
      </c>
      <c r="P557">
        <v>101391063.06306306</v>
      </c>
      <c r="Q557">
        <v>49685315.315315314</v>
      </c>
      <c r="R557">
        <v>55153603.603603601</v>
      </c>
      <c r="S557">
        <v>4823</v>
      </c>
      <c r="T557">
        <v>5462</v>
      </c>
    </row>
    <row r="558" spans="1:20" x14ac:dyDescent="0.35">
      <c r="A558" s="7" t="s">
        <v>650</v>
      </c>
      <c r="B558" s="12" t="s">
        <v>225</v>
      </c>
      <c r="C558">
        <v>267980012.61581001</v>
      </c>
      <c r="D558">
        <v>308993094.19360071</v>
      </c>
      <c r="E558">
        <v>5249324.3243243257</v>
      </c>
      <c r="F558">
        <v>3939623.4234234239</v>
      </c>
      <c r="G558">
        <v>76</v>
      </c>
      <c r="H558">
        <v>102</v>
      </c>
      <c r="K558">
        <v>85</v>
      </c>
      <c r="L558">
        <v>124</v>
      </c>
      <c r="M558">
        <v>84692792.792792797</v>
      </c>
      <c r="N558">
        <v>41829381.081081077</v>
      </c>
      <c r="O558">
        <v>61238052.252252258</v>
      </c>
      <c r="P558">
        <v>75629538.738738731</v>
      </c>
      <c r="Q558">
        <v>78650360.360360369</v>
      </c>
      <c r="R558">
        <v>38620630.630630635</v>
      </c>
      <c r="S558">
        <v>5803</v>
      </c>
      <c r="T558">
        <v>7709</v>
      </c>
    </row>
    <row r="559" spans="1:20" x14ac:dyDescent="0.35">
      <c r="A559" s="7" t="s">
        <v>651</v>
      </c>
      <c r="B559" s="12" t="s">
        <v>225</v>
      </c>
      <c r="C559">
        <v>216166181.65767068</v>
      </c>
      <c r="D559">
        <v>247444232.33640957</v>
      </c>
      <c r="E559">
        <v>64864.864864866002</v>
      </c>
      <c r="F559">
        <v>139501.80180180201</v>
      </c>
      <c r="G559">
        <v>42</v>
      </c>
      <c r="H559">
        <v>49</v>
      </c>
      <c r="K559">
        <v>45</v>
      </c>
      <c r="L559">
        <v>54</v>
      </c>
      <c r="M559">
        <v>10275315.315315315</v>
      </c>
      <c r="N559">
        <v>15232618.918918921</v>
      </c>
      <c r="O559">
        <v>30011567.567567568</v>
      </c>
      <c r="P559">
        <v>39824459.459459454</v>
      </c>
      <c r="Q559">
        <v>9570180.1801801808</v>
      </c>
      <c r="R559">
        <v>13144504.504504504</v>
      </c>
      <c r="S559">
        <v>3211</v>
      </c>
      <c r="T559">
        <v>3139</v>
      </c>
    </row>
    <row r="560" spans="1:20" x14ac:dyDescent="0.35">
      <c r="A560" s="7" t="s">
        <v>652</v>
      </c>
      <c r="B560" s="12" t="s">
        <v>225</v>
      </c>
      <c r="C560">
        <v>834231877.11018097</v>
      </c>
      <c r="D560">
        <v>940458210.68187582</v>
      </c>
      <c r="E560">
        <v>381573309.9099099</v>
      </c>
      <c r="F560">
        <v>385269943.24324328</v>
      </c>
      <c r="G560">
        <v>311</v>
      </c>
      <c r="H560">
        <v>374</v>
      </c>
      <c r="K560">
        <v>472</v>
      </c>
      <c r="L560">
        <v>475</v>
      </c>
      <c r="M560">
        <v>251771711.7117117</v>
      </c>
      <c r="N560">
        <v>200182903.6036036</v>
      </c>
      <c r="O560">
        <v>205424536.03603604</v>
      </c>
      <c r="P560">
        <v>244673223.42342341</v>
      </c>
      <c r="Q560">
        <v>234306486.48648649</v>
      </c>
      <c r="R560">
        <v>177303783.78378376</v>
      </c>
      <c r="S560">
        <v>19547</v>
      </c>
      <c r="T560">
        <v>18910</v>
      </c>
    </row>
    <row r="561" spans="1:20" x14ac:dyDescent="0.35">
      <c r="A561" s="7" t="s">
        <v>653</v>
      </c>
      <c r="B561" s="12" t="s">
        <v>225</v>
      </c>
      <c r="C561">
        <v>100009665.47528936</v>
      </c>
      <c r="D561">
        <v>119133970.66377997</v>
      </c>
      <c r="E561">
        <v>207207.207207208</v>
      </c>
      <c r="F561">
        <v>410810.810810811</v>
      </c>
      <c r="G561">
        <v>25</v>
      </c>
      <c r="H561">
        <v>33</v>
      </c>
      <c r="K561">
        <v>28</v>
      </c>
      <c r="L561">
        <v>35</v>
      </c>
      <c r="M561">
        <v>1648648.6486486481</v>
      </c>
      <c r="N561">
        <v>4045045.0450450438</v>
      </c>
      <c r="O561">
        <v>15999540.540540541</v>
      </c>
      <c r="P561">
        <v>21618781.981981985</v>
      </c>
      <c r="Q561">
        <v>1626306.306306306</v>
      </c>
      <c r="R561">
        <v>2411081.0810810798</v>
      </c>
      <c r="S561">
        <v>1795</v>
      </c>
      <c r="T561">
        <v>1794</v>
      </c>
    </row>
    <row r="562" spans="1:20" x14ac:dyDescent="0.35">
      <c r="A562" s="7" t="s">
        <v>654</v>
      </c>
      <c r="B562" s="12" t="s">
        <v>97</v>
      </c>
      <c r="C562">
        <v>527373978.2671842</v>
      </c>
      <c r="D562">
        <v>505390782.51452845</v>
      </c>
      <c r="E562">
        <v>812612.61261261394</v>
      </c>
      <c r="F562">
        <v>3407695.4954954949</v>
      </c>
      <c r="G562">
        <v>237</v>
      </c>
      <c r="H562">
        <v>175</v>
      </c>
      <c r="K562">
        <v>250</v>
      </c>
      <c r="L562">
        <v>197</v>
      </c>
      <c r="M562">
        <v>13081081.081081085</v>
      </c>
      <c r="N562">
        <v>23046364.864864863</v>
      </c>
      <c r="O562">
        <v>70765531.531531528</v>
      </c>
      <c r="P562">
        <v>67614333.333333343</v>
      </c>
      <c r="Q562">
        <v>10924504.504504504</v>
      </c>
      <c r="R562">
        <v>18927027.02702703</v>
      </c>
      <c r="S562">
        <v>10269</v>
      </c>
      <c r="T562">
        <v>8322</v>
      </c>
    </row>
    <row r="563" spans="1:20" x14ac:dyDescent="0.35">
      <c r="A563" s="7" t="s">
        <v>655</v>
      </c>
      <c r="B563" s="12" t="s">
        <v>67</v>
      </c>
      <c r="C563">
        <v>326266112.76336777</v>
      </c>
      <c r="D563">
        <v>303242858.26364172</v>
      </c>
      <c r="E563">
        <v>7923423.4234234253</v>
      </c>
      <c r="F563">
        <v>6807687.3873873893</v>
      </c>
      <c r="G563">
        <v>118</v>
      </c>
      <c r="H563">
        <v>86</v>
      </c>
      <c r="K563">
        <v>126</v>
      </c>
      <c r="L563">
        <v>89</v>
      </c>
      <c r="M563">
        <v>96618918.918918908</v>
      </c>
      <c r="N563">
        <v>116602297.2972973</v>
      </c>
      <c r="O563">
        <v>212531144.14414412</v>
      </c>
      <c r="P563">
        <v>200752144.14414412</v>
      </c>
      <c r="Q563">
        <v>100136486.48648648</v>
      </c>
      <c r="R563">
        <v>106837792.7927928</v>
      </c>
      <c r="S563">
        <v>6510</v>
      </c>
      <c r="T563">
        <v>5290</v>
      </c>
    </row>
    <row r="564" spans="1:20" x14ac:dyDescent="0.35">
      <c r="A564" s="7" t="s">
        <v>656</v>
      </c>
      <c r="B564" s="12" t="s">
        <v>69</v>
      </c>
      <c r="C564">
        <v>519767029.75601155</v>
      </c>
      <c r="D564">
        <v>528479251.98118228</v>
      </c>
      <c r="E564">
        <v>1240990.990990991</v>
      </c>
      <c r="F564">
        <v>784827.92792793002</v>
      </c>
      <c r="G564">
        <v>90</v>
      </c>
      <c r="H564">
        <v>62</v>
      </c>
      <c r="I564">
        <v>2</v>
      </c>
      <c r="K564">
        <v>100</v>
      </c>
      <c r="L564">
        <v>67</v>
      </c>
      <c r="M564">
        <v>21913599.0990991</v>
      </c>
      <c r="N564">
        <v>34097909.909909911</v>
      </c>
      <c r="O564">
        <v>68833891.891891882</v>
      </c>
      <c r="P564">
        <v>77593324.324324325</v>
      </c>
      <c r="Q564">
        <v>17088108.108108107</v>
      </c>
      <c r="R564">
        <v>21752477.477477476</v>
      </c>
      <c r="S564">
        <v>6951</v>
      </c>
      <c r="T564">
        <v>6844</v>
      </c>
    </row>
    <row r="565" spans="1:20" x14ac:dyDescent="0.35">
      <c r="A565" s="7" t="s">
        <v>14</v>
      </c>
      <c r="B565" s="12" t="s">
        <v>159</v>
      </c>
      <c r="C565">
        <v>224378758.41357687</v>
      </c>
      <c r="D565">
        <v>224833310.61537081</v>
      </c>
      <c r="E565">
        <v>1451351.3513513519</v>
      </c>
      <c r="F565">
        <v>1215983.7837837851</v>
      </c>
      <c r="G565">
        <v>36</v>
      </c>
      <c r="H565">
        <v>34</v>
      </c>
      <c r="K565">
        <v>38</v>
      </c>
      <c r="L565">
        <v>36</v>
      </c>
      <c r="M565">
        <v>50304504.504504502</v>
      </c>
      <c r="N565">
        <v>37772372.072072074</v>
      </c>
      <c r="O565">
        <v>75243333.333333328</v>
      </c>
      <c r="P565">
        <v>78627540.540540546</v>
      </c>
      <c r="Q565">
        <v>48095855.855855852</v>
      </c>
      <c r="R565">
        <v>33590000</v>
      </c>
      <c r="S565">
        <v>4100</v>
      </c>
      <c r="T565">
        <v>3912</v>
      </c>
    </row>
    <row r="566" spans="1:20" x14ac:dyDescent="0.35">
      <c r="A566" s="7" t="s">
        <v>657</v>
      </c>
      <c r="B566" s="12" t="s">
        <v>305</v>
      </c>
      <c r="C566">
        <v>240356528.6401878</v>
      </c>
      <c r="D566">
        <v>241689143.61961591</v>
      </c>
      <c r="E566">
        <v>975675.67567567504</v>
      </c>
      <c r="F566">
        <v>1681408.1081081091</v>
      </c>
      <c r="G566">
        <v>300</v>
      </c>
      <c r="H566">
        <v>51</v>
      </c>
      <c r="K566">
        <v>316</v>
      </c>
      <c r="L566">
        <v>55</v>
      </c>
      <c r="M566">
        <v>40246846.846846849</v>
      </c>
      <c r="N566">
        <v>44955202.702702701</v>
      </c>
      <c r="O566">
        <v>72875617.117117122</v>
      </c>
      <c r="P566">
        <v>72234621.621621609</v>
      </c>
      <c r="Q566">
        <v>38895945.945945941</v>
      </c>
      <c r="R566">
        <v>36299459.459459454</v>
      </c>
      <c r="S566">
        <v>3516</v>
      </c>
      <c r="T566">
        <v>3061</v>
      </c>
    </row>
    <row r="567" spans="1:20" x14ac:dyDescent="0.35">
      <c r="A567" s="7" t="s">
        <v>658</v>
      </c>
      <c r="B567" s="12" t="s">
        <v>49</v>
      </c>
      <c r="C567">
        <v>299793412.7039808</v>
      </c>
      <c r="D567">
        <v>288885771.66138148</v>
      </c>
      <c r="E567">
        <v>2160360.360360364</v>
      </c>
      <c r="F567">
        <v>3729809.0090090102</v>
      </c>
      <c r="G567">
        <v>95</v>
      </c>
      <c r="H567">
        <v>16</v>
      </c>
      <c r="K567">
        <v>149</v>
      </c>
      <c r="L567">
        <v>20</v>
      </c>
      <c r="M567">
        <v>61881621.621621624</v>
      </c>
      <c r="N567">
        <v>22296006.306306303</v>
      </c>
      <c r="O567">
        <v>95587495.495495498</v>
      </c>
      <c r="P567">
        <v>90508322.522522524</v>
      </c>
      <c r="Q567">
        <v>61834234.234234229</v>
      </c>
      <c r="R567">
        <v>21426306.306306306</v>
      </c>
      <c r="S567">
        <v>3695</v>
      </c>
      <c r="T567">
        <v>3077</v>
      </c>
    </row>
    <row r="568" spans="1:20" x14ac:dyDescent="0.35">
      <c r="A568" s="7" t="s">
        <v>659</v>
      </c>
      <c r="B568" s="12" t="s">
        <v>55</v>
      </c>
      <c r="C568">
        <v>98522136.58514978</v>
      </c>
      <c r="D568">
        <v>101319077.25183001</v>
      </c>
      <c r="E568">
        <v>58852162.162162162</v>
      </c>
      <c r="F568">
        <v>304388811.71171176</v>
      </c>
      <c r="G568">
        <v>2</v>
      </c>
      <c r="H568">
        <v>19</v>
      </c>
      <c r="K568">
        <v>2</v>
      </c>
      <c r="L568">
        <v>25</v>
      </c>
      <c r="M568">
        <v>8738738.738738738</v>
      </c>
      <c r="N568">
        <v>15052594.594594594</v>
      </c>
      <c r="O568">
        <v>22616486.486486487</v>
      </c>
      <c r="P568">
        <v>24575513.513513513</v>
      </c>
      <c r="Q568">
        <v>7348738.7387387399</v>
      </c>
      <c r="R568">
        <v>10512972.972972972</v>
      </c>
      <c r="S568">
        <v>1706</v>
      </c>
      <c r="T568">
        <v>1566</v>
      </c>
    </row>
    <row r="569" spans="1:20" x14ac:dyDescent="0.35">
      <c r="A569" s="7" t="s">
        <v>660</v>
      </c>
      <c r="B569" s="12" t="s">
        <v>51</v>
      </c>
      <c r="C569">
        <v>438090974.57343733</v>
      </c>
      <c r="D569">
        <v>446687474.55413812</v>
      </c>
      <c r="E569">
        <v>1946846.8468468499</v>
      </c>
      <c r="F569">
        <v>2307754.0540540558</v>
      </c>
      <c r="G569">
        <v>85</v>
      </c>
      <c r="H569">
        <v>23</v>
      </c>
      <c r="K569">
        <v>96</v>
      </c>
      <c r="L569">
        <v>26</v>
      </c>
      <c r="M569">
        <v>108736216.21621622</v>
      </c>
      <c r="N569">
        <v>82007383.783783793</v>
      </c>
      <c r="O569">
        <v>218924315.31531534</v>
      </c>
      <c r="P569">
        <v>226597945.94594595</v>
      </c>
      <c r="Q569">
        <v>104343783.78378379</v>
      </c>
      <c r="R569">
        <v>85237027.027027026</v>
      </c>
      <c r="S569">
        <v>8373</v>
      </c>
      <c r="T569">
        <v>5776</v>
      </c>
    </row>
    <row r="570" spans="1:20" x14ac:dyDescent="0.35">
      <c r="A570" s="7" t="s">
        <v>661</v>
      </c>
      <c r="B570" s="12" t="s">
        <v>84</v>
      </c>
      <c r="C570">
        <v>530344424.26933616</v>
      </c>
      <c r="D570">
        <v>521556102.00811303</v>
      </c>
      <c r="E570">
        <v>4001593.6936936928</v>
      </c>
      <c r="F570">
        <v>4850439.6396396402</v>
      </c>
      <c r="G570">
        <v>142</v>
      </c>
      <c r="H570">
        <v>145</v>
      </c>
      <c r="K570">
        <v>162</v>
      </c>
      <c r="L570">
        <v>177</v>
      </c>
      <c r="M570">
        <v>71833695.495495498</v>
      </c>
      <c r="N570">
        <v>119564438.73873873</v>
      </c>
      <c r="O570">
        <v>136353000</v>
      </c>
      <c r="P570">
        <v>140376210.8108108</v>
      </c>
      <c r="Q570">
        <v>45069864.864864863</v>
      </c>
      <c r="R570">
        <v>51062430.630630635</v>
      </c>
      <c r="S570">
        <v>9454</v>
      </c>
      <c r="T570">
        <v>8977</v>
      </c>
    </row>
    <row r="571" spans="1:20" x14ac:dyDescent="0.35">
      <c r="A571" s="16" t="s">
        <v>662</v>
      </c>
      <c r="B571" s="14"/>
      <c r="C571" s="17">
        <v>218884240930.35175</v>
      </c>
      <c r="D571" s="17">
        <v>218809999565.24014</v>
      </c>
      <c r="E571" s="17">
        <v>49978052563.063019</v>
      </c>
      <c r="F571" s="17">
        <v>59196963377.477493</v>
      </c>
      <c r="G571" s="17">
        <v>84666</v>
      </c>
      <c r="H571" s="17">
        <v>66708</v>
      </c>
      <c r="I571" s="17">
        <v>687</v>
      </c>
      <c r="J571" s="17"/>
      <c r="K571" s="17">
        <v>117049</v>
      </c>
      <c r="L571" s="17">
        <v>99653</v>
      </c>
      <c r="M571" s="17">
        <v>48706812409.909897</v>
      </c>
      <c r="N571" s="17">
        <v>53070028059.459396</v>
      </c>
      <c r="O571" s="17">
        <v>65400100594.594574</v>
      </c>
      <c r="P571" s="17">
        <v>70316328626.126129</v>
      </c>
      <c r="Q571" s="17">
        <v>38431161245.045074</v>
      </c>
      <c r="R571" s="17">
        <v>43771169398.198158</v>
      </c>
      <c r="S571" s="17">
        <v>4643583</v>
      </c>
      <c r="T571" s="17">
        <v>3743383</v>
      </c>
    </row>
    <row r="572" spans="1:20" x14ac:dyDescent="0.35">
      <c r="A572" s="7" t="s">
        <v>660</v>
      </c>
      <c r="B572" s="12" t="s">
        <v>51</v>
      </c>
      <c r="C572">
        <v>340468703.79018021</v>
      </c>
      <c r="D572">
        <v>355953726.81693196</v>
      </c>
      <c r="E572">
        <v>1679279.279279283</v>
      </c>
      <c r="F572">
        <v>1536036.0360360381</v>
      </c>
      <c r="G572">
        <v>64</v>
      </c>
      <c r="H572">
        <v>17</v>
      </c>
      <c r="K572">
        <v>86</v>
      </c>
      <c r="L572">
        <v>20</v>
      </c>
      <c r="M572">
        <v>86525855.855855852</v>
      </c>
      <c r="N572">
        <v>63458468.468468465</v>
      </c>
      <c r="O572">
        <v>171285351.35135135</v>
      </c>
      <c r="P572">
        <v>182156576.57657659</v>
      </c>
      <c r="Q572">
        <v>80741261.261261269</v>
      </c>
      <c r="R572">
        <v>67669009.009009004</v>
      </c>
      <c r="S572">
        <v>5911</v>
      </c>
      <c r="T572">
        <v>5762</v>
      </c>
    </row>
    <row r="573" spans="1:20" x14ac:dyDescent="0.35">
      <c r="A573" s="7" t="s">
        <v>661</v>
      </c>
      <c r="B573" s="12" t="s">
        <v>84</v>
      </c>
      <c r="C573">
        <v>414608827.86823946</v>
      </c>
      <c r="D573">
        <v>406253058.65274423</v>
      </c>
      <c r="E573">
        <v>3228620.72072072</v>
      </c>
      <c r="F573">
        <v>3938738.7387387399</v>
      </c>
      <c r="G573">
        <v>113</v>
      </c>
      <c r="H573">
        <v>122</v>
      </c>
      <c r="K573">
        <v>131</v>
      </c>
      <c r="L573">
        <v>144</v>
      </c>
      <c r="M573">
        <v>59738200</v>
      </c>
      <c r="N573">
        <v>70005180.180180177</v>
      </c>
      <c r="O573">
        <v>107160720.72072072</v>
      </c>
      <c r="P573">
        <v>113603814.41441442</v>
      </c>
      <c r="Q573">
        <v>36407792.79279279</v>
      </c>
      <c r="R573">
        <v>42553781.981981985</v>
      </c>
      <c r="S573">
        <v>9030</v>
      </c>
      <c r="T573">
        <v>8956</v>
      </c>
    </row>
    <row r="574" spans="1:20" x14ac:dyDescent="0.35">
      <c r="A574" s="7" t="s">
        <v>661</v>
      </c>
      <c r="B574" s="12" t="s">
        <v>84</v>
      </c>
      <c r="C574">
        <v>397677261.4063766</v>
      </c>
      <c r="D574">
        <v>389701792.50839347</v>
      </c>
      <c r="E574">
        <v>3051143.2432432421</v>
      </c>
      <c r="F574">
        <v>3830630.630630631</v>
      </c>
      <c r="G574">
        <v>112</v>
      </c>
      <c r="H574">
        <v>115</v>
      </c>
      <c r="K574">
        <v>130</v>
      </c>
      <c r="L574">
        <v>136</v>
      </c>
      <c r="M574">
        <v>59551713.513513513</v>
      </c>
      <c r="N574">
        <v>45068243.24324324</v>
      </c>
      <c r="O574">
        <v>102419054.05405405</v>
      </c>
      <c r="P574">
        <v>108633958.55855855</v>
      </c>
      <c r="Q574">
        <v>35224639.639639638</v>
      </c>
      <c r="R574">
        <v>40915854.054054059</v>
      </c>
      <c r="S574">
        <v>8688</v>
      </c>
      <c r="T574">
        <v>9044</v>
      </c>
    </row>
    <row r="575" spans="1:20" x14ac:dyDescent="0.35">
      <c r="A575" s="16" t="s">
        <v>662</v>
      </c>
      <c r="B575" s="14"/>
      <c r="C575" s="17">
        <v>165077903080.78256</v>
      </c>
      <c r="D575" s="17">
        <v>166787947532.75107</v>
      </c>
      <c r="E575" s="17">
        <v>38380562584.6847</v>
      </c>
      <c r="F575" s="17">
        <v>42457018647.747734</v>
      </c>
      <c r="G575" s="17">
        <v>59093</v>
      </c>
      <c r="H575" s="17">
        <v>45288</v>
      </c>
      <c r="I575" s="17">
        <v>513</v>
      </c>
      <c r="J575" s="17"/>
      <c r="K575" s="17">
        <v>83686</v>
      </c>
      <c r="L575" s="17">
        <v>66905</v>
      </c>
      <c r="M575" s="17">
        <v>35788876009.00901</v>
      </c>
      <c r="N575" s="17">
        <v>37481004610.810814</v>
      </c>
      <c r="O575" s="17">
        <v>49667870019.819824</v>
      </c>
      <c r="P575" s="17">
        <v>53806458061.261261</v>
      </c>
      <c r="Q575" s="17">
        <v>26357094664.864845</v>
      </c>
      <c r="R575" s="17">
        <v>29162222445.04504</v>
      </c>
      <c r="S575" s="17">
        <v>3651263</v>
      </c>
      <c r="T575" s="17">
        <v>3748831</v>
      </c>
    </row>
    <row r="576" spans="1:20" x14ac:dyDescent="0.35">
      <c r="A576" s="13" t="s">
        <v>662</v>
      </c>
      <c r="B576" s="14"/>
      <c r="C576" s="15">
        <v>128271665346.12497</v>
      </c>
      <c r="D576" s="15">
        <v>132158564620.26212</v>
      </c>
      <c r="E576" s="15">
        <v>27114972049.549534</v>
      </c>
      <c r="F576" s="15">
        <v>30432270579.279301</v>
      </c>
      <c r="G576" s="15">
        <v>40621</v>
      </c>
      <c r="H576" s="15">
        <v>31716</v>
      </c>
      <c r="I576" s="15">
        <v>416</v>
      </c>
      <c r="J576" s="15"/>
      <c r="K576" s="15">
        <v>57338</v>
      </c>
      <c r="L576" s="15">
        <v>49355</v>
      </c>
      <c r="M576" s="15">
        <v>26584693067.56757</v>
      </c>
      <c r="N576" s="15">
        <v>28771765740.540546</v>
      </c>
      <c r="O576" s="15">
        <v>38177585445.045029</v>
      </c>
      <c r="P576" s="15">
        <v>42169923271.171188</v>
      </c>
      <c r="Q576" s="15">
        <v>18703835405.405399</v>
      </c>
      <c r="R576" s="15">
        <v>21162554133.333317</v>
      </c>
      <c r="S576" s="15">
        <v>3721019</v>
      </c>
      <c r="T576" s="15">
        <v>3745925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2026-08-31T07:26:02Z</dcterms:modified>
</cp:coreProperties>
</file>